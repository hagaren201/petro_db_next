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S\Petro_DB\"/>
    </mc:Choice>
  </mc:AlternateContent>
  <xr:revisionPtr revIDLastSave="0" documentId="13_ncr:1_{F98A7960-6890-43D1-BE36-F1D256D5994A}" xr6:coauthVersionLast="47" xr6:coauthVersionMax="47" xr10:uidLastSave="{00000000-0000-0000-0000-000000000000}"/>
  <bookViews>
    <workbookView xWindow="-15480" yWindow="-1200" windowWidth="15600" windowHeight="18720" firstSheet="1" activeTab="3" xr2:uid="{00000000-000D-0000-FFFF-FFFF00000000}"/>
  </bookViews>
  <sheets>
    <sheet name="Sheet1" sheetId="12" r:id="rId1"/>
    <sheet name="ccma_list" sheetId="9" r:id="rId2"/>
    <sheet name="ceh_list" sheetId="11" r:id="rId3"/>
    <sheet name="material_master" sheetId="1" r:id="rId4"/>
    <sheet name="route_master" sheetId="2" r:id="rId5"/>
    <sheet name="route_input_link" sheetId="3" r:id="rId6"/>
    <sheet name="route_output_link" sheetId="4" r:id="rId7"/>
    <sheet name="licensor_master" sheetId="5" r:id="rId8"/>
    <sheet name="route_licensor_link" sheetId="6" r:id="rId9"/>
    <sheet name="supplier_master" sheetId="7" r:id="rId10"/>
    <sheet name="material_supplier_link" sheetId="8" r:id="rId11"/>
  </sheet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6" i="8" l="1"/>
  <c r="C257" i="8"/>
  <c r="C255" i="8"/>
  <c r="C253" i="8"/>
  <c r="C254" i="8"/>
  <c r="J114" i="1"/>
  <c r="K114" i="1"/>
  <c r="L114" i="1"/>
  <c r="M114" i="1"/>
  <c r="J113" i="1"/>
  <c r="K113" i="1"/>
  <c r="L113" i="1"/>
  <c r="M113" i="1"/>
  <c r="J112" i="1"/>
  <c r="K112" i="1"/>
  <c r="L112" i="1"/>
  <c r="M112" i="1"/>
  <c r="J111" i="1"/>
  <c r="K111" i="1"/>
  <c r="L111" i="1"/>
  <c r="M111" i="1"/>
  <c r="J110" i="1"/>
  <c r="K110" i="1"/>
  <c r="L110" i="1"/>
  <c r="M110" i="1"/>
  <c r="J109" i="1"/>
  <c r="K109" i="1"/>
  <c r="L109" i="1"/>
  <c r="M109" i="1"/>
  <c r="C245" i="8" l="1"/>
  <c r="C238" i="8"/>
  <c r="C237" i="8"/>
  <c r="C239" i="8"/>
  <c r="C240" i="8"/>
  <c r="C236" i="8"/>
  <c r="C235" i="8"/>
  <c r="C234" i="8"/>
  <c r="C109" i="8" l="1"/>
  <c r="C110" i="8"/>
  <c r="C111" i="8"/>
  <c r="C250" i="8"/>
  <c r="C251" i="8"/>
  <c r="C252" i="8"/>
  <c r="J108" i="1"/>
  <c r="K108" i="1"/>
  <c r="L108" i="1"/>
  <c r="M108" i="1"/>
  <c r="C107" i="8"/>
  <c r="C83" i="8"/>
  <c r="C84" i="8"/>
  <c r="C82" i="8"/>
  <c r="C54" i="8"/>
  <c r="C53" i="8"/>
  <c r="C51" i="8"/>
  <c r="C52" i="8"/>
  <c r="C50" i="8"/>
  <c r="J107" i="1" l="1"/>
  <c r="K107" i="1"/>
  <c r="L107" i="1"/>
  <c r="M107" i="1"/>
  <c r="J106" i="1"/>
  <c r="K106" i="1"/>
  <c r="L106" i="1"/>
  <c r="M106" i="1"/>
  <c r="J104" i="1"/>
  <c r="J105" i="1"/>
  <c r="K104" i="1"/>
  <c r="K105" i="1"/>
  <c r="L104" i="1"/>
  <c r="L105" i="1"/>
  <c r="M104" i="1"/>
  <c r="M105" i="1"/>
  <c r="J103" i="1"/>
  <c r="K103" i="1"/>
  <c r="L103" i="1"/>
  <c r="M103" i="1"/>
  <c r="C227" i="8"/>
  <c r="C226" i="8"/>
  <c r="C9" i="8"/>
  <c r="C12" i="8"/>
  <c r="C11" i="8"/>
  <c r="C69" i="8"/>
  <c r="C64" i="8"/>
  <c r="C68" i="8"/>
  <c r="C67" i="8"/>
  <c r="C74" i="8"/>
  <c r="C75" i="8"/>
  <c r="C71" i="8"/>
  <c r="C128" i="8"/>
  <c r="C126" i="8"/>
  <c r="C125" i="8"/>
  <c r="C157" i="8"/>
  <c r="C148" i="8"/>
  <c r="C159" i="8"/>
  <c r="C149" i="8"/>
  <c r="C146" i="8"/>
  <c r="C201" i="8"/>
  <c r="C193" i="8"/>
  <c r="C194" i="8"/>
  <c r="C211" i="8"/>
  <c r="C204" i="8"/>
  <c r="C205" i="8"/>
  <c r="C27" i="8"/>
  <c r="C33" i="8"/>
  <c r="C34" i="8"/>
  <c r="C13" i="8"/>
  <c r="C19" i="8"/>
  <c r="C39" i="8"/>
  <c r="C48" i="8"/>
  <c r="C91" i="8"/>
  <c r="C95" i="8"/>
  <c r="C94" i="8"/>
  <c r="C96" i="8"/>
  <c r="C89" i="8"/>
  <c r="C76" i="8"/>
  <c r="C77" i="8"/>
  <c r="C100" i="8"/>
  <c r="C99" i="8"/>
  <c r="C116" i="8"/>
  <c r="C162" i="8"/>
  <c r="C187" i="8"/>
  <c r="C186" i="8"/>
  <c r="C188" i="8"/>
  <c r="C191" i="8"/>
  <c r="C192" i="8"/>
  <c r="C59" i="8"/>
  <c r="C42" i="8"/>
  <c r="C46" i="8"/>
  <c r="C58" i="8"/>
  <c r="C49" i="8"/>
  <c r="C101" i="8"/>
  <c r="C104" i="8"/>
  <c r="C102" i="8"/>
  <c r="C103" i="8"/>
  <c r="C105" i="8"/>
  <c r="C85" i="8"/>
  <c r="C131" i="8"/>
  <c r="C189" i="8"/>
  <c r="C190" i="8"/>
  <c r="C136" i="8"/>
  <c r="C140" i="8"/>
  <c r="C164" i="8"/>
  <c r="C166" i="8"/>
  <c r="C165" i="8"/>
  <c r="C169" i="8"/>
  <c r="C80" i="8"/>
  <c r="C81" i="8"/>
  <c r="C219" i="8"/>
  <c r="C216" i="8"/>
  <c r="C214" i="8"/>
  <c r="C213" i="8"/>
  <c r="C212" i="8"/>
  <c r="C215" i="8"/>
  <c r="C217" i="8"/>
  <c r="C135" i="8"/>
  <c r="C7" i="8"/>
  <c r="C4" i="8"/>
  <c r="C3" i="8"/>
  <c r="C2" i="8"/>
  <c r="C60" i="8"/>
  <c r="C61" i="8"/>
  <c r="C63" i="8"/>
  <c r="C66" i="8"/>
  <c r="C156" i="8"/>
  <c r="C151" i="8"/>
  <c r="C147" i="8"/>
  <c r="C145" i="8"/>
  <c r="C198" i="8"/>
  <c r="C195" i="8"/>
  <c r="C199" i="8"/>
  <c r="C196" i="8"/>
  <c r="C208" i="8"/>
  <c r="C207" i="8"/>
  <c r="C209" i="8"/>
  <c r="C206" i="8"/>
  <c r="C244" i="8"/>
  <c r="C25" i="8"/>
  <c r="C22" i="8"/>
  <c r="C29" i="8"/>
  <c r="C28" i="8"/>
  <c r="C36" i="8"/>
  <c r="C31" i="8"/>
  <c r="C14" i="8"/>
  <c r="C17" i="8"/>
  <c r="C18" i="8"/>
  <c r="C20" i="8"/>
  <c r="C38" i="8"/>
  <c r="C37" i="8"/>
  <c r="C248" i="8"/>
  <c r="C249" i="8"/>
  <c r="C90" i="8"/>
  <c r="C98" i="8"/>
  <c r="C88" i="8"/>
  <c r="C113" i="8"/>
  <c r="C112" i="8"/>
  <c r="C114" i="8"/>
  <c r="C115" i="8"/>
  <c r="C106" i="8"/>
  <c r="C117" i="8"/>
  <c r="C124" i="8"/>
  <c r="C118" i="8"/>
  <c r="C127" i="8"/>
  <c r="C122" i="8"/>
  <c r="C163" i="8"/>
  <c r="C170" i="8"/>
  <c r="C172" i="8"/>
  <c r="C173" i="8"/>
  <c r="C175" i="8"/>
  <c r="C40" i="8"/>
  <c r="C41" i="8"/>
  <c r="C45" i="8"/>
  <c r="C44" i="8"/>
  <c r="C56" i="8"/>
  <c r="C129" i="8"/>
  <c r="C132" i="8"/>
  <c r="C133" i="8"/>
  <c r="C143" i="8"/>
  <c r="C141" i="8"/>
  <c r="C137" i="8"/>
  <c r="C142" i="8"/>
  <c r="C221" i="8"/>
  <c r="C220" i="8"/>
  <c r="C223" i="8"/>
  <c r="C225" i="8"/>
  <c r="C224" i="8"/>
  <c r="C168" i="8"/>
  <c r="C79" i="8"/>
  <c r="C78" i="8"/>
  <c r="C176" i="8"/>
  <c r="C177" i="8"/>
  <c r="C184" i="8"/>
  <c r="C180" i="8"/>
  <c r="C181" i="8"/>
  <c r="C230" i="8"/>
  <c r="C229" i="8"/>
  <c r="C228" i="8"/>
  <c r="C231" i="8"/>
  <c r="C232" i="8"/>
  <c r="C246" i="8"/>
  <c r="C8" i="8"/>
  <c r="C6" i="8"/>
  <c r="C5" i="8"/>
  <c r="C10" i="8"/>
  <c r="C70" i="8"/>
  <c r="C62" i="8"/>
  <c r="C65" i="8"/>
  <c r="C73" i="8"/>
  <c r="C72" i="8"/>
  <c r="C155" i="8"/>
  <c r="C152" i="8"/>
  <c r="C154" i="8"/>
  <c r="C153" i="8"/>
  <c r="C144" i="8"/>
  <c r="C197" i="8"/>
  <c r="C200" i="8"/>
  <c r="C210" i="8"/>
  <c r="C203" i="8"/>
  <c r="C26" i="8"/>
  <c r="C21" i="8"/>
  <c r="C24" i="8"/>
  <c r="C23" i="8"/>
  <c r="C32" i="8"/>
  <c r="C35" i="8"/>
  <c r="C30" i="8"/>
  <c r="C15" i="8"/>
  <c r="C16" i="8"/>
  <c r="C43" i="8"/>
  <c r="C93" i="8"/>
  <c r="C87" i="8"/>
  <c r="C97" i="8"/>
  <c r="C92" i="8"/>
  <c r="C120" i="8"/>
  <c r="C123" i="8"/>
  <c r="C119" i="8"/>
  <c r="C121" i="8"/>
  <c r="C161" i="8"/>
  <c r="C160" i="8"/>
  <c r="C171" i="8"/>
  <c r="C174" i="8"/>
  <c r="C241" i="8"/>
  <c r="C243" i="8"/>
  <c r="C47" i="8"/>
  <c r="C55" i="8"/>
  <c r="C57" i="8"/>
  <c r="C130" i="8"/>
  <c r="C134" i="8"/>
  <c r="C86" i="8"/>
  <c r="C222" i="8"/>
  <c r="C138" i="8"/>
  <c r="C139" i="8"/>
  <c r="C179" i="8"/>
  <c r="C247" i="8"/>
  <c r="C158" i="8"/>
  <c r="C202" i="8"/>
  <c r="C185" i="8"/>
  <c r="C167" i="8"/>
  <c r="C233" i="8"/>
  <c r="C178" i="8"/>
  <c r="C183" i="8"/>
  <c r="C150" i="8"/>
  <c r="C242" i="8"/>
  <c r="C218" i="8"/>
  <c r="C182" i="8"/>
  <c r="C108" i="8"/>
  <c r="I19" i="12"/>
  <c r="I20" i="12"/>
  <c r="I21" i="12"/>
  <c r="I17" i="12"/>
  <c r="I18" i="12"/>
  <c r="I16" i="1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2" i="1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D166" i="8"/>
  <c r="D16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tc={E2D63A4D-75CA-4AB4-BFE5-3E605F209520}</author>
  </authors>
  <commentList>
    <comment ref="A83" authorId="0" shapeId="0" xr:uid="{E2D63A4D-75CA-4AB4-BFE5-3E605F20952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C3: Propionaldehyde
C4: n-Butyraldehyde, isobutyraldehyde
C5: Valeraldehyde, isovaleraldehyde
C7: Heptanoic Acid
C9: Pelargonic Acid
C8~C13 Branched acids: isooctanoic, isononanoic, isodecanoic, isotridecanoic
C9~C28 Neo acids: neopentanoic, neoheptanoic, neooctanoic, neononanoic, neodecanoic
Oxo plasticizer and detergent alcohols (branched C6-C13 and linear oxo C7-C15)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tc={F66435ED-0C9E-43FE-890A-A90FBEE07CAB}</author>
    <author>tc={583DACAD-58E4-4A7B-BBE0-F54E7FD002A2}</author>
    <author>tc={527C89FA-3535-45ED-AB16-7B5845EE7CC2}</author>
  </authors>
  <commentList>
    <comment ref="K36" authorId="0" shapeId="0" xr:uid="{F66435ED-0C9E-43FE-890A-A90FBEE07C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Oxo chemical의 일부</t>
      </text>
    </comment>
    <comment ref="G73" authorId="1" shapeId="0" xr:uid="{583DACAD-58E4-4A7B-BBE0-F54E7FD002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Mixed 인지 불명확</t>
      </text>
    </comment>
    <comment ref="G77" authorId="2" shapeId="0" xr:uid="{527C89FA-3535-45ED-AB16-7B5845EE7C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1-hexene인지 불분명</t>
      </text>
    </comment>
  </commentList>
</comments>
</file>

<file path=xl/sharedStrings.xml><?xml version="1.0" encoding="utf-8"?>
<sst xmlns="http://schemas.openxmlformats.org/spreadsheetml/2006/main" count="4052" uniqueCount="1143">
  <si>
    <t>remarks</t>
    <phoneticPr fontId="1" type="noConversion"/>
  </si>
  <si>
    <t>material_id</t>
    <phoneticPr fontId="1" type="noConversion"/>
  </si>
  <si>
    <t>material_name</t>
    <phoneticPr fontId="1" type="noConversion"/>
  </si>
  <si>
    <t>material_group</t>
    <phoneticPr fontId="1" type="noConversion"/>
  </si>
  <si>
    <t>M001</t>
  </si>
  <si>
    <t>Ethylene</t>
  </si>
  <si>
    <t>Base chemical</t>
  </si>
  <si>
    <t>Propylene</t>
  </si>
  <si>
    <t>M003</t>
  </si>
  <si>
    <t>Benzene</t>
  </si>
  <si>
    <t>M004</t>
  </si>
  <si>
    <t>M005</t>
  </si>
  <si>
    <t>M006</t>
  </si>
  <si>
    <t>C4</t>
  </si>
  <si>
    <t>M007</t>
  </si>
  <si>
    <t>1-Butene</t>
  </si>
  <si>
    <t>Intermediate</t>
  </si>
  <si>
    <t>M008</t>
  </si>
  <si>
    <t>M009</t>
  </si>
  <si>
    <t>Ethylbenzene</t>
  </si>
  <si>
    <t>M010</t>
  </si>
  <si>
    <t>Styrene</t>
  </si>
  <si>
    <t>M011</t>
  </si>
  <si>
    <t>Polystyrene</t>
  </si>
  <si>
    <t>Polymer</t>
  </si>
  <si>
    <t>Butadiene</t>
  </si>
  <si>
    <t>Isobutylene</t>
  </si>
  <si>
    <t>2-Butene</t>
  </si>
  <si>
    <t>Cumene</t>
  </si>
  <si>
    <t>HDPE</t>
  </si>
  <si>
    <t>Monomer</t>
  </si>
  <si>
    <t>LDPE</t>
  </si>
  <si>
    <t>LLDPE</t>
  </si>
  <si>
    <t>Ethylene dichloride</t>
  </si>
  <si>
    <t>Vinyl chloride monomer</t>
  </si>
  <si>
    <t>PVC</t>
  </si>
  <si>
    <t>Ethyl acetate</t>
  </si>
  <si>
    <t>Ethyl acrylate</t>
  </si>
  <si>
    <t>Acetaldehyde</t>
  </si>
  <si>
    <t>Vinyl acetate monomer</t>
  </si>
  <si>
    <t>Ethanol</t>
  </si>
  <si>
    <t>Ethylamine</t>
  </si>
  <si>
    <t>Ethylene oxide</t>
  </si>
  <si>
    <t>Ethanolamines</t>
  </si>
  <si>
    <t>MEA</t>
  </si>
  <si>
    <t>DEA</t>
  </si>
  <si>
    <t>TEA</t>
  </si>
  <si>
    <t>VCM</t>
    <phoneticPr fontId="1" type="noConversion"/>
  </si>
  <si>
    <t>VAM</t>
    <phoneticPr fontId="1" type="noConversion"/>
  </si>
  <si>
    <t>M002</t>
    <phoneticPr fontId="1" type="noConversion"/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</si>
  <si>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</si>
  <si>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</si>
  <si>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</si>
  <si>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</si>
  <si>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</si>
  <si>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</si>
  <si>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</si>
  <si>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</si>
  <si>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</si>
  <si>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</si>
  <si>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</si>
  <si>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</si>
  <si>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</si>
  <si>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</si>
  <si>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</si>
  <si>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</si>
  <si>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</si>
  <si>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</si>
  <si>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</si>
  <si>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</si>
  <si>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</si>
  <si>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</si>
  <si>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</si>
  <si>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</si>
  <si>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</si>
  <si>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</si>
  <si>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</si>
  <si>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</si>
  <si>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</si>
  <si>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</si>
  <si>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</si>
  <si>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</si>
  <si>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</si>
  <si>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</si>
  <si>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</si>
  <si>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</si>
  <si>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</si>
  <si>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</si>
  <si>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</si>
  <si>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</si>
  <si>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</si>
  <si>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</si>
  <si>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</si>
  <si>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NBR</t>
  </si>
  <si>
    <t>Polypropylene</t>
  </si>
  <si>
    <t>Propylene oxide</t>
  </si>
  <si>
    <t>Propylene glycol</t>
  </si>
  <si>
    <t>Polypropylene glycol</t>
  </si>
  <si>
    <t>Polyols</t>
  </si>
  <si>
    <t>Phenol</t>
  </si>
  <si>
    <t>Acetone</t>
  </si>
  <si>
    <t>Acrylic acid</t>
  </si>
  <si>
    <t>AA</t>
    <phoneticPr fontId="1" type="noConversion"/>
  </si>
  <si>
    <t>Polyacrylate</t>
  </si>
  <si>
    <t>SAP</t>
    <phoneticPr fontId="1" type="noConversion"/>
  </si>
  <si>
    <t>Butyraldehyde</t>
  </si>
  <si>
    <t>Isobutanol</t>
  </si>
  <si>
    <t>Acrylonitrile</t>
  </si>
  <si>
    <t>ABS</t>
  </si>
  <si>
    <t>SAN</t>
  </si>
  <si>
    <t>Super Absorbent Polymer</t>
  </si>
  <si>
    <t>n-Butyl acetate</t>
  </si>
  <si>
    <t>Isobutyl acetate</t>
  </si>
  <si>
    <t>Isopropyl acetate</t>
  </si>
  <si>
    <t>BR</t>
  </si>
  <si>
    <t>SBR</t>
  </si>
  <si>
    <t>Polyisobutylene</t>
  </si>
  <si>
    <t>PIB</t>
    <phoneticPr fontId="1" type="noConversion"/>
  </si>
  <si>
    <t>MTBE</t>
  </si>
  <si>
    <t>n-Butenes</t>
  </si>
  <si>
    <t>Butyl rubber</t>
  </si>
  <si>
    <t>Polybutene-1</t>
    <phoneticPr fontId="1" type="noConversion"/>
  </si>
  <si>
    <t>PB-1</t>
    <phoneticPr fontId="1" type="noConversion"/>
  </si>
  <si>
    <t>M055</t>
  </si>
  <si>
    <t>M056</t>
  </si>
  <si>
    <t>Aniline</t>
  </si>
  <si>
    <t>Cyclohexane</t>
  </si>
  <si>
    <t>Bisphenol A</t>
  </si>
  <si>
    <t>Polycarbonate</t>
  </si>
  <si>
    <t>Epoxy resin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</si>
  <si>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</si>
  <si>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</si>
  <si>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</si>
  <si>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</si>
  <si>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</si>
  <si>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</si>
  <si>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</si>
  <si>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</si>
  <si>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</si>
  <si>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</si>
  <si>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route_id</t>
  </si>
  <si>
    <t>route_name</t>
  </si>
  <si>
    <t>route_category</t>
  </si>
  <si>
    <t>route_depth</t>
  </si>
  <si>
    <t>remarks</t>
  </si>
  <si>
    <t>R001</t>
  </si>
  <si>
    <t>Ethylene to HDPE</t>
  </si>
  <si>
    <t>Polymerization</t>
  </si>
  <si>
    <t>R002</t>
  </si>
  <si>
    <t>Ethylene to LDPE</t>
  </si>
  <si>
    <t>R003</t>
  </si>
  <si>
    <t>Ethylene to LLDPE</t>
  </si>
  <si>
    <t>comonomer required in practice</t>
  </si>
  <si>
    <t>R004</t>
  </si>
  <si>
    <t>Chlorination</t>
  </si>
  <si>
    <t>R005</t>
  </si>
  <si>
    <t>Cracking</t>
  </si>
  <si>
    <t>R006</t>
  </si>
  <si>
    <t>R007</t>
  </si>
  <si>
    <t>Oxidation</t>
  </si>
  <si>
    <t>R008</t>
  </si>
  <si>
    <t>Hydration</t>
  </si>
  <si>
    <t>R009</t>
  </si>
  <si>
    <t>Amination</t>
  </si>
  <si>
    <t>family-level output</t>
  </si>
  <si>
    <t>R010</t>
  </si>
  <si>
    <t>Ethanolamines to MEA</t>
  </si>
  <si>
    <t>Separation/Refining</t>
  </si>
  <si>
    <t>family-level split</t>
  </si>
  <si>
    <t>R011</t>
  </si>
  <si>
    <t>Ethanolamines to DEA</t>
  </si>
  <si>
    <t>R012</t>
  </si>
  <si>
    <t>Ethanolamines to TEA</t>
  </si>
  <si>
    <t>R013</t>
  </si>
  <si>
    <t>Ethylene to Ethanol</t>
  </si>
  <si>
    <t>R014</t>
  </si>
  <si>
    <t>Ethylene to Acetaldehyde</t>
  </si>
  <si>
    <t>R015</t>
  </si>
  <si>
    <t>Ethylene to Ethylamine</t>
  </si>
  <si>
    <t>simplified</t>
  </si>
  <si>
    <t>R016</t>
  </si>
  <si>
    <t>Acetoxylation</t>
  </si>
  <si>
    <t>R017</t>
  </si>
  <si>
    <t>Ethanol to Ethyl acetate</t>
  </si>
  <si>
    <t>Esterification</t>
  </si>
  <si>
    <t>R018</t>
  </si>
  <si>
    <t>cross-group route</t>
  </si>
  <si>
    <t>R019</t>
  </si>
  <si>
    <t>R020</t>
  </si>
  <si>
    <t>R021</t>
  </si>
  <si>
    <t>R022</t>
  </si>
  <si>
    <t>Polyether formation</t>
  </si>
  <si>
    <t>R023</t>
  </si>
  <si>
    <t>R024</t>
  </si>
  <si>
    <t>R025</t>
  </si>
  <si>
    <t>Ammoxidation</t>
  </si>
  <si>
    <t>R026</t>
  </si>
  <si>
    <t>R027</t>
  </si>
  <si>
    <t>R028</t>
  </si>
  <si>
    <t>R029</t>
  </si>
  <si>
    <t>Propylene to Acrylic acid</t>
  </si>
  <si>
    <t>R030</t>
  </si>
  <si>
    <t>R031</t>
  </si>
  <si>
    <t>R032</t>
  </si>
  <si>
    <t>R033</t>
  </si>
  <si>
    <t>Hydroformylation</t>
  </si>
  <si>
    <t>R034</t>
  </si>
  <si>
    <t>Butyraldehyde to n-Butanol</t>
  </si>
  <si>
    <t>Hydrogenation</t>
  </si>
  <si>
    <t>R035</t>
  </si>
  <si>
    <t>R036</t>
  </si>
  <si>
    <t>Butyraldehyde to 2-Ethylhexanol</t>
  </si>
  <si>
    <t>R037</t>
  </si>
  <si>
    <t>n-Butanol to n-Butyl acetate</t>
  </si>
  <si>
    <t>R038</t>
  </si>
  <si>
    <t>Isobutanol to Isobutyl acetate</t>
  </si>
  <si>
    <t>R039</t>
  </si>
  <si>
    <t>R040</t>
  </si>
  <si>
    <t>R041</t>
  </si>
  <si>
    <t>Butadiene to BR</t>
  </si>
  <si>
    <t>R042</t>
  </si>
  <si>
    <t>Butadiene plus Styrene to SBR</t>
  </si>
  <si>
    <t>R043</t>
  </si>
  <si>
    <t>R044</t>
  </si>
  <si>
    <t>Isobutylene to Butyl rubber</t>
  </si>
  <si>
    <t>R045</t>
  </si>
  <si>
    <t>n-Butenes to 1-Butene</t>
  </si>
  <si>
    <t>Separation</t>
  </si>
  <si>
    <t>R046</t>
  </si>
  <si>
    <t>n-Butenes to 2-Butene</t>
  </si>
  <si>
    <t>R047</t>
  </si>
  <si>
    <t>R048</t>
  </si>
  <si>
    <t>Oligomerization</t>
  </si>
  <si>
    <t>R049</t>
  </si>
  <si>
    <t>Benzene plus Ethylene to Ethylbenzene</t>
  </si>
  <si>
    <t>Alkylation</t>
  </si>
  <si>
    <t>R050</t>
  </si>
  <si>
    <t>Ethylbenzene to Styrene</t>
  </si>
  <si>
    <t>Dehydrogenation</t>
  </si>
  <si>
    <t>R051</t>
  </si>
  <si>
    <t>R052</t>
  </si>
  <si>
    <t>Benzene plus Propylene to Cumene</t>
  </si>
  <si>
    <t>R053</t>
  </si>
  <si>
    <t>Cumene to Phenol plus Acetone</t>
  </si>
  <si>
    <t>Oxidative cleavage</t>
  </si>
  <si>
    <t>coproduct route</t>
  </si>
  <si>
    <t>R054</t>
  </si>
  <si>
    <t>Condensation</t>
  </si>
  <si>
    <t>R055</t>
  </si>
  <si>
    <t>R056</t>
  </si>
  <si>
    <t>Bisphenol A to Epoxy resin</t>
  </si>
  <si>
    <t>Resin synthesis</t>
  </si>
  <si>
    <t>R057</t>
  </si>
  <si>
    <t>Benzene to Cyclohexane</t>
  </si>
  <si>
    <t>R058</t>
  </si>
  <si>
    <t>Benzene to Aniline</t>
  </si>
  <si>
    <t>simplified; nitrobenzene intermediate omitted</t>
  </si>
  <si>
    <t>R059</t>
  </si>
  <si>
    <t>route_id</t>
    <phoneticPr fontId="1" type="noConversion"/>
  </si>
  <si>
    <t>material_id</t>
  </si>
  <si>
    <t>input_role</t>
  </si>
  <si>
    <t>seq_no</t>
  </si>
  <si>
    <t>main</t>
  </si>
  <si>
    <t>family split</t>
  </si>
  <si>
    <t>co-feed</t>
  </si>
  <si>
    <t>cross-group</t>
  </si>
  <si>
    <t>family-level</t>
  </si>
  <si>
    <t>output_role</t>
  </si>
  <si>
    <t>M002</t>
  </si>
  <si>
    <t>main product</t>
  </si>
  <si>
    <t>co-product</t>
  </si>
  <si>
    <t>PG</t>
    <phoneticPr fontId="1" type="noConversion"/>
  </si>
  <si>
    <t>PPG</t>
    <phoneticPr fontId="1" type="noConversion"/>
  </si>
  <si>
    <t>PO</t>
    <phoneticPr fontId="1" type="noConversion"/>
  </si>
  <si>
    <t>PP</t>
    <phoneticPr fontId="1" type="noConversion"/>
  </si>
  <si>
    <t>PU</t>
    <phoneticPr fontId="1" type="noConversion"/>
  </si>
  <si>
    <t>Y</t>
    <phoneticPr fontId="1" type="noConversion"/>
  </si>
  <si>
    <t>visual_exclude</t>
    <phoneticPr fontId="1" type="noConversion"/>
  </si>
  <si>
    <t>licensor_id</t>
    <phoneticPr fontId="1" type="noConversion"/>
  </si>
  <si>
    <t>licensor_name</t>
    <phoneticPr fontId="1" type="noConversion"/>
  </si>
  <si>
    <t>L001</t>
    <phoneticPr fontId="1" type="noConversion"/>
  </si>
  <si>
    <t>Axens</t>
    <phoneticPr fontId="1" type="noConversion"/>
  </si>
  <si>
    <t>L002</t>
    <phoneticPr fontId="1" type="noConversion"/>
  </si>
  <si>
    <t>UOP</t>
    <phoneticPr fontId="1" type="noConversion"/>
  </si>
  <si>
    <t>Lummus</t>
    <phoneticPr fontId="1" type="noConversion"/>
  </si>
  <si>
    <t>Dow Chemical</t>
    <phoneticPr fontId="1" type="noConversion"/>
  </si>
  <si>
    <t>SinopecTech</t>
    <phoneticPr fontId="1" type="noConversion"/>
  </si>
  <si>
    <t>INEOS</t>
    <phoneticPr fontId="1" type="noConversion"/>
  </si>
  <si>
    <t>Nippon Shokubai</t>
    <phoneticPr fontId="1" type="noConversion"/>
  </si>
  <si>
    <t>Mitsubishi Chemical</t>
    <phoneticPr fontId="1" type="noConversion"/>
  </si>
  <si>
    <t>Enichem</t>
    <phoneticPr fontId="1" type="noConversion"/>
  </si>
  <si>
    <t>Styron</t>
    <phoneticPr fontId="1" type="noConversion"/>
  </si>
  <si>
    <t>JSR</t>
    <phoneticPr fontId="1" type="noConversion"/>
  </si>
  <si>
    <t>Goodyear</t>
    <phoneticPr fontId="1" type="noConversion"/>
  </si>
  <si>
    <t>Badger</t>
    <phoneticPr fontId="1" type="noConversion"/>
  </si>
  <si>
    <t>Sumitomo</t>
    <phoneticPr fontId="1" type="noConversion"/>
  </si>
  <si>
    <t>Lucite</t>
    <phoneticPr fontId="1" type="noConversion"/>
  </si>
  <si>
    <t>Unigel</t>
    <phoneticPr fontId="1" type="noConversion"/>
  </si>
  <si>
    <t>Sulzer</t>
    <phoneticPr fontId="1" type="noConversion"/>
  </si>
  <si>
    <t>Shell</t>
    <phoneticPr fontId="1" type="noConversion"/>
  </si>
  <si>
    <t>KBR</t>
    <phoneticPr fontId="1" type="noConversion"/>
  </si>
  <si>
    <t>Union</t>
    <phoneticPr fontId="1" type="noConversion"/>
  </si>
  <si>
    <t>Linde</t>
    <phoneticPr fontId="1" type="noConversion"/>
  </si>
  <si>
    <t>Davy</t>
    <phoneticPr fontId="1" type="noConversion"/>
  </si>
  <si>
    <t>Sasol</t>
    <phoneticPr fontId="1" type="noConversion"/>
  </si>
  <si>
    <t>Eastman</t>
    <phoneticPr fontId="1" type="noConversion"/>
  </si>
  <si>
    <t>Maxigas</t>
    <phoneticPr fontId="1" type="noConversion"/>
  </si>
  <si>
    <t>Kuraray</t>
    <phoneticPr fontId="1" type="noConversion"/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</si>
  <si>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</si>
  <si>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</si>
  <si>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</si>
  <si>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</si>
  <si>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</si>
  <si>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</si>
  <si>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</si>
  <si>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</si>
  <si>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</si>
  <si>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</si>
  <si>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</si>
  <si>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</si>
  <si>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</si>
  <si>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</si>
  <si>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</si>
  <si>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</si>
  <si>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</si>
  <si>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</si>
  <si>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</si>
  <si>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</si>
  <si>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</si>
  <si>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</si>
  <si>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</si>
  <si>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</si>
  <si>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R001</t>
    <phoneticPr fontId="1" type="noConversion"/>
  </si>
  <si>
    <t>L003</t>
    <phoneticPr fontId="1" type="noConversion"/>
  </si>
  <si>
    <t>Hyperlene</t>
    <phoneticPr fontId="1" type="noConversion"/>
  </si>
  <si>
    <t>R002</t>
    <phoneticPr fontId="1" type="noConversion"/>
  </si>
  <si>
    <t>Excene</t>
    <phoneticPr fontId="1" type="noConversion"/>
  </si>
  <si>
    <t>L020</t>
    <phoneticPr fontId="1" type="noConversion"/>
  </si>
  <si>
    <t>Shaheen</t>
    <phoneticPr fontId="1" type="noConversion"/>
  </si>
  <si>
    <t>L006</t>
    <phoneticPr fontId="1" type="noConversion"/>
  </si>
  <si>
    <t>R018</t>
    <phoneticPr fontId="1" type="noConversion"/>
  </si>
  <si>
    <t>L008</t>
    <phoneticPr fontId="1" type="noConversion"/>
  </si>
  <si>
    <t>L007</t>
    <phoneticPr fontId="1" type="noConversion"/>
  </si>
  <si>
    <t>L014</t>
    <phoneticPr fontId="1" type="noConversion"/>
  </si>
  <si>
    <t>ODC</t>
    <phoneticPr fontId="1" type="noConversion"/>
  </si>
  <si>
    <t>R019</t>
    <phoneticPr fontId="1" type="noConversion"/>
  </si>
  <si>
    <t>R020</t>
    <phoneticPr fontId="1" type="noConversion"/>
  </si>
  <si>
    <t>R021</t>
    <phoneticPr fontId="1" type="noConversion"/>
  </si>
  <si>
    <t>L027</t>
    <phoneticPr fontId="1" type="noConversion"/>
  </si>
  <si>
    <t>Senergy Chemical</t>
    <phoneticPr fontId="1" type="noConversion"/>
  </si>
  <si>
    <t>L022</t>
    <phoneticPr fontId="1" type="noConversion"/>
  </si>
  <si>
    <t>R031</t>
    <phoneticPr fontId="1" type="noConversion"/>
  </si>
  <si>
    <t>Acrylate</t>
    <phoneticPr fontId="1" type="noConversion"/>
  </si>
  <si>
    <t>M033</t>
    <phoneticPr fontId="1" type="noConversion"/>
  </si>
  <si>
    <t>R032</t>
    <phoneticPr fontId="1" type="noConversion"/>
  </si>
  <si>
    <t>Saplene</t>
    <phoneticPr fontId="1" type="noConversion"/>
  </si>
  <si>
    <t>R033</t>
    <phoneticPr fontId="1" type="noConversion"/>
  </si>
  <si>
    <t>L004</t>
    <phoneticPr fontId="1" type="noConversion"/>
  </si>
  <si>
    <t>R034</t>
    <phoneticPr fontId="1" type="noConversion"/>
  </si>
  <si>
    <t>L023</t>
    <phoneticPr fontId="1" type="noConversion"/>
  </si>
  <si>
    <t>R036</t>
    <phoneticPr fontId="1" type="noConversion"/>
  </si>
  <si>
    <t>L024</t>
    <phoneticPr fontId="1" type="noConversion"/>
  </si>
  <si>
    <t>L018</t>
    <phoneticPr fontId="1" type="noConversion"/>
  </si>
  <si>
    <t>R042</t>
    <phoneticPr fontId="1" type="noConversion"/>
  </si>
  <si>
    <t>L009</t>
    <phoneticPr fontId="1" type="noConversion"/>
  </si>
  <si>
    <t>L005</t>
    <phoneticPr fontId="1" type="noConversion"/>
  </si>
  <si>
    <t>L010</t>
    <phoneticPr fontId="1" type="noConversion"/>
  </si>
  <si>
    <t>L011</t>
    <phoneticPr fontId="1" type="noConversion"/>
  </si>
  <si>
    <t>L012</t>
    <phoneticPr fontId="1" type="noConversion"/>
  </si>
  <si>
    <t>R048</t>
    <phoneticPr fontId="1" type="noConversion"/>
  </si>
  <si>
    <t>AlphaButol</t>
    <phoneticPr fontId="1" type="noConversion"/>
  </si>
  <si>
    <t>R049</t>
    <phoneticPr fontId="1" type="noConversion"/>
  </si>
  <si>
    <t>R050</t>
    <phoneticPr fontId="1" type="noConversion"/>
  </si>
  <si>
    <t>R051</t>
    <phoneticPr fontId="1" type="noConversion"/>
  </si>
  <si>
    <t>L028</t>
    <phoneticPr fontId="1" type="noConversion"/>
  </si>
  <si>
    <t>Toyo</t>
    <phoneticPr fontId="1" type="noConversion"/>
  </si>
  <si>
    <t>R052</t>
    <phoneticPr fontId="1" type="noConversion"/>
  </si>
  <si>
    <t>Q-Max</t>
    <phoneticPr fontId="1" type="noConversion"/>
  </si>
  <si>
    <t>R053</t>
    <phoneticPr fontId="1" type="noConversion"/>
  </si>
  <si>
    <t>R054</t>
    <phoneticPr fontId="1" type="noConversion"/>
  </si>
  <si>
    <t>Cyclohexanone</t>
    <phoneticPr fontId="1" type="noConversion"/>
  </si>
  <si>
    <t>R060</t>
    <phoneticPr fontId="1" type="noConversion"/>
  </si>
  <si>
    <t>Phenol to Cyclohexanone</t>
    <phoneticPr fontId="1" type="noConversion"/>
  </si>
  <si>
    <t>Hydration</t>
    <phoneticPr fontId="1" type="noConversion"/>
  </si>
  <si>
    <t>R057</t>
    <phoneticPr fontId="1" type="noConversion"/>
  </si>
  <si>
    <t>R058</t>
    <phoneticPr fontId="1" type="noConversion"/>
  </si>
  <si>
    <t>Kellogg Brown &amp; Root</t>
    <phoneticPr fontId="1" type="noConversion"/>
  </si>
  <si>
    <t>L019</t>
    <phoneticPr fontId="1" type="noConversion"/>
  </si>
  <si>
    <t>R059</t>
    <phoneticPr fontId="1" type="noConversion"/>
  </si>
  <si>
    <t>LAB</t>
    <phoneticPr fontId="1" type="noConversion"/>
  </si>
  <si>
    <t>Benzene to LAB</t>
    <phoneticPr fontId="1" type="noConversion"/>
  </si>
  <si>
    <t>Linear Alkylbenzene</t>
    <phoneticPr fontId="1" type="noConversion"/>
  </si>
  <si>
    <t>M067</t>
    <phoneticPr fontId="1" type="noConversion"/>
  </si>
  <si>
    <t>M059</t>
    <phoneticPr fontId="1" type="noConversion"/>
  </si>
  <si>
    <t>Base chemical</t>
    <phoneticPr fontId="1" type="noConversion"/>
  </si>
  <si>
    <t>supplier_id</t>
    <phoneticPr fontId="1" type="noConversion"/>
  </si>
  <si>
    <t>supplier_name</t>
    <phoneticPr fontId="1" type="noConversion"/>
  </si>
  <si>
    <t>remark</t>
    <phoneticPr fontId="1" type="noConversion"/>
  </si>
  <si>
    <t>S001</t>
  </si>
  <si>
    <t>S001</t>
    <phoneticPr fontId="1" type="noConversion"/>
  </si>
  <si>
    <t>S002</t>
  </si>
  <si>
    <t>S002</t>
    <phoneticPr fontId="1" type="noConversion"/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</si>
  <si>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</si>
  <si>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</si>
  <si>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</si>
  <si>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</si>
  <si>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</si>
  <si>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</si>
  <si>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</si>
  <si>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</si>
  <si>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</si>
  <si>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금호석유화학</t>
    <phoneticPr fontId="1" type="noConversion"/>
  </si>
  <si>
    <t>대한유화</t>
    <phoneticPr fontId="1" type="noConversion"/>
  </si>
  <si>
    <t>동서석유화학</t>
    <phoneticPr fontId="1" type="noConversion"/>
  </si>
  <si>
    <t>롯데케미칼</t>
    <phoneticPr fontId="1" type="noConversion"/>
  </si>
  <si>
    <t>애경케미칼</t>
    <phoneticPr fontId="1" type="noConversion"/>
  </si>
  <si>
    <t>SSNC</t>
    <phoneticPr fontId="1" type="noConversion"/>
  </si>
  <si>
    <t>S-OIL</t>
    <phoneticPr fontId="1" type="noConversion"/>
  </si>
  <si>
    <t>SK어드밴스드</t>
    <phoneticPr fontId="1" type="noConversion"/>
  </si>
  <si>
    <t>SK에너지</t>
    <phoneticPr fontId="1" type="noConversion"/>
  </si>
  <si>
    <t>SK지오센트릭</t>
    <phoneticPr fontId="1" type="noConversion"/>
  </si>
  <si>
    <t>SK케미칼</t>
    <phoneticPr fontId="1" type="noConversion"/>
  </si>
  <si>
    <t>피유코어</t>
    <phoneticPr fontId="1" type="noConversion"/>
  </si>
  <si>
    <t>SK picglobal</t>
    <phoneticPr fontId="1" type="noConversion"/>
  </si>
  <si>
    <t>HDC현대EP</t>
    <phoneticPr fontId="1" type="noConversion"/>
  </si>
  <si>
    <t>용산케미칼</t>
    <phoneticPr fontId="1" type="noConversion"/>
  </si>
  <si>
    <t>울산아로마틱스</t>
    <phoneticPr fontId="1" type="noConversion"/>
  </si>
  <si>
    <t>울산피피</t>
    <phoneticPr fontId="1" type="noConversion"/>
  </si>
  <si>
    <t>이수화학</t>
    <phoneticPr fontId="1" type="noConversion"/>
  </si>
  <si>
    <t>카프로</t>
    <phoneticPr fontId="1" type="noConversion"/>
  </si>
  <si>
    <t>KPX케미칼</t>
    <phoneticPr fontId="1" type="noConversion"/>
  </si>
  <si>
    <t>코리아피티지</t>
    <phoneticPr fontId="1" type="noConversion"/>
  </si>
  <si>
    <t>코오롱인더스트리</t>
    <phoneticPr fontId="1" type="noConversion"/>
  </si>
  <si>
    <t>태광산업</t>
    <phoneticPr fontId="1" type="noConversion"/>
  </si>
  <si>
    <t>한국바스프</t>
    <phoneticPr fontId="1" type="noConversion"/>
  </si>
  <si>
    <t>한국알콜산업</t>
    <phoneticPr fontId="1" type="noConversion"/>
  </si>
  <si>
    <t>한국이네오스스티롤루션</t>
    <phoneticPr fontId="1" type="noConversion"/>
  </si>
  <si>
    <t>한국트린지오</t>
    <phoneticPr fontId="1" type="noConversion"/>
  </si>
  <si>
    <t>한화솔루션</t>
    <phoneticPr fontId="1" type="noConversion"/>
  </si>
  <si>
    <t>한화임팩트</t>
    <phoneticPr fontId="1" type="noConversion"/>
  </si>
  <si>
    <t>효성화학</t>
    <phoneticPr fontId="1" type="noConversion"/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</si>
  <si>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</si>
  <si>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</si>
  <si>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</si>
  <si>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</si>
  <si>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</si>
  <si>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</si>
  <si>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</si>
  <si>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</si>
  <si>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</si>
  <si>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</si>
  <si>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</si>
  <si>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</si>
  <si>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</si>
  <si>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</si>
  <si>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</si>
  <si>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</si>
  <si>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</si>
  <si>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</si>
  <si>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</si>
  <si>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</si>
  <si>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estimated_capacity</t>
    <phoneticPr fontId="1" type="noConversion"/>
  </si>
  <si>
    <t>source_type</t>
    <phoneticPr fontId="1" type="noConversion"/>
  </si>
  <si>
    <t>Benzene</t>
    <phoneticPr fontId="1" type="noConversion"/>
  </si>
  <si>
    <t>MA</t>
    <phoneticPr fontId="1" type="noConversion"/>
  </si>
  <si>
    <t>Methanol</t>
    <phoneticPr fontId="1" type="noConversion"/>
  </si>
  <si>
    <t>EDC</t>
    <phoneticPr fontId="1" type="noConversion"/>
  </si>
  <si>
    <t>AN</t>
    <phoneticPr fontId="1" type="noConversion"/>
  </si>
  <si>
    <t>IPA</t>
    <phoneticPr fontId="1" type="noConversion"/>
  </si>
  <si>
    <t>Acetic acid</t>
    <phoneticPr fontId="1" type="noConversion"/>
  </si>
  <si>
    <t>M068</t>
  </si>
  <si>
    <t>M068</t>
    <phoneticPr fontId="1" type="noConversion"/>
  </si>
  <si>
    <t>Maleic anhydride</t>
    <phoneticPr fontId="1" type="noConversion"/>
  </si>
  <si>
    <t>EB</t>
    <phoneticPr fontId="1" type="noConversion"/>
  </si>
  <si>
    <t>PS</t>
    <phoneticPr fontId="1" type="noConversion"/>
  </si>
  <si>
    <t>BPA</t>
    <phoneticPr fontId="1" type="noConversion"/>
  </si>
  <si>
    <t>PC</t>
    <phoneticPr fontId="1" type="noConversion"/>
  </si>
  <si>
    <t>C3=</t>
    <phoneticPr fontId="1" type="noConversion"/>
  </si>
  <si>
    <t>EO</t>
    <phoneticPr fontId="1" type="noConversion"/>
  </si>
  <si>
    <t>C2=</t>
    <phoneticPr fontId="1" type="noConversion"/>
  </si>
  <si>
    <t>BD</t>
    <phoneticPr fontId="1" type="noConversion"/>
  </si>
  <si>
    <t>Poly vinyl chloride</t>
    <phoneticPr fontId="1" type="noConversion"/>
  </si>
  <si>
    <t>Monoethanolamine</t>
    <phoneticPr fontId="1" type="noConversion"/>
  </si>
  <si>
    <t>Diethanolamine</t>
    <phoneticPr fontId="1" type="noConversion"/>
  </si>
  <si>
    <t>Triethanolamine</t>
    <phoneticPr fontId="1" type="noConversion"/>
  </si>
  <si>
    <t>Monoethyleneglycol</t>
    <phoneticPr fontId="1" type="noConversion"/>
  </si>
  <si>
    <t>MEG</t>
    <phoneticPr fontId="1" type="noConversion"/>
  </si>
  <si>
    <t>Acrylonitrile Butadiene Stryrene</t>
    <phoneticPr fontId="1" type="noConversion"/>
  </si>
  <si>
    <t>Styrene Acrylonitrile</t>
    <phoneticPr fontId="1" type="noConversion"/>
  </si>
  <si>
    <t>Nitrile Butadiene Rubber</t>
    <phoneticPr fontId="1" type="noConversion"/>
  </si>
  <si>
    <t>M069</t>
    <phoneticPr fontId="1" type="noConversion"/>
  </si>
  <si>
    <t>M070</t>
  </si>
  <si>
    <t>M070</t>
    <phoneticPr fontId="1" type="noConversion"/>
  </si>
  <si>
    <t>M071</t>
    <phoneticPr fontId="1" type="noConversion"/>
  </si>
  <si>
    <t>Toluene</t>
    <phoneticPr fontId="1" type="noConversion"/>
  </si>
  <si>
    <t>M072</t>
    <phoneticPr fontId="1" type="noConversion"/>
  </si>
  <si>
    <t>Xylene</t>
    <phoneticPr fontId="1" type="noConversion"/>
  </si>
  <si>
    <t>M073</t>
    <phoneticPr fontId="1" type="noConversion"/>
  </si>
  <si>
    <t>PA</t>
    <phoneticPr fontId="1" type="noConversion"/>
  </si>
  <si>
    <t>Pthalic Anhydride</t>
    <phoneticPr fontId="1" type="noConversion"/>
  </si>
  <si>
    <t>Intermediate</t>
    <phoneticPr fontId="1" type="noConversion"/>
  </si>
  <si>
    <t>PIA</t>
    <phoneticPr fontId="1" type="noConversion"/>
  </si>
  <si>
    <t>TPA</t>
    <phoneticPr fontId="1" type="noConversion"/>
  </si>
  <si>
    <t>DMT</t>
    <phoneticPr fontId="1" type="noConversion"/>
  </si>
  <si>
    <t>Purified Isophtalic Acid</t>
    <phoneticPr fontId="1" type="noConversion"/>
  </si>
  <si>
    <t>Terephtalic Acid</t>
    <phoneticPr fontId="1" type="noConversion"/>
  </si>
  <si>
    <t>Dimethyl Terephtalate</t>
    <phoneticPr fontId="1" type="noConversion"/>
  </si>
  <si>
    <t>M074</t>
    <phoneticPr fontId="1" type="noConversion"/>
  </si>
  <si>
    <t>Beckmann</t>
    <phoneticPr fontId="1" type="noConversion"/>
  </si>
  <si>
    <t>Cyclohexanone to Carprolactam</t>
    <phoneticPr fontId="1" type="noConversion"/>
  </si>
  <si>
    <t>R061</t>
    <phoneticPr fontId="1" type="noConversion"/>
  </si>
  <si>
    <t>Ethylene to EDC</t>
    <phoneticPr fontId="1" type="noConversion"/>
  </si>
  <si>
    <t>EDC to VCM</t>
    <phoneticPr fontId="1" type="noConversion"/>
  </si>
  <si>
    <t>VCM to PVC</t>
    <phoneticPr fontId="1" type="noConversion"/>
  </si>
  <si>
    <t>Ethylene to EO</t>
    <phoneticPr fontId="1" type="noConversion"/>
  </si>
  <si>
    <t>EO to MEG</t>
    <phoneticPr fontId="1" type="noConversion"/>
  </si>
  <si>
    <t>EO to Ethanolamines</t>
    <phoneticPr fontId="1" type="noConversion"/>
  </si>
  <si>
    <t>Ethylene to VAM</t>
    <phoneticPr fontId="1" type="noConversion"/>
  </si>
  <si>
    <t>AA plus Ethanol to Ethyl acrylate</t>
    <phoneticPr fontId="1" type="noConversion"/>
  </si>
  <si>
    <t>Propylene to PP</t>
    <phoneticPr fontId="1" type="noConversion"/>
  </si>
  <si>
    <t>Propylene to PO</t>
    <phoneticPr fontId="1" type="noConversion"/>
  </si>
  <si>
    <t>PO to PG</t>
    <phoneticPr fontId="1" type="noConversion"/>
  </si>
  <si>
    <t>PO to PPG</t>
    <phoneticPr fontId="1" type="noConversion"/>
  </si>
  <si>
    <t>PO to Polyols</t>
    <phoneticPr fontId="1" type="noConversion"/>
  </si>
  <si>
    <t>Polyols to PU</t>
    <phoneticPr fontId="1" type="noConversion"/>
  </si>
  <si>
    <t>Propylene to AN</t>
    <phoneticPr fontId="1" type="noConversion"/>
  </si>
  <si>
    <t>AN plus Styrene plus Butadiene to ABS</t>
    <phoneticPr fontId="1" type="noConversion"/>
  </si>
  <si>
    <t>AN plus Styrene to SAN</t>
    <phoneticPr fontId="1" type="noConversion"/>
  </si>
  <si>
    <t>AN plus Butadiene to NBR</t>
    <phoneticPr fontId="1" type="noConversion"/>
  </si>
  <si>
    <t>Propylene to IPA</t>
    <phoneticPr fontId="1" type="noConversion"/>
  </si>
  <si>
    <t>M020</t>
    <phoneticPr fontId="1" type="noConversion"/>
  </si>
  <si>
    <t>R030</t>
    <phoneticPr fontId="1" type="noConversion"/>
  </si>
  <si>
    <t>Acrylic acid to SAP</t>
    <phoneticPr fontId="1" type="noConversion"/>
  </si>
  <si>
    <t>Isobutylene to PIB</t>
    <phoneticPr fontId="1" type="noConversion"/>
  </si>
  <si>
    <t>1-Butene to PB-1</t>
    <phoneticPr fontId="1" type="noConversion"/>
  </si>
  <si>
    <t>Styrene to PS</t>
    <phoneticPr fontId="1" type="noConversion"/>
  </si>
  <si>
    <t>Bisphenol A to PC</t>
    <phoneticPr fontId="1" type="noConversion"/>
  </si>
  <si>
    <t>롯데이네오스화학</t>
    <phoneticPr fontId="1" type="noConversion"/>
  </si>
  <si>
    <t>EPS(85)</t>
    <phoneticPr fontId="1" type="noConversion"/>
  </si>
  <si>
    <t>EPS(80)</t>
    <phoneticPr fontId="1" type="noConversion"/>
  </si>
  <si>
    <t>capacity_unit</t>
    <phoneticPr fontId="1" type="noConversion"/>
  </si>
  <si>
    <t>KTA</t>
    <phoneticPr fontId="1" type="noConversion"/>
  </si>
  <si>
    <t>location</t>
    <phoneticPr fontId="1" type="noConversion"/>
  </si>
  <si>
    <t>울산</t>
    <phoneticPr fontId="1" type="noConversion"/>
  </si>
  <si>
    <t>source_year</t>
    <phoneticPr fontId="1" type="noConversion"/>
  </si>
  <si>
    <t>화학편람</t>
    <phoneticPr fontId="1" type="noConversion"/>
  </si>
  <si>
    <t>S032</t>
    <phoneticPr fontId="1" type="noConversion"/>
  </si>
  <si>
    <t>TKG일렘</t>
    <phoneticPr fontId="1" type="noConversion"/>
  </si>
  <si>
    <t>홈페이지</t>
    <phoneticPr fontId="1" type="noConversion"/>
  </si>
  <si>
    <t>vertical_order</t>
    <phoneticPr fontId="1" type="noConversion"/>
  </si>
  <si>
    <t>Isopropanol</t>
    <phoneticPr fontId="1" type="noConversion"/>
  </si>
  <si>
    <t>Isopropanol to Isopropyl acetate</t>
    <phoneticPr fontId="1" type="noConversion"/>
  </si>
  <si>
    <t>M041</t>
    <phoneticPr fontId="1" type="noConversion"/>
  </si>
  <si>
    <t>Caprolactam</t>
    <phoneticPr fontId="1" type="noConversion"/>
  </si>
  <si>
    <t>M075</t>
    <phoneticPr fontId="1" type="noConversion"/>
  </si>
  <si>
    <t>M076</t>
    <phoneticPr fontId="1" type="noConversion"/>
  </si>
  <si>
    <t>M077</t>
    <phoneticPr fontId="1" type="noConversion"/>
  </si>
  <si>
    <t>LAO</t>
    <phoneticPr fontId="1" type="noConversion"/>
  </si>
  <si>
    <t>1-Hexene</t>
    <phoneticPr fontId="1" type="noConversion"/>
  </si>
  <si>
    <t>Ethylene</t>
    <phoneticPr fontId="1" type="noConversion"/>
  </si>
  <si>
    <t>Ethylene to 1-Butene (On-purpose)</t>
    <phoneticPr fontId="1" type="noConversion"/>
  </si>
  <si>
    <t>R062</t>
    <phoneticPr fontId="1" type="noConversion"/>
  </si>
  <si>
    <t>R063</t>
    <phoneticPr fontId="1" type="noConversion"/>
  </si>
  <si>
    <t>R064</t>
    <phoneticPr fontId="1" type="noConversion"/>
  </si>
  <si>
    <t>1-Butene plus Ethylene to 1-Hexene</t>
    <phoneticPr fontId="1" type="noConversion"/>
  </si>
  <si>
    <t>Ethylene to LAO</t>
    <phoneticPr fontId="1" type="noConversion"/>
  </si>
  <si>
    <t>R065</t>
    <phoneticPr fontId="1" type="noConversion"/>
  </si>
  <si>
    <t>Oligomerization</t>
    <phoneticPr fontId="1" type="noConversion"/>
  </si>
  <si>
    <t>range LAO production</t>
    <phoneticPr fontId="1" type="noConversion"/>
  </si>
  <si>
    <t>M052</t>
    <phoneticPr fontId="1" type="noConversion"/>
  </si>
  <si>
    <t>M001</t>
    <phoneticPr fontId="1" type="noConversion"/>
  </si>
  <si>
    <t>co-feed</t>
    <phoneticPr fontId="1" type="noConversion"/>
  </si>
  <si>
    <t>Phenol plus Acetone to BPA</t>
    <phoneticPr fontId="1" type="noConversion"/>
  </si>
  <si>
    <t>Simplified route; ethylene co-feed omitted for visualization</t>
    <phoneticPr fontId="1" type="noConversion"/>
  </si>
  <si>
    <t>LAO to PAO</t>
    <phoneticPr fontId="1" type="noConversion"/>
  </si>
  <si>
    <t>Polymerization</t>
    <phoneticPr fontId="1" type="noConversion"/>
  </si>
  <si>
    <t>PAO</t>
    <phoneticPr fontId="1" type="noConversion"/>
  </si>
  <si>
    <t>Linear alpha olefins mixture (typically C4–C12+ range)</t>
    <phoneticPr fontId="1" type="noConversion"/>
  </si>
  <si>
    <t>Methanol to Acetic Acid</t>
    <phoneticPr fontId="1" type="noConversion"/>
  </si>
  <si>
    <t>Carbonylation</t>
    <phoneticPr fontId="1" type="noConversion"/>
  </si>
  <si>
    <t>R067</t>
    <phoneticPr fontId="1" type="noConversion"/>
  </si>
  <si>
    <t>Isobutylene to MTBE</t>
    <phoneticPr fontId="1" type="noConversion"/>
  </si>
  <si>
    <t>Esterification</t>
    <phoneticPr fontId="1" type="noConversion"/>
  </si>
  <si>
    <t>Simplified; methanol co-feed</t>
    <phoneticPr fontId="1" type="noConversion"/>
  </si>
  <si>
    <t>R066</t>
    <phoneticPr fontId="1" type="noConversion"/>
  </si>
  <si>
    <t>M046</t>
    <phoneticPr fontId="1" type="noConversion"/>
  </si>
  <si>
    <t>M049</t>
    <phoneticPr fontId="1" type="noConversion"/>
  </si>
  <si>
    <t>M078</t>
    <phoneticPr fontId="1" type="noConversion"/>
  </si>
  <si>
    <t>M079</t>
    <phoneticPr fontId="1" type="noConversion"/>
  </si>
  <si>
    <t>MMA</t>
    <phoneticPr fontId="1" type="noConversion"/>
  </si>
  <si>
    <t>PMMA</t>
    <phoneticPr fontId="1" type="noConversion"/>
  </si>
  <si>
    <t>Polymethyl methacrylate</t>
    <phoneticPr fontId="1" type="noConversion"/>
  </si>
  <si>
    <t>Methyl methacrylate monomer</t>
    <phoneticPr fontId="1" type="noConversion"/>
  </si>
  <si>
    <t>R068</t>
    <phoneticPr fontId="1" type="noConversion"/>
  </si>
  <si>
    <t>R069</t>
    <phoneticPr fontId="1" type="noConversion"/>
  </si>
  <si>
    <t>Methanol to MMA</t>
    <phoneticPr fontId="1" type="noConversion"/>
  </si>
  <si>
    <t>MMA to PMMA</t>
    <phoneticPr fontId="1" type="noConversion"/>
  </si>
  <si>
    <t>Methanol-based route</t>
    <phoneticPr fontId="1" type="noConversion"/>
  </si>
  <si>
    <t>main</t>
    <phoneticPr fontId="1" type="noConversion"/>
  </si>
  <si>
    <t>R047</t>
    <phoneticPr fontId="1" type="noConversion"/>
  </si>
  <si>
    <t>Adol condensation</t>
    <phoneticPr fontId="1" type="noConversion"/>
  </si>
  <si>
    <t>M080</t>
    <phoneticPr fontId="1" type="noConversion"/>
  </si>
  <si>
    <t>Formaldehyde</t>
    <phoneticPr fontId="1" type="noConversion"/>
  </si>
  <si>
    <t>Methanol to Formaldehyde</t>
    <phoneticPr fontId="1" type="noConversion"/>
  </si>
  <si>
    <t>Oxidation</t>
    <phoneticPr fontId="1" type="noConversion"/>
  </si>
  <si>
    <t>M081</t>
    <phoneticPr fontId="1" type="noConversion"/>
  </si>
  <si>
    <t>M082</t>
    <phoneticPr fontId="1" type="noConversion"/>
  </si>
  <si>
    <t>EC</t>
    <phoneticPr fontId="1" type="noConversion"/>
  </si>
  <si>
    <t>Ethylene Carbonate</t>
    <phoneticPr fontId="1" type="noConversion"/>
  </si>
  <si>
    <t>DMC</t>
    <phoneticPr fontId="1" type="noConversion"/>
  </si>
  <si>
    <t>Diemethyl Carbonate</t>
    <phoneticPr fontId="1" type="noConversion"/>
  </si>
  <si>
    <t>R070</t>
    <phoneticPr fontId="1" type="noConversion"/>
  </si>
  <si>
    <t>EO to EC</t>
    <phoneticPr fontId="1" type="noConversion"/>
  </si>
  <si>
    <t>Carbonation</t>
    <phoneticPr fontId="1" type="noConversion"/>
  </si>
  <si>
    <t>R071</t>
    <phoneticPr fontId="1" type="noConversion"/>
  </si>
  <si>
    <t>EC to DMC</t>
    <phoneticPr fontId="1" type="noConversion"/>
  </si>
  <si>
    <t>Carbonate conversion</t>
    <phoneticPr fontId="1" type="noConversion"/>
  </si>
  <si>
    <t>methanol-related</t>
    <phoneticPr fontId="1" type="noConversion"/>
  </si>
  <si>
    <t>M012</t>
    <phoneticPr fontId="1" type="noConversion"/>
  </si>
  <si>
    <t>M083</t>
    <phoneticPr fontId="1" type="noConversion"/>
  </si>
  <si>
    <t>M084</t>
    <phoneticPr fontId="1" type="noConversion"/>
  </si>
  <si>
    <t>PVA</t>
    <phoneticPr fontId="1" type="noConversion"/>
  </si>
  <si>
    <t>EVA</t>
    <phoneticPr fontId="1" type="noConversion"/>
  </si>
  <si>
    <t>Polyvinyl alcohol</t>
    <phoneticPr fontId="1" type="noConversion"/>
  </si>
  <si>
    <t>Ethylene-vinyl acetate copolymer</t>
    <phoneticPr fontId="1" type="noConversion"/>
  </si>
  <si>
    <t>R072</t>
    <phoneticPr fontId="1" type="noConversion"/>
  </si>
  <si>
    <t>R073</t>
    <phoneticPr fontId="1" type="noConversion"/>
  </si>
  <si>
    <t>VAM to PVA</t>
    <phoneticPr fontId="1" type="noConversion"/>
  </si>
  <si>
    <t>Polymerization/Hydrolysis</t>
    <phoneticPr fontId="1" type="noConversion"/>
  </si>
  <si>
    <t>ethylene co-feed omitted</t>
    <phoneticPr fontId="1" type="noConversion"/>
  </si>
  <si>
    <t>Copolymerization</t>
    <phoneticPr fontId="1" type="noConversion"/>
  </si>
  <si>
    <t>VAM to EVA</t>
    <phoneticPr fontId="1" type="noConversion"/>
  </si>
  <si>
    <t>R074</t>
    <phoneticPr fontId="1" type="noConversion"/>
  </si>
  <si>
    <t>Isobutylene to MMA</t>
    <phoneticPr fontId="1" type="noConversion"/>
  </si>
  <si>
    <t>C4-based route</t>
    <phoneticPr fontId="1" type="noConversion"/>
  </si>
  <si>
    <t>via MAA(Methacrylci acid)</t>
    <phoneticPr fontId="1" type="noConversion"/>
  </si>
  <si>
    <t>M085</t>
    <phoneticPr fontId="1" type="noConversion"/>
  </si>
  <si>
    <t>M086</t>
    <phoneticPr fontId="1" type="noConversion"/>
  </si>
  <si>
    <t>MDI</t>
    <phoneticPr fontId="1" type="noConversion"/>
  </si>
  <si>
    <t>TDI</t>
    <phoneticPr fontId="1" type="noConversion"/>
  </si>
  <si>
    <t>Methylene Diphenyl Disocyanate</t>
    <phoneticPr fontId="1" type="noConversion"/>
  </si>
  <si>
    <t>Toluene Diisocyanate</t>
    <phoneticPr fontId="1" type="noConversion"/>
  </si>
  <si>
    <t>R075</t>
    <phoneticPr fontId="1" type="noConversion"/>
  </si>
  <si>
    <t>Aniline to MDI</t>
    <phoneticPr fontId="1" type="noConversion"/>
  </si>
  <si>
    <t>R076</t>
    <phoneticPr fontId="1" type="noConversion"/>
  </si>
  <si>
    <t>R077</t>
    <phoneticPr fontId="1" type="noConversion"/>
  </si>
  <si>
    <t>R078</t>
    <phoneticPr fontId="1" type="noConversion"/>
  </si>
  <si>
    <t>Toluene to TDI</t>
    <phoneticPr fontId="1" type="noConversion"/>
  </si>
  <si>
    <t>Isocyanate formation</t>
    <phoneticPr fontId="1" type="noConversion"/>
  </si>
  <si>
    <t>via MDA</t>
    <phoneticPr fontId="1" type="noConversion"/>
  </si>
  <si>
    <t>via DNT</t>
    <phoneticPr fontId="1" type="noConversion"/>
  </si>
  <si>
    <t>M065</t>
    <phoneticPr fontId="1" type="noConversion"/>
  </si>
  <si>
    <t>M030</t>
    <phoneticPr fontId="1" type="noConversion"/>
  </si>
  <si>
    <t>M087</t>
    <phoneticPr fontId="1" type="noConversion"/>
  </si>
  <si>
    <t>M088</t>
    <phoneticPr fontId="1" type="noConversion"/>
  </si>
  <si>
    <t>M089</t>
    <phoneticPr fontId="1" type="noConversion"/>
  </si>
  <si>
    <t>o-Xylene</t>
    <phoneticPr fontId="1" type="noConversion"/>
  </si>
  <si>
    <t>m-Xylene</t>
    <phoneticPr fontId="1" type="noConversion"/>
  </si>
  <si>
    <t>p-Xylene</t>
    <phoneticPr fontId="1" type="noConversion"/>
  </si>
  <si>
    <t>R079</t>
    <phoneticPr fontId="1" type="noConversion"/>
  </si>
  <si>
    <t>R080</t>
    <phoneticPr fontId="1" type="noConversion"/>
  </si>
  <si>
    <t>Xylene to o-Xylene</t>
    <phoneticPr fontId="1" type="noConversion"/>
  </si>
  <si>
    <t>Xylene to m-Xylene</t>
    <phoneticPr fontId="1" type="noConversion"/>
  </si>
  <si>
    <t>Xylene to p-Xylene</t>
    <phoneticPr fontId="1" type="noConversion"/>
  </si>
  <si>
    <t>Seperation</t>
    <phoneticPr fontId="1" type="noConversion"/>
  </si>
  <si>
    <t>R081</t>
    <phoneticPr fontId="1" type="noConversion"/>
  </si>
  <si>
    <t>R082</t>
  </si>
  <si>
    <t>R083</t>
  </si>
  <si>
    <t>R084</t>
  </si>
  <si>
    <t>R085</t>
  </si>
  <si>
    <t>o-Xylene to PA</t>
    <phoneticPr fontId="1" type="noConversion"/>
  </si>
  <si>
    <t>m-Xylene to PIA</t>
    <phoneticPr fontId="1" type="noConversion"/>
  </si>
  <si>
    <t>p-Xylene to TPA</t>
    <phoneticPr fontId="1" type="noConversion"/>
  </si>
  <si>
    <t>p-Xylene to DMT</t>
    <phoneticPr fontId="1" type="noConversion"/>
  </si>
  <si>
    <t>M090</t>
  </si>
  <si>
    <t>M091</t>
  </si>
  <si>
    <t>M092</t>
  </si>
  <si>
    <t>M093</t>
    <phoneticPr fontId="1" type="noConversion"/>
  </si>
  <si>
    <t>PET</t>
    <phoneticPr fontId="1" type="noConversion"/>
  </si>
  <si>
    <t>Polyethylene terephthalate</t>
    <phoneticPr fontId="1" type="noConversion"/>
  </si>
  <si>
    <t>TPA plus MEG to PET</t>
    <phoneticPr fontId="1" type="noConversion"/>
  </si>
  <si>
    <t>cross-group route</t>
    <phoneticPr fontId="1" type="noConversion"/>
  </si>
  <si>
    <t>R086</t>
    <phoneticPr fontId="1" type="noConversion"/>
  </si>
  <si>
    <t>Polycondensation</t>
  </si>
  <si>
    <t>TDI to PU(Flexible)</t>
    <phoneticPr fontId="1" type="noConversion"/>
  </si>
  <si>
    <t>MDI to PU(Rigid)</t>
    <phoneticPr fontId="1" type="noConversion"/>
  </si>
  <si>
    <t>Polyurethane(Rigid)</t>
    <phoneticPr fontId="1" type="noConversion"/>
  </si>
  <si>
    <t>Polyurethane(Flexible)</t>
    <phoneticPr fontId="1" type="noConversion"/>
  </si>
  <si>
    <t>M094</t>
    <phoneticPr fontId="1" type="noConversion"/>
  </si>
  <si>
    <t>금호미쓰이화학</t>
    <phoneticPr fontId="1" type="noConversion"/>
  </si>
  <si>
    <t>금호폴리켐</t>
    <phoneticPr fontId="1" type="noConversion"/>
  </si>
  <si>
    <t>금호피앤비화학</t>
    <phoneticPr fontId="1" type="noConversion"/>
  </si>
  <si>
    <t>DL케미칼</t>
    <phoneticPr fontId="1" type="noConversion"/>
  </si>
  <si>
    <t>롯데베르살리스엘라스토머스</t>
    <phoneticPr fontId="1" type="noConversion"/>
  </si>
  <si>
    <t>롯데엠시시</t>
    <phoneticPr fontId="1" type="noConversion"/>
  </si>
  <si>
    <t>삼남석유화학</t>
    <phoneticPr fontId="1" type="noConversion"/>
  </si>
  <si>
    <t>LX MMA</t>
    <phoneticPr fontId="1" type="noConversion"/>
  </si>
  <si>
    <t>LG화학</t>
    <phoneticPr fontId="1" type="noConversion"/>
  </si>
  <si>
    <t>여천NCC</t>
    <phoneticPr fontId="1" type="noConversion"/>
  </si>
  <si>
    <t>GS칼텍스</t>
    <phoneticPr fontId="1" type="noConversion"/>
  </si>
  <si>
    <t>폴리미래</t>
    <phoneticPr fontId="1" type="noConversion"/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</si>
  <si>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</si>
  <si>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</si>
  <si>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</si>
  <si>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</si>
  <si>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</si>
  <si>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</si>
  <si>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</si>
  <si>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</si>
  <si>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</si>
  <si>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</si>
  <si>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</si>
  <si>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</si>
  <si>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</si>
  <si>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</si>
  <si>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여수</t>
    <phoneticPr fontId="1" type="noConversion"/>
  </si>
  <si>
    <t>R087</t>
    <phoneticPr fontId="1" type="noConversion"/>
  </si>
  <si>
    <t>Ethylene to 1-Hexene</t>
    <phoneticPr fontId="1" type="noConversion"/>
  </si>
  <si>
    <t>R088</t>
    <phoneticPr fontId="1" type="noConversion"/>
  </si>
  <si>
    <t>1-Butene to 1-Octene</t>
    <phoneticPr fontId="1" type="noConversion"/>
  </si>
  <si>
    <t>1-Octene</t>
    <phoneticPr fontId="1" type="noConversion"/>
  </si>
  <si>
    <t>M095</t>
    <phoneticPr fontId="1" type="noConversion"/>
  </si>
  <si>
    <t>M089</t>
  </si>
  <si>
    <t>M071</t>
  </si>
  <si>
    <t>M072</t>
  </si>
  <si>
    <t>M078</t>
  </si>
  <si>
    <t>M079</t>
  </si>
  <si>
    <t>M085</t>
  </si>
  <si>
    <t>M086</t>
  </si>
  <si>
    <t>hsk10</t>
    <phoneticPr fontId="1" type="noConversion"/>
  </si>
  <si>
    <t xml:space="preserve"> </t>
    <phoneticPr fontId="1" type="noConversion"/>
  </si>
  <si>
    <t>EPDM</t>
    <phoneticPr fontId="1" type="noConversion"/>
  </si>
  <si>
    <t>Octanol</t>
    <phoneticPr fontId="1" type="noConversion"/>
  </si>
  <si>
    <t>롯데GS화학</t>
    <phoneticPr fontId="1" type="noConversion"/>
  </si>
  <si>
    <t>구다우케미칼</t>
    <phoneticPr fontId="1" type="noConversion"/>
  </si>
  <si>
    <t>S047</t>
  </si>
  <si>
    <t>S048</t>
  </si>
  <si>
    <t>M096</t>
    <phoneticPr fontId="1" type="noConversion"/>
  </si>
  <si>
    <t>n-Butanol</t>
    <phoneticPr fontId="1" type="noConversion"/>
  </si>
  <si>
    <t>SSBR(123)</t>
  </si>
  <si>
    <t>SSBR(100)</t>
  </si>
  <si>
    <t>EPS(50)</t>
  </si>
  <si>
    <t>한화토탈에너지스</t>
    <phoneticPr fontId="1" type="noConversion"/>
  </si>
  <si>
    <t>HD현대케미칼</t>
    <phoneticPr fontId="1" type="noConversion"/>
  </si>
  <si>
    <t>HD현대오일뱅크</t>
    <phoneticPr fontId="1" type="noConversion"/>
  </si>
  <si>
    <t>SSBR(80)</t>
    <phoneticPr fontId="1" type="noConversion"/>
  </si>
  <si>
    <t>S049</t>
  </si>
  <si>
    <t>대산</t>
    <phoneticPr fontId="1" type="noConversion"/>
  </si>
  <si>
    <t>OCI</t>
    <phoneticPr fontId="1" type="noConversion"/>
  </si>
  <si>
    <t>광양</t>
    <phoneticPr fontId="1" type="noConversion"/>
  </si>
  <si>
    <t>김천</t>
    <phoneticPr fontId="1" type="noConversion"/>
  </si>
  <si>
    <t>군산</t>
    <phoneticPr fontId="1" type="noConversion"/>
  </si>
  <si>
    <t>SH에너지화학</t>
    <phoneticPr fontId="1" type="noConversion"/>
  </si>
  <si>
    <t>삼양이노켐</t>
    <phoneticPr fontId="1" type="noConversion"/>
  </si>
  <si>
    <t>부산</t>
    <phoneticPr fontId="1" type="noConversion"/>
  </si>
  <si>
    <t>국도화학</t>
    <phoneticPr fontId="1" type="noConversion"/>
  </si>
  <si>
    <t>인천</t>
    <phoneticPr fontId="1" type="noConversion"/>
  </si>
  <si>
    <t>SK인천석유화학</t>
    <phoneticPr fontId="1" type="noConversion"/>
  </si>
  <si>
    <t>포항</t>
    <phoneticPr fontId="1" type="noConversion"/>
  </si>
  <si>
    <t>삼양화성</t>
    <phoneticPr fontId="1" type="noConversion"/>
  </si>
  <si>
    <t>S050</t>
  </si>
  <si>
    <t>S051</t>
  </si>
  <si>
    <t>S052</t>
  </si>
  <si>
    <t>S053</t>
  </si>
  <si>
    <t>S054</t>
  </si>
  <si>
    <t>S055</t>
  </si>
  <si>
    <t>EPS(100)</t>
    <phoneticPr fontId="1" type="noConversion"/>
  </si>
  <si>
    <t>M073</t>
  </si>
  <si>
    <t>C4</t>
    <phoneticPr fontId="1" type="noConversion"/>
  </si>
  <si>
    <t>(Ethylene base)</t>
    <phoneticPr fontId="1" type="noConversion"/>
  </si>
  <si>
    <t>(1-butene base)</t>
    <phoneticPr fontId="1" type="noConversion"/>
  </si>
  <si>
    <t>M097</t>
    <phoneticPr fontId="1" type="noConversion"/>
  </si>
  <si>
    <t>R089</t>
    <phoneticPr fontId="1" type="noConversion"/>
  </si>
  <si>
    <t>Ethylene plus proplyene to EPDM</t>
    <phoneticPr fontId="1" type="noConversion"/>
  </si>
  <si>
    <t>(ethylene base)</t>
    <phoneticPr fontId="1" type="noConversion"/>
  </si>
  <si>
    <t>R090</t>
    <phoneticPr fontId="1" type="noConversion"/>
  </si>
  <si>
    <t>Propylene to ECH</t>
    <phoneticPr fontId="1" type="noConversion"/>
  </si>
  <si>
    <t>Chlorohydrination</t>
    <phoneticPr fontId="1" type="noConversion"/>
  </si>
  <si>
    <t>simplified</t>
    <phoneticPr fontId="1" type="noConversion"/>
  </si>
  <si>
    <t>M098</t>
    <phoneticPr fontId="1" type="noConversion"/>
  </si>
  <si>
    <t>ECH</t>
    <phoneticPr fontId="1" type="noConversion"/>
  </si>
  <si>
    <t>Propylene</t>
    <phoneticPr fontId="1" type="noConversion"/>
  </si>
  <si>
    <t>Epichlorohydrin</t>
    <phoneticPr fontId="1" type="noConversion"/>
  </si>
  <si>
    <t>M099</t>
    <phoneticPr fontId="1" type="noConversion"/>
  </si>
  <si>
    <t>Ethoxylate</t>
    <phoneticPr fontId="1" type="noConversion"/>
  </si>
  <si>
    <t>R091</t>
    <phoneticPr fontId="1" type="noConversion"/>
  </si>
  <si>
    <t>EO to Ethoxylate</t>
    <phoneticPr fontId="1" type="noConversion"/>
  </si>
  <si>
    <t>Etoxylation</t>
    <phoneticPr fontId="1" type="noConversion"/>
  </si>
  <si>
    <t>material_type</t>
  </si>
  <si>
    <t>material_subtype</t>
  </si>
  <si>
    <t>Olefin</t>
  </si>
  <si>
    <t>Polyolefin</t>
  </si>
  <si>
    <t>Chlorinated Intermediate</t>
  </si>
  <si>
    <t>Vinyl Monomer</t>
  </si>
  <si>
    <t>Vinyl Polymer</t>
  </si>
  <si>
    <t>Alcohol</t>
  </si>
  <si>
    <t>Amine</t>
  </si>
  <si>
    <t>Acetate Ester</t>
  </si>
  <si>
    <t>Acrylate Ester</t>
  </si>
  <si>
    <t>Epoxide</t>
  </si>
  <si>
    <t>Functional Material</t>
  </si>
  <si>
    <t>Amine Derivatives</t>
  </si>
  <si>
    <t>Ethanolamine</t>
  </si>
  <si>
    <t>Glycol</t>
  </si>
  <si>
    <t>Aldehyde</t>
  </si>
  <si>
    <t>Acetate Monomer</t>
  </si>
  <si>
    <t>Nitrile Monomer</t>
  </si>
  <si>
    <t>Styrenic Resin</t>
  </si>
  <si>
    <t>Synthetic Rubber</t>
  </si>
  <si>
    <t>Polyether Polyol</t>
  </si>
  <si>
    <t>Polyol</t>
  </si>
  <si>
    <t>Polyurethane System</t>
  </si>
  <si>
    <t>Organic Acid</t>
  </si>
  <si>
    <t>Acrylic Polymer</t>
  </si>
  <si>
    <t>Acrylate Derivative</t>
  </si>
  <si>
    <t>Superabsorbent Polymer</t>
  </si>
  <si>
    <t>Oxo Alcohol</t>
  </si>
  <si>
    <t>Diolefin</t>
  </si>
  <si>
    <t>Polyolefin Derivative</t>
  </si>
  <si>
    <t>Fuel Additive</t>
  </si>
  <si>
    <t>C4 Olefin</t>
  </si>
  <si>
    <t>Alpha Olefin</t>
  </si>
  <si>
    <t>Aromatic</t>
  </si>
  <si>
    <t>Alkyl Aromatic</t>
  </si>
  <si>
    <t>Styrenic Monomer</t>
  </si>
  <si>
    <t>Phenolic Intermediate</t>
  </si>
  <si>
    <t>Ketone</t>
  </si>
  <si>
    <t>Engineering Plastic</t>
  </si>
  <si>
    <t>Thermoset Resin</t>
  </si>
  <si>
    <t>Cycloaliphatic Intermediate</t>
  </si>
  <si>
    <t>Aromatic Amine</t>
  </si>
  <si>
    <t>Anhydride</t>
  </si>
  <si>
    <t>Lactam Monomer</t>
  </si>
  <si>
    <t>Alpha Olefin Mixture</t>
  </si>
  <si>
    <t>Synthetic Base Oil</t>
  </si>
  <si>
    <t>Acrylic Monomer</t>
  </si>
  <si>
    <t>Carbonate</t>
  </si>
  <si>
    <t>Functional Polymer</t>
  </si>
  <si>
    <t>Polyolefin Copolymer</t>
  </si>
  <si>
    <t>Isocyanate</t>
  </si>
  <si>
    <t>Aromatic Isomer</t>
  </si>
  <si>
    <t>Aromatic Acid Monomer</t>
  </si>
  <si>
    <t>Aromatic Ester Monomer</t>
  </si>
  <si>
    <t>Polyester</t>
  </si>
  <si>
    <t>Epoxide Intermediate</t>
  </si>
  <si>
    <t>Surfactant</t>
  </si>
  <si>
    <t>Adipic Acid</t>
    <phoneticPr fontId="1" type="noConversion"/>
  </si>
  <si>
    <t>M100</t>
    <phoneticPr fontId="1" type="noConversion"/>
  </si>
  <si>
    <t>Dicarboxylic Acid</t>
    <phoneticPr fontId="1" type="noConversion"/>
  </si>
  <si>
    <t>R092</t>
    <phoneticPr fontId="1" type="noConversion"/>
  </si>
  <si>
    <t>Cyclohexanone to Adipic Acid</t>
    <phoneticPr fontId="1" type="noConversion"/>
  </si>
  <si>
    <t>2-Ethylhexanol</t>
    <phoneticPr fontId="1" type="noConversion"/>
  </si>
  <si>
    <t>M101</t>
    <phoneticPr fontId="1" type="noConversion"/>
  </si>
  <si>
    <t>n-Butane</t>
    <phoneticPr fontId="1" type="noConversion"/>
  </si>
  <si>
    <t>Paraffin</t>
    <phoneticPr fontId="1" type="noConversion"/>
  </si>
  <si>
    <t>R093</t>
    <phoneticPr fontId="1" type="noConversion"/>
  </si>
  <si>
    <t>n-Butane to MA</t>
    <phoneticPr fontId="1" type="noConversion"/>
  </si>
  <si>
    <t>Quarterly</t>
  </si>
  <si>
    <t>04/23/2026 10:00:00 UTC</t>
  </si>
  <si>
    <t>04/01/2026 10:00:00 UTC</t>
  </si>
  <si>
    <t>ABS Resins</t>
  </si>
  <si>
    <t>03/10/2026 10:00:00 UTC</t>
  </si>
  <si>
    <t>Polyvinyl Chloride</t>
  </si>
  <si>
    <t>03/07/2026 00:15:55 UTC</t>
  </si>
  <si>
    <t>Methanol</t>
  </si>
  <si>
    <t>03/06/2026 22:30:25 UTC</t>
  </si>
  <si>
    <t>03/07/2026 00:15:45 UTC</t>
  </si>
  <si>
    <t>Mixed Xylenes</t>
  </si>
  <si>
    <t>03/06/2026 23:40:29 UTC</t>
  </si>
  <si>
    <t>Vinyl Chloride Monomer</t>
  </si>
  <si>
    <t>03/06/2026 10:00:00 UTC</t>
  </si>
  <si>
    <t>03/07/2026 00:10:51 UTC</t>
  </si>
  <si>
    <t>Polybutadiene Rubber</t>
  </si>
  <si>
    <t>Chlor-Alkali</t>
  </si>
  <si>
    <t>03/06/2026 22:10:16 UTC</t>
  </si>
  <si>
    <t>High Purity Ethylene Oxide</t>
  </si>
  <si>
    <t>03/06/2026 22:30:19 UTC</t>
  </si>
  <si>
    <t>Polyethylene</t>
  </si>
  <si>
    <t>03/07/2026 00:15:32 UTC</t>
  </si>
  <si>
    <t>Styrene Butadiene Rubber</t>
  </si>
  <si>
    <t>Terephthalic Acid</t>
  </si>
  <si>
    <t>03/06/2026 22:20:18 UTC</t>
  </si>
  <si>
    <t>Vinyl Acetate Monomer</t>
  </si>
  <si>
    <t>03/07/2026 01:15:21 UTC</t>
  </si>
  <si>
    <t>Expandable Polystyrene</t>
  </si>
  <si>
    <t>Propylene Oxide</t>
  </si>
  <si>
    <t>03/07/2026 00:16:06 UTC</t>
  </si>
  <si>
    <t>03/07/2026 00:15:50 UTC</t>
  </si>
  <si>
    <t>Ethylene Dichloride</t>
  </si>
  <si>
    <t>03/06/2026 22:20:25 UTC</t>
  </si>
  <si>
    <t>03/06/2026 22:15:35 UTC</t>
  </si>
  <si>
    <t>Monoethylene Glycol</t>
  </si>
  <si>
    <t>Methyl Methacrylate</t>
  </si>
  <si>
    <t>03/06/2026 22:35:19 UTC</t>
  </si>
  <si>
    <t>Acetic Acid</t>
  </si>
  <si>
    <t>Paraxylene</t>
  </si>
  <si>
    <t>Polyethylene Terephthalate</t>
  </si>
  <si>
    <t>03/07/2026 00:15:41 UTC</t>
  </si>
  <si>
    <t>Formaldehyde</t>
  </si>
  <si>
    <t>Toluene</t>
  </si>
  <si>
    <t>03/07/2026 01:10:15 UTC</t>
  </si>
  <si>
    <t>03/06/2026 22:15:30 UTC</t>
  </si>
  <si>
    <t>04/02/2025 10:00:00 UTC</t>
  </si>
  <si>
    <t>ccma_snp</t>
    <phoneticPr fontId="1" type="noConversion"/>
  </si>
  <si>
    <t>EDC</t>
  </si>
  <si>
    <t>VCM</t>
  </si>
  <si>
    <t>EO</t>
  </si>
  <si>
    <t>MEG</t>
  </si>
  <si>
    <t>VAM</t>
  </si>
  <si>
    <t>AN</t>
  </si>
  <si>
    <t>PP</t>
  </si>
  <si>
    <t>PO</t>
  </si>
  <si>
    <t>PS</t>
  </si>
  <si>
    <t>BPA</t>
  </si>
  <si>
    <t>PC</t>
  </si>
  <si>
    <t>Acetic acid</t>
  </si>
  <si>
    <t>Xylene</t>
  </si>
  <si>
    <t>MMA</t>
  </si>
  <si>
    <t>p-Xylene</t>
  </si>
  <si>
    <t>TPA</t>
  </si>
  <si>
    <t>PET</t>
  </si>
  <si>
    <t>Polybutadiene Rubber</t>
    <phoneticPr fontId="1" type="noConversion"/>
  </si>
  <si>
    <t>Published Date</t>
    <phoneticPr fontId="1" type="noConversion"/>
  </si>
  <si>
    <t>Cover Date</t>
    <phoneticPr fontId="1" type="noConversion"/>
  </si>
  <si>
    <t>Frequency</t>
    <phoneticPr fontId="1" type="noConversion"/>
  </si>
  <si>
    <t>O</t>
    <phoneticPr fontId="4" type="noConversion"/>
  </si>
  <si>
    <t>Acrylonitrile-Butadiene-Styrene (ABS) Resins</t>
  </si>
  <si>
    <t>Adipic Acid</t>
  </si>
  <si>
    <t>Alkylbenzenes, Linear and Branched</t>
  </si>
  <si>
    <t>Butyl Elastomers</t>
  </si>
  <si>
    <t>Butylenes</t>
  </si>
  <si>
    <t>Caprolactam</t>
  </si>
  <si>
    <t>Carbon Fibers</t>
  </si>
  <si>
    <t>Cyclohexanol and Cyclohexanone</t>
  </si>
  <si>
    <t>Detergent Alcohols</t>
  </si>
  <si>
    <t>Dimethyl Terephthalate (DMT) and Terephthalic Acid (TPA)</t>
  </si>
  <si>
    <t>Elastomers, Synthetic Overview</t>
  </si>
  <si>
    <t>Energy</t>
  </si>
  <si>
    <t>Epichlorohydrin</t>
  </si>
  <si>
    <t>Epoxy Resins</t>
  </si>
  <si>
    <t>Epoxy Surface Coatings</t>
  </si>
  <si>
    <t>Ethyl Ether</t>
  </si>
  <si>
    <t>Ethylene Glycols</t>
  </si>
  <si>
    <t>Ethylene Oxide</t>
  </si>
  <si>
    <t>Ethyleneamines</t>
  </si>
  <si>
    <t>Ethylene-Vinyl Acetate (EVA)</t>
  </si>
  <si>
    <t>Expandable Polystyrene (EPS)</t>
  </si>
  <si>
    <t>Isophthalic Acid and meta-Xylene</t>
  </si>
  <si>
    <t>Isopropyl Alcohol (IPA)</t>
  </si>
  <si>
    <t>Maleic Anhydride</t>
  </si>
  <si>
    <t>Methyl tertiary-Butyl Ether (MTBE)</t>
  </si>
  <si>
    <t>Nitrobenzene and Aniline</t>
  </si>
  <si>
    <t>ortho-Xylene</t>
  </si>
  <si>
    <t>Oxo Chemicals</t>
  </si>
  <si>
    <t>para-Xylene</t>
  </si>
  <si>
    <t>Petrochemical Feedstocks</t>
  </si>
  <si>
    <t>Petrochemical Industry Overview</t>
  </si>
  <si>
    <t>Phenolic Resins</t>
  </si>
  <si>
    <t>Phthalic Anhydride</t>
  </si>
  <si>
    <t>Polybutadiene Elastomers</t>
  </si>
  <si>
    <t>Polycarbonate Resins</t>
  </si>
  <si>
    <t>Polyester Fibers</t>
  </si>
  <si>
    <t>Polyester Film</t>
  </si>
  <si>
    <t>Polyethylene Resins, High-Density (HDPE)</t>
  </si>
  <si>
    <t>Polyethylene Resins, Linear Low-Density (LLDPE)</t>
  </si>
  <si>
    <t>Polyethylene Resins, Low-Density (LDPE)</t>
  </si>
  <si>
    <t>Polyethylene Terephthalate (PET) Bottle-Grade Resins</t>
  </si>
  <si>
    <t>Polypropylene Resins (PP)</t>
  </si>
  <si>
    <t>Polystyrene (PS)</t>
  </si>
  <si>
    <t>Polytetramethylene Ether Glycol (PTMEG)</t>
  </si>
  <si>
    <t>Polyurethane Foams</t>
  </si>
  <si>
    <t>Polyvinyl Chloride (PVC)</t>
  </si>
  <si>
    <t>Styrene-Butadiene Elastomers (SBR)</t>
  </si>
  <si>
    <t>Styrene-Butadiene Latexes (SBL)</t>
  </si>
  <si>
    <t>Styrenic Copolymers</t>
  </si>
  <si>
    <t>Thermoplastic Copolyester Elastomers (formerly Copolyester-Ether Elastomers)</t>
  </si>
  <si>
    <t>Vinyl Acetate</t>
  </si>
  <si>
    <t>Vinyl Chloride Monomer (VCM)</t>
  </si>
  <si>
    <t>Publication Year2</t>
  </si>
  <si>
    <r>
      <t>Alkyl Acetates (C</t>
    </r>
    <r>
      <rPr>
        <vertAlign val="subscript"/>
        <sz val="11"/>
        <color rgb="FF000000"/>
        <rFont val="맑은 고딕"/>
        <family val="3"/>
        <charset val="129"/>
        <scheme val="major"/>
      </rPr>
      <t>1</t>
    </r>
    <r>
      <rPr>
        <sz val="11"/>
        <color rgb="FF000000"/>
        <rFont val="맑은 고딕"/>
        <family val="3"/>
        <charset val="129"/>
        <scheme val="major"/>
      </rPr>
      <t>-C</t>
    </r>
    <r>
      <rPr>
        <vertAlign val="subscript"/>
        <sz val="11"/>
        <color rgb="FF000000"/>
        <rFont val="맑은 고딕"/>
        <family val="3"/>
        <charset val="129"/>
        <scheme val="major"/>
      </rPr>
      <t>4</t>
    </r>
    <r>
      <rPr>
        <sz val="11"/>
        <color rgb="FF000000"/>
        <rFont val="맑은 고딕"/>
        <family val="3"/>
        <charset val="129"/>
        <scheme val="major"/>
      </rPr>
      <t>)</t>
    </r>
  </si>
  <si>
    <r>
      <t>Alkylamines (C</t>
    </r>
    <r>
      <rPr>
        <vertAlign val="subscript"/>
        <sz val="11"/>
        <color rgb="FF000000"/>
        <rFont val="맑은 고딕"/>
        <family val="3"/>
        <charset val="129"/>
        <scheme val="major"/>
      </rPr>
      <t>1</t>
    </r>
    <r>
      <rPr>
        <sz val="11"/>
        <color rgb="FF000000"/>
        <rFont val="맑은 고딕"/>
        <family val="3"/>
        <charset val="129"/>
        <scheme val="major"/>
      </rPr>
      <t>-C</t>
    </r>
    <r>
      <rPr>
        <vertAlign val="subscript"/>
        <sz val="11"/>
        <color rgb="FF000000"/>
        <rFont val="맑은 고딕"/>
        <family val="3"/>
        <charset val="129"/>
        <scheme val="major"/>
      </rPr>
      <t>6</t>
    </r>
    <r>
      <rPr>
        <sz val="11"/>
        <color rgb="FF000000"/>
        <rFont val="맑은 고딕"/>
        <family val="3"/>
        <charset val="129"/>
        <scheme val="major"/>
      </rPr>
      <t>)</t>
    </r>
  </si>
  <si>
    <t>CEH Report name</t>
    <phoneticPr fontId="1" type="noConversion"/>
  </si>
  <si>
    <t>Downstream 대상</t>
    <phoneticPr fontId="4" type="noConversion"/>
  </si>
  <si>
    <t>LAB</t>
  </si>
  <si>
    <t>Cyclohexanone</t>
  </si>
  <si>
    <t>EVA</t>
  </si>
  <si>
    <t>m-Xylene</t>
  </si>
  <si>
    <t>IPA</t>
  </si>
  <si>
    <t>MA</t>
  </si>
  <si>
    <t>o-Xylene</t>
  </si>
  <si>
    <t>PU</t>
  </si>
  <si>
    <t>Δ</t>
  </si>
  <si>
    <t>ceh_ceh</t>
    <phoneticPr fontId="1" type="noConversion"/>
  </si>
  <si>
    <t>CCMA Report Name</t>
    <phoneticPr fontId="1" type="noConversion"/>
  </si>
  <si>
    <t>HDPE</t>
    <phoneticPr fontId="1" type="noConversion"/>
  </si>
  <si>
    <t>PA</t>
  </si>
  <si>
    <t>Superabsorbent Polymers</t>
    <phoneticPr fontId="1" type="noConversion"/>
  </si>
  <si>
    <t>O</t>
    <phoneticPr fontId="1" type="noConversion"/>
  </si>
  <si>
    <t>has_supplier</t>
  </si>
  <si>
    <t>has_supplier</t>
    <phoneticPr fontId="1" type="noConversion"/>
  </si>
  <si>
    <t>is_ulsan</t>
    <phoneticPr fontId="1" type="noConversion"/>
  </si>
  <si>
    <t>총합계</t>
  </si>
  <si>
    <t>개수 : material_id</t>
  </si>
  <si>
    <t>O</t>
  </si>
  <si>
    <t>X</t>
  </si>
  <si>
    <t>material_group</t>
  </si>
  <si>
    <t>요약</t>
  </si>
  <si>
    <t>Ethylene 요약</t>
  </si>
  <si>
    <t>Propylene 요약</t>
  </si>
  <si>
    <t>C4 요약</t>
  </si>
  <si>
    <t>Benzene 요약</t>
  </si>
  <si>
    <t>Toluene 요약</t>
  </si>
  <si>
    <t>Xylene 요약</t>
  </si>
  <si>
    <t>Methanol 요약</t>
  </si>
  <si>
    <t>C2</t>
    <phoneticPr fontId="1" type="noConversion"/>
  </si>
  <si>
    <t>C3</t>
    <phoneticPr fontId="1" type="noConversion"/>
  </si>
  <si>
    <t>C6</t>
    <phoneticPr fontId="1" type="noConversion"/>
  </si>
  <si>
    <t>Styrene-Butadiene Elastomers (SBR)</t>
    <phoneticPr fontId="1" type="noConversion"/>
  </si>
  <si>
    <t>Dimethyl Terephthalate (DMT) and Terephthalic Acid (TPA)</t>
    <phoneticPr fontId="1" type="noConversion"/>
  </si>
  <si>
    <t>Polyurethane Foams</t>
    <phoneticPr fontId="1" type="noConversion"/>
  </si>
  <si>
    <t>Alkylbenzenes, Linear and Branched</t>
    <phoneticPr fontId="1" type="noConversion"/>
  </si>
  <si>
    <t>열1</t>
  </si>
  <si>
    <t>Ethylene dichloride</t>
    <phoneticPr fontId="1" type="noConversion"/>
  </si>
  <si>
    <t>Alkylamines (C1-C6)</t>
  </si>
  <si>
    <t>C2 derivative로 보기어려움</t>
    <phoneticPr fontId="1" type="noConversion"/>
  </si>
  <si>
    <t>Ethyl acetate</t>
    <phoneticPr fontId="1" type="noConversion"/>
  </si>
  <si>
    <t>S029</t>
    <phoneticPr fontId="1" type="noConversion"/>
  </si>
  <si>
    <t>S&amp;P CEH</t>
    <phoneticPr fontId="1" type="noConversion"/>
  </si>
  <si>
    <t>Acetaldehyde</t>
    <phoneticPr fontId="1" type="noConversion"/>
  </si>
  <si>
    <t>Ethylene Propylene Diene Monomer, Ethylene Propylene Terpolymer(EPT)</t>
    <phoneticPr fontId="1" type="noConversion"/>
  </si>
  <si>
    <t>M102</t>
    <phoneticPr fontId="1" type="noConversion"/>
  </si>
  <si>
    <t>M103</t>
    <phoneticPr fontId="1" type="noConversion"/>
  </si>
  <si>
    <t>M104</t>
    <phoneticPr fontId="1" type="noConversion"/>
  </si>
  <si>
    <t>C5</t>
    <phoneticPr fontId="1" type="noConversion"/>
  </si>
  <si>
    <t>Hydrocarbon Resin</t>
  </si>
  <si>
    <t>Diene Monomer</t>
  </si>
  <si>
    <t>Cyclic Olefin Polymer</t>
  </si>
  <si>
    <t>Isoprene</t>
    <phoneticPr fontId="1" type="noConversion"/>
  </si>
  <si>
    <t>Piperylene</t>
    <phoneticPr fontId="1" type="noConversion"/>
  </si>
  <si>
    <t>Diolefin</t>
    <phoneticPr fontId="1" type="noConversion"/>
  </si>
  <si>
    <t>Cyclic Diolefin</t>
    <phoneticPr fontId="1" type="noConversion"/>
  </si>
  <si>
    <t>DCPD</t>
    <phoneticPr fontId="1" type="noConversion"/>
  </si>
  <si>
    <t>Dicyclopentadiene</t>
    <phoneticPr fontId="1" type="noConversion"/>
  </si>
  <si>
    <t>IR</t>
    <phoneticPr fontId="1" type="noConversion"/>
  </si>
  <si>
    <t>Polymer</t>
    <phoneticPr fontId="1" type="noConversion"/>
  </si>
  <si>
    <t>Synthetic Rubber</t>
    <phoneticPr fontId="1" type="noConversion"/>
  </si>
  <si>
    <t>SIS</t>
    <phoneticPr fontId="1" type="noConversion"/>
  </si>
  <si>
    <t>Isoprene Rubber</t>
    <phoneticPr fontId="1" type="noConversion"/>
  </si>
  <si>
    <t>Styrene-Isoprene-Styrene</t>
    <phoneticPr fontId="1" type="noConversion"/>
  </si>
  <si>
    <t>IIR(Isobutylene Isoprene Rubber)</t>
    <phoneticPr fontId="1" type="noConversion"/>
  </si>
  <si>
    <t>M105</t>
    <phoneticPr fontId="1" type="noConversion"/>
  </si>
  <si>
    <t>M106</t>
    <phoneticPr fontId="1" type="noConversion"/>
  </si>
  <si>
    <t>MTBE</t>
    <phoneticPr fontId="1" type="noConversion"/>
  </si>
  <si>
    <t>Ethylbenzene</t>
    <phoneticPr fontId="1" type="noConversion"/>
  </si>
  <si>
    <t>Styrene</t>
    <phoneticPr fontId="1" type="noConversion"/>
  </si>
  <si>
    <t>Phenol</t>
    <phoneticPr fontId="1" type="noConversion"/>
  </si>
  <si>
    <t>Acetone</t>
    <phoneticPr fontId="1" type="noConversion"/>
  </si>
  <si>
    <t>Epoxy resin</t>
    <phoneticPr fontId="1" type="noConversion"/>
  </si>
  <si>
    <t>Cyclohexane</t>
    <phoneticPr fontId="1" type="noConversion"/>
  </si>
  <si>
    <t>S041</t>
    <phoneticPr fontId="1" type="noConversion"/>
  </si>
  <si>
    <t>S047</t>
    <phoneticPr fontId="1" type="noConversion"/>
  </si>
  <si>
    <t>S005</t>
    <phoneticPr fontId="1" type="noConversion"/>
  </si>
  <si>
    <t>서산</t>
    <phoneticPr fontId="1" type="noConversion"/>
  </si>
  <si>
    <t>M023</t>
    <phoneticPr fontId="1" type="noConversion"/>
  </si>
  <si>
    <t>Acrylate, SAP과 영역 겹침</t>
    <phoneticPr fontId="1" type="noConversion"/>
  </si>
  <si>
    <t>Acrylate ester</t>
    <phoneticPr fontId="1" type="noConversion"/>
  </si>
  <si>
    <t>Acrylic acid and esters</t>
    <phoneticPr fontId="1" type="noConversion"/>
  </si>
  <si>
    <t>Acrylic Acid</t>
    <phoneticPr fontId="1" type="noConversion"/>
  </si>
  <si>
    <t>Acrylic acid</t>
    <phoneticPr fontId="1" type="noConversion"/>
  </si>
  <si>
    <t>Acrylate Ester</t>
    <phoneticPr fontId="1" type="noConversion"/>
  </si>
  <si>
    <t>Oxo chemical</t>
    <phoneticPr fontId="1" type="noConversion"/>
  </si>
  <si>
    <t>n-Butyraldehyde</t>
    <phoneticPr fontId="1" type="noConversion"/>
  </si>
  <si>
    <t>M107</t>
    <phoneticPr fontId="1" type="noConversion"/>
  </si>
  <si>
    <t>i-Butyraldehyde</t>
    <phoneticPr fontId="1" type="noConversion"/>
  </si>
  <si>
    <t>R094</t>
    <phoneticPr fontId="1" type="noConversion"/>
  </si>
  <si>
    <t>i-Butyraldehyde to Isobutanol</t>
    <phoneticPr fontId="1" type="noConversion"/>
  </si>
  <si>
    <t>Propylene to n-Butyraldehyde</t>
    <phoneticPr fontId="1" type="noConversion"/>
  </si>
  <si>
    <t>Hydroformylation</t>
    <phoneticPr fontId="1" type="noConversion"/>
  </si>
  <si>
    <t>Propylene to i-Butyraldehyde</t>
    <phoneticPr fontId="1" type="noConversion"/>
  </si>
  <si>
    <t>R095</t>
    <phoneticPr fontId="1" type="noConversion"/>
  </si>
  <si>
    <t>M035</t>
    <phoneticPr fontId="1" type="noConversion"/>
  </si>
  <si>
    <t>2-EH(Octanol)</t>
    <phoneticPr fontId="1" type="noConversion"/>
  </si>
  <si>
    <t>나주</t>
    <phoneticPr fontId="1" type="noConversion"/>
  </si>
  <si>
    <t>Isopropanol (propan-2-ol)</t>
    <phoneticPr fontId="1" type="noConversion"/>
  </si>
  <si>
    <t>S011</t>
    <phoneticPr fontId="1" type="noConversion"/>
  </si>
  <si>
    <t>S008</t>
    <phoneticPr fontId="1" type="noConversion"/>
  </si>
  <si>
    <t>S017</t>
    <phoneticPr fontId="1" type="noConversion"/>
  </si>
  <si>
    <t>M090</t>
    <phoneticPr fontId="1" type="noConversion"/>
  </si>
  <si>
    <t>Isoprene to IR</t>
    <phoneticPr fontId="1" type="noConversion"/>
  </si>
  <si>
    <t>R096</t>
    <phoneticPr fontId="1" type="noConversion"/>
  </si>
  <si>
    <t>Isoprene to SIS</t>
    <phoneticPr fontId="1" type="noConversion"/>
  </si>
  <si>
    <t>DCPD Resin</t>
    <phoneticPr fontId="1" type="noConversion"/>
  </si>
  <si>
    <t>UPR</t>
    <phoneticPr fontId="1" type="noConversion"/>
  </si>
  <si>
    <t>ENB</t>
    <phoneticPr fontId="1" type="noConversion"/>
  </si>
  <si>
    <t>PolyDCPD</t>
    <phoneticPr fontId="1" type="noConversion"/>
  </si>
  <si>
    <t>COP</t>
    <phoneticPr fontId="1" type="noConversion"/>
  </si>
  <si>
    <t>Cyclo Olefin Polymer (Nobornene)</t>
    <phoneticPr fontId="1" type="noConversion"/>
  </si>
  <si>
    <t>M108</t>
  </si>
  <si>
    <t>M109</t>
  </si>
  <si>
    <t>M110</t>
  </si>
  <si>
    <t>M111</t>
  </si>
  <si>
    <t>M112</t>
  </si>
  <si>
    <t>Unsaturated Polyester Resin</t>
    <phoneticPr fontId="1" type="noConversion"/>
  </si>
  <si>
    <t>Ethylidene Norbornene</t>
    <phoneticPr fontId="1" type="noConversion"/>
  </si>
  <si>
    <t>M113</t>
    <phoneticPr fontId="1" type="noConversion"/>
  </si>
  <si>
    <t>R097</t>
    <phoneticPr fontId="1" type="noConversion"/>
  </si>
  <si>
    <t>R098</t>
    <phoneticPr fontId="1" type="noConversion"/>
  </si>
  <si>
    <t>R099</t>
    <phoneticPr fontId="1" type="noConversion"/>
  </si>
  <si>
    <t>R100</t>
    <phoneticPr fontId="1" type="noConversion"/>
  </si>
  <si>
    <t>R101</t>
    <phoneticPr fontId="1" type="noConversion"/>
  </si>
  <si>
    <t>DCPD to DCPD resin</t>
    <phoneticPr fontId="1" type="noConversion"/>
  </si>
  <si>
    <t>DCPD to UPR</t>
    <phoneticPr fontId="1" type="noConversion"/>
  </si>
  <si>
    <t>Polycondensation</t>
    <phoneticPr fontId="1" type="noConversion"/>
  </si>
  <si>
    <t>DCPD+MA+glycol</t>
    <phoneticPr fontId="1" type="noConversion"/>
  </si>
  <si>
    <t>DCPD to ENB</t>
    <phoneticPr fontId="1" type="noConversion"/>
  </si>
  <si>
    <t>Synthesis (Diels-Alder)</t>
    <phoneticPr fontId="1" type="noConversion"/>
  </si>
  <si>
    <t>DCPD to PolyDCPD</t>
    <phoneticPr fontId="1" type="noConversion"/>
  </si>
  <si>
    <t>typically via RIM</t>
    <phoneticPr fontId="1" type="noConversion"/>
  </si>
  <si>
    <t>DCPD to COP</t>
    <phoneticPr fontId="1" type="noConversion"/>
  </si>
  <si>
    <t>M110</t>
    <phoneticPr fontId="1" type="noConversion"/>
  </si>
  <si>
    <t>C5 Resin</t>
    <phoneticPr fontId="1" type="noConversion"/>
  </si>
  <si>
    <t>Functional Material</t>
    <phoneticPr fontId="1" type="noConversion"/>
  </si>
  <si>
    <t>Hydrocarbon Resin</t>
    <phoneticPr fontId="1" type="noConversion"/>
  </si>
  <si>
    <t>R102</t>
    <phoneticPr fontId="1" type="noConversion"/>
  </si>
  <si>
    <t>Piperylene to C5 resin</t>
    <phoneticPr fontId="1" type="noConversion"/>
  </si>
  <si>
    <t>AA derivative이며 Acrylate ester 중 하나</t>
    <phoneticPr fontId="1" type="noConversion"/>
  </si>
  <si>
    <t>Ethyl acrylate</t>
    <phoneticPr fontId="1" type="noConversion"/>
  </si>
  <si>
    <t>Acrylic acid to Acrylate ester</t>
    <phoneticPr fontId="1" type="noConversion"/>
  </si>
  <si>
    <t>simplified, (BA/EA/2-EHA/MA 등)</t>
    <phoneticPr fontId="1" type="noConversion"/>
  </si>
  <si>
    <t>M058</t>
    <phoneticPr fontId="1" type="noConversion"/>
  </si>
  <si>
    <t>Cumene</t>
    <phoneticPr fontId="1" type="noConversion"/>
  </si>
  <si>
    <t>n-Butyraldehyde</t>
  </si>
  <si>
    <t>2-Ethylhexanol</t>
  </si>
  <si>
    <t>n-Butyl acetate</t>
    <phoneticPr fontId="1" type="noConversion"/>
  </si>
  <si>
    <t>Isobutanol</t>
    <phoneticPr fontId="1" type="noConversion"/>
  </si>
  <si>
    <t>Isobutyl acetate</t>
    <phoneticPr fontId="1" type="noConversion"/>
  </si>
  <si>
    <t>Butylenes</t>
    <phoneticPr fontId="1" type="noConversion"/>
  </si>
  <si>
    <t>Isobutylene</t>
    <phoneticPr fontId="1" type="noConversion"/>
  </si>
  <si>
    <t>Butyl rubber</t>
    <phoneticPr fontId="1" type="noConversion"/>
  </si>
  <si>
    <t>n-Butenes</t>
    <phoneticPr fontId="1" type="noConversion"/>
  </si>
  <si>
    <t>1-Butene</t>
    <phoneticPr fontId="1" type="noConversion"/>
  </si>
  <si>
    <t>2-Butene</t>
    <phoneticPr fontId="1" type="noConversion"/>
  </si>
  <si>
    <t>1-Butene 영역과 겹침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</si>
</sst>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vertAlign val="subscript"/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3" fillId="0" borderId="0" xfId="0" applyFont="1"/>
    <xf numFmtId="0" fontId="0" fillId="0" borderId="5" xfId="0" applyBorder="1"/>
    <xf numFmtId="0" fontId="3" fillId="0" borderId="2" xfId="0" applyFont="1" applyBorder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0" xfId="0" pivotButton="1"/>
    <xf numFmtId="0" fontId="8" fillId="0" borderId="0" xfId="0" applyFont="1"/>
    <xf numFmtId="0" fontId="0" fillId="3" borderId="0" xfId="0" applyFill="1"/>
    <xf numFmtId="0" fontId="9" fillId="0" borderId="0" xfId="0" applyFont="1"/>
    <xf numFmtId="0" fontId="0" fillId="4" borderId="0" xfId="0" applyFill="1"/>
    <xf numFmtId="0" fontId="0" fillId="4" borderId="0" xfId="0" applyFill="1" applyAlignment="1">
      <alignment vertical="center" wrapText="1"/>
    </xf>
    <xf numFmtId="0" fontId="3" fillId="0" borderId="1" xfId="0" applyFont="1" applyBorder="1"/>
    <xf numFmtId="0" fontId="9" fillId="4" borderId="0" xfId="0" applyFont="1" applyFill="1"/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/>
    <xf numFmtId="0" fontId="0" fillId="0" borderId="0" xfId="0" applyFill="1"/>
    <xf numFmtId="0" fontId="0" fillId="0" borderId="0" xfId="0" applyNumberFormat="1" applyFill="1"/>
    <xf numFmtId="0" fontId="0" fillId="0" borderId="2" xfId="0" applyNumberFormat="1" applyFont="1" applyBorder="1"/>
    <xf numFmtId="0" fontId="0" fillId="0" borderId="0" xfId="0" applyNumberFormat="1" applyFont="1" applyBorder="1"/>
    <xf numFmtId="0" fontId="3" fillId="0" borderId="0" xfId="0" applyNumberFormat="1" applyFont="1"/>
    <xf numFmtId="0" fontId="0" fillId="0" borderId="5" xfId="0" applyFont="1" applyBorder="1"/>
    <xf numFmtId="0" fontId="0" fillId="0" borderId="0" xfId="0" applyFont="1"/>
    <xf numFmtId="0" fontId="9" fillId="0" borderId="0" xfId="0" applyFont="1" applyAlignment="1">
      <alignment vertical="center" wrapText="1"/>
    </xf>
  </cellXfs>
  <cellStyles count="1">
    <cellStyle name="표준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color rgb="FF000000"/>
        <name val="맑은 고딕"/>
        <family val="3"/>
        <charset val="129"/>
        <scheme val="maj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sz val="11"/>
        <name val="맑은 고딕"/>
        <family val="3"/>
        <charset val="129"/>
        <scheme val="maj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scheme val="minor"/>
      </font>
      <fill>
        <patternFill patternType="solid">
          <fgColor theme="1"/>
          <bgColor theme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원일(W.I. Lee)" id="{8347A911-FB60-4CDD-95F5-37932B9B2DD3}" userId="S::wonil.lee90@S-OIL.COM::75f69710-ceca-4457-b198-7daa6e80130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-OIL" refreshedDate="46160.472071412034" createdVersion="8" refreshedVersion="8" minRefreshableVersion="3" recordCount="101" xr:uid="{B9EE2284-0028-4269-B314-C8E2B2349327}">
  <cacheSource type="worksheet">
    <worksheetSource name="표2"/>
  </cacheSource>
  <cacheFields count="13">
    <cacheField name="material_id" numFmtId="0">
      <sharedItems/>
    </cacheField>
    <cacheField name="material_group" numFmtId="0">
      <sharedItems count="7">
        <s v="Ethylene"/>
        <s v="Propylene"/>
        <s v="C4"/>
        <s v="Benzene"/>
        <s v="Methanol"/>
        <s v="Toluene"/>
        <s v="Xylene"/>
      </sharedItems>
    </cacheField>
    <cacheField name="material_name" numFmtId="0">
      <sharedItems/>
    </cacheField>
    <cacheField name="material_type" numFmtId="0">
      <sharedItems/>
    </cacheField>
    <cacheField name="material_subtype" numFmtId="0">
      <sharedItems/>
    </cacheField>
    <cacheField name="vertical_order" numFmtId="0">
      <sharedItems containsSemiMixedTypes="0" containsString="0" containsNumber="1" containsInteger="1" minValue="100" maxValue="8330"/>
    </cacheField>
    <cacheField name="hsk10" numFmtId="0">
      <sharedItems containsBlank="1" containsMixedTypes="1" containsNumber="1" containsInteger="1" minValue="2207200000" maxValue="3910120000"/>
    </cacheField>
    <cacheField name="remarks" numFmtId="0">
      <sharedItems containsBlank="1"/>
    </cacheField>
    <cacheField name="visual_exclude" numFmtId="0">
      <sharedItems containsBlank="1"/>
    </cacheField>
    <cacheField name="ccma_snp" numFmtId="0">
      <sharedItems/>
    </cacheField>
    <cacheField name="ceh_ceh" numFmtId="0">
      <sharedItems/>
    </cacheField>
    <cacheField name="has_supplier" numFmtId="0">
      <sharedItems count="2">
        <s v="O"/>
        <s v="X"/>
      </sharedItems>
    </cacheField>
    <cacheField name="is_ulsan" numFmtId="0">
      <sharedItems count="2">
        <s v="O"/>
        <s v="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M001"/>
    <x v="0"/>
    <s v="Ethylene"/>
    <s v="Base chemical"/>
    <s v="Olefin"/>
    <n v="2100"/>
    <n v="2901210000"/>
    <s v="C2="/>
    <m/>
    <s v="O"/>
    <s v="O"/>
    <x v="0"/>
    <x v="0"/>
  </r>
  <r>
    <s v="M002"/>
    <x v="0"/>
    <s v="HDPE"/>
    <s v="Polymer"/>
    <s v="Polyolefin"/>
    <n v="2110"/>
    <n v="3910120000"/>
    <m/>
    <m/>
    <s v="X"/>
    <s v="O"/>
    <x v="0"/>
    <x v="0"/>
  </r>
  <r>
    <s v="M003"/>
    <x v="0"/>
    <s v="LDPE"/>
    <s v="Polymer"/>
    <s v="Polyolefin"/>
    <n v="2120"/>
    <n v="3901109000"/>
    <m/>
    <m/>
    <s v="X"/>
    <s v="O"/>
    <x v="0"/>
    <x v="0"/>
  </r>
  <r>
    <s v="M004"/>
    <x v="0"/>
    <s v="LLDPE"/>
    <s v="Polymer"/>
    <s v="Polyolefin"/>
    <n v="2130"/>
    <n v="3901101000"/>
    <m/>
    <m/>
    <s v="X"/>
    <s v="O"/>
    <x v="0"/>
    <x v="0"/>
  </r>
  <r>
    <s v="M005"/>
    <x v="0"/>
    <s v="EDC"/>
    <s v="Intermediate"/>
    <s v="Chlorinated Intermediate"/>
    <n v="2200"/>
    <n v="2903150000"/>
    <s v="Ethylene dichloride"/>
    <m/>
    <s v="O"/>
    <s v="O"/>
    <x v="0"/>
    <x v="0"/>
  </r>
  <r>
    <s v="M006"/>
    <x v="0"/>
    <s v="VCM"/>
    <s v="Monomer"/>
    <s v="Vinyl Monomer"/>
    <n v="2210"/>
    <n v="2903210000"/>
    <s v="Vinyl chloride monomer"/>
    <m/>
    <s v="O"/>
    <s v="O"/>
    <x v="0"/>
    <x v="0"/>
  </r>
  <r>
    <s v="M007"/>
    <x v="0"/>
    <s v="PVC"/>
    <s v="Polymer"/>
    <s v="Vinyl Polymer"/>
    <n v="2220"/>
    <m/>
    <s v="Poly vinyl chloride"/>
    <m/>
    <s v="O"/>
    <s v="O"/>
    <x v="0"/>
    <x v="0"/>
  </r>
  <r>
    <s v="M008"/>
    <x v="0"/>
    <s v="Ethanol"/>
    <s v="Intermediate"/>
    <s v="Alcohol"/>
    <n v="2400"/>
    <n v="2207200000"/>
    <m/>
    <m/>
    <s v="X"/>
    <s v="O"/>
    <x v="0"/>
    <x v="0"/>
  </r>
  <r>
    <s v="M009"/>
    <x v="0"/>
    <s v="Ethylamine"/>
    <s v="Intermediate"/>
    <s v="Amine"/>
    <n v="2500"/>
    <m/>
    <m/>
    <s v="Y"/>
    <s v="X"/>
    <s v="O"/>
    <x v="1"/>
    <x v="1"/>
  </r>
  <r>
    <s v="M010"/>
    <x v="0"/>
    <s v="Ethyl acetate"/>
    <s v="Intermediate"/>
    <s v="Acetate Ester"/>
    <n v="2420"/>
    <n v="2915310000"/>
    <m/>
    <m/>
    <s v="X"/>
    <s v="X"/>
    <x v="0"/>
    <x v="0"/>
  </r>
  <r>
    <s v="M011"/>
    <x v="0"/>
    <s v="Ethyl acrylate"/>
    <s v="Intermediate"/>
    <s v="Acrylate Ester"/>
    <n v="2510"/>
    <n v="2916121000"/>
    <m/>
    <m/>
    <s v="X"/>
    <s v="X"/>
    <x v="1"/>
    <x v="1"/>
  </r>
  <r>
    <s v="M012"/>
    <x v="0"/>
    <s v="EO"/>
    <s v="Intermediate"/>
    <s v="Epoxide"/>
    <n v="2300"/>
    <n v="2910100000"/>
    <s v="Ethylene oxide"/>
    <m/>
    <s v="O"/>
    <s v="O"/>
    <x v="1"/>
    <x v="1"/>
  </r>
  <r>
    <s v="M013"/>
    <x v="0"/>
    <s v="Ethanolamines"/>
    <s v="Functional Material"/>
    <s v="Amine Derivatives"/>
    <n v="2310"/>
    <m/>
    <m/>
    <s v="Y"/>
    <s v="X"/>
    <s v="O"/>
    <x v="1"/>
    <x v="1"/>
  </r>
  <r>
    <s v="M014"/>
    <x v="0"/>
    <s v="MEA"/>
    <s v="Intermediate"/>
    <s v="Ethanolamine"/>
    <n v="2320"/>
    <n v="2922111000"/>
    <s v="Monoethanolamine"/>
    <m/>
    <s v="X"/>
    <s v="X"/>
    <x v="1"/>
    <x v="1"/>
  </r>
  <r>
    <s v="M015"/>
    <x v="0"/>
    <s v="DEA"/>
    <s v="Intermediate"/>
    <s v="Ethanolamine"/>
    <n v="2330"/>
    <n v="2922121000"/>
    <s v="Diethanolamine"/>
    <m/>
    <s v="X"/>
    <s v="X"/>
    <x v="1"/>
    <x v="1"/>
  </r>
  <r>
    <s v="M016"/>
    <x v="0"/>
    <s v="TEA"/>
    <s v="Intermediate"/>
    <s v="Ethanolamine"/>
    <n v="2340"/>
    <n v="2922150000"/>
    <s v="Triethanolamine"/>
    <m/>
    <s v="X"/>
    <s v="X"/>
    <x v="1"/>
    <x v="1"/>
  </r>
  <r>
    <s v="M017"/>
    <x v="0"/>
    <s v="MEG"/>
    <s v="Intermediate"/>
    <s v="Glycol"/>
    <n v="2380"/>
    <n v="2905310000"/>
    <s v="Monoethyleneglycol"/>
    <m/>
    <s v="O"/>
    <s v="O"/>
    <x v="0"/>
    <x v="0"/>
  </r>
  <r>
    <s v="M018"/>
    <x v="0"/>
    <s v="Acetaldehyde"/>
    <s v="Intermediate"/>
    <s v="Aldehyde"/>
    <n v="2410"/>
    <n v="2912120000"/>
    <m/>
    <s v="Y"/>
    <s v="X"/>
    <s v="X"/>
    <x v="1"/>
    <x v="1"/>
  </r>
  <r>
    <s v="M019"/>
    <x v="0"/>
    <s v="VAM"/>
    <s v="Monomer"/>
    <s v="Acetate Monomer"/>
    <n v="2600"/>
    <n v="2915320000"/>
    <s v="Vinyl acetate monomer"/>
    <m/>
    <s v="O"/>
    <s v="O"/>
    <x v="0"/>
    <x v="0"/>
  </r>
  <r>
    <s v="M020"/>
    <x v="1"/>
    <s v="Propylene"/>
    <s v="Base chemical"/>
    <s v="Olefin"/>
    <n v="3100"/>
    <n v="2901220000"/>
    <s v="C3="/>
    <m/>
    <s v="O"/>
    <s v="O"/>
    <x v="0"/>
    <x v="0"/>
  </r>
  <r>
    <s v="M021"/>
    <x v="1"/>
    <s v="AN"/>
    <s v="Monomer"/>
    <s v="Nitrile Monomer"/>
    <n v="3200"/>
    <n v="2926100000"/>
    <s v="Acrylonitrile"/>
    <m/>
    <s v="O"/>
    <s v="O"/>
    <x v="0"/>
    <x v="0"/>
  </r>
  <r>
    <s v="M022"/>
    <x v="1"/>
    <s v="ABS"/>
    <s v="Polymer"/>
    <s v="Styrenic Resin"/>
    <n v="3210"/>
    <n v="3903300000"/>
    <s v="Acrylonitrile Butadiene Stryrene"/>
    <m/>
    <s v="O"/>
    <s v="O"/>
    <x v="0"/>
    <x v="0"/>
  </r>
  <r>
    <s v="M023"/>
    <x v="1"/>
    <s v="SAN"/>
    <s v="Polymer"/>
    <s v="Styrenic Resin"/>
    <n v="3220"/>
    <n v="3903200000"/>
    <s v="Styrene Acrylonitrile"/>
    <s v="Y"/>
    <s v="X"/>
    <s v="X"/>
    <x v="1"/>
    <x v="1"/>
  </r>
  <r>
    <s v="M024"/>
    <x v="1"/>
    <s v="NBR"/>
    <s v="Polymer"/>
    <s v="Synthetic Rubber"/>
    <n v="3230"/>
    <m/>
    <s v="Nitrile Butadiene Rubber"/>
    <m/>
    <s v="X"/>
    <s v="X"/>
    <x v="0"/>
    <x v="0"/>
  </r>
  <r>
    <s v="M025"/>
    <x v="1"/>
    <s v="PP"/>
    <s v="Polymer"/>
    <s v="Polyolefin"/>
    <n v="3110"/>
    <n v="3902100000"/>
    <s v="Polypropylene"/>
    <m/>
    <s v="O"/>
    <s v="O"/>
    <x v="0"/>
    <x v="0"/>
  </r>
  <r>
    <s v="M026"/>
    <x v="1"/>
    <s v="PO"/>
    <s v="Intermediate"/>
    <s v="Epoxide"/>
    <n v="3300"/>
    <n v="2910200000"/>
    <s v="Propylene oxide"/>
    <m/>
    <s v="O"/>
    <s v="O"/>
    <x v="0"/>
    <x v="0"/>
  </r>
  <r>
    <s v="M027"/>
    <x v="1"/>
    <s v="PG"/>
    <s v="Intermediate"/>
    <s v="Glycol"/>
    <n v="3310"/>
    <n v="2905320000"/>
    <s v="Propylene glycol"/>
    <m/>
    <s v="X"/>
    <s v="X"/>
    <x v="0"/>
    <x v="0"/>
  </r>
  <r>
    <s v="M028"/>
    <x v="1"/>
    <s v="PPG"/>
    <s v="Functional Material"/>
    <s v="Polyether Polyol"/>
    <n v="3320"/>
    <m/>
    <s v="Polypropylene glycol"/>
    <m/>
    <s v="X"/>
    <s v="X"/>
    <x v="0"/>
    <x v="0"/>
  </r>
  <r>
    <s v="M029"/>
    <x v="1"/>
    <s v="Polyols"/>
    <s v="Functional Material"/>
    <s v="Polyol"/>
    <n v="3330"/>
    <m/>
    <m/>
    <m/>
    <s v="X"/>
    <s v="X"/>
    <x v="1"/>
    <x v="1"/>
  </r>
  <r>
    <s v="M030"/>
    <x v="1"/>
    <s v="PU"/>
    <s v="Functional Material"/>
    <s v="Polyurethane System"/>
    <n v="3340"/>
    <n v="3909500000"/>
    <s v="Polyurethane(Rigid)"/>
    <m/>
    <s v="X"/>
    <s v="O"/>
    <x v="1"/>
    <x v="1"/>
  </r>
  <r>
    <s v="M031"/>
    <x v="1"/>
    <s v="Acrylic acid"/>
    <s v="Intermediate"/>
    <s v="Organic Acid"/>
    <n v="3400"/>
    <n v="2916111000"/>
    <s v="AA"/>
    <m/>
    <s v="X"/>
    <s v="X"/>
    <x v="0"/>
    <x v="1"/>
  </r>
  <r>
    <s v="M032"/>
    <x v="1"/>
    <s v="Polyacrylate"/>
    <s v="Polymer"/>
    <s v="Acrylic Polymer"/>
    <n v="3420"/>
    <m/>
    <m/>
    <m/>
    <s v="X"/>
    <s v="X"/>
    <x v="1"/>
    <x v="1"/>
  </r>
  <r>
    <s v="M033"/>
    <x v="1"/>
    <s v="Acrylate"/>
    <s v="Intermediate"/>
    <s v="Acrylate Derivative"/>
    <n v="3410"/>
    <m/>
    <m/>
    <m/>
    <s v="X"/>
    <s v="X"/>
    <x v="1"/>
    <x v="1"/>
  </r>
  <r>
    <s v="M034"/>
    <x v="1"/>
    <s v="SAP"/>
    <s v="Polymer"/>
    <s v="Superabsorbent Polymer"/>
    <n v="3430"/>
    <m/>
    <s v="Super Absorbent Polymer"/>
    <m/>
    <s v="X"/>
    <s v="O"/>
    <x v="0"/>
    <x v="1"/>
  </r>
  <r>
    <s v="M035"/>
    <x v="1"/>
    <s v="Butyraldehyde"/>
    <s v="Intermediate"/>
    <s v="Aldehyde"/>
    <n v="3500"/>
    <n v="2912193000"/>
    <m/>
    <m/>
    <s v="X"/>
    <s v="O"/>
    <x v="1"/>
    <x v="1"/>
  </r>
  <r>
    <s v="M036"/>
    <x v="1"/>
    <s v="2-Ethylhexanol"/>
    <s v="Intermediate"/>
    <s v="Oxo Alcohol"/>
    <n v="3520"/>
    <n v="2905161000"/>
    <s v="Octanol"/>
    <m/>
    <s v="X"/>
    <s v="X"/>
    <x v="0"/>
    <x v="1"/>
  </r>
  <r>
    <s v="M037"/>
    <x v="1"/>
    <s v="n-Butanol"/>
    <s v="Intermediate"/>
    <s v="Oxo Alcohol"/>
    <n v="3510"/>
    <n v="2905130000"/>
    <m/>
    <m/>
    <s v="X"/>
    <s v="X"/>
    <x v="0"/>
    <x v="1"/>
  </r>
  <r>
    <s v="M038"/>
    <x v="1"/>
    <s v="n-Butyl acetate"/>
    <s v="Intermediate"/>
    <s v="Acetate Ester"/>
    <n v="3530"/>
    <m/>
    <m/>
    <m/>
    <s v="X"/>
    <s v="X"/>
    <x v="1"/>
    <x v="1"/>
  </r>
  <r>
    <s v="M039"/>
    <x v="1"/>
    <s v="Isobutanol"/>
    <s v="Intermediate"/>
    <s v="Oxo Alcohol"/>
    <n v="3700"/>
    <m/>
    <m/>
    <m/>
    <s v="X"/>
    <s v="X"/>
    <x v="1"/>
    <x v="1"/>
  </r>
  <r>
    <s v="M040"/>
    <x v="1"/>
    <s v="Isobutyl acetate"/>
    <s v="Intermediate"/>
    <s v="Acetate Ester"/>
    <n v="3710"/>
    <m/>
    <m/>
    <m/>
    <s v="X"/>
    <s v="X"/>
    <x v="1"/>
    <x v="1"/>
  </r>
  <r>
    <s v="M041"/>
    <x v="1"/>
    <s v="IPA"/>
    <s v="Intermediate"/>
    <s v="Alcohol"/>
    <n v="3600"/>
    <n v="2905121000"/>
    <s v="Isopropanol"/>
    <m/>
    <s v="X"/>
    <s v="O"/>
    <x v="0"/>
    <x v="0"/>
  </r>
  <r>
    <s v="M042"/>
    <x v="1"/>
    <s v="Isopropyl acetate"/>
    <s v="Intermediate"/>
    <s v="Acetate Ester"/>
    <n v="3610"/>
    <s v=" "/>
    <m/>
    <m/>
    <s v="X"/>
    <s v="X"/>
    <x v="1"/>
    <x v="1"/>
  </r>
  <r>
    <s v="M043"/>
    <x v="2"/>
    <s v="Butadiene"/>
    <s v="Base chemical"/>
    <s v="Diolefin"/>
    <n v="4100"/>
    <n v="2901241000"/>
    <s v="BD"/>
    <m/>
    <s v="O"/>
    <s v="O"/>
    <x v="0"/>
    <x v="0"/>
  </r>
  <r>
    <s v="M044"/>
    <x v="2"/>
    <s v="BR"/>
    <s v="Polymer"/>
    <s v="Synthetic Rubber"/>
    <n v="4110"/>
    <m/>
    <s v="Polybutadiene Rubber"/>
    <m/>
    <s v="O"/>
    <s v="O"/>
    <x v="0"/>
    <x v="1"/>
  </r>
  <r>
    <s v="M045"/>
    <x v="2"/>
    <s v="SBR"/>
    <s v="Polymer"/>
    <s v="Synthetic Rubber"/>
    <n v="4120"/>
    <n v="3903901000"/>
    <m/>
    <m/>
    <s v="O"/>
    <s v="O"/>
    <x v="0"/>
    <x v="0"/>
  </r>
  <r>
    <s v="M046"/>
    <x v="2"/>
    <s v="Isobutylene"/>
    <s v="Base chemical"/>
    <s v="Olefin"/>
    <n v="4200"/>
    <m/>
    <m/>
    <m/>
    <s v="X"/>
    <s v="X"/>
    <x v="1"/>
    <x v="1"/>
  </r>
  <r>
    <s v="M047"/>
    <x v="2"/>
    <s v="PIB"/>
    <s v="Polymer"/>
    <s v="Polyolefin Derivative"/>
    <n v="4210"/>
    <n v="3902200000"/>
    <s v="Polyisobutylene"/>
    <m/>
    <s v="X"/>
    <s v="X"/>
    <x v="1"/>
    <x v="1"/>
  </r>
  <r>
    <s v="M048"/>
    <x v="2"/>
    <s v="PB-1"/>
    <s v="Polymer"/>
    <s v="Polyolefin"/>
    <n v="4330"/>
    <m/>
    <s v="Polybutene-1"/>
    <m/>
    <s v="X"/>
    <s v="X"/>
    <x v="0"/>
    <x v="1"/>
  </r>
  <r>
    <s v="M049"/>
    <x v="2"/>
    <s v="MTBE"/>
    <s v="Functional Material"/>
    <s v="Fuel Additive"/>
    <n v="4230"/>
    <n v="2909192000"/>
    <m/>
    <m/>
    <s v="X"/>
    <s v="O"/>
    <x v="0"/>
    <x v="0"/>
  </r>
  <r>
    <s v="M050"/>
    <x v="2"/>
    <s v="Butyl rubber"/>
    <s v="Polymer"/>
    <s v="Synthetic Rubber"/>
    <n v="4220"/>
    <m/>
    <m/>
    <s v="Y"/>
    <s v="X"/>
    <s v="X"/>
    <x v="1"/>
    <x v="1"/>
  </r>
  <r>
    <s v="M051"/>
    <x v="2"/>
    <s v="n-Butenes"/>
    <s v="Intermediate"/>
    <s v="C4 Olefin"/>
    <n v="4300"/>
    <m/>
    <m/>
    <m/>
    <s v="X"/>
    <s v="X"/>
    <x v="1"/>
    <x v="1"/>
  </r>
  <r>
    <s v="M052"/>
    <x v="2"/>
    <s v="1-Butene"/>
    <s v="Base chemical"/>
    <s v="Alpha Olefin"/>
    <n v="4310"/>
    <m/>
    <m/>
    <m/>
    <s v="X"/>
    <s v="X"/>
    <x v="1"/>
    <x v="1"/>
  </r>
  <r>
    <s v="M053"/>
    <x v="2"/>
    <s v="2-Butene"/>
    <s v="Intermediate"/>
    <s v="C4 Olefin"/>
    <n v="4320"/>
    <m/>
    <m/>
    <m/>
    <s v="X"/>
    <s v="X"/>
    <x v="1"/>
    <x v="1"/>
  </r>
  <r>
    <s v="M054"/>
    <x v="3"/>
    <s v="Benzene"/>
    <s v="Base chemical"/>
    <s v="Aromatic"/>
    <n v="6000"/>
    <n v="2902200000"/>
    <m/>
    <m/>
    <s v="O"/>
    <s v="O"/>
    <x v="0"/>
    <x v="0"/>
  </r>
  <r>
    <s v="M055"/>
    <x v="3"/>
    <s v="Ethylbenzene"/>
    <s v="Intermediate"/>
    <s v="Alkyl Aromatic"/>
    <n v="6100"/>
    <n v="2902600000"/>
    <s v="EB"/>
    <m/>
    <s v="O"/>
    <s v="O"/>
    <x v="1"/>
    <x v="1"/>
  </r>
  <r>
    <s v="M056"/>
    <x v="3"/>
    <s v="Styrene"/>
    <s v="Monomer"/>
    <s v="Styrenic Monomer"/>
    <n v="6110"/>
    <n v="2902500000"/>
    <m/>
    <m/>
    <s v="O"/>
    <s v="O"/>
    <x v="0"/>
    <x v="0"/>
  </r>
  <r>
    <s v="M057"/>
    <x v="3"/>
    <s v="PS"/>
    <s v="Polymer"/>
    <s v="Styrenic Resin"/>
    <n v="6120"/>
    <m/>
    <s v="Polystyrene"/>
    <m/>
    <s v="O"/>
    <s v="O"/>
    <x v="0"/>
    <x v="0"/>
  </r>
  <r>
    <s v="M058"/>
    <x v="3"/>
    <s v="Cumene"/>
    <s v="Intermediate"/>
    <s v="Alkyl Aromatic"/>
    <n v="6200"/>
    <n v="2902700000"/>
    <m/>
    <m/>
    <s v="O"/>
    <s v="O"/>
    <x v="1"/>
    <x v="1"/>
  </r>
  <r>
    <s v="M059"/>
    <x v="3"/>
    <s v="Phenol"/>
    <s v="Intermediate"/>
    <s v="Phenolic Intermediate"/>
    <n v="6210"/>
    <n v="2907111000"/>
    <m/>
    <m/>
    <s v="O"/>
    <s v="O"/>
    <x v="0"/>
    <x v="1"/>
  </r>
  <r>
    <s v="M060"/>
    <x v="3"/>
    <s v="Acetone"/>
    <s v="Intermediate"/>
    <s v="Ketone"/>
    <n v="6220"/>
    <n v="2914110000"/>
    <m/>
    <m/>
    <s v="X"/>
    <s v="O"/>
    <x v="0"/>
    <x v="1"/>
  </r>
  <r>
    <s v="M061"/>
    <x v="3"/>
    <s v="BPA"/>
    <s v="Intermediate"/>
    <s v="Phenolic Intermediate"/>
    <n v="6230"/>
    <n v="2907231000"/>
    <s v="Bisphenol A"/>
    <m/>
    <s v="O"/>
    <s v="O"/>
    <x v="0"/>
    <x v="1"/>
  </r>
  <r>
    <s v="M062"/>
    <x v="3"/>
    <s v="PC"/>
    <s v="Polymer"/>
    <s v="Engineering Plastic"/>
    <n v="6240"/>
    <n v="3907400000"/>
    <s v="Polycarbonate"/>
    <m/>
    <s v="O"/>
    <s v="O"/>
    <x v="0"/>
    <x v="1"/>
  </r>
  <r>
    <s v="M063"/>
    <x v="3"/>
    <s v="Epoxy resin"/>
    <s v="Functional Material"/>
    <s v="Thermoset Resin"/>
    <n v="6250"/>
    <m/>
    <m/>
    <m/>
    <s v="X"/>
    <s v="O"/>
    <x v="0"/>
    <x v="1"/>
  </r>
  <r>
    <s v="M064"/>
    <x v="3"/>
    <s v="Cyclohexane"/>
    <s v="Intermediate"/>
    <s v="Cycloaliphatic Intermediate"/>
    <n v="6300"/>
    <n v="2902110000"/>
    <m/>
    <m/>
    <s v="X"/>
    <s v="O"/>
    <x v="0"/>
    <x v="0"/>
  </r>
  <r>
    <s v="M065"/>
    <x v="3"/>
    <s v="Aniline"/>
    <s v="Intermediate"/>
    <s v="Aromatic Amine"/>
    <n v="6320"/>
    <n v="2921411000"/>
    <m/>
    <m/>
    <s v="X"/>
    <s v="O"/>
    <x v="1"/>
    <x v="1"/>
  </r>
  <r>
    <s v="M066"/>
    <x v="3"/>
    <s v="LAB"/>
    <s v="Intermediate"/>
    <s v="Alkyl Aromatic"/>
    <n v="6400"/>
    <m/>
    <s v="Linear Alkylbenzene"/>
    <m/>
    <s v="X"/>
    <s v="O"/>
    <x v="0"/>
    <x v="0"/>
  </r>
  <r>
    <s v="M067"/>
    <x v="3"/>
    <s v="Cyclohexanone"/>
    <s v="Intermediate"/>
    <s v="Ketone"/>
    <n v="6310"/>
    <n v="2914221000"/>
    <m/>
    <m/>
    <s v="X"/>
    <s v="O"/>
    <x v="1"/>
    <x v="1"/>
  </r>
  <r>
    <s v="M068"/>
    <x v="2"/>
    <s v="MA"/>
    <s v="Intermediate"/>
    <s v="Anhydride"/>
    <n v="4400"/>
    <n v="2917140000"/>
    <s v="Maleic anhydride"/>
    <m/>
    <s v="X"/>
    <s v="O"/>
    <x v="0"/>
    <x v="0"/>
  </r>
  <r>
    <s v="M069"/>
    <x v="4"/>
    <s v="Methanol"/>
    <s v="Base chemical"/>
    <s v="Alcohol"/>
    <n v="100"/>
    <n v="2905110000"/>
    <m/>
    <m/>
    <s v="O"/>
    <s v="O"/>
    <x v="1"/>
    <x v="1"/>
  </r>
  <r>
    <s v="M070"/>
    <x v="4"/>
    <s v="Acetic acid"/>
    <s v="Intermediate"/>
    <s v="Organic Acid"/>
    <n v="200"/>
    <n v="2915210000"/>
    <m/>
    <m/>
    <s v="O"/>
    <s v="O"/>
    <x v="0"/>
    <x v="0"/>
  </r>
  <r>
    <s v="M071"/>
    <x v="5"/>
    <s v="Toluene"/>
    <s v="Base chemical"/>
    <s v="Aromatic"/>
    <n v="7000"/>
    <n v="2902300000"/>
    <m/>
    <m/>
    <s v="O"/>
    <s v="O"/>
    <x v="0"/>
    <x v="0"/>
  </r>
  <r>
    <s v="M072"/>
    <x v="6"/>
    <s v="Xylene"/>
    <s v="Base chemical"/>
    <s v="Aromatic"/>
    <n v="8000"/>
    <n v="2707300000"/>
    <m/>
    <m/>
    <s v="O"/>
    <s v="O"/>
    <x v="0"/>
    <x v="0"/>
  </r>
  <r>
    <s v="M073"/>
    <x v="6"/>
    <s v="PA"/>
    <s v="Intermediate"/>
    <s v="Anhydride"/>
    <n v="8110"/>
    <n v="2917350000"/>
    <s v="Pthalic Anhydride"/>
    <m/>
    <s v="X"/>
    <s v="O"/>
    <x v="0"/>
    <x v="0"/>
  </r>
  <r>
    <s v="M074"/>
    <x v="3"/>
    <s v="Caprolactam"/>
    <s v="Monomer"/>
    <s v="Lactam Monomer"/>
    <n v="6330"/>
    <n v="2933710000"/>
    <m/>
    <m/>
    <s v="X"/>
    <s v="O"/>
    <x v="0"/>
    <x v="0"/>
  </r>
  <r>
    <s v="M075"/>
    <x v="0"/>
    <s v="LAO"/>
    <s v="Functional Material"/>
    <s v="Alpha Olefin Mixture"/>
    <n v="2700"/>
    <m/>
    <s v="Linear alpha olefins mixture (typically C4–C12+ range)"/>
    <m/>
    <s v="X"/>
    <s v="X"/>
    <x v="1"/>
    <x v="1"/>
  </r>
  <r>
    <s v="M076"/>
    <x v="0"/>
    <s v="1-Hexene"/>
    <s v="Intermediate"/>
    <s v="Alpha Olefin"/>
    <n v="2900"/>
    <n v="2901291000"/>
    <s v="(Ethylene base)"/>
    <m/>
    <s v="X"/>
    <s v="X"/>
    <x v="1"/>
    <x v="1"/>
  </r>
  <r>
    <s v="M077"/>
    <x v="0"/>
    <s v="PAO"/>
    <s v="Functional Material"/>
    <s v="Synthetic Base Oil"/>
    <n v="2720"/>
    <m/>
    <m/>
    <m/>
    <s v="X"/>
    <s v="X"/>
    <x v="1"/>
    <x v="1"/>
  </r>
  <r>
    <s v="M078"/>
    <x v="4"/>
    <s v="MMA"/>
    <s v="Monomer"/>
    <s v="Acrylic Monomer"/>
    <n v="400"/>
    <n v="2916141000"/>
    <s v="Methyl methacrylate monomer"/>
    <m/>
    <s v="O"/>
    <s v="X"/>
    <x v="0"/>
    <x v="1"/>
  </r>
  <r>
    <s v="M079"/>
    <x v="4"/>
    <s v="PMMA"/>
    <s v="Polymer"/>
    <s v="Acrylic Polymer"/>
    <n v="410"/>
    <n v="3906100000"/>
    <s v="Polymethyl methacrylate"/>
    <m/>
    <s v="X"/>
    <s v="X"/>
    <x v="0"/>
    <x v="1"/>
  </r>
  <r>
    <s v="M080"/>
    <x v="4"/>
    <s v="Formaldehyde"/>
    <s v="Intermediate"/>
    <s v="Aldehyde"/>
    <n v="300"/>
    <n v="2912110000"/>
    <s v="Polymethyl methacrylate"/>
    <m/>
    <s v="O"/>
    <s v="O"/>
    <x v="1"/>
    <x v="1"/>
  </r>
  <r>
    <s v="M081"/>
    <x v="0"/>
    <s v="EC"/>
    <s v="Intermediate"/>
    <s v="Carbonate"/>
    <n v="2360"/>
    <m/>
    <s v="Ethylene Carbonate"/>
    <m/>
    <s v="X"/>
    <s v="X"/>
    <x v="1"/>
    <x v="1"/>
  </r>
  <r>
    <s v="M082"/>
    <x v="0"/>
    <s v="DMC"/>
    <s v="Intermediate"/>
    <s v="Carbonate"/>
    <n v="2370"/>
    <m/>
    <s v="Diemethyl Carbonate"/>
    <m/>
    <s v="X"/>
    <s v="X"/>
    <x v="1"/>
    <x v="1"/>
  </r>
  <r>
    <s v="M083"/>
    <x v="0"/>
    <s v="PVA"/>
    <s v="Polymer"/>
    <s v="Functional Polymer"/>
    <n v="2610"/>
    <m/>
    <s v="Polyvinyl alcohol"/>
    <m/>
    <s v="X"/>
    <s v="X"/>
    <x v="1"/>
    <x v="1"/>
  </r>
  <r>
    <s v="M084"/>
    <x v="0"/>
    <s v="EVA"/>
    <s v="Polymer"/>
    <s v="Polyolefin Copolymer"/>
    <n v="2620"/>
    <m/>
    <s v="Ethylene-vinyl acetate copolymer"/>
    <m/>
    <s v="X"/>
    <s v="O"/>
    <x v="1"/>
    <x v="1"/>
  </r>
  <r>
    <s v="M085"/>
    <x v="3"/>
    <s v="MDI"/>
    <s v="Intermediate"/>
    <s v="Isocyanate"/>
    <n v="6410"/>
    <n v="2929102000"/>
    <s v="Methylene Diphenyl Disocyanate"/>
    <m/>
    <s v="X"/>
    <s v="X"/>
    <x v="0"/>
    <x v="1"/>
  </r>
  <r>
    <s v="M086"/>
    <x v="5"/>
    <s v="TDI"/>
    <s v="Intermediate"/>
    <s v="Isocyanate"/>
    <n v="7100"/>
    <n v="2929101000"/>
    <s v="Toluene Diisocyanate"/>
    <m/>
    <s v="X"/>
    <s v="X"/>
    <x v="0"/>
    <x v="1"/>
  </r>
  <r>
    <s v="M087"/>
    <x v="6"/>
    <s v="o-Xylene"/>
    <s v="Intermediate"/>
    <s v="Aromatic Isomer"/>
    <n v="8100"/>
    <n v="2902410000"/>
    <s v="Purified Isophtalic Acid"/>
    <m/>
    <s v="X"/>
    <s v="O"/>
    <x v="1"/>
    <x v="1"/>
  </r>
  <r>
    <s v="M088"/>
    <x v="6"/>
    <s v="m-Xylene"/>
    <s v="Intermediate"/>
    <s v="Aromatic Isomer"/>
    <n v="8200"/>
    <n v="2902420000"/>
    <s v="Terephtalic Acid"/>
    <m/>
    <s v="X"/>
    <s v="O"/>
    <x v="1"/>
    <x v="1"/>
  </r>
  <r>
    <s v="M089"/>
    <x v="6"/>
    <s v="p-Xylene"/>
    <s v="Intermediate"/>
    <s v="Aromatic Isomer"/>
    <n v="8300"/>
    <n v="2902430000"/>
    <s v="Dimethyl Terephtalate"/>
    <m/>
    <s v="O"/>
    <s v="O"/>
    <x v="0"/>
    <x v="1"/>
  </r>
  <r>
    <s v="M090"/>
    <x v="6"/>
    <s v="PIA"/>
    <s v="Monomer"/>
    <s v="Aromatic Acid Monomer"/>
    <n v="8210"/>
    <m/>
    <s v="Purified Isophtalic Acid"/>
    <m/>
    <s v="X"/>
    <s v="O"/>
    <x v="1"/>
    <x v="1"/>
  </r>
  <r>
    <s v="M091"/>
    <x v="6"/>
    <s v="TPA"/>
    <s v="Monomer"/>
    <s v="Aromatic Acid Monomer"/>
    <n v="8310"/>
    <n v="2917361000"/>
    <s v="Terephtalic Acid"/>
    <m/>
    <s v="O"/>
    <s v="O"/>
    <x v="0"/>
    <x v="1"/>
  </r>
  <r>
    <s v="M092"/>
    <x v="6"/>
    <s v="DMT"/>
    <s v="Monomer"/>
    <s v="Aromatic Ester Monomer"/>
    <n v="8320"/>
    <n v="2917370000"/>
    <s v="Dimethyl Terephtalate"/>
    <m/>
    <s v="X"/>
    <s v="O"/>
    <x v="1"/>
    <x v="1"/>
  </r>
  <r>
    <s v="M093"/>
    <x v="6"/>
    <s v="PET"/>
    <s v="Polymer"/>
    <s v="Polyester"/>
    <n v="8330"/>
    <m/>
    <s v="Polyethylene terephthalate"/>
    <m/>
    <s v="O"/>
    <s v="O"/>
    <x v="1"/>
    <x v="1"/>
  </r>
  <r>
    <s v="M094"/>
    <x v="1"/>
    <s v="PU"/>
    <s v="Functional Material"/>
    <s v="Polyurethane System"/>
    <n v="3350"/>
    <n v="3909500000"/>
    <s v="Polyurethane(Flexible)"/>
    <m/>
    <s v="X"/>
    <s v="O"/>
    <x v="1"/>
    <x v="1"/>
  </r>
  <r>
    <s v="M095"/>
    <x v="2"/>
    <s v="1-Octene"/>
    <s v="Intermediate"/>
    <s v="Alpha Olefin"/>
    <n v="4350"/>
    <n v="2901292000"/>
    <m/>
    <m/>
    <s v="X"/>
    <s v="X"/>
    <x v="1"/>
    <x v="1"/>
  </r>
  <r>
    <s v="M096"/>
    <x v="2"/>
    <s v="1-Hexene"/>
    <s v="Intermediate"/>
    <s v="Alpha Olefin"/>
    <n v="4340"/>
    <m/>
    <s v="(1-butene base)"/>
    <m/>
    <s v="X"/>
    <s v="X"/>
    <x v="1"/>
    <x v="1"/>
  </r>
  <r>
    <s v="M097"/>
    <x v="0"/>
    <s v="EPDM"/>
    <s v="Polymer"/>
    <s v="Synthetic Rubber"/>
    <n v="2800"/>
    <m/>
    <m/>
    <m/>
    <s v="X"/>
    <s v="X"/>
    <x v="0"/>
    <x v="1"/>
  </r>
  <r>
    <s v="M098"/>
    <x v="1"/>
    <s v="ECH"/>
    <s v="Intermediate"/>
    <s v="Epoxide Intermediate"/>
    <n v="3800"/>
    <n v="2910300000"/>
    <s v="Epichlorohydrin"/>
    <m/>
    <s v="X"/>
    <s v="X"/>
    <x v="1"/>
    <x v="1"/>
  </r>
  <r>
    <s v="M099"/>
    <x v="0"/>
    <s v="Ethoxylate"/>
    <s v="Functional Material"/>
    <s v="Surfactant"/>
    <n v="2390"/>
    <m/>
    <m/>
    <m/>
    <s v="X"/>
    <s v="X"/>
    <x v="1"/>
    <x v="1"/>
  </r>
  <r>
    <s v="M100"/>
    <x v="3"/>
    <s v="Adipic Acid"/>
    <s v="Intermediate"/>
    <s v="Dicarboxylic Acid"/>
    <n v="6340"/>
    <n v="2917121000"/>
    <m/>
    <m/>
    <s v="X"/>
    <s v="O"/>
    <x v="1"/>
    <x v="1"/>
  </r>
  <r>
    <s v="M101"/>
    <x v="2"/>
    <s v="n-Butane"/>
    <s v="Base chemical"/>
    <s v="Paraffin"/>
    <n v="4320"/>
    <n v="2901101000"/>
    <m/>
    <m/>
    <s v="X"/>
    <s v="X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C1BB6-77A1-4984-9D90-4CE9AD9D6063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gridDropZones="1" multipleFieldFilters="0">
  <location ref="A3:C25" firstHeaderRow="2" firstDataRow="2" firstDataCol="2"/>
  <pivotFields count="13">
    <pivotField dataField="1" compact="0" outline="0" showAll="0"/>
    <pivotField axis="axisRow" compact="0" outline="0" showAll="0">
      <items count="8">
        <item x="0"/>
        <item x="1"/>
        <item x="2"/>
        <item x="3"/>
        <item x="5"/>
        <item x="6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</pivotField>
    <pivotField compact="0" outline="0" showAll="0">
      <items count="3">
        <item x="0"/>
        <item x="1"/>
        <item t="default"/>
      </items>
    </pivotField>
  </pivotFields>
  <rowFields count="2">
    <field x="1"/>
    <field x="11"/>
  </rowFields>
  <rowItems count="21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 t="grand">
      <x/>
    </i>
  </rowItems>
  <colItems count="1">
    <i/>
  </colItems>
  <dataFields count="1">
    <dataField name="개수 : material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34E28E-595E-4F21-9C18-0E1826EAED5C}" name="CCMA" displayName="CCMA" ref="A1:E36" totalsRowShown="0" headerRowDxfId="25" dataDxfId="24" tableBorderDxfId="23">
  <autoFilter ref="A1:E36" xr:uid="{5334E28E-595E-4F21-9C18-0E1826EAED5C}"/>
  <tableColumns count="5">
    <tableColumn id="2" xr3:uid="{AA183E85-97DA-4F5B-B257-A8370AF4657C}" name="CCMA Report Name" dataDxfId="22"/>
    <tableColumn id="3" xr3:uid="{8ACFC4B1-3718-48F1-85F5-69785EB37FC7}" name="Frequency" dataDxfId="21"/>
    <tableColumn id="4" xr3:uid="{86E622F8-FC55-4E17-84F0-CBBF740F072C}" name="Cover Date" dataDxfId="20"/>
    <tableColumn id="5" xr3:uid="{52E458E9-2B2A-4F9A-9DC1-7EE59983FC6B}" name="Published Date" dataDxfId="19"/>
    <tableColumn id="6" xr3:uid="{D068F07E-C7AE-4975-A4A6-268A4C8FEED3}" name="material_name" dataDxfId="1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206641-C779-43A6-B328-53D7F2427C50}" name="CEH" displayName="CEH" ref="A1:D97" totalsRowShown="0" headerRowDxfId="17" dataDxfId="16" tableBorderDxfId="15">
  <autoFilter ref="A1:D97" xr:uid="{5334E28E-595E-4F21-9C18-0E1826EAED5C}"/>
  <sortState xmlns:xlrd2="http://schemas.microsoft.com/office/spreadsheetml/2017/richdata2" ref="A2:D81">
    <sortCondition ref="A1:A81"/>
  </sortState>
  <tableColumns count="4">
    <tableColumn id="1" xr3:uid="{8701E67A-AE5C-4258-A164-3B15E5978B44}" name="CEH Report name" dataDxfId="14"/>
    <tableColumn id="3" xr3:uid="{A4C30152-61D3-46C2-B579-5C0CF79E6053}" name="Downstream 대상" dataDxfId="13"/>
    <tableColumn id="5" xr3:uid="{0C68789B-6D61-4B6A-8B95-6FE5F94C04E1}" name="Publication Year2" dataDxfId="12"/>
    <tableColumn id="6" xr3:uid="{237606B7-0D32-4628-8C39-96156ADE2935}" name="material_name" dataDxfId="1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A5DC12-C774-4094-B2D2-06384F4F2631}" name="표2" displayName="표2" ref="A1:M114" totalsRowShown="0">
  <autoFilter ref="A1:M114" xr:uid="{58A5DC12-C774-4094-B2D2-06384F4F2631}"/>
  <sortState xmlns:xlrd2="http://schemas.microsoft.com/office/spreadsheetml/2017/richdata2" ref="A2:I100">
    <sortCondition ref="A1:A100"/>
  </sortState>
  <tableColumns count="13">
    <tableColumn id="1" xr3:uid="{8A7558A9-C918-4FAF-8C33-C287BE025DB3}" name="material_id"/>
    <tableColumn id="3" xr3:uid="{8A85F034-DF3B-44C9-9E51-50661E5D53C1}" name="material_group"/>
    <tableColumn id="2" xr3:uid="{E0883773-7DC7-45AF-85B7-C29E7A5E523F}" name="material_name"/>
    <tableColumn id="4" xr3:uid="{FDE30E60-A954-4DB9-B9CC-46226569A71D}" name="material_type"/>
    <tableColumn id="9" xr3:uid="{0F38773D-F594-4DBC-8917-4B8808F1AD7E}" name="material_subtype"/>
    <tableColumn id="7" xr3:uid="{4B78A951-8AF0-41A8-98E7-8C29CB511FB6}" name="vertical_order"/>
    <tableColumn id="8" xr3:uid="{0AD4DE31-52F7-4670-BFBF-41E8DCC216A0}" name="hsk10"/>
    <tableColumn id="5" xr3:uid="{5B491150-7223-4258-8F0C-406EC97FB36E}" name="remarks"/>
    <tableColumn id="6" xr3:uid="{4DA2D092-D5C9-4CCE-BBFA-F99BD80AF685}" name="visual_exclude"/>
    <tableColumn id="10" xr3:uid="{925D3F41-3914-46A8-9F69-B92C586609FC}" name="ccma_snp" dataDxfId="29">
      <calculatedColumnFormula>IF(COUNTIF(CCMA[material_name],C2)&gt;0,"O","X")</calculatedColumnFormula>
    </tableColumn>
    <tableColumn id="12" xr3:uid="{93B51012-202A-4AA2-9502-E78CB81A3A2A}" name="ceh_ceh" dataDxfId="28">
      <calculatedColumnFormula>IF(COUNTIF(CEH[material_name],C2)&gt;0,"O","X")</calculatedColumnFormula>
    </tableColumn>
    <tableColumn id="13" xr3:uid="{5E535D01-78A1-4170-A236-8FA6ABD47942}" name="has_supplier" dataDxfId="27">
      <calculatedColumnFormula>IF(COUNTIF(표8[material_id],표2[[#This Row],[material_id]])&gt;0, "O", "X")</calculatedColumnFormula>
    </tableColumn>
    <tableColumn id="11" xr3:uid="{9578C6A0-EFFC-42E9-A615-2CA6F106D856}" name="is_ulsan" dataDxfId="26">
      <calculatedColumnFormula>IF(COUNTIFS(표8[material_id],표2[[#This Row],[material_id]],표8[location],"울산")&gt;0, "O", "X")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18A6AD-F328-4A1F-A40F-562BCA5E0481}" name="표1" displayName="표1" ref="A1:E103" totalsRowShown="0">
  <autoFilter ref="A1:E103" xr:uid="{8218A6AD-F328-4A1F-A40F-562BCA5E0481}"/>
  <tableColumns count="5">
    <tableColumn id="1" xr3:uid="{AF938E6E-C78E-4989-A143-981F636038A6}" name="route_id"/>
    <tableColumn id="2" xr3:uid="{50E61679-5C9C-455A-95D3-37527A15BDC8}" name="route_name"/>
    <tableColumn id="3" xr3:uid="{EA129095-8D23-449D-B378-8AF5AA2E0F46}" name="route_category"/>
    <tableColumn id="4" xr3:uid="{FC3E48C6-9905-4F7B-9595-24504BD2F997}" name="route_depth"/>
    <tableColumn id="5" xr3:uid="{C4E251BD-66F9-4D13-BF11-F67A75568D77}" name="remark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9F947D-5803-497C-B347-524BAFE83880}" name="표3" displayName="표3" ref="A1:E118" totalsRowShown="0">
  <autoFilter ref="A1:E118" xr:uid="{319F947D-5803-497C-B347-524BAFE83880}"/>
  <tableColumns count="5">
    <tableColumn id="1" xr3:uid="{37B4BF0E-EF23-494D-81CC-3F6E2B985A80}" name="route_id"/>
    <tableColumn id="2" xr3:uid="{F6F34623-0A9E-4A1B-B06B-612FA79053FF}" name="material_id"/>
    <tableColumn id="3" xr3:uid="{56A39D93-A516-4295-A833-A4C2E69FFC0C}" name="input_role"/>
    <tableColumn id="4" xr3:uid="{1C7DE01B-BFE2-432E-9490-D7A952429FCC}" name="seq_no"/>
    <tableColumn id="5" xr3:uid="{937F011F-D425-41A6-A77E-AFB0CF8DA572}" name="remark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0509C7-E76F-4AAE-A013-BED08697F5A0}" name="표4" displayName="표4" ref="A1:E104" totalsRowShown="0">
  <autoFilter ref="A1:E104" xr:uid="{AE0509C7-E76F-4AAE-A013-BED08697F5A0}"/>
  <tableColumns count="5">
    <tableColumn id="1" xr3:uid="{172ED76C-8FE1-403B-B64B-006301660189}" name="route_id"/>
    <tableColumn id="2" xr3:uid="{CD7417C0-560D-4558-A022-474C0791BFCE}" name="material_id"/>
    <tableColumn id="3" xr3:uid="{44AE08DB-D698-4D71-8000-EA44350ADC14}" name="output_role"/>
    <tableColumn id="4" xr3:uid="{2612E33D-CD63-4AA6-8239-2A07DD79CB22}" name="seq_no"/>
    <tableColumn id="5" xr3:uid="{8F948AA9-1B4F-42BA-80C1-3ED2585BDC6B}" name="remarks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485BB3-AE31-494A-94C2-315F7035CD0B}" name="표6" displayName="표6" ref="A1:C29" totalsRowShown="0">
  <autoFilter ref="A1:C29" xr:uid="{72485BB3-AE31-494A-94C2-315F7035CD0B}"/>
  <tableColumns count="3">
    <tableColumn id="1" xr3:uid="{9B2CB656-A8E3-4741-9BBA-0FC866906D90}" name="licensor_id"/>
    <tableColumn id="2" xr3:uid="{365D2B6A-0A5A-4666-94FB-D6A372A34616}" name="licensor_name"/>
    <tableColumn id="3" xr3:uid="{3A3EC351-59CA-47FA-85B3-DBCDB6193653}" name="remarks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80B997-BCC4-46D6-8AD7-34F304E1EBEC}" name="표5" displayName="표5" ref="A1:C59" totalsRowShown="0">
  <autoFilter ref="A1:C59" xr:uid="{2680B997-BCC4-46D6-8AD7-34F304E1EBEC}"/>
  <tableColumns count="3">
    <tableColumn id="1" xr3:uid="{D8B171A9-42A8-4A07-B62D-03279BCC372A}" name="route_id"/>
    <tableColumn id="2" xr3:uid="{0E32030E-C5E7-45E2-886D-44821472BFEA}" name="licensor_id"/>
    <tableColumn id="3" xr3:uid="{E69AEDA7-4546-4335-A61C-BE321F798C90}" name="remarks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8D0145-3F75-4766-8F22-2B7F213A0A0E}" name="표7" displayName="표7" ref="A1:C56" totalsRowShown="0" headerRowDxfId="10" tableBorderDxfId="9">
  <autoFilter ref="A1:C56" xr:uid="{988D0145-3F75-4766-8F22-2B7F213A0A0E}"/>
  <tableColumns count="3">
    <tableColumn id="1" xr3:uid="{6BB3C325-E378-494B-8658-DFA03BEE5EC2}" name="supplier_id" dataDxfId="8"/>
    <tableColumn id="2" xr3:uid="{DEA6BFD5-F301-478A-8C32-60D29F64785D}" name="supplier_name"/>
    <tableColumn id="3" xr3:uid="{BC1D1EDC-ADC4-4D1E-A0A8-CF82814F5708}" name="remark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FBAFCB-1352-4E9C-9D70-4E9F53000FD3}" name="표8" displayName="표8" ref="A1:I257" totalsRowShown="0" headerRowDxfId="7" tableBorderDxfId="6">
  <autoFilter ref="A1:I257" xr:uid="{6FFBAFCB-1352-4E9C-9D70-4E9F53000FD3}"/>
  <sortState xmlns:xlrd2="http://schemas.microsoft.com/office/spreadsheetml/2017/richdata2" ref="A2:I252">
    <sortCondition ref="A1:A252"/>
  </sortState>
  <tableColumns count="9">
    <tableColumn id="1" xr3:uid="{12F0CAA4-2E26-489B-9552-16FE76A428C0}" name="material_id" dataDxfId="5"/>
    <tableColumn id="2" xr3:uid="{42641D2C-48F0-4482-B991-D8C701A4A414}" name="supplier_id" dataDxfId="4"/>
    <tableColumn id="7" xr3:uid="{C853D5F4-B3FC-4FCD-9DF9-05F850CC01BB}" name="열1" dataDxfId="3">
      <calculatedColumnFormula>_xlfn.XLOOKUP(표8[[#This Row],[supplier_id]],표7[supplier_id],표7[supplier_name])</calculatedColumnFormula>
    </tableColumn>
    <tableColumn id="4" xr3:uid="{7C63F152-DC19-490F-BEE8-B2DDA5A0A3C6}" name="estimated_capacity" dataDxfId="2"/>
    <tableColumn id="9" xr3:uid="{79A6CA5E-5ABE-473D-A0BF-3AD3ED75DDBE}" name="capacity_unit" dataDxfId="1"/>
    <tableColumn id="3" xr3:uid="{0715DE87-36F5-4FBB-8E82-58C22846AD76}" name="location" dataDxfId="0"/>
    <tableColumn id="5" xr3:uid="{1CD33AA1-B102-4408-AF4D-6DF4634950F5}" name="source_type"/>
    <tableColumn id="10" xr3:uid="{75C980CA-1009-4854-A174-027876A8AF39}" name="source_year"/>
    <tableColumn id="6" xr3:uid="{D155A232-0361-4D95-A82D-5D68EA1F8A6B}" name="remark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3" dT="2026-05-13T04:21:15.21" personId="{8347A911-FB60-4CDD-95F5-37932B9B2DD3}" id="{E2D63A4D-75CA-4AB4-BFE5-3E605F209520}">
    <text>C3: Propionaldehyde
C4: n-Butyraldehyde, isobutyraldehyde
C5: Valeraldehyde, isovaleraldehyde
C7: Heptanoic Acid
C9: Pelargonic Acid
C8~C13 Branched acids: isooctanoic, isononanoic, isodecanoic, isotridecanoic
C9~C28 Neo acids: neopentanoic, neoheptanoic, neooctanoic, neononanoic, neodecanoic
Oxo plasticizer and detergent alcohols (branched C6-C13 and linear oxo C7-C15)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36" dT="2026-05-13T09:04:23.66" personId="{8347A911-FB60-4CDD-95F5-37932B9B2DD3}" id="{F66435ED-0C9E-43FE-890A-A90FBEE07CAB}">
    <text>Oxo chemical의 일부</text>
  </threadedComment>
  <threadedComment ref="G73" dT="2026-04-07T05:11:03.73" personId="{8347A911-FB60-4CDD-95F5-37932B9B2DD3}" id="{583DACAD-58E4-4A7B-BBE0-F54E7FD002A2}">
    <text>Mixed 인지 불명확</text>
  </threadedComment>
  <threadedComment ref="G77" dT="2026-04-07T05:12:26.45" personId="{8347A911-FB60-4CDD-95F5-37932B9B2DD3}" id="{527C89FA-3535-45ED-AB16-7B5845EE7CC2}">
    <text>1-hexene인지 불분명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A751-F485-4E9B-97B7-C16AB02845DC}">
  <dimension ref="A3:I25"/>
  <sheetViews>
    <sheetView workbookViewId="0">
      <selection activeCell="F15" sqref="F15"/>
    </sheetView>
  </sheetViews>
  <sheetFormatPr defaultRowHeight="16.5" x14ac:dyDescent="0.3"/>
  <cols>
    <col min="1" max="1" width="17.625" bestFit="1" customWidth="1"/>
    <col min="2" max="2" width="14.75" bestFit="1" customWidth="1"/>
    <col min="3" max="4" width="5.5" bestFit="1" customWidth="1"/>
  </cols>
  <sheetData>
    <row r="3" spans="1:9" x14ac:dyDescent="0.3">
      <c r="A3" s="19" t="s">
        <v>1002</v>
      </c>
    </row>
    <row r="4" spans="1:9" x14ac:dyDescent="0.3">
      <c r="A4" s="19" t="s">
        <v>1005</v>
      </c>
      <c r="B4" s="19" t="s">
        <v>998</v>
      </c>
      <c r="C4" t="s">
        <v>1006</v>
      </c>
    </row>
    <row r="5" spans="1:9" x14ac:dyDescent="0.3">
      <c r="A5" t="s">
        <v>5</v>
      </c>
      <c r="B5" t="s">
        <v>1003</v>
      </c>
      <c r="C5">
        <v>12</v>
      </c>
    </row>
    <row r="6" spans="1:9" x14ac:dyDescent="0.3">
      <c r="B6" t="s">
        <v>1004</v>
      </c>
      <c r="C6">
        <v>16</v>
      </c>
    </row>
    <row r="7" spans="1:9" x14ac:dyDescent="0.3">
      <c r="A7" t="s">
        <v>1007</v>
      </c>
      <c r="C7">
        <v>28</v>
      </c>
    </row>
    <row r="8" spans="1:9" x14ac:dyDescent="0.3">
      <c r="A8" t="s">
        <v>7</v>
      </c>
      <c r="B8" t="s">
        <v>1003</v>
      </c>
      <c r="C8">
        <v>13</v>
      </c>
    </row>
    <row r="9" spans="1:9" x14ac:dyDescent="0.3">
      <c r="B9" t="s">
        <v>1004</v>
      </c>
      <c r="C9">
        <v>12</v>
      </c>
    </row>
    <row r="10" spans="1:9" x14ac:dyDescent="0.3">
      <c r="A10" t="s">
        <v>1008</v>
      </c>
      <c r="C10">
        <v>25</v>
      </c>
    </row>
    <row r="11" spans="1:9" x14ac:dyDescent="0.3">
      <c r="A11" t="s">
        <v>13</v>
      </c>
      <c r="B11" t="s">
        <v>1003</v>
      </c>
      <c r="C11">
        <v>6</v>
      </c>
    </row>
    <row r="12" spans="1:9" x14ac:dyDescent="0.3">
      <c r="B12" t="s">
        <v>1004</v>
      </c>
      <c r="C12">
        <v>9</v>
      </c>
    </row>
    <row r="13" spans="1:9" x14ac:dyDescent="0.3">
      <c r="A13" t="s">
        <v>1009</v>
      </c>
      <c r="C13">
        <v>15</v>
      </c>
    </row>
    <row r="14" spans="1:9" x14ac:dyDescent="0.3">
      <c r="A14" t="s">
        <v>9</v>
      </c>
      <c r="B14" t="s">
        <v>1003</v>
      </c>
      <c r="C14">
        <v>12</v>
      </c>
    </row>
    <row r="15" spans="1:9" x14ac:dyDescent="0.3">
      <c r="B15" t="s">
        <v>1004</v>
      </c>
      <c r="C15">
        <v>5</v>
      </c>
    </row>
    <row r="16" spans="1:9" x14ac:dyDescent="0.3">
      <c r="A16" t="s">
        <v>1010</v>
      </c>
      <c r="C16">
        <v>17</v>
      </c>
      <c r="F16" t="s">
        <v>1014</v>
      </c>
      <c r="G16" s="20">
        <v>12</v>
      </c>
      <c r="H16">
        <v>16</v>
      </c>
      <c r="I16" s="21">
        <f>G16+H16</f>
        <v>28</v>
      </c>
    </row>
    <row r="17" spans="1:9" x14ac:dyDescent="0.3">
      <c r="A17" t="s">
        <v>899</v>
      </c>
      <c r="B17" t="s">
        <v>1003</v>
      </c>
      <c r="C17">
        <v>2</v>
      </c>
      <c r="F17" t="s">
        <v>1015</v>
      </c>
      <c r="G17">
        <v>13</v>
      </c>
      <c r="H17">
        <v>12</v>
      </c>
      <c r="I17">
        <f t="shared" ref="I17:I21" si="0">G17+H17</f>
        <v>25</v>
      </c>
    </row>
    <row r="18" spans="1:9" x14ac:dyDescent="0.3">
      <c r="A18" t="s">
        <v>1011</v>
      </c>
      <c r="C18">
        <v>2</v>
      </c>
      <c r="F18" t="s">
        <v>768</v>
      </c>
      <c r="G18">
        <v>6</v>
      </c>
      <c r="H18">
        <v>9</v>
      </c>
      <c r="I18">
        <f t="shared" si="0"/>
        <v>15</v>
      </c>
    </row>
    <row r="19" spans="1:9" x14ac:dyDescent="0.3">
      <c r="A19" t="s">
        <v>916</v>
      </c>
      <c r="B19" t="s">
        <v>1003</v>
      </c>
      <c r="C19">
        <v>4</v>
      </c>
      <c r="F19" t="s">
        <v>1016</v>
      </c>
      <c r="G19">
        <v>12</v>
      </c>
      <c r="H19">
        <v>5</v>
      </c>
      <c r="I19">
        <f t="shared" si="0"/>
        <v>17</v>
      </c>
    </row>
    <row r="20" spans="1:9" x14ac:dyDescent="0.3">
      <c r="B20" t="s">
        <v>1004</v>
      </c>
      <c r="C20">
        <v>5</v>
      </c>
      <c r="G20" s="20">
        <v>2</v>
      </c>
      <c r="H20">
        <v>0</v>
      </c>
      <c r="I20" s="21">
        <f t="shared" si="0"/>
        <v>2</v>
      </c>
    </row>
    <row r="21" spans="1:9" x14ac:dyDescent="0.3">
      <c r="A21" t="s">
        <v>1012</v>
      </c>
      <c r="C21">
        <v>9</v>
      </c>
      <c r="G21">
        <v>4</v>
      </c>
      <c r="H21">
        <v>5</v>
      </c>
      <c r="I21">
        <f t="shared" si="0"/>
        <v>9</v>
      </c>
    </row>
    <row r="22" spans="1:9" x14ac:dyDescent="0.3">
      <c r="A22" t="s">
        <v>864</v>
      </c>
      <c r="B22" t="s">
        <v>1003</v>
      </c>
      <c r="C22">
        <v>3</v>
      </c>
    </row>
    <row r="23" spans="1:9" x14ac:dyDescent="0.3">
      <c r="B23" t="s">
        <v>1004</v>
      </c>
      <c r="C23">
        <v>2</v>
      </c>
    </row>
    <row r="24" spans="1:9" x14ac:dyDescent="0.3">
      <c r="A24" t="s">
        <v>1013</v>
      </c>
      <c r="C24">
        <v>5</v>
      </c>
    </row>
    <row r="25" spans="1:9" x14ac:dyDescent="0.3">
      <c r="A25" t="s">
        <v>1001</v>
      </c>
      <c r="C25">
        <v>101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E708-0352-441A-9D1E-171318E02E39}">
  <dimension ref="A1:E36"/>
  <sheetViews>
    <sheetView zoomScale="85" zoomScaleNormal="85" workbookViewId="0">
      <selection activeCell="B2" sqref="B2"/>
    </sheetView>
  </sheetViews>
  <sheetFormatPr defaultRowHeight="16.5" x14ac:dyDescent="0.3"/>
  <cols>
    <col min="1" max="1" width="26.375" bestFit="1" customWidth="1"/>
    <col min="2" max="2" width="11.25" customWidth="1"/>
    <col min="3" max="3" width="12.25" customWidth="1"/>
    <col min="4" max="4" width="24" bestFit="1" customWidth="1"/>
    <col min="5" max="5" width="24" customWidth="1"/>
  </cols>
  <sheetData>
    <row r="1" spans="1:5" x14ac:dyDescent="0.3">
      <c r="A1" s="6" t="s">
        <v>993</v>
      </c>
      <c r="B1" s="6" t="s">
        <v>924</v>
      </c>
      <c r="C1" s="6" t="s">
        <v>923</v>
      </c>
      <c r="D1" s="6" t="s">
        <v>922</v>
      </c>
      <c r="E1" s="6" t="s">
        <v>2</v>
      </c>
    </row>
    <row r="2" spans="1:5" x14ac:dyDescent="0.3">
      <c r="A2" s="11" t="s">
        <v>7</v>
      </c>
      <c r="B2" s="11" t="s">
        <v>857</v>
      </c>
      <c r="C2" s="12">
        <v>46135</v>
      </c>
      <c r="D2" s="11" t="s">
        <v>858</v>
      </c>
      <c r="E2" s="11" t="s">
        <v>7</v>
      </c>
    </row>
    <row r="3" spans="1:5" x14ac:dyDescent="0.3">
      <c r="A3" s="11" t="s">
        <v>127</v>
      </c>
      <c r="B3" s="11" t="s">
        <v>857</v>
      </c>
      <c r="C3" s="12">
        <v>46113</v>
      </c>
      <c r="D3" s="11" t="s">
        <v>859</v>
      </c>
      <c r="E3" s="11" t="s">
        <v>913</v>
      </c>
    </row>
    <row r="4" spans="1:5" x14ac:dyDescent="0.3">
      <c r="A4" s="11" t="s">
        <v>21</v>
      </c>
      <c r="B4" s="11" t="s">
        <v>857</v>
      </c>
      <c r="C4" s="12">
        <v>46113</v>
      </c>
      <c r="D4" s="11" t="s">
        <v>859</v>
      </c>
      <c r="E4" s="11" t="s">
        <v>21</v>
      </c>
    </row>
    <row r="5" spans="1:5" x14ac:dyDescent="0.3">
      <c r="A5" s="11" t="s">
        <v>860</v>
      </c>
      <c r="B5" s="11" t="s">
        <v>857</v>
      </c>
      <c r="C5" s="12">
        <v>46091</v>
      </c>
      <c r="D5" s="11" t="s">
        <v>861</v>
      </c>
      <c r="E5" s="11" t="s">
        <v>108</v>
      </c>
    </row>
    <row r="6" spans="1:5" x14ac:dyDescent="0.3">
      <c r="A6" s="11" t="s">
        <v>862</v>
      </c>
      <c r="B6" s="11" t="s">
        <v>857</v>
      </c>
      <c r="C6" s="12">
        <v>46087</v>
      </c>
      <c r="D6" s="11" t="s">
        <v>863</v>
      </c>
      <c r="E6" s="11" t="s">
        <v>35</v>
      </c>
    </row>
    <row r="7" spans="1:5" x14ac:dyDescent="0.3">
      <c r="A7" s="11" t="s">
        <v>864</v>
      </c>
      <c r="B7" s="11" t="s">
        <v>857</v>
      </c>
      <c r="C7" s="12">
        <v>46087</v>
      </c>
      <c r="D7" s="11" t="s">
        <v>865</v>
      </c>
      <c r="E7" s="11" t="s">
        <v>864</v>
      </c>
    </row>
    <row r="8" spans="1:5" x14ac:dyDescent="0.3">
      <c r="A8" s="11" t="s">
        <v>94</v>
      </c>
      <c r="B8" s="11" t="s">
        <v>857</v>
      </c>
      <c r="C8" s="12">
        <v>46087</v>
      </c>
      <c r="D8" s="11" t="s">
        <v>866</v>
      </c>
      <c r="E8" s="11" t="s">
        <v>910</v>
      </c>
    </row>
    <row r="9" spans="1:5" x14ac:dyDescent="0.3">
      <c r="A9" s="11" t="s">
        <v>867</v>
      </c>
      <c r="B9" s="11" t="s">
        <v>857</v>
      </c>
      <c r="C9" s="12">
        <v>46087</v>
      </c>
      <c r="D9" s="11" t="s">
        <v>868</v>
      </c>
      <c r="E9" s="11" t="s">
        <v>916</v>
      </c>
    </row>
    <row r="10" spans="1:5" x14ac:dyDescent="0.3">
      <c r="A10" s="11" t="s">
        <v>869</v>
      </c>
      <c r="B10" s="11" t="s">
        <v>857</v>
      </c>
      <c r="C10" s="12">
        <v>46087</v>
      </c>
      <c r="D10" s="11" t="s">
        <v>870</v>
      </c>
      <c r="E10" s="11" t="s">
        <v>905</v>
      </c>
    </row>
    <row r="11" spans="1:5" x14ac:dyDescent="0.3">
      <c r="A11" s="11" t="s">
        <v>99</v>
      </c>
      <c r="B11" s="11" t="s">
        <v>857</v>
      </c>
      <c r="C11" s="12">
        <v>46087</v>
      </c>
      <c r="D11" s="11" t="s">
        <v>871</v>
      </c>
      <c r="E11" s="11" t="s">
        <v>99</v>
      </c>
    </row>
    <row r="12" spans="1:5" x14ac:dyDescent="0.3">
      <c r="A12" s="11" t="s">
        <v>872</v>
      </c>
      <c r="B12" s="11" t="s">
        <v>857</v>
      </c>
      <c r="C12" s="12">
        <v>46087</v>
      </c>
      <c r="D12" s="11" t="s">
        <v>870</v>
      </c>
      <c r="E12" s="11" t="s">
        <v>114</v>
      </c>
    </row>
    <row r="13" spans="1:5" x14ac:dyDescent="0.3">
      <c r="A13" s="11" t="s">
        <v>9</v>
      </c>
      <c r="B13" s="11" t="s">
        <v>857</v>
      </c>
      <c r="C13" s="12">
        <v>46087</v>
      </c>
      <c r="D13" s="11" t="s">
        <v>870</v>
      </c>
      <c r="E13" s="11" t="s">
        <v>9</v>
      </c>
    </row>
    <row r="14" spans="1:5" x14ac:dyDescent="0.3">
      <c r="A14" s="11" t="s">
        <v>873</v>
      </c>
      <c r="B14" s="11" t="s">
        <v>857</v>
      </c>
      <c r="C14" s="12">
        <v>46087</v>
      </c>
      <c r="D14" s="11" t="s">
        <v>874</v>
      </c>
      <c r="E14" s="11"/>
    </row>
    <row r="15" spans="1:5" x14ac:dyDescent="0.3">
      <c r="A15" s="11" t="s">
        <v>875</v>
      </c>
      <c r="B15" s="11" t="s">
        <v>857</v>
      </c>
      <c r="C15" s="12">
        <v>46087</v>
      </c>
      <c r="D15" s="11" t="s">
        <v>876</v>
      </c>
      <c r="E15" s="11" t="s">
        <v>906</v>
      </c>
    </row>
    <row r="16" spans="1:5" x14ac:dyDescent="0.3">
      <c r="A16" s="11" t="s">
        <v>877</v>
      </c>
      <c r="B16" s="11" t="s">
        <v>857</v>
      </c>
      <c r="C16" s="12">
        <v>46087</v>
      </c>
      <c r="D16" s="11" t="s">
        <v>878</v>
      </c>
      <c r="E16" s="11" t="s">
        <v>5</v>
      </c>
    </row>
    <row r="17" spans="1:5" x14ac:dyDescent="0.3">
      <c r="A17" s="11" t="s">
        <v>879</v>
      </c>
      <c r="B17" s="11" t="s">
        <v>857</v>
      </c>
      <c r="C17" s="12">
        <v>46087</v>
      </c>
      <c r="D17" s="11" t="s">
        <v>870</v>
      </c>
      <c r="E17" s="11" t="s">
        <v>115</v>
      </c>
    </row>
    <row r="18" spans="1:5" x14ac:dyDescent="0.3">
      <c r="A18" s="11" t="s">
        <v>880</v>
      </c>
      <c r="B18" s="11" t="s">
        <v>857</v>
      </c>
      <c r="C18" s="12">
        <v>46087</v>
      </c>
      <c r="D18" s="11" t="s">
        <v>870</v>
      </c>
      <c r="E18" s="11" t="s">
        <v>919</v>
      </c>
    </row>
    <row r="19" spans="1:5" x14ac:dyDescent="0.3">
      <c r="A19" s="11" t="s">
        <v>25</v>
      </c>
      <c r="B19" s="11" t="s">
        <v>857</v>
      </c>
      <c r="C19" s="12">
        <v>46087</v>
      </c>
      <c r="D19" s="11" t="s">
        <v>870</v>
      </c>
      <c r="E19" s="11" t="s">
        <v>25</v>
      </c>
    </row>
    <row r="20" spans="1:5" x14ac:dyDescent="0.3">
      <c r="A20" s="11" t="s">
        <v>5</v>
      </c>
      <c r="B20" s="11" t="s">
        <v>857</v>
      </c>
      <c r="C20" s="12">
        <v>46087</v>
      </c>
      <c r="D20" s="11" t="s">
        <v>881</v>
      </c>
      <c r="E20" s="11" t="s">
        <v>5</v>
      </c>
    </row>
    <row r="21" spans="1:5" x14ac:dyDescent="0.3">
      <c r="A21" s="11" t="s">
        <v>882</v>
      </c>
      <c r="B21" s="11" t="s">
        <v>857</v>
      </c>
      <c r="C21" s="12">
        <v>46087</v>
      </c>
      <c r="D21" s="11" t="s">
        <v>883</v>
      </c>
      <c r="E21" s="11" t="s">
        <v>908</v>
      </c>
    </row>
    <row r="22" spans="1:5" x14ac:dyDescent="0.3">
      <c r="A22" s="11" t="s">
        <v>884</v>
      </c>
      <c r="B22" s="11" t="s">
        <v>857</v>
      </c>
      <c r="C22" s="12">
        <v>46087</v>
      </c>
      <c r="D22" s="11" t="s">
        <v>870</v>
      </c>
      <c r="E22" s="11" t="s">
        <v>912</v>
      </c>
    </row>
    <row r="23" spans="1:5" x14ac:dyDescent="0.3">
      <c r="A23" s="11" t="s">
        <v>885</v>
      </c>
      <c r="B23" s="11" t="s">
        <v>857</v>
      </c>
      <c r="C23" s="12">
        <v>46087</v>
      </c>
      <c r="D23" s="11" t="s">
        <v>886</v>
      </c>
      <c r="E23" s="11" t="s">
        <v>911</v>
      </c>
    </row>
    <row r="24" spans="1:5" x14ac:dyDescent="0.3">
      <c r="A24" s="11" t="s">
        <v>23</v>
      </c>
      <c r="B24" s="11" t="s">
        <v>857</v>
      </c>
      <c r="C24" s="12">
        <v>46087</v>
      </c>
      <c r="D24" s="11" t="s">
        <v>887</v>
      </c>
      <c r="E24" s="11" t="s">
        <v>912</v>
      </c>
    </row>
    <row r="25" spans="1:5" x14ac:dyDescent="0.3">
      <c r="A25" s="11" t="s">
        <v>888</v>
      </c>
      <c r="B25" s="11" t="s">
        <v>857</v>
      </c>
      <c r="C25" s="12">
        <v>46087</v>
      </c>
      <c r="D25" s="11" t="s">
        <v>889</v>
      </c>
      <c r="E25" s="11" t="s">
        <v>904</v>
      </c>
    </row>
    <row r="26" spans="1:5" x14ac:dyDescent="0.3">
      <c r="A26" s="11" t="s">
        <v>19</v>
      </c>
      <c r="B26" s="11" t="s">
        <v>857</v>
      </c>
      <c r="C26" s="12">
        <v>46087</v>
      </c>
      <c r="D26" s="11" t="s">
        <v>890</v>
      </c>
      <c r="E26" s="11" t="s">
        <v>19</v>
      </c>
    </row>
    <row r="27" spans="1:5" x14ac:dyDescent="0.3">
      <c r="A27" s="11" t="s">
        <v>891</v>
      </c>
      <c r="B27" s="11" t="s">
        <v>857</v>
      </c>
      <c r="C27" s="12">
        <v>46087</v>
      </c>
      <c r="D27" s="11" t="s">
        <v>870</v>
      </c>
      <c r="E27" s="11" t="s">
        <v>907</v>
      </c>
    </row>
    <row r="28" spans="1:5" x14ac:dyDescent="0.3">
      <c r="A28" s="11" t="s">
        <v>892</v>
      </c>
      <c r="B28" s="11" t="s">
        <v>857</v>
      </c>
      <c r="C28" s="12">
        <v>46087</v>
      </c>
      <c r="D28" s="11" t="s">
        <v>893</v>
      </c>
      <c r="E28" s="11" t="s">
        <v>917</v>
      </c>
    </row>
    <row r="29" spans="1:5" x14ac:dyDescent="0.3">
      <c r="A29" s="11" t="s">
        <v>894</v>
      </c>
      <c r="B29" s="11" t="s">
        <v>857</v>
      </c>
      <c r="C29" s="12">
        <v>46087</v>
      </c>
      <c r="D29" s="11" t="s">
        <v>870</v>
      </c>
      <c r="E29" s="11" t="s">
        <v>915</v>
      </c>
    </row>
    <row r="30" spans="1:5" x14ac:dyDescent="0.3">
      <c r="A30" s="11" t="s">
        <v>107</v>
      </c>
      <c r="B30" s="11" t="s">
        <v>857</v>
      </c>
      <c r="C30" s="12">
        <v>46087</v>
      </c>
      <c r="D30" s="11" t="s">
        <v>870</v>
      </c>
      <c r="E30" s="11" t="s">
        <v>909</v>
      </c>
    </row>
    <row r="31" spans="1:5" x14ac:dyDescent="0.3">
      <c r="A31" s="11" t="s">
        <v>895</v>
      </c>
      <c r="B31" s="11" t="s">
        <v>857</v>
      </c>
      <c r="C31" s="12">
        <v>46087</v>
      </c>
      <c r="D31" s="11" t="s">
        <v>870</v>
      </c>
      <c r="E31" s="11" t="s">
        <v>918</v>
      </c>
    </row>
    <row r="32" spans="1:5" x14ac:dyDescent="0.3">
      <c r="A32" s="11" t="s">
        <v>896</v>
      </c>
      <c r="B32" s="11" t="s">
        <v>857</v>
      </c>
      <c r="C32" s="12">
        <v>46087</v>
      </c>
      <c r="D32" s="11" t="s">
        <v>897</v>
      </c>
      <c r="E32" s="11" t="s">
        <v>920</v>
      </c>
    </row>
    <row r="33" spans="1:5" x14ac:dyDescent="0.3">
      <c r="A33" s="11" t="s">
        <v>898</v>
      </c>
      <c r="B33" s="11" t="s">
        <v>857</v>
      </c>
      <c r="C33" s="12">
        <v>46087</v>
      </c>
      <c r="D33" s="11" t="s">
        <v>870</v>
      </c>
      <c r="E33" s="11" t="s">
        <v>898</v>
      </c>
    </row>
    <row r="34" spans="1:5" x14ac:dyDescent="0.3">
      <c r="A34" s="11" t="s">
        <v>899</v>
      </c>
      <c r="B34" s="11" t="s">
        <v>857</v>
      </c>
      <c r="C34" s="12">
        <v>46087</v>
      </c>
      <c r="D34" s="11" t="s">
        <v>900</v>
      </c>
      <c r="E34" s="11" t="s">
        <v>899</v>
      </c>
    </row>
    <row r="35" spans="1:5" x14ac:dyDescent="0.3">
      <c r="A35" s="11" t="s">
        <v>28</v>
      </c>
      <c r="B35" s="11" t="s">
        <v>857</v>
      </c>
      <c r="C35" s="12">
        <v>46087</v>
      </c>
      <c r="D35" s="11" t="s">
        <v>901</v>
      </c>
      <c r="E35" s="11" t="s">
        <v>28</v>
      </c>
    </row>
    <row r="36" spans="1:5" x14ac:dyDescent="0.3">
      <c r="A36" s="11" t="s">
        <v>128</v>
      </c>
      <c r="B36" s="11" t="s">
        <v>857</v>
      </c>
      <c r="C36" s="12">
        <v>45749</v>
      </c>
      <c r="D36" s="11" t="s">
        <v>902</v>
      </c>
      <c r="E36" s="11" t="s">
        <v>914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3307-EEE0-4DB0-963A-6AD9882C56C1}">
  <dimension ref="A1:L102"/>
  <sheetViews>
    <sheetView topLeftCell="A51" zoomScale="85" zoomScaleNormal="85" workbookViewId="0">
      <selection activeCell="A92" sqref="A92"/>
    </sheetView>
  </sheetViews>
  <sheetFormatPr defaultRowHeight="16.5" x14ac:dyDescent="0.3"/>
  <cols>
    <col min="1" max="1" width="59.375" customWidth="1"/>
    <col min="2" max="2" width="18.875" bestFit="1" customWidth="1"/>
    <col min="3" max="3" width="12.25" customWidth="1"/>
    <col min="4" max="4" width="24" bestFit="1" customWidth="1"/>
    <col min="5" max="6" width="24" customWidth="1"/>
    <col min="7" max="7" width="17.125" bestFit="1" customWidth="1"/>
    <col min="8" max="8" width="52.125" bestFit="1" customWidth="1"/>
    <col min="10" max="10" width="60.625" customWidth="1"/>
    <col min="11" max="11" width="10.875" bestFit="1" customWidth="1"/>
  </cols>
  <sheetData>
    <row r="1" spans="1:12" x14ac:dyDescent="0.3">
      <c r="A1" s="12" t="s">
        <v>981</v>
      </c>
      <c r="B1" s="12" t="s">
        <v>982</v>
      </c>
      <c r="C1" s="12" t="s">
        <v>978</v>
      </c>
      <c r="D1" s="6" t="s">
        <v>2</v>
      </c>
      <c r="G1" t="s">
        <v>2</v>
      </c>
      <c r="H1" t="s">
        <v>0</v>
      </c>
      <c r="L1" t="s">
        <v>397</v>
      </c>
    </row>
    <row r="2" spans="1:12" x14ac:dyDescent="0.3">
      <c r="A2" s="13" t="s">
        <v>1028</v>
      </c>
      <c r="B2" s="13" t="s">
        <v>997</v>
      </c>
      <c r="C2" s="14">
        <v>2023</v>
      </c>
      <c r="D2" s="13" t="s">
        <v>1028</v>
      </c>
      <c r="G2" t="s">
        <v>5</v>
      </c>
      <c r="H2" t="s">
        <v>479</v>
      </c>
      <c r="J2" s="16" t="s">
        <v>894</v>
      </c>
      <c r="K2" t="s">
        <v>915</v>
      </c>
      <c r="L2">
        <f>_xlfn.XLOOKUP(K2,$G$2:$G$102,$H$2:$H$102)</f>
        <v>0</v>
      </c>
    </row>
    <row r="3" spans="1:12" x14ac:dyDescent="0.3">
      <c r="A3" s="14" t="s">
        <v>894</v>
      </c>
      <c r="B3" s="14" t="s">
        <v>925</v>
      </c>
      <c r="C3" s="14">
        <v>2025</v>
      </c>
      <c r="D3" s="13" t="s">
        <v>915</v>
      </c>
      <c r="G3" t="s">
        <v>29</v>
      </c>
      <c r="J3" s="16" t="s">
        <v>100</v>
      </c>
      <c r="K3" t="s">
        <v>100</v>
      </c>
      <c r="L3">
        <f t="shared" ref="L3:L66" si="0">_xlfn.XLOOKUP(K3,$G$2:$G$102,$H$2:$H$102)</f>
        <v>0</v>
      </c>
    </row>
    <row r="4" spans="1:12" x14ac:dyDescent="0.3">
      <c r="A4" s="14" t="s">
        <v>100</v>
      </c>
      <c r="B4" s="14" t="s">
        <v>925</v>
      </c>
      <c r="C4" s="14">
        <v>2025</v>
      </c>
      <c r="D4" s="13" t="s">
        <v>100</v>
      </c>
      <c r="G4" t="s">
        <v>31</v>
      </c>
      <c r="J4" s="16" t="s">
        <v>107</v>
      </c>
      <c r="K4" t="s">
        <v>909</v>
      </c>
      <c r="L4" t="str">
        <f t="shared" si="0"/>
        <v>Acrylonitrile</v>
      </c>
    </row>
    <row r="5" spans="1:12" x14ac:dyDescent="0.3">
      <c r="A5" s="13" t="s">
        <v>1066</v>
      </c>
      <c r="B5" s="13" t="s">
        <v>997</v>
      </c>
      <c r="C5" s="14">
        <v>2023</v>
      </c>
      <c r="D5" s="13" t="s">
        <v>1067</v>
      </c>
      <c r="G5" t="s">
        <v>32</v>
      </c>
      <c r="J5" s="16" t="s">
        <v>926</v>
      </c>
      <c r="K5" t="s">
        <v>108</v>
      </c>
      <c r="L5" t="str">
        <f t="shared" si="0"/>
        <v>Acrylonitrile Butadiene Stryrene</v>
      </c>
    </row>
    <row r="6" spans="1:12" x14ac:dyDescent="0.3">
      <c r="A6" s="13" t="s">
        <v>1066</v>
      </c>
      <c r="B6" s="13" t="s">
        <v>997</v>
      </c>
      <c r="C6" s="14">
        <v>2023</v>
      </c>
      <c r="D6" s="13" t="s">
        <v>1069</v>
      </c>
      <c r="G6" t="s">
        <v>466</v>
      </c>
      <c r="H6" t="s">
        <v>33</v>
      </c>
      <c r="J6" s="16" t="s">
        <v>927</v>
      </c>
      <c r="K6" t="s">
        <v>927</v>
      </c>
      <c r="L6">
        <f t="shared" si="0"/>
        <v>0</v>
      </c>
    </row>
    <row r="7" spans="1:12" ht="18" x14ac:dyDescent="0.3">
      <c r="A7" s="14" t="s">
        <v>107</v>
      </c>
      <c r="B7" s="14" t="s">
        <v>925</v>
      </c>
      <c r="C7" s="14">
        <v>2025</v>
      </c>
      <c r="D7" s="13" t="s">
        <v>909</v>
      </c>
      <c r="G7" t="s">
        <v>47</v>
      </c>
      <c r="H7" t="s">
        <v>34</v>
      </c>
      <c r="J7" s="16" t="s">
        <v>979</v>
      </c>
      <c r="L7" t="e">
        <f t="shared" si="0"/>
        <v>#N/A</v>
      </c>
    </row>
    <row r="8" spans="1:12" ht="18" x14ac:dyDescent="0.3">
      <c r="A8" s="14" t="s">
        <v>926</v>
      </c>
      <c r="B8" s="14" t="s">
        <v>925</v>
      </c>
      <c r="C8" s="14">
        <v>2026</v>
      </c>
      <c r="D8" s="13" t="s">
        <v>108</v>
      </c>
      <c r="G8" t="s">
        <v>35</v>
      </c>
      <c r="H8" t="s">
        <v>481</v>
      </c>
      <c r="J8" s="16" t="s">
        <v>980</v>
      </c>
      <c r="L8" t="e">
        <f t="shared" si="0"/>
        <v>#N/A</v>
      </c>
    </row>
    <row r="9" spans="1:12" x14ac:dyDescent="0.3">
      <c r="A9" s="14" t="s">
        <v>927</v>
      </c>
      <c r="B9" s="14" t="s">
        <v>925</v>
      </c>
      <c r="C9" s="14">
        <v>2025</v>
      </c>
      <c r="D9" s="13" t="s">
        <v>927</v>
      </c>
      <c r="G9" t="s">
        <v>40</v>
      </c>
      <c r="J9" s="16" t="s">
        <v>928</v>
      </c>
      <c r="K9" t="s">
        <v>983</v>
      </c>
      <c r="L9" t="str">
        <f t="shared" si="0"/>
        <v>Linear Alkylbenzene</v>
      </c>
    </row>
    <row r="10" spans="1:12" ht="18" x14ac:dyDescent="0.3">
      <c r="A10" s="14" t="s">
        <v>979</v>
      </c>
      <c r="B10" s="14" t="s">
        <v>925</v>
      </c>
      <c r="C10" s="14">
        <v>2024</v>
      </c>
      <c r="D10" s="13" t="s">
        <v>1025</v>
      </c>
      <c r="G10" t="s">
        <v>41</v>
      </c>
      <c r="J10" s="16" t="s">
        <v>9</v>
      </c>
      <c r="K10" t="s">
        <v>9</v>
      </c>
      <c r="L10">
        <f t="shared" si="0"/>
        <v>0</v>
      </c>
    </row>
    <row r="11" spans="1:12" ht="18" x14ac:dyDescent="0.3">
      <c r="A11" s="14" t="s">
        <v>980</v>
      </c>
      <c r="B11" s="14" t="s">
        <v>991</v>
      </c>
      <c r="C11" s="14">
        <v>2024</v>
      </c>
      <c r="D11" s="13"/>
      <c r="G11" t="s">
        <v>36</v>
      </c>
      <c r="J11" s="16" t="s">
        <v>127</v>
      </c>
      <c r="K11" t="s">
        <v>913</v>
      </c>
      <c r="L11" t="str">
        <f t="shared" si="0"/>
        <v>Bisphenol A</v>
      </c>
    </row>
    <row r="12" spans="1:12" x14ac:dyDescent="0.3">
      <c r="A12" s="13" t="s">
        <v>1023</v>
      </c>
      <c r="B12" s="14" t="s">
        <v>925</v>
      </c>
      <c r="C12" s="14">
        <v>2024</v>
      </c>
      <c r="D12" s="13" t="s">
        <v>41</v>
      </c>
      <c r="G12" t="s">
        <v>37</v>
      </c>
      <c r="J12" s="16" t="s">
        <v>25</v>
      </c>
      <c r="K12" t="s">
        <v>25</v>
      </c>
      <c r="L12" t="str">
        <f t="shared" si="0"/>
        <v>BD</v>
      </c>
    </row>
    <row r="13" spans="1:12" x14ac:dyDescent="0.3">
      <c r="A13" s="14" t="s">
        <v>1020</v>
      </c>
      <c r="B13" s="14" t="s">
        <v>925</v>
      </c>
      <c r="C13" s="14">
        <v>2024</v>
      </c>
      <c r="D13" s="13" t="s">
        <v>983</v>
      </c>
      <c r="G13" t="s">
        <v>478</v>
      </c>
      <c r="H13" t="s">
        <v>42</v>
      </c>
      <c r="J13" s="16" t="s">
        <v>929</v>
      </c>
      <c r="L13" t="e">
        <f t="shared" si="0"/>
        <v>#N/A</v>
      </c>
    </row>
    <row r="14" spans="1:12" x14ac:dyDescent="0.3">
      <c r="A14" s="14" t="s">
        <v>9</v>
      </c>
      <c r="B14" s="14" t="s">
        <v>925</v>
      </c>
      <c r="C14" s="14">
        <v>2026</v>
      </c>
      <c r="D14" s="13" t="s">
        <v>9</v>
      </c>
      <c r="G14" t="s">
        <v>43</v>
      </c>
      <c r="J14" s="16" t="s">
        <v>930</v>
      </c>
      <c r="L14" t="e">
        <f t="shared" si="0"/>
        <v>#N/A</v>
      </c>
    </row>
    <row r="15" spans="1:12" x14ac:dyDescent="0.3">
      <c r="A15" s="14" t="s">
        <v>127</v>
      </c>
      <c r="B15" s="14" t="s">
        <v>925</v>
      </c>
      <c r="C15" s="14">
        <v>2025</v>
      </c>
      <c r="D15" s="13" t="s">
        <v>913</v>
      </c>
      <c r="G15" t="s">
        <v>44</v>
      </c>
      <c r="H15" t="s">
        <v>482</v>
      </c>
      <c r="J15" s="16" t="s">
        <v>931</v>
      </c>
      <c r="K15" t="s">
        <v>931</v>
      </c>
      <c r="L15">
        <f t="shared" si="0"/>
        <v>0</v>
      </c>
    </row>
    <row r="16" spans="1:12" x14ac:dyDescent="0.3">
      <c r="A16" s="14" t="s">
        <v>25</v>
      </c>
      <c r="B16" s="14" t="s">
        <v>925</v>
      </c>
      <c r="C16" s="14">
        <v>2025</v>
      </c>
      <c r="D16" s="13" t="s">
        <v>25</v>
      </c>
      <c r="G16" t="s">
        <v>45</v>
      </c>
      <c r="H16" t="s">
        <v>483</v>
      </c>
      <c r="J16" s="16" t="s">
        <v>932</v>
      </c>
      <c r="L16" t="e">
        <f t="shared" si="0"/>
        <v>#N/A</v>
      </c>
    </row>
    <row r="17" spans="1:12" x14ac:dyDescent="0.3">
      <c r="A17" s="14" t="s">
        <v>929</v>
      </c>
      <c r="B17" s="14" t="s">
        <v>925</v>
      </c>
      <c r="C17" s="14">
        <v>2025</v>
      </c>
      <c r="D17" s="13" t="s">
        <v>120</v>
      </c>
      <c r="G17" t="s">
        <v>46</v>
      </c>
      <c r="H17" t="s">
        <v>484</v>
      </c>
      <c r="J17" s="16" t="s">
        <v>28</v>
      </c>
      <c r="K17" t="s">
        <v>28</v>
      </c>
      <c r="L17">
        <f t="shared" si="0"/>
        <v>0</v>
      </c>
    </row>
    <row r="18" spans="1:12" x14ac:dyDescent="0.3">
      <c r="A18" s="14" t="s">
        <v>930</v>
      </c>
      <c r="B18" s="14" t="s">
        <v>991</v>
      </c>
      <c r="C18" s="14">
        <v>2024</v>
      </c>
      <c r="D18" s="13"/>
      <c r="G18" t="s">
        <v>486</v>
      </c>
      <c r="H18" t="s">
        <v>485</v>
      </c>
      <c r="J18" s="16" t="s">
        <v>126</v>
      </c>
      <c r="K18" t="s">
        <v>126</v>
      </c>
      <c r="L18">
        <f t="shared" si="0"/>
        <v>0</v>
      </c>
    </row>
    <row r="19" spans="1:12" x14ac:dyDescent="0.3">
      <c r="A19" s="14" t="s">
        <v>931</v>
      </c>
      <c r="B19" s="14" t="s">
        <v>925</v>
      </c>
      <c r="C19" s="14">
        <v>2025</v>
      </c>
      <c r="D19" s="13" t="s">
        <v>931</v>
      </c>
      <c r="G19" t="s">
        <v>38</v>
      </c>
      <c r="J19" s="16" t="s">
        <v>933</v>
      </c>
      <c r="K19" t="s">
        <v>984</v>
      </c>
      <c r="L19">
        <f t="shared" si="0"/>
        <v>0</v>
      </c>
    </row>
    <row r="20" spans="1:12" x14ac:dyDescent="0.3">
      <c r="A20" s="14" t="s">
        <v>932</v>
      </c>
      <c r="B20" s="14" t="s">
        <v>991</v>
      </c>
      <c r="C20" s="14">
        <v>2025</v>
      </c>
      <c r="D20" s="13"/>
      <c r="G20" t="s">
        <v>48</v>
      </c>
      <c r="H20" t="s">
        <v>39</v>
      </c>
      <c r="J20" s="16" t="s">
        <v>934</v>
      </c>
      <c r="L20" t="e">
        <f t="shared" si="0"/>
        <v>#N/A</v>
      </c>
    </row>
    <row r="21" spans="1:12" x14ac:dyDescent="0.3">
      <c r="A21" s="14" t="s">
        <v>28</v>
      </c>
      <c r="B21" s="14" t="s">
        <v>925</v>
      </c>
      <c r="C21" s="14">
        <v>2025</v>
      </c>
      <c r="D21" s="13" t="s">
        <v>28</v>
      </c>
      <c r="G21" t="s">
        <v>7</v>
      </c>
      <c r="H21" t="s">
        <v>477</v>
      </c>
      <c r="J21" s="16" t="s">
        <v>935</v>
      </c>
      <c r="K21" t="s">
        <v>919</v>
      </c>
      <c r="L21" t="str">
        <f t="shared" si="0"/>
        <v>Terephtalic Acid</v>
      </c>
    </row>
    <row r="22" spans="1:12" x14ac:dyDescent="0.3">
      <c r="A22" s="14" t="s">
        <v>126</v>
      </c>
      <c r="B22" s="14" t="s">
        <v>925</v>
      </c>
      <c r="C22" s="14">
        <v>2025</v>
      </c>
      <c r="D22" s="13" t="s">
        <v>126</v>
      </c>
      <c r="G22" t="s">
        <v>467</v>
      </c>
      <c r="H22" t="s">
        <v>107</v>
      </c>
      <c r="J22" s="16" t="s">
        <v>936</v>
      </c>
      <c r="L22" t="e">
        <f t="shared" si="0"/>
        <v>#N/A</v>
      </c>
    </row>
    <row r="23" spans="1:12" x14ac:dyDescent="0.3">
      <c r="A23" s="14" t="s">
        <v>933</v>
      </c>
      <c r="B23" s="14" t="s">
        <v>925</v>
      </c>
      <c r="C23" s="14">
        <v>2025</v>
      </c>
      <c r="D23" s="13" t="s">
        <v>984</v>
      </c>
      <c r="G23" t="s">
        <v>108</v>
      </c>
      <c r="H23" t="s">
        <v>487</v>
      </c>
      <c r="J23" s="16" t="s">
        <v>937</v>
      </c>
      <c r="L23" t="e">
        <f t="shared" si="0"/>
        <v>#N/A</v>
      </c>
    </row>
    <row r="24" spans="1:12" x14ac:dyDescent="0.3">
      <c r="A24" s="14" t="s">
        <v>934</v>
      </c>
      <c r="B24" s="14" t="s">
        <v>991</v>
      </c>
      <c r="C24" s="14">
        <v>2025</v>
      </c>
      <c r="D24" s="13"/>
      <c r="G24" t="s">
        <v>109</v>
      </c>
      <c r="H24" t="s">
        <v>488</v>
      </c>
      <c r="J24" s="16" t="s">
        <v>938</v>
      </c>
      <c r="L24" t="e">
        <f t="shared" si="0"/>
        <v>#N/A</v>
      </c>
    </row>
    <row r="25" spans="1:12" x14ac:dyDescent="0.3">
      <c r="A25" s="14" t="s">
        <v>1018</v>
      </c>
      <c r="B25" s="14" t="s">
        <v>925</v>
      </c>
      <c r="C25" s="14">
        <v>2025</v>
      </c>
      <c r="D25" s="13" t="s">
        <v>919</v>
      </c>
      <c r="G25" t="s">
        <v>93</v>
      </c>
      <c r="H25" t="s">
        <v>489</v>
      </c>
      <c r="J25" s="16" t="s">
        <v>939</v>
      </c>
      <c r="K25" t="s">
        <v>129</v>
      </c>
      <c r="L25">
        <f t="shared" si="0"/>
        <v>0</v>
      </c>
    </row>
    <row r="26" spans="1:12" x14ac:dyDescent="0.3">
      <c r="A26" s="14" t="s">
        <v>935</v>
      </c>
      <c r="B26" s="14" t="s">
        <v>925</v>
      </c>
      <c r="C26" s="14">
        <v>2025</v>
      </c>
      <c r="D26" s="13" t="s">
        <v>503</v>
      </c>
      <c r="G26" t="s">
        <v>274</v>
      </c>
      <c r="H26" t="s">
        <v>94</v>
      </c>
      <c r="J26" s="16" t="s">
        <v>940</v>
      </c>
      <c r="L26" t="e">
        <f t="shared" si="0"/>
        <v>#N/A</v>
      </c>
    </row>
    <row r="27" spans="1:12" x14ac:dyDescent="0.3">
      <c r="A27" s="14" t="s">
        <v>936</v>
      </c>
      <c r="B27" s="14" t="s">
        <v>991</v>
      </c>
      <c r="C27" s="14">
        <v>2024</v>
      </c>
      <c r="D27" s="13"/>
      <c r="G27" t="s">
        <v>273</v>
      </c>
      <c r="H27" t="s">
        <v>95</v>
      </c>
      <c r="J27" s="16" t="s">
        <v>40</v>
      </c>
      <c r="K27" t="s">
        <v>40</v>
      </c>
      <c r="L27">
        <f t="shared" si="0"/>
        <v>0</v>
      </c>
    </row>
    <row r="28" spans="1:12" x14ac:dyDescent="0.3">
      <c r="A28" s="14" t="s">
        <v>937</v>
      </c>
      <c r="B28" s="14" t="s">
        <v>991</v>
      </c>
      <c r="C28" s="14">
        <v>2025</v>
      </c>
      <c r="D28" s="13"/>
      <c r="G28" t="s">
        <v>271</v>
      </c>
      <c r="H28" t="s">
        <v>96</v>
      </c>
      <c r="J28" s="16" t="s">
        <v>43</v>
      </c>
      <c r="K28" t="s">
        <v>43</v>
      </c>
      <c r="L28">
        <f t="shared" si="0"/>
        <v>0</v>
      </c>
    </row>
    <row r="29" spans="1:12" x14ac:dyDescent="0.3">
      <c r="A29" s="14" t="s">
        <v>938</v>
      </c>
      <c r="B29" s="14" t="s">
        <v>991</v>
      </c>
      <c r="C29" s="14">
        <v>2024</v>
      </c>
      <c r="D29" s="13"/>
      <c r="G29" t="s">
        <v>272</v>
      </c>
      <c r="H29" t="s">
        <v>97</v>
      </c>
      <c r="J29" s="16" t="s">
        <v>941</v>
      </c>
      <c r="L29" t="e">
        <f t="shared" si="0"/>
        <v>#N/A</v>
      </c>
    </row>
    <row r="30" spans="1:12" x14ac:dyDescent="0.3">
      <c r="A30" s="14" t="s">
        <v>939</v>
      </c>
      <c r="B30" s="14" t="s">
        <v>925</v>
      </c>
      <c r="C30" s="14">
        <v>2024</v>
      </c>
      <c r="D30" s="13" t="s">
        <v>129</v>
      </c>
      <c r="G30" t="s">
        <v>98</v>
      </c>
      <c r="J30" s="16" t="s">
        <v>19</v>
      </c>
      <c r="K30" t="s">
        <v>19</v>
      </c>
      <c r="L30" t="str">
        <f t="shared" si="0"/>
        <v>EB</v>
      </c>
    </row>
    <row r="31" spans="1:12" x14ac:dyDescent="0.3">
      <c r="A31" s="14" t="s">
        <v>940</v>
      </c>
      <c r="B31" s="14" t="s">
        <v>991</v>
      </c>
      <c r="C31" s="14">
        <v>2024</v>
      </c>
      <c r="D31" s="13"/>
      <c r="G31" t="s">
        <v>275</v>
      </c>
      <c r="H31" t="s">
        <v>686</v>
      </c>
      <c r="J31" s="16" t="s">
        <v>5</v>
      </c>
      <c r="K31" t="s">
        <v>5</v>
      </c>
      <c r="L31" t="str">
        <f t="shared" si="0"/>
        <v>C2=</v>
      </c>
    </row>
    <row r="32" spans="1:12" x14ac:dyDescent="0.3">
      <c r="A32" s="14" t="s">
        <v>40</v>
      </c>
      <c r="B32" s="14" t="s">
        <v>925</v>
      </c>
      <c r="C32" s="14">
        <v>2024</v>
      </c>
      <c r="D32" s="13" t="s">
        <v>40</v>
      </c>
      <c r="G32" t="s">
        <v>101</v>
      </c>
      <c r="H32" t="s">
        <v>102</v>
      </c>
      <c r="J32" s="16" t="s">
        <v>888</v>
      </c>
      <c r="K32" t="s">
        <v>904</v>
      </c>
      <c r="L32" t="str">
        <f t="shared" si="0"/>
        <v>Ethylene dichloride</v>
      </c>
    </row>
    <row r="33" spans="1:12" x14ac:dyDescent="0.3">
      <c r="A33" s="14" t="s">
        <v>43</v>
      </c>
      <c r="B33" s="14" t="s">
        <v>925</v>
      </c>
      <c r="C33" s="14">
        <v>2024</v>
      </c>
      <c r="D33" s="13" t="s">
        <v>43</v>
      </c>
      <c r="G33" t="s">
        <v>103</v>
      </c>
      <c r="J33" s="16" t="s">
        <v>942</v>
      </c>
      <c r="K33" t="s">
        <v>907</v>
      </c>
      <c r="L33" t="str">
        <f t="shared" si="0"/>
        <v>Monoethyleneglycol</v>
      </c>
    </row>
    <row r="34" spans="1:12" x14ac:dyDescent="0.3">
      <c r="A34" s="14" t="s">
        <v>941</v>
      </c>
      <c r="B34" s="14" t="s">
        <v>991</v>
      </c>
      <c r="C34" s="14">
        <v>2024</v>
      </c>
      <c r="D34" s="13"/>
      <c r="G34" t="s">
        <v>352</v>
      </c>
      <c r="J34" s="16" t="s">
        <v>943</v>
      </c>
      <c r="K34" t="s">
        <v>906</v>
      </c>
      <c r="L34" t="str">
        <f t="shared" si="0"/>
        <v>Ethylene oxide</v>
      </c>
    </row>
    <row r="35" spans="1:12" x14ac:dyDescent="0.3">
      <c r="A35" s="14" t="s">
        <v>19</v>
      </c>
      <c r="B35" s="14" t="s">
        <v>925</v>
      </c>
      <c r="C35" s="14">
        <v>2025</v>
      </c>
      <c r="D35" s="13" t="s">
        <v>19</v>
      </c>
      <c r="G35" t="s">
        <v>104</v>
      </c>
      <c r="H35" t="s">
        <v>110</v>
      </c>
      <c r="J35" s="16" t="s">
        <v>944</v>
      </c>
      <c r="K35" t="s">
        <v>41</v>
      </c>
      <c r="L35">
        <f t="shared" si="0"/>
        <v>0</v>
      </c>
    </row>
    <row r="36" spans="1:12" x14ac:dyDescent="0.3">
      <c r="A36" s="14" t="s">
        <v>5</v>
      </c>
      <c r="B36" s="14" t="s">
        <v>925</v>
      </c>
      <c r="C36" s="14">
        <v>2025</v>
      </c>
      <c r="D36" s="13" t="s">
        <v>5</v>
      </c>
      <c r="G36" t="s">
        <v>105</v>
      </c>
      <c r="J36" s="16" t="s">
        <v>945</v>
      </c>
      <c r="K36" t="s">
        <v>985</v>
      </c>
      <c r="L36" t="str">
        <f t="shared" si="0"/>
        <v>Ethylene-vinyl acetate copolymer</v>
      </c>
    </row>
    <row r="37" spans="1:12" x14ac:dyDescent="0.3">
      <c r="A37" s="14" t="s">
        <v>888</v>
      </c>
      <c r="B37" s="14" t="s">
        <v>925</v>
      </c>
      <c r="C37" s="14">
        <v>2025</v>
      </c>
      <c r="D37" s="13" t="s">
        <v>904</v>
      </c>
      <c r="G37" t="s">
        <v>851</v>
      </c>
      <c r="H37" t="s">
        <v>732</v>
      </c>
      <c r="J37" s="16" t="s">
        <v>946</v>
      </c>
      <c r="K37" t="s">
        <v>912</v>
      </c>
      <c r="L37" t="str">
        <f t="shared" si="0"/>
        <v>Polystyrene</v>
      </c>
    </row>
    <row r="38" spans="1:12" x14ac:dyDescent="0.3">
      <c r="A38" s="14" t="s">
        <v>942</v>
      </c>
      <c r="B38" s="14" t="s">
        <v>925</v>
      </c>
      <c r="C38" s="14">
        <v>2026</v>
      </c>
      <c r="D38" s="13" t="s">
        <v>907</v>
      </c>
      <c r="G38" t="s">
        <v>738</v>
      </c>
      <c r="J38" s="17" t="s">
        <v>898</v>
      </c>
      <c r="K38" t="s">
        <v>898</v>
      </c>
      <c r="L38" t="str">
        <f t="shared" si="0"/>
        <v>Polymethyl methacrylate</v>
      </c>
    </row>
    <row r="39" spans="1:12" x14ac:dyDescent="0.3">
      <c r="A39" s="14" t="s">
        <v>943</v>
      </c>
      <c r="B39" s="14" t="s">
        <v>925</v>
      </c>
      <c r="C39" s="14">
        <v>2025</v>
      </c>
      <c r="D39" s="13" t="s">
        <v>906</v>
      </c>
      <c r="G39" t="s">
        <v>111</v>
      </c>
      <c r="J39" s="17" t="s">
        <v>947</v>
      </c>
      <c r="K39" t="s">
        <v>986</v>
      </c>
      <c r="L39" t="str">
        <f t="shared" si="0"/>
        <v>Terephtalic Acid</v>
      </c>
    </row>
    <row r="40" spans="1:12" x14ac:dyDescent="0.3">
      <c r="A40" s="14" t="s">
        <v>945</v>
      </c>
      <c r="B40" s="14" t="s">
        <v>925</v>
      </c>
      <c r="C40" s="14">
        <v>2026</v>
      </c>
      <c r="D40" s="13" t="s">
        <v>985</v>
      </c>
      <c r="G40" t="s">
        <v>106</v>
      </c>
      <c r="J40" s="17" t="s">
        <v>948</v>
      </c>
      <c r="K40" t="s">
        <v>987</v>
      </c>
      <c r="L40" t="str">
        <f t="shared" si="0"/>
        <v>Isopropanol</v>
      </c>
    </row>
    <row r="41" spans="1:12" x14ac:dyDescent="0.3">
      <c r="A41" s="14" t="s">
        <v>946</v>
      </c>
      <c r="B41" s="14" t="s">
        <v>925</v>
      </c>
      <c r="C41" s="14">
        <v>2025</v>
      </c>
      <c r="D41" s="13" t="s">
        <v>912</v>
      </c>
      <c r="G41" t="s">
        <v>112</v>
      </c>
      <c r="J41" s="17" t="s">
        <v>949</v>
      </c>
      <c r="K41" t="s">
        <v>988</v>
      </c>
      <c r="L41" t="str">
        <f t="shared" si="0"/>
        <v>Maleic anhydride</v>
      </c>
    </row>
    <row r="42" spans="1:12" x14ac:dyDescent="0.3">
      <c r="A42" s="15" t="s">
        <v>898</v>
      </c>
      <c r="B42" s="15" t="s">
        <v>925</v>
      </c>
      <c r="C42" s="14">
        <v>2024</v>
      </c>
      <c r="D42" s="13" t="s">
        <v>898</v>
      </c>
      <c r="G42" t="s">
        <v>468</v>
      </c>
      <c r="H42" t="s">
        <v>550</v>
      </c>
      <c r="J42" s="17" t="s">
        <v>864</v>
      </c>
      <c r="K42" t="s">
        <v>864</v>
      </c>
      <c r="L42">
        <f t="shared" si="0"/>
        <v>0</v>
      </c>
    </row>
    <row r="43" spans="1:12" x14ac:dyDescent="0.3">
      <c r="A43" s="15" t="s">
        <v>947</v>
      </c>
      <c r="B43" s="15" t="s">
        <v>925</v>
      </c>
      <c r="C43" s="14">
        <v>2025</v>
      </c>
      <c r="D43" s="13" t="s">
        <v>986</v>
      </c>
      <c r="G43" t="s">
        <v>113</v>
      </c>
      <c r="J43" s="17" t="s">
        <v>950</v>
      </c>
      <c r="K43" t="s">
        <v>118</v>
      </c>
      <c r="L43">
        <f t="shared" si="0"/>
        <v>0</v>
      </c>
    </row>
    <row r="44" spans="1:12" x14ac:dyDescent="0.3">
      <c r="A44" s="15" t="s">
        <v>947</v>
      </c>
      <c r="B44" s="15" t="s">
        <v>925</v>
      </c>
      <c r="C44" s="14">
        <v>2025</v>
      </c>
      <c r="D44" s="13" t="s">
        <v>501</v>
      </c>
      <c r="G44" s="1" t="s">
        <v>25</v>
      </c>
      <c r="H44" t="s">
        <v>480</v>
      </c>
      <c r="J44" s="17" t="s">
        <v>867</v>
      </c>
      <c r="K44" t="s">
        <v>916</v>
      </c>
      <c r="L44">
        <f t="shared" si="0"/>
        <v>0</v>
      </c>
    </row>
    <row r="45" spans="1:12" x14ac:dyDescent="0.3">
      <c r="A45" s="15" t="s">
        <v>948</v>
      </c>
      <c r="B45" s="15" t="s">
        <v>925</v>
      </c>
      <c r="C45" s="14">
        <v>2024</v>
      </c>
      <c r="D45" s="13" t="s">
        <v>987</v>
      </c>
      <c r="G45" s="1" t="s">
        <v>114</v>
      </c>
      <c r="H45" t="s">
        <v>921</v>
      </c>
      <c r="J45" s="17" t="s">
        <v>951</v>
      </c>
      <c r="K45" t="s">
        <v>125</v>
      </c>
      <c r="L45">
        <f t="shared" si="0"/>
        <v>0</v>
      </c>
    </row>
    <row r="46" spans="1:12" x14ac:dyDescent="0.3">
      <c r="A46" s="15" t="s">
        <v>949</v>
      </c>
      <c r="B46" s="15" t="s">
        <v>925</v>
      </c>
      <c r="C46" s="14">
        <v>2025</v>
      </c>
      <c r="D46" s="13" t="s">
        <v>988</v>
      </c>
      <c r="G46" s="1" t="s">
        <v>115</v>
      </c>
      <c r="J46" s="17" t="s">
        <v>952</v>
      </c>
      <c r="K46" t="s">
        <v>989</v>
      </c>
      <c r="L46" t="str">
        <f t="shared" si="0"/>
        <v>Purified Isophtalic Acid</v>
      </c>
    </row>
    <row r="47" spans="1:12" x14ac:dyDescent="0.3">
      <c r="A47" s="15" t="s">
        <v>864</v>
      </c>
      <c r="B47" s="15" t="s">
        <v>925</v>
      </c>
      <c r="C47" s="14">
        <v>2026</v>
      </c>
      <c r="D47" s="13" t="s">
        <v>864</v>
      </c>
      <c r="G47" s="1" t="s">
        <v>26</v>
      </c>
      <c r="J47" s="17" t="s">
        <v>953</v>
      </c>
      <c r="K47" t="s">
        <v>105</v>
      </c>
      <c r="L47">
        <f t="shared" si="0"/>
        <v>0</v>
      </c>
    </row>
    <row r="48" spans="1:12" x14ac:dyDescent="0.3">
      <c r="A48" s="15" t="s">
        <v>950</v>
      </c>
      <c r="B48" s="15" t="s">
        <v>925</v>
      </c>
      <c r="C48" s="14">
        <v>2025</v>
      </c>
      <c r="D48" s="13" t="s">
        <v>118</v>
      </c>
      <c r="G48" s="1" t="s">
        <v>117</v>
      </c>
      <c r="H48" s="1" t="s">
        <v>116</v>
      </c>
      <c r="J48" s="17" t="s">
        <v>954</v>
      </c>
      <c r="K48" t="s">
        <v>918</v>
      </c>
      <c r="L48" t="str">
        <f t="shared" si="0"/>
        <v>Dimethyl Terephtalate</v>
      </c>
    </row>
    <row r="49" spans="1:12" x14ac:dyDescent="0.3">
      <c r="A49" s="15" t="s">
        <v>867</v>
      </c>
      <c r="B49" s="15" t="s">
        <v>925</v>
      </c>
      <c r="C49" s="14">
        <v>2025</v>
      </c>
      <c r="D49" s="13" t="s">
        <v>916</v>
      </c>
      <c r="G49" s="1" t="s">
        <v>122</v>
      </c>
      <c r="H49" s="1" t="s">
        <v>121</v>
      </c>
      <c r="J49" s="17" t="s">
        <v>955</v>
      </c>
      <c r="L49" t="e">
        <f t="shared" si="0"/>
        <v>#N/A</v>
      </c>
    </row>
    <row r="50" spans="1:12" x14ac:dyDescent="0.3">
      <c r="A50" s="15" t="s">
        <v>951</v>
      </c>
      <c r="B50" s="15" t="s">
        <v>925</v>
      </c>
      <c r="C50" s="14">
        <v>2024</v>
      </c>
      <c r="D50" s="13" t="s">
        <v>125</v>
      </c>
      <c r="G50" s="1" t="s">
        <v>118</v>
      </c>
      <c r="J50" s="17" t="s">
        <v>956</v>
      </c>
      <c r="L50" t="e">
        <f t="shared" si="0"/>
        <v>#N/A</v>
      </c>
    </row>
    <row r="51" spans="1:12" x14ac:dyDescent="0.3">
      <c r="A51" s="15" t="s">
        <v>952</v>
      </c>
      <c r="B51" s="15" t="s">
        <v>925</v>
      </c>
      <c r="C51" s="14">
        <v>2024</v>
      </c>
      <c r="D51" s="13" t="s">
        <v>989</v>
      </c>
      <c r="G51" s="1" t="s">
        <v>120</v>
      </c>
      <c r="J51" s="17" t="s">
        <v>99</v>
      </c>
      <c r="K51" t="s">
        <v>99</v>
      </c>
      <c r="L51">
        <f t="shared" si="0"/>
        <v>0</v>
      </c>
    </row>
    <row r="52" spans="1:12" x14ac:dyDescent="0.3">
      <c r="A52" s="15" t="s">
        <v>954</v>
      </c>
      <c r="B52" s="15" t="s">
        <v>925</v>
      </c>
      <c r="C52" s="14">
        <v>2024</v>
      </c>
      <c r="D52" s="13" t="s">
        <v>918</v>
      </c>
      <c r="G52" s="1" t="s">
        <v>119</v>
      </c>
      <c r="J52" s="17" t="s">
        <v>957</v>
      </c>
      <c r="L52" t="e">
        <f t="shared" si="0"/>
        <v>#N/A</v>
      </c>
    </row>
    <row r="53" spans="1:12" x14ac:dyDescent="0.3">
      <c r="A53" s="15" t="s">
        <v>955</v>
      </c>
      <c r="B53" s="14" t="s">
        <v>991</v>
      </c>
      <c r="C53" s="14">
        <v>2025</v>
      </c>
      <c r="D53" s="13"/>
      <c r="G53" s="1" t="s">
        <v>15</v>
      </c>
      <c r="J53" s="17" t="s">
        <v>958</v>
      </c>
      <c r="K53" t="s">
        <v>995</v>
      </c>
      <c r="L53" t="str">
        <f t="shared" si="0"/>
        <v>Pthalic Anhydride</v>
      </c>
    </row>
    <row r="54" spans="1:12" x14ac:dyDescent="0.3">
      <c r="A54" s="15" t="s">
        <v>956</v>
      </c>
      <c r="B54" s="14" t="s">
        <v>991</v>
      </c>
      <c r="C54" s="14">
        <v>2025</v>
      </c>
      <c r="D54" s="13"/>
      <c r="G54" s="1" t="s">
        <v>27</v>
      </c>
      <c r="J54" s="17" t="s">
        <v>959</v>
      </c>
      <c r="K54" t="s">
        <v>114</v>
      </c>
      <c r="L54" t="str">
        <f t="shared" si="0"/>
        <v>Polybutadiene Rubber</v>
      </c>
    </row>
    <row r="55" spans="1:12" x14ac:dyDescent="0.3">
      <c r="A55" s="15" t="s">
        <v>99</v>
      </c>
      <c r="B55" s="15" t="s">
        <v>925</v>
      </c>
      <c r="C55" s="14">
        <v>2025</v>
      </c>
      <c r="D55" s="13" t="s">
        <v>99</v>
      </c>
      <c r="G55" s="1" t="s">
        <v>9</v>
      </c>
      <c r="H55" s="1"/>
      <c r="J55" s="17" t="s">
        <v>960</v>
      </c>
      <c r="K55" t="s">
        <v>914</v>
      </c>
      <c r="L55" t="str">
        <f t="shared" si="0"/>
        <v>Polycarbonate</v>
      </c>
    </row>
    <row r="56" spans="1:12" x14ac:dyDescent="0.3">
      <c r="A56" s="15" t="s">
        <v>957</v>
      </c>
      <c r="B56" s="14" t="s">
        <v>991</v>
      </c>
      <c r="C56" s="14">
        <v>2025</v>
      </c>
      <c r="D56" s="13"/>
      <c r="G56" s="1" t="s">
        <v>19</v>
      </c>
      <c r="H56" s="1" t="s">
        <v>473</v>
      </c>
      <c r="J56" s="17" t="s">
        <v>961</v>
      </c>
      <c r="L56" t="e">
        <f t="shared" si="0"/>
        <v>#N/A</v>
      </c>
    </row>
    <row r="57" spans="1:12" x14ac:dyDescent="0.3">
      <c r="A57" s="15" t="s">
        <v>958</v>
      </c>
      <c r="B57" s="14" t="s">
        <v>991</v>
      </c>
      <c r="C57" s="14">
        <v>2025</v>
      </c>
      <c r="D57" s="13" t="s">
        <v>498</v>
      </c>
      <c r="G57" s="1" t="s">
        <v>21</v>
      </c>
      <c r="H57" s="1"/>
      <c r="J57" s="17" t="s">
        <v>962</v>
      </c>
      <c r="L57" t="e">
        <f t="shared" si="0"/>
        <v>#N/A</v>
      </c>
    </row>
    <row r="58" spans="1:12" x14ac:dyDescent="0.3">
      <c r="A58" s="15" t="s">
        <v>959</v>
      </c>
      <c r="B58" s="15" t="s">
        <v>925</v>
      </c>
      <c r="C58" s="14">
        <v>2025</v>
      </c>
      <c r="D58" s="13" t="s">
        <v>114</v>
      </c>
      <c r="G58" s="1" t="s">
        <v>474</v>
      </c>
      <c r="H58" s="1" t="s">
        <v>23</v>
      </c>
      <c r="J58" s="17" t="s">
        <v>963</v>
      </c>
      <c r="K58" t="s">
        <v>29</v>
      </c>
      <c r="L58">
        <f t="shared" si="0"/>
        <v>0</v>
      </c>
    </row>
    <row r="59" spans="1:12" x14ac:dyDescent="0.3">
      <c r="A59" s="15" t="s">
        <v>960</v>
      </c>
      <c r="B59" s="15" t="s">
        <v>925</v>
      </c>
      <c r="C59" s="14">
        <v>2025</v>
      </c>
      <c r="D59" s="13" t="s">
        <v>914</v>
      </c>
      <c r="G59" s="1" t="s">
        <v>28</v>
      </c>
      <c r="H59" s="1"/>
      <c r="J59" s="17" t="s">
        <v>964</v>
      </c>
      <c r="K59" t="s">
        <v>32</v>
      </c>
      <c r="L59">
        <f t="shared" si="0"/>
        <v>0</v>
      </c>
    </row>
    <row r="60" spans="1:12" x14ac:dyDescent="0.3">
      <c r="A60" s="15" t="s">
        <v>961</v>
      </c>
      <c r="B60" s="14" t="s">
        <v>991</v>
      </c>
      <c r="C60" s="14">
        <v>2026</v>
      </c>
      <c r="D60" s="13"/>
      <c r="G60" s="1" t="s">
        <v>99</v>
      </c>
      <c r="H60" s="1"/>
      <c r="J60" s="17" t="s">
        <v>965</v>
      </c>
      <c r="K60" t="s">
        <v>31</v>
      </c>
      <c r="L60">
        <f t="shared" si="0"/>
        <v>0</v>
      </c>
    </row>
    <row r="61" spans="1:12" x14ac:dyDescent="0.3">
      <c r="A61" s="15" t="s">
        <v>962</v>
      </c>
      <c r="B61" s="14" t="s">
        <v>991</v>
      </c>
      <c r="C61" s="14">
        <v>2024</v>
      </c>
      <c r="D61" s="13"/>
      <c r="G61" s="1" t="s">
        <v>100</v>
      </c>
      <c r="H61" s="1"/>
      <c r="J61" s="17" t="s">
        <v>966</v>
      </c>
      <c r="K61" t="s">
        <v>920</v>
      </c>
      <c r="L61" t="str">
        <f t="shared" si="0"/>
        <v>Polyethylene terephthalate</v>
      </c>
    </row>
    <row r="62" spans="1:12" x14ac:dyDescent="0.3">
      <c r="A62" s="15" t="s">
        <v>963</v>
      </c>
      <c r="B62" s="15" t="s">
        <v>925</v>
      </c>
      <c r="C62" s="14">
        <v>2025</v>
      </c>
      <c r="D62" s="13" t="s">
        <v>994</v>
      </c>
      <c r="G62" s="1" t="s">
        <v>475</v>
      </c>
      <c r="H62" s="1" t="s">
        <v>127</v>
      </c>
      <c r="J62" s="17" t="s">
        <v>967</v>
      </c>
      <c r="K62" t="s">
        <v>910</v>
      </c>
      <c r="L62" t="str">
        <f t="shared" si="0"/>
        <v>Polypropylene</v>
      </c>
    </row>
    <row r="63" spans="1:12" x14ac:dyDescent="0.3">
      <c r="A63" s="15" t="s">
        <v>964</v>
      </c>
      <c r="B63" s="15" t="s">
        <v>925</v>
      </c>
      <c r="C63" s="14">
        <v>2024</v>
      </c>
      <c r="D63" s="13" t="s">
        <v>32</v>
      </c>
      <c r="G63" s="1" t="s">
        <v>476</v>
      </c>
      <c r="H63" s="1" t="s">
        <v>128</v>
      </c>
      <c r="J63" s="17" t="s">
        <v>968</v>
      </c>
      <c r="K63" t="s">
        <v>912</v>
      </c>
      <c r="L63" t="str">
        <f t="shared" si="0"/>
        <v>Polystyrene</v>
      </c>
    </row>
    <row r="64" spans="1:12" x14ac:dyDescent="0.3">
      <c r="A64" s="15" t="s">
        <v>965</v>
      </c>
      <c r="B64" s="15" t="s">
        <v>925</v>
      </c>
      <c r="C64" s="14">
        <v>2025</v>
      </c>
      <c r="D64" s="13" t="s">
        <v>31</v>
      </c>
      <c r="G64" s="1" t="s">
        <v>129</v>
      </c>
      <c r="H64" s="1"/>
      <c r="J64" s="17" t="s">
        <v>969</v>
      </c>
      <c r="L64" t="e">
        <f t="shared" si="0"/>
        <v>#N/A</v>
      </c>
    </row>
    <row r="65" spans="1:12" x14ac:dyDescent="0.3">
      <c r="A65" s="15" t="s">
        <v>966</v>
      </c>
      <c r="B65" s="15" t="s">
        <v>925</v>
      </c>
      <c r="C65" s="14">
        <v>2026</v>
      </c>
      <c r="D65" s="13" t="s">
        <v>920</v>
      </c>
      <c r="G65" s="1" t="s">
        <v>126</v>
      </c>
      <c r="H65" s="1"/>
      <c r="J65" s="17" t="s">
        <v>970</v>
      </c>
      <c r="K65" t="s">
        <v>990</v>
      </c>
      <c r="L65" t="str">
        <f t="shared" si="0"/>
        <v>Polyurethane(Rigid)</v>
      </c>
    </row>
    <row r="66" spans="1:12" x14ac:dyDescent="0.3">
      <c r="A66" s="15" t="s">
        <v>967</v>
      </c>
      <c r="B66" s="15" t="s">
        <v>925</v>
      </c>
      <c r="C66" s="14">
        <v>2024</v>
      </c>
      <c r="D66" s="13" t="s">
        <v>910</v>
      </c>
      <c r="G66" s="1" t="s">
        <v>125</v>
      </c>
      <c r="H66" s="1"/>
      <c r="J66" s="17" t="s">
        <v>971</v>
      </c>
      <c r="K66" t="s">
        <v>35</v>
      </c>
      <c r="L66" t="str">
        <f t="shared" si="0"/>
        <v>Poly vinyl chloride</v>
      </c>
    </row>
    <row r="67" spans="1:12" x14ac:dyDescent="0.3">
      <c r="A67" s="15" t="s">
        <v>968</v>
      </c>
      <c r="B67" s="15" t="s">
        <v>925</v>
      </c>
      <c r="C67" s="14">
        <v>2025</v>
      </c>
      <c r="D67" s="13" t="s">
        <v>912</v>
      </c>
      <c r="G67" s="1" t="s">
        <v>389</v>
      </c>
      <c r="H67" t="s">
        <v>391</v>
      </c>
      <c r="J67" s="17" t="s">
        <v>7</v>
      </c>
      <c r="K67" t="s">
        <v>7</v>
      </c>
      <c r="L67" t="str">
        <f t="shared" ref="L67:L76" si="1">_xlfn.XLOOKUP(K67,$G$2:$G$102,$H$2:$H$102)</f>
        <v>C3=</v>
      </c>
    </row>
    <row r="68" spans="1:12" x14ac:dyDescent="0.3">
      <c r="A68" s="15" t="s">
        <v>969</v>
      </c>
      <c r="B68" s="14" t="s">
        <v>991</v>
      </c>
      <c r="C68" s="14">
        <v>2025</v>
      </c>
      <c r="D68" s="13"/>
      <c r="G68" s="1" t="s">
        <v>380</v>
      </c>
      <c r="H68" s="1"/>
      <c r="J68" s="17" t="s">
        <v>885</v>
      </c>
      <c r="K68" t="s">
        <v>911</v>
      </c>
      <c r="L68" t="str">
        <f t="shared" si="1"/>
        <v>Propylene oxide</v>
      </c>
    </row>
    <row r="69" spans="1:12" x14ac:dyDescent="0.3">
      <c r="A69" s="15" t="s">
        <v>1019</v>
      </c>
      <c r="B69" s="15" t="s">
        <v>925</v>
      </c>
      <c r="C69" s="14">
        <v>2025</v>
      </c>
      <c r="D69" s="13" t="s">
        <v>990</v>
      </c>
      <c r="G69" t="s">
        <v>464</v>
      </c>
      <c r="H69" t="s">
        <v>472</v>
      </c>
      <c r="J69" s="17" t="s">
        <v>21</v>
      </c>
      <c r="K69" t="s">
        <v>21</v>
      </c>
      <c r="L69">
        <f t="shared" si="1"/>
        <v>0</v>
      </c>
    </row>
    <row r="70" spans="1:12" x14ac:dyDescent="0.3">
      <c r="A70" s="15" t="s">
        <v>971</v>
      </c>
      <c r="B70" s="15" t="s">
        <v>925</v>
      </c>
      <c r="C70" s="14">
        <v>2025</v>
      </c>
      <c r="D70" s="13" t="s">
        <v>35</v>
      </c>
      <c r="G70" t="s">
        <v>465</v>
      </c>
      <c r="J70" s="17" t="s">
        <v>972</v>
      </c>
      <c r="K70" t="s">
        <v>115</v>
      </c>
      <c r="L70">
        <f t="shared" si="1"/>
        <v>0</v>
      </c>
    </row>
    <row r="71" spans="1:12" x14ac:dyDescent="0.3">
      <c r="A71" s="15" t="s">
        <v>7</v>
      </c>
      <c r="B71" s="15" t="s">
        <v>925</v>
      </c>
      <c r="C71" s="14">
        <v>2026</v>
      </c>
      <c r="D71" s="13" t="s">
        <v>7</v>
      </c>
      <c r="G71" t="s">
        <v>469</v>
      </c>
      <c r="J71" s="17" t="s">
        <v>973</v>
      </c>
      <c r="L71" t="e">
        <f t="shared" si="1"/>
        <v>#N/A</v>
      </c>
    </row>
    <row r="72" spans="1:12" x14ac:dyDescent="0.3">
      <c r="A72" s="15" t="s">
        <v>885</v>
      </c>
      <c r="B72" s="15" t="s">
        <v>925</v>
      </c>
      <c r="C72" s="14">
        <v>2025</v>
      </c>
      <c r="D72" s="13" t="s">
        <v>911</v>
      </c>
      <c r="G72" t="s">
        <v>494</v>
      </c>
      <c r="J72" s="17" t="s">
        <v>974</v>
      </c>
      <c r="L72" t="e">
        <f t="shared" si="1"/>
        <v>#N/A</v>
      </c>
    </row>
    <row r="73" spans="1:12" x14ac:dyDescent="0.3">
      <c r="A73" s="15" t="s">
        <v>21</v>
      </c>
      <c r="B73" s="15" t="s">
        <v>925</v>
      </c>
      <c r="C73" s="14">
        <v>2025</v>
      </c>
      <c r="D73" s="13" t="s">
        <v>21</v>
      </c>
      <c r="G73" t="s">
        <v>496</v>
      </c>
      <c r="J73" s="17" t="s">
        <v>975</v>
      </c>
      <c r="L73" t="e">
        <f t="shared" si="1"/>
        <v>#N/A</v>
      </c>
    </row>
    <row r="74" spans="1:12" x14ac:dyDescent="0.3">
      <c r="A74" s="15" t="s">
        <v>1017</v>
      </c>
      <c r="B74" s="15" t="s">
        <v>925</v>
      </c>
      <c r="C74" s="14">
        <v>2025</v>
      </c>
      <c r="D74" s="13" t="s">
        <v>115</v>
      </c>
      <c r="G74" t="s">
        <v>498</v>
      </c>
      <c r="H74" t="s">
        <v>499</v>
      </c>
      <c r="J74" s="17" t="s">
        <v>899</v>
      </c>
      <c r="K74" t="s">
        <v>899</v>
      </c>
      <c r="L74">
        <f t="shared" si="1"/>
        <v>0</v>
      </c>
    </row>
    <row r="75" spans="1:12" x14ac:dyDescent="0.3">
      <c r="A75" s="15" t="s">
        <v>973</v>
      </c>
      <c r="B75" s="14" t="s">
        <v>991</v>
      </c>
      <c r="C75" s="14">
        <v>2026</v>
      </c>
      <c r="D75" s="13"/>
      <c r="G75" t="s">
        <v>553</v>
      </c>
      <c r="J75" s="17" t="s">
        <v>976</v>
      </c>
      <c r="K75" t="s">
        <v>908</v>
      </c>
      <c r="L75" t="str">
        <f t="shared" si="1"/>
        <v>Vinyl acetate monomer</v>
      </c>
    </row>
    <row r="76" spans="1:12" x14ac:dyDescent="0.3">
      <c r="A76" s="15" t="s">
        <v>974</v>
      </c>
      <c r="B76" s="14" t="s">
        <v>991</v>
      </c>
      <c r="C76" s="14">
        <v>2024</v>
      </c>
      <c r="D76" s="13"/>
      <c r="G76" t="s">
        <v>557</v>
      </c>
      <c r="H76" t="s">
        <v>577</v>
      </c>
      <c r="J76" s="18" t="s">
        <v>977</v>
      </c>
      <c r="K76" t="s">
        <v>905</v>
      </c>
      <c r="L76" t="str">
        <f t="shared" si="1"/>
        <v>Vinyl chloride monomer</v>
      </c>
    </row>
    <row r="77" spans="1:12" x14ac:dyDescent="0.3">
      <c r="A77" s="15" t="s">
        <v>996</v>
      </c>
      <c r="B77" s="13" t="s">
        <v>997</v>
      </c>
      <c r="C77" s="14">
        <v>2023</v>
      </c>
      <c r="D77" s="13" t="s">
        <v>104</v>
      </c>
      <c r="G77" t="s">
        <v>558</v>
      </c>
      <c r="H77" t="s">
        <v>769</v>
      </c>
    </row>
    <row r="78" spans="1:12" x14ac:dyDescent="0.3">
      <c r="A78" s="15" t="s">
        <v>975</v>
      </c>
      <c r="B78" s="14" t="s">
        <v>991</v>
      </c>
      <c r="C78" s="14">
        <v>2024</v>
      </c>
      <c r="D78" s="13"/>
      <c r="G78" t="s">
        <v>576</v>
      </c>
    </row>
    <row r="79" spans="1:12" x14ac:dyDescent="0.3">
      <c r="A79" s="15" t="s">
        <v>899</v>
      </c>
      <c r="B79" s="15" t="s">
        <v>925</v>
      </c>
      <c r="C79" s="14">
        <v>2025</v>
      </c>
      <c r="D79" s="13" t="s">
        <v>899</v>
      </c>
      <c r="G79" t="s">
        <v>589</v>
      </c>
      <c r="H79" t="s">
        <v>592</v>
      </c>
    </row>
    <row r="80" spans="1:12" x14ac:dyDescent="0.3">
      <c r="A80" s="15" t="s">
        <v>976</v>
      </c>
      <c r="B80" s="15" t="s">
        <v>925</v>
      </c>
      <c r="C80" s="14">
        <v>2025</v>
      </c>
      <c r="D80" s="13" t="s">
        <v>908</v>
      </c>
      <c r="G80" t="s">
        <v>590</v>
      </c>
      <c r="H80" t="s">
        <v>591</v>
      </c>
    </row>
    <row r="81" spans="1:8" x14ac:dyDescent="0.3">
      <c r="A81" s="15" t="s">
        <v>977</v>
      </c>
      <c r="B81" s="15" t="s">
        <v>925</v>
      </c>
      <c r="C81" s="14">
        <v>2025</v>
      </c>
      <c r="D81" s="13" t="s">
        <v>905</v>
      </c>
      <c r="G81" t="s">
        <v>602</v>
      </c>
      <c r="H81" t="s">
        <v>591</v>
      </c>
    </row>
    <row r="82" spans="1:8" x14ac:dyDescent="0.3">
      <c r="A82" s="15" t="s">
        <v>1037</v>
      </c>
      <c r="B82" s="13" t="s">
        <v>997</v>
      </c>
      <c r="C82" s="14">
        <v>2023</v>
      </c>
      <c r="D82" s="13" t="s">
        <v>1037</v>
      </c>
      <c r="G82" t="s">
        <v>607</v>
      </c>
      <c r="H82" t="s">
        <v>608</v>
      </c>
    </row>
    <row r="83" spans="1:8" x14ac:dyDescent="0.3">
      <c r="A83" s="15" t="s">
        <v>953</v>
      </c>
      <c r="B83" s="13" t="s">
        <v>997</v>
      </c>
      <c r="C83" s="14">
        <v>2024</v>
      </c>
      <c r="D83" s="13" t="s">
        <v>1131</v>
      </c>
      <c r="G83" t="s">
        <v>609</v>
      </c>
      <c r="H83" t="s">
        <v>610</v>
      </c>
    </row>
    <row r="84" spans="1:8" x14ac:dyDescent="0.3">
      <c r="A84" s="15" t="s">
        <v>953</v>
      </c>
      <c r="B84" s="13" t="s">
        <v>997</v>
      </c>
      <c r="C84" s="14">
        <v>2024</v>
      </c>
      <c r="D84" s="13" t="s">
        <v>1073</v>
      </c>
      <c r="G84" t="s">
        <v>621</v>
      </c>
      <c r="H84" t="s">
        <v>623</v>
      </c>
    </row>
    <row r="85" spans="1:8" x14ac:dyDescent="0.3">
      <c r="A85" s="15" t="s">
        <v>953</v>
      </c>
      <c r="B85" s="13" t="s">
        <v>997</v>
      </c>
      <c r="C85" s="14">
        <v>2024</v>
      </c>
      <c r="D85" s="13" t="s">
        <v>1132</v>
      </c>
      <c r="G85" t="s">
        <v>622</v>
      </c>
      <c r="H85" t="s">
        <v>624</v>
      </c>
    </row>
    <row r="86" spans="1:8" x14ac:dyDescent="0.3">
      <c r="A86" s="15" t="s">
        <v>953</v>
      </c>
      <c r="B86" s="13" t="s">
        <v>997</v>
      </c>
      <c r="C86" s="14">
        <v>2024</v>
      </c>
      <c r="D86" s="13" t="s">
        <v>738</v>
      </c>
      <c r="G86" t="s">
        <v>638</v>
      </c>
      <c r="H86" t="s">
        <v>640</v>
      </c>
    </row>
    <row r="87" spans="1:8" x14ac:dyDescent="0.3">
      <c r="A87" s="15" t="s">
        <v>953</v>
      </c>
      <c r="B87" s="13" t="s">
        <v>997</v>
      </c>
      <c r="C87" s="14">
        <v>2024</v>
      </c>
      <c r="D87" s="13" t="s">
        <v>1133</v>
      </c>
      <c r="G87" t="s">
        <v>639</v>
      </c>
      <c r="H87" t="s">
        <v>641</v>
      </c>
    </row>
    <row r="88" spans="1:8" x14ac:dyDescent="0.3">
      <c r="A88" s="15" t="s">
        <v>953</v>
      </c>
      <c r="B88" s="13" t="s">
        <v>997</v>
      </c>
      <c r="C88" s="14">
        <v>2024</v>
      </c>
      <c r="D88" s="13" t="s">
        <v>1134</v>
      </c>
      <c r="G88" t="s">
        <v>656</v>
      </c>
      <c r="H88" t="s">
        <v>504</v>
      </c>
    </row>
    <row r="89" spans="1:8" x14ac:dyDescent="0.3">
      <c r="A89" s="15" t="s">
        <v>953</v>
      </c>
      <c r="B89" s="13" t="s">
        <v>997</v>
      </c>
      <c r="C89" s="14">
        <v>2024</v>
      </c>
      <c r="D89" s="13" t="s">
        <v>1135</v>
      </c>
      <c r="G89" t="s">
        <v>657</v>
      </c>
      <c r="H89" t="s">
        <v>505</v>
      </c>
    </row>
    <row r="90" spans="1:8" x14ac:dyDescent="0.3">
      <c r="A90" s="13" t="s">
        <v>1136</v>
      </c>
      <c r="B90" s="13" t="s">
        <v>997</v>
      </c>
      <c r="C90" s="14">
        <v>2024</v>
      </c>
      <c r="D90" s="13" t="s">
        <v>1137</v>
      </c>
      <c r="G90" t="s">
        <v>658</v>
      </c>
      <c r="H90" t="s">
        <v>506</v>
      </c>
    </row>
    <row r="91" spans="1:8" x14ac:dyDescent="0.3">
      <c r="A91" s="13" t="s">
        <v>1136</v>
      </c>
      <c r="B91" s="13" t="s">
        <v>997</v>
      </c>
      <c r="C91" s="14">
        <v>2024</v>
      </c>
      <c r="D91" s="13" t="s">
        <v>117</v>
      </c>
      <c r="G91" t="s">
        <v>501</v>
      </c>
      <c r="H91" t="s">
        <v>504</v>
      </c>
    </row>
    <row r="92" spans="1:8" x14ac:dyDescent="0.3">
      <c r="A92" s="13" t="s">
        <v>1136</v>
      </c>
      <c r="B92" s="13" t="s">
        <v>997</v>
      </c>
      <c r="C92" s="14">
        <v>2024</v>
      </c>
      <c r="D92" s="13" t="s">
        <v>122</v>
      </c>
      <c r="G92" t="s">
        <v>502</v>
      </c>
      <c r="H92" t="s">
        <v>505</v>
      </c>
    </row>
    <row r="93" spans="1:8" x14ac:dyDescent="0.3">
      <c r="A93" s="13" t="s">
        <v>1136</v>
      </c>
      <c r="B93" s="13" t="s">
        <v>997</v>
      </c>
      <c r="C93" s="14">
        <v>2024</v>
      </c>
      <c r="D93" s="13" t="s">
        <v>1052</v>
      </c>
      <c r="G93" t="s">
        <v>503</v>
      </c>
      <c r="H93" t="s">
        <v>506</v>
      </c>
    </row>
    <row r="94" spans="1:8" x14ac:dyDescent="0.3">
      <c r="A94" s="13" t="s">
        <v>1136</v>
      </c>
      <c r="B94" s="13" t="s">
        <v>997</v>
      </c>
      <c r="C94" s="14">
        <v>2024</v>
      </c>
      <c r="D94" s="13" t="s">
        <v>1138</v>
      </c>
      <c r="G94" t="s">
        <v>678</v>
      </c>
      <c r="H94" t="s">
        <v>679</v>
      </c>
    </row>
    <row r="95" spans="1:8" x14ac:dyDescent="0.3">
      <c r="A95" s="13" t="s">
        <v>1136</v>
      </c>
      <c r="B95" s="13" t="s">
        <v>997</v>
      </c>
      <c r="C95" s="14">
        <v>2024</v>
      </c>
      <c r="D95" s="13" t="s">
        <v>1139</v>
      </c>
      <c r="G95" t="s">
        <v>275</v>
      </c>
      <c r="H95" t="s">
        <v>687</v>
      </c>
    </row>
    <row r="96" spans="1:8" x14ac:dyDescent="0.3">
      <c r="A96" s="13" t="s">
        <v>1136</v>
      </c>
      <c r="B96" s="13" t="s">
        <v>997</v>
      </c>
      <c r="C96" s="14">
        <v>2024</v>
      </c>
      <c r="D96" s="13" t="s">
        <v>1140</v>
      </c>
      <c r="G96" t="s">
        <v>720</v>
      </c>
    </row>
    <row r="97" spans="1:8" x14ac:dyDescent="0.3">
      <c r="A97" s="13" t="s">
        <v>1136</v>
      </c>
      <c r="B97" s="13" t="s">
        <v>997</v>
      </c>
      <c r="C97" s="14">
        <v>2024</v>
      </c>
      <c r="D97" s="13" t="s">
        <v>1141</v>
      </c>
      <c r="G97" t="s">
        <v>558</v>
      </c>
      <c r="H97" t="s">
        <v>770</v>
      </c>
    </row>
    <row r="98" spans="1:8" x14ac:dyDescent="0.3">
      <c r="G98" t="s">
        <v>731</v>
      </c>
    </row>
    <row r="99" spans="1:8" x14ac:dyDescent="0.3">
      <c r="G99" t="s">
        <v>780</v>
      </c>
      <c r="H99" t="s">
        <v>782</v>
      </c>
    </row>
    <row r="100" spans="1:8" x14ac:dyDescent="0.3">
      <c r="G100" t="s">
        <v>784</v>
      </c>
    </row>
    <row r="101" spans="1:8" x14ac:dyDescent="0.3">
      <c r="G101" t="s">
        <v>846</v>
      </c>
    </row>
    <row r="102" spans="1:8" x14ac:dyDescent="0.3">
      <c r="G102" s="1" t="s">
        <v>853</v>
      </c>
    </row>
  </sheetData>
  <phoneticPr fontId="1" type="noConversion"/>
  <dataValidations disablePrompts="1" count="1">
    <dataValidation type="list" allowBlank="1" showInputMessage="1" showErrorMessage="1" sqref="K2:K76" xr:uid="{9417AD3A-FD49-4A79-8C01-9661072CD945}">
      <formula1>G$2:G$102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topLeftCell="A82" zoomScale="85" zoomScaleNormal="85" workbookViewId="0">
      <selection activeCell="F114" sqref="F114"/>
    </sheetView>
  </sheetViews>
  <sheetFormatPr defaultRowHeight="16.5" x14ac:dyDescent="0.3"/>
  <cols>
    <col min="1" max="1" width="13.5" bestFit="1" customWidth="1"/>
    <col min="2" max="2" width="17.5" bestFit="1" customWidth="1"/>
    <col min="3" max="3" width="17.125" bestFit="1" customWidth="1"/>
    <col min="4" max="4" width="16" customWidth="1"/>
    <col min="5" max="5" width="26.375" customWidth="1"/>
    <col min="6" max="6" width="16" customWidth="1"/>
    <col min="7" max="7" width="12.625" customWidth="1"/>
    <col min="8" max="8" width="29" customWidth="1"/>
    <col min="9" max="9" width="4.25" customWidth="1"/>
    <col min="10" max="10" width="12.125" bestFit="1" customWidth="1"/>
    <col min="11" max="12" width="12.125" customWidth="1"/>
  </cols>
  <sheetData>
    <row r="1" spans="1:13" x14ac:dyDescent="0.3">
      <c r="A1" t="s">
        <v>1</v>
      </c>
      <c r="B1" t="s">
        <v>3</v>
      </c>
      <c r="C1" t="s">
        <v>2</v>
      </c>
      <c r="D1" t="s">
        <v>788</v>
      </c>
      <c r="E1" t="s">
        <v>789</v>
      </c>
      <c r="F1" t="s">
        <v>549</v>
      </c>
      <c r="G1" t="s">
        <v>729</v>
      </c>
      <c r="H1" t="s">
        <v>0</v>
      </c>
      <c r="I1" t="s">
        <v>277</v>
      </c>
      <c r="J1" t="s">
        <v>903</v>
      </c>
      <c r="K1" t="s">
        <v>992</v>
      </c>
      <c r="L1" t="s">
        <v>999</v>
      </c>
      <c r="M1" t="s">
        <v>1000</v>
      </c>
    </row>
    <row r="2" spans="1:13" x14ac:dyDescent="0.3">
      <c r="A2" t="s">
        <v>4</v>
      </c>
      <c r="B2" t="s">
        <v>5</v>
      </c>
      <c r="C2" s="23" t="s">
        <v>5</v>
      </c>
      <c r="D2" t="s">
        <v>6</v>
      </c>
      <c r="E2" t="s">
        <v>790</v>
      </c>
      <c r="F2">
        <v>2100</v>
      </c>
      <c r="G2">
        <v>2901210000</v>
      </c>
      <c r="H2" t="s">
        <v>479</v>
      </c>
      <c r="J2" t="str">
        <f>IF(COUNTIF(CCMA[material_name],C2)&gt;0,"O","X")</f>
        <v>O</v>
      </c>
      <c r="K2" t="str">
        <f>IF(COUNTIF(CEH[material_name],C2)&gt;0,"O","X")</f>
        <v>O</v>
      </c>
      <c r="L2" t="str">
        <f>IF(COUNTIF(표8[material_id],표2[[#This Row],[material_id]])&gt;0, "O", "X")</f>
        <v>O</v>
      </c>
      <c r="M2" t="str">
        <f>IF(COUNTIFS(표8[material_id],표2[[#This Row],[material_id]],표8[location],"울산")&gt;0, "O", "X")</f>
        <v>O</v>
      </c>
    </row>
    <row r="3" spans="1:13" x14ac:dyDescent="0.3">
      <c r="A3" t="s">
        <v>49</v>
      </c>
      <c r="B3" t="s">
        <v>5</v>
      </c>
      <c r="C3" s="23" t="s">
        <v>29</v>
      </c>
      <c r="D3" t="s">
        <v>24</v>
      </c>
      <c r="E3" t="s">
        <v>791</v>
      </c>
      <c r="F3">
        <v>2110</v>
      </c>
      <c r="G3">
        <v>3910120000</v>
      </c>
      <c r="J3" t="str">
        <f>IF(COUNTIF(CCMA[material_name],C3)&gt;0,"O","X")</f>
        <v>X</v>
      </c>
      <c r="K3" t="str">
        <f>IF(COUNTIF(CEH[material_name],C3)&gt;0,"O","X")</f>
        <v>O</v>
      </c>
      <c r="L3" t="str">
        <f>IF(COUNTIF(표8[material_id],표2[[#This Row],[material_id]])&gt;0, "O", "X")</f>
        <v>O</v>
      </c>
      <c r="M3" t="str">
        <f>IF(COUNTIFS(표8[material_id],표2[[#This Row],[material_id]],표8[location],"울산")&gt;0, "O", "X")</f>
        <v>O</v>
      </c>
    </row>
    <row r="4" spans="1:13" x14ac:dyDescent="0.3">
      <c r="A4" t="s">
        <v>8</v>
      </c>
      <c r="B4" t="s">
        <v>5</v>
      </c>
      <c r="C4" s="23" t="s">
        <v>31</v>
      </c>
      <c r="D4" t="s">
        <v>24</v>
      </c>
      <c r="E4" t="s">
        <v>791</v>
      </c>
      <c r="F4">
        <v>2120</v>
      </c>
      <c r="G4">
        <v>3901109000</v>
      </c>
      <c r="J4" t="str">
        <f>IF(COUNTIF(CCMA[material_name],C4)&gt;0,"O","X")</f>
        <v>X</v>
      </c>
      <c r="K4" t="str">
        <f>IF(COUNTIF(CEH[material_name],C4)&gt;0,"O","X")</f>
        <v>O</v>
      </c>
      <c r="L4" t="str">
        <f>IF(COUNTIF(표8[material_id],표2[[#This Row],[material_id]])&gt;0, "O", "X")</f>
        <v>O</v>
      </c>
      <c r="M4" t="str">
        <f>IF(COUNTIFS(표8[material_id],표2[[#This Row],[material_id]],표8[location],"울산")&gt;0, "O", "X")</f>
        <v>O</v>
      </c>
    </row>
    <row r="5" spans="1:13" x14ac:dyDescent="0.3">
      <c r="A5" t="s">
        <v>10</v>
      </c>
      <c r="B5" t="s">
        <v>5</v>
      </c>
      <c r="C5" s="23" t="s">
        <v>32</v>
      </c>
      <c r="D5" t="s">
        <v>24</v>
      </c>
      <c r="E5" t="s">
        <v>791</v>
      </c>
      <c r="F5">
        <v>2130</v>
      </c>
      <c r="G5">
        <v>3901101000</v>
      </c>
      <c r="J5" t="str">
        <f>IF(COUNTIF(CCMA[material_name],C5)&gt;0,"O","X")</f>
        <v>X</v>
      </c>
      <c r="K5" t="str">
        <f>IF(COUNTIF(CEH[material_name],C5)&gt;0,"O","X")</f>
        <v>O</v>
      </c>
      <c r="L5" t="str">
        <f>IF(COUNTIF(표8[material_id],표2[[#This Row],[material_id]])&gt;0, "O", "X")</f>
        <v>O</v>
      </c>
      <c r="M5" t="str">
        <f>IF(COUNTIFS(표8[material_id],표2[[#This Row],[material_id]],표8[location],"울산")&gt;0, "O", "X")</f>
        <v>O</v>
      </c>
    </row>
    <row r="6" spans="1:13" x14ac:dyDescent="0.3">
      <c r="A6" t="s">
        <v>11</v>
      </c>
      <c r="B6" t="s">
        <v>5</v>
      </c>
      <c r="C6" s="23" t="s">
        <v>466</v>
      </c>
      <c r="D6" t="s">
        <v>16</v>
      </c>
      <c r="E6" t="s">
        <v>792</v>
      </c>
      <c r="F6">
        <v>2200</v>
      </c>
      <c r="G6">
        <v>2903150000</v>
      </c>
      <c r="H6" t="s">
        <v>1022</v>
      </c>
      <c r="J6" t="str">
        <f>IF(COUNTIF(CCMA[material_name],C6)&gt;0,"O","X")</f>
        <v>O</v>
      </c>
      <c r="K6" t="str">
        <f>IF(COUNTIF(CEH[material_name],C6)&gt;0,"O","X")</f>
        <v>O</v>
      </c>
      <c r="L6" t="str">
        <f>IF(COUNTIF(표8[material_id],표2[[#This Row],[material_id]])&gt;0, "O", "X")</f>
        <v>O</v>
      </c>
      <c r="M6" t="str">
        <f>IF(COUNTIFS(표8[material_id],표2[[#This Row],[material_id]],표8[location],"울산")&gt;0, "O", "X")</f>
        <v>O</v>
      </c>
    </row>
    <row r="7" spans="1:13" x14ac:dyDescent="0.3">
      <c r="A7" t="s">
        <v>12</v>
      </c>
      <c r="B7" t="s">
        <v>5</v>
      </c>
      <c r="C7" s="23" t="s">
        <v>47</v>
      </c>
      <c r="D7" t="s">
        <v>30</v>
      </c>
      <c r="E7" t="s">
        <v>793</v>
      </c>
      <c r="F7">
        <v>2210</v>
      </c>
      <c r="G7">
        <v>2903210000</v>
      </c>
      <c r="H7" t="s">
        <v>34</v>
      </c>
      <c r="J7" t="str">
        <f>IF(COUNTIF(CCMA[material_name],C7)&gt;0,"O","X")</f>
        <v>O</v>
      </c>
      <c r="K7" t="str">
        <f>IF(COUNTIF(CEH[material_name],C7)&gt;0,"O","X")</f>
        <v>O</v>
      </c>
      <c r="L7" t="str">
        <f>IF(COUNTIF(표8[material_id],표2[[#This Row],[material_id]])&gt;0, "O", "X")</f>
        <v>O</v>
      </c>
      <c r="M7" t="str">
        <f>IF(COUNTIFS(표8[material_id],표2[[#This Row],[material_id]],표8[location],"울산")&gt;0, "O", "X")</f>
        <v>O</v>
      </c>
    </row>
    <row r="8" spans="1:13" x14ac:dyDescent="0.3">
      <c r="A8" t="s">
        <v>14</v>
      </c>
      <c r="B8" t="s">
        <v>5</v>
      </c>
      <c r="C8" s="23" t="s">
        <v>35</v>
      </c>
      <c r="D8" t="s">
        <v>24</v>
      </c>
      <c r="E8" t="s">
        <v>794</v>
      </c>
      <c r="F8">
        <v>2220</v>
      </c>
      <c r="G8">
        <v>3904100000</v>
      </c>
      <c r="H8" t="s">
        <v>481</v>
      </c>
      <c r="J8" t="str">
        <f>IF(COUNTIF(CCMA[material_name],C8)&gt;0,"O","X")</f>
        <v>O</v>
      </c>
      <c r="K8" t="str">
        <f>IF(COUNTIF(CEH[material_name],C8)&gt;0,"O","X")</f>
        <v>O</v>
      </c>
      <c r="L8" t="str">
        <f>IF(COUNTIF(표8[material_id],표2[[#This Row],[material_id]])&gt;0, "O", "X")</f>
        <v>O</v>
      </c>
      <c r="M8" t="str">
        <f>IF(COUNTIFS(표8[material_id],표2[[#This Row],[material_id]],표8[location],"울산")&gt;0, "O", "X")</f>
        <v>O</v>
      </c>
    </row>
    <row r="9" spans="1:13" x14ac:dyDescent="0.3">
      <c r="A9" t="s">
        <v>17</v>
      </c>
      <c r="B9" t="s">
        <v>5</v>
      </c>
      <c r="C9" s="23" t="s">
        <v>40</v>
      </c>
      <c r="D9" t="s">
        <v>16</v>
      </c>
      <c r="E9" t="s">
        <v>795</v>
      </c>
      <c r="F9">
        <v>2400</v>
      </c>
      <c r="G9">
        <v>2207200000</v>
      </c>
      <c r="J9" t="str">
        <f>IF(COUNTIF(CCMA[material_name],C9)&gt;0,"O","X")</f>
        <v>X</v>
      </c>
      <c r="K9" t="str">
        <f>IF(COUNTIF(CEH[material_name],C9)&gt;0,"O","X")</f>
        <v>O</v>
      </c>
      <c r="L9" t="str">
        <f>IF(COUNTIF(표8[material_id],표2[[#This Row],[material_id]])&gt;0, "O", "X")</f>
        <v>O</v>
      </c>
      <c r="M9" t="str">
        <f>IF(COUNTIFS(표8[material_id],표2[[#This Row],[material_id]],표8[location],"울산")&gt;0, "O", "X")</f>
        <v>O</v>
      </c>
    </row>
    <row r="10" spans="1:13" x14ac:dyDescent="0.3">
      <c r="A10" s="22" t="s">
        <v>18</v>
      </c>
      <c r="B10" s="22" t="s">
        <v>5</v>
      </c>
      <c r="C10" s="22" t="s">
        <v>41</v>
      </c>
      <c r="D10" s="22" t="s">
        <v>16</v>
      </c>
      <c r="E10" s="22" t="s">
        <v>796</v>
      </c>
      <c r="F10" s="22">
        <v>2500</v>
      </c>
      <c r="G10" s="22"/>
      <c r="H10" s="22" t="s">
        <v>1024</v>
      </c>
      <c r="I10" s="22" t="s">
        <v>276</v>
      </c>
      <c r="J10" s="22" t="str">
        <f>IF(COUNTIF(CCMA[material_name],C10)&gt;0,"O","X")</f>
        <v>X</v>
      </c>
      <c r="K10" s="22" t="str">
        <f>IF(COUNTIF(CEH[material_name],C10)&gt;0,"O","X")</f>
        <v>O</v>
      </c>
      <c r="L10" s="22" t="str">
        <f>IF(COUNTIF(표8[material_id],표2[[#This Row],[material_id]])&gt;0, "O", "X")</f>
        <v>X</v>
      </c>
      <c r="M10" s="22" t="str">
        <f>IF(COUNTIFS(표8[material_id],표2[[#This Row],[material_id]],표8[location],"울산")&gt;0, "O", "X")</f>
        <v>X</v>
      </c>
    </row>
    <row r="11" spans="1:13" x14ac:dyDescent="0.3">
      <c r="A11" t="s">
        <v>20</v>
      </c>
      <c r="B11" t="s">
        <v>5</v>
      </c>
      <c r="C11" s="23" t="s">
        <v>1025</v>
      </c>
      <c r="D11" t="s">
        <v>16</v>
      </c>
      <c r="E11" t="s">
        <v>797</v>
      </c>
      <c r="F11">
        <v>2420</v>
      </c>
      <c r="G11">
        <v>2915310000</v>
      </c>
      <c r="J11" t="str">
        <f>IF(COUNTIF(CCMA[material_name],C11)&gt;0,"O","X")</f>
        <v>X</v>
      </c>
      <c r="K11" t="str">
        <f>IF(COUNTIF(CEH[material_name],C11)&gt;0,"O","X")</f>
        <v>O</v>
      </c>
      <c r="L11" t="str">
        <f>IF(COUNTIF(표8[material_id],표2[[#This Row],[material_id]])&gt;0, "O", "X")</f>
        <v>O</v>
      </c>
      <c r="M11" t="str">
        <f>IF(COUNTIFS(표8[material_id],표2[[#This Row],[material_id]],표8[location],"울산")&gt;0, "O", "X")</f>
        <v>O</v>
      </c>
    </row>
    <row r="12" spans="1:13" x14ac:dyDescent="0.3">
      <c r="A12" s="22" t="s">
        <v>22</v>
      </c>
      <c r="B12" s="22" t="s">
        <v>781</v>
      </c>
      <c r="C12" s="22" t="s">
        <v>1126</v>
      </c>
      <c r="D12" s="22" t="s">
        <v>16</v>
      </c>
      <c r="E12" s="22" t="s">
        <v>798</v>
      </c>
      <c r="F12" s="22">
        <v>2510</v>
      </c>
      <c r="G12" s="22">
        <v>2916121000</v>
      </c>
      <c r="H12" s="22" t="s">
        <v>1125</v>
      </c>
      <c r="I12" s="22" t="s">
        <v>276</v>
      </c>
      <c r="J12" s="22" t="str">
        <f>IF(COUNTIF(CCMA[material_name],C12)&gt;0,"O","X")</f>
        <v>X</v>
      </c>
      <c r="K12" s="22" t="str">
        <f>IF(COUNTIF(CEH[material_name],C12)&gt;0,"O","X")</f>
        <v>X</v>
      </c>
      <c r="L12" s="22" t="str">
        <f>IF(COUNTIF(표8[material_id],표2[[#This Row],[material_id]])&gt;0, "O", "X")</f>
        <v>X</v>
      </c>
      <c r="M12" s="22" t="str">
        <f>IF(COUNTIFS(표8[material_id],표2[[#This Row],[material_id]],표8[location],"울산")&gt;0, "O", "X")</f>
        <v>X</v>
      </c>
    </row>
    <row r="13" spans="1:13" x14ac:dyDescent="0.3">
      <c r="A13" t="s">
        <v>50</v>
      </c>
      <c r="B13" t="s">
        <v>5</v>
      </c>
      <c r="C13" s="23" t="s">
        <v>478</v>
      </c>
      <c r="D13" t="s">
        <v>16</v>
      </c>
      <c r="E13" t="s">
        <v>799</v>
      </c>
      <c r="F13">
        <v>2300</v>
      </c>
      <c r="G13">
        <v>2910100000</v>
      </c>
      <c r="H13" t="s">
        <v>42</v>
      </c>
      <c r="J13" t="str">
        <f>IF(COUNTIF(CCMA[material_name],C13)&gt;0,"O","X")</f>
        <v>O</v>
      </c>
      <c r="K13" t="str">
        <f>IF(COUNTIF(CEH[material_name],C13)&gt;0,"O","X")</f>
        <v>O</v>
      </c>
      <c r="L13" t="str">
        <f>IF(COUNTIF(표8[material_id],표2[[#This Row],[material_id]])&gt;0, "O", "X")</f>
        <v>O</v>
      </c>
      <c r="M13" t="str">
        <f>IF(COUNTIFS(표8[material_id],표2[[#This Row],[material_id]],표8[location],"울산")&gt;0, "O", "X")</f>
        <v>O</v>
      </c>
    </row>
    <row r="14" spans="1:13" x14ac:dyDescent="0.3">
      <c r="A14" t="s">
        <v>51</v>
      </c>
      <c r="B14" t="s">
        <v>5</v>
      </c>
      <c r="C14" s="23" t="s">
        <v>43</v>
      </c>
      <c r="D14" t="s">
        <v>800</v>
      </c>
      <c r="E14" t="s">
        <v>801</v>
      </c>
      <c r="F14">
        <v>2310</v>
      </c>
      <c r="I14" t="s">
        <v>276</v>
      </c>
      <c r="J14" t="str">
        <f>IF(COUNTIF(CCMA[material_name],C14)&gt;0,"O","X")</f>
        <v>X</v>
      </c>
      <c r="K14" t="str">
        <f>IF(COUNTIF(CEH[material_name],C14)&gt;0,"O","X")</f>
        <v>O</v>
      </c>
      <c r="L14" t="str">
        <f>IF(COUNTIF(표8[material_id],표2[[#This Row],[material_id]])&gt;0, "O", "X")</f>
        <v>X</v>
      </c>
      <c r="M14" t="str">
        <f>IF(COUNTIFS(표8[material_id],표2[[#This Row],[material_id]],표8[location],"울산")&gt;0, "O", "X")</f>
        <v>X</v>
      </c>
    </row>
    <row r="15" spans="1:13" x14ac:dyDescent="0.3">
      <c r="A15" t="s">
        <v>52</v>
      </c>
      <c r="B15" t="s">
        <v>5</v>
      </c>
      <c r="C15" s="23" t="s">
        <v>44</v>
      </c>
      <c r="D15" t="s">
        <v>16</v>
      </c>
      <c r="E15" t="s">
        <v>802</v>
      </c>
      <c r="F15">
        <v>2320</v>
      </c>
      <c r="G15">
        <v>2922111000</v>
      </c>
      <c r="H15" t="s">
        <v>482</v>
      </c>
      <c r="J15" t="str">
        <f>IF(COUNTIF(CCMA[material_name],C15)&gt;0,"O","X")</f>
        <v>X</v>
      </c>
      <c r="K15" t="str">
        <f>IF(COUNTIF(CEH[material_name],C15)&gt;0,"O","X")</f>
        <v>X</v>
      </c>
      <c r="L15" t="str">
        <f>IF(COUNTIF(표8[material_id],표2[[#This Row],[material_id]])&gt;0, "O", "X")</f>
        <v>X</v>
      </c>
      <c r="M15" t="str">
        <f>IF(COUNTIFS(표8[material_id],표2[[#This Row],[material_id]],표8[location],"울산")&gt;0, "O", "X")</f>
        <v>X</v>
      </c>
    </row>
    <row r="16" spans="1:13" x14ac:dyDescent="0.3">
      <c r="A16" t="s">
        <v>53</v>
      </c>
      <c r="B16" t="s">
        <v>5</v>
      </c>
      <c r="C16" s="23" t="s">
        <v>45</v>
      </c>
      <c r="D16" t="s">
        <v>16</v>
      </c>
      <c r="E16" t="s">
        <v>802</v>
      </c>
      <c r="F16">
        <v>2330</v>
      </c>
      <c r="G16">
        <v>2922121000</v>
      </c>
      <c r="H16" t="s">
        <v>483</v>
      </c>
      <c r="J16" t="str">
        <f>IF(COUNTIF(CCMA[material_name],C16)&gt;0,"O","X")</f>
        <v>X</v>
      </c>
      <c r="K16" t="str">
        <f>IF(COUNTIF(CEH[material_name],C16)&gt;0,"O","X")</f>
        <v>X</v>
      </c>
      <c r="L16" t="str">
        <f>IF(COUNTIF(표8[material_id],표2[[#This Row],[material_id]])&gt;0, "O", "X")</f>
        <v>X</v>
      </c>
      <c r="M16" t="str">
        <f>IF(COUNTIFS(표8[material_id],표2[[#This Row],[material_id]],표8[location],"울산")&gt;0, "O", "X")</f>
        <v>X</v>
      </c>
    </row>
    <row r="17" spans="1:13" x14ac:dyDescent="0.3">
      <c r="A17" t="s">
        <v>54</v>
      </c>
      <c r="B17" t="s">
        <v>5</v>
      </c>
      <c r="C17" s="23" t="s">
        <v>46</v>
      </c>
      <c r="D17" t="s">
        <v>16</v>
      </c>
      <c r="E17" t="s">
        <v>802</v>
      </c>
      <c r="F17">
        <v>2340</v>
      </c>
      <c r="G17">
        <v>2922150000</v>
      </c>
      <c r="H17" t="s">
        <v>484</v>
      </c>
      <c r="J17" t="str">
        <f>IF(COUNTIF(CCMA[material_name],C17)&gt;0,"O","X")</f>
        <v>X</v>
      </c>
      <c r="K17" t="str">
        <f>IF(COUNTIF(CEH[material_name],C17)&gt;0,"O","X")</f>
        <v>X</v>
      </c>
      <c r="L17" t="str">
        <f>IF(COUNTIF(표8[material_id],표2[[#This Row],[material_id]])&gt;0, "O", "X")</f>
        <v>X</v>
      </c>
      <c r="M17" t="str">
        <f>IF(COUNTIFS(표8[material_id],표2[[#This Row],[material_id]],표8[location],"울산")&gt;0, "O", "X")</f>
        <v>X</v>
      </c>
    </row>
    <row r="18" spans="1:13" x14ac:dyDescent="0.3">
      <c r="A18" t="s">
        <v>55</v>
      </c>
      <c r="B18" t="s">
        <v>5</v>
      </c>
      <c r="C18" s="23" t="s">
        <v>486</v>
      </c>
      <c r="D18" t="s">
        <v>16</v>
      </c>
      <c r="E18" t="s">
        <v>803</v>
      </c>
      <c r="F18">
        <v>2380</v>
      </c>
      <c r="G18">
        <v>2905310000</v>
      </c>
      <c r="H18" t="s">
        <v>485</v>
      </c>
      <c r="J18" t="str">
        <f>IF(COUNTIF(CCMA[material_name],C18)&gt;0,"O","X")</f>
        <v>O</v>
      </c>
      <c r="K18" t="str">
        <f>IF(COUNTIF(CEH[material_name],C18)&gt;0,"O","X")</f>
        <v>O</v>
      </c>
      <c r="L18" t="str">
        <f>IF(COUNTIF(표8[material_id],표2[[#This Row],[material_id]])&gt;0, "O", "X")</f>
        <v>O</v>
      </c>
      <c r="M18" t="str">
        <f>IF(COUNTIFS(표8[material_id],표2[[#This Row],[material_id]],표8[location],"울산")&gt;0, "O", "X")</f>
        <v>O</v>
      </c>
    </row>
    <row r="19" spans="1:13" x14ac:dyDescent="0.3">
      <c r="A19" t="s">
        <v>56</v>
      </c>
      <c r="B19" t="s">
        <v>5</v>
      </c>
      <c r="C19" s="23" t="s">
        <v>1028</v>
      </c>
      <c r="D19" t="s">
        <v>16</v>
      </c>
      <c r="E19" t="s">
        <v>804</v>
      </c>
      <c r="F19">
        <v>2410</v>
      </c>
      <c r="G19">
        <v>2912120000</v>
      </c>
      <c r="I19" t="s">
        <v>276</v>
      </c>
      <c r="J19" t="str">
        <f>IF(COUNTIF(CCMA[material_name],C19)&gt;0,"O","X")</f>
        <v>X</v>
      </c>
      <c r="K19" t="str">
        <f>IF(COUNTIF(CEH[material_name],C19)&gt;0,"O","X")</f>
        <v>O</v>
      </c>
      <c r="L19" t="str">
        <f>IF(COUNTIF(표8[material_id],표2[[#This Row],[material_id]])&gt;0, "O", "X")</f>
        <v>X</v>
      </c>
      <c r="M19" t="str">
        <f>IF(COUNTIFS(표8[material_id],표2[[#This Row],[material_id]],표8[location],"울산")&gt;0, "O", "X")</f>
        <v>X</v>
      </c>
    </row>
    <row r="20" spans="1:13" x14ac:dyDescent="0.3">
      <c r="A20" t="s">
        <v>57</v>
      </c>
      <c r="B20" t="s">
        <v>5</v>
      </c>
      <c r="C20" s="23" t="s">
        <v>48</v>
      </c>
      <c r="D20" t="s">
        <v>30</v>
      </c>
      <c r="E20" t="s">
        <v>805</v>
      </c>
      <c r="F20">
        <v>2600</v>
      </c>
      <c r="G20">
        <v>2915320000</v>
      </c>
      <c r="H20" t="s">
        <v>39</v>
      </c>
      <c r="J20" t="str">
        <f>IF(COUNTIF(CCMA[material_name],C20)&gt;0,"O","X")</f>
        <v>O</v>
      </c>
      <c r="K20" t="str">
        <f>IF(COUNTIF(CEH[material_name],C20)&gt;0,"O","X")</f>
        <v>O</v>
      </c>
      <c r="L20" t="str">
        <f>IF(COUNTIF(표8[material_id],표2[[#This Row],[material_id]])&gt;0, "O", "X")</f>
        <v>O</v>
      </c>
      <c r="M20" t="str">
        <f>IF(COUNTIFS(표8[material_id],표2[[#This Row],[material_id]],표8[location],"울산")&gt;0, "O", "X")</f>
        <v>O</v>
      </c>
    </row>
    <row r="21" spans="1:13" x14ac:dyDescent="0.3">
      <c r="A21" t="s">
        <v>58</v>
      </c>
      <c r="B21" t="s">
        <v>7</v>
      </c>
      <c r="C21" s="23" t="s">
        <v>7</v>
      </c>
      <c r="D21" t="s">
        <v>6</v>
      </c>
      <c r="E21" t="s">
        <v>790</v>
      </c>
      <c r="F21">
        <v>3100</v>
      </c>
      <c r="G21">
        <v>2901220000</v>
      </c>
      <c r="H21" t="s">
        <v>477</v>
      </c>
      <c r="J21" t="str">
        <f>IF(COUNTIF(CCMA[material_name],C21)&gt;0,"O","X")</f>
        <v>O</v>
      </c>
      <c r="K21" t="str">
        <f>IF(COUNTIF(CEH[material_name],C21)&gt;0,"O","X")</f>
        <v>O</v>
      </c>
      <c r="L21" t="str">
        <f>IF(COUNTIF(표8[material_id],표2[[#This Row],[material_id]])&gt;0, "O", "X")</f>
        <v>O</v>
      </c>
      <c r="M21" t="str">
        <f>IF(COUNTIFS(표8[material_id],표2[[#This Row],[material_id]],표8[location],"울산")&gt;0, "O", "X")</f>
        <v>O</v>
      </c>
    </row>
    <row r="22" spans="1:13" x14ac:dyDescent="0.3">
      <c r="A22" t="s">
        <v>59</v>
      </c>
      <c r="B22" t="s">
        <v>7</v>
      </c>
      <c r="C22" s="23" t="s">
        <v>467</v>
      </c>
      <c r="D22" t="s">
        <v>30</v>
      </c>
      <c r="E22" t="s">
        <v>806</v>
      </c>
      <c r="F22">
        <v>3200</v>
      </c>
      <c r="G22">
        <v>2926100000</v>
      </c>
      <c r="H22" t="s">
        <v>107</v>
      </c>
      <c r="J22" t="str">
        <f>IF(COUNTIF(CCMA[material_name],C22)&gt;0,"O","X")</f>
        <v>O</v>
      </c>
      <c r="K22" t="str">
        <f>IF(COUNTIF(CEH[material_name],C22)&gt;0,"O","X")</f>
        <v>O</v>
      </c>
      <c r="L22" t="str">
        <f>IF(COUNTIF(표8[material_id],표2[[#This Row],[material_id]])&gt;0, "O", "X")</f>
        <v>O</v>
      </c>
      <c r="M22" t="str">
        <f>IF(COUNTIFS(표8[material_id],표2[[#This Row],[material_id]],표8[location],"울산")&gt;0, "O", "X")</f>
        <v>O</v>
      </c>
    </row>
    <row r="23" spans="1:13" x14ac:dyDescent="0.3">
      <c r="A23" t="s">
        <v>60</v>
      </c>
      <c r="B23" t="s">
        <v>7</v>
      </c>
      <c r="C23" s="23" t="s">
        <v>108</v>
      </c>
      <c r="D23" t="s">
        <v>24</v>
      </c>
      <c r="E23" t="s">
        <v>807</v>
      </c>
      <c r="F23">
        <v>3210</v>
      </c>
      <c r="G23">
        <v>3903300000</v>
      </c>
      <c r="H23" t="s">
        <v>487</v>
      </c>
      <c r="J23" t="str">
        <f>IF(COUNTIF(CCMA[material_name],C23)&gt;0,"O","X")</f>
        <v>O</v>
      </c>
      <c r="K23" t="str">
        <f>IF(COUNTIF(CEH[material_name],C23)&gt;0,"O","X")</f>
        <v>O</v>
      </c>
      <c r="L23" t="str">
        <f>IF(COUNTIF(표8[material_id],표2[[#This Row],[material_id]])&gt;0, "O", "X")</f>
        <v>O</v>
      </c>
      <c r="M23" t="str">
        <f>IF(COUNTIFS(표8[material_id],표2[[#This Row],[material_id]],표8[location],"울산")&gt;0, "O", "X")</f>
        <v>O</v>
      </c>
    </row>
    <row r="24" spans="1:13" x14ac:dyDescent="0.3">
      <c r="A24" t="s">
        <v>61</v>
      </c>
      <c r="B24" t="s">
        <v>7</v>
      </c>
      <c r="C24" s="23" t="s">
        <v>109</v>
      </c>
      <c r="D24" t="s">
        <v>24</v>
      </c>
      <c r="E24" t="s">
        <v>807</v>
      </c>
      <c r="F24">
        <v>3220</v>
      </c>
      <c r="G24">
        <v>3903200000</v>
      </c>
      <c r="H24" t="s">
        <v>488</v>
      </c>
      <c r="I24" t="s">
        <v>276</v>
      </c>
      <c r="J24" t="str">
        <f>IF(COUNTIF(CCMA[material_name],C24)&gt;0,"O","X")</f>
        <v>X</v>
      </c>
      <c r="K24" t="str">
        <f>IF(COUNTIF(CEH[material_name],C24)&gt;0,"O","X")</f>
        <v>X</v>
      </c>
      <c r="L24" t="str">
        <f>IF(COUNTIF(표8[material_id],표2[[#This Row],[material_id]])&gt;0, "O", "X")</f>
        <v>O</v>
      </c>
      <c r="M24" t="str">
        <f>IF(COUNTIFS(표8[material_id],표2[[#This Row],[material_id]],표8[location],"울산")&gt;0, "O", "X")</f>
        <v>O</v>
      </c>
    </row>
    <row r="25" spans="1:13" x14ac:dyDescent="0.3">
      <c r="A25" t="s">
        <v>62</v>
      </c>
      <c r="B25" t="s">
        <v>7</v>
      </c>
      <c r="C25" s="23" t="s">
        <v>93</v>
      </c>
      <c r="D25" t="s">
        <v>24</v>
      </c>
      <c r="E25" t="s">
        <v>808</v>
      </c>
      <c r="F25">
        <v>3230</v>
      </c>
      <c r="G25">
        <v>4002590000</v>
      </c>
      <c r="H25" t="s">
        <v>489</v>
      </c>
      <c r="J25" t="str">
        <f>IF(COUNTIF(CCMA[material_name],C25)&gt;0,"O","X")</f>
        <v>X</v>
      </c>
      <c r="K25" t="str">
        <f>IF(COUNTIF(CEH[material_name],C25)&gt;0,"O","X")</f>
        <v>X</v>
      </c>
      <c r="L25" t="str">
        <f>IF(COUNTIF(표8[material_id],표2[[#This Row],[material_id]])&gt;0, "O", "X")</f>
        <v>O</v>
      </c>
      <c r="M25" t="str">
        <f>IF(COUNTIFS(표8[material_id],표2[[#This Row],[material_id]],표8[location],"울산")&gt;0, "O", "X")</f>
        <v>O</v>
      </c>
    </row>
    <row r="26" spans="1:13" x14ac:dyDescent="0.3">
      <c r="A26" t="s">
        <v>63</v>
      </c>
      <c r="B26" t="s">
        <v>7</v>
      </c>
      <c r="C26" s="23" t="s">
        <v>274</v>
      </c>
      <c r="D26" t="s">
        <v>24</v>
      </c>
      <c r="E26" t="s">
        <v>791</v>
      </c>
      <c r="F26">
        <v>3110</v>
      </c>
      <c r="G26">
        <v>3902100000</v>
      </c>
      <c r="H26" t="s">
        <v>94</v>
      </c>
      <c r="J26" t="str">
        <f>IF(COUNTIF(CCMA[material_name],C26)&gt;0,"O","X")</f>
        <v>O</v>
      </c>
      <c r="K26" t="str">
        <f>IF(COUNTIF(CEH[material_name],C26)&gt;0,"O","X")</f>
        <v>O</v>
      </c>
      <c r="L26" t="str">
        <f>IF(COUNTIF(표8[material_id],표2[[#This Row],[material_id]])&gt;0, "O", "X")</f>
        <v>O</v>
      </c>
      <c r="M26" t="str">
        <f>IF(COUNTIFS(표8[material_id],표2[[#This Row],[material_id]],표8[location],"울산")&gt;0, "O", "X")</f>
        <v>O</v>
      </c>
    </row>
    <row r="27" spans="1:13" x14ac:dyDescent="0.3">
      <c r="A27" t="s">
        <v>64</v>
      </c>
      <c r="B27" t="s">
        <v>7</v>
      </c>
      <c r="C27" s="23" t="s">
        <v>273</v>
      </c>
      <c r="D27" t="s">
        <v>16</v>
      </c>
      <c r="E27" t="s">
        <v>799</v>
      </c>
      <c r="F27">
        <v>3300</v>
      </c>
      <c r="G27">
        <v>2910200000</v>
      </c>
      <c r="H27" t="s">
        <v>95</v>
      </c>
      <c r="J27" t="str">
        <f>IF(COUNTIF(CCMA[material_name],C27)&gt;0,"O","X")</f>
        <v>O</v>
      </c>
      <c r="K27" t="str">
        <f>IF(COUNTIF(CEH[material_name],C27)&gt;0,"O","X")</f>
        <v>O</v>
      </c>
      <c r="L27" t="str">
        <f>IF(COUNTIF(표8[material_id],표2[[#This Row],[material_id]])&gt;0, "O", "X")</f>
        <v>O</v>
      </c>
      <c r="M27" t="str">
        <f>IF(COUNTIFS(표8[material_id],표2[[#This Row],[material_id]],표8[location],"울산")&gt;0, "O", "X")</f>
        <v>O</v>
      </c>
    </row>
    <row r="28" spans="1:13" x14ac:dyDescent="0.3">
      <c r="A28" t="s">
        <v>65</v>
      </c>
      <c r="B28" t="s">
        <v>7</v>
      </c>
      <c r="C28" s="23" t="s">
        <v>271</v>
      </c>
      <c r="D28" t="s">
        <v>16</v>
      </c>
      <c r="E28" t="s">
        <v>803</v>
      </c>
      <c r="F28">
        <v>3310</v>
      </c>
      <c r="G28">
        <v>2905320000</v>
      </c>
      <c r="H28" t="s">
        <v>96</v>
      </c>
      <c r="J28" t="str">
        <f>IF(COUNTIF(CCMA[material_name],C28)&gt;0,"O","X")</f>
        <v>X</v>
      </c>
      <c r="K28" t="str">
        <f>IF(COUNTIF(CEH[material_name],C28)&gt;0,"O","X")</f>
        <v>X</v>
      </c>
      <c r="L28" t="str">
        <f>IF(COUNTIF(표8[material_id],표2[[#This Row],[material_id]])&gt;0, "O", "X")</f>
        <v>O</v>
      </c>
      <c r="M28" t="str">
        <f>IF(COUNTIFS(표8[material_id],표2[[#This Row],[material_id]],표8[location],"울산")&gt;0, "O", "X")</f>
        <v>O</v>
      </c>
    </row>
    <row r="29" spans="1:13" x14ac:dyDescent="0.3">
      <c r="A29" t="s">
        <v>66</v>
      </c>
      <c r="B29" t="s">
        <v>7</v>
      </c>
      <c r="C29" s="23" t="s">
        <v>272</v>
      </c>
      <c r="D29" t="s">
        <v>800</v>
      </c>
      <c r="E29" t="s">
        <v>809</v>
      </c>
      <c r="F29">
        <v>3320</v>
      </c>
      <c r="G29">
        <v>3907202000</v>
      </c>
      <c r="H29" t="s">
        <v>97</v>
      </c>
      <c r="J29" t="str">
        <f>IF(COUNTIF(CCMA[material_name],C29)&gt;0,"O","X")</f>
        <v>X</v>
      </c>
      <c r="K29" t="str">
        <f>IF(COUNTIF(CEH[material_name],C29)&gt;0,"O","X")</f>
        <v>X</v>
      </c>
      <c r="L29" t="str">
        <f>IF(COUNTIF(표8[material_id],표2[[#This Row],[material_id]])&gt;0, "O", "X")</f>
        <v>O</v>
      </c>
      <c r="M29" t="str">
        <f>IF(COUNTIFS(표8[material_id],표2[[#This Row],[material_id]],표8[location],"울산")&gt;0, "O", "X")</f>
        <v>O</v>
      </c>
    </row>
    <row r="30" spans="1:13" x14ac:dyDescent="0.3">
      <c r="A30" t="s">
        <v>67</v>
      </c>
      <c r="B30" t="s">
        <v>7</v>
      </c>
      <c r="C30" s="23" t="s">
        <v>98</v>
      </c>
      <c r="D30" t="s">
        <v>800</v>
      </c>
      <c r="E30" t="s">
        <v>810</v>
      </c>
      <c r="F30">
        <v>3330</v>
      </c>
      <c r="J30" t="str">
        <f>IF(COUNTIF(CCMA[material_name],C30)&gt;0,"O","X")</f>
        <v>X</v>
      </c>
      <c r="K30" t="str">
        <f>IF(COUNTIF(CEH[material_name],C30)&gt;0,"O","X")</f>
        <v>X</v>
      </c>
      <c r="L30" t="str">
        <f>IF(COUNTIF(표8[material_id],표2[[#This Row],[material_id]])&gt;0, "O", "X")</f>
        <v>X</v>
      </c>
      <c r="M30" t="str">
        <f>IF(COUNTIFS(표8[material_id],표2[[#This Row],[material_id]],표8[location],"울산")&gt;0, "O", "X")</f>
        <v>X</v>
      </c>
    </row>
    <row r="31" spans="1:13" x14ac:dyDescent="0.3">
      <c r="A31" t="s">
        <v>68</v>
      </c>
      <c r="B31" t="s">
        <v>7</v>
      </c>
      <c r="C31" s="23" t="s">
        <v>275</v>
      </c>
      <c r="D31" t="s">
        <v>800</v>
      </c>
      <c r="E31" t="s">
        <v>811</v>
      </c>
      <c r="F31">
        <v>3340</v>
      </c>
      <c r="G31">
        <v>3909500000</v>
      </c>
      <c r="H31" t="s">
        <v>686</v>
      </c>
      <c r="J31" t="str">
        <f>IF(COUNTIF(CCMA[material_name],C31)&gt;0,"O","X")</f>
        <v>X</v>
      </c>
      <c r="K31" t="str">
        <f>IF(COUNTIF(CEH[material_name],C31)&gt;0,"O","X")</f>
        <v>O</v>
      </c>
      <c r="L31" t="str">
        <f>IF(COUNTIF(표8[material_id],표2[[#This Row],[material_id]])&gt;0, "O", "X")</f>
        <v>X</v>
      </c>
      <c r="M31" t="str">
        <f>IF(COUNTIFS(표8[material_id],표2[[#This Row],[material_id]],표8[location],"울산")&gt;0, "O", "X")</f>
        <v>X</v>
      </c>
    </row>
    <row r="32" spans="1:13" x14ac:dyDescent="0.3">
      <c r="A32" t="s">
        <v>69</v>
      </c>
      <c r="B32" t="s">
        <v>7</v>
      </c>
      <c r="C32" s="23" t="s">
        <v>1068</v>
      </c>
      <c r="D32" t="s">
        <v>16</v>
      </c>
      <c r="E32" t="s">
        <v>812</v>
      </c>
      <c r="F32">
        <v>3400</v>
      </c>
      <c r="G32">
        <v>2916111000</v>
      </c>
      <c r="H32" t="s">
        <v>102</v>
      </c>
      <c r="J32" t="str">
        <f>IF(COUNTIF(CCMA[material_name],C32)&gt;0,"O","X")</f>
        <v>X</v>
      </c>
      <c r="K32" t="str">
        <f>IF(COUNTIF(CEH[material_name],C32)&gt;0,"O","X")</f>
        <v>O</v>
      </c>
      <c r="L32" t="str">
        <f>IF(COUNTIF(표8[material_id],표2[[#This Row],[material_id]])&gt;0, "O", "X")</f>
        <v>O</v>
      </c>
      <c r="M32" t="str">
        <f>IF(COUNTIFS(표8[material_id],표2[[#This Row],[material_id]],표8[location],"울산")&gt;0, "O", "X")</f>
        <v>X</v>
      </c>
    </row>
    <row r="33" spans="1:13" x14ac:dyDescent="0.3">
      <c r="A33" s="22" t="s">
        <v>70</v>
      </c>
      <c r="B33" s="22" t="s">
        <v>7</v>
      </c>
      <c r="C33" s="26" t="s">
        <v>103</v>
      </c>
      <c r="D33" s="22" t="s">
        <v>24</v>
      </c>
      <c r="E33" s="22" t="s">
        <v>813</v>
      </c>
      <c r="F33" s="22">
        <v>3420</v>
      </c>
      <c r="G33" s="22"/>
      <c r="H33" s="22" t="s">
        <v>1064</v>
      </c>
      <c r="I33" s="22" t="s">
        <v>276</v>
      </c>
      <c r="J33" s="22" t="str">
        <f>IF(COUNTIF(CCMA[material_name],C33)&gt;0,"O","X")</f>
        <v>X</v>
      </c>
      <c r="K33" s="22" t="str">
        <f>IF(COUNTIF(CEH[material_name],C33)&gt;0,"O","X")</f>
        <v>X</v>
      </c>
      <c r="L33" s="22" t="str">
        <f>IF(COUNTIF(표8[material_id],표2[[#This Row],[material_id]])&gt;0, "O", "X")</f>
        <v>X</v>
      </c>
      <c r="M33" s="22" t="str">
        <f>IF(COUNTIFS(표8[material_id],표2[[#This Row],[material_id]],표8[location],"울산")&gt;0, "O", "X")</f>
        <v>X</v>
      </c>
    </row>
    <row r="34" spans="1:13" x14ac:dyDescent="0.3">
      <c r="A34" t="s">
        <v>71</v>
      </c>
      <c r="B34" t="s">
        <v>7</v>
      </c>
      <c r="C34" s="23" t="s">
        <v>1065</v>
      </c>
      <c r="D34" t="s">
        <v>16</v>
      </c>
      <c r="E34" t="s">
        <v>814</v>
      </c>
      <c r="F34">
        <v>3410</v>
      </c>
      <c r="J34" t="str">
        <f>IF(COUNTIF(CCMA[material_name],C34)&gt;0,"O","X")</f>
        <v>X</v>
      </c>
      <c r="K34" t="str">
        <f>IF(COUNTIF(CEH[material_name],C34)&gt;0,"O","X")</f>
        <v>O</v>
      </c>
      <c r="L34" t="str">
        <f>IF(COUNTIF(표8[material_id],표2[[#This Row],[material_id]])&gt;0, "O", "X")</f>
        <v>O</v>
      </c>
      <c r="M34" t="str">
        <f>IF(COUNTIFS(표8[material_id],표2[[#This Row],[material_id]],표8[location],"울산")&gt;0, "O", "X")</f>
        <v>X</v>
      </c>
    </row>
    <row r="35" spans="1:13" x14ac:dyDescent="0.3">
      <c r="A35" t="s">
        <v>72</v>
      </c>
      <c r="B35" t="s">
        <v>7</v>
      </c>
      <c r="C35" s="23" t="s">
        <v>104</v>
      </c>
      <c r="D35" t="s">
        <v>24</v>
      </c>
      <c r="E35" t="s">
        <v>815</v>
      </c>
      <c r="F35">
        <v>3430</v>
      </c>
      <c r="H35" t="s">
        <v>110</v>
      </c>
      <c r="J35" t="str">
        <f>IF(COUNTIF(CCMA[material_name],C35)&gt;0,"O","X")</f>
        <v>X</v>
      </c>
      <c r="K35" t="str">
        <f>IF(COUNTIF(CEH[material_name],C35)&gt;0,"O","X")</f>
        <v>O</v>
      </c>
      <c r="L35" t="str">
        <f>IF(COUNTIF(표8[material_id],표2[[#This Row],[material_id]])&gt;0, "O", "X")</f>
        <v>O</v>
      </c>
      <c r="M35" t="str">
        <f>IF(COUNTIFS(표8[material_id],표2[[#This Row],[material_id]],표8[location],"울산")&gt;0, "O", "X")</f>
        <v>X</v>
      </c>
    </row>
    <row r="36" spans="1:13" x14ac:dyDescent="0.3">
      <c r="A36" t="s">
        <v>73</v>
      </c>
      <c r="B36" t="s">
        <v>7</v>
      </c>
      <c r="C36" s="23" t="s">
        <v>1071</v>
      </c>
      <c r="D36" t="s">
        <v>16</v>
      </c>
      <c r="E36" t="s">
        <v>804</v>
      </c>
      <c r="F36">
        <v>3500</v>
      </c>
      <c r="G36">
        <v>2912193000</v>
      </c>
      <c r="H36" t="s">
        <v>1070</v>
      </c>
      <c r="J36" t="str">
        <f>IF(COUNTIF(CCMA[material_name],C36)&gt;0,"O","X")</f>
        <v>X</v>
      </c>
      <c r="K36" t="str">
        <f>IF(COUNTIF(CEH[material_name],C36)&gt;0,"O","X")</f>
        <v>O</v>
      </c>
      <c r="L36" t="str">
        <f>IF(COUNTIF(표8[material_id],표2[[#This Row],[material_id]])&gt;0, "O", "X")</f>
        <v>O</v>
      </c>
      <c r="M36" t="str">
        <f>IF(COUNTIFS(표8[material_id],표2[[#This Row],[material_id]],표8[location],"울산")&gt;0, "O", "X")</f>
        <v>X</v>
      </c>
    </row>
    <row r="37" spans="1:13" x14ac:dyDescent="0.3">
      <c r="A37" t="s">
        <v>74</v>
      </c>
      <c r="B37" t="s">
        <v>7</v>
      </c>
      <c r="C37" s="23" t="s">
        <v>851</v>
      </c>
      <c r="D37" t="s">
        <v>16</v>
      </c>
      <c r="E37" t="s">
        <v>816</v>
      </c>
      <c r="F37">
        <v>3520</v>
      </c>
      <c r="G37">
        <v>2905161000</v>
      </c>
      <c r="H37" t="s">
        <v>1081</v>
      </c>
      <c r="J37" t="str">
        <f>IF(COUNTIF(CCMA[material_name],C37)&gt;0,"O","X")</f>
        <v>X</v>
      </c>
      <c r="K37" t="str">
        <f>IF(COUNTIF(CEH[material_name],C37)&gt;0,"O","X")</f>
        <v>O</v>
      </c>
      <c r="L37" t="str">
        <f>IF(COUNTIF(표8[material_id],표2[[#This Row],[material_id]])&gt;0, "O", "X")</f>
        <v>O</v>
      </c>
      <c r="M37" t="str">
        <f>IF(COUNTIFS(표8[material_id],표2[[#This Row],[material_id]],표8[location],"울산")&gt;0, "O", "X")</f>
        <v>X</v>
      </c>
    </row>
    <row r="38" spans="1:13" x14ac:dyDescent="0.3">
      <c r="A38" t="s">
        <v>75</v>
      </c>
      <c r="B38" t="s">
        <v>7</v>
      </c>
      <c r="C38" s="23" t="s">
        <v>738</v>
      </c>
      <c r="D38" t="s">
        <v>16</v>
      </c>
      <c r="E38" t="s">
        <v>816</v>
      </c>
      <c r="F38">
        <v>3510</v>
      </c>
      <c r="G38">
        <v>2905130000</v>
      </c>
      <c r="J38" t="str">
        <f>IF(COUNTIF(CCMA[material_name],C38)&gt;0,"O","X")</f>
        <v>X</v>
      </c>
      <c r="K38" t="str">
        <f>IF(COUNTIF(CEH[material_name],C38)&gt;0,"O","X")</f>
        <v>O</v>
      </c>
      <c r="L38" t="str">
        <f>IF(COUNTIF(표8[material_id],표2[[#This Row],[material_id]])&gt;0, "O", "X")</f>
        <v>O</v>
      </c>
      <c r="M38" t="str">
        <f>IF(COUNTIFS(표8[material_id],표2[[#This Row],[material_id]],표8[location],"울산")&gt;0, "O", "X")</f>
        <v>X</v>
      </c>
    </row>
    <row r="39" spans="1:13" x14ac:dyDescent="0.3">
      <c r="A39" t="s">
        <v>76</v>
      </c>
      <c r="B39" t="s">
        <v>7</v>
      </c>
      <c r="C39" s="23" t="s">
        <v>111</v>
      </c>
      <c r="D39" t="s">
        <v>16</v>
      </c>
      <c r="E39" t="s">
        <v>797</v>
      </c>
      <c r="F39">
        <v>3530</v>
      </c>
      <c r="J39" t="str">
        <f>IF(COUNTIF(CCMA[material_name],C39)&gt;0,"O","X")</f>
        <v>X</v>
      </c>
      <c r="K39" t="str">
        <f>IF(COUNTIF(CEH[material_name],C39)&gt;0,"O","X")</f>
        <v>O</v>
      </c>
      <c r="L39" t="str">
        <f>IF(COUNTIF(표8[material_id],표2[[#This Row],[material_id]])&gt;0, "O", "X")</f>
        <v>X</v>
      </c>
      <c r="M39" t="str">
        <f>IF(COUNTIFS(표8[material_id],표2[[#This Row],[material_id]],표8[location],"울산")&gt;0, "O", "X")</f>
        <v>X</v>
      </c>
    </row>
    <row r="40" spans="1:13" x14ac:dyDescent="0.3">
      <c r="A40" t="s">
        <v>77</v>
      </c>
      <c r="B40" t="s">
        <v>7</v>
      </c>
      <c r="C40" s="23" t="s">
        <v>106</v>
      </c>
      <c r="D40" t="s">
        <v>16</v>
      </c>
      <c r="E40" t="s">
        <v>816</v>
      </c>
      <c r="F40">
        <v>3610</v>
      </c>
      <c r="J40" t="str">
        <f>IF(COUNTIF(CCMA[material_name],C40)&gt;0,"O","X")</f>
        <v>X</v>
      </c>
      <c r="K40" t="str">
        <f>IF(COUNTIF(CEH[material_name],C40)&gt;0,"O","X")</f>
        <v>O</v>
      </c>
      <c r="L40" t="str">
        <f>IF(COUNTIF(표8[material_id],표2[[#This Row],[material_id]])&gt;0, "O", "X")</f>
        <v>X</v>
      </c>
      <c r="M40" t="str">
        <f>IF(COUNTIFS(표8[material_id],표2[[#This Row],[material_id]],표8[location],"울산")&gt;0, "O", "X")</f>
        <v>X</v>
      </c>
    </row>
    <row r="41" spans="1:13" x14ac:dyDescent="0.3">
      <c r="A41" t="s">
        <v>78</v>
      </c>
      <c r="B41" t="s">
        <v>7</v>
      </c>
      <c r="C41" s="23" t="s">
        <v>112</v>
      </c>
      <c r="D41" t="s">
        <v>16</v>
      </c>
      <c r="E41" t="s">
        <v>797</v>
      </c>
      <c r="F41">
        <v>3620</v>
      </c>
      <c r="J41" t="str">
        <f>IF(COUNTIF(CCMA[material_name],C41)&gt;0,"O","X")</f>
        <v>X</v>
      </c>
      <c r="K41" t="str">
        <f>IF(COUNTIF(CEH[material_name],C41)&gt;0,"O","X")</f>
        <v>O</v>
      </c>
      <c r="L41" t="str">
        <f>IF(COUNTIF(표8[material_id],표2[[#This Row],[material_id]])&gt;0, "O", "X")</f>
        <v>X</v>
      </c>
      <c r="M41" t="str">
        <f>IF(COUNTIFS(표8[material_id],표2[[#This Row],[material_id]],표8[location],"울산")&gt;0, "O", "X")</f>
        <v>X</v>
      </c>
    </row>
    <row r="42" spans="1:13" x14ac:dyDescent="0.3">
      <c r="A42" t="s">
        <v>79</v>
      </c>
      <c r="B42" t="s">
        <v>7</v>
      </c>
      <c r="C42" s="23" t="s">
        <v>468</v>
      </c>
      <c r="D42" t="s">
        <v>16</v>
      </c>
      <c r="E42" t="s">
        <v>795</v>
      </c>
      <c r="F42">
        <v>3700</v>
      </c>
      <c r="H42" t="s">
        <v>1083</v>
      </c>
      <c r="J42" t="str">
        <f>IF(COUNTIF(CCMA[material_name],C42)&gt;0,"O","X")</f>
        <v>X</v>
      </c>
      <c r="K42" t="str">
        <f>IF(COUNTIF(CEH[material_name],C42)&gt;0,"O","X")</f>
        <v>O</v>
      </c>
      <c r="L42" t="str">
        <f>IF(COUNTIF(표8[material_id],표2[[#This Row],[material_id]])&gt;0, "O", "X")</f>
        <v>O</v>
      </c>
      <c r="M42" t="str">
        <f>IF(COUNTIFS(표8[material_id],표2[[#This Row],[material_id]],표8[location],"울산")&gt;0, "O", "X")</f>
        <v>O</v>
      </c>
    </row>
    <row r="43" spans="1:13" x14ac:dyDescent="0.3">
      <c r="A43" t="s">
        <v>80</v>
      </c>
      <c r="B43" t="s">
        <v>7</v>
      </c>
      <c r="C43" s="23" t="s">
        <v>113</v>
      </c>
      <c r="D43" t="s">
        <v>16</v>
      </c>
      <c r="E43" t="s">
        <v>797</v>
      </c>
      <c r="F43">
        <v>3710</v>
      </c>
      <c r="G43" t="s">
        <v>730</v>
      </c>
      <c r="J43" t="str">
        <f>IF(COUNTIF(CCMA[material_name],C43)&gt;0,"O","X")</f>
        <v>X</v>
      </c>
      <c r="K43" t="str">
        <f>IF(COUNTIF(CEH[material_name],C43)&gt;0,"O","X")</f>
        <v>X</v>
      </c>
      <c r="L43" t="str">
        <f>IF(COUNTIF(표8[material_id],표2[[#This Row],[material_id]])&gt;0, "O", "X")</f>
        <v>X</v>
      </c>
      <c r="M43" t="str">
        <f>IF(COUNTIFS(표8[material_id],표2[[#This Row],[material_id]],표8[location],"울산")&gt;0, "O", "X")</f>
        <v>X</v>
      </c>
    </row>
    <row r="44" spans="1:13" x14ac:dyDescent="0.3">
      <c r="A44" t="s">
        <v>81</v>
      </c>
      <c r="B44" s="1" t="s">
        <v>13</v>
      </c>
      <c r="C44" s="24" t="s">
        <v>25</v>
      </c>
      <c r="D44" t="s">
        <v>6</v>
      </c>
      <c r="E44" t="s">
        <v>817</v>
      </c>
      <c r="F44" s="1">
        <v>4100</v>
      </c>
      <c r="G44">
        <v>2901241000</v>
      </c>
      <c r="H44" t="s">
        <v>480</v>
      </c>
      <c r="J44" t="str">
        <f>IF(COUNTIF(CCMA[material_name],C44)&gt;0,"O","X")</f>
        <v>O</v>
      </c>
      <c r="K44" t="str">
        <f>IF(COUNTIF(CEH[material_name],C44)&gt;0,"O","X")</f>
        <v>O</v>
      </c>
      <c r="L44" t="str">
        <f>IF(COUNTIF(표8[material_id],표2[[#This Row],[material_id]])&gt;0, "O", "X")</f>
        <v>O</v>
      </c>
      <c r="M44" t="str">
        <f>IF(COUNTIFS(표8[material_id],표2[[#This Row],[material_id]],표8[location],"울산")&gt;0, "O", "X")</f>
        <v>O</v>
      </c>
    </row>
    <row r="45" spans="1:13" x14ac:dyDescent="0.3">
      <c r="A45" t="s">
        <v>82</v>
      </c>
      <c r="B45" s="1" t="s">
        <v>13</v>
      </c>
      <c r="C45" s="24" t="s">
        <v>114</v>
      </c>
      <c r="D45" t="s">
        <v>24</v>
      </c>
      <c r="E45" t="s">
        <v>808</v>
      </c>
      <c r="F45" s="1">
        <v>4110</v>
      </c>
      <c r="H45" t="s">
        <v>921</v>
      </c>
      <c r="J45" t="str">
        <f>IF(COUNTIF(CCMA[material_name],C45)&gt;0,"O","X")</f>
        <v>O</v>
      </c>
      <c r="K45" t="str">
        <f>IF(COUNTIF(CEH[material_name],C45)&gt;0,"O","X")</f>
        <v>O</v>
      </c>
      <c r="L45" t="str">
        <f>IF(COUNTIF(표8[material_id],표2[[#This Row],[material_id]])&gt;0, "O", "X")</f>
        <v>O</v>
      </c>
      <c r="M45" t="str">
        <f>IF(COUNTIFS(표8[material_id],표2[[#This Row],[material_id]],표8[location],"울산")&gt;0, "O", "X")</f>
        <v>X</v>
      </c>
    </row>
    <row r="46" spans="1:13" x14ac:dyDescent="0.3">
      <c r="A46" t="s">
        <v>83</v>
      </c>
      <c r="B46" s="1" t="s">
        <v>13</v>
      </c>
      <c r="C46" s="24" t="s">
        <v>115</v>
      </c>
      <c r="D46" t="s">
        <v>24</v>
      </c>
      <c r="E46" t="s">
        <v>808</v>
      </c>
      <c r="F46" s="1">
        <v>4120</v>
      </c>
      <c r="G46">
        <v>3903901000</v>
      </c>
      <c r="J46" t="str">
        <f>IF(COUNTIF(CCMA[material_name],C46)&gt;0,"O","X")</f>
        <v>O</v>
      </c>
      <c r="K46" t="str">
        <f>IF(COUNTIF(CEH[material_name],C46)&gt;0,"O","X")</f>
        <v>O</v>
      </c>
      <c r="L46" t="str">
        <f>IF(COUNTIF(표8[material_id],표2[[#This Row],[material_id]])&gt;0, "O", "X")</f>
        <v>O</v>
      </c>
      <c r="M46" t="str">
        <f>IF(COUNTIFS(표8[material_id],표2[[#This Row],[material_id]],표8[location],"울산")&gt;0, "O", "X")</f>
        <v>O</v>
      </c>
    </row>
    <row r="47" spans="1:13" x14ac:dyDescent="0.3">
      <c r="A47" t="s">
        <v>84</v>
      </c>
      <c r="B47" s="1" t="s">
        <v>13</v>
      </c>
      <c r="C47" s="1" t="s">
        <v>26</v>
      </c>
      <c r="D47" t="s">
        <v>6</v>
      </c>
      <c r="E47" t="s">
        <v>790</v>
      </c>
      <c r="F47" s="1">
        <v>4200</v>
      </c>
      <c r="J47" t="str">
        <f>IF(COUNTIF(CCMA[material_name],C47)&gt;0,"O","X")</f>
        <v>X</v>
      </c>
      <c r="K47" t="str">
        <f>IF(COUNTIF(CEH[material_name],C47)&gt;0,"O","X")</f>
        <v>O</v>
      </c>
      <c r="L47" t="str">
        <f>IF(COUNTIF(표8[material_id],표2[[#This Row],[material_id]])&gt;0, "O", "X")</f>
        <v>X</v>
      </c>
      <c r="M47" t="str">
        <f>IF(COUNTIFS(표8[material_id],표2[[#This Row],[material_id]],표8[location],"울산")&gt;0, "O", "X")</f>
        <v>X</v>
      </c>
    </row>
    <row r="48" spans="1:13" x14ac:dyDescent="0.3">
      <c r="A48" t="s">
        <v>85</v>
      </c>
      <c r="B48" s="1" t="s">
        <v>13</v>
      </c>
      <c r="C48" s="1" t="s">
        <v>117</v>
      </c>
      <c r="D48" t="s">
        <v>24</v>
      </c>
      <c r="E48" t="s">
        <v>818</v>
      </c>
      <c r="F48" s="1">
        <v>4210</v>
      </c>
      <c r="G48">
        <v>3902200000</v>
      </c>
      <c r="H48" s="1" t="s">
        <v>116</v>
      </c>
      <c r="J48" t="str">
        <f>IF(COUNTIF(CCMA[material_name],C48)&gt;0,"O","X")</f>
        <v>X</v>
      </c>
      <c r="K48" t="str">
        <f>IF(COUNTIF(CEH[material_name],C48)&gt;0,"O","X")</f>
        <v>O</v>
      </c>
      <c r="L48" t="str">
        <f>IF(COUNTIF(표8[material_id],표2[[#This Row],[material_id]])&gt;0, "O", "X")</f>
        <v>X</v>
      </c>
      <c r="M48" t="str">
        <f>IF(COUNTIFS(표8[material_id],표2[[#This Row],[material_id]],표8[location],"울산")&gt;0, "O", "X")</f>
        <v>X</v>
      </c>
    </row>
    <row r="49" spans="1:13" x14ac:dyDescent="0.3">
      <c r="A49" t="s">
        <v>86</v>
      </c>
      <c r="B49" s="1" t="s">
        <v>13</v>
      </c>
      <c r="C49" s="24" t="s">
        <v>122</v>
      </c>
      <c r="D49" t="s">
        <v>24</v>
      </c>
      <c r="E49" t="s">
        <v>791</v>
      </c>
      <c r="F49" s="1">
        <v>4330</v>
      </c>
      <c r="H49" s="1" t="s">
        <v>121</v>
      </c>
      <c r="J49" t="str">
        <f>IF(COUNTIF(CCMA[material_name],C49)&gt;0,"O","X")</f>
        <v>X</v>
      </c>
      <c r="K49" t="str">
        <f>IF(COUNTIF(CEH[material_name],C49)&gt;0,"O","X")</f>
        <v>O</v>
      </c>
      <c r="L49" t="str">
        <f>IF(COUNTIF(표8[material_id],표2[[#This Row],[material_id]])&gt;0, "O", "X")</f>
        <v>O</v>
      </c>
      <c r="M49" t="str">
        <f>IF(COUNTIFS(표8[material_id],표2[[#This Row],[material_id]],표8[location],"울산")&gt;0, "O", "X")</f>
        <v>X</v>
      </c>
    </row>
    <row r="50" spans="1:13" x14ac:dyDescent="0.3">
      <c r="A50" t="s">
        <v>87</v>
      </c>
      <c r="B50" s="1" t="s">
        <v>13</v>
      </c>
      <c r="C50" s="24" t="s">
        <v>1052</v>
      </c>
      <c r="D50" t="s">
        <v>800</v>
      </c>
      <c r="E50" t="s">
        <v>819</v>
      </c>
      <c r="F50" s="1">
        <v>4230</v>
      </c>
      <c r="G50">
        <v>2909192000</v>
      </c>
      <c r="J50" t="str">
        <f>IF(COUNTIF(CCMA[material_name],C50)&gt;0,"O","X")</f>
        <v>X</v>
      </c>
      <c r="K50" t="str">
        <f>IF(COUNTIF(CEH[material_name],C50)&gt;0,"O","X")</f>
        <v>O</v>
      </c>
      <c r="L50" t="str">
        <f>IF(COUNTIF(표8[material_id],표2[[#This Row],[material_id]])&gt;0, "O", "X")</f>
        <v>O</v>
      </c>
      <c r="M50" t="str">
        <f>IF(COUNTIFS(표8[material_id],표2[[#This Row],[material_id]],표8[location],"울산")&gt;0, "O", "X")</f>
        <v>O</v>
      </c>
    </row>
    <row r="51" spans="1:13" x14ac:dyDescent="0.3">
      <c r="A51" t="s">
        <v>88</v>
      </c>
      <c r="B51" s="1" t="s">
        <v>13</v>
      </c>
      <c r="C51" s="1" t="s">
        <v>120</v>
      </c>
      <c r="D51" t="s">
        <v>24</v>
      </c>
      <c r="E51" t="s">
        <v>808</v>
      </c>
      <c r="F51" s="1">
        <v>4220</v>
      </c>
      <c r="H51" t="s">
        <v>1049</v>
      </c>
      <c r="I51" t="s">
        <v>276</v>
      </c>
      <c r="J51" t="str">
        <f>IF(COUNTIF(CCMA[material_name],C51)&gt;0,"O","X")</f>
        <v>X</v>
      </c>
      <c r="K51" t="str">
        <f>IF(COUNTIF(CEH[material_name],C51)&gt;0,"O","X")</f>
        <v>O</v>
      </c>
      <c r="L51" t="str">
        <f>IF(COUNTIF(표8[material_id],표2[[#This Row],[material_id]])&gt;0, "O", "X")</f>
        <v>X</v>
      </c>
      <c r="M51" t="str">
        <f>IF(COUNTIFS(표8[material_id],표2[[#This Row],[material_id]],표8[location],"울산")&gt;0, "O", "X")</f>
        <v>X</v>
      </c>
    </row>
    <row r="52" spans="1:13" x14ac:dyDescent="0.3">
      <c r="A52" s="22" t="s">
        <v>89</v>
      </c>
      <c r="B52" s="37" t="s">
        <v>13</v>
      </c>
      <c r="C52" s="37" t="s">
        <v>119</v>
      </c>
      <c r="D52" s="22" t="s">
        <v>16</v>
      </c>
      <c r="E52" s="22" t="s">
        <v>820</v>
      </c>
      <c r="F52" s="37">
        <v>4300</v>
      </c>
      <c r="G52" s="22"/>
      <c r="H52" s="22" t="s">
        <v>1142</v>
      </c>
      <c r="I52" s="22" t="s">
        <v>276</v>
      </c>
      <c r="J52" s="22" t="str">
        <f>IF(COUNTIF(CCMA[material_name],C52)&gt;0,"O","X")</f>
        <v>X</v>
      </c>
      <c r="K52" s="22" t="str">
        <f>IF(COUNTIF(CEH[material_name],C52)&gt;0,"O","X")</f>
        <v>O</v>
      </c>
      <c r="L52" s="22" t="str">
        <f>IF(COUNTIF(표8[material_id],표2[[#This Row],[material_id]])&gt;0, "O", "X")</f>
        <v>X</v>
      </c>
      <c r="M52" s="22" t="str">
        <f>IF(COUNTIFS(표8[material_id],표2[[#This Row],[material_id]],표8[location],"울산")&gt;0, "O", "X")</f>
        <v>X</v>
      </c>
    </row>
    <row r="53" spans="1:13" x14ac:dyDescent="0.3">
      <c r="A53" t="s">
        <v>90</v>
      </c>
      <c r="B53" s="1" t="s">
        <v>13</v>
      </c>
      <c r="C53" s="1" t="s">
        <v>15</v>
      </c>
      <c r="D53" t="s">
        <v>6</v>
      </c>
      <c r="E53" t="s">
        <v>821</v>
      </c>
      <c r="F53" s="1">
        <v>4310</v>
      </c>
      <c r="J53" t="str">
        <f>IF(COUNTIF(CCMA[material_name],C53)&gt;0,"O","X")</f>
        <v>X</v>
      </c>
      <c r="K53" t="str">
        <f>IF(COUNTIF(CEH[material_name],C53)&gt;0,"O","X")</f>
        <v>O</v>
      </c>
      <c r="L53" t="str">
        <f>IF(COUNTIF(표8[material_id],표2[[#This Row],[material_id]])&gt;0, "O", "X")</f>
        <v>X</v>
      </c>
      <c r="M53" t="str">
        <f>IF(COUNTIFS(표8[material_id],표2[[#This Row],[material_id]],표8[location],"울산")&gt;0, "O", "X")</f>
        <v>X</v>
      </c>
    </row>
    <row r="54" spans="1:13" x14ac:dyDescent="0.3">
      <c r="A54" s="22" t="s">
        <v>91</v>
      </c>
      <c r="B54" s="37" t="s">
        <v>13</v>
      </c>
      <c r="C54" s="37" t="s">
        <v>27</v>
      </c>
      <c r="D54" s="22" t="s">
        <v>16</v>
      </c>
      <c r="E54" s="22" t="s">
        <v>820</v>
      </c>
      <c r="F54" s="37">
        <v>4320</v>
      </c>
      <c r="G54" s="22"/>
      <c r="H54" s="22" t="s">
        <v>1142</v>
      </c>
      <c r="I54" s="22" t="s">
        <v>276</v>
      </c>
      <c r="J54" s="22" t="str">
        <f>IF(COUNTIF(CCMA[material_name],C54)&gt;0,"O","X")</f>
        <v>X</v>
      </c>
      <c r="K54" s="22" t="str">
        <f>IF(COUNTIF(CEH[material_name],C54)&gt;0,"O","X")</f>
        <v>O</v>
      </c>
      <c r="L54" s="22" t="str">
        <f>IF(COUNTIF(표8[material_id],표2[[#This Row],[material_id]])&gt;0, "O", "X")</f>
        <v>X</v>
      </c>
      <c r="M54" s="22" t="str">
        <f>IF(COUNTIFS(표8[material_id],표2[[#This Row],[material_id]],표8[location],"울산")&gt;0, "O", "X")</f>
        <v>X</v>
      </c>
    </row>
    <row r="55" spans="1:13" x14ac:dyDescent="0.3">
      <c r="A55" t="s">
        <v>92</v>
      </c>
      <c r="B55" s="1" t="s">
        <v>9</v>
      </c>
      <c r="C55" s="24" t="s">
        <v>463</v>
      </c>
      <c r="D55" t="s">
        <v>6</v>
      </c>
      <c r="E55" t="s">
        <v>822</v>
      </c>
      <c r="F55" s="1">
        <v>6000</v>
      </c>
      <c r="G55">
        <v>2902200000</v>
      </c>
      <c r="H55" s="1"/>
      <c r="J55" t="str">
        <f>IF(COUNTIF(CCMA[material_name],C55)&gt;0,"O","X")</f>
        <v>O</v>
      </c>
      <c r="K55" t="str">
        <f>IF(COUNTIF(CEH[material_name],C55)&gt;0,"O","X")</f>
        <v>O</v>
      </c>
      <c r="L55" t="str">
        <f>IF(COUNTIF(표8[material_id],표2[[#This Row],[material_id]])&gt;0, "O", "X")</f>
        <v>O</v>
      </c>
      <c r="M55" t="str">
        <f>IF(COUNTIFS(표8[material_id],표2[[#This Row],[material_id]],표8[location],"울산")&gt;0, "O", "X")</f>
        <v>O</v>
      </c>
    </row>
    <row r="56" spans="1:13" x14ac:dyDescent="0.3">
      <c r="A56" t="s">
        <v>123</v>
      </c>
      <c r="B56" s="1" t="s">
        <v>9</v>
      </c>
      <c r="C56" s="24" t="s">
        <v>1053</v>
      </c>
      <c r="D56" t="s">
        <v>16</v>
      </c>
      <c r="E56" t="s">
        <v>823</v>
      </c>
      <c r="F56" s="1">
        <v>6100</v>
      </c>
      <c r="G56">
        <v>2902600000</v>
      </c>
      <c r="H56" s="1" t="s">
        <v>473</v>
      </c>
      <c r="J56" t="str">
        <f>IF(COUNTIF(CCMA[material_name],C56)&gt;0,"O","X")</f>
        <v>O</v>
      </c>
      <c r="K56" t="str">
        <f>IF(COUNTIF(CEH[material_name],C56)&gt;0,"O","X")</f>
        <v>O</v>
      </c>
      <c r="L56" t="str">
        <f>IF(COUNTIF(표8[material_id],표2[[#This Row],[material_id]])&gt;0, "O", "X")</f>
        <v>X</v>
      </c>
      <c r="M56" t="str">
        <f>IF(COUNTIFS(표8[material_id],표2[[#This Row],[material_id]],표8[location],"울산")&gt;0, "O", "X")</f>
        <v>X</v>
      </c>
    </row>
    <row r="57" spans="1:13" x14ac:dyDescent="0.3">
      <c r="A57" t="s">
        <v>124</v>
      </c>
      <c r="B57" s="1" t="s">
        <v>9</v>
      </c>
      <c r="C57" s="24" t="s">
        <v>1054</v>
      </c>
      <c r="D57" t="s">
        <v>30</v>
      </c>
      <c r="E57" t="s">
        <v>824</v>
      </c>
      <c r="F57" s="1">
        <v>6110</v>
      </c>
      <c r="G57">
        <v>2902500000</v>
      </c>
      <c r="H57" s="1"/>
      <c r="J57" t="str">
        <f>IF(COUNTIF(CCMA[material_name],C57)&gt;0,"O","X")</f>
        <v>O</v>
      </c>
      <c r="K57" t="str">
        <f>IF(COUNTIF(CEH[material_name],C57)&gt;0,"O","X")</f>
        <v>O</v>
      </c>
      <c r="L57" t="str">
        <f>IF(COUNTIF(표8[material_id],표2[[#This Row],[material_id]])&gt;0, "O", "X")</f>
        <v>O</v>
      </c>
      <c r="M57" t="str">
        <f>IF(COUNTIFS(표8[material_id],표2[[#This Row],[material_id]],표8[location],"울산")&gt;0, "O", "X")</f>
        <v>O</v>
      </c>
    </row>
    <row r="58" spans="1:13" x14ac:dyDescent="0.3">
      <c r="A58" t="s">
        <v>130</v>
      </c>
      <c r="B58" s="1" t="s">
        <v>9</v>
      </c>
      <c r="C58" s="24" t="s">
        <v>474</v>
      </c>
      <c r="D58" t="s">
        <v>24</v>
      </c>
      <c r="E58" t="s">
        <v>807</v>
      </c>
      <c r="F58" s="1">
        <v>6120</v>
      </c>
      <c r="H58" s="1" t="s">
        <v>23</v>
      </c>
      <c r="J58" t="str">
        <f>IF(COUNTIF(CCMA[material_name],C58)&gt;0,"O","X")</f>
        <v>O</v>
      </c>
      <c r="K58" t="str">
        <f>IF(COUNTIF(CEH[material_name],C58)&gt;0,"O","X")</f>
        <v>O</v>
      </c>
      <c r="L58" t="str">
        <f>IF(COUNTIF(표8[material_id],표2[[#This Row],[material_id]])&gt;0, "O", "X")</f>
        <v>O</v>
      </c>
      <c r="M58" t="str">
        <f>IF(COUNTIFS(표8[material_id],표2[[#This Row],[material_id]],표8[location],"울산")&gt;0, "O", "X")</f>
        <v>O</v>
      </c>
    </row>
    <row r="59" spans="1:13" x14ac:dyDescent="0.3">
      <c r="A59" t="s">
        <v>131</v>
      </c>
      <c r="B59" s="1" t="s">
        <v>9</v>
      </c>
      <c r="C59" s="24" t="s">
        <v>1130</v>
      </c>
      <c r="D59" t="s">
        <v>16</v>
      </c>
      <c r="E59" t="s">
        <v>823</v>
      </c>
      <c r="F59" s="1">
        <v>6200</v>
      </c>
      <c r="G59">
        <v>2902700000</v>
      </c>
      <c r="H59" s="1"/>
      <c r="J59" t="str">
        <f>IF(COUNTIF(CCMA[material_name],C59)&gt;0,"O","X")</f>
        <v>O</v>
      </c>
      <c r="K59" t="str">
        <f>IF(COUNTIF(CEH[material_name],C59)&gt;0,"O","X")</f>
        <v>O</v>
      </c>
      <c r="L59" t="str">
        <f>IF(COUNTIF(표8[material_id],표2[[#This Row],[material_id]])&gt;0, "O", "X")</f>
        <v>O</v>
      </c>
      <c r="M59" t="str">
        <f>IF(COUNTIFS(표8[material_id],표2[[#This Row],[material_id]],표8[location],"울산")&gt;0, "O", "X")</f>
        <v>X</v>
      </c>
    </row>
    <row r="60" spans="1:13" x14ac:dyDescent="0.3">
      <c r="A60" t="s">
        <v>132</v>
      </c>
      <c r="B60" s="1" t="s">
        <v>9</v>
      </c>
      <c r="C60" s="24" t="s">
        <v>1055</v>
      </c>
      <c r="D60" t="s">
        <v>16</v>
      </c>
      <c r="E60" t="s">
        <v>825</v>
      </c>
      <c r="F60" s="1">
        <v>6210</v>
      </c>
      <c r="G60">
        <v>2907111000</v>
      </c>
      <c r="H60" s="1"/>
      <c r="J60" t="str">
        <f>IF(COUNTIF(CCMA[material_name],C60)&gt;0,"O","X")</f>
        <v>O</v>
      </c>
      <c r="K60" t="str">
        <f>IF(COUNTIF(CEH[material_name],C60)&gt;0,"O","X")</f>
        <v>O</v>
      </c>
      <c r="L60" t="str">
        <f>IF(COUNTIF(표8[material_id],표2[[#This Row],[material_id]])&gt;0, "O", "X")</f>
        <v>O</v>
      </c>
      <c r="M60" t="str">
        <f>IF(COUNTIFS(표8[material_id],표2[[#This Row],[material_id]],표8[location],"울산")&gt;0, "O", "X")</f>
        <v>X</v>
      </c>
    </row>
    <row r="61" spans="1:13" x14ac:dyDescent="0.3">
      <c r="A61" t="s">
        <v>133</v>
      </c>
      <c r="B61" s="1" t="s">
        <v>9</v>
      </c>
      <c r="C61" s="24" t="s">
        <v>1056</v>
      </c>
      <c r="D61" t="s">
        <v>16</v>
      </c>
      <c r="E61" t="s">
        <v>826</v>
      </c>
      <c r="F61" s="1">
        <v>6220</v>
      </c>
      <c r="G61">
        <v>2914110000</v>
      </c>
      <c r="H61" s="1"/>
      <c r="J61" t="str">
        <f>IF(COUNTIF(CCMA[material_name],C61)&gt;0,"O","X")</f>
        <v>X</v>
      </c>
      <c r="K61" t="str">
        <f>IF(COUNTIF(CEH[material_name],C61)&gt;0,"O","X")</f>
        <v>O</v>
      </c>
      <c r="L61" t="str">
        <f>IF(COUNTIF(표8[material_id],표2[[#This Row],[material_id]])&gt;0, "O", "X")</f>
        <v>O</v>
      </c>
      <c r="M61" t="str">
        <f>IF(COUNTIFS(표8[material_id],표2[[#This Row],[material_id]],표8[location],"울산")&gt;0, "O", "X")</f>
        <v>X</v>
      </c>
    </row>
    <row r="62" spans="1:13" x14ac:dyDescent="0.3">
      <c r="A62" t="s">
        <v>134</v>
      </c>
      <c r="B62" s="1" t="s">
        <v>9</v>
      </c>
      <c r="C62" s="24" t="s">
        <v>475</v>
      </c>
      <c r="D62" t="s">
        <v>16</v>
      </c>
      <c r="E62" t="s">
        <v>825</v>
      </c>
      <c r="F62" s="1">
        <v>6230</v>
      </c>
      <c r="G62">
        <v>2907231000</v>
      </c>
      <c r="H62" s="1" t="s">
        <v>127</v>
      </c>
      <c r="J62" t="str">
        <f>IF(COUNTIF(CCMA[material_name],C62)&gt;0,"O","X")</f>
        <v>O</v>
      </c>
      <c r="K62" t="str">
        <f>IF(COUNTIF(CEH[material_name],C62)&gt;0,"O","X")</f>
        <v>O</v>
      </c>
      <c r="L62" t="str">
        <f>IF(COUNTIF(표8[material_id],표2[[#This Row],[material_id]])&gt;0, "O", "X")</f>
        <v>O</v>
      </c>
      <c r="M62" t="str">
        <f>IF(COUNTIFS(표8[material_id],표2[[#This Row],[material_id]],표8[location],"울산")&gt;0, "O", "X")</f>
        <v>X</v>
      </c>
    </row>
    <row r="63" spans="1:13" x14ac:dyDescent="0.3">
      <c r="A63" t="s">
        <v>135</v>
      </c>
      <c r="B63" s="1" t="s">
        <v>9</v>
      </c>
      <c r="C63" s="24" t="s">
        <v>476</v>
      </c>
      <c r="D63" t="s">
        <v>24</v>
      </c>
      <c r="E63" t="s">
        <v>827</v>
      </c>
      <c r="F63" s="1">
        <v>6240</v>
      </c>
      <c r="G63">
        <v>3907400000</v>
      </c>
      <c r="H63" s="1" t="s">
        <v>128</v>
      </c>
      <c r="J63" t="str">
        <f>IF(COUNTIF(CCMA[material_name],C63)&gt;0,"O","X")</f>
        <v>O</v>
      </c>
      <c r="K63" t="str">
        <f>IF(COUNTIF(CEH[material_name],C63)&gt;0,"O","X")</f>
        <v>O</v>
      </c>
      <c r="L63" t="str">
        <f>IF(COUNTIF(표8[material_id],표2[[#This Row],[material_id]])&gt;0, "O", "X")</f>
        <v>O</v>
      </c>
      <c r="M63" t="str">
        <f>IF(COUNTIFS(표8[material_id],표2[[#This Row],[material_id]],표8[location],"울산")&gt;0, "O", "X")</f>
        <v>X</v>
      </c>
    </row>
    <row r="64" spans="1:13" x14ac:dyDescent="0.3">
      <c r="A64" t="s">
        <v>136</v>
      </c>
      <c r="B64" s="1" t="s">
        <v>9</v>
      </c>
      <c r="C64" s="24" t="s">
        <v>1057</v>
      </c>
      <c r="D64" t="s">
        <v>800</v>
      </c>
      <c r="E64" t="s">
        <v>828</v>
      </c>
      <c r="F64" s="1">
        <v>6250</v>
      </c>
      <c r="H64" s="1"/>
      <c r="J64" t="str">
        <f>IF(COUNTIF(CCMA[material_name],C64)&gt;0,"O","X")</f>
        <v>X</v>
      </c>
      <c r="K64" t="str">
        <f>IF(COUNTIF(CEH[material_name],C64)&gt;0,"O","X")</f>
        <v>O</v>
      </c>
      <c r="L64" t="str">
        <f>IF(COUNTIF(표8[material_id],표2[[#This Row],[material_id]])&gt;0, "O", "X")</f>
        <v>O</v>
      </c>
      <c r="M64" t="str">
        <f>IF(COUNTIFS(표8[material_id],표2[[#This Row],[material_id]],표8[location],"울산")&gt;0, "O", "X")</f>
        <v>X</v>
      </c>
    </row>
    <row r="65" spans="1:13" x14ac:dyDescent="0.3">
      <c r="A65" t="s">
        <v>137</v>
      </c>
      <c r="B65" s="1" t="s">
        <v>9</v>
      </c>
      <c r="C65" s="24" t="s">
        <v>1058</v>
      </c>
      <c r="D65" t="s">
        <v>16</v>
      </c>
      <c r="E65" t="s">
        <v>829</v>
      </c>
      <c r="F65" s="1">
        <v>6300</v>
      </c>
      <c r="G65">
        <v>2902110000</v>
      </c>
      <c r="H65" s="1"/>
      <c r="J65" t="str">
        <f>IF(COUNTIF(CCMA[material_name],C65)&gt;0,"O","X")</f>
        <v>X</v>
      </c>
      <c r="K65" t="str">
        <f>IF(COUNTIF(CEH[material_name],C65)&gt;0,"O","X")</f>
        <v>O</v>
      </c>
      <c r="L65" t="str">
        <f>IF(COUNTIF(표8[material_id],표2[[#This Row],[material_id]])&gt;0, "O", "X")</f>
        <v>O</v>
      </c>
      <c r="M65" t="str">
        <f>IF(COUNTIFS(표8[material_id],표2[[#This Row],[material_id]],표8[location],"울산")&gt;0, "O", "X")</f>
        <v>O</v>
      </c>
    </row>
    <row r="66" spans="1:13" x14ac:dyDescent="0.3">
      <c r="A66" t="s">
        <v>138</v>
      </c>
      <c r="B66" s="1" t="s">
        <v>9</v>
      </c>
      <c r="C66" s="1" t="s">
        <v>125</v>
      </c>
      <c r="D66" t="s">
        <v>16</v>
      </c>
      <c r="E66" t="s">
        <v>830</v>
      </c>
      <c r="F66" s="1">
        <v>6320</v>
      </c>
      <c r="G66">
        <v>2921411000</v>
      </c>
      <c r="H66" s="1"/>
      <c r="J66" t="str">
        <f>IF(COUNTIF(CCMA[material_name],C66)&gt;0,"O","X")</f>
        <v>X</v>
      </c>
      <c r="K66" t="str">
        <f>IF(COUNTIF(CEH[material_name],C66)&gt;0,"O","X")</f>
        <v>O</v>
      </c>
      <c r="L66" t="str">
        <f>IF(COUNTIF(표8[material_id],표2[[#This Row],[material_id]])&gt;0, "O", "X")</f>
        <v>X</v>
      </c>
      <c r="M66" t="str">
        <f>IF(COUNTIFS(표8[material_id],표2[[#This Row],[material_id]],표8[location],"울산")&gt;0, "O", "X")</f>
        <v>X</v>
      </c>
    </row>
    <row r="67" spans="1:13" x14ac:dyDescent="0.3">
      <c r="A67" t="s">
        <v>139</v>
      </c>
      <c r="B67" s="1" t="s">
        <v>9</v>
      </c>
      <c r="C67" s="24" t="s">
        <v>389</v>
      </c>
      <c r="D67" t="s">
        <v>16</v>
      </c>
      <c r="E67" t="s">
        <v>823</v>
      </c>
      <c r="F67" s="1">
        <v>6400</v>
      </c>
      <c r="H67" t="s">
        <v>391</v>
      </c>
      <c r="J67" t="str">
        <f>IF(COUNTIF(CCMA[material_name],C67)&gt;0,"O","X")</f>
        <v>X</v>
      </c>
      <c r="K67" t="str">
        <f>IF(COUNTIF(CEH[material_name],C67)&gt;0,"O","X")</f>
        <v>O</v>
      </c>
      <c r="L67" t="str">
        <f>IF(COUNTIF(표8[material_id],표2[[#This Row],[material_id]])&gt;0, "O", "X")</f>
        <v>O</v>
      </c>
      <c r="M67" t="str">
        <f>IF(COUNTIFS(표8[material_id],표2[[#This Row],[material_id]],표8[location],"울산")&gt;0, "O", "X")</f>
        <v>O</v>
      </c>
    </row>
    <row r="68" spans="1:13" x14ac:dyDescent="0.3">
      <c r="A68" t="s">
        <v>392</v>
      </c>
      <c r="B68" s="1" t="s">
        <v>9</v>
      </c>
      <c r="C68" s="1" t="s">
        <v>380</v>
      </c>
      <c r="D68" t="s">
        <v>16</v>
      </c>
      <c r="E68" t="s">
        <v>826</v>
      </c>
      <c r="F68" s="1">
        <v>6310</v>
      </c>
      <c r="G68">
        <v>2914221000</v>
      </c>
      <c r="H68" s="1"/>
      <c r="J68" t="str">
        <f>IF(COUNTIF(CCMA[material_name],C68)&gt;0,"O","X")</f>
        <v>X</v>
      </c>
      <c r="K68" t="str">
        <f>IF(COUNTIF(CEH[material_name],C68)&gt;0,"O","X")</f>
        <v>O</v>
      </c>
      <c r="L68" t="str">
        <f>IF(COUNTIF(표8[material_id],표2[[#This Row],[material_id]])&gt;0, "O", "X")</f>
        <v>X</v>
      </c>
      <c r="M68" t="str">
        <f>IF(COUNTIFS(표8[material_id],표2[[#This Row],[material_id]],표8[location],"울산")&gt;0, "O", "X")</f>
        <v>X</v>
      </c>
    </row>
    <row r="69" spans="1:13" x14ac:dyDescent="0.3">
      <c r="A69" t="s">
        <v>471</v>
      </c>
      <c r="B69" t="s">
        <v>768</v>
      </c>
      <c r="C69" s="24" t="s">
        <v>464</v>
      </c>
      <c r="D69" t="s">
        <v>16</v>
      </c>
      <c r="E69" t="s">
        <v>831</v>
      </c>
      <c r="F69">
        <v>4400</v>
      </c>
      <c r="G69">
        <v>2917140000</v>
      </c>
      <c r="H69" t="s">
        <v>472</v>
      </c>
      <c r="J69" t="str">
        <f>IF(COUNTIF(CCMA[material_name],C69)&gt;0,"O","X")</f>
        <v>X</v>
      </c>
      <c r="K69" t="str">
        <f>IF(COUNTIF(CEH[material_name],C69)&gt;0,"O","X")</f>
        <v>O</v>
      </c>
      <c r="L69" t="str">
        <f>IF(COUNTIF(표8[material_id],표2[[#This Row],[material_id]])&gt;0, "O", "X")</f>
        <v>O</v>
      </c>
      <c r="M69" t="str">
        <f>IF(COUNTIFS(표8[material_id],표2[[#This Row],[material_id]],표8[location],"울산")&gt;0, "O", "X")</f>
        <v>O</v>
      </c>
    </row>
    <row r="70" spans="1:13" x14ac:dyDescent="0.3">
      <c r="A70" t="s">
        <v>490</v>
      </c>
      <c r="B70" t="s">
        <v>465</v>
      </c>
      <c r="C70" t="s">
        <v>465</v>
      </c>
      <c r="D70" t="s">
        <v>6</v>
      </c>
      <c r="E70" t="s">
        <v>795</v>
      </c>
      <c r="F70">
        <v>100</v>
      </c>
      <c r="G70">
        <v>2905110000</v>
      </c>
      <c r="J70" t="str">
        <f>IF(COUNTIF(CCMA[material_name],C70)&gt;0,"O","X")</f>
        <v>O</v>
      </c>
      <c r="K70" t="str">
        <f>IF(COUNTIF(CEH[material_name],C70)&gt;0,"O","X")</f>
        <v>O</v>
      </c>
      <c r="L70" t="str">
        <f>IF(COUNTIF(표8[material_id],표2[[#This Row],[material_id]])&gt;0, "O", "X")</f>
        <v>X</v>
      </c>
      <c r="M70" t="str">
        <f>IF(COUNTIFS(표8[material_id],표2[[#This Row],[material_id]],표8[location],"울산")&gt;0, "O", "X")</f>
        <v>X</v>
      </c>
    </row>
    <row r="71" spans="1:13" x14ac:dyDescent="0.3">
      <c r="A71" t="s">
        <v>492</v>
      </c>
      <c r="B71" t="s">
        <v>465</v>
      </c>
      <c r="C71" t="s">
        <v>469</v>
      </c>
      <c r="D71" t="s">
        <v>16</v>
      </c>
      <c r="E71" t="s">
        <v>812</v>
      </c>
      <c r="F71">
        <v>200</v>
      </c>
      <c r="G71">
        <v>2915210000</v>
      </c>
      <c r="J71" t="str">
        <f>IF(COUNTIF(CCMA[material_name],C71)&gt;0,"O","X")</f>
        <v>O</v>
      </c>
      <c r="K71" t="str">
        <f>IF(COUNTIF(CEH[material_name],C71)&gt;0,"O","X")</f>
        <v>O</v>
      </c>
      <c r="L71" t="str">
        <f>IF(COUNTIF(표8[material_id],표2[[#This Row],[material_id]])&gt;0, "O", "X")</f>
        <v>O</v>
      </c>
      <c r="M71" t="str">
        <f>IF(COUNTIFS(표8[material_id],표2[[#This Row],[material_id]],표8[location],"울산")&gt;0, "O", "X")</f>
        <v>O</v>
      </c>
    </row>
    <row r="72" spans="1:13" x14ac:dyDescent="0.3">
      <c r="A72" t="s">
        <v>493</v>
      </c>
      <c r="B72" t="s">
        <v>494</v>
      </c>
      <c r="C72" s="24" t="s">
        <v>494</v>
      </c>
      <c r="D72" t="s">
        <v>6</v>
      </c>
      <c r="E72" t="s">
        <v>822</v>
      </c>
      <c r="F72">
        <v>7000</v>
      </c>
      <c r="G72">
        <v>2902300000</v>
      </c>
      <c r="J72" t="str">
        <f>IF(COUNTIF(CCMA[material_name],C72)&gt;0,"O","X")</f>
        <v>O</v>
      </c>
      <c r="K72" t="str">
        <f>IF(COUNTIF(CEH[material_name],C72)&gt;0,"O","X")</f>
        <v>O</v>
      </c>
      <c r="L72" t="str">
        <f>IF(COUNTIF(표8[material_id],표2[[#This Row],[material_id]])&gt;0, "O", "X")</f>
        <v>O</v>
      </c>
      <c r="M72" t="str">
        <f>IF(COUNTIFS(표8[material_id],표2[[#This Row],[material_id]],표8[location],"울산")&gt;0, "O", "X")</f>
        <v>O</v>
      </c>
    </row>
    <row r="73" spans="1:13" x14ac:dyDescent="0.3">
      <c r="A73" t="s">
        <v>495</v>
      </c>
      <c r="B73" t="s">
        <v>496</v>
      </c>
      <c r="C73" s="23" t="s">
        <v>496</v>
      </c>
      <c r="D73" t="s">
        <v>6</v>
      </c>
      <c r="E73" t="s">
        <v>822</v>
      </c>
      <c r="F73">
        <v>8000</v>
      </c>
      <c r="G73">
        <v>2902440000</v>
      </c>
      <c r="J73" t="str">
        <f>IF(COUNTIF(CCMA[material_name],C73)&gt;0,"O","X")</f>
        <v>O</v>
      </c>
      <c r="K73" t="str">
        <f>IF(COUNTIF(CEH[material_name],C73)&gt;0,"O","X")</f>
        <v>O</v>
      </c>
      <c r="L73" t="str">
        <f>IF(COUNTIF(표8[material_id],표2[[#This Row],[material_id]])&gt;0, "O", "X")</f>
        <v>O</v>
      </c>
      <c r="M73" t="str">
        <f>IF(COUNTIFS(표8[material_id],표2[[#This Row],[material_id]],표8[location],"울산")&gt;0, "O", "X")</f>
        <v>O</v>
      </c>
    </row>
    <row r="74" spans="1:13" x14ac:dyDescent="0.3">
      <c r="A74" t="s">
        <v>497</v>
      </c>
      <c r="B74" t="s">
        <v>496</v>
      </c>
      <c r="C74" s="23" t="s">
        <v>498</v>
      </c>
      <c r="D74" t="s">
        <v>16</v>
      </c>
      <c r="E74" t="s">
        <v>831</v>
      </c>
      <c r="F74">
        <v>8110</v>
      </c>
      <c r="G74">
        <v>2917350000</v>
      </c>
      <c r="H74" t="s">
        <v>499</v>
      </c>
      <c r="J74" t="str">
        <f>IF(COUNTIF(CCMA[material_name],C74)&gt;0,"O","X")</f>
        <v>X</v>
      </c>
      <c r="K74" t="str">
        <f>IF(COUNTIF(CEH[material_name],C74)&gt;0,"O","X")</f>
        <v>O</v>
      </c>
      <c r="L74" t="str">
        <f>IF(COUNTIF(표8[material_id],표2[[#This Row],[material_id]])&gt;0, "O", "X")</f>
        <v>O</v>
      </c>
      <c r="M74" t="str">
        <f>IF(COUNTIFS(표8[material_id],표2[[#This Row],[material_id]],표8[location],"울산")&gt;0, "O", "X")</f>
        <v>O</v>
      </c>
    </row>
    <row r="75" spans="1:13" x14ac:dyDescent="0.3">
      <c r="A75" t="s">
        <v>507</v>
      </c>
      <c r="B75" t="s">
        <v>463</v>
      </c>
      <c r="C75" s="23" t="s">
        <v>553</v>
      </c>
      <c r="D75" t="s">
        <v>30</v>
      </c>
      <c r="E75" t="s">
        <v>832</v>
      </c>
      <c r="F75">
        <v>6330</v>
      </c>
      <c r="G75">
        <v>2933710000</v>
      </c>
      <c r="J75" t="str">
        <f>IF(COUNTIF(CCMA[material_name],C75)&gt;0,"O","X")</f>
        <v>X</v>
      </c>
      <c r="K75" t="str">
        <f>IF(COUNTIF(CEH[material_name],C75)&gt;0,"O","X")</f>
        <v>O</v>
      </c>
      <c r="L75" t="str">
        <f>IF(COUNTIF(표8[material_id],표2[[#This Row],[material_id]])&gt;0, "O", "X")</f>
        <v>O</v>
      </c>
      <c r="M75" t="str">
        <f>IF(COUNTIFS(표8[material_id],표2[[#This Row],[material_id]],표8[location],"울산")&gt;0, "O", "X")</f>
        <v>O</v>
      </c>
    </row>
    <row r="76" spans="1:13" x14ac:dyDescent="0.3">
      <c r="A76" t="s">
        <v>554</v>
      </c>
      <c r="B76" t="s">
        <v>559</v>
      </c>
      <c r="C76" t="s">
        <v>557</v>
      </c>
      <c r="D76" t="s">
        <v>800</v>
      </c>
      <c r="E76" t="s">
        <v>833</v>
      </c>
      <c r="F76">
        <v>2700</v>
      </c>
      <c r="H76" t="s">
        <v>577</v>
      </c>
      <c r="J76" t="str">
        <f>IF(COUNTIF(CCMA[material_name],C76)&gt;0,"O","X")</f>
        <v>X</v>
      </c>
      <c r="K76" t="str">
        <f>IF(COUNTIF(CEH[material_name],C76)&gt;0,"O","X")</f>
        <v>X</v>
      </c>
      <c r="L76" t="str">
        <f>IF(COUNTIF(표8[material_id],표2[[#This Row],[material_id]])&gt;0, "O", "X")</f>
        <v>X</v>
      </c>
      <c r="M76" t="str">
        <f>IF(COUNTIFS(표8[material_id],표2[[#This Row],[material_id]],표8[location],"울산")&gt;0, "O", "X")</f>
        <v>X</v>
      </c>
    </row>
    <row r="77" spans="1:13" x14ac:dyDescent="0.3">
      <c r="A77" t="s">
        <v>555</v>
      </c>
      <c r="B77" t="s">
        <v>559</v>
      </c>
      <c r="C77" t="s">
        <v>558</v>
      </c>
      <c r="D77" t="s">
        <v>16</v>
      </c>
      <c r="E77" t="s">
        <v>821</v>
      </c>
      <c r="F77">
        <v>2900</v>
      </c>
      <c r="G77">
        <v>2901291000</v>
      </c>
      <c r="H77" t="s">
        <v>769</v>
      </c>
      <c r="J77" t="str">
        <f>IF(COUNTIF(CCMA[material_name],C77)&gt;0,"O","X")</f>
        <v>X</v>
      </c>
      <c r="K77" t="str">
        <f>IF(COUNTIF(CEH[material_name],C77)&gt;0,"O","X")</f>
        <v>X</v>
      </c>
      <c r="L77" t="str">
        <f>IF(COUNTIF(표8[material_id],표2[[#This Row],[material_id]])&gt;0, "O", "X")</f>
        <v>X</v>
      </c>
      <c r="M77" t="str">
        <f>IF(COUNTIFS(표8[material_id],표2[[#This Row],[material_id]],표8[location],"울산")&gt;0, "O", "X")</f>
        <v>X</v>
      </c>
    </row>
    <row r="78" spans="1:13" x14ac:dyDescent="0.3">
      <c r="A78" t="s">
        <v>556</v>
      </c>
      <c r="B78" t="s">
        <v>559</v>
      </c>
      <c r="C78" t="s">
        <v>576</v>
      </c>
      <c r="D78" t="s">
        <v>800</v>
      </c>
      <c r="E78" t="s">
        <v>834</v>
      </c>
      <c r="F78">
        <v>2720</v>
      </c>
      <c r="J78" t="str">
        <f>IF(COUNTIF(CCMA[material_name],C78)&gt;0,"O","X")</f>
        <v>X</v>
      </c>
      <c r="K78" t="str">
        <f>IF(COUNTIF(CEH[material_name],C78)&gt;0,"O","X")</f>
        <v>X</v>
      </c>
      <c r="L78" t="str">
        <f>IF(COUNTIF(표8[material_id],표2[[#This Row],[material_id]])&gt;0, "O", "X")</f>
        <v>X</v>
      </c>
      <c r="M78" t="str">
        <f>IF(COUNTIFS(표8[material_id],표2[[#This Row],[material_id]],표8[location],"울산")&gt;0, "O", "X")</f>
        <v>X</v>
      </c>
    </row>
    <row r="79" spans="1:13" x14ac:dyDescent="0.3">
      <c r="A79" t="s">
        <v>587</v>
      </c>
      <c r="B79" t="s">
        <v>465</v>
      </c>
      <c r="C79" t="s">
        <v>589</v>
      </c>
      <c r="D79" t="s">
        <v>30</v>
      </c>
      <c r="E79" t="s">
        <v>835</v>
      </c>
      <c r="F79">
        <v>400</v>
      </c>
      <c r="G79">
        <v>2916141000</v>
      </c>
      <c r="H79" t="s">
        <v>592</v>
      </c>
      <c r="J79" t="str">
        <f>IF(COUNTIF(CCMA[material_name],C79)&gt;0,"O","X")</f>
        <v>O</v>
      </c>
      <c r="K79" t="str">
        <f>IF(COUNTIF(CEH[material_name],C79)&gt;0,"O","X")</f>
        <v>X</v>
      </c>
      <c r="L79" t="str">
        <f>IF(COUNTIF(표8[material_id],표2[[#This Row],[material_id]])&gt;0, "O", "X")</f>
        <v>O</v>
      </c>
      <c r="M79" t="str">
        <f>IF(COUNTIFS(표8[material_id],표2[[#This Row],[material_id]],표8[location],"울산")&gt;0, "O", "X")</f>
        <v>X</v>
      </c>
    </row>
    <row r="80" spans="1:13" x14ac:dyDescent="0.3">
      <c r="A80" t="s">
        <v>588</v>
      </c>
      <c r="B80" t="s">
        <v>465</v>
      </c>
      <c r="C80" t="s">
        <v>590</v>
      </c>
      <c r="D80" t="s">
        <v>24</v>
      </c>
      <c r="E80" t="s">
        <v>813</v>
      </c>
      <c r="F80">
        <v>410</v>
      </c>
      <c r="G80">
        <v>3906100000</v>
      </c>
      <c r="H80" t="s">
        <v>591</v>
      </c>
      <c r="J80" t="str">
        <f>IF(COUNTIF(CCMA[material_name],C80)&gt;0,"O","X")</f>
        <v>X</v>
      </c>
      <c r="K80" t="str">
        <f>IF(COUNTIF(CEH[material_name],C80)&gt;0,"O","X")</f>
        <v>X</v>
      </c>
      <c r="L80" t="str">
        <f>IF(COUNTIF(표8[material_id],표2[[#This Row],[material_id]])&gt;0, "O", "X")</f>
        <v>O</v>
      </c>
      <c r="M80" t="str">
        <f>IF(COUNTIFS(표8[material_id],표2[[#This Row],[material_id]],표8[location],"울산")&gt;0, "O", "X")</f>
        <v>X</v>
      </c>
    </row>
    <row r="81" spans="1:13" x14ac:dyDescent="0.3">
      <c r="A81" t="s">
        <v>601</v>
      </c>
      <c r="B81" t="s">
        <v>465</v>
      </c>
      <c r="C81" t="s">
        <v>602</v>
      </c>
      <c r="D81" t="s">
        <v>16</v>
      </c>
      <c r="E81" t="s">
        <v>804</v>
      </c>
      <c r="F81">
        <v>300</v>
      </c>
      <c r="G81">
        <v>2912110000</v>
      </c>
      <c r="H81" t="s">
        <v>591</v>
      </c>
      <c r="J81" t="str">
        <f>IF(COUNTIF(CCMA[material_name],C81)&gt;0,"O","X")</f>
        <v>O</v>
      </c>
      <c r="K81" t="str">
        <f>IF(COUNTIF(CEH[material_name],C81)&gt;0,"O","X")</f>
        <v>O</v>
      </c>
      <c r="L81" t="str">
        <f>IF(COUNTIF(표8[material_id],표2[[#This Row],[material_id]])&gt;0, "O", "X")</f>
        <v>X</v>
      </c>
      <c r="M81" t="str">
        <f>IF(COUNTIFS(표8[material_id],표2[[#This Row],[material_id]],표8[location],"울산")&gt;0, "O", "X")</f>
        <v>X</v>
      </c>
    </row>
    <row r="82" spans="1:13" x14ac:dyDescent="0.3">
      <c r="A82" t="s">
        <v>605</v>
      </c>
      <c r="B82" t="s">
        <v>559</v>
      </c>
      <c r="C82" t="s">
        <v>607</v>
      </c>
      <c r="D82" t="s">
        <v>16</v>
      </c>
      <c r="E82" t="s">
        <v>836</v>
      </c>
      <c r="F82">
        <v>2360</v>
      </c>
      <c r="H82" t="s">
        <v>608</v>
      </c>
      <c r="J82" t="str">
        <f>IF(COUNTIF(CCMA[material_name],C82)&gt;0,"O","X")</f>
        <v>X</v>
      </c>
      <c r="K82" t="str">
        <f>IF(COUNTIF(CEH[material_name],C82)&gt;0,"O","X")</f>
        <v>X</v>
      </c>
      <c r="L82" t="str">
        <f>IF(COUNTIF(표8[material_id],표2[[#This Row],[material_id]])&gt;0, "O", "X")</f>
        <v>X</v>
      </c>
      <c r="M82" t="str">
        <f>IF(COUNTIFS(표8[material_id],표2[[#This Row],[material_id]],표8[location],"울산")&gt;0, "O", "X")</f>
        <v>X</v>
      </c>
    </row>
    <row r="83" spans="1:13" x14ac:dyDescent="0.3">
      <c r="A83" t="s">
        <v>606</v>
      </c>
      <c r="B83" t="s">
        <v>559</v>
      </c>
      <c r="C83" t="s">
        <v>609</v>
      </c>
      <c r="D83" t="s">
        <v>16</v>
      </c>
      <c r="E83" t="s">
        <v>836</v>
      </c>
      <c r="F83">
        <v>2370</v>
      </c>
      <c r="H83" t="s">
        <v>610</v>
      </c>
      <c r="J83" t="str">
        <f>IF(COUNTIF(CCMA[material_name],C83)&gt;0,"O","X")</f>
        <v>X</v>
      </c>
      <c r="K83" t="str">
        <f>IF(COUNTIF(CEH[material_name],C83)&gt;0,"O","X")</f>
        <v>X</v>
      </c>
      <c r="L83" t="str">
        <f>IF(COUNTIF(표8[material_id],표2[[#This Row],[material_id]])&gt;0, "O", "X")</f>
        <v>X</v>
      </c>
      <c r="M83" t="str">
        <f>IF(COUNTIFS(표8[material_id],표2[[#This Row],[material_id]],표8[location],"울산")&gt;0, "O", "X")</f>
        <v>X</v>
      </c>
    </row>
    <row r="84" spans="1:13" x14ac:dyDescent="0.3">
      <c r="A84" t="s">
        <v>619</v>
      </c>
      <c r="B84" t="s">
        <v>559</v>
      </c>
      <c r="C84" t="s">
        <v>621</v>
      </c>
      <c r="D84" t="s">
        <v>24</v>
      </c>
      <c r="E84" t="s">
        <v>837</v>
      </c>
      <c r="F84">
        <v>2610</v>
      </c>
      <c r="H84" t="s">
        <v>623</v>
      </c>
      <c r="J84" t="str">
        <f>IF(COUNTIF(CCMA[material_name],C84)&gt;0,"O","X")</f>
        <v>X</v>
      </c>
      <c r="K84" t="str">
        <f>IF(COUNTIF(CEH[material_name],C84)&gt;0,"O","X")</f>
        <v>X</v>
      </c>
      <c r="L84" t="str">
        <f>IF(COUNTIF(표8[material_id],표2[[#This Row],[material_id]])&gt;0, "O", "X")</f>
        <v>X</v>
      </c>
      <c r="M84" t="str">
        <f>IF(COUNTIFS(표8[material_id],표2[[#This Row],[material_id]],표8[location],"울산")&gt;0, "O", "X")</f>
        <v>X</v>
      </c>
    </row>
    <row r="85" spans="1:13" x14ac:dyDescent="0.3">
      <c r="A85" t="s">
        <v>620</v>
      </c>
      <c r="B85" t="s">
        <v>559</v>
      </c>
      <c r="C85" s="23" t="s">
        <v>622</v>
      </c>
      <c r="D85" t="s">
        <v>24</v>
      </c>
      <c r="E85" t="s">
        <v>838</v>
      </c>
      <c r="F85">
        <v>2620</v>
      </c>
      <c r="H85" t="s">
        <v>624</v>
      </c>
      <c r="J85" t="str">
        <f>IF(COUNTIF(CCMA[material_name],C85)&gt;0,"O","X")</f>
        <v>X</v>
      </c>
      <c r="K85" t="str">
        <f>IF(COUNTIF(CEH[material_name],C85)&gt;0,"O","X")</f>
        <v>O</v>
      </c>
      <c r="L85" t="str">
        <f>IF(COUNTIF(표8[material_id],표2[[#This Row],[material_id]])&gt;0, "O", "X")</f>
        <v>O</v>
      </c>
      <c r="M85" t="str">
        <f>IF(COUNTIFS(표8[material_id],표2[[#This Row],[material_id]],표8[location],"울산")&gt;0, "O", "X")</f>
        <v>X</v>
      </c>
    </row>
    <row r="86" spans="1:13" x14ac:dyDescent="0.3">
      <c r="A86" t="s">
        <v>636</v>
      </c>
      <c r="B86" t="s">
        <v>463</v>
      </c>
      <c r="C86" s="23" t="s">
        <v>638</v>
      </c>
      <c r="D86" t="s">
        <v>16</v>
      </c>
      <c r="E86" t="s">
        <v>839</v>
      </c>
      <c r="F86">
        <v>6410</v>
      </c>
      <c r="G86">
        <v>2929102000</v>
      </c>
      <c r="H86" t="s">
        <v>640</v>
      </c>
      <c r="J86" t="str">
        <f>IF(COUNTIF(CCMA[material_name],C86)&gt;0,"O","X")</f>
        <v>X</v>
      </c>
      <c r="K86" t="str">
        <f>IF(COUNTIF(CEH[material_name],C86)&gt;0,"O","X")</f>
        <v>X</v>
      </c>
      <c r="L86" t="str">
        <f>IF(COUNTIF(표8[material_id],표2[[#This Row],[material_id]])&gt;0, "O", "X")</f>
        <v>O</v>
      </c>
      <c r="M86" t="str">
        <f>IF(COUNTIFS(표8[material_id],표2[[#This Row],[material_id]],표8[location],"울산")&gt;0, "O", "X")</f>
        <v>X</v>
      </c>
    </row>
    <row r="87" spans="1:13" x14ac:dyDescent="0.3">
      <c r="A87" t="s">
        <v>637</v>
      </c>
      <c r="B87" t="s">
        <v>494</v>
      </c>
      <c r="C87" s="23" t="s">
        <v>639</v>
      </c>
      <c r="D87" t="s">
        <v>16</v>
      </c>
      <c r="E87" t="s">
        <v>839</v>
      </c>
      <c r="F87">
        <v>7100</v>
      </c>
      <c r="G87">
        <v>2929101000</v>
      </c>
      <c r="H87" t="s">
        <v>641</v>
      </c>
      <c r="J87" t="str">
        <f>IF(COUNTIF(CCMA[material_name],C87)&gt;0,"O","X")</f>
        <v>X</v>
      </c>
      <c r="K87" t="str">
        <f>IF(COUNTIF(CEH[material_name],C87)&gt;0,"O","X")</f>
        <v>X</v>
      </c>
      <c r="L87" t="str">
        <f>IF(COUNTIF(표8[material_id],표2[[#This Row],[material_id]])&gt;0, "O", "X")</f>
        <v>O</v>
      </c>
      <c r="M87" t="str">
        <f>IF(COUNTIFS(표8[material_id],표2[[#This Row],[material_id]],표8[location],"울산")&gt;0, "O", "X")</f>
        <v>X</v>
      </c>
    </row>
    <row r="88" spans="1:13" x14ac:dyDescent="0.3">
      <c r="A88" t="s">
        <v>653</v>
      </c>
      <c r="B88" t="s">
        <v>496</v>
      </c>
      <c r="C88" s="23" t="s">
        <v>656</v>
      </c>
      <c r="D88" t="s">
        <v>16</v>
      </c>
      <c r="E88" t="s">
        <v>840</v>
      </c>
      <c r="F88">
        <v>8100</v>
      </c>
      <c r="G88">
        <v>2902410000</v>
      </c>
      <c r="H88" t="s">
        <v>504</v>
      </c>
      <c r="J88" t="str">
        <f>IF(COUNTIF(CCMA[material_name],C88)&gt;0,"O","X")</f>
        <v>X</v>
      </c>
      <c r="K88" t="str">
        <f>IF(COUNTIF(CEH[material_name],C88)&gt;0,"O","X")</f>
        <v>O</v>
      </c>
      <c r="L88" t="str">
        <f>IF(COUNTIF(표8[material_id],표2[[#This Row],[material_id]])&gt;0, "O", "X")</f>
        <v>O</v>
      </c>
      <c r="M88" t="str">
        <f>IF(COUNTIFS(표8[material_id],표2[[#This Row],[material_id]],표8[location],"울산")&gt;0, "O", "X")</f>
        <v>O</v>
      </c>
    </row>
    <row r="89" spans="1:13" x14ac:dyDescent="0.3">
      <c r="A89" t="s">
        <v>654</v>
      </c>
      <c r="B89" t="s">
        <v>496</v>
      </c>
      <c r="C89" s="23" t="s">
        <v>657</v>
      </c>
      <c r="D89" t="s">
        <v>16</v>
      </c>
      <c r="E89" t="s">
        <v>840</v>
      </c>
      <c r="F89">
        <v>8200</v>
      </c>
      <c r="G89">
        <v>2902420000</v>
      </c>
      <c r="H89" t="s">
        <v>505</v>
      </c>
      <c r="J89" t="str">
        <f>IF(COUNTIF(CCMA[material_name],C89)&gt;0,"O","X")</f>
        <v>X</v>
      </c>
      <c r="K89" t="str">
        <f>IF(COUNTIF(CEH[material_name],C89)&gt;0,"O","X")</f>
        <v>O</v>
      </c>
      <c r="L89" t="str">
        <f>IF(COUNTIF(표8[material_id],표2[[#This Row],[material_id]])&gt;0, "O", "X")</f>
        <v>O</v>
      </c>
      <c r="M89" t="str">
        <f>IF(COUNTIFS(표8[material_id],표2[[#This Row],[material_id]],표8[location],"울산")&gt;0, "O", "X")</f>
        <v>O</v>
      </c>
    </row>
    <row r="90" spans="1:13" x14ac:dyDescent="0.3">
      <c r="A90" t="s">
        <v>655</v>
      </c>
      <c r="B90" t="s">
        <v>496</v>
      </c>
      <c r="C90" s="23" t="s">
        <v>658</v>
      </c>
      <c r="D90" t="s">
        <v>16</v>
      </c>
      <c r="E90" t="s">
        <v>840</v>
      </c>
      <c r="F90">
        <v>8300</v>
      </c>
      <c r="G90">
        <v>2902430000</v>
      </c>
      <c r="H90" t="s">
        <v>506</v>
      </c>
      <c r="J90" t="str">
        <f>IF(COUNTIF(CCMA[material_name],C90)&gt;0,"O","X")</f>
        <v>O</v>
      </c>
      <c r="K90" t="str">
        <f>IF(COUNTIF(CEH[material_name],C90)&gt;0,"O","X")</f>
        <v>O</v>
      </c>
      <c r="L90" t="str">
        <f>IF(COUNTIF(표8[material_id],표2[[#This Row],[material_id]])&gt;0, "O", "X")</f>
        <v>O</v>
      </c>
      <c r="M90" t="str">
        <f>IF(COUNTIFS(표8[material_id],표2[[#This Row],[material_id]],표8[location],"울산")&gt;0, "O", "X")</f>
        <v>O</v>
      </c>
    </row>
    <row r="91" spans="1:13" x14ac:dyDescent="0.3">
      <c r="A91" t="s">
        <v>674</v>
      </c>
      <c r="B91" t="s">
        <v>496</v>
      </c>
      <c r="C91" s="23" t="s">
        <v>501</v>
      </c>
      <c r="D91" t="s">
        <v>30</v>
      </c>
      <c r="E91" t="s">
        <v>841</v>
      </c>
      <c r="F91">
        <v>8210</v>
      </c>
      <c r="H91" t="s">
        <v>504</v>
      </c>
      <c r="J91" t="str">
        <f>IF(COUNTIF(CCMA[material_name],C91)&gt;0,"O","X")</f>
        <v>X</v>
      </c>
      <c r="K91" t="str">
        <f>IF(COUNTIF(CEH[material_name],C91)&gt;0,"O","X")</f>
        <v>O</v>
      </c>
      <c r="L91" t="str">
        <f>IF(COUNTIF(표8[material_id],표2[[#This Row],[material_id]])&gt;0, "O", "X")</f>
        <v>O</v>
      </c>
      <c r="M91" t="str">
        <f>IF(COUNTIFS(표8[material_id],표2[[#This Row],[material_id]],표8[location],"울산")&gt;0, "O", "X")</f>
        <v>O</v>
      </c>
    </row>
    <row r="92" spans="1:13" x14ac:dyDescent="0.3">
      <c r="A92" t="s">
        <v>675</v>
      </c>
      <c r="B92" t="s">
        <v>496</v>
      </c>
      <c r="C92" s="23" t="s">
        <v>502</v>
      </c>
      <c r="D92" t="s">
        <v>30</v>
      </c>
      <c r="E92" t="s">
        <v>841</v>
      </c>
      <c r="F92">
        <v>8310</v>
      </c>
      <c r="G92">
        <v>2917361000</v>
      </c>
      <c r="H92" t="s">
        <v>505</v>
      </c>
      <c r="J92" t="str">
        <f>IF(COUNTIF(CCMA[material_name],C92)&gt;0,"O","X")</f>
        <v>O</v>
      </c>
      <c r="K92" t="str">
        <f>IF(COUNTIF(CEH[material_name],C92)&gt;0,"O","X")</f>
        <v>O</v>
      </c>
      <c r="L92" t="str">
        <f>IF(COUNTIF(표8[material_id],표2[[#This Row],[material_id]])&gt;0, "O", "X")</f>
        <v>O</v>
      </c>
      <c r="M92" t="str">
        <f>IF(COUNTIFS(표8[material_id],표2[[#This Row],[material_id]],표8[location],"울산")&gt;0, "O", "X")</f>
        <v>X</v>
      </c>
    </row>
    <row r="93" spans="1:13" x14ac:dyDescent="0.3">
      <c r="A93" t="s">
        <v>676</v>
      </c>
      <c r="B93" t="s">
        <v>496</v>
      </c>
      <c r="C93" t="s">
        <v>503</v>
      </c>
      <c r="D93" t="s">
        <v>30</v>
      </c>
      <c r="E93" t="s">
        <v>842</v>
      </c>
      <c r="F93">
        <v>8320</v>
      </c>
      <c r="G93">
        <v>2917370000</v>
      </c>
      <c r="H93" t="s">
        <v>506</v>
      </c>
      <c r="J93" t="str">
        <f>IF(COUNTIF(CCMA[material_name],C93)&gt;0,"O","X")</f>
        <v>X</v>
      </c>
      <c r="K93" t="str">
        <f>IF(COUNTIF(CEH[material_name],C93)&gt;0,"O","X")</f>
        <v>O</v>
      </c>
      <c r="L93" t="str">
        <f>IF(COUNTIF(표8[material_id],표2[[#This Row],[material_id]])&gt;0, "O", "X")</f>
        <v>X</v>
      </c>
      <c r="M93" t="str">
        <f>IF(COUNTIFS(표8[material_id],표2[[#This Row],[material_id]],표8[location],"울산")&gt;0, "O", "X")</f>
        <v>X</v>
      </c>
    </row>
    <row r="94" spans="1:13" x14ac:dyDescent="0.3">
      <c r="A94" t="s">
        <v>677</v>
      </c>
      <c r="B94" t="s">
        <v>496</v>
      </c>
      <c r="C94" t="s">
        <v>678</v>
      </c>
      <c r="D94" t="s">
        <v>24</v>
      </c>
      <c r="E94" t="s">
        <v>843</v>
      </c>
      <c r="F94">
        <v>8330</v>
      </c>
      <c r="H94" t="s">
        <v>679</v>
      </c>
      <c r="J94" t="str">
        <f>IF(COUNTIF(CCMA[material_name],C94)&gt;0,"O","X")</f>
        <v>O</v>
      </c>
      <c r="K94" t="str">
        <f>IF(COUNTIF(CEH[material_name],C94)&gt;0,"O","X")</f>
        <v>O</v>
      </c>
      <c r="L94" t="str">
        <f>IF(COUNTIF(표8[material_id],표2[[#This Row],[material_id]])&gt;0, "O", "X")</f>
        <v>X</v>
      </c>
      <c r="M94" t="str">
        <f>IF(COUNTIFS(표8[material_id],표2[[#This Row],[material_id]],표8[location],"울산")&gt;0, "O", "X")</f>
        <v>X</v>
      </c>
    </row>
    <row r="95" spans="1:13" x14ac:dyDescent="0.3">
      <c r="A95" t="s">
        <v>688</v>
      </c>
      <c r="B95" t="s">
        <v>7</v>
      </c>
      <c r="C95" t="s">
        <v>275</v>
      </c>
      <c r="D95" t="s">
        <v>800</v>
      </c>
      <c r="E95" t="s">
        <v>811</v>
      </c>
      <c r="F95">
        <v>3350</v>
      </c>
      <c r="G95">
        <v>3909500000</v>
      </c>
      <c r="H95" t="s">
        <v>687</v>
      </c>
      <c r="J95" t="str">
        <f>IF(COUNTIF(CCMA[material_name],C95)&gt;0,"O","X")</f>
        <v>X</v>
      </c>
      <c r="K95" t="str">
        <f>IF(COUNTIF(CEH[material_name],C95)&gt;0,"O","X")</f>
        <v>O</v>
      </c>
      <c r="L95" t="str">
        <f>IF(COUNTIF(표8[material_id],표2[[#This Row],[material_id]])&gt;0, "O", "X")</f>
        <v>X</v>
      </c>
      <c r="M95" t="str">
        <f>IF(COUNTIFS(표8[material_id],표2[[#This Row],[material_id]],표8[location],"울산")&gt;0, "O", "X")</f>
        <v>X</v>
      </c>
    </row>
    <row r="96" spans="1:13" x14ac:dyDescent="0.3">
      <c r="A96" t="s">
        <v>721</v>
      </c>
      <c r="B96" t="s">
        <v>768</v>
      </c>
      <c r="C96" t="s">
        <v>720</v>
      </c>
      <c r="D96" t="s">
        <v>16</v>
      </c>
      <c r="E96" t="s">
        <v>821</v>
      </c>
      <c r="F96">
        <v>4350</v>
      </c>
      <c r="G96">
        <v>2901292000</v>
      </c>
      <c r="J96" t="str">
        <f>IF(COUNTIF(CCMA[material_name],C96)&gt;0,"O","X")</f>
        <v>X</v>
      </c>
      <c r="K96" t="str">
        <f>IF(COUNTIF(CEH[material_name],C96)&gt;0,"O","X")</f>
        <v>X</v>
      </c>
      <c r="L96" t="str">
        <f>IF(COUNTIF(표8[material_id],표2[[#This Row],[material_id]])&gt;0, "O", "X")</f>
        <v>X</v>
      </c>
      <c r="M96" t="str">
        <f>IF(COUNTIFS(표8[material_id],표2[[#This Row],[material_id]],표8[location],"울산")&gt;0, "O", "X")</f>
        <v>X</v>
      </c>
    </row>
    <row r="97" spans="1:13" x14ac:dyDescent="0.3">
      <c r="A97" t="s">
        <v>737</v>
      </c>
      <c r="B97" t="s">
        <v>768</v>
      </c>
      <c r="C97" t="s">
        <v>558</v>
      </c>
      <c r="D97" t="s">
        <v>16</v>
      </c>
      <c r="E97" t="s">
        <v>821</v>
      </c>
      <c r="F97">
        <v>4340</v>
      </c>
      <c r="H97" t="s">
        <v>770</v>
      </c>
      <c r="J97" t="str">
        <f>IF(COUNTIF(CCMA[material_name],C97)&gt;0,"O","X")</f>
        <v>X</v>
      </c>
      <c r="K97" t="str">
        <f>IF(COUNTIF(CEH[material_name],C97)&gt;0,"O","X")</f>
        <v>X</v>
      </c>
      <c r="L97" t="str">
        <f>IF(COUNTIF(표8[material_id],표2[[#This Row],[material_id]])&gt;0, "O", "X")</f>
        <v>X</v>
      </c>
      <c r="M97" t="str">
        <f>IF(COUNTIFS(표8[material_id],표2[[#This Row],[material_id]],표8[location],"울산")&gt;0, "O", "X")</f>
        <v>X</v>
      </c>
    </row>
    <row r="98" spans="1:13" x14ac:dyDescent="0.3">
      <c r="A98" t="s">
        <v>771</v>
      </c>
      <c r="B98" t="s">
        <v>559</v>
      </c>
      <c r="C98" s="23" t="s">
        <v>731</v>
      </c>
      <c r="D98" t="s">
        <v>24</v>
      </c>
      <c r="E98" t="s">
        <v>808</v>
      </c>
      <c r="F98">
        <v>2800</v>
      </c>
      <c r="H98" t="s">
        <v>1029</v>
      </c>
      <c r="J98" t="str">
        <f>IF(COUNTIF(CCMA[material_name],C98)&gt;0,"O","X")</f>
        <v>X</v>
      </c>
      <c r="K98" t="str">
        <f>IF(COUNTIF(CEH[material_name],C98)&gt;0,"O","X")</f>
        <v>X</v>
      </c>
      <c r="L98" t="str">
        <f>IF(COUNTIF(표8[material_id],표2[[#This Row],[material_id]])&gt;0, "O", "X")</f>
        <v>O</v>
      </c>
      <c r="M98" t="str">
        <f>IF(COUNTIFS(표8[material_id],표2[[#This Row],[material_id]],표8[location],"울산")&gt;0, "O", "X")</f>
        <v>X</v>
      </c>
    </row>
    <row r="99" spans="1:13" x14ac:dyDescent="0.3">
      <c r="A99" t="s">
        <v>779</v>
      </c>
      <c r="B99" t="s">
        <v>781</v>
      </c>
      <c r="C99" t="s">
        <v>780</v>
      </c>
      <c r="D99" t="s">
        <v>16</v>
      </c>
      <c r="E99" t="s">
        <v>844</v>
      </c>
      <c r="F99">
        <v>3800</v>
      </c>
      <c r="G99">
        <v>2910300000</v>
      </c>
      <c r="H99" t="s">
        <v>782</v>
      </c>
      <c r="J99" t="str">
        <f>IF(COUNTIF(CCMA[material_name],C99)&gt;0,"O","X")</f>
        <v>X</v>
      </c>
      <c r="K99" t="str">
        <f>IF(COUNTIF(CEH[material_name],C99)&gt;0,"O","X")</f>
        <v>X</v>
      </c>
      <c r="L99" t="str">
        <f>IF(COUNTIF(표8[material_id],표2[[#This Row],[material_id]])&gt;0, "O", "X")</f>
        <v>X</v>
      </c>
      <c r="M99" t="str">
        <f>IF(COUNTIFS(표8[material_id],표2[[#This Row],[material_id]],표8[location],"울산")&gt;0, "O", "X")</f>
        <v>X</v>
      </c>
    </row>
    <row r="100" spans="1:13" x14ac:dyDescent="0.3">
      <c r="A100" t="s">
        <v>783</v>
      </c>
      <c r="B100" t="s">
        <v>559</v>
      </c>
      <c r="C100" t="s">
        <v>784</v>
      </c>
      <c r="D100" t="s">
        <v>800</v>
      </c>
      <c r="E100" t="s">
        <v>845</v>
      </c>
      <c r="F100">
        <v>2390</v>
      </c>
      <c r="J100" t="str">
        <f>IF(COUNTIF(CCMA[material_name],C100)&gt;0,"O","X")</f>
        <v>X</v>
      </c>
      <c r="K100" t="str">
        <f>IF(COUNTIF(CEH[material_name],C100)&gt;0,"O","X")</f>
        <v>X</v>
      </c>
      <c r="L100" t="str">
        <f>IF(COUNTIF(표8[material_id],표2[[#This Row],[material_id]])&gt;0, "O", "X")</f>
        <v>X</v>
      </c>
      <c r="M100" t="str">
        <f>IF(COUNTIFS(표8[material_id],표2[[#This Row],[material_id]],표8[location],"울산")&gt;0, "O", "X")</f>
        <v>X</v>
      </c>
    </row>
    <row r="101" spans="1:13" x14ac:dyDescent="0.3">
      <c r="A101" t="s">
        <v>847</v>
      </c>
      <c r="B101" t="s">
        <v>463</v>
      </c>
      <c r="C101" t="s">
        <v>846</v>
      </c>
      <c r="D101" t="s">
        <v>500</v>
      </c>
      <c r="E101" t="s">
        <v>848</v>
      </c>
      <c r="F101">
        <v>6340</v>
      </c>
      <c r="G101">
        <v>2917121000</v>
      </c>
      <c r="J101" t="str">
        <f>IF(COUNTIF(CCMA[material_name],C101)&gt;0,"O","X")</f>
        <v>X</v>
      </c>
      <c r="K101" t="str">
        <f>IF(COUNTIF(CEH[material_name],C101)&gt;0,"O","X")</f>
        <v>O</v>
      </c>
      <c r="L101" t="str">
        <f>IF(COUNTIF(표8[material_id],표2[[#This Row],[material_id]])&gt;0, "O", "X")</f>
        <v>X</v>
      </c>
      <c r="M101" t="str">
        <f>IF(COUNTIFS(표8[material_id],표2[[#This Row],[material_id]],표8[location],"울산")&gt;0, "O", "X")</f>
        <v>X</v>
      </c>
    </row>
    <row r="102" spans="1:13" x14ac:dyDescent="0.3">
      <c r="A102" t="s">
        <v>852</v>
      </c>
      <c r="B102" s="1" t="s">
        <v>13</v>
      </c>
      <c r="C102" s="1" t="s">
        <v>853</v>
      </c>
      <c r="D102" t="s">
        <v>394</v>
      </c>
      <c r="E102" t="s">
        <v>854</v>
      </c>
      <c r="F102" s="1">
        <v>4320</v>
      </c>
      <c r="G102">
        <v>2901101000</v>
      </c>
      <c r="J102" t="str">
        <f>IF(COUNTIF(CCMA[material_name],C102)&gt;0,"O","X")</f>
        <v>X</v>
      </c>
      <c r="K102" t="str">
        <f>IF(COUNTIF(CEH[material_name],C102)&gt;0,"O","X")</f>
        <v>X</v>
      </c>
      <c r="L102" t="str">
        <f>IF(COUNTIF(표8[material_id],표2[[#This Row],[material_id]])&gt;0, "O", "X")</f>
        <v>X</v>
      </c>
      <c r="M102" t="str">
        <f>IF(COUNTIFS(표8[material_id],표2[[#This Row],[material_id]],표8[location],"울산")&gt;0, "O", "X")</f>
        <v>X</v>
      </c>
    </row>
    <row r="103" spans="1:13" x14ac:dyDescent="0.3">
      <c r="A103" t="s">
        <v>1030</v>
      </c>
      <c r="B103" s="1" t="s">
        <v>1033</v>
      </c>
      <c r="C103" s="1" t="s">
        <v>1037</v>
      </c>
      <c r="D103" t="s">
        <v>394</v>
      </c>
      <c r="E103" t="s">
        <v>1039</v>
      </c>
      <c r="F103" s="1">
        <v>9000</v>
      </c>
      <c r="G103">
        <v>2901242000</v>
      </c>
      <c r="J103" t="str">
        <f>IF(COUNTIF(CCMA[material_name],C103)&gt;0,"O","X")</f>
        <v>X</v>
      </c>
      <c r="K103" t="str">
        <f>IF(COUNTIF(CEH[material_name],C103)&gt;0,"O","X")</f>
        <v>O</v>
      </c>
      <c r="L103" t="str">
        <f>IF(COUNTIF(표8[material_id],표2[[#This Row],[material_id]])&gt;0, "O", "X")</f>
        <v>X</v>
      </c>
      <c r="M103" t="str">
        <f>IF(COUNTIFS(표8[material_id],표2[[#This Row],[material_id]],표8[location],"울산")&gt;0, "O", "X")</f>
        <v>X</v>
      </c>
    </row>
    <row r="104" spans="1:13" x14ac:dyDescent="0.3">
      <c r="A104" t="s">
        <v>1031</v>
      </c>
      <c r="B104" s="1" t="s">
        <v>1033</v>
      </c>
      <c r="C104" t="s">
        <v>1038</v>
      </c>
      <c r="D104" t="s">
        <v>394</v>
      </c>
      <c r="E104" t="s">
        <v>1039</v>
      </c>
      <c r="F104">
        <v>9100</v>
      </c>
      <c r="J104" t="str">
        <f>IF(COUNTIF(CCMA[material_name],C104)&gt;0,"O","X")</f>
        <v>X</v>
      </c>
      <c r="K104" t="str">
        <f>IF(COUNTIF(CEH[material_name],C104)&gt;0,"O","X")</f>
        <v>X</v>
      </c>
      <c r="L104" t="str">
        <f>IF(COUNTIF(표8[material_id],표2[[#This Row],[material_id]])&gt;0, "O", "X")</f>
        <v>X</v>
      </c>
      <c r="M104" t="str">
        <f>IF(COUNTIFS(표8[material_id],표2[[#This Row],[material_id]],표8[location],"울산")&gt;0, "O", "X")</f>
        <v>X</v>
      </c>
    </row>
    <row r="105" spans="1:13" x14ac:dyDescent="0.3">
      <c r="A105" t="s">
        <v>1032</v>
      </c>
      <c r="B105" s="1" t="s">
        <v>1033</v>
      </c>
      <c r="C105" t="s">
        <v>1041</v>
      </c>
      <c r="D105" t="s">
        <v>394</v>
      </c>
      <c r="E105" t="s">
        <v>1040</v>
      </c>
      <c r="F105">
        <v>9200</v>
      </c>
      <c r="H105" t="s">
        <v>1042</v>
      </c>
      <c r="J105" t="str">
        <f>IF(COUNTIF(CCMA[material_name],C105)&gt;0,"O","X")</f>
        <v>X</v>
      </c>
      <c r="K105" t="str">
        <f>IF(COUNTIF(CEH[material_name],C105)&gt;0,"O","X")</f>
        <v>X</v>
      </c>
      <c r="L105" t="str">
        <f>IF(COUNTIF(표8[material_id],표2[[#This Row],[material_id]])&gt;0, "O", "X")</f>
        <v>X</v>
      </c>
      <c r="M105" t="str">
        <f>IF(COUNTIFS(표8[material_id],표2[[#This Row],[material_id]],표8[location],"울산")&gt;0, "O", "X")</f>
        <v>X</v>
      </c>
    </row>
    <row r="106" spans="1:13" x14ac:dyDescent="0.3">
      <c r="A106" t="s">
        <v>1050</v>
      </c>
      <c r="B106" s="1" t="s">
        <v>1033</v>
      </c>
      <c r="C106" t="s">
        <v>1043</v>
      </c>
      <c r="D106" t="s">
        <v>1044</v>
      </c>
      <c r="E106" t="s">
        <v>1045</v>
      </c>
      <c r="F106">
        <v>9010</v>
      </c>
      <c r="G106">
        <v>4002600000</v>
      </c>
      <c r="H106" t="s">
        <v>1047</v>
      </c>
      <c r="J106" t="str">
        <f>IF(COUNTIF(CCMA[material_name],C106)&gt;0,"O","X")</f>
        <v>X</v>
      </c>
      <c r="K106" t="str">
        <f>IF(COUNTIF(CEH[material_name],C106)&gt;0,"O","X")</f>
        <v>X</v>
      </c>
      <c r="L106" t="str">
        <f>IF(COUNTIF(표8[material_id],표2[[#This Row],[material_id]])&gt;0, "O", "X")</f>
        <v>X</v>
      </c>
      <c r="M106" t="str">
        <f>IF(COUNTIFS(표8[material_id],표2[[#This Row],[material_id]],표8[location],"울산")&gt;0, "O", "X")</f>
        <v>X</v>
      </c>
    </row>
    <row r="107" spans="1:13" x14ac:dyDescent="0.3">
      <c r="A107" t="s">
        <v>1051</v>
      </c>
      <c r="B107" s="1" t="s">
        <v>1033</v>
      </c>
      <c r="C107" t="s">
        <v>1046</v>
      </c>
      <c r="D107" t="s">
        <v>1044</v>
      </c>
      <c r="E107" t="s">
        <v>1045</v>
      </c>
      <c r="F107">
        <v>9020</v>
      </c>
      <c r="H107" t="s">
        <v>1048</v>
      </c>
      <c r="J107" t="str">
        <f>IF(COUNTIF(CCMA[material_name],C107)&gt;0,"O","X")</f>
        <v>X</v>
      </c>
      <c r="K107" t="str">
        <f>IF(COUNTIF(CEH[material_name],C107)&gt;0,"O","X")</f>
        <v>X</v>
      </c>
      <c r="L107" t="str">
        <f>IF(COUNTIF(표8[material_id],표2[[#This Row],[material_id]])&gt;0, "O", "X")</f>
        <v>X</v>
      </c>
      <c r="M107" t="str">
        <f>IF(COUNTIFS(표8[material_id],표2[[#This Row],[material_id]],표8[location],"울산")&gt;0, "O", "X")</f>
        <v>X</v>
      </c>
    </row>
    <row r="108" spans="1:13" x14ac:dyDescent="0.3">
      <c r="A108" t="s">
        <v>1072</v>
      </c>
      <c r="B108" t="s">
        <v>781</v>
      </c>
      <c r="C108" s="23" t="s">
        <v>1073</v>
      </c>
      <c r="D108" t="s">
        <v>16</v>
      </c>
      <c r="E108" t="s">
        <v>804</v>
      </c>
      <c r="F108">
        <v>3600</v>
      </c>
      <c r="J108" t="str">
        <f>IF(COUNTIF(CCMA[material_name],C108)&gt;0,"O","X")</f>
        <v>X</v>
      </c>
      <c r="K108" t="str">
        <f>IF(COUNTIF(CEH[material_name],C108)&gt;0,"O","X")</f>
        <v>O</v>
      </c>
      <c r="L108" t="str">
        <f>IF(COUNTIF(표8[material_id],표2[[#This Row],[material_id]])&gt;0, "O", "X")</f>
        <v>O</v>
      </c>
      <c r="M108" t="str">
        <f>IF(COUNTIFS(표8[material_id],표2[[#This Row],[material_id]],표8[location],"울산")&gt;0, "O", "X")</f>
        <v>X</v>
      </c>
    </row>
    <row r="109" spans="1:13" x14ac:dyDescent="0.3">
      <c r="A109" t="s">
        <v>1097</v>
      </c>
      <c r="B109" t="s">
        <v>1033</v>
      </c>
      <c r="C109" t="s">
        <v>1091</v>
      </c>
      <c r="D109" t="s">
        <v>800</v>
      </c>
      <c r="E109" t="s">
        <v>1034</v>
      </c>
      <c r="F109">
        <v>9210</v>
      </c>
      <c r="J109" t="str">
        <f>IF(COUNTIF(CCMA[material_name],C109)&gt;0,"O","X")</f>
        <v>X</v>
      </c>
      <c r="K109" t="str">
        <f>IF(COUNTIF(CEH[material_name],C109)&gt;0,"O","X")</f>
        <v>X</v>
      </c>
      <c r="L109" t="str">
        <f>IF(COUNTIF(표8[material_id],표2[[#This Row],[material_id]])&gt;0, "O", "X")</f>
        <v>X</v>
      </c>
      <c r="M109" t="str">
        <f>IF(COUNTIFS(표8[material_id],표2[[#This Row],[material_id]],표8[location],"울산")&gt;0, "O", "X")</f>
        <v>X</v>
      </c>
    </row>
    <row r="110" spans="1:13" x14ac:dyDescent="0.3">
      <c r="A110" t="s">
        <v>1098</v>
      </c>
      <c r="B110" t="s">
        <v>1033</v>
      </c>
      <c r="C110" t="s">
        <v>1092</v>
      </c>
      <c r="D110" t="s">
        <v>800</v>
      </c>
      <c r="E110" t="s">
        <v>828</v>
      </c>
      <c r="F110">
        <v>9220</v>
      </c>
      <c r="H110" t="s">
        <v>1102</v>
      </c>
      <c r="J110" t="str">
        <f>IF(COUNTIF(CCMA[material_name],C110)&gt;0,"O","X")</f>
        <v>X</v>
      </c>
      <c r="K110" t="str">
        <f>IF(COUNTIF(CEH[material_name],C110)&gt;0,"O","X")</f>
        <v>X</v>
      </c>
      <c r="L110" t="str">
        <f>IF(COUNTIF(표8[material_id],표2[[#This Row],[material_id]])&gt;0, "O", "X")</f>
        <v>X</v>
      </c>
      <c r="M110" t="str">
        <f>IF(COUNTIFS(표8[material_id],표2[[#This Row],[material_id]],표8[location],"울산")&gt;0, "O", "X")</f>
        <v>X</v>
      </c>
    </row>
    <row r="111" spans="1:13" x14ac:dyDescent="0.3">
      <c r="A111" t="s">
        <v>1099</v>
      </c>
      <c r="B111" t="s">
        <v>1033</v>
      </c>
      <c r="C111" t="s">
        <v>1093</v>
      </c>
      <c r="D111" t="s">
        <v>16</v>
      </c>
      <c r="E111" t="s">
        <v>1035</v>
      </c>
      <c r="F111">
        <v>9230</v>
      </c>
      <c r="H111" t="s">
        <v>1103</v>
      </c>
      <c r="J111" t="str">
        <f>IF(COUNTIF(CCMA[material_name],C111)&gt;0,"O","X")</f>
        <v>X</v>
      </c>
      <c r="K111" t="str">
        <f>IF(COUNTIF(CEH[material_name],C111)&gt;0,"O","X")</f>
        <v>X</v>
      </c>
      <c r="L111" t="str">
        <f>IF(COUNTIF(표8[material_id],표2[[#This Row],[material_id]])&gt;0, "O", "X")</f>
        <v>X</v>
      </c>
      <c r="M111" t="str">
        <f>IF(COUNTIFS(표8[material_id],표2[[#This Row],[material_id]],표8[location],"울산")&gt;0, "O", "X")</f>
        <v>X</v>
      </c>
    </row>
    <row r="112" spans="1:13" x14ac:dyDescent="0.3">
      <c r="A112" t="s">
        <v>1100</v>
      </c>
      <c r="B112" t="s">
        <v>1033</v>
      </c>
      <c r="C112" t="s">
        <v>1094</v>
      </c>
      <c r="D112" s="1" t="s">
        <v>24</v>
      </c>
      <c r="E112" s="1" t="s">
        <v>828</v>
      </c>
      <c r="F112">
        <v>9240</v>
      </c>
      <c r="J112" t="str">
        <f>IF(COUNTIF(CCMA[material_name],C112)&gt;0,"O","X")</f>
        <v>X</v>
      </c>
      <c r="K112" t="str">
        <f>IF(COUNTIF(CEH[material_name],C112)&gt;0,"O","X")</f>
        <v>X</v>
      </c>
      <c r="L112" t="str">
        <f>IF(COUNTIF(표8[material_id],표2[[#This Row],[material_id]])&gt;0, "O", "X")</f>
        <v>X</v>
      </c>
      <c r="M112" t="str">
        <f>IF(COUNTIFS(표8[material_id],표2[[#This Row],[material_id]],표8[location],"울산")&gt;0, "O", "X")</f>
        <v>X</v>
      </c>
    </row>
    <row r="113" spans="1:13" x14ac:dyDescent="0.3">
      <c r="A113" t="s">
        <v>1101</v>
      </c>
      <c r="B113" t="s">
        <v>1033</v>
      </c>
      <c r="C113" t="s">
        <v>1095</v>
      </c>
      <c r="D113" s="1" t="s">
        <v>24</v>
      </c>
      <c r="E113" s="1" t="s">
        <v>1036</v>
      </c>
      <c r="F113">
        <v>9250</v>
      </c>
      <c r="H113" t="s">
        <v>1096</v>
      </c>
      <c r="J113" t="str">
        <f>IF(COUNTIF(CCMA[material_name],C113)&gt;0,"O","X")</f>
        <v>X</v>
      </c>
      <c r="K113" t="str">
        <f>IF(COUNTIF(CEH[material_name],C113)&gt;0,"O","X")</f>
        <v>X</v>
      </c>
      <c r="L113" t="str">
        <f>IF(COUNTIF(표8[material_id],표2[[#This Row],[material_id]])&gt;0, "O", "X")</f>
        <v>X</v>
      </c>
      <c r="M113" t="str">
        <f>IF(COUNTIFS(표8[material_id],표2[[#This Row],[material_id]],표8[location],"울산")&gt;0, "O", "X")</f>
        <v>X</v>
      </c>
    </row>
    <row r="114" spans="1:13" x14ac:dyDescent="0.3">
      <c r="A114" t="s">
        <v>1104</v>
      </c>
      <c r="B114" t="s">
        <v>1033</v>
      </c>
      <c r="C114" t="s">
        <v>1120</v>
      </c>
      <c r="D114" t="s">
        <v>1121</v>
      </c>
      <c r="E114" t="s">
        <v>1122</v>
      </c>
      <c r="F114">
        <v>9110</v>
      </c>
      <c r="J114" s="29" t="str">
        <f>IF(COUNTIF(CCMA[material_name],C114)&gt;0,"O","X")</f>
        <v>X</v>
      </c>
      <c r="K114" s="30" t="str">
        <f>IF(COUNTIF(CEH[material_name],C114)&gt;0,"O","X")</f>
        <v>X</v>
      </c>
      <c r="L114" s="31" t="str">
        <f>IF(COUNTIF(표8[material_id],표2[[#This Row],[material_id]])&gt;0, "O", "X")</f>
        <v>X</v>
      </c>
      <c r="M114" s="31" t="str">
        <f>IF(COUNTIFS(표8[material_id],표2[[#This Row],[material_id]],표8[location],"울산")&gt;0, "O", "X")</f>
        <v>X</v>
      </c>
    </row>
  </sheetData>
  <phoneticPr fontId="1" type="noConversion"/>
  <pageMargins left="0.7" right="0.7" top="0.75" bottom="0.75" header="0.3" footer="0.3"/>
  <headerFooter>
    <oddFooter>&amp;L_x000D_&amp;1#&amp;"Aptos"&amp;11&amp;K000000 S-OIL: General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5547-6CA4-43C0-947A-5034E027DB5A}">
  <dimension ref="A1:E103"/>
  <sheetViews>
    <sheetView zoomScale="85" zoomScaleNormal="85" workbookViewId="0">
      <selection activeCell="A45" sqref="A45"/>
    </sheetView>
  </sheetViews>
  <sheetFormatPr defaultRowHeight="16.5" x14ac:dyDescent="0.3"/>
  <cols>
    <col min="1" max="1" width="10.875" bestFit="1" customWidth="1"/>
    <col min="2" max="2" width="45.875" bestFit="1" customWidth="1"/>
    <col min="3" max="3" width="28.75" bestFit="1" customWidth="1"/>
    <col min="4" max="4" width="13" customWidth="1"/>
    <col min="5" max="5" width="44" bestFit="1" customWidth="1"/>
  </cols>
  <sheetData>
    <row r="1" spans="1:5" x14ac:dyDescent="0.3">
      <c r="A1" t="s">
        <v>258</v>
      </c>
      <c r="B1" t="s">
        <v>141</v>
      </c>
      <c r="C1" t="s">
        <v>142</v>
      </c>
      <c r="D1" t="s">
        <v>143</v>
      </c>
      <c r="E1" t="s">
        <v>144</v>
      </c>
    </row>
    <row r="2" spans="1:5" x14ac:dyDescent="0.3">
      <c r="A2" t="s">
        <v>145</v>
      </c>
      <c r="B2" t="s">
        <v>146</v>
      </c>
      <c r="C2" t="s">
        <v>147</v>
      </c>
      <c r="D2">
        <v>1</v>
      </c>
    </row>
    <row r="3" spans="1:5" x14ac:dyDescent="0.3">
      <c r="A3" t="s">
        <v>148</v>
      </c>
      <c r="B3" t="s">
        <v>149</v>
      </c>
      <c r="C3" t="s">
        <v>147</v>
      </c>
      <c r="D3">
        <v>1</v>
      </c>
    </row>
    <row r="4" spans="1:5" x14ac:dyDescent="0.3">
      <c r="A4" t="s">
        <v>150</v>
      </c>
      <c r="B4" t="s">
        <v>151</v>
      </c>
      <c r="C4" t="s">
        <v>147</v>
      </c>
      <c r="D4">
        <v>1</v>
      </c>
      <c r="E4" t="s">
        <v>152</v>
      </c>
    </row>
    <row r="5" spans="1:5" x14ac:dyDescent="0.3">
      <c r="A5" t="s">
        <v>153</v>
      </c>
      <c r="B5" t="s">
        <v>511</v>
      </c>
      <c r="C5" t="s">
        <v>154</v>
      </c>
      <c r="D5">
        <v>1</v>
      </c>
    </row>
    <row r="6" spans="1:5" x14ac:dyDescent="0.3">
      <c r="A6" t="s">
        <v>155</v>
      </c>
      <c r="B6" t="s">
        <v>512</v>
      </c>
      <c r="C6" t="s">
        <v>156</v>
      </c>
      <c r="D6">
        <v>2</v>
      </c>
    </row>
    <row r="7" spans="1:5" x14ac:dyDescent="0.3">
      <c r="A7" t="s">
        <v>157</v>
      </c>
      <c r="B7" t="s">
        <v>513</v>
      </c>
      <c r="C7" t="s">
        <v>147</v>
      </c>
      <c r="D7">
        <v>3</v>
      </c>
    </row>
    <row r="8" spans="1:5" x14ac:dyDescent="0.3">
      <c r="A8" t="s">
        <v>158</v>
      </c>
      <c r="B8" t="s">
        <v>514</v>
      </c>
      <c r="C8" t="s">
        <v>159</v>
      </c>
      <c r="D8">
        <v>1</v>
      </c>
    </row>
    <row r="9" spans="1:5" x14ac:dyDescent="0.3">
      <c r="A9" t="s">
        <v>160</v>
      </c>
      <c r="B9" t="s">
        <v>515</v>
      </c>
      <c r="C9" t="s">
        <v>161</v>
      </c>
      <c r="D9">
        <v>2</v>
      </c>
    </row>
    <row r="10" spans="1:5" x14ac:dyDescent="0.3">
      <c r="A10" t="s">
        <v>162</v>
      </c>
      <c r="B10" t="s">
        <v>516</v>
      </c>
      <c r="C10" t="s">
        <v>163</v>
      </c>
      <c r="D10">
        <v>2</v>
      </c>
      <c r="E10" t="s">
        <v>164</v>
      </c>
    </row>
    <row r="11" spans="1:5" x14ac:dyDescent="0.3">
      <c r="A11" t="s">
        <v>165</v>
      </c>
      <c r="B11" t="s">
        <v>166</v>
      </c>
      <c r="C11" t="s">
        <v>167</v>
      </c>
      <c r="D11">
        <v>3</v>
      </c>
      <c r="E11" t="s">
        <v>168</v>
      </c>
    </row>
    <row r="12" spans="1:5" x14ac:dyDescent="0.3">
      <c r="A12" t="s">
        <v>169</v>
      </c>
      <c r="B12" t="s">
        <v>170</v>
      </c>
      <c r="C12" t="s">
        <v>167</v>
      </c>
      <c r="D12">
        <v>3</v>
      </c>
      <c r="E12" t="s">
        <v>168</v>
      </c>
    </row>
    <row r="13" spans="1:5" x14ac:dyDescent="0.3">
      <c r="A13" t="s">
        <v>171</v>
      </c>
      <c r="B13" t="s">
        <v>172</v>
      </c>
      <c r="C13" t="s">
        <v>167</v>
      </c>
      <c r="D13">
        <v>3</v>
      </c>
      <c r="E13" t="s">
        <v>168</v>
      </c>
    </row>
    <row r="14" spans="1:5" x14ac:dyDescent="0.3">
      <c r="A14" t="s">
        <v>173</v>
      </c>
      <c r="B14" t="s">
        <v>174</v>
      </c>
      <c r="C14" t="s">
        <v>161</v>
      </c>
      <c r="D14">
        <v>1</v>
      </c>
    </row>
    <row r="15" spans="1:5" x14ac:dyDescent="0.3">
      <c r="A15" t="s">
        <v>175</v>
      </c>
      <c r="B15" t="s">
        <v>176</v>
      </c>
      <c r="C15" t="s">
        <v>159</v>
      </c>
      <c r="D15">
        <v>1</v>
      </c>
    </row>
    <row r="16" spans="1:5" x14ac:dyDescent="0.3">
      <c r="A16" t="s">
        <v>177</v>
      </c>
      <c r="B16" t="s">
        <v>178</v>
      </c>
      <c r="C16" t="s">
        <v>163</v>
      </c>
      <c r="D16">
        <v>1</v>
      </c>
      <c r="E16" t="s">
        <v>179</v>
      </c>
    </row>
    <row r="17" spans="1:5" x14ac:dyDescent="0.3">
      <c r="A17" t="s">
        <v>180</v>
      </c>
      <c r="B17" t="s">
        <v>517</v>
      </c>
      <c r="C17" t="s">
        <v>181</v>
      </c>
      <c r="D17">
        <v>1</v>
      </c>
    </row>
    <row r="18" spans="1:5" x14ac:dyDescent="0.3">
      <c r="A18" t="s">
        <v>182</v>
      </c>
      <c r="B18" t="s">
        <v>183</v>
      </c>
      <c r="C18" t="s">
        <v>184</v>
      </c>
      <c r="D18">
        <v>2</v>
      </c>
    </row>
    <row r="19" spans="1:5" x14ac:dyDescent="0.3">
      <c r="A19" t="s">
        <v>185</v>
      </c>
      <c r="B19" t="s">
        <v>518</v>
      </c>
      <c r="C19" t="s">
        <v>184</v>
      </c>
      <c r="D19">
        <v>2</v>
      </c>
      <c r="E19" t="s">
        <v>186</v>
      </c>
    </row>
    <row r="20" spans="1:5" x14ac:dyDescent="0.3">
      <c r="A20" t="s">
        <v>187</v>
      </c>
      <c r="B20" t="s">
        <v>519</v>
      </c>
      <c r="C20" t="s">
        <v>147</v>
      </c>
      <c r="D20">
        <v>1</v>
      </c>
    </row>
    <row r="21" spans="1:5" x14ac:dyDescent="0.3">
      <c r="A21" t="s">
        <v>188</v>
      </c>
      <c r="B21" t="s">
        <v>520</v>
      </c>
      <c r="C21" t="s">
        <v>159</v>
      </c>
      <c r="D21">
        <v>1</v>
      </c>
    </row>
    <row r="22" spans="1:5" x14ac:dyDescent="0.3">
      <c r="A22" t="s">
        <v>189</v>
      </c>
      <c r="B22" t="s">
        <v>521</v>
      </c>
      <c r="C22" t="s">
        <v>161</v>
      </c>
      <c r="D22">
        <v>2</v>
      </c>
    </row>
    <row r="23" spans="1:5" x14ac:dyDescent="0.3">
      <c r="A23" t="s">
        <v>190</v>
      </c>
      <c r="B23" t="s">
        <v>522</v>
      </c>
      <c r="C23" t="s">
        <v>191</v>
      </c>
      <c r="D23">
        <v>2</v>
      </c>
    </row>
    <row r="24" spans="1:5" x14ac:dyDescent="0.3">
      <c r="A24" t="s">
        <v>192</v>
      </c>
      <c r="B24" t="s">
        <v>523</v>
      </c>
      <c r="C24" t="s">
        <v>191</v>
      </c>
      <c r="D24">
        <v>2</v>
      </c>
      <c r="E24" t="s">
        <v>164</v>
      </c>
    </row>
    <row r="25" spans="1:5" x14ac:dyDescent="0.3">
      <c r="A25" t="s">
        <v>193</v>
      </c>
      <c r="B25" t="s">
        <v>524</v>
      </c>
      <c r="C25" t="s">
        <v>147</v>
      </c>
      <c r="D25">
        <v>3</v>
      </c>
    </row>
    <row r="26" spans="1:5" x14ac:dyDescent="0.3">
      <c r="A26" t="s">
        <v>194</v>
      </c>
      <c r="B26" t="s">
        <v>525</v>
      </c>
      <c r="C26" t="s">
        <v>195</v>
      </c>
      <c r="D26">
        <v>1</v>
      </c>
    </row>
    <row r="27" spans="1:5" x14ac:dyDescent="0.3">
      <c r="A27" t="s">
        <v>196</v>
      </c>
      <c r="B27" t="s">
        <v>526</v>
      </c>
      <c r="C27" t="s">
        <v>147</v>
      </c>
      <c r="D27">
        <v>2</v>
      </c>
      <c r="E27" t="s">
        <v>186</v>
      </c>
    </row>
    <row r="28" spans="1:5" x14ac:dyDescent="0.3">
      <c r="A28" t="s">
        <v>197</v>
      </c>
      <c r="B28" t="s">
        <v>527</v>
      </c>
      <c r="C28" t="s">
        <v>147</v>
      </c>
      <c r="D28">
        <v>2</v>
      </c>
      <c r="E28" t="s">
        <v>186</v>
      </c>
    </row>
    <row r="29" spans="1:5" x14ac:dyDescent="0.3">
      <c r="A29" t="s">
        <v>198</v>
      </c>
      <c r="B29" t="s">
        <v>528</v>
      </c>
      <c r="C29" t="s">
        <v>147</v>
      </c>
      <c r="D29">
        <v>2</v>
      </c>
      <c r="E29" t="s">
        <v>186</v>
      </c>
    </row>
    <row r="30" spans="1:5" x14ac:dyDescent="0.3">
      <c r="A30" t="s">
        <v>199</v>
      </c>
      <c r="B30" t="s">
        <v>200</v>
      </c>
      <c r="C30" t="s">
        <v>159</v>
      </c>
      <c r="D30">
        <v>1</v>
      </c>
    </row>
    <row r="31" spans="1:5" x14ac:dyDescent="0.3">
      <c r="A31" t="s">
        <v>201</v>
      </c>
      <c r="B31" t="s">
        <v>529</v>
      </c>
      <c r="C31" t="s">
        <v>383</v>
      </c>
      <c r="D31">
        <v>1</v>
      </c>
    </row>
    <row r="32" spans="1:5" x14ac:dyDescent="0.3">
      <c r="A32" t="s">
        <v>202</v>
      </c>
      <c r="B32" t="s">
        <v>1127</v>
      </c>
      <c r="C32" t="s">
        <v>184</v>
      </c>
      <c r="D32">
        <v>2</v>
      </c>
      <c r="E32" t="s">
        <v>1128</v>
      </c>
    </row>
    <row r="33" spans="1:5" x14ac:dyDescent="0.3">
      <c r="A33" t="s">
        <v>203</v>
      </c>
      <c r="B33" t="s">
        <v>532</v>
      </c>
      <c r="C33" t="s">
        <v>147</v>
      </c>
      <c r="D33">
        <v>2</v>
      </c>
      <c r="E33" t="s">
        <v>179</v>
      </c>
    </row>
    <row r="34" spans="1:5" x14ac:dyDescent="0.3">
      <c r="A34" t="s">
        <v>204</v>
      </c>
      <c r="B34" t="s">
        <v>1076</v>
      </c>
      <c r="C34" t="s">
        <v>1077</v>
      </c>
      <c r="D34">
        <v>1</v>
      </c>
    </row>
    <row r="35" spans="1:5" x14ac:dyDescent="0.3">
      <c r="A35" t="s">
        <v>206</v>
      </c>
      <c r="B35" t="s">
        <v>207</v>
      </c>
      <c r="C35" t="s">
        <v>208</v>
      </c>
      <c r="D35">
        <v>2</v>
      </c>
    </row>
    <row r="36" spans="1:5" x14ac:dyDescent="0.3">
      <c r="A36" t="s">
        <v>209</v>
      </c>
      <c r="B36" t="s">
        <v>1075</v>
      </c>
      <c r="C36" t="s">
        <v>208</v>
      </c>
      <c r="D36">
        <v>2</v>
      </c>
    </row>
    <row r="37" spans="1:5" x14ac:dyDescent="0.3">
      <c r="A37" t="s">
        <v>210</v>
      </c>
      <c r="B37" t="s">
        <v>211</v>
      </c>
      <c r="C37" t="s">
        <v>600</v>
      </c>
      <c r="D37">
        <v>2</v>
      </c>
      <c r="E37" t="s">
        <v>179</v>
      </c>
    </row>
    <row r="38" spans="1:5" x14ac:dyDescent="0.3">
      <c r="A38" t="s">
        <v>212</v>
      </c>
      <c r="B38" t="s">
        <v>213</v>
      </c>
      <c r="C38" t="s">
        <v>184</v>
      </c>
      <c r="D38">
        <v>3</v>
      </c>
    </row>
    <row r="39" spans="1:5" x14ac:dyDescent="0.3">
      <c r="A39" t="s">
        <v>214</v>
      </c>
      <c r="B39" t="s">
        <v>215</v>
      </c>
      <c r="C39" t="s">
        <v>184</v>
      </c>
      <c r="D39">
        <v>3</v>
      </c>
    </row>
    <row r="40" spans="1:5" x14ac:dyDescent="0.3">
      <c r="A40" t="s">
        <v>216</v>
      </c>
      <c r="B40" t="s">
        <v>529</v>
      </c>
      <c r="C40" t="s">
        <v>161</v>
      </c>
      <c r="D40">
        <v>1</v>
      </c>
    </row>
    <row r="41" spans="1:5" x14ac:dyDescent="0.3">
      <c r="A41" t="s">
        <v>217</v>
      </c>
      <c r="B41" t="s">
        <v>551</v>
      </c>
      <c r="C41" t="s">
        <v>184</v>
      </c>
      <c r="D41">
        <v>2</v>
      </c>
    </row>
    <row r="42" spans="1:5" x14ac:dyDescent="0.3">
      <c r="A42" t="s">
        <v>218</v>
      </c>
      <c r="B42" t="s">
        <v>219</v>
      </c>
      <c r="C42" t="s">
        <v>147</v>
      </c>
      <c r="D42">
        <v>1</v>
      </c>
    </row>
    <row r="43" spans="1:5" x14ac:dyDescent="0.3">
      <c r="A43" t="s">
        <v>220</v>
      </c>
      <c r="B43" t="s">
        <v>221</v>
      </c>
      <c r="C43" t="s">
        <v>147</v>
      </c>
      <c r="D43">
        <v>2</v>
      </c>
      <c r="E43" t="s">
        <v>186</v>
      </c>
    </row>
    <row r="44" spans="1:5" x14ac:dyDescent="0.3">
      <c r="A44" t="s">
        <v>222</v>
      </c>
      <c r="B44" t="s">
        <v>533</v>
      </c>
      <c r="C44" t="s">
        <v>147</v>
      </c>
      <c r="D44">
        <v>1</v>
      </c>
    </row>
    <row r="45" spans="1:5" x14ac:dyDescent="0.3">
      <c r="A45" t="s">
        <v>223</v>
      </c>
      <c r="B45" t="s">
        <v>224</v>
      </c>
      <c r="C45" t="s">
        <v>147</v>
      </c>
      <c r="D45">
        <v>1</v>
      </c>
      <c r="E45" t="s">
        <v>681</v>
      </c>
    </row>
    <row r="46" spans="1:5" x14ac:dyDescent="0.3">
      <c r="A46" t="s">
        <v>225</v>
      </c>
      <c r="B46" t="s">
        <v>226</v>
      </c>
      <c r="C46" t="s">
        <v>227</v>
      </c>
      <c r="D46">
        <v>1</v>
      </c>
    </row>
    <row r="47" spans="1:5" x14ac:dyDescent="0.3">
      <c r="A47" t="s">
        <v>228</v>
      </c>
      <c r="B47" t="s">
        <v>229</v>
      </c>
      <c r="C47" t="s">
        <v>227</v>
      </c>
      <c r="D47">
        <v>1</v>
      </c>
    </row>
    <row r="48" spans="1:5" x14ac:dyDescent="0.3">
      <c r="A48" t="s">
        <v>230</v>
      </c>
      <c r="B48" t="s">
        <v>534</v>
      </c>
      <c r="C48" t="s">
        <v>147</v>
      </c>
      <c r="D48">
        <v>2</v>
      </c>
    </row>
    <row r="49" spans="1:5" x14ac:dyDescent="0.3">
      <c r="A49" t="s">
        <v>231</v>
      </c>
      <c r="B49" t="s">
        <v>560</v>
      </c>
      <c r="C49" t="s">
        <v>232</v>
      </c>
      <c r="D49">
        <v>1</v>
      </c>
      <c r="E49" t="s">
        <v>186</v>
      </c>
    </row>
    <row r="50" spans="1:5" x14ac:dyDescent="0.3">
      <c r="A50" t="s">
        <v>233</v>
      </c>
      <c r="B50" t="s">
        <v>234</v>
      </c>
      <c r="C50" t="s">
        <v>235</v>
      </c>
      <c r="D50">
        <v>1</v>
      </c>
    </row>
    <row r="51" spans="1:5" x14ac:dyDescent="0.3">
      <c r="A51" t="s">
        <v>236</v>
      </c>
      <c r="B51" t="s">
        <v>237</v>
      </c>
      <c r="C51" t="s">
        <v>238</v>
      </c>
      <c r="D51">
        <v>2</v>
      </c>
    </row>
    <row r="52" spans="1:5" x14ac:dyDescent="0.3">
      <c r="A52" t="s">
        <v>239</v>
      </c>
      <c r="B52" t="s">
        <v>535</v>
      </c>
      <c r="C52" t="s">
        <v>147</v>
      </c>
      <c r="D52">
        <v>3</v>
      </c>
    </row>
    <row r="53" spans="1:5" x14ac:dyDescent="0.3">
      <c r="A53" t="s">
        <v>240</v>
      </c>
      <c r="B53" t="s">
        <v>241</v>
      </c>
      <c r="C53" t="s">
        <v>235</v>
      </c>
      <c r="D53">
        <v>1</v>
      </c>
      <c r="E53" t="s">
        <v>186</v>
      </c>
    </row>
    <row r="54" spans="1:5" x14ac:dyDescent="0.3">
      <c r="A54" t="s">
        <v>242</v>
      </c>
      <c r="B54" t="s">
        <v>243</v>
      </c>
      <c r="C54" t="s">
        <v>244</v>
      </c>
      <c r="D54">
        <v>2</v>
      </c>
      <c r="E54" t="s">
        <v>245</v>
      </c>
    </row>
    <row r="55" spans="1:5" x14ac:dyDescent="0.3">
      <c r="A55" t="s">
        <v>246</v>
      </c>
      <c r="B55" t="s">
        <v>572</v>
      </c>
      <c r="C55" t="s">
        <v>247</v>
      </c>
      <c r="D55">
        <v>3</v>
      </c>
    </row>
    <row r="56" spans="1:5" x14ac:dyDescent="0.3">
      <c r="A56" t="s">
        <v>248</v>
      </c>
      <c r="B56" t="s">
        <v>536</v>
      </c>
      <c r="C56" t="s">
        <v>147</v>
      </c>
      <c r="D56">
        <v>4</v>
      </c>
    </row>
    <row r="57" spans="1:5" x14ac:dyDescent="0.3">
      <c r="A57" t="s">
        <v>249</v>
      </c>
      <c r="B57" t="s">
        <v>250</v>
      </c>
      <c r="C57" t="s">
        <v>251</v>
      </c>
      <c r="D57">
        <v>4</v>
      </c>
    </row>
    <row r="58" spans="1:5" x14ac:dyDescent="0.3">
      <c r="A58" t="s">
        <v>252</v>
      </c>
      <c r="B58" t="s">
        <v>253</v>
      </c>
      <c r="C58" t="s">
        <v>208</v>
      </c>
      <c r="D58">
        <v>1</v>
      </c>
    </row>
    <row r="59" spans="1:5" x14ac:dyDescent="0.3">
      <c r="A59" t="s">
        <v>254</v>
      </c>
      <c r="B59" t="s">
        <v>255</v>
      </c>
      <c r="C59" t="s">
        <v>163</v>
      </c>
      <c r="D59">
        <v>1</v>
      </c>
      <c r="E59" t="s">
        <v>256</v>
      </c>
    </row>
    <row r="60" spans="1:5" x14ac:dyDescent="0.3">
      <c r="A60" t="s">
        <v>257</v>
      </c>
      <c r="B60" t="s">
        <v>390</v>
      </c>
      <c r="C60" t="s">
        <v>235</v>
      </c>
      <c r="D60">
        <v>1</v>
      </c>
    </row>
    <row r="61" spans="1:5" x14ac:dyDescent="0.3">
      <c r="A61" t="s">
        <v>381</v>
      </c>
      <c r="B61" t="s">
        <v>382</v>
      </c>
      <c r="C61" t="s">
        <v>383</v>
      </c>
      <c r="D61">
        <v>3</v>
      </c>
    </row>
    <row r="62" spans="1:5" x14ac:dyDescent="0.3">
      <c r="A62" t="s">
        <v>510</v>
      </c>
      <c r="B62" t="s">
        <v>509</v>
      </c>
      <c r="C62" t="s">
        <v>508</v>
      </c>
      <c r="D62">
        <v>4</v>
      </c>
    </row>
    <row r="63" spans="1:5" x14ac:dyDescent="0.3">
      <c r="A63" t="s">
        <v>561</v>
      </c>
      <c r="B63" t="s">
        <v>564</v>
      </c>
      <c r="C63" t="s">
        <v>567</v>
      </c>
      <c r="D63">
        <v>2</v>
      </c>
      <c r="E63" t="s">
        <v>770</v>
      </c>
    </row>
    <row r="64" spans="1:5" x14ac:dyDescent="0.3">
      <c r="A64" t="s">
        <v>562</v>
      </c>
      <c r="B64" t="s">
        <v>565</v>
      </c>
      <c r="C64" t="s">
        <v>567</v>
      </c>
      <c r="D64">
        <v>1</v>
      </c>
      <c r="E64" t="s">
        <v>568</v>
      </c>
    </row>
    <row r="65" spans="1:5" x14ac:dyDescent="0.3">
      <c r="A65" t="s">
        <v>563</v>
      </c>
      <c r="B65" t="s">
        <v>574</v>
      </c>
      <c r="C65" t="s">
        <v>575</v>
      </c>
      <c r="D65">
        <v>2</v>
      </c>
    </row>
    <row r="66" spans="1:5" x14ac:dyDescent="0.3">
      <c r="A66" t="s">
        <v>566</v>
      </c>
      <c r="B66" t="s">
        <v>603</v>
      </c>
      <c r="C66" t="s">
        <v>604</v>
      </c>
      <c r="D66">
        <v>1</v>
      </c>
    </row>
    <row r="67" spans="1:5" x14ac:dyDescent="0.3">
      <c r="A67" t="s">
        <v>584</v>
      </c>
      <c r="B67" t="s">
        <v>578</v>
      </c>
      <c r="C67" t="s">
        <v>579</v>
      </c>
      <c r="D67">
        <v>1</v>
      </c>
    </row>
    <row r="68" spans="1:5" x14ac:dyDescent="0.3">
      <c r="A68" t="s">
        <v>580</v>
      </c>
      <c r="B68" t="s">
        <v>581</v>
      </c>
      <c r="C68" t="s">
        <v>582</v>
      </c>
      <c r="D68">
        <v>1</v>
      </c>
      <c r="E68" t="s">
        <v>583</v>
      </c>
    </row>
    <row r="69" spans="1:5" x14ac:dyDescent="0.3">
      <c r="A69" t="s">
        <v>593</v>
      </c>
      <c r="B69" t="s">
        <v>595</v>
      </c>
      <c r="C69" t="s">
        <v>597</v>
      </c>
      <c r="D69">
        <v>1</v>
      </c>
    </row>
    <row r="70" spans="1:5" x14ac:dyDescent="0.3">
      <c r="A70" t="s">
        <v>594</v>
      </c>
      <c r="B70" t="s">
        <v>596</v>
      </c>
      <c r="C70" t="s">
        <v>575</v>
      </c>
      <c r="D70">
        <v>2</v>
      </c>
    </row>
    <row r="71" spans="1:5" x14ac:dyDescent="0.3">
      <c r="A71" t="s">
        <v>611</v>
      </c>
      <c r="B71" t="s">
        <v>612</v>
      </c>
      <c r="C71" t="s">
        <v>613</v>
      </c>
      <c r="D71">
        <v>2</v>
      </c>
    </row>
    <row r="72" spans="1:5" x14ac:dyDescent="0.3">
      <c r="A72" t="s">
        <v>614</v>
      </c>
      <c r="B72" t="s">
        <v>615</v>
      </c>
      <c r="C72" t="s">
        <v>616</v>
      </c>
      <c r="D72">
        <v>3</v>
      </c>
      <c r="E72" t="s">
        <v>617</v>
      </c>
    </row>
    <row r="73" spans="1:5" x14ac:dyDescent="0.3">
      <c r="A73" t="s">
        <v>625</v>
      </c>
      <c r="B73" t="s">
        <v>627</v>
      </c>
      <c r="C73" t="s">
        <v>628</v>
      </c>
      <c r="D73">
        <v>2</v>
      </c>
    </row>
    <row r="74" spans="1:5" x14ac:dyDescent="0.3">
      <c r="A74" t="s">
        <v>626</v>
      </c>
      <c r="B74" t="s">
        <v>631</v>
      </c>
      <c r="C74" t="s">
        <v>630</v>
      </c>
      <c r="D74">
        <v>2</v>
      </c>
      <c r="E74" t="s">
        <v>629</v>
      </c>
    </row>
    <row r="75" spans="1:5" x14ac:dyDescent="0.3">
      <c r="A75" t="s">
        <v>632</v>
      </c>
      <c r="B75" t="s">
        <v>633</v>
      </c>
      <c r="C75" t="s">
        <v>634</v>
      </c>
      <c r="D75">
        <v>1</v>
      </c>
      <c r="E75" t="s">
        <v>635</v>
      </c>
    </row>
    <row r="76" spans="1:5" x14ac:dyDescent="0.3">
      <c r="A76" t="s">
        <v>642</v>
      </c>
      <c r="B76" t="s">
        <v>643</v>
      </c>
      <c r="C76" t="s">
        <v>648</v>
      </c>
      <c r="D76">
        <v>2</v>
      </c>
      <c r="E76" t="s">
        <v>649</v>
      </c>
    </row>
    <row r="77" spans="1:5" x14ac:dyDescent="0.3">
      <c r="A77" t="s">
        <v>644</v>
      </c>
      <c r="B77" t="s">
        <v>685</v>
      </c>
      <c r="C77" t="s">
        <v>147</v>
      </c>
      <c r="D77">
        <v>3</v>
      </c>
    </row>
    <row r="78" spans="1:5" x14ac:dyDescent="0.3">
      <c r="A78" t="s">
        <v>645</v>
      </c>
      <c r="B78" t="s">
        <v>647</v>
      </c>
      <c r="C78" t="s">
        <v>648</v>
      </c>
      <c r="D78">
        <v>1</v>
      </c>
      <c r="E78" t="s">
        <v>650</v>
      </c>
    </row>
    <row r="79" spans="1:5" x14ac:dyDescent="0.3">
      <c r="A79" t="s">
        <v>646</v>
      </c>
      <c r="B79" t="s">
        <v>684</v>
      </c>
      <c r="C79" t="s">
        <v>147</v>
      </c>
      <c r="D79">
        <v>2</v>
      </c>
    </row>
    <row r="80" spans="1:5" x14ac:dyDescent="0.3">
      <c r="A80" t="s">
        <v>659</v>
      </c>
      <c r="B80" t="s">
        <v>661</v>
      </c>
      <c r="C80" t="s">
        <v>664</v>
      </c>
      <c r="D80">
        <v>1</v>
      </c>
    </row>
    <row r="81" spans="1:5" x14ac:dyDescent="0.3">
      <c r="A81" t="s">
        <v>660</v>
      </c>
      <c r="B81" t="s">
        <v>662</v>
      </c>
      <c r="C81" t="s">
        <v>664</v>
      </c>
      <c r="D81">
        <v>1</v>
      </c>
    </row>
    <row r="82" spans="1:5" x14ac:dyDescent="0.3">
      <c r="A82" t="s">
        <v>665</v>
      </c>
      <c r="B82" t="s">
        <v>663</v>
      </c>
      <c r="C82" t="s">
        <v>664</v>
      </c>
      <c r="D82">
        <v>1</v>
      </c>
    </row>
    <row r="83" spans="1:5" x14ac:dyDescent="0.3">
      <c r="A83" t="s">
        <v>666</v>
      </c>
      <c r="B83" t="s">
        <v>670</v>
      </c>
      <c r="C83" t="s">
        <v>604</v>
      </c>
      <c r="D83">
        <v>2</v>
      </c>
    </row>
    <row r="84" spans="1:5" x14ac:dyDescent="0.3">
      <c r="A84" t="s">
        <v>667</v>
      </c>
      <c r="B84" t="s">
        <v>671</v>
      </c>
      <c r="C84" t="s">
        <v>604</v>
      </c>
      <c r="D84">
        <v>2</v>
      </c>
    </row>
    <row r="85" spans="1:5" x14ac:dyDescent="0.3">
      <c r="A85" t="s">
        <v>668</v>
      </c>
      <c r="B85" t="s">
        <v>672</v>
      </c>
      <c r="C85" t="s">
        <v>604</v>
      </c>
      <c r="D85">
        <v>2</v>
      </c>
    </row>
    <row r="86" spans="1:5" x14ac:dyDescent="0.3">
      <c r="A86" t="s">
        <v>669</v>
      </c>
      <c r="B86" t="s">
        <v>673</v>
      </c>
      <c r="C86" t="s">
        <v>604</v>
      </c>
      <c r="D86">
        <v>2</v>
      </c>
    </row>
    <row r="87" spans="1:5" x14ac:dyDescent="0.3">
      <c r="A87" t="s">
        <v>682</v>
      </c>
      <c r="B87" t="s">
        <v>680</v>
      </c>
      <c r="C87" t="s">
        <v>683</v>
      </c>
      <c r="D87">
        <v>3</v>
      </c>
      <c r="E87" t="s">
        <v>681</v>
      </c>
    </row>
    <row r="88" spans="1:5" x14ac:dyDescent="0.3">
      <c r="A88" t="s">
        <v>716</v>
      </c>
      <c r="B88" t="s">
        <v>717</v>
      </c>
      <c r="C88" t="s">
        <v>567</v>
      </c>
      <c r="D88">
        <v>1</v>
      </c>
      <c r="E88" t="s">
        <v>774</v>
      </c>
    </row>
    <row r="89" spans="1:5" x14ac:dyDescent="0.3">
      <c r="A89" t="s">
        <v>718</v>
      </c>
      <c r="B89" t="s">
        <v>719</v>
      </c>
      <c r="C89" t="s">
        <v>567</v>
      </c>
      <c r="D89">
        <v>1</v>
      </c>
    </row>
    <row r="90" spans="1:5" x14ac:dyDescent="0.3">
      <c r="A90" t="s">
        <v>772</v>
      </c>
      <c r="B90" t="s">
        <v>773</v>
      </c>
      <c r="C90" t="s">
        <v>575</v>
      </c>
      <c r="D90">
        <v>1</v>
      </c>
      <c r="E90" t="s">
        <v>681</v>
      </c>
    </row>
    <row r="91" spans="1:5" x14ac:dyDescent="0.3">
      <c r="A91" t="s">
        <v>775</v>
      </c>
      <c r="B91" t="s">
        <v>776</v>
      </c>
      <c r="C91" t="s">
        <v>777</v>
      </c>
      <c r="D91">
        <v>1</v>
      </c>
      <c r="E91" t="s">
        <v>778</v>
      </c>
    </row>
    <row r="92" spans="1:5" x14ac:dyDescent="0.3">
      <c r="A92" t="s">
        <v>785</v>
      </c>
      <c r="B92" t="s">
        <v>786</v>
      </c>
      <c r="C92" t="s">
        <v>787</v>
      </c>
      <c r="D92">
        <v>1</v>
      </c>
    </row>
    <row r="93" spans="1:5" x14ac:dyDescent="0.3">
      <c r="A93" t="s">
        <v>849</v>
      </c>
      <c r="B93" t="s">
        <v>850</v>
      </c>
      <c r="C93" t="s">
        <v>604</v>
      </c>
      <c r="D93">
        <v>1</v>
      </c>
    </row>
    <row r="94" spans="1:5" x14ac:dyDescent="0.3">
      <c r="A94" t="s">
        <v>855</v>
      </c>
      <c r="B94" t="s">
        <v>856</v>
      </c>
      <c r="C94" t="s">
        <v>604</v>
      </c>
      <c r="D94">
        <v>1</v>
      </c>
    </row>
    <row r="95" spans="1:5" x14ac:dyDescent="0.3">
      <c r="A95" t="s">
        <v>1074</v>
      </c>
      <c r="B95" t="s">
        <v>1078</v>
      </c>
      <c r="C95" t="s">
        <v>205</v>
      </c>
      <c r="D95">
        <v>1</v>
      </c>
    </row>
    <row r="96" spans="1:5" x14ac:dyDescent="0.3">
      <c r="A96" t="s">
        <v>1079</v>
      </c>
      <c r="B96" t="s">
        <v>1088</v>
      </c>
      <c r="C96" t="s">
        <v>575</v>
      </c>
      <c r="D96">
        <v>1</v>
      </c>
    </row>
    <row r="97" spans="1:5" x14ac:dyDescent="0.3">
      <c r="A97" t="s">
        <v>1089</v>
      </c>
      <c r="B97" t="s">
        <v>1090</v>
      </c>
      <c r="C97" t="s">
        <v>630</v>
      </c>
      <c r="D97">
        <v>1</v>
      </c>
    </row>
    <row r="98" spans="1:5" x14ac:dyDescent="0.3">
      <c r="A98" t="s">
        <v>1105</v>
      </c>
      <c r="B98" t="s">
        <v>1110</v>
      </c>
      <c r="C98" t="s">
        <v>575</v>
      </c>
      <c r="D98">
        <v>1</v>
      </c>
    </row>
    <row r="99" spans="1:5" x14ac:dyDescent="0.3">
      <c r="A99" t="s">
        <v>1106</v>
      </c>
      <c r="B99" t="s">
        <v>1111</v>
      </c>
      <c r="C99" t="s">
        <v>1112</v>
      </c>
      <c r="D99">
        <v>1</v>
      </c>
      <c r="E99" t="s">
        <v>1113</v>
      </c>
    </row>
    <row r="100" spans="1:5" x14ac:dyDescent="0.3">
      <c r="A100" t="s">
        <v>1107</v>
      </c>
      <c r="B100" t="s">
        <v>1114</v>
      </c>
      <c r="C100" t="s">
        <v>1115</v>
      </c>
      <c r="D100">
        <v>1</v>
      </c>
    </row>
    <row r="101" spans="1:5" x14ac:dyDescent="0.3">
      <c r="A101" t="s">
        <v>1108</v>
      </c>
      <c r="B101" t="s">
        <v>1116</v>
      </c>
      <c r="C101" t="s">
        <v>575</v>
      </c>
      <c r="D101">
        <v>1</v>
      </c>
      <c r="E101" t="s">
        <v>1117</v>
      </c>
    </row>
    <row r="102" spans="1:5" x14ac:dyDescent="0.3">
      <c r="A102" t="s">
        <v>1109</v>
      </c>
      <c r="B102" t="s">
        <v>1118</v>
      </c>
      <c r="C102" t="s">
        <v>575</v>
      </c>
      <c r="D102">
        <v>1</v>
      </c>
    </row>
    <row r="103" spans="1:5" x14ac:dyDescent="0.3">
      <c r="A103" t="s">
        <v>1123</v>
      </c>
      <c r="B103" t="s">
        <v>1124</v>
      </c>
      <c r="C103" t="s">
        <v>575</v>
      </c>
      <c r="D103">
        <v>1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B716-5D9E-4323-B5B0-31948BE7F75C}">
  <dimension ref="A1:E118"/>
  <sheetViews>
    <sheetView zoomScale="85" zoomScaleNormal="85" workbookViewId="0">
      <selection activeCell="D21" sqref="D21"/>
    </sheetView>
  </sheetViews>
  <sheetFormatPr defaultRowHeight="16.5" x14ac:dyDescent="0.3"/>
  <cols>
    <col min="1" max="1" width="10.875" bestFit="1" customWidth="1"/>
    <col min="2" max="2" width="13.5" bestFit="1" customWidth="1"/>
    <col min="3" max="3" width="12.5" bestFit="1" customWidth="1"/>
    <col min="4" max="4" width="9.75" bestFit="1" customWidth="1"/>
    <col min="5" max="5" width="11.625" bestFit="1" customWidth="1"/>
  </cols>
  <sheetData>
    <row r="1" spans="1:5" x14ac:dyDescent="0.3">
      <c r="A1" t="s">
        <v>140</v>
      </c>
      <c r="B1" t="s">
        <v>259</v>
      </c>
      <c r="C1" t="s">
        <v>260</v>
      </c>
      <c r="D1" t="s">
        <v>261</v>
      </c>
      <c r="E1" t="s">
        <v>144</v>
      </c>
    </row>
    <row r="2" spans="1:5" x14ac:dyDescent="0.3">
      <c r="A2" t="s">
        <v>145</v>
      </c>
      <c r="B2" t="s">
        <v>4</v>
      </c>
      <c r="C2" t="s">
        <v>262</v>
      </c>
      <c r="D2">
        <v>1</v>
      </c>
    </row>
    <row r="3" spans="1:5" x14ac:dyDescent="0.3">
      <c r="A3" t="s">
        <v>148</v>
      </c>
      <c r="B3" t="s">
        <v>4</v>
      </c>
      <c r="C3" t="s">
        <v>262</v>
      </c>
      <c r="D3">
        <v>1</v>
      </c>
    </row>
    <row r="4" spans="1:5" x14ac:dyDescent="0.3">
      <c r="A4" t="s">
        <v>150</v>
      </c>
      <c r="B4" t="s">
        <v>4</v>
      </c>
      <c r="C4" t="s">
        <v>262</v>
      </c>
      <c r="D4">
        <v>1</v>
      </c>
    </row>
    <row r="5" spans="1:5" x14ac:dyDescent="0.3">
      <c r="A5" t="s">
        <v>153</v>
      </c>
      <c r="B5" t="s">
        <v>4</v>
      </c>
      <c r="C5" t="s">
        <v>262</v>
      </c>
      <c r="D5">
        <v>1</v>
      </c>
    </row>
    <row r="6" spans="1:5" x14ac:dyDescent="0.3">
      <c r="A6" t="s">
        <v>155</v>
      </c>
      <c r="B6" t="s">
        <v>11</v>
      </c>
      <c r="C6" t="s">
        <v>262</v>
      </c>
      <c r="D6">
        <v>1</v>
      </c>
    </row>
    <row r="7" spans="1:5" x14ac:dyDescent="0.3">
      <c r="A7" t="s">
        <v>157</v>
      </c>
      <c r="B7" t="s">
        <v>12</v>
      </c>
      <c r="C7" t="s">
        <v>262</v>
      </c>
      <c r="D7">
        <v>1</v>
      </c>
    </row>
    <row r="8" spans="1:5" x14ac:dyDescent="0.3">
      <c r="A8" t="s">
        <v>158</v>
      </c>
      <c r="B8" t="s">
        <v>4</v>
      </c>
      <c r="C8" t="s">
        <v>262</v>
      </c>
      <c r="D8">
        <v>1</v>
      </c>
    </row>
    <row r="9" spans="1:5" x14ac:dyDescent="0.3">
      <c r="A9" t="s">
        <v>160</v>
      </c>
      <c r="B9" t="s">
        <v>50</v>
      </c>
      <c r="C9" t="s">
        <v>262</v>
      </c>
      <c r="D9">
        <v>1</v>
      </c>
    </row>
    <row r="10" spans="1:5" x14ac:dyDescent="0.3">
      <c r="A10" t="s">
        <v>162</v>
      </c>
      <c r="B10" t="s">
        <v>50</v>
      </c>
      <c r="C10" t="s">
        <v>262</v>
      </c>
      <c r="D10">
        <v>1</v>
      </c>
    </row>
    <row r="11" spans="1:5" x14ac:dyDescent="0.3">
      <c r="A11" t="s">
        <v>165</v>
      </c>
      <c r="B11" t="s">
        <v>51</v>
      </c>
      <c r="C11" t="s">
        <v>262</v>
      </c>
      <c r="D11">
        <v>1</v>
      </c>
      <c r="E11" t="s">
        <v>263</v>
      </c>
    </row>
    <row r="12" spans="1:5" x14ac:dyDescent="0.3">
      <c r="A12" t="s">
        <v>169</v>
      </c>
      <c r="B12" t="s">
        <v>51</v>
      </c>
      <c r="C12" t="s">
        <v>262</v>
      </c>
      <c r="D12">
        <v>1</v>
      </c>
      <c r="E12" t="s">
        <v>263</v>
      </c>
    </row>
    <row r="13" spans="1:5" x14ac:dyDescent="0.3">
      <c r="A13" t="s">
        <v>171</v>
      </c>
      <c r="B13" t="s">
        <v>51</v>
      </c>
      <c r="C13" t="s">
        <v>262</v>
      </c>
      <c r="D13">
        <v>1</v>
      </c>
      <c r="E13" t="s">
        <v>263</v>
      </c>
    </row>
    <row r="14" spans="1:5" x14ac:dyDescent="0.3">
      <c r="A14" t="s">
        <v>173</v>
      </c>
      <c r="B14" t="s">
        <v>4</v>
      </c>
      <c r="C14" t="s">
        <v>262</v>
      </c>
      <c r="D14">
        <v>1</v>
      </c>
    </row>
    <row r="15" spans="1:5" x14ac:dyDescent="0.3">
      <c r="A15" t="s">
        <v>175</v>
      </c>
      <c r="B15" t="s">
        <v>4</v>
      </c>
      <c r="C15" t="s">
        <v>262</v>
      </c>
      <c r="D15">
        <v>1</v>
      </c>
    </row>
    <row r="16" spans="1:5" x14ac:dyDescent="0.3">
      <c r="A16" t="s">
        <v>177</v>
      </c>
      <c r="B16" t="s">
        <v>4</v>
      </c>
      <c r="C16" t="s">
        <v>262</v>
      </c>
      <c r="D16">
        <v>1</v>
      </c>
      <c r="E16" t="s">
        <v>179</v>
      </c>
    </row>
    <row r="17" spans="1:5" x14ac:dyDescent="0.3">
      <c r="A17" t="s">
        <v>180</v>
      </c>
      <c r="B17" t="s">
        <v>4</v>
      </c>
      <c r="C17" t="s">
        <v>262</v>
      </c>
      <c r="D17">
        <v>1</v>
      </c>
    </row>
    <row r="18" spans="1:5" x14ac:dyDescent="0.3">
      <c r="A18" t="s">
        <v>182</v>
      </c>
      <c r="B18" t="s">
        <v>17</v>
      </c>
      <c r="C18" t="s">
        <v>262</v>
      </c>
      <c r="D18">
        <v>1</v>
      </c>
    </row>
    <row r="19" spans="1:5" x14ac:dyDescent="0.3">
      <c r="A19" t="s">
        <v>185</v>
      </c>
      <c r="B19" t="s">
        <v>69</v>
      </c>
      <c r="C19" t="s">
        <v>264</v>
      </c>
      <c r="D19">
        <v>1</v>
      </c>
      <c r="E19" t="s">
        <v>265</v>
      </c>
    </row>
    <row r="20" spans="1:5" x14ac:dyDescent="0.3">
      <c r="A20" t="s">
        <v>185</v>
      </c>
      <c r="B20" t="s">
        <v>17</v>
      </c>
      <c r="C20" t="s">
        <v>264</v>
      </c>
      <c r="D20">
        <v>2</v>
      </c>
      <c r="E20" t="s">
        <v>265</v>
      </c>
    </row>
    <row r="21" spans="1:5" x14ac:dyDescent="0.3">
      <c r="A21" t="s">
        <v>187</v>
      </c>
      <c r="B21" t="s">
        <v>58</v>
      </c>
      <c r="C21" t="s">
        <v>262</v>
      </c>
      <c r="D21">
        <v>1</v>
      </c>
    </row>
    <row r="22" spans="1:5" x14ac:dyDescent="0.3">
      <c r="A22" t="s">
        <v>188</v>
      </c>
      <c r="B22" t="s">
        <v>58</v>
      </c>
      <c r="C22" t="s">
        <v>262</v>
      </c>
      <c r="D22">
        <v>1</v>
      </c>
    </row>
    <row r="23" spans="1:5" x14ac:dyDescent="0.3">
      <c r="A23" t="s">
        <v>189</v>
      </c>
      <c r="B23" t="s">
        <v>64</v>
      </c>
      <c r="C23" t="s">
        <v>262</v>
      </c>
      <c r="D23">
        <v>1</v>
      </c>
    </row>
    <row r="24" spans="1:5" x14ac:dyDescent="0.3">
      <c r="A24" t="s">
        <v>190</v>
      </c>
      <c r="B24" t="s">
        <v>64</v>
      </c>
      <c r="C24" t="s">
        <v>262</v>
      </c>
      <c r="D24">
        <v>1</v>
      </c>
    </row>
    <row r="25" spans="1:5" x14ac:dyDescent="0.3">
      <c r="A25" t="s">
        <v>192</v>
      </c>
      <c r="B25" t="s">
        <v>64</v>
      </c>
      <c r="C25" t="s">
        <v>262</v>
      </c>
      <c r="D25">
        <v>1</v>
      </c>
      <c r="E25" t="s">
        <v>266</v>
      </c>
    </row>
    <row r="26" spans="1:5" x14ac:dyDescent="0.3">
      <c r="A26" t="s">
        <v>193</v>
      </c>
      <c r="B26" t="s">
        <v>67</v>
      </c>
      <c r="C26" t="s">
        <v>262</v>
      </c>
      <c r="D26">
        <v>1</v>
      </c>
    </row>
    <row r="27" spans="1:5" x14ac:dyDescent="0.3">
      <c r="A27" t="s">
        <v>194</v>
      </c>
      <c r="B27" t="s">
        <v>58</v>
      </c>
      <c r="C27" t="s">
        <v>262</v>
      </c>
      <c r="D27">
        <v>1</v>
      </c>
    </row>
    <row r="28" spans="1:5" x14ac:dyDescent="0.3">
      <c r="A28" t="s">
        <v>196</v>
      </c>
      <c r="B28" t="s">
        <v>59</v>
      </c>
      <c r="C28" t="s">
        <v>264</v>
      </c>
      <c r="D28">
        <v>1</v>
      </c>
      <c r="E28" t="s">
        <v>265</v>
      </c>
    </row>
    <row r="29" spans="1:5" x14ac:dyDescent="0.3">
      <c r="A29" t="s">
        <v>196</v>
      </c>
      <c r="B29" t="s">
        <v>124</v>
      </c>
      <c r="C29" t="s">
        <v>264</v>
      </c>
      <c r="D29">
        <v>2</v>
      </c>
      <c r="E29" t="s">
        <v>265</v>
      </c>
    </row>
    <row r="30" spans="1:5" x14ac:dyDescent="0.3">
      <c r="A30" t="s">
        <v>196</v>
      </c>
      <c r="B30" t="s">
        <v>81</v>
      </c>
      <c r="C30" t="s">
        <v>264</v>
      </c>
      <c r="D30">
        <v>3</v>
      </c>
      <c r="E30" t="s">
        <v>265</v>
      </c>
    </row>
    <row r="31" spans="1:5" x14ac:dyDescent="0.3">
      <c r="A31" t="s">
        <v>197</v>
      </c>
      <c r="B31" t="s">
        <v>59</v>
      </c>
      <c r="C31" t="s">
        <v>264</v>
      </c>
      <c r="D31">
        <v>1</v>
      </c>
      <c r="E31" t="s">
        <v>265</v>
      </c>
    </row>
    <row r="32" spans="1:5" x14ac:dyDescent="0.3">
      <c r="A32" t="s">
        <v>197</v>
      </c>
      <c r="B32" t="s">
        <v>124</v>
      </c>
      <c r="C32" t="s">
        <v>264</v>
      </c>
      <c r="D32">
        <v>2</v>
      </c>
      <c r="E32" t="s">
        <v>265</v>
      </c>
    </row>
    <row r="33" spans="1:5" x14ac:dyDescent="0.3">
      <c r="A33" t="s">
        <v>198</v>
      </c>
      <c r="B33" t="s">
        <v>59</v>
      </c>
      <c r="C33" t="s">
        <v>264</v>
      </c>
      <c r="D33">
        <v>1</v>
      </c>
      <c r="E33" t="s">
        <v>265</v>
      </c>
    </row>
    <row r="34" spans="1:5" x14ac:dyDescent="0.3">
      <c r="A34" t="s">
        <v>198</v>
      </c>
      <c r="B34" t="s">
        <v>81</v>
      </c>
      <c r="C34" t="s">
        <v>264</v>
      </c>
      <c r="D34">
        <v>2</v>
      </c>
      <c r="E34" t="s">
        <v>265</v>
      </c>
    </row>
    <row r="35" spans="1:5" x14ac:dyDescent="0.3">
      <c r="A35" t="s">
        <v>199</v>
      </c>
      <c r="B35" t="s">
        <v>58</v>
      </c>
      <c r="C35" t="s">
        <v>262</v>
      </c>
      <c r="D35">
        <v>1</v>
      </c>
    </row>
    <row r="36" spans="1:5" x14ac:dyDescent="0.3">
      <c r="A36" t="s">
        <v>201</v>
      </c>
      <c r="B36" t="s">
        <v>530</v>
      </c>
      <c r="C36" t="s">
        <v>262</v>
      </c>
      <c r="D36">
        <v>1</v>
      </c>
    </row>
    <row r="37" spans="1:5" x14ac:dyDescent="0.3">
      <c r="A37" t="s">
        <v>202</v>
      </c>
      <c r="B37" t="s">
        <v>69</v>
      </c>
      <c r="C37" t="s">
        <v>262</v>
      </c>
      <c r="D37">
        <v>1</v>
      </c>
      <c r="E37" t="s">
        <v>179</v>
      </c>
    </row>
    <row r="38" spans="1:5" x14ac:dyDescent="0.3">
      <c r="A38" t="s">
        <v>203</v>
      </c>
      <c r="B38" t="s">
        <v>69</v>
      </c>
      <c r="C38" t="s">
        <v>262</v>
      </c>
      <c r="D38">
        <v>1</v>
      </c>
      <c r="E38" t="s">
        <v>179</v>
      </c>
    </row>
    <row r="39" spans="1:5" x14ac:dyDescent="0.3">
      <c r="A39" t="s">
        <v>204</v>
      </c>
      <c r="B39" t="s">
        <v>58</v>
      </c>
      <c r="C39" t="s">
        <v>262</v>
      </c>
      <c r="D39">
        <v>1</v>
      </c>
    </row>
    <row r="40" spans="1:5" x14ac:dyDescent="0.3">
      <c r="A40" t="s">
        <v>206</v>
      </c>
      <c r="B40" t="s">
        <v>73</v>
      </c>
      <c r="C40" t="s">
        <v>262</v>
      </c>
      <c r="D40">
        <v>1</v>
      </c>
    </row>
    <row r="41" spans="1:5" x14ac:dyDescent="0.3">
      <c r="A41" t="s">
        <v>209</v>
      </c>
      <c r="B41" t="s">
        <v>1072</v>
      </c>
      <c r="C41" t="s">
        <v>262</v>
      </c>
      <c r="D41">
        <v>1</v>
      </c>
    </row>
    <row r="42" spans="1:5" x14ac:dyDescent="0.3">
      <c r="A42" t="s">
        <v>210</v>
      </c>
      <c r="B42" t="s">
        <v>73</v>
      </c>
      <c r="C42" t="s">
        <v>262</v>
      </c>
      <c r="D42">
        <v>1</v>
      </c>
      <c r="E42" t="s">
        <v>179</v>
      </c>
    </row>
    <row r="43" spans="1:5" x14ac:dyDescent="0.3">
      <c r="A43" t="s">
        <v>212</v>
      </c>
      <c r="B43" t="s">
        <v>75</v>
      </c>
      <c r="C43" t="s">
        <v>262</v>
      </c>
      <c r="D43">
        <v>1</v>
      </c>
    </row>
    <row r="44" spans="1:5" x14ac:dyDescent="0.3">
      <c r="A44" t="s">
        <v>214</v>
      </c>
      <c r="B44" t="s">
        <v>77</v>
      </c>
      <c r="C44" t="s">
        <v>262</v>
      </c>
      <c r="D44">
        <v>1</v>
      </c>
    </row>
    <row r="45" spans="1:5" x14ac:dyDescent="0.3">
      <c r="A45" t="s">
        <v>216</v>
      </c>
      <c r="B45" t="s">
        <v>58</v>
      </c>
      <c r="C45" t="s">
        <v>262</v>
      </c>
      <c r="D45">
        <v>1</v>
      </c>
    </row>
    <row r="46" spans="1:5" x14ac:dyDescent="0.3">
      <c r="A46" t="s">
        <v>217</v>
      </c>
      <c r="B46" t="s">
        <v>79</v>
      </c>
      <c r="C46" t="s">
        <v>262</v>
      </c>
      <c r="D46">
        <v>1</v>
      </c>
    </row>
    <row r="47" spans="1:5" x14ac:dyDescent="0.3">
      <c r="A47" t="s">
        <v>218</v>
      </c>
      <c r="B47" t="s">
        <v>81</v>
      </c>
      <c r="C47" t="s">
        <v>262</v>
      </c>
      <c r="D47">
        <v>1</v>
      </c>
    </row>
    <row r="48" spans="1:5" x14ac:dyDescent="0.3">
      <c r="A48" t="s">
        <v>220</v>
      </c>
      <c r="B48" t="s">
        <v>81</v>
      </c>
      <c r="C48" t="s">
        <v>264</v>
      </c>
      <c r="D48">
        <v>1</v>
      </c>
      <c r="E48" t="s">
        <v>265</v>
      </c>
    </row>
    <row r="49" spans="1:5" x14ac:dyDescent="0.3">
      <c r="A49" t="s">
        <v>220</v>
      </c>
      <c r="B49" t="s">
        <v>124</v>
      </c>
      <c r="C49" t="s">
        <v>264</v>
      </c>
      <c r="D49">
        <v>2</v>
      </c>
      <c r="E49" t="s">
        <v>265</v>
      </c>
    </row>
    <row r="50" spans="1:5" x14ac:dyDescent="0.3">
      <c r="A50" t="s">
        <v>222</v>
      </c>
      <c r="B50" t="s">
        <v>84</v>
      </c>
      <c r="C50" t="s">
        <v>262</v>
      </c>
      <c r="D50">
        <v>1</v>
      </c>
    </row>
    <row r="51" spans="1:5" x14ac:dyDescent="0.3">
      <c r="A51" t="s">
        <v>223</v>
      </c>
      <c r="B51" t="s">
        <v>84</v>
      </c>
      <c r="C51" t="s">
        <v>264</v>
      </c>
      <c r="D51">
        <v>1</v>
      </c>
      <c r="E51" t="s">
        <v>265</v>
      </c>
    </row>
    <row r="52" spans="1:5" x14ac:dyDescent="0.3">
      <c r="A52" t="s">
        <v>223</v>
      </c>
      <c r="B52" t="s">
        <v>1030</v>
      </c>
      <c r="C52" t="s">
        <v>264</v>
      </c>
      <c r="D52">
        <v>2</v>
      </c>
      <c r="E52" t="s">
        <v>265</v>
      </c>
    </row>
    <row r="53" spans="1:5" x14ac:dyDescent="0.3">
      <c r="A53" t="s">
        <v>225</v>
      </c>
      <c r="B53" t="s">
        <v>89</v>
      </c>
      <c r="C53" t="s">
        <v>262</v>
      </c>
      <c r="D53">
        <v>1</v>
      </c>
    </row>
    <row r="54" spans="1:5" x14ac:dyDescent="0.3">
      <c r="A54" t="s">
        <v>228</v>
      </c>
      <c r="B54" t="s">
        <v>89</v>
      </c>
      <c r="C54" t="s">
        <v>262</v>
      </c>
      <c r="D54">
        <v>1</v>
      </c>
    </row>
    <row r="55" spans="1:5" x14ac:dyDescent="0.3">
      <c r="A55" t="s">
        <v>230</v>
      </c>
      <c r="B55" t="s">
        <v>90</v>
      </c>
      <c r="C55" t="s">
        <v>262</v>
      </c>
      <c r="D55">
        <v>1</v>
      </c>
    </row>
    <row r="56" spans="1:5" x14ac:dyDescent="0.3">
      <c r="A56" t="s">
        <v>231</v>
      </c>
      <c r="B56" t="s">
        <v>4</v>
      </c>
      <c r="C56" t="s">
        <v>262</v>
      </c>
      <c r="D56">
        <v>1</v>
      </c>
      <c r="E56" t="s">
        <v>265</v>
      </c>
    </row>
    <row r="57" spans="1:5" x14ac:dyDescent="0.3">
      <c r="A57" t="s">
        <v>233</v>
      </c>
      <c r="B57" t="s">
        <v>92</v>
      </c>
      <c r="C57" t="s">
        <v>264</v>
      </c>
      <c r="D57">
        <v>1</v>
      </c>
    </row>
    <row r="58" spans="1:5" x14ac:dyDescent="0.3">
      <c r="A58" t="s">
        <v>233</v>
      </c>
      <c r="B58" t="s">
        <v>4</v>
      </c>
      <c r="C58" t="s">
        <v>264</v>
      </c>
      <c r="D58">
        <v>2</v>
      </c>
    </row>
    <row r="59" spans="1:5" x14ac:dyDescent="0.3">
      <c r="A59" t="s">
        <v>236</v>
      </c>
      <c r="B59" t="s">
        <v>123</v>
      </c>
      <c r="C59" t="s">
        <v>262</v>
      </c>
      <c r="D59">
        <v>1</v>
      </c>
    </row>
    <row r="60" spans="1:5" x14ac:dyDescent="0.3">
      <c r="A60" t="s">
        <v>239</v>
      </c>
      <c r="B60" t="s">
        <v>124</v>
      </c>
      <c r="C60" t="s">
        <v>262</v>
      </c>
      <c r="D60">
        <v>1</v>
      </c>
    </row>
    <row r="61" spans="1:5" x14ac:dyDescent="0.3">
      <c r="A61" t="s">
        <v>240</v>
      </c>
      <c r="B61" t="s">
        <v>92</v>
      </c>
      <c r="C61" t="s">
        <v>264</v>
      </c>
      <c r="D61">
        <v>1</v>
      </c>
      <c r="E61" t="s">
        <v>265</v>
      </c>
    </row>
    <row r="62" spans="1:5" x14ac:dyDescent="0.3">
      <c r="A62" t="s">
        <v>240</v>
      </c>
      <c r="B62" t="s">
        <v>58</v>
      </c>
      <c r="C62" t="s">
        <v>264</v>
      </c>
      <c r="D62">
        <v>2</v>
      </c>
      <c r="E62" t="s">
        <v>265</v>
      </c>
    </row>
    <row r="63" spans="1:5" x14ac:dyDescent="0.3">
      <c r="A63" t="s">
        <v>242</v>
      </c>
      <c r="B63" t="s">
        <v>131</v>
      </c>
      <c r="C63" t="s">
        <v>262</v>
      </c>
      <c r="D63">
        <v>1</v>
      </c>
    </row>
    <row r="64" spans="1:5" x14ac:dyDescent="0.3">
      <c r="A64" t="s">
        <v>246</v>
      </c>
      <c r="B64" t="s">
        <v>132</v>
      </c>
      <c r="C64" t="s">
        <v>264</v>
      </c>
      <c r="D64">
        <v>1</v>
      </c>
    </row>
    <row r="65" spans="1:5" x14ac:dyDescent="0.3">
      <c r="A65" t="s">
        <v>246</v>
      </c>
      <c r="B65" t="s">
        <v>133</v>
      </c>
      <c r="C65" t="s">
        <v>264</v>
      </c>
      <c r="D65">
        <v>2</v>
      </c>
    </row>
    <row r="66" spans="1:5" x14ac:dyDescent="0.3">
      <c r="A66" t="s">
        <v>248</v>
      </c>
      <c r="B66" t="s">
        <v>134</v>
      </c>
      <c r="C66" t="s">
        <v>262</v>
      </c>
      <c r="D66">
        <v>1</v>
      </c>
    </row>
    <row r="67" spans="1:5" x14ac:dyDescent="0.3">
      <c r="A67" t="s">
        <v>249</v>
      </c>
      <c r="B67" t="s">
        <v>134</v>
      </c>
      <c r="C67" t="s">
        <v>262</v>
      </c>
      <c r="D67">
        <v>1</v>
      </c>
    </row>
    <row r="68" spans="1:5" x14ac:dyDescent="0.3">
      <c r="A68" t="s">
        <v>252</v>
      </c>
      <c r="B68" t="s">
        <v>92</v>
      </c>
      <c r="C68" t="s">
        <v>262</v>
      </c>
      <c r="D68">
        <v>1</v>
      </c>
    </row>
    <row r="69" spans="1:5" x14ac:dyDescent="0.3">
      <c r="A69" t="s">
        <v>254</v>
      </c>
      <c r="B69" t="s">
        <v>92</v>
      </c>
      <c r="C69" t="s">
        <v>262</v>
      </c>
      <c r="D69">
        <v>1</v>
      </c>
      <c r="E69" t="s">
        <v>179</v>
      </c>
    </row>
    <row r="70" spans="1:5" x14ac:dyDescent="0.3">
      <c r="A70" t="s">
        <v>257</v>
      </c>
      <c r="B70" t="s">
        <v>92</v>
      </c>
      <c r="C70" t="s">
        <v>262</v>
      </c>
      <c r="D70">
        <v>1</v>
      </c>
      <c r="E70" t="s">
        <v>266</v>
      </c>
    </row>
    <row r="71" spans="1:5" x14ac:dyDescent="0.3">
      <c r="A71" t="s">
        <v>381</v>
      </c>
      <c r="B71" t="s">
        <v>393</v>
      </c>
      <c r="C71" t="s">
        <v>262</v>
      </c>
      <c r="D71">
        <v>1</v>
      </c>
    </row>
    <row r="72" spans="1:5" x14ac:dyDescent="0.3">
      <c r="A72" t="s">
        <v>510</v>
      </c>
      <c r="B72" t="s">
        <v>392</v>
      </c>
      <c r="C72" t="s">
        <v>262</v>
      </c>
      <c r="D72">
        <v>1</v>
      </c>
    </row>
    <row r="73" spans="1:5" x14ac:dyDescent="0.3">
      <c r="A73" t="s">
        <v>561</v>
      </c>
      <c r="B73" t="s">
        <v>569</v>
      </c>
      <c r="C73" t="s">
        <v>262</v>
      </c>
      <c r="D73">
        <v>1</v>
      </c>
      <c r="E73" t="s">
        <v>573</v>
      </c>
    </row>
    <row r="74" spans="1:5" x14ac:dyDescent="0.3">
      <c r="A74" t="s">
        <v>562</v>
      </c>
      <c r="B74" t="s">
        <v>570</v>
      </c>
      <c r="C74" t="s">
        <v>262</v>
      </c>
      <c r="D74">
        <v>1</v>
      </c>
    </row>
    <row r="75" spans="1:5" x14ac:dyDescent="0.3">
      <c r="A75" t="s">
        <v>563</v>
      </c>
      <c r="B75" t="s">
        <v>554</v>
      </c>
      <c r="C75" t="s">
        <v>262</v>
      </c>
      <c r="D75">
        <v>1</v>
      </c>
    </row>
    <row r="76" spans="1:5" x14ac:dyDescent="0.3">
      <c r="A76" t="s">
        <v>566</v>
      </c>
      <c r="B76" t="s">
        <v>490</v>
      </c>
      <c r="C76" t="s">
        <v>262</v>
      </c>
      <c r="D76">
        <v>1</v>
      </c>
    </row>
    <row r="77" spans="1:5" x14ac:dyDescent="0.3">
      <c r="A77" t="s">
        <v>584</v>
      </c>
      <c r="B77" t="s">
        <v>490</v>
      </c>
      <c r="C77" t="s">
        <v>262</v>
      </c>
      <c r="D77">
        <v>1</v>
      </c>
    </row>
    <row r="78" spans="1:5" x14ac:dyDescent="0.3">
      <c r="A78" t="s">
        <v>580</v>
      </c>
      <c r="B78" t="s">
        <v>585</v>
      </c>
      <c r="C78" t="s">
        <v>262</v>
      </c>
      <c r="D78">
        <v>1</v>
      </c>
    </row>
    <row r="79" spans="1:5" x14ac:dyDescent="0.3">
      <c r="A79" t="s">
        <v>580</v>
      </c>
      <c r="B79" t="s">
        <v>490</v>
      </c>
      <c r="C79" t="s">
        <v>571</v>
      </c>
      <c r="D79">
        <v>2</v>
      </c>
    </row>
    <row r="80" spans="1:5" x14ac:dyDescent="0.3">
      <c r="A80" t="s">
        <v>593</v>
      </c>
      <c r="B80" t="s">
        <v>490</v>
      </c>
      <c r="C80" t="s">
        <v>598</v>
      </c>
      <c r="D80">
        <v>1</v>
      </c>
    </row>
    <row r="81" spans="1:4" x14ac:dyDescent="0.3">
      <c r="A81" t="s">
        <v>594</v>
      </c>
      <c r="B81" t="s">
        <v>587</v>
      </c>
      <c r="C81" t="s">
        <v>598</v>
      </c>
      <c r="D81">
        <v>1</v>
      </c>
    </row>
    <row r="82" spans="1:4" x14ac:dyDescent="0.3">
      <c r="A82" t="s">
        <v>611</v>
      </c>
      <c r="B82" t="s">
        <v>618</v>
      </c>
      <c r="C82" t="s">
        <v>598</v>
      </c>
      <c r="D82">
        <v>1</v>
      </c>
    </row>
    <row r="83" spans="1:4" x14ac:dyDescent="0.3">
      <c r="A83" t="s">
        <v>614</v>
      </c>
      <c r="B83" t="s">
        <v>605</v>
      </c>
      <c r="C83" t="s">
        <v>598</v>
      </c>
      <c r="D83">
        <v>1</v>
      </c>
    </row>
    <row r="84" spans="1:4" x14ac:dyDescent="0.3">
      <c r="A84" t="s">
        <v>614</v>
      </c>
      <c r="B84" t="s">
        <v>490</v>
      </c>
      <c r="C84" t="s">
        <v>571</v>
      </c>
      <c r="D84">
        <v>2</v>
      </c>
    </row>
    <row r="85" spans="1:4" x14ac:dyDescent="0.3">
      <c r="A85" t="s">
        <v>625</v>
      </c>
      <c r="B85" t="s">
        <v>57</v>
      </c>
      <c r="C85" t="s">
        <v>598</v>
      </c>
      <c r="D85">
        <v>1</v>
      </c>
    </row>
    <row r="86" spans="1:4" x14ac:dyDescent="0.3">
      <c r="A86" t="s">
        <v>626</v>
      </c>
      <c r="B86" t="s">
        <v>57</v>
      </c>
      <c r="C86" t="s">
        <v>598</v>
      </c>
      <c r="D86">
        <v>1</v>
      </c>
    </row>
    <row r="87" spans="1:4" x14ac:dyDescent="0.3">
      <c r="A87" t="s">
        <v>632</v>
      </c>
      <c r="B87" t="s">
        <v>585</v>
      </c>
      <c r="C87" t="s">
        <v>598</v>
      </c>
      <c r="D87">
        <v>1</v>
      </c>
    </row>
    <row r="88" spans="1:4" x14ac:dyDescent="0.3">
      <c r="A88" t="s">
        <v>642</v>
      </c>
      <c r="B88" t="s">
        <v>651</v>
      </c>
      <c r="C88" t="s">
        <v>598</v>
      </c>
      <c r="D88">
        <v>1</v>
      </c>
    </row>
    <row r="89" spans="1:4" x14ac:dyDescent="0.3">
      <c r="A89" t="s">
        <v>644</v>
      </c>
      <c r="B89" t="s">
        <v>636</v>
      </c>
      <c r="C89" t="s">
        <v>598</v>
      </c>
      <c r="D89">
        <v>1</v>
      </c>
    </row>
    <row r="90" spans="1:4" x14ac:dyDescent="0.3">
      <c r="A90" t="s">
        <v>645</v>
      </c>
      <c r="B90" t="s">
        <v>493</v>
      </c>
      <c r="C90" t="s">
        <v>598</v>
      </c>
      <c r="D90">
        <v>1</v>
      </c>
    </row>
    <row r="91" spans="1:4" x14ac:dyDescent="0.3">
      <c r="A91" t="s">
        <v>646</v>
      </c>
      <c r="B91" t="s">
        <v>637</v>
      </c>
      <c r="C91" t="s">
        <v>598</v>
      </c>
      <c r="D91">
        <v>1</v>
      </c>
    </row>
    <row r="92" spans="1:4" x14ac:dyDescent="0.3">
      <c r="A92" t="s">
        <v>659</v>
      </c>
      <c r="B92" t="s">
        <v>495</v>
      </c>
      <c r="C92" t="s">
        <v>598</v>
      </c>
      <c r="D92">
        <v>1</v>
      </c>
    </row>
    <row r="93" spans="1:4" x14ac:dyDescent="0.3">
      <c r="A93" t="s">
        <v>660</v>
      </c>
      <c r="B93" t="s">
        <v>495</v>
      </c>
      <c r="C93" t="s">
        <v>598</v>
      </c>
      <c r="D93">
        <v>1</v>
      </c>
    </row>
    <row r="94" spans="1:4" x14ac:dyDescent="0.3">
      <c r="A94" t="s">
        <v>665</v>
      </c>
      <c r="B94" t="s">
        <v>495</v>
      </c>
      <c r="C94" t="s">
        <v>598</v>
      </c>
      <c r="D94">
        <v>1</v>
      </c>
    </row>
    <row r="95" spans="1:4" x14ac:dyDescent="0.3">
      <c r="A95" t="s">
        <v>666</v>
      </c>
      <c r="B95" t="s">
        <v>653</v>
      </c>
      <c r="C95" t="s">
        <v>598</v>
      </c>
      <c r="D95">
        <v>1</v>
      </c>
    </row>
    <row r="96" spans="1:4" x14ac:dyDescent="0.3">
      <c r="A96" t="s">
        <v>667</v>
      </c>
      <c r="B96" t="s">
        <v>654</v>
      </c>
      <c r="C96" t="s">
        <v>598</v>
      </c>
      <c r="D96">
        <v>1</v>
      </c>
    </row>
    <row r="97" spans="1:5" x14ac:dyDescent="0.3">
      <c r="A97" t="s">
        <v>668</v>
      </c>
      <c r="B97" t="s">
        <v>655</v>
      </c>
      <c r="C97" t="s">
        <v>598</v>
      </c>
      <c r="D97">
        <v>1</v>
      </c>
    </row>
    <row r="98" spans="1:5" x14ac:dyDescent="0.3">
      <c r="A98" t="s">
        <v>669</v>
      </c>
      <c r="B98" t="s">
        <v>655</v>
      </c>
      <c r="C98" t="s">
        <v>598</v>
      </c>
      <c r="D98">
        <v>1</v>
      </c>
    </row>
    <row r="99" spans="1:5" x14ac:dyDescent="0.3">
      <c r="A99" t="s">
        <v>682</v>
      </c>
      <c r="B99" t="s">
        <v>675</v>
      </c>
      <c r="C99" t="s">
        <v>598</v>
      </c>
      <c r="D99">
        <v>1</v>
      </c>
    </row>
    <row r="100" spans="1:5" x14ac:dyDescent="0.3">
      <c r="A100" t="s">
        <v>682</v>
      </c>
      <c r="B100" t="s">
        <v>55</v>
      </c>
      <c r="C100" t="s">
        <v>571</v>
      </c>
      <c r="D100">
        <v>2</v>
      </c>
    </row>
    <row r="101" spans="1:5" x14ac:dyDescent="0.3">
      <c r="A101" t="s">
        <v>716</v>
      </c>
      <c r="B101" t="s">
        <v>570</v>
      </c>
      <c r="C101" t="s">
        <v>598</v>
      </c>
      <c r="D101">
        <v>1</v>
      </c>
    </row>
    <row r="102" spans="1:5" x14ac:dyDescent="0.3">
      <c r="A102" t="s">
        <v>718</v>
      </c>
      <c r="B102" t="s">
        <v>90</v>
      </c>
      <c r="C102" t="s">
        <v>598</v>
      </c>
      <c r="D102">
        <v>1</v>
      </c>
    </row>
    <row r="103" spans="1:5" x14ac:dyDescent="0.3">
      <c r="A103" t="s">
        <v>772</v>
      </c>
      <c r="B103" t="s">
        <v>570</v>
      </c>
      <c r="C103" t="s">
        <v>598</v>
      </c>
      <c r="D103">
        <v>1</v>
      </c>
      <c r="E103" t="s">
        <v>265</v>
      </c>
    </row>
    <row r="104" spans="1:5" x14ac:dyDescent="0.3">
      <c r="A104" t="s">
        <v>772</v>
      </c>
      <c r="B104" t="s">
        <v>530</v>
      </c>
      <c r="C104" t="s">
        <v>571</v>
      </c>
      <c r="D104">
        <v>2</v>
      </c>
      <c r="E104" t="s">
        <v>265</v>
      </c>
    </row>
    <row r="105" spans="1:5" x14ac:dyDescent="0.3">
      <c r="A105" t="s">
        <v>772</v>
      </c>
      <c r="B105" t="s">
        <v>1119</v>
      </c>
      <c r="C105" t="s">
        <v>571</v>
      </c>
      <c r="D105">
        <v>3</v>
      </c>
      <c r="E105" t="s">
        <v>265</v>
      </c>
    </row>
    <row r="106" spans="1:5" x14ac:dyDescent="0.3">
      <c r="A106" t="s">
        <v>775</v>
      </c>
      <c r="B106" t="s">
        <v>530</v>
      </c>
      <c r="C106" t="s">
        <v>598</v>
      </c>
      <c r="D106">
        <v>1</v>
      </c>
    </row>
    <row r="107" spans="1:5" x14ac:dyDescent="0.3">
      <c r="A107" t="s">
        <v>785</v>
      </c>
      <c r="B107" t="s">
        <v>618</v>
      </c>
      <c r="C107" t="s">
        <v>598</v>
      </c>
      <c r="D107">
        <v>1</v>
      </c>
    </row>
    <row r="108" spans="1:5" x14ac:dyDescent="0.3">
      <c r="A108" t="s">
        <v>849</v>
      </c>
      <c r="B108" t="s">
        <v>392</v>
      </c>
      <c r="C108" t="s">
        <v>598</v>
      </c>
      <c r="D108">
        <v>1</v>
      </c>
    </row>
    <row r="109" spans="1:5" x14ac:dyDescent="0.3">
      <c r="A109" t="s">
        <v>855</v>
      </c>
      <c r="B109" t="s">
        <v>852</v>
      </c>
      <c r="C109" t="s">
        <v>598</v>
      </c>
      <c r="D109">
        <v>1</v>
      </c>
    </row>
    <row r="110" spans="1:5" x14ac:dyDescent="0.3">
      <c r="A110" t="s">
        <v>1074</v>
      </c>
      <c r="B110" t="s">
        <v>530</v>
      </c>
      <c r="C110" t="s">
        <v>598</v>
      </c>
      <c r="D110">
        <v>1</v>
      </c>
    </row>
    <row r="111" spans="1:5" x14ac:dyDescent="0.3">
      <c r="A111" t="s">
        <v>1079</v>
      </c>
      <c r="B111" t="s">
        <v>1030</v>
      </c>
      <c r="C111" t="s">
        <v>598</v>
      </c>
      <c r="D111">
        <v>1</v>
      </c>
    </row>
    <row r="112" spans="1:5" x14ac:dyDescent="0.3">
      <c r="A112" t="s">
        <v>1089</v>
      </c>
      <c r="B112" t="s">
        <v>1030</v>
      </c>
      <c r="C112" t="s">
        <v>598</v>
      </c>
      <c r="D112">
        <v>1</v>
      </c>
    </row>
    <row r="113" spans="1:4" x14ac:dyDescent="0.3">
      <c r="A113" t="s">
        <v>1105</v>
      </c>
      <c r="B113" t="s">
        <v>1032</v>
      </c>
      <c r="C113" t="s">
        <v>598</v>
      </c>
      <c r="D113">
        <v>1</v>
      </c>
    </row>
    <row r="114" spans="1:4" x14ac:dyDescent="0.3">
      <c r="A114" t="s">
        <v>1106</v>
      </c>
      <c r="B114" t="s">
        <v>1032</v>
      </c>
      <c r="C114" t="s">
        <v>598</v>
      </c>
      <c r="D114">
        <v>1</v>
      </c>
    </row>
    <row r="115" spans="1:4" x14ac:dyDescent="0.3">
      <c r="A115" t="s">
        <v>1107</v>
      </c>
      <c r="B115" t="s">
        <v>1032</v>
      </c>
      <c r="C115" t="s">
        <v>598</v>
      </c>
      <c r="D115">
        <v>1</v>
      </c>
    </row>
    <row r="116" spans="1:4" x14ac:dyDescent="0.3">
      <c r="A116" t="s">
        <v>1108</v>
      </c>
      <c r="B116" t="s">
        <v>1032</v>
      </c>
      <c r="C116" t="s">
        <v>598</v>
      </c>
      <c r="D116">
        <v>1</v>
      </c>
    </row>
    <row r="117" spans="1:4" x14ac:dyDescent="0.3">
      <c r="A117" t="s">
        <v>1109</v>
      </c>
      <c r="B117" t="s">
        <v>1032</v>
      </c>
      <c r="C117" t="s">
        <v>598</v>
      </c>
      <c r="D117">
        <v>1</v>
      </c>
    </row>
    <row r="118" spans="1:4" x14ac:dyDescent="0.3">
      <c r="A118" t="s">
        <v>1123</v>
      </c>
      <c r="B118" t="s">
        <v>1031</v>
      </c>
      <c r="C118" t="s">
        <v>598</v>
      </c>
      <c r="D11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7538-EFEF-41C2-B9E3-CC62272BBB45}">
  <dimension ref="A1:E104"/>
  <sheetViews>
    <sheetView topLeftCell="A69" zoomScale="85" zoomScaleNormal="85" workbookViewId="0">
      <selection activeCell="C103" sqref="C103"/>
    </sheetView>
  </sheetViews>
  <sheetFormatPr defaultRowHeight="16.5" x14ac:dyDescent="0.3"/>
  <cols>
    <col min="1" max="1" width="9.625" customWidth="1"/>
    <col min="2" max="2" width="12" customWidth="1"/>
    <col min="3" max="3" width="13.375" bestFit="1" customWidth="1"/>
    <col min="4" max="4" width="8.625" customWidth="1"/>
    <col min="5" max="5" width="18.5" bestFit="1" customWidth="1"/>
  </cols>
  <sheetData>
    <row r="1" spans="1:5" x14ac:dyDescent="0.3">
      <c r="A1" t="s">
        <v>140</v>
      </c>
      <c r="B1" t="s">
        <v>259</v>
      </c>
      <c r="C1" t="s">
        <v>267</v>
      </c>
      <c r="D1" t="s">
        <v>261</v>
      </c>
      <c r="E1" t="s">
        <v>144</v>
      </c>
    </row>
    <row r="2" spans="1:5" x14ac:dyDescent="0.3">
      <c r="A2" t="s">
        <v>145</v>
      </c>
      <c r="B2" t="s">
        <v>268</v>
      </c>
      <c r="C2" t="s">
        <v>269</v>
      </c>
      <c r="D2">
        <v>1</v>
      </c>
    </row>
    <row r="3" spans="1:5" x14ac:dyDescent="0.3">
      <c r="A3" t="s">
        <v>148</v>
      </c>
      <c r="B3" t="s">
        <v>8</v>
      </c>
      <c r="C3" t="s">
        <v>269</v>
      </c>
      <c r="D3">
        <v>1</v>
      </c>
    </row>
    <row r="4" spans="1:5" x14ac:dyDescent="0.3">
      <c r="A4" t="s">
        <v>150</v>
      </c>
      <c r="B4" t="s">
        <v>10</v>
      </c>
      <c r="C4" t="s">
        <v>269</v>
      </c>
      <c r="D4">
        <v>1</v>
      </c>
    </row>
    <row r="5" spans="1:5" x14ac:dyDescent="0.3">
      <c r="A5" t="s">
        <v>153</v>
      </c>
      <c r="B5" t="s">
        <v>11</v>
      </c>
      <c r="C5" t="s">
        <v>269</v>
      </c>
      <c r="D5">
        <v>1</v>
      </c>
    </row>
    <row r="6" spans="1:5" x14ac:dyDescent="0.3">
      <c r="A6" t="s">
        <v>155</v>
      </c>
      <c r="B6" t="s">
        <v>12</v>
      </c>
      <c r="C6" t="s">
        <v>269</v>
      </c>
      <c r="D6">
        <v>1</v>
      </c>
    </row>
    <row r="7" spans="1:5" x14ac:dyDescent="0.3">
      <c r="A7" t="s">
        <v>157</v>
      </c>
      <c r="B7" t="s">
        <v>14</v>
      </c>
      <c r="C7" t="s">
        <v>269</v>
      </c>
      <c r="D7">
        <v>1</v>
      </c>
    </row>
    <row r="8" spans="1:5" x14ac:dyDescent="0.3">
      <c r="A8" t="s">
        <v>158</v>
      </c>
      <c r="B8" t="s">
        <v>50</v>
      </c>
      <c r="C8" t="s">
        <v>269</v>
      </c>
      <c r="D8">
        <v>1</v>
      </c>
    </row>
    <row r="9" spans="1:5" x14ac:dyDescent="0.3">
      <c r="A9" t="s">
        <v>160</v>
      </c>
      <c r="B9" t="s">
        <v>55</v>
      </c>
      <c r="C9" t="s">
        <v>269</v>
      </c>
      <c r="D9">
        <v>1</v>
      </c>
    </row>
    <row r="10" spans="1:5" x14ac:dyDescent="0.3">
      <c r="A10" t="s">
        <v>162</v>
      </c>
      <c r="B10" t="s">
        <v>51</v>
      </c>
      <c r="C10" t="s">
        <v>269</v>
      </c>
      <c r="D10">
        <v>1</v>
      </c>
      <c r="E10" t="s">
        <v>164</v>
      </c>
    </row>
    <row r="11" spans="1:5" x14ac:dyDescent="0.3">
      <c r="A11" t="s">
        <v>165</v>
      </c>
      <c r="B11" t="s">
        <v>52</v>
      </c>
      <c r="C11" t="s">
        <v>269</v>
      </c>
      <c r="D11">
        <v>1</v>
      </c>
    </row>
    <row r="12" spans="1:5" x14ac:dyDescent="0.3">
      <c r="A12" t="s">
        <v>169</v>
      </c>
      <c r="B12" t="s">
        <v>53</v>
      </c>
      <c r="C12" t="s">
        <v>269</v>
      </c>
      <c r="D12">
        <v>1</v>
      </c>
    </row>
    <row r="13" spans="1:5" x14ac:dyDescent="0.3">
      <c r="A13" t="s">
        <v>171</v>
      </c>
      <c r="B13" t="s">
        <v>54</v>
      </c>
      <c r="C13" t="s">
        <v>269</v>
      </c>
      <c r="D13">
        <v>1</v>
      </c>
    </row>
    <row r="14" spans="1:5" x14ac:dyDescent="0.3">
      <c r="A14" t="s">
        <v>173</v>
      </c>
      <c r="B14" t="s">
        <v>17</v>
      </c>
      <c r="C14" t="s">
        <v>269</v>
      </c>
      <c r="D14">
        <v>1</v>
      </c>
    </row>
    <row r="15" spans="1:5" x14ac:dyDescent="0.3">
      <c r="A15" t="s">
        <v>175</v>
      </c>
      <c r="B15" t="s">
        <v>56</v>
      </c>
      <c r="C15" t="s">
        <v>269</v>
      </c>
      <c r="D15">
        <v>1</v>
      </c>
    </row>
    <row r="16" spans="1:5" x14ac:dyDescent="0.3">
      <c r="A16" t="s">
        <v>177</v>
      </c>
      <c r="B16" t="s">
        <v>18</v>
      </c>
      <c r="C16" t="s">
        <v>269</v>
      </c>
      <c r="D16">
        <v>1</v>
      </c>
    </row>
    <row r="17" spans="1:5" x14ac:dyDescent="0.3">
      <c r="A17" t="s">
        <v>180</v>
      </c>
      <c r="B17" t="s">
        <v>57</v>
      </c>
      <c r="C17" t="s">
        <v>269</v>
      </c>
      <c r="D17">
        <v>1</v>
      </c>
    </row>
    <row r="18" spans="1:5" x14ac:dyDescent="0.3">
      <c r="A18" t="s">
        <v>182</v>
      </c>
      <c r="B18" t="s">
        <v>20</v>
      </c>
      <c r="C18" t="s">
        <v>269</v>
      </c>
      <c r="D18">
        <v>1</v>
      </c>
    </row>
    <row r="19" spans="1:5" x14ac:dyDescent="0.3">
      <c r="A19" t="s">
        <v>185</v>
      </c>
      <c r="B19" t="s">
        <v>22</v>
      </c>
      <c r="C19" t="s">
        <v>269</v>
      </c>
      <c r="D19">
        <v>1</v>
      </c>
    </row>
    <row r="20" spans="1:5" x14ac:dyDescent="0.3">
      <c r="A20" t="s">
        <v>187</v>
      </c>
      <c r="B20" t="s">
        <v>63</v>
      </c>
      <c r="C20" t="s">
        <v>269</v>
      </c>
      <c r="D20">
        <v>1</v>
      </c>
    </row>
    <row r="21" spans="1:5" x14ac:dyDescent="0.3">
      <c r="A21" t="s">
        <v>188</v>
      </c>
      <c r="B21" t="s">
        <v>64</v>
      </c>
      <c r="C21" t="s">
        <v>269</v>
      </c>
      <c r="D21">
        <v>1</v>
      </c>
    </row>
    <row r="22" spans="1:5" x14ac:dyDescent="0.3">
      <c r="A22" t="s">
        <v>189</v>
      </c>
      <c r="B22" t="s">
        <v>65</v>
      </c>
      <c r="C22" t="s">
        <v>269</v>
      </c>
      <c r="D22">
        <v>1</v>
      </c>
    </row>
    <row r="23" spans="1:5" x14ac:dyDescent="0.3">
      <c r="A23" t="s">
        <v>190</v>
      </c>
      <c r="B23" t="s">
        <v>66</v>
      </c>
      <c r="C23" t="s">
        <v>269</v>
      </c>
      <c r="D23">
        <v>1</v>
      </c>
    </row>
    <row r="24" spans="1:5" x14ac:dyDescent="0.3">
      <c r="A24" t="s">
        <v>192</v>
      </c>
      <c r="B24" t="s">
        <v>67</v>
      </c>
      <c r="C24" t="s">
        <v>269</v>
      </c>
      <c r="D24">
        <v>1</v>
      </c>
      <c r="E24" t="s">
        <v>164</v>
      </c>
    </row>
    <row r="25" spans="1:5" x14ac:dyDescent="0.3">
      <c r="A25" t="s">
        <v>193</v>
      </c>
      <c r="B25" t="s">
        <v>68</v>
      </c>
      <c r="C25" t="s">
        <v>269</v>
      </c>
      <c r="D25">
        <v>1</v>
      </c>
    </row>
    <row r="26" spans="1:5" x14ac:dyDescent="0.3">
      <c r="A26" t="s">
        <v>194</v>
      </c>
      <c r="B26" t="s">
        <v>59</v>
      </c>
      <c r="C26" t="s">
        <v>269</v>
      </c>
      <c r="D26">
        <v>1</v>
      </c>
    </row>
    <row r="27" spans="1:5" x14ac:dyDescent="0.3">
      <c r="A27" t="s">
        <v>196</v>
      </c>
      <c r="B27" t="s">
        <v>60</v>
      </c>
      <c r="C27" t="s">
        <v>269</v>
      </c>
      <c r="D27">
        <v>1</v>
      </c>
    </row>
    <row r="28" spans="1:5" x14ac:dyDescent="0.3">
      <c r="A28" t="s">
        <v>197</v>
      </c>
      <c r="B28" t="s">
        <v>61</v>
      </c>
      <c r="C28" t="s">
        <v>269</v>
      </c>
      <c r="D28">
        <v>1</v>
      </c>
    </row>
    <row r="29" spans="1:5" x14ac:dyDescent="0.3">
      <c r="A29" t="s">
        <v>198</v>
      </c>
      <c r="B29" t="s">
        <v>62</v>
      </c>
      <c r="C29" t="s">
        <v>269</v>
      </c>
      <c r="D29">
        <v>1</v>
      </c>
    </row>
    <row r="30" spans="1:5" x14ac:dyDescent="0.3">
      <c r="A30" t="s">
        <v>199</v>
      </c>
      <c r="B30" t="s">
        <v>69</v>
      </c>
      <c r="C30" t="s">
        <v>269</v>
      </c>
      <c r="D30">
        <v>1</v>
      </c>
    </row>
    <row r="31" spans="1:5" x14ac:dyDescent="0.3">
      <c r="A31" t="s">
        <v>531</v>
      </c>
      <c r="B31" t="s">
        <v>552</v>
      </c>
      <c r="C31" t="s">
        <v>269</v>
      </c>
      <c r="D31">
        <v>1</v>
      </c>
    </row>
    <row r="32" spans="1:5" x14ac:dyDescent="0.3">
      <c r="A32" t="s">
        <v>202</v>
      </c>
      <c r="B32" t="s">
        <v>353</v>
      </c>
      <c r="C32" t="s">
        <v>269</v>
      </c>
      <c r="D32">
        <v>1</v>
      </c>
    </row>
    <row r="33" spans="1:5" x14ac:dyDescent="0.3">
      <c r="A33" t="s">
        <v>203</v>
      </c>
      <c r="B33" t="s">
        <v>72</v>
      </c>
      <c r="C33" t="s">
        <v>269</v>
      </c>
      <c r="D33">
        <v>1</v>
      </c>
      <c r="E33" t="s">
        <v>179</v>
      </c>
    </row>
    <row r="34" spans="1:5" x14ac:dyDescent="0.3">
      <c r="A34" t="s">
        <v>204</v>
      </c>
      <c r="B34" t="s">
        <v>73</v>
      </c>
      <c r="C34" t="s">
        <v>269</v>
      </c>
      <c r="D34">
        <v>1</v>
      </c>
    </row>
    <row r="35" spans="1:5" x14ac:dyDescent="0.3">
      <c r="A35" t="s">
        <v>206</v>
      </c>
      <c r="B35" t="s">
        <v>75</v>
      </c>
      <c r="C35" t="s">
        <v>269</v>
      </c>
      <c r="D35">
        <v>1</v>
      </c>
    </row>
    <row r="36" spans="1:5" x14ac:dyDescent="0.3">
      <c r="A36" t="s">
        <v>209</v>
      </c>
      <c r="B36" t="s">
        <v>77</v>
      </c>
      <c r="C36" t="s">
        <v>269</v>
      </c>
      <c r="D36">
        <v>1</v>
      </c>
    </row>
    <row r="37" spans="1:5" x14ac:dyDescent="0.3">
      <c r="A37" t="s">
        <v>210</v>
      </c>
      <c r="B37" t="s">
        <v>74</v>
      </c>
      <c r="C37" t="s">
        <v>269</v>
      </c>
      <c r="D37">
        <v>1</v>
      </c>
    </row>
    <row r="38" spans="1:5" x14ac:dyDescent="0.3">
      <c r="A38" t="s">
        <v>212</v>
      </c>
      <c r="B38" t="s">
        <v>76</v>
      </c>
      <c r="C38" t="s">
        <v>269</v>
      </c>
      <c r="D38">
        <v>1</v>
      </c>
    </row>
    <row r="39" spans="1:5" x14ac:dyDescent="0.3">
      <c r="A39" t="s">
        <v>214</v>
      </c>
      <c r="B39" t="s">
        <v>78</v>
      </c>
      <c r="C39" t="s">
        <v>269</v>
      </c>
      <c r="D39">
        <v>1</v>
      </c>
    </row>
    <row r="40" spans="1:5" x14ac:dyDescent="0.3">
      <c r="A40" t="s">
        <v>216</v>
      </c>
      <c r="B40" t="s">
        <v>79</v>
      </c>
      <c r="C40" t="s">
        <v>269</v>
      </c>
      <c r="D40">
        <v>1</v>
      </c>
    </row>
    <row r="41" spans="1:5" x14ac:dyDescent="0.3">
      <c r="A41" t="s">
        <v>217</v>
      </c>
      <c r="B41" t="s">
        <v>80</v>
      </c>
      <c r="C41" t="s">
        <v>269</v>
      </c>
      <c r="D41">
        <v>1</v>
      </c>
    </row>
    <row r="42" spans="1:5" x14ac:dyDescent="0.3">
      <c r="A42" t="s">
        <v>218</v>
      </c>
      <c r="B42" t="s">
        <v>82</v>
      </c>
      <c r="C42" t="s">
        <v>269</v>
      </c>
      <c r="D42">
        <v>1</v>
      </c>
    </row>
    <row r="43" spans="1:5" x14ac:dyDescent="0.3">
      <c r="A43" t="s">
        <v>220</v>
      </c>
      <c r="B43" t="s">
        <v>83</v>
      </c>
      <c r="C43" t="s">
        <v>269</v>
      </c>
      <c r="D43">
        <v>1</v>
      </c>
    </row>
    <row r="44" spans="1:5" x14ac:dyDescent="0.3">
      <c r="A44" t="s">
        <v>222</v>
      </c>
      <c r="B44" t="s">
        <v>85</v>
      </c>
      <c r="C44" t="s">
        <v>269</v>
      </c>
      <c r="D44">
        <v>1</v>
      </c>
    </row>
    <row r="45" spans="1:5" x14ac:dyDescent="0.3">
      <c r="A45" t="s">
        <v>223</v>
      </c>
      <c r="B45" t="s">
        <v>88</v>
      </c>
      <c r="C45" t="s">
        <v>269</v>
      </c>
      <c r="D45">
        <v>1</v>
      </c>
    </row>
    <row r="46" spans="1:5" x14ac:dyDescent="0.3">
      <c r="A46" t="s">
        <v>225</v>
      </c>
      <c r="B46" t="s">
        <v>90</v>
      </c>
      <c r="C46" t="s">
        <v>269</v>
      </c>
      <c r="D46">
        <v>1</v>
      </c>
    </row>
    <row r="47" spans="1:5" x14ac:dyDescent="0.3">
      <c r="A47" t="s">
        <v>228</v>
      </c>
      <c r="B47" t="s">
        <v>91</v>
      </c>
      <c r="C47" t="s">
        <v>269</v>
      </c>
      <c r="D47">
        <v>1</v>
      </c>
    </row>
    <row r="48" spans="1:5" x14ac:dyDescent="0.3">
      <c r="A48" t="s">
        <v>230</v>
      </c>
      <c r="B48" t="s">
        <v>86</v>
      </c>
      <c r="C48" t="s">
        <v>269</v>
      </c>
      <c r="D48">
        <v>1</v>
      </c>
    </row>
    <row r="49" spans="1:5" x14ac:dyDescent="0.3">
      <c r="A49" t="s">
        <v>231</v>
      </c>
      <c r="B49" t="s">
        <v>90</v>
      </c>
      <c r="C49" t="s">
        <v>269</v>
      </c>
      <c r="D49">
        <v>1</v>
      </c>
      <c r="E49" t="s">
        <v>265</v>
      </c>
    </row>
    <row r="50" spans="1:5" x14ac:dyDescent="0.3">
      <c r="A50" t="s">
        <v>233</v>
      </c>
      <c r="B50" t="s">
        <v>123</v>
      </c>
      <c r="C50" t="s">
        <v>269</v>
      </c>
      <c r="D50">
        <v>1</v>
      </c>
    </row>
    <row r="51" spans="1:5" x14ac:dyDescent="0.3">
      <c r="A51" t="s">
        <v>236</v>
      </c>
      <c r="B51" t="s">
        <v>124</v>
      </c>
      <c r="C51" t="s">
        <v>269</v>
      </c>
      <c r="D51">
        <v>1</v>
      </c>
    </row>
    <row r="52" spans="1:5" x14ac:dyDescent="0.3">
      <c r="A52" t="s">
        <v>239</v>
      </c>
      <c r="B52" t="s">
        <v>130</v>
      </c>
      <c r="C52" t="s">
        <v>269</v>
      </c>
      <c r="D52">
        <v>1</v>
      </c>
    </row>
    <row r="53" spans="1:5" x14ac:dyDescent="0.3">
      <c r="A53" t="s">
        <v>240</v>
      </c>
      <c r="B53" t="s">
        <v>131</v>
      </c>
      <c r="C53" t="s">
        <v>269</v>
      </c>
      <c r="D53">
        <v>1</v>
      </c>
    </row>
    <row r="54" spans="1:5" x14ac:dyDescent="0.3">
      <c r="A54" t="s">
        <v>242</v>
      </c>
      <c r="B54" t="s">
        <v>132</v>
      </c>
      <c r="C54" t="s">
        <v>269</v>
      </c>
      <c r="D54">
        <v>1</v>
      </c>
      <c r="E54" t="s">
        <v>245</v>
      </c>
    </row>
    <row r="55" spans="1:5" x14ac:dyDescent="0.3">
      <c r="A55" t="s">
        <v>242</v>
      </c>
      <c r="B55" t="s">
        <v>133</v>
      </c>
      <c r="C55" t="s">
        <v>270</v>
      </c>
      <c r="D55">
        <v>2</v>
      </c>
      <c r="E55" t="s">
        <v>245</v>
      </c>
    </row>
    <row r="56" spans="1:5" x14ac:dyDescent="0.3">
      <c r="A56" t="s">
        <v>246</v>
      </c>
      <c r="B56" t="s">
        <v>134</v>
      </c>
      <c r="C56" t="s">
        <v>269</v>
      </c>
      <c r="D56">
        <v>1</v>
      </c>
    </row>
    <row r="57" spans="1:5" x14ac:dyDescent="0.3">
      <c r="A57" t="s">
        <v>248</v>
      </c>
      <c r="B57" t="s">
        <v>135</v>
      </c>
      <c r="C57" t="s">
        <v>269</v>
      </c>
      <c r="D57">
        <v>1</v>
      </c>
    </row>
    <row r="58" spans="1:5" x14ac:dyDescent="0.3">
      <c r="A58" t="s">
        <v>249</v>
      </c>
      <c r="B58" t="s">
        <v>136</v>
      </c>
      <c r="C58" t="s">
        <v>269</v>
      </c>
      <c r="D58">
        <v>1</v>
      </c>
    </row>
    <row r="59" spans="1:5" x14ac:dyDescent="0.3">
      <c r="A59" t="s">
        <v>252</v>
      </c>
      <c r="B59" t="s">
        <v>137</v>
      </c>
      <c r="C59" t="s">
        <v>269</v>
      </c>
      <c r="D59">
        <v>1</v>
      </c>
    </row>
    <row r="60" spans="1:5" x14ac:dyDescent="0.3">
      <c r="A60" t="s">
        <v>254</v>
      </c>
      <c r="B60" t="s">
        <v>138</v>
      </c>
      <c r="C60" t="s">
        <v>269</v>
      </c>
      <c r="D60">
        <v>1</v>
      </c>
    </row>
    <row r="61" spans="1:5" x14ac:dyDescent="0.3">
      <c r="A61" t="s">
        <v>257</v>
      </c>
      <c r="B61" t="s">
        <v>139</v>
      </c>
      <c r="C61" t="s">
        <v>269</v>
      </c>
      <c r="D61">
        <v>1</v>
      </c>
      <c r="E61" t="s">
        <v>164</v>
      </c>
    </row>
    <row r="62" spans="1:5" x14ac:dyDescent="0.3">
      <c r="A62" t="s">
        <v>381</v>
      </c>
      <c r="B62" t="s">
        <v>392</v>
      </c>
      <c r="C62" t="s">
        <v>269</v>
      </c>
      <c r="D62">
        <v>1</v>
      </c>
    </row>
    <row r="63" spans="1:5" x14ac:dyDescent="0.3">
      <c r="A63" t="s">
        <v>510</v>
      </c>
      <c r="B63" t="s">
        <v>507</v>
      </c>
      <c r="C63" t="s">
        <v>269</v>
      </c>
      <c r="D63">
        <v>1</v>
      </c>
    </row>
    <row r="64" spans="1:5" x14ac:dyDescent="0.3">
      <c r="A64" t="s">
        <v>561</v>
      </c>
      <c r="B64" t="s">
        <v>737</v>
      </c>
      <c r="C64" t="s">
        <v>269</v>
      </c>
      <c r="D64">
        <v>1</v>
      </c>
    </row>
    <row r="65" spans="1:4" x14ac:dyDescent="0.3">
      <c r="A65" t="s">
        <v>562</v>
      </c>
      <c r="B65" t="s">
        <v>554</v>
      </c>
      <c r="C65" t="s">
        <v>269</v>
      </c>
      <c r="D65">
        <v>1</v>
      </c>
    </row>
    <row r="66" spans="1:4" x14ac:dyDescent="0.3">
      <c r="A66" t="s">
        <v>563</v>
      </c>
      <c r="B66" t="s">
        <v>556</v>
      </c>
      <c r="C66" t="s">
        <v>269</v>
      </c>
      <c r="D66">
        <v>1</v>
      </c>
    </row>
    <row r="67" spans="1:4" x14ac:dyDescent="0.3">
      <c r="A67" t="s">
        <v>566</v>
      </c>
      <c r="B67" t="s">
        <v>601</v>
      </c>
      <c r="C67" t="s">
        <v>269</v>
      </c>
      <c r="D67">
        <v>1</v>
      </c>
    </row>
    <row r="68" spans="1:4" x14ac:dyDescent="0.3">
      <c r="A68" t="s">
        <v>584</v>
      </c>
      <c r="B68" t="s">
        <v>492</v>
      </c>
      <c r="C68" t="s">
        <v>269</v>
      </c>
      <c r="D68">
        <v>1</v>
      </c>
    </row>
    <row r="69" spans="1:4" x14ac:dyDescent="0.3">
      <c r="A69" t="s">
        <v>580</v>
      </c>
      <c r="B69" t="s">
        <v>586</v>
      </c>
      <c r="C69" t="s">
        <v>269</v>
      </c>
      <c r="D69">
        <v>1</v>
      </c>
    </row>
    <row r="70" spans="1:4" x14ac:dyDescent="0.3">
      <c r="A70" t="s">
        <v>593</v>
      </c>
      <c r="B70" t="s">
        <v>587</v>
      </c>
      <c r="C70" t="s">
        <v>269</v>
      </c>
      <c r="D70">
        <v>1</v>
      </c>
    </row>
    <row r="71" spans="1:4" x14ac:dyDescent="0.3">
      <c r="A71" t="s">
        <v>594</v>
      </c>
      <c r="B71" t="s">
        <v>588</v>
      </c>
      <c r="C71" t="s">
        <v>269</v>
      </c>
      <c r="D71">
        <v>1</v>
      </c>
    </row>
    <row r="72" spans="1:4" x14ac:dyDescent="0.3">
      <c r="A72" t="s">
        <v>611</v>
      </c>
      <c r="B72" t="s">
        <v>605</v>
      </c>
      <c r="C72" t="s">
        <v>269</v>
      </c>
      <c r="D72">
        <v>1</v>
      </c>
    </row>
    <row r="73" spans="1:4" x14ac:dyDescent="0.3">
      <c r="A73" t="s">
        <v>614</v>
      </c>
      <c r="B73" t="s">
        <v>606</v>
      </c>
      <c r="C73" t="s">
        <v>269</v>
      </c>
      <c r="D73">
        <v>1</v>
      </c>
    </row>
    <row r="74" spans="1:4" x14ac:dyDescent="0.3">
      <c r="A74" t="s">
        <v>625</v>
      </c>
      <c r="B74" t="s">
        <v>619</v>
      </c>
      <c r="C74" t="s">
        <v>269</v>
      </c>
      <c r="D74">
        <v>1</v>
      </c>
    </row>
    <row r="75" spans="1:4" x14ac:dyDescent="0.3">
      <c r="A75" t="s">
        <v>626</v>
      </c>
      <c r="B75" t="s">
        <v>620</v>
      </c>
      <c r="C75" t="s">
        <v>269</v>
      </c>
      <c r="D75">
        <v>1</v>
      </c>
    </row>
    <row r="76" spans="1:4" x14ac:dyDescent="0.3">
      <c r="A76" t="s">
        <v>632</v>
      </c>
      <c r="B76" t="s">
        <v>587</v>
      </c>
      <c r="C76" t="s">
        <v>269</v>
      </c>
      <c r="D76">
        <v>1</v>
      </c>
    </row>
    <row r="77" spans="1:4" x14ac:dyDescent="0.3">
      <c r="A77" t="s">
        <v>642</v>
      </c>
      <c r="B77" t="s">
        <v>636</v>
      </c>
      <c r="C77" t="s">
        <v>269</v>
      </c>
      <c r="D77">
        <v>1</v>
      </c>
    </row>
    <row r="78" spans="1:4" x14ac:dyDescent="0.3">
      <c r="A78" t="s">
        <v>644</v>
      </c>
      <c r="B78" t="s">
        <v>652</v>
      </c>
      <c r="C78" t="s">
        <v>269</v>
      </c>
      <c r="D78">
        <v>1</v>
      </c>
    </row>
    <row r="79" spans="1:4" x14ac:dyDescent="0.3">
      <c r="A79" t="s">
        <v>645</v>
      </c>
      <c r="B79" t="s">
        <v>637</v>
      </c>
      <c r="C79" t="s">
        <v>269</v>
      </c>
      <c r="D79">
        <v>1</v>
      </c>
    </row>
    <row r="80" spans="1:4" x14ac:dyDescent="0.3">
      <c r="A80" t="s">
        <v>646</v>
      </c>
      <c r="B80" t="s">
        <v>688</v>
      </c>
      <c r="C80" t="s">
        <v>269</v>
      </c>
      <c r="D80">
        <v>1</v>
      </c>
    </row>
    <row r="81" spans="1:4" x14ac:dyDescent="0.3">
      <c r="A81" t="s">
        <v>659</v>
      </c>
      <c r="B81" t="s">
        <v>653</v>
      </c>
      <c r="C81" t="s">
        <v>269</v>
      </c>
      <c r="D81">
        <v>1</v>
      </c>
    </row>
    <row r="82" spans="1:4" x14ac:dyDescent="0.3">
      <c r="A82" t="s">
        <v>660</v>
      </c>
      <c r="B82" t="s">
        <v>654</v>
      </c>
      <c r="C82" t="s">
        <v>269</v>
      </c>
      <c r="D82">
        <v>1</v>
      </c>
    </row>
    <row r="83" spans="1:4" x14ac:dyDescent="0.3">
      <c r="A83" t="s">
        <v>665</v>
      </c>
      <c r="B83" t="s">
        <v>655</v>
      </c>
      <c r="C83" t="s">
        <v>269</v>
      </c>
      <c r="D83">
        <v>1</v>
      </c>
    </row>
    <row r="84" spans="1:4" x14ac:dyDescent="0.3">
      <c r="A84" t="s">
        <v>666</v>
      </c>
      <c r="B84" t="s">
        <v>497</v>
      </c>
      <c r="C84" t="s">
        <v>269</v>
      </c>
      <c r="D84">
        <v>1</v>
      </c>
    </row>
    <row r="85" spans="1:4" x14ac:dyDescent="0.3">
      <c r="A85" t="s">
        <v>667</v>
      </c>
      <c r="B85" t="s">
        <v>674</v>
      </c>
      <c r="C85" t="s">
        <v>269</v>
      </c>
      <c r="D85">
        <v>1</v>
      </c>
    </row>
    <row r="86" spans="1:4" x14ac:dyDescent="0.3">
      <c r="A86" t="s">
        <v>668</v>
      </c>
      <c r="B86" t="s">
        <v>675</v>
      </c>
      <c r="C86" t="s">
        <v>269</v>
      </c>
      <c r="D86">
        <v>1</v>
      </c>
    </row>
    <row r="87" spans="1:4" x14ac:dyDescent="0.3">
      <c r="A87" t="s">
        <v>669</v>
      </c>
      <c r="B87" t="s">
        <v>676</v>
      </c>
      <c r="C87" t="s">
        <v>269</v>
      </c>
      <c r="D87">
        <v>1</v>
      </c>
    </row>
    <row r="88" spans="1:4" x14ac:dyDescent="0.3">
      <c r="A88" t="s">
        <v>682</v>
      </c>
      <c r="B88" t="s">
        <v>677</v>
      </c>
      <c r="C88" t="s">
        <v>269</v>
      </c>
      <c r="D88">
        <v>1</v>
      </c>
    </row>
    <row r="89" spans="1:4" x14ac:dyDescent="0.3">
      <c r="A89" t="s">
        <v>716</v>
      </c>
      <c r="B89" t="s">
        <v>555</v>
      </c>
      <c r="C89" t="s">
        <v>269</v>
      </c>
      <c r="D89">
        <v>1</v>
      </c>
    </row>
    <row r="90" spans="1:4" x14ac:dyDescent="0.3">
      <c r="A90" t="s">
        <v>718</v>
      </c>
      <c r="B90" t="s">
        <v>721</v>
      </c>
      <c r="C90" t="s">
        <v>269</v>
      </c>
      <c r="D90">
        <v>1</v>
      </c>
    </row>
    <row r="91" spans="1:4" x14ac:dyDescent="0.3">
      <c r="A91" t="s">
        <v>772</v>
      </c>
      <c r="B91" t="s">
        <v>771</v>
      </c>
      <c r="C91" t="s">
        <v>269</v>
      </c>
      <c r="D91">
        <v>1</v>
      </c>
    </row>
    <row r="92" spans="1:4" x14ac:dyDescent="0.3">
      <c r="A92" t="s">
        <v>775</v>
      </c>
      <c r="B92" t="s">
        <v>779</v>
      </c>
      <c r="C92" t="s">
        <v>269</v>
      </c>
      <c r="D92">
        <v>1</v>
      </c>
    </row>
    <row r="93" spans="1:4" x14ac:dyDescent="0.3">
      <c r="A93" t="s">
        <v>785</v>
      </c>
      <c r="B93" t="s">
        <v>783</v>
      </c>
      <c r="C93" t="s">
        <v>269</v>
      </c>
      <c r="D93">
        <v>1</v>
      </c>
    </row>
    <row r="94" spans="1:4" x14ac:dyDescent="0.3">
      <c r="A94" t="s">
        <v>849</v>
      </c>
      <c r="B94" t="s">
        <v>847</v>
      </c>
      <c r="C94" t="s">
        <v>269</v>
      </c>
      <c r="D94">
        <v>1</v>
      </c>
    </row>
    <row r="95" spans="1:4" x14ac:dyDescent="0.3">
      <c r="A95" t="s">
        <v>855</v>
      </c>
      <c r="B95" t="s">
        <v>471</v>
      </c>
      <c r="C95" t="s">
        <v>269</v>
      </c>
      <c r="D95">
        <v>1</v>
      </c>
    </row>
    <row r="96" spans="1:4" x14ac:dyDescent="0.3">
      <c r="A96" t="s">
        <v>1074</v>
      </c>
      <c r="B96" t="s">
        <v>1072</v>
      </c>
      <c r="C96" t="s">
        <v>269</v>
      </c>
      <c r="D96">
        <v>1</v>
      </c>
    </row>
    <row r="97" spans="1:4" x14ac:dyDescent="0.3">
      <c r="A97" t="s">
        <v>1079</v>
      </c>
      <c r="B97" t="s">
        <v>1050</v>
      </c>
      <c r="C97" t="s">
        <v>269</v>
      </c>
      <c r="D97">
        <v>1</v>
      </c>
    </row>
    <row r="98" spans="1:4" x14ac:dyDescent="0.3">
      <c r="A98" t="s">
        <v>1089</v>
      </c>
      <c r="B98" t="s">
        <v>1051</v>
      </c>
      <c r="C98" t="s">
        <v>269</v>
      </c>
      <c r="D98">
        <v>1</v>
      </c>
    </row>
    <row r="99" spans="1:4" x14ac:dyDescent="0.3">
      <c r="A99" t="s">
        <v>1105</v>
      </c>
      <c r="B99" t="s">
        <v>1097</v>
      </c>
      <c r="C99" t="s">
        <v>269</v>
      </c>
      <c r="D99">
        <v>1</v>
      </c>
    </row>
    <row r="100" spans="1:4" x14ac:dyDescent="0.3">
      <c r="A100" t="s">
        <v>1106</v>
      </c>
      <c r="B100" t="s">
        <v>1098</v>
      </c>
      <c r="C100" t="s">
        <v>269</v>
      </c>
      <c r="D100">
        <v>1</v>
      </c>
    </row>
    <row r="101" spans="1:4" x14ac:dyDescent="0.3">
      <c r="A101" t="s">
        <v>1107</v>
      </c>
      <c r="B101" t="s">
        <v>1099</v>
      </c>
      <c r="C101" t="s">
        <v>269</v>
      </c>
      <c r="D101">
        <v>1</v>
      </c>
    </row>
    <row r="102" spans="1:4" x14ac:dyDescent="0.3">
      <c r="A102" t="s">
        <v>1108</v>
      </c>
      <c r="B102" t="s">
        <v>1100</v>
      </c>
      <c r="C102" t="s">
        <v>269</v>
      </c>
      <c r="D102">
        <v>1</v>
      </c>
    </row>
    <row r="103" spans="1:4" x14ac:dyDescent="0.3">
      <c r="A103" t="s">
        <v>1109</v>
      </c>
      <c r="B103" t="s">
        <v>1101</v>
      </c>
      <c r="C103" t="s">
        <v>269</v>
      </c>
      <c r="D103">
        <v>1</v>
      </c>
    </row>
    <row r="104" spans="1:4" x14ac:dyDescent="0.3">
      <c r="A104" t="s">
        <v>1123</v>
      </c>
      <c r="B104" t="s">
        <v>1104</v>
      </c>
      <c r="C104" t="s">
        <v>269</v>
      </c>
      <c r="D104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F6D2-CC24-4843-AC85-17C15B0B1CF5}">
  <dimension ref="A1:C29"/>
  <sheetViews>
    <sheetView zoomScale="85" zoomScaleNormal="85" workbookViewId="0"/>
  </sheetViews>
  <sheetFormatPr defaultRowHeight="16.5" x14ac:dyDescent="0.3"/>
  <cols>
    <col min="1" max="1" width="11.625" customWidth="1"/>
    <col min="2" max="2" width="14.75" customWidth="1"/>
    <col min="3" max="3" width="21.875" bestFit="1" customWidth="1"/>
  </cols>
  <sheetData>
    <row r="1" spans="1:3" x14ac:dyDescent="0.3">
      <c r="A1" t="s">
        <v>278</v>
      </c>
      <c r="B1" t="s">
        <v>279</v>
      </c>
      <c r="C1" t="s">
        <v>0</v>
      </c>
    </row>
    <row r="2" spans="1:3" x14ac:dyDescent="0.3">
      <c r="A2" t="s">
        <v>280</v>
      </c>
      <c r="B2" t="s">
        <v>281</v>
      </c>
    </row>
    <row r="3" spans="1:3" x14ac:dyDescent="0.3">
      <c r="A3" t="s">
        <v>282</v>
      </c>
      <c r="B3" t="s">
        <v>283</v>
      </c>
    </row>
    <row r="4" spans="1:3" x14ac:dyDescent="0.3">
      <c r="A4" t="s">
        <v>308</v>
      </c>
      <c r="B4" t="s">
        <v>284</v>
      </c>
    </row>
    <row r="5" spans="1:3" x14ac:dyDescent="0.3">
      <c r="A5" t="s">
        <v>309</v>
      </c>
      <c r="B5" t="s">
        <v>285</v>
      </c>
    </row>
    <row r="6" spans="1:3" x14ac:dyDescent="0.3">
      <c r="A6" t="s">
        <v>310</v>
      </c>
      <c r="B6" t="s">
        <v>286</v>
      </c>
    </row>
    <row r="7" spans="1:3" x14ac:dyDescent="0.3">
      <c r="A7" t="s">
        <v>311</v>
      </c>
      <c r="B7" t="s">
        <v>287</v>
      </c>
    </row>
    <row r="8" spans="1:3" x14ac:dyDescent="0.3">
      <c r="A8" t="s">
        <v>312</v>
      </c>
      <c r="B8" t="s">
        <v>288</v>
      </c>
    </row>
    <row r="9" spans="1:3" x14ac:dyDescent="0.3">
      <c r="A9" t="s">
        <v>313</v>
      </c>
      <c r="B9" t="s">
        <v>289</v>
      </c>
    </row>
    <row r="10" spans="1:3" x14ac:dyDescent="0.3">
      <c r="A10" t="s">
        <v>314</v>
      </c>
      <c r="B10" t="s">
        <v>290</v>
      </c>
    </row>
    <row r="11" spans="1:3" x14ac:dyDescent="0.3">
      <c r="A11" t="s">
        <v>315</v>
      </c>
      <c r="B11" t="s">
        <v>291</v>
      </c>
    </row>
    <row r="12" spans="1:3" x14ac:dyDescent="0.3">
      <c r="A12" t="s">
        <v>316</v>
      </c>
      <c r="B12" t="s">
        <v>292</v>
      </c>
    </row>
    <row r="13" spans="1:3" x14ac:dyDescent="0.3">
      <c r="A13" t="s">
        <v>317</v>
      </c>
      <c r="B13" t="s">
        <v>293</v>
      </c>
    </row>
    <row r="14" spans="1:3" x14ac:dyDescent="0.3">
      <c r="A14" t="s">
        <v>318</v>
      </c>
      <c r="B14" t="s">
        <v>294</v>
      </c>
    </row>
    <row r="15" spans="1:3" x14ac:dyDescent="0.3">
      <c r="A15" t="s">
        <v>319</v>
      </c>
      <c r="B15" t="s">
        <v>295</v>
      </c>
    </row>
    <row r="16" spans="1:3" x14ac:dyDescent="0.3">
      <c r="A16" t="s">
        <v>320</v>
      </c>
      <c r="B16" t="s">
        <v>296</v>
      </c>
    </row>
    <row r="17" spans="1:3" x14ac:dyDescent="0.3">
      <c r="A17" t="s">
        <v>321</v>
      </c>
      <c r="B17" t="s">
        <v>297</v>
      </c>
    </row>
    <row r="18" spans="1:3" x14ac:dyDescent="0.3">
      <c r="A18" t="s">
        <v>322</v>
      </c>
      <c r="B18" t="s">
        <v>298</v>
      </c>
    </row>
    <row r="19" spans="1:3" x14ac:dyDescent="0.3">
      <c r="A19" t="s">
        <v>323</v>
      </c>
      <c r="B19" t="s">
        <v>299</v>
      </c>
    </row>
    <row r="20" spans="1:3" x14ac:dyDescent="0.3">
      <c r="A20" t="s">
        <v>324</v>
      </c>
      <c r="B20" t="s">
        <v>300</v>
      </c>
      <c r="C20" t="s">
        <v>386</v>
      </c>
    </row>
    <row r="21" spans="1:3" x14ac:dyDescent="0.3">
      <c r="A21" t="s">
        <v>325</v>
      </c>
      <c r="B21" t="s">
        <v>301</v>
      </c>
    </row>
    <row r="22" spans="1:3" x14ac:dyDescent="0.3">
      <c r="A22" t="s">
        <v>326</v>
      </c>
      <c r="B22" t="s">
        <v>302</v>
      </c>
    </row>
    <row r="23" spans="1:3" x14ac:dyDescent="0.3">
      <c r="A23" t="s">
        <v>327</v>
      </c>
      <c r="B23" t="s">
        <v>303</v>
      </c>
    </row>
    <row r="24" spans="1:3" x14ac:dyDescent="0.3">
      <c r="A24" t="s">
        <v>328</v>
      </c>
      <c r="B24" t="s">
        <v>304</v>
      </c>
    </row>
    <row r="25" spans="1:3" x14ac:dyDescent="0.3">
      <c r="A25" t="s">
        <v>329</v>
      </c>
      <c r="B25" t="s">
        <v>305</v>
      </c>
    </row>
    <row r="26" spans="1:3" x14ac:dyDescent="0.3">
      <c r="A26" t="s">
        <v>330</v>
      </c>
      <c r="B26" t="s">
        <v>306</v>
      </c>
    </row>
    <row r="27" spans="1:3" x14ac:dyDescent="0.3">
      <c r="A27" t="s">
        <v>331</v>
      </c>
      <c r="B27" t="s">
        <v>307</v>
      </c>
    </row>
    <row r="28" spans="1:3" x14ac:dyDescent="0.3">
      <c r="A28" t="s">
        <v>348</v>
      </c>
      <c r="B28" t="s">
        <v>349</v>
      </c>
    </row>
    <row r="29" spans="1:3" x14ac:dyDescent="0.3">
      <c r="A29" t="s">
        <v>374</v>
      </c>
      <c r="B29" t="s">
        <v>375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C0C8-1619-41FC-A1CE-6E4962B4A824}">
  <dimension ref="A1:C59"/>
  <sheetViews>
    <sheetView zoomScale="85" zoomScaleNormal="85" workbookViewId="0"/>
  </sheetViews>
  <sheetFormatPr defaultRowHeight="16.5" x14ac:dyDescent="0.3"/>
  <cols>
    <col min="1" max="1" width="10.875" bestFit="1" customWidth="1"/>
    <col min="2" max="2" width="12.875" bestFit="1" customWidth="1"/>
    <col min="3" max="3" width="11.125" bestFit="1" customWidth="1"/>
  </cols>
  <sheetData>
    <row r="1" spans="1:3" x14ac:dyDescent="0.3">
      <c r="A1" t="s">
        <v>258</v>
      </c>
      <c r="B1" t="s">
        <v>278</v>
      </c>
      <c r="C1" t="s">
        <v>0</v>
      </c>
    </row>
    <row r="2" spans="1:3" x14ac:dyDescent="0.3">
      <c r="A2" t="s">
        <v>332</v>
      </c>
      <c r="B2" t="s">
        <v>333</v>
      </c>
      <c r="C2" t="s">
        <v>336</v>
      </c>
    </row>
    <row r="3" spans="1:3" x14ac:dyDescent="0.3">
      <c r="A3" t="s">
        <v>335</v>
      </c>
      <c r="B3" t="s">
        <v>333</v>
      </c>
      <c r="C3" t="s">
        <v>334</v>
      </c>
    </row>
    <row r="4" spans="1:3" x14ac:dyDescent="0.3">
      <c r="A4" t="s">
        <v>150</v>
      </c>
      <c r="B4" t="s">
        <v>337</v>
      </c>
      <c r="C4" t="s">
        <v>338</v>
      </c>
    </row>
    <row r="5" spans="1:3" x14ac:dyDescent="0.3">
      <c r="A5" t="s">
        <v>153</v>
      </c>
      <c r="B5" t="s">
        <v>339</v>
      </c>
    </row>
    <row r="6" spans="1:3" x14ac:dyDescent="0.3">
      <c r="A6" t="s">
        <v>155</v>
      </c>
      <c r="B6" t="s">
        <v>339</v>
      </c>
    </row>
    <row r="7" spans="1:3" x14ac:dyDescent="0.3">
      <c r="A7" t="s">
        <v>158</v>
      </c>
      <c r="B7" t="s">
        <v>323</v>
      </c>
    </row>
    <row r="8" spans="1:3" x14ac:dyDescent="0.3">
      <c r="A8" t="s">
        <v>158</v>
      </c>
      <c r="B8" t="s">
        <v>325</v>
      </c>
    </row>
    <row r="9" spans="1:3" x14ac:dyDescent="0.3">
      <c r="A9" t="s">
        <v>158</v>
      </c>
      <c r="B9" t="s">
        <v>324</v>
      </c>
    </row>
    <row r="10" spans="1:3" x14ac:dyDescent="0.3">
      <c r="A10" t="s">
        <v>160</v>
      </c>
      <c r="B10" t="s">
        <v>323</v>
      </c>
    </row>
    <row r="11" spans="1:3" x14ac:dyDescent="0.3">
      <c r="A11" t="s">
        <v>160</v>
      </c>
      <c r="B11" t="s">
        <v>309</v>
      </c>
    </row>
    <row r="12" spans="1:3" x14ac:dyDescent="0.3">
      <c r="A12" t="s">
        <v>340</v>
      </c>
      <c r="B12" t="s">
        <v>341</v>
      </c>
    </row>
    <row r="13" spans="1:3" x14ac:dyDescent="0.3">
      <c r="A13" t="s">
        <v>340</v>
      </c>
      <c r="B13" t="s">
        <v>342</v>
      </c>
    </row>
    <row r="14" spans="1:3" x14ac:dyDescent="0.3">
      <c r="A14" t="s">
        <v>345</v>
      </c>
      <c r="B14" t="s">
        <v>343</v>
      </c>
      <c r="C14" t="s">
        <v>344</v>
      </c>
    </row>
    <row r="15" spans="1:3" x14ac:dyDescent="0.3">
      <c r="A15" t="s">
        <v>346</v>
      </c>
      <c r="B15" t="s">
        <v>343</v>
      </c>
      <c r="C15" t="s">
        <v>344</v>
      </c>
    </row>
    <row r="16" spans="1:3" x14ac:dyDescent="0.3">
      <c r="A16" t="s">
        <v>347</v>
      </c>
      <c r="B16" t="s">
        <v>350</v>
      </c>
    </row>
    <row r="17" spans="1:3" x14ac:dyDescent="0.3">
      <c r="A17" t="s">
        <v>347</v>
      </c>
      <c r="B17" t="s">
        <v>348</v>
      </c>
    </row>
    <row r="18" spans="1:3" x14ac:dyDescent="0.3">
      <c r="A18" t="s">
        <v>194</v>
      </c>
      <c r="B18" t="s">
        <v>339</v>
      </c>
    </row>
    <row r="19" spans="1:3" x14ac:dyDescent="0.3">
      <c r="A19" t="s">
        <v>199</v>
      </c>
      <c r="B19" t="s">
        <v>333</v>
      </c>
    </row>
    <row r="20" spans="1:3" x14ac:dyDescent="0.3">
      <c r="A20" t="s">
        <v>199</v>
      </c>
      <c r="B20" t="s">
        <v>342</v>
      </c>
    </row>
    <row r="21" spans="1:3" x14ac:dyDescent="0.3">
      <c r="A21" t="s">
        <v>199</v>
      </c>
      <c r="B21" t="s">
        <v>341</v>
      </c>
    </row>
    <row r="22" spans="1:3" x14ac:dyDescent="0.3">
      <c r="A22" t="s">
        <v>351</v>
      </c>
      <c r="B22" t="s">
        <v>333</v>
      </c>
    </row>
    <row r="23" spans="1:3" x14ac:dyDescent="0.3">
      <c r="A23" t="s">
        <v>354</v>
      </c>
      <c r="B23" t="s">
        <v>333</v>
      </c>
      <c r="C23" t="s">
        <v>355</v>
      </c>
    </row>
    <row r="24" spans="1:3" x14ac:dyDescent="0.3">
      <c r="A24" t="s">
        <v>356</v>
      </c>
      <c r="B24" t="s">
        <v>357</v>
      </c>
    </row>
    <row r="25" spans="1:3" x14ac:dyDescent="0.3">
      <c r="A25" t="s">
        <v>356</v>
      </c>
      <c r="B25" t="s">
        <v>350</v>
      </c>
    </row>
    <row r="26" spans="1:3" x14ac:dyDescent="0.3">
      <c r="A26" t="s">
        <v>358</v>
      </c>
      <c r="B26" t="s">
        <v>357</v>
      </c>
    </row>
    <row r="27" spans="1:3" x14ac:dyDescent="0.3">
      <c r="A27" t="s">
        <v>358</v>
      </c>
      <c r="B27" t="s">
        <v>350</v>
      </c>
    </row>
    <row r="28" spans="1:3" x14ac:dyDescent="0.3">
      <c r="A28" t="s">
        <v>358</v>
      </c>
      <c r="B28" t="s">
        <v>359</v>
      </c>
    </row>
    <row r="29" spans="1:3" x14ac:dyDescent="0.3">
      <c r="A29" t="s">
        <v>360</v>
      </c>
      <c r="B29" t="s">
        <v>357</v>
      </c>
    </row>
    <row r="30" spans="1:3" x14ac:dyDescent="0.3">
      <c r="A30" t="s">
        <v>360</v>
      </c>
      <c r="B30" t="s">
        <v>350</v>
      </c>
    </row>
    <row r="31" spans="1:3" x14ac:dyDescent="0.3">
      <c r="A31" t="s">
        <v>360</v>
      </c>
      <c r="B31" t="s">
        <v>361</v>
      </c>
    </row>
    <row r="32" spans="1:3" x14ac:dyDescent="0.3">
      <c r="A32" t="s">
        <v>360</v>
      </c>
      <c r="B32" t="s">
        <v>362</v>
      </c>
    </row>
    <row r="33" spans="1:3" x14ac:dyDescent="0.3">
      <c r="A33" t="s">
        <v>363</v>
      </c>
      <c r="B33" t="s">
        <v>364</v>
      </c>
    </row>
    <row r="34" spans="1:3" x14ac:dyDescent="0.3">
      <c r="A34" t="s">
        <v>363</v>
      </c>
      <c r="B34" t="s">
        <v>365</v>
      </c>
    </row>
    <row r="35" spans="1:3" x14ac:dyDescent="0.3">
      <c r="A35" t="s">
        <v>363</v>
      </c>
      <c r="B35" t="s">
        <v>366</v>
      </c>
    </row>
    <row r="36" spans="1:3" x14ac:dyDescent="0.3">
      <c r="A36" t="s">
        <v>363</v>
      </c>
      <c r="B36" t="s">
        <v>367</v>
      </c>
    </row>
    <row r="37" spans="1:3" x14ac:dyDescent="0.3">
      <c r="A37" t="s">
        <v>363</v>
      </c>
      <c r="B37" t="s">
        <v>368</v>
      </c>
    </row>
    <row r="38" spans="1:3" x14ac:dyDescent="0.3">
      <c r="A38" t="s">
        <v>599</v>
      </c>
      <c r="B38" t="s">
        <v>333</v>
      </c>
      <c r="C38" t="s">
        <v>547</v>
      </c>
    </row>
    <row r="39" spans="1:3" x14ac:dyDescent="0.3">
      <c r="A39" t="s">
        <v>369</v>
      </c>
      <c r="B39" t="s">
        <v>280</v>
      </c>
      <c r="C39" t="s">
        <v>370</v>
      </c>
    </row>
    <row r="40" spans="1:3" x14ac:dyDescent="0.3">
      <c r="A40" t="s">
        <v>369</v>
      </c>
      <c r="B40" t="s">
        <v>333</v>
      </c>
    </row>
    <row r="41" spans="1:3" x14ac:dyDescent="0.3">
      <c r="A41" t="s">
        <v>371</v>
      </c>
      <c r="B41" t="s">
        <v>282</v>
      </c>
    </row>
    <row r="42" spans="1:3" x14ac:dyDescent="0.3">
      <c r="A42" t="s">
        <v>371</v>
      </c>
      <c r="B42" t="s">
        <v>333</v>
      </c>
    </row>
    <row r="43" spans="1:3" x14ac:dyDescent="0.3">
      <c r="A43" t="s">
        <v>372</v>
      </c>
      <c r="B43" t="s">
        <v>282</v>
      </c>
    </row>
    <row r="44" spans="1:3" x14ac:dyDescent="0.3">
      <c r="A44" t="s">
        <v>372</v>
      </c>
      <c r="B44" t="s">
        <v>333</v>
      </c>
    </row>
    <row r="45" spans="1:3" x14ac:dyDescent="0.3">
      <c r="A45" t="s">
        <v>373</v>
      </c>
      <c r="B45" t="s">
        <v>339</v>
      </c>
    </row>
    <row r="46" spans="1:3" x14ac:dyDescent="0.3">
      <c r="A46" t="s">
        <v>373</v>
      </c>
      <c r="B46" t="s">
        <v>341</v>
      </c>
    </row>
    <row r="47" spans="1:3" x14ac:dyDescent="0.3">
      <c r="A47" t="s">
        <v>373</v>
      </c>
      <c r="B47" t="s">
        <v>374</v>
      </c>
    </row>
    <row r="48" spans="1:3" x14ac:dyDescent="0.3">
      <c r="A48" t="s">
        <v>376</v>
      </c>
      <c r="B48" t="s">
        <v>282</v>
      </c>
      <c r="C48" t="s">
        <v>377</v>
      </c>
    </row>
    <row r="49" spans="1:2" x14ac:dyDescent="0.3">
      <c r="A49" t="s">
        <v>376</v>
      </c>
      <c r="B49" t="s">
        <v>333</v>
      </c>
    </row>
    <row r="50" spans="1:2" x14ac:dyDescent="0.3">
      <c r="A50" t="s">
        <v>378</v>
      </c>
      <c r="B50" t="s">
        <v>282</v>
      </c>
    </row>
    <row r="51" spans="1:2" x14ac:dyDescent="0.3">
      <c r="A51" t="s">
        <v>378</v>
      </c>
      <c r="B51" t="s">
        <v>333</v>
      </c>
    </row>
    <row r="52" spans="1:2" x14ac:dyDescent="0.3">
      <c r="A52" t="s">
        <v>379</v>
      </c>
      <c r="B52" t="s">
        <v>309</v>
      </c>
    </row>
    <row r="53" spans="1:2" x14ac:dyDescent="0.3">
      <c r="A53" t="s">
        <v>379</v>
      </c>
      <c r="B53" t="s">
        <v>318</v>
      </c>
    </row>
    <row r="54" spans="1:2" x14ac:dyDescent="0.3">
      <c r="A54" t="s">
        <v>384</v>
      </c>
      <c r="B54" t="s">
        <v>280</v>
      </c>
    </row>
    <row r="55" spans="1:2" x14ac:dyDescent="0.3">
      <c r="A55" t="s">
        <v>385</v>
      </c>
      <c r="B55" t="s">
        <v>387</v>
      </c>
    </row>
    <row r="56" spans="1:2" x14ac:dyDescent="0.3">
      <c r="A56" t="s">
        <v>388</v>
      </c>
      <c r="B56" t="s">
        <v>282</v>
      </c>
    </row>
    <row r="57" spans="1:2" x14ac:dyDescent="0.3">
      <c r="A57" t="s">
        <v>381</v>
      </c>
      <c r="B57" t="s">
        <v>333</v>
      </c>
    </row>
    <row r="58" spans="1:2" x14ac:dyDescent="0.3">
      <c r="A58" t="s">
        <v>716</v>
      </c>
      <c r="B58" t="s">
        <v>280</v>
      </c>
    </row>
    <row r="59" spans="1:2" x14ac:dyDescent="0.3">
      <c r="A59" t="s">
        <v>718</v>
      </c>
      <c r="B59" t="s">
        <v>280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94C3-947A-415D-8A10-3CC2EBC6A1B4}">
  <dimension ref="A1:C56"/>
  <sheetViews>
    <sheetView zoomScale="85" zoomScaleNormal="85" workbookViewId="0">
      <selection activeCell="A46" sqref="A46"/>
    </sheetView>
  </sheetViews>
  <sheetFormatPr defaultRowHeight="16.5" x14ac:dyDescent="0.3"/>
  <cols>
    <col min="1" max="1" width="12.125" customWidth="1"/>
    <col min="2" max="2" width="27.625" bestFit="1" customWidth="1"/>
    <col min="3" max="3" width="9" customWidth="1"/>
  </cols>
  <sheetData>
    <row r="1" spans="1:3" x14ac:dyDescent="0.3">
      <c r="A1" s="5" t="s">
        <v>395</v>
      </c>
      <c r="B1" s="6" t="s">
        <v>396</v>
      </c>
      <c r="C1" s="7" t="s">
        <v>397</v>
      </c>
    </row>
    <row r="2" spans="1:3" x14ac:dyDescent="0.3">
      <c r="A2" s="2" t="s">
        <v>399</v>
      </c>
      <c r="B2" s="3" t="s">
        <v>411</v>
      </c>
      <c r="C2" s="4"/>
    </row>
    <row r="3" spans="1:3" x14ac:dyDescent="0.3">
      <c r="A3" t="s">
        <v>401</v>
      </c>
      <c r="B3" t="s">
        <v>412</v>
      </c>
    </row>
    <row r="4" spans="1:3" x14ac:dyDescent="0.3">
      <c r="A4" s="2" t="s">
        <v>402</v>
      </c>
      <c r="B4" t="s">
        <v>413</v>
      </c>
    </row>
    <row r="5" spans="1:3" x14ac:dyDescent="0.3">
      <c r="A5" t="s">
        <v>403</v>
      </c>
      <c r="B5" t="s">
        <v>537</v>
      </c>
    </row>
    <row r="6" spans="1:3" x14ac:dyDescent="0.3">
      <c r="A6" s="2" t="s">
        <v>404</v>
      </c>
      <c r="B6" t="s">
        <v>414</v>
      </c>
    </row>
    <row r="7" spans="1:3" x14ac:dyDescent="0.3">
      <c r="A7" t="s">
        <v>405</v>
      </c>
      <c r="B7" t="s">
        <v>415</v>
      </c>
    </row>
    <row r="8" spans="1:3" x14ac:dyDescent="0.3">
      <c r="A8" s="2" t="s">
        <v>406</v>
      </c>
      <c r="B8" t="s">
        <v>416</v>
      </c>
    </row>
    <row r="9" spans="1:3" x14ac:dyDescent="0.3">
      <c r="A9" t="s">
        <v>407</v>
      </c>
      <c r="B9" t="s">
        <v>417</v>
      </c>
    </row>
    <row r="10" spans="1:3" x14ac:dyDescent="0.3">
      <c r="A10" s="2" t="s">
        <v>408</v>
      </c>
      <c r="B10" t="s">
        <v>418</v>
      </c>
    </row>
    <row r="11" spans="1:3" x14ac:dyDescent="0.3">
      <c r="A11" t="s">
        <v>409</v>
      </c>
      <c r="B11" t="s">
        <v>419</v>
      </c>
    </row>
    <row r="12" spans="1:3" x14ac:dyDescent="0.3">
      <c r="A12" s="2" t="s">
        <v>410</v>
      </c>
      <c r="B12" t="s">
        <v>420</v>
      </c>
    </row>
    <row r="13" spans="1:3" x14ac:dyDescent="0.3">
      <c r="A13" t="s">
        <v>441</v>
      </c>
      <c r="B13" t="s">
        <v>421</v>
      </c>
    </row>
    <row r="14" spans="1:3" x14ac:dyDescent="0.3">
      <c r="A14" s="2" t="s">
        <v>442</v>
      </c>
      <c r="B14" t="s">
        <v>422</v>
      </c>
    </row>
    <row r="15" spans="1:3" x14ac:dyDescent="0.3">
      <c r="A15" t="s">
        <v>443</v>
      </c>
      <c r="B15" t="s">
        <v>423</v>
      </c>
    </row>
    <row r="16" spans="1:3" x14ac:dyDescent="0.3">
      <c r="A16" s="2" t="s">
        <v>444</v>
      </c>
      <c r="B16" t="s">
        <v>424</v>
      </c>
    </row>
    <row r="17" spans="1:2" x14ac:dyDescent="0.3">
      <c r="A17" t="s">
        <v>445</v>
      </c>
      <c r="B17" t="s">
        <v>425</v>
      </c>
    </row>
    <row r="18" spans="1:2" x14ac:dyDescent="0.3">
      <c r="A18" s="2" t="s">
        <v>446</v>
      </c>
      <c r="B18" t="s">
        <v>426</v>
      </c>
    </row>
    <row r="19" spans="1:2" x14ac:dyDescent="0.3">
      <c r="A19" t="s">
        <v>447</v>
      </c>
      <c r="B19" t="s">
        <v>427</v>
      </c>
    </row>
    <row r="20" spans="1:2" x14ac:dyDescent="0.3">
      <c r="A20" s="2" t="s">
        <v>448</v>
      </c>
      <c r="B20" t="s">
        <v>428</v>
      </c>
    </row>
    <row r="21" spans="1:2" x14ac:dyDescent="0.3">
      <c r="A21" t="s">
        <v>449</v>
      </c>
      <c r="B21" t="s">
        <v>429</v>
      </c>
    </row>
    <row r="22" spans="1:2" x14ac:dyDescent="0.3">
      <c r="A22" s="2" t="s">
        <v>450</v>
      </c>
      <c r="B22" t="s">
        <v>430</v>
      </c>
    </row>
    <row r="23" spans="1:2" x14ac:dyDescent="0.3">
      <c r="A23" t="s">
        <v>451</v>
      </c>
      <c r="B23" t="s">
        <v>431</v>
      </c>
    </row>
    <row r="24" spans="1:2" x14ac:dyDescent="0.3">
      <c r="A24" s="2" t="s">
        <v>452</v>
      </c>
      <c r="B24" t="s">
        <v>432</v>
      </c>
    </row>
    <row r="25" spans="1:2" x14ac:dyDescent="0.3">
      <c r="A25" t="s">
        <v>453</v>
      </c>
      <c r="B25" t="s">
        <v>433</v>
      </c>
    </row>
    <row r="26" spans="1:2" x14ac:dyDescent="0.3">
      <c r="A26" s="2" t="s">
        <v>454</v>
      </c>
      <c r="B26" t="s">
        <v>434</v>
      </c>
    </row>
    <row r="27" spans="1:2" x14ac:dyDescent="0.3">
      <c r="A27" t="s">
        <v>455</v>
      </c>
      <c r="B27" t="s">
        <v>435</v>
      </c>
    </row>
    <row r="28" spans="1:2" x14ac:dyDescent="0.3">
      <c r="A28" s="2" t="s">
        <v>456</v>
      </c>
      <c r="B28" t="s">
        <v>436</v>
      </c>
    </row>
    <row r="29" spans="1:2" x14ac:dyDescent="0.3">
      <c r="A29" t="s">
        <v>457</v>
      </c>
      <c r="B29" t="s">
        <v>437</v>
      </c>
    </row>
    <row r="30" spans="1:2" x14ac:dyDescent="0.3">
      <c r="A30" s="2" t="s">
        <v>458</v>
      </c>
      <c r="B30" t="s">
        <v>438</v>
      </c>
    </row>
    <row r="31" spans="1:2" x14ac:dyDescent="0.3">
      <c r="A31" t="s">
        <v>459</v>
      </c>
      <c r="B31" t="s">
        <v>439</v>
      </c>
    </row>
    <row r="32" spans="1:2" x14ac:dyDescent="0.3">
      <c r="A32" s="2" t="s">
        <v>460</v>
      </c>
      <c r="B32" t="s">
        <v>440</v>
      </c>
    </row>
    <row r="33" spans="1:2" x14ac:dyDescent="0.3">
      <c r="A33" s="2" t="s">
        <v>546</v>
      </c>
      <c r="B33" t="s">
        <v>547</v>
      </c>
    </row>
    <row r="34" spans="1:2" x14ac:dyDescent="0.3">
      <c r="A34" s="2" t="s">
        <v>701</v>
      </c>
      <c r="B34" t="s">
        <v>689</v>
      </c>
    </row>
    <row r="35" spans="1:2" x14ac:dyDescent="0.3">
      <c r="A35" s="2" t="s">
        <v>702</v>
      </c>
      <c r="B35" t="s">
        <v>690</v>
      </c>
    </row>
    <row r="36" spans="1:2" x14ac:dyDescent="0.3">
      <c r="A36" s="2" t="s">
        <v>703</v>
      </c>
      <c r="B36" t="s">
        <v>691</v>
      </c>
    </row>
    <row r="37" spans="1:2" x14ac:dyDescent="0.3">
      <c r="A37" s="2" t="s">
        <v>704</v>
      </c>
      <c r="B37" t="s">
        <v>692</v>
      </c>
    </row>
    <row r="38" spans="1:2" x14ac:dyDescent="0.3">
      <c r="A38" s="2" t="s">
        <v>705</v>
      </c>
      <c r="B38" t="s">
        <v>693</v>
      </c>
    </row>
    <row r="39" spans="1:2" x14ac:dyDescent="0.3">
      <c r="A39" s="2" t="s">
        <v>706</v>
      </c>
      <c r="B39" t="s">
        <v>694</v>
      </c>
    </row>
    <row r="40" spans="1:2" x14ac:dyDescent="0.3">
      <c r="A40" s="2" t="s">
        <v>707</v>
      </c>
      <c r="B40" t="s">
        <v>695</v>
      </c>
    </row>
    <row r="41" spans="1:2" x14ac:dyDescent="0.3">
      <c r="A41" s="2" t="s">
        <v>708</v>
      </c>
      <c r="B41" t="s">
        <v>696</v>
      </c>
    </row>
    <row r="42" spans="1:2" x14ac:dyDescent="0.3">
      <c r="A42" s="2" t="s">
        <v>709</v>
      </c>
      <c r="B42" t="s">
        <v>697</v>
      </c>
    </row>
    <row r="43" spans="1:2" x14ac:dyDescent="0.3">
      <c r="A43" s="2" t="s">
        <v>710</v>
      </c>
      <c r="B43" t="s">
        <v>698</v>
      </c>
    </row>
    <row r="44" spans="1:2" x14ac:dyDescent="0.3">
      <c r="A44" s="2" t="s">
        <v>711</v>
      </c>
      <c r="B44" t="s">
        <v>699</v>
      </c>
    </row>
    <row r="45" spans="1:2" x14ac:dyDescent="0.3">
      <c r="A45" s="2" t="s">
        <v>712</v>
      </c>
      <c r="B45" t="s">
        <v>700</v>
      </c>
    </row>
    <row r="46" spans="1:2" x14ac:dyDescent="0.3">
      <c r="A46" s="2" t="s">
        <v>713</v>
      </c>
      <c r="B46" t="s">
        <v>733</v>
      </c>
    </row>
    <row r="47" spans="1:2" x14ac:dyDescent="0.3">
      <c r="A47" s="2" t="s">
        <v>714</v>
      </c>
      <c r="B47" t="s">
        <v>734</v>
      </c>
    </row>
    <row r="48" spans="1:2" x14ac:dyDescent="0.3">
      <c r="A48" s="2" t="s">
        <v>735</v>
      </c>
      <c r="B48" t="s">
        <v>742</v>
      </c>
    </row>
    <row r="49" spans="1:2" x14ac:dyDescent="0.3">
      <c r="A49" s="2" t="s">
        <v>736</v>
      </c>
      <c r="B49" t="s">
        <v>743</v>
      </c>
    </row>
    <row r="50" spans="1:2" x14ac:dyDescent="0.3">
      <c r="A50" s="2" t="s">
        <v>746</v>
      </c>
      <c r="B50" t="s">
        <v>744</v>
      </c>
    </row>
    <row r="51" spans="1:2" x14ac:dyDescent="0.3">
      <c r="A51" s="2" t="s">
        <v>760</v>
      </c>
      <c r="B51" t="s">
        <v>748</v>
      </c>
    </row>
    <row r="52" spans="1:2" x14ac:dyDescent="0.3">
      <c r="A52" s="2" t="s">
        <v>761</v>
      </c>
      <c r="B52" t="s">
        <v>753</v>
      </c>
    </row>
    <row r="53" spans="1:2" x14ac:dyDescent="0.3">
      <c r="A53" s="2" t="s">
        <v>762</v>
      </c>
      <c r="B53" t="s">
        <v>755</v>
      </c>
    </row>
    <row r="54" spans="1:2" x14ac:dyDescent="0.3">
      <c r="A54" s="2" t="s">
        <v>763</v>
      </c>
      <c r="B54" t="s">
        <v>757</v>
      </c>
    </row>
    <row r="55" spans="1:2" x14ac:dyDescent="0.3">
      <c r="A55" s="2" t="s">
        <v>764</v>
      </c>
      <c r="B55" t="s">
        <v>759</v>
      </c>
    </row>
    <row r="56" spans="1:2" x14ac:dyDescent="0.3">
      <c r="A56" s="2" t="s">
        <v>765</v>
      </c>
      <c r="B56" t="s">
        <v>752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B6C3-1161-48DB-B39F-D1176282C075}">
  <dimension ref="A1:I257"/>
  <sheetViews>
    <sheetView topLeftCell="A211" zoomScale="85" zoomScaleNormal="85" workbookViewId="0">
      <selection activeCell="D256" sqref="D256"/>
    </sheetView>
  </sheetViews>
  <sheetFormatPr defaultRowHeight="16.5" x14ac:dyDescent="0.3"/>
  <cols>
    <col min="1" max="1" width="12.375" customWidth="1"/>
    <col min="2" max="2" width="12.125" customWidth="1"/>
    <col min="3" max="3" width="27.625" bestFit="1" customWidth="1"/>
    <col min="4" max="4" width="21.25" bestFit="1" customWidth="1"/>
    <col min="5" max="5" width="19.375" customWidth="1"/>
    <col min="6" max="6" width="14.875" bestFit="1" customWidth="1"/>
    <col min="7" max="8" width="13.125" customWidth="1"/>
    <col min="9" max="9" width="9.875" customWidth="1"/>
  </cols>
  <sheetData>
    <row r="1" spans="1:9" x14ac:dyDescent="0.3">
      <c r="A1" s="6" t="s">
        <v>1</v>
      </c>
      <c r="B1" s="5" t="s">
        <v>395</v>
      </c>
      <c r="C1" s="6" t="s">
        <v>1021</v>
      </c>
      <c r="D1" s="7" t="s">
        <v>461</v>
      </c>
      <c r="E1" s="6" t="s">
        <v>540</v>
      </c>
      <c r="F1" s="6" t="s">
        <v>542</v>
      </c>
      <c r="G1" s="7" t="s">
        <v>462</v>
      </c>
      <c r="H1" s="7" t="s">
        <v>544</v>
      </c>
      <c r="I1" s="7" t="s">
        <v>0</v>
      </c>
    </row>
    <row r="2" spans="1:9" x14ac:dyDescent="0.3">
      <c r="A2" s="10" t="s">
        <v>4</v>
      </c>
      <c r="B2" s="10" t="s">
        <v>711</v>
      </c>
      <c r="C2" s="10" t="str">
        <f>_xlfn.XLOOKUP(표8[[#This Row],[supplier_id]],표7[supplier_id],표7[supplier_name])</f>
        <v>GS칼텍스</v>
      </c>
      <c r="D2" s="4">
        <v>900</v>
      </c>
      <c r="E2" s="3" t="s">
        <v>541</v>
      </c>
      <c r="F2" s="3" t="s">
        <v>715</v>
      </c>
      <c r="G2" t="s">
        <v>545</v>
      </c>
      <c r="H2">
        <v>2025</v>
      </c>
    </row>
    <row r="3" spans="1:9" x14ac:dyDescent="0.3">
      <c r="A3" s="10" t="s">
        <v>4</v>
      </c>
      <c r="B3" s="10" t="s">
        <v>710</v>
      </c>
      <c r="C3" s="10" t="str">
        <f>_xlfn.XLOOKUP(표8[[#This Row],[supplier_id]],표7[supplier_id],표7[supplier_name])</f>
        <v>여천NCC</v>
      </c>
      <c r="D3" s="4">
        <v>2285</v>
      </c>
      <c r="E3" s="3" t="s">
        <v>541</v>
      </c>
      <c r="F3" s="3" t="s">
        <v>715</v>
      </c>
      <c r="G3" t="s">
        <v>545</v>
      </c>
      <c r="H3">
        <v>2025</v>
      </c>
    </row>
    <row r="4" spans="1:9" x14ac:dyDescent="0.3">
      <c r="A4" s="10" t="s">
        <v>4</v>
      </c>
      <c r="B4" s="10" t="s">
        <v>709</v>
      </c>
      <c r="C4" s="10" t="str">
        <f>_xlfn.XLOOKUP(표8[[#This Row],[supplier_id]],표7[supplier_id],표7[supplier_name])</f>
        <v>LG화학</v>
      </c>
      <c r="D4" s="4">
        <v>2080</v>
      </c>
      <c r="E4" s="3" t="s">
        <v>541</v>
      </c>
      <c r="F4" s="3" t="s">
        <v>715</v>
      </c>
      <c r="G4" t="s">
        <v>545</v>
      </c>
      <c r="H4">
        <v>2025</v>
      </c>
    </row>
    <row r="5" spans="1:9" x14ac:dyDescent="0.3">
      <c r="A5" s="10" t="s">
        <v>4</v>
      </c>
      <c r="B5" s="10" t="s">
        <v>735</v>
      </c>
      <c r="C5" s="10" t="str">
        <f>_xlfn.XLOOKUP(표8[[#This Row],[supplier_id]],표7[supplier_id],표7[supplier_name])</f>
        <v>한화토탈에너지스</v>
      </c>
      <c r="D5" s="4">
        <v>1525</v>
      </c>
      <c r="E5" s="3" t="s">
        <v>541</v>
      </c>
      <c r="F5" s="3" t="s">
        <v>747</v>
      </c>
      <c r="G5" t="s">
        <v>545</v>
      </c>
      <c r="H5">
        <v>2025</v>
      </c>
    </row>
    <row r="6" spans="1:9" x14ac:dyDescent="0.3">
      <c r="A6" s="10" t="s">
        <v>4</v>
      </c>
      <c r="B6" s="10" t="s">
        <v>709</v>
      </c>
      <c r="C6" s="10" t="str">
        <f>_xlfn.XLOOKUP(표8[[#This Row],[supplier_id]],표7[supplier_id],표7[supplier_name])</f>
        <v>LG화학</v>
      </c>
      <c r="D6" s="4">
        <v>1300</v>
      </c>
      <c r="E6" s="3" t="s">
        <v>541</v>
      </c>
      <c r="F6" s="3" t="s">
        <v>747</v>
      </c>
      <c r="G6" t="s">
        <v>545</v>
      </c>
      <c r="H6">
        <v>2025</v>
      </c>
    </row>
    <row r="7" spans="1:9" x14ac:dyDescent="0.3">
      <c r="A7" s="3" t="s">
        <v>4</v>
      </c>
      <c r="B7" s="3" t="s">
        <v>404</v>
      </c>
      <c r="C7" s="3" t="str">
        <f>_xlfn.XLOOKUP(표8[[#This Row],[supplier_id]],표7[supplier_id],표7[supplier_name])</f>
        <v>롯데케미칼</v>
      </c>
      <c r="D7" s="4">
        <v>1230</v>
      </c>
      <c r="E7" s="3" t="s">
        <v>541</v>
      </c>
      <c r="F7" s="3" t="s">
        <v>715</v>
      </c>
      <c r="G7" t="s">
        <v>545</v>
      </c>
      <c r="H7">
        <v>2025</v>
      </c>
    </row>
    <row r="8" spans="1:9" x14ac:dyDescent="0.3">
      <c r="A8" s="3" t="s">
        <v>4</v>
      </c>
      <c r="B8" s="3" t="s">
        <v>404</v>
      </c>
      <c r="C8" s="3" t="str">
        <f>_xlfn.XLOOKUP(표8[[#This Row],[supplier_id]],표7[supplier_id],표7[supplier_name])</f>
        <v>롯데케미칼</v>
      </c>
      <c r="D8" s="4">
        <v>1100</v>
      </c>
      <c r="E8" s="3" t="s">
        <v>541</v>
      </c>
      <c r="F8" s="3" t="s">
        <v>747</v>
      </c>
      <c r="G8" t="s">
        <v>545</v>
      </c>
      <c r="H8">
        <v>2025</v>
      </c>
    </row>
    <row r="9" spans="1:9" x14ac:dyDescent="0.3">
      <c r="A9" s="3" t="s">
        <v>4</v>
      </c>
      <c r="B9" s="3" t="s">
        <v>400</v>
      </c>
      <c r="C9" s="3" t="str">
        <f>_xlfn.XLOOKUP(표8[[#This Row],[supplier_id]],표7[supplier_id],표7[supplier_name])</f>
        <v>대한유화</v>
      </c>
      <c r="D9" s="4">
        <v>900</v>
      </c>
      <c r="E9" s="3" t="s">
        <v>541</v>
      </c>
      <c r="F9" s="3" t="s">
        <v>543</v>
      </c>
      <c r="G9" t="s">
        <v>545</v>
      </c>
      <c r="H9">
        <v>2025</v>
      </c>
    </row>
    <row r="10" spans="1:9" x14ac:dyDescent="0.3">
      <c r="A10" s="10" t="s">
        <v>4</v>
      </c>
      <c r="B10" s="10" t="s">
        <v>736</v>
      </c>
      <c r="C10" s="10" t="str">
        <f>_xlfn.XLOOKUP(표8[[#This Row],[supplier_id]],표7[supplier_id],표7[supplier_name])</f>
        <v>HD현대케미칼</v>
      </c>
      <c r="D10" s="4">
        <v>850</v>
      </c>
      <c r="E10" s="3" t="s">
        <v>541</v>
      </c>
      <c r="F10" s="3" t="s">
        <v>747</v>
      </c>
      <c r="G10" t="s">
        <v>545</v>
      </c>
      <c r="H10">
        <v>2025</v>
      </c>
    </row>
    <row r="11" spans="1:9" x14ac:dyDescent="0.3">
      <c r="A11" s="3" t="s">
        <v>4</v>
      </c>
      <c r="B11" s="3" t="s">
        <v>410</v>
      </c>
      <c r="C11" s="3" t="str">
        <f>_xlfn.XLOOKUP(표8[[#This Row],[supplier_id]],표7[supplier_id],표7[supplier_name])</f>
        <v>SK지오센트릭</v>
      </c>
      <c r="D11" s="4">
        <v>660</v>
      </c>
      <c r="E11" s="3" t="s">
        <v>541</v>
      </c>
      <c r="F11" s="3" t="s">
        <v>543</v>
      </c>
      <c r="G11" t="s">
        <v>545</v>
      </c>
      <c r="H11">
        <v>2025</v>
      </c>
    </row>
    <row r="12" spans="1:9" x14ac:dyDescent="0.3">
      <c r="A12" s="3" t="s">
        <v>4</v>
      </c>
      <c r="B12" s="3" t="s">
        <v>407</v>
      </c>
      <c r="C12" s="3" t="str">
        <f>_xlfn.XLOOKUP(표8[[#This Row],[supplier_id]],표7[supplier_id],표7[supplier_name])</f>
        <v>S-OIL</v>
      </c>
      <c r="D12" s="4">
        <v>182</v>
      </c>
      <c r="E12" s="3" t="s">
        <v>541</v>
      </c>
      <c r="F12" s="3" t="s">
        <v>543</v>
      </c>
      <c r="G12" t="s">
        <v>545</v>
      </c>
      <c r="H12">
        <v>2025</v>
      </c>
    </row>
    <row r="13" spans="1:9" x14ac:dyDescent="0.3">
      <c r="A13" s="10" t="s">
        <v>268</v>
      </c>
      <c r="B13" t="s">
        <v>400</v>
      </c>
      <c r="C13" t="str">
        <f>_xlfn.XLOOKUP(표8[[#This Row],[supplier_id]],표7[supplier_id],표7[supplier_name])</f>
        <v>대한유화</v>
      </c>
      <c r="D13" s="9">
        <v>650</v>
      </c>
      <c r="E13" s="3" t="s">
        <v>541</v>
      </c>
      <c r="F13" s="3" t="s">
        <v>543</v>
      </c>
      <c r="G13" t="s">
        <v>545</v>
      </c>
      <c r="H13">
        <v>2025</v>
      </c>
    </row>
    <row r="14" spans="1:9" x14ac:dyDescent="0.3">
      <c r="A14" s="10" t="s">
        <v>268</v>
      </c>
      <c r="B14" s="8" t="s">
        <v>404</v>
      </c>
      <c r="C14" s="8" t="str">
        <f>_xlfn.XLOOKUP(표8[[#This Row],[supplier_id]],표7[supplier_id],표7[supplier_name])</f>
        <v>롯데케미칼</v>
      </c>
      <c r="D14" s="9">
        <v>630</v>
      </c>
      <c r="E14" s="3" t="s">
        <v>541</v>
      </c>
      <c r="F14" s="3" t="s">
        <v>715</v>
      </c>
      <c r="G14" t="s">
        <v>545</v>
      </c>
      <c r="H14">
        <v>2025</v>
      </c>
    </row>
    <row r="15" spans="1:9" x14ac:dyDescent="0.3">
      <c r="A15" s="8" t="s">
        <v>268</v>
      </c>
      <c r="B15" s="8" t="s">
        <v>735</v>
      </c>
      <c r="C15" s="8" t="str">
        <f>_xlfn.XLOOKUP(표8[[#This Row],[supplier_id]],표7[supplier_id],표7[supplier_name])</f>
        <v>한화토탈에너지스</v>
      </c>
      <c r="D15" s="9">
        <v>575</v>
      </c>
      <c r="E15" s="3" t="s">
        <v>541</v>
      </c>
      <c r="F15" s="3" t="s">
        <v>747</v>
      </c>
      <c r="G15" t="s">
        <v>545</v>
      </c>
      <c r="H15">
        <v>2025</v>
      </c>
    </row>
    <row r="16" spans="1:9" x14ac:dyDescent="0.3">
      <c r="A16" s="8" t="s">
        <v>268</v>
      </c>
      <c r="B16" s="8" t="s">
        <v>736</v>
      </c>
      <c r="C16" s="8" t="str">
        <f>_xlfn.XLOOKUP(표8[[#This Row],[supplier_id]],표7[supplier_id],표7[supplier_name])</f>
        <v>HD현대케미칼</v>
      </c>
      <c r="D16" s="9">
        <v>550</v>
      </c>
      <c r="E16" s="3" t="s">
        <v>541</v>
      </c>
      <c r="F16" s="3" t="s">
        <v>747</v>
      </c>
      <c r="G16" t="s">
        <v>545</v>
      </c>
      <c r="H16">
        <v>2025</v>
      </c>
    </row>
    <row r="17" spans="1:8" x14ac:dyDescent="0.3">
      <c r="A17" s="8" t="s">
        <v>268</v>
      </c>
      <c r="B17" s="8" t="s">
        <v>711</v>
      </c>
      <c r="C17" s="8" t="str">
        <f>_xlfn.XLOOKUP(표8[[#This Row],[supplier_id]],표7[supplier_id],표7[supplier_name])</f>
        <v>GS칼텍스</v>
      </c>
      <c r="D17" s="9">
        <v>500</v>
      </c>
      <c r="E17" s="3" t="s">
        <v>541</v>
      </c>
      <c r="F17" s="3" t="s">
        <v>715</v>
      </c>
      <c r="G17" t="s">
        <v>545</v>
      </c>
      <c r="H17">
        <v>2025</v>
      </c>
    </row>
    <row r="18" spans="1:8" x14ac:dyDescent="0.3">
      <c r="A18" s="8" t="s">
        <v>268</v>
      </c>
      <c r="B18" s="8" t="s">
        <v>709</v>
      </c>
      <c r="C18" s="8" t="str">
        <f>_xlfn.XLOOKUP(표8[[#This Row],[supplier_id]],표7[supplier_id],표7[supplier_name])</f>
        <v>LG화학</v>
      </c>
      <c r="D18" s="9">
        <v>360</v>
      </c>
      <c r="E18" s="3" t="s">
        <v>541</v>
      </c>
      <c r="F18" s="3" t="s">
        <v>715</v>
      </c>
      <c r="G18" t="s">
        <v>545</v>
      </c>
      <c r="H18">
        <v>2025</v>
      </c>
    </row>
    <row r="19" spans="1:8" x14ac:dyDescent="0.3">
      <c r="A19" s="8" t="s">
        <v>268</v>
      </c>
      <c r="B19" t="s">
        <v>410</v>
      </c>
      <c r="C19" t="str">
        <f>_xlfn.XLOOKUP(표8[[#This Row],[supplier_id]],표7[supplier_id],표7[supplier_name])</f>
        <v>SK지오센트릭</v>
      </c>
      <c r="D19" s="9">
        <v>210</v>
      </c>
      <c r="E19" s="3" t="s">
        <v>541</v>
      </c>
      <c r="F19" s="3" t="s">
        <v>543</v>
      </c>
      <c r="G19" t="s">
        <v>545</v>
      </c>
      <c r="H19">
        <v>2025</v>
      </c>
    </row>
    <row r="20" spans="1:8" x14ac:dyDescent="0.3">
      <c r="A20" s="8" t="s">
        <v>268</v>
      </c>
      <c r="B20" s="8" t="s">
        <v>704</v>
      </c>
      <c r="C20" s="8" t="str">
        <f>_xlfn.XLOOKUP(표8[[#This Row],[supplier_id]],표7[supplier_id],표7[supplier_name])</f>
        <v>DL케미칼</v>
      </c>
      <c r="D20" s="9">
        <v>180</v>
      </c>
      <c r="E20" s="3" t="s">
        <v>541</v>
      </c>
      <c r="F20" s="3" t="s">
        <v>715</v>
      </c>
      <c r="G20" t="s">
        <v>545</v>
      </c>
      <c r="H20">
        <v>2025</v>
      </c>
    </row>
    <row r="21" spans="1:8" x14ac:dyDescent="0.3">
      <c r="A21" s="8" t="s">
        <v>8</v>
      </c>
      <c r="B21" s="8" t="s">
        <v>735</v>
      </c>
      <c r="C21" s="8" t="str">
        <f>_xlfn.XLOOKUP(표8[[#This Row],[supplier_id]],표7[supplier_id],표7[supplier_name])</f>
        <v>한화토탈에너지스</v>
      </c>
      <c r="D21" s="9">
        <v>435</v>
      </c>
      <c r="E21" s="3" t="s">
        <v>541</v>
      </c>
      <c r="F21" s="3" t="s">
        <v>747</v>
      </c>
      <c r="G21" t="s">
        <v>545</v>
      </c>
      <c r="H21">
        <v>2025</v>
      </c>
    </row>
    <row r="22" spans="1:8" x14ac:dyDescent="0.3">
      <c r="A22" s="8" t="s">
        <v>8</v>
      </c>
      <c r="B22" s="8" t="s">
        <v>458</v>
      </c>
      <c r="C22" s="8" t="str">
        <f>_xlfn.XLOOKUP(표8[[#This Row],[supplier_id]],표7[supplier_id],표7[supplier_name])</f>
        <v>한화솔루션</v>
      </c>
      <c r="D22" s="9">
        <v>337</v>
      </c>
      <c r="E22" s="3" t="s">
        <v>541</v>
      </c>
      <c r="F22" s="3" t="s">
        <v>715</v>
      </c>
      <c r="G22" t="s">
        <v>545</v>
      </c>
      <c r="H22">
        <v>2025</v>
      </c>
    </row>
    <row r="23" spans="1:8" x14ac:dyDescent="0.3">
      <c r="A23" s="8" t="s">
        <v>8</v>
      </c>
      <c r="B23" s="8" t="s">
        <v>736</v>
      </c>
      <c r="C23" s="8" t="str">
        <f>_xlfn.XLOOKUP(표8[[#This Row],[supplier_id]],표7[supplier_id],표7[supplier_name])</f>
        <v>HD현대케미칼</v>
      </c>
      <c r="D23" s="9">
        <v>300</v>
      </c>
      <c r="E23" s="3" t="s">
        <v>541</v>
      </c>
      <c r="F23" s="3" t="s">
        <v>747</v>
      </c>
      <c r="G23" t="s">
        <v>545</v>
      </c>
      <c r="H23">
        <v>2025</v>
      </c>
    </row>
    <row r="24" spans="1:8" x14ac:dyDescent="0.3">
      <c r="A24" s="8" t="s">
        <v>8</v>
      </c>
      <c r="B24" s="8" t="s">
        <v>709</v>
      </c>
      <c r="C24" s="8" t="str">
        <f>_xlfn.XLOOKUP(표8[[#This Row],[supplier_id]],표7[supplier_id],표7[supplier_name])</f>
        <v>LG화학</v>
      </c>
      <c r="D24" s="9">
        <v>280</v>
      </c>
      <c r="E24" s="3" t="s">
        <v>541</v>
      </c>
      <c r="F24" s="3" t="s">
        <v>747</v>
      </c>
      <c r="G24" t="s">
        <v>545</v>
      </c>
      <c r="H24">
        <v>2025</v>
      </c>
    </row>
    <row r="25" spans="1:8" x14ac:dyDescent="0.3">
      <c r="A25" s="8" t="s">
        <v>8</v>
      </c>
      <c r="B25" s="8" t="s">
        <v>709</v>
      </c>
      <c r="C25" s="8" t="str">
        <f>_xlfn.XLOOKUP(표8[[#This Row],[supplier_id]],표7[supplier_id],표7[supplier_name])</f>
        <v>LG화학</v>
      </c>
      <c r="D25" s="9">
        <v>180</v>
      </c>
      <c r="E25" s="3" t="s">
        <v>541</v>
      </c>
      <c r="F25" s="3" t="s">
        <v>715</v>
      </c>
      <c r="G25" t="s">
        <v>545</v>
      </c>
      <c r="H25">
        <v>2025</v>
      </c>
    </row>
    <row r="26" spans="1:8" x14ac:dyDescent="0.3">
      <c r="A26" s="8" t="s">
        <v>8</v>
      </c>
      <c r="B26" s="8" t="s">
        <v>404</v>
      </c>
      <c r="C26" s="8" t="str">
        <f>_xlfn.XLOOKUP(표8[[#This Row],[supplier_id]],표7[supplier_id],표7[supplier_name])</f>
        <v>롯데케미칼</v>
      </c>
      <c r="D26" s="9">
        <v>135</v>
      </c>
      <c r="E26" s="3" t="s">
        <v>541</v>
      </c>
      <c r="F26" s="3" t="s">
        <v>747</v>
      </c>
      <c r="G26" t="s">
        <v>545</v>
      </c>
      <c r="H26">
        <v>2025</v>
      </c>
    </row>
    <row r="27" spans="1:8" x14ac:dyDescent="0.3">
      <c r="A27" s="8" t="s">
        <v>8</v>
      </c>
      <c r="B27" t="s">
        <v>458</v>
      </c>
      <c r="C27" t="str">
        <f>_xlfn.XLOOKUP(표8[[#This Row],[supplier_id]],표7[supplier_id],표7[supplier_name])</f>
        <v>한화솔루션</v>
      </c>
      <c r="D27" s="9">
        <v>120</v>
      </c>
      <c r="E27" s="3" t="s">
        <v>541</v>
      </c>
      <c r="F27" s="3" t="s">
        <v>543</v>
      </c>
      <c r="G27" t="s">
        <v>545</v>
      </c>
      <c r="H27">
        <v>2025</v>
      </c>
    </row>
    <row r="28" spans="1:8" x14ac:dyDescent="0.3">
      <c r="A28" s="8" t="s">
        <v>10</v>
      </c>
      <c r="B28" s="8" t="s">
        <v>709</v>
      </c>
      <c r="C28" s="8" t="str">
        <f>_xlfn.XLOOKUP(표8[[#This Row],[supplier_id]],표7[supplier_id],표7[supplier_name])</f>
        <v>LG화학</v>
      </c>
      <c r="D28" s="9">
        <v>600</v>
      </c>
      <c r="E28" s="3" t="s">
        <v>541</v>
      </c>
      <c r="F28" s="3" t="s">
        <v>715</v>
      </c>
      <c r="G28" t="s">
        <v>545</v>
      </c>
      <c r="H28">
        <v>2025</v>
      </c>
    </row>
    <row r="29" spans="1:8" x14ac:dyDescent="0.3">
      <c r="A29" s="8" t="s">
        <v>10</v>
      </c>
      <c r="B29" s="8" t="s">
        <v>704</v>
      </c>
      <c r="C29" s="8" t="str">
        <f>_xlfn.XLOOKUP(표8[[#This Row],[supplier_id]],표7[supplier_id],표7[supplier_name])</f>
        <v>DL케미칼</v>
      </c>
      <c r="D29" s="9">
        <v>530</v>
      </c>
      <c r="E29" s="3" t="s">
        <v>541</v>
      </c>
      <c r="F29" s="3" t="s">
        <v>715</v>
      </c>
      <c r="G29" t="s">
        <v>545</v>
      </c>
      <c r="H29">
        <v>2025</v>
      </c>
    </row>
    <row r="30" spans="1:8" x14ac:dyDescent="0.3">
      <c r="A30" s="8" t="s">
        <v>10</v>
      </c>
      <c r="B30" s="8" t="s">
        <v>709</v>
      </c>
      <c r="C30" s="8" t="str">
        <f>_xlfn.XLOOKUP(표8[[#This Row],[supplier_id]],표7[supplier_id],표7[supplier_name])</f>
        <v>LG화학</v>
      </c>
      <c r="D30" s="9">
        <v>500</v>
      </c>
      <c r="E30" s="3" t="s">
        <v>541</v>
      </c>
      <c r="F30" s="3" t="s">
        <v>747</v>
      </c>
      <c r="G30" t="s">
        <v>545</v>
      </c>
      <c r="H30">
        <v>2025</v>
      </c>
    </row>
    <row r="31" spans="1:8" x14ac:dyDescent="0.3">
      <c r="A31" s="8" t="s">
        <v>10</v>
      </c>
      <c r="B31" s="8" t="s">
        <v>458</v>
      </c>
      <c r="C31" s="8" t="str">
        <f>_xlfn.XLOOKUP(표8[[#This Row],[supplier_id]],표7[supplier_id],표7[supplier_name])</f>
        <v>한화솔루션</v>
      </c>
      <c r="D31" s="9">
        <v>425</v>
      </c>
      <c r="E31" s="3" t="s">
        <v>541</v>
      </c>
      <c r="F31" s="3" t="s">
        <v>715</v>
      </c>
      <c r="G31" t="s">
        <v>545</v>
      </c>
      <c r="H31">
        <v>2025</v>
      </c>
    </row>
    <row r="32" spans="1:8" x14ac:dyDescent="0.3">
      <c r="A32" s="8" t="s">
        <v>10</v>
      </c>
      <c r="B32" s="8" t="s">
        <v>404</v>
      </c>
      <c r="C32" s="8" t="str">
        <f>_xlfn.XLOOKUP(표8[[#This Row],[supplier_id]],표7[supplier_id],표7[supplier_name])</f>
        <v>롯데케미칼</v>
      </c>
      <c r="D32" s="9">
        <v>300</v>
      </c>
      <c r="E32" s="3" t="s">
        <v>541</v>
      </c>
      <c r="F32" s="3" t="s">
        <v>747</v>
      </c>
      <c r="G32" t="s">
        <v>545</v>
      </c>
      <c r="H32">
        <v>2025</v>
      </c>
    </row>
    <row r="33" spans="1:8" x14ac:dyDescent="0.3">
      <c r="A33" s="8" t="s">
        <v>10</v>
      </c>
      <c r="B33" t="s">
        <v>406</v>
      </c>
      <c r="C33" t="str">
        <f>_xlfn.XLOOKUP(표8[[#This Row],[supplier_id]],표7[supplier_id],표7[supplier_name])</f>
        <v>SSNC</v>
      </c>
      <c r="D33" s="9">
        <v>288</v>
      </c>
      <c r="E33" s="3" t="s">
        <v>541</v>
      </c>
      <c r="F33" s="3" t="s">
        <v>543</v>
      </c>
      <c r="G33" t="s">
        <v>545</v>
      </c>
      <c r="H33">
        <v>2025</v>
      </c>
    </row>
    <row r="34" spans="1:8" x14ac:dyDescent="0.3">
      <c r="A34" s="8" t="s">
        <v>10</v>
      </c>
      <c r="B34" t="s">
        <v>410</v>
      </c>
      <c r="C34" t="str">
        <f>_xlfn.XLOOKUP(표8[[#This Row],[supplier_id]],표7[supplier_id],표7[supplier_name])</f>
        <v>SK지오센트릭</v>
      </c>
      <c r="D34" s="9">
        <v>180</v>
      </c>
      <c r="E34" s="3" t="s">
        <v>541</v>
      </c>
      <c r="F34" s="3" t="s">
        <v>543</v>
      </c>
      <c r="G34" t="s">
        <v>545</v>
      </c>
      <c r="H34">
        <v>2025</v>
      </c>
    </row>
    <row r="35" spans="1:8" x14ac:dyDescent="0.3">
      <c r="A35" s="8" t="s">
        <v>10</v>
      </c>
      <c r="B35" s="8" t="s">
        <v>735</v>
      </c>
      <c r="C35" s="8" t="str">
        <f>_xlfn.XLOOKUP(표8[[#This Row],[supplier_id]],표7[supplier_id],표7[supplier_name])</f>
        <v>한화토탈에너지스</v>
      </c>
      <c r="D35" s="9">
        <v>125</v>
      </c>
      <c r="E35" s="3" t="s">
        <v>541</v>
      </c>
      <c r="F35" s="3" t="s">
        <v>747</v>
      </c>
      <c r="G35" t="s">
        <v>545</v>
      </c>
      <c r="H35">
        <v>2025</v>
      </c>
    </row>
    <row r="36" spans="1:8" x14ac:dyDescent="0.3">
      <c r="A36" s="8" t="s">
        <v>10</v>
      </c>
      <c r="B36" s="8" t="s">
        <v>404</v>
      </c>
      <c r="C36" s="8" t="str">
        <f>_xlfn.XLOOKUP(표8[[#This Row],[supplier_id]],표7[supplier_id],표7[supplier_name])</f>
        <v>롯데케미칼</v>
      </c>
      <c r="D36" s="9">
        <v>10</v>
      </c>
      <c r="E36" s="3" t="s">
        <v>541</v>
      </c>
      <c r="F36" s="3" t="s">
        <v>715</v>
      </c>
      <c r="G36" t="s">
        <v>545</v>
      </c>
      <c r="H36">
        <v>2025</v>
      </c>
    </row>
    <row r="37" spans="1:8" x14ac:dyDescent="0.3">
      <c r="A37" s="8" t="s">
        <v>11</v>
      </c>
      <c r="B37" s="8" t="s">
        <v>458</v>
      </c>
      <c r="C37" s="8" t="str">
        <f>_xlfn.XLOOKUP(표8[[#This Row],[supplier_id]],표7[supplier_id],표7[supplier_name])</f>
        <v>한화솔루션</v>
      </c>
      <c r="D37" s="9">
        <v>1586</v>
      </c>
      <c r="E37" s="3" t="s">
        <v>541</v>
      </c>
      <c r="F37" s="3" t="s">
        <v>715</v>
      </c>
      <c r="G37" t="s">
        <v>545</v>
      </c>
      <c r="H37">
        <v>2025</v>
      </c>
    </row>
    <row r="38" spans="1:8" x14ac:dyDescent="0.3">
      <c r="A38" s="8" t="s">
        <v>11</v>
      </c>
      <c r="B38" s="8" t="s">
        <v>709</v>
      </c>
      <c r="C38" s="8" t="str">
        <f>_xlfn.XLOOKUP(표8[[#This Row],[supplier_id]],표7[supplier_id],표7[supplier_name])</f>
        <v>LG화학</v>
      </c>
      <c r="D38" s="9">
        <v>810</v>
      </c>
      <c r="E38" s="3" t="s">
        <v>541</v>
      </c>
      <c r="F38" s="3" t="s">
        <v>715</v>
      </c>
      <c r="G38" t="s">
        <v>545</v>
      </c>
      <c r="H38">
        <v>2025</v>
      </c>
    </row>
    <row r="39" spans="1:8" x14ac:dyDescent="0.3">
      <c r="A39" s="8" t="s">
        <v>11</v>
      </c>
      <c r="B39" t="s">
        <v>458</v>
      </c>
      <c r="C39" t="str">
        <f>_xlfn.XLOOKUP(표8[[#This Row],[supplier_id]],표7[supplier_id],표7[supplier_name])</f>
        <v>한화솔루션</v>
      </c>
      <c r="D39" s="9">
        <v>385</v>
      </c>
      <c r="E39" s="3" t="s">
        <v>541</v>
      </c>
      <c r="F39" s="3" t="s">
        <v>543</v>
      </c>
      <c r="G39" t="s">
        <v>545</v>
      </c>
      <c r="H39">
        <v>2025</v>
      </c>
    </row>
    <row r="40" spans="1:8" x14ac:dyDescent="0.3">
      <c r="A40" s="8" t="s">
        <v>12</v>
      </c>
      <c r="B40" s="8" t="s">
        <v>709</v>
      </c>
      <c r="C40" s="8" t="str">
        <f>_xlfn.XLOOKUP(표8[[#This Row],[supplier_id]],표7[supplier_id],표7[supplier_name])</f>
        <v>LG화학</v>
      </c>
      <c r="D40" s="9">
        <v>720</v>
      </c>
      <c r="E40" s="3" t="s">
        <v>541</v>
      </c>
      <c r="F40" s="3" t="s">
        <v>715</v>
      </c>
      <c r="G40" t="s">
        <v>545</v>
      </c>
      <c r="H40">
        <v>2025</v>
      </c>
    </row>
    <row r="41" spans="1:8" x14ac:dyDescent="0.3">
      <c r="A41" s="8" t="s">
        <v>12</v>
      </c>
      <c r="B41" s="8" t="s">
        <v>458</v>
      </c>
      <c r="C41" s="8" t="str">
        <f>_xlfn.XLOOKUP(표8[[#This Row],[supplier_id]],표7[supplier_id],표7[supplier_name])</f>
        <v>한화솔루션</v>
      </c>
      <c r="D41" s="9">
        <v>583</v>
      </c>
      <c r="E41" s="3" t="s">
        <v>541</v>
      </c>
      <c r="F41" s="3" t="s">
        <v>715</v>
      </c>
      <c r="G41" t="s">
        <v>545</v>
      </c>
      <c r="H41">
        <v>2025</v>
      </c>
    </row>
    <row r="42" spans="1:8" x14ac:dyDescent="0.3">
      <c r="A42" s="8" t="s">
        <v>12</v>
      </c>
      <c r="B42" t="s">
        <v>458</v>
      </c>
      <c r="C42" t="str">
        <f>_xlfn.XLOOKUP(표8[[#This Row],[supplier_id]],표7[supplier_id],표7[supplier_name])</f>
        <v>한화솔루션</v>
      </c>
      <c r="D42" s="9">
        <v>264</v>
      </c>
      <c r="E42" s="3" t="s">
        <v>541</v>
      </c>
      <c r="F42" s="3" t="s">
        <v>543</v>
      </c>
      <c r="G42" t="s">
        <v>545</v>
      </c>
      <c r="H42">
        <v>2025</v>
      </c>
    </row>
    <row r="43" spans="1:8" x14ac:dyDescent="0.3">
      <c r="A43" s="8" t="s">
        <v>12</v>
      </c>
      <c r="B43" s="8" t="s">
        <v>709</v>
      </c>
      <c r="C43" s="8" t="str">
        <f>_xlfn.XLOOKUP(표8[[#This Row],[supplier_id]],표7[supplier_id],표7[supplier_name])</f>
        <v>LG화학</v>
      </c>
      <c r="D43" s="9">
        <v>230</v>
      </c>
      <c r="E43" s="3" t="s">
        <v>541</v>
      </c>
      <c r="F43" s="3" t="s">
        <v>747</v>
      </c>
      <c r="G43" t="s">
        <v>545</v>
      </c>
      <c r="H43">
        <v>2025</v>
      </c>
    </row>
    <row r="44" spans="1:8" x14ac:dyDescent="0.3">
      <c r="A44" s="8" t="s">
        <v>14</v>
      </c>
      <c r="B44" s="8" t="s">
        <v>458</v>
      </c>
      <c r="C44" s="8" t="str">
        <f>_xlfn.XLOOKUP(표8[[#This Row],[supplier_id]],표7[supplier_id],표7[supplier_name])</f>
        <v>한화솔루션</v>
      </c>
      <c r="D44" s="9">
        <v>480</v>
      </c>
      <c r="E44" s="3" t="s">
        <v>541</v>
      </c>
      <c r="F44" s="3" t="s">
        <v>715</v>
      </c>
      <c r="G44" t="s">
        <v>545</v>
      </c>
      <c r="H44">
        <v>2025</v>
      </c>
    </row>
    <row r="45" spans="1:8" x14ac:dyDescent="0.3">
      <c r="A45" s="8" t="s">
        <v>14</v>
      </c>
      <c r="B45" s="8" t="s">
        <v>709</v>
      </c>
      <c r="C45" s="8" t="str">
        <f>_xlfn.XLOOKUP(표8[[#This Row],[supplier_id]],표7[supplier_id],표7[supplier_name])</f>
        <v>LG화학</v>
      </c>
      <c r="D45" s="9">
        <v>450</v>
      </c>
      <c r="E45" s="3" t="s">
        <v>541</v>
      </c>
      <c r="F45" s="3" t="s">
        <v>715</v>
      </c>
      <c r="G45" t="s">
        <v>545</v>
      </c>
      <c r="H45">
        <v>2025</v>
      </c>
    </row>
    <row r="46" spans="1:8" x14ac:dyDescent="0.3">
      <c r="A46" s="8" t="s">
        <v>14</v>
      </c>
      <c r="B46" t="s">
        <v>458</v>
      </c>
      <c r="C46" t="str">
        <f>_xlfn.XLOOKUP(표8[[#This Row],[supplier_id]],표7[supplier_id],표7[supplier_name])</f>
        <v>한화솔루션</v>
      </c>
      <c r="D46" s="9">
        <v>330</v>
      </c>
      <c r="E46" s="3" t="s">
        <v>541</v>
      </c>
      <c r="F46" s="3" t="s">
        <v>543</v>
      </c>
      <c r="G46" t="s">
        <v>545</v>
      </c>
      <c r="H46">
        <v>2025</v>
      </c>
    </row>
    <row r="47" spans="1:8" x14ac:dyDescent="0.3">
      <c r="A47" s="8" t="s">
        <v>14</v>
      </c>
      <c r="B47" s="8" t="s">
        <v>709</v>
      </c>
      <c r="C47" s="8" t="str">
        <f>_xlfn.XLOOKUP(표8[[#This Row],[supplier_id]],표7[supplier_id],표7[supplier_name])</f>
        <v>LG화학</v>
      </c>
      <c r="D47" s="9">
        <v>240</v>
      </c>
      <c r="E47" s="3" t="s">
        <v>541</v>
      </c>
      <c r="F47" s="3" t="s">
        <v>747</v>
      </c>
      <c r="G47" t="s">
        <v>545</v>
      </c>
      <c r="H47">
        <v>2025</v>
      </c>
    </row>
    <row r="48" spans="1:8" x14ac:dyDescent="0.3">
      <c r="A48" s="8" t="s">
        <v>17</v>
      </c>
      <c r="B48" t="s">
        <v>455</v>
      </c>
      <c r="C48" t="str">
        <f>_xlfn.XLOOKUP(표8[[#This Row],[supplier_id]],표7[supplier_id],표7[supplier_name])</f>
        <v>한국알콜산업</v>
      </c>
      <c r="D48" s="9">
        <v>70</v>
      </c>
      <c r="E48" s="3" t="s">
        <v>541</v>
      </c>
      <c r="F48" s="3" t="s">
        <v>543</v>
      </c>
      <c r="G48" t="s">
        <v>545</v>
      </c>
      <c r="H48">
        <v>2025</v>
      </c>
    </row>
    <row r="49" spans="1:8" x14ac:dyDescent="0.3">
      <c r="A49" s="8" t="s">
        <v>20</v>
      </c>
      <c r="B49" t="s">
        <v>455</v>
      </c>
      <c r="C49" t="str">
        <f>_xlfn.XLOOKUP(표8[[#This Row],[supplier_id]],표7[supplier_id],표7[supplier_name])</f>
        <v>한국알콜산업</v>
      </c>
      <c r="D49" s="9">
        <v>123</v>
      </c>
      <c r="E49" s="3" t="s">
        <v>541</v>
      </c>
      <c r="F49" s="3" t="s">
        <v>543</v>
      </c>
      <c r="G49" t="s">
        <v>545</v>
      </c>
      <c r="H49">
        <v>2025</v>
      </c>
    </row>
    <row r="50" spans="1:8" x14ac:dyDescent="0.3">
      <c r="A50" t="s">
        <v>618</v>
      </c>
      <c r="B50" t="s">
        <v>1060</v>
      </c>
      <c r="C50" s="8" t="str">
        <f>_xlfn.XLOOKUP(표8[[#This Row],[supplier_id]],표7[supplier_id],표7[supplier_name])</f>
        <v>한화토탈에너지스</v>
      </c>
      <c r="D50" s="9">
        <v>120</v>
      </c>
      <c r="E50" s="3" t="s">
        <v>541</v>
      </c>
      <c r="F50" s="3" t="s">
        <v>1062</v>
      </c>
      <c r="G50" t="s">
        <v>1027</v>
      </c>
      <c r="H50">
        <v>2025</v>
      </c>
    </row>
    <row r="51" spans="1:8" x14ac:dyDescent="0.3">
      <c r="A51" t="s">
        <v>618</v>
      </c>
      <c r="B51" t="s">
        <v>401</v>
      </c>
      <c r="C51" s="8" t="str">
        <f>_xlfn.XLOOKUP(표8[[#This Row],[supplier_id]],표7[supplier_id],표7[supplier_name])</f>
        <v>대한유화</v>
      </c>
      <c r="D51" s="9">
        <v>250</v>
      </c>
      <c r="E51" s="3" t="s">
        <v>541</v>
      </c>
      <c r="F51" s="3" t="s">
        <v>543</v>
      </c>
      <c r="G51" t="s">
        <v>1027</v>
      </c>
      <c r="H51">
        <v>2025</v>
      </c>
    </row>
    <row r="52" spans="1:8" x14ac:dyDescent="0.3">
      <c r="A52" t="s">
        <v>618</v>
      </c>
      <c r="B52" t="s">
        <v>1059</v>
      </c>
      <c r="C52" s="8" t="str">
        <f>_xlfn.XLOOKUP(표8[[#This Row],[supplier_id]],표7[supplier_id],표7[supplier_name])</f>
        <v>LG화학</v>
      </c>
      <c r="D52" s="9">
        <v>60</v>
      </c>
      <c r="E52" s="3" t="s">
        <v>541</v>
      </c>
      <c r="F52" s="3" t="s">
        <v>1062</v>
      </c>
      <c r="G52" t="s">
        <v>1027</v>
      </c>
      <c r="H52">
        <v>2025</v>
      </c>
    </row>
    <row r="53" spans="1:8" x14ac:dyDescent="0.3">
      <c r="A53" t="s">
        <v>618</v>
      </c>
      <c r="B53" t="s">
        <v>1061</v>
      </c>
      <c r="C53" s="8" t="str">
        <f>_xlfn.XLOOKUP(표8[[#This Row],[supplier_id]],표7[supplier_id],표7[supplier_name])</f>
        <v>롯데케미칼</v>
      </c>
      <c r="D53" s="9">
        <v>620</v>
      </c>
      <c r="E53" s="3" t="s">
        <v>541</v>
      </c>
      <c r="F53" s="3" t="s">
        <v>1062</v>
      </c>
      <c r="G53" t="s">
        <v>1027</v>
      </c>
      <c r="H53">
        <v>2025</v>
      </c>
    </row>
    <row r="54" spans="1:8" x14ac:dyDescent="0.3">
      <c r="A54" s="3" t="s">
        <v>618</v>
      </c>
      <c r="B54" s="3" t="s">
        <v>1061</v>
      </c>
      <c r="C54" s="10" t="str">
        <f>_xlfn.XLOOKUP(표8[[#This Row],[supplier_id]],표7[supplier_id],표7[supplier_name])</f>
        <v>롯데케미칼</v>
      </c>
      <c r="D54" s="4">
        <v>302</v>
      </c>
      <c r="E54" s="3" t="s">
        <v>541</v>
      </c>
      <c r="F54" s="3" t="s">
        <v>715</v>
      </c>
      <c r="G54" t="s">
        <v>1027</v>
      </c>
      <c r="H54">
        <v>2025</v>
      </c>
    </row>
    <row r="55" spans="1:8" x14ac:dyDescent="0.3">
      <c r="A55" s="10" t="s">
        <v>55</v>
      </c>
      <c r="B55" s="10" t="s">
        <v>404</v>
      </c>
      <c r="C55" s="10" t="str">
        <f>_xlfn.XLOOKUP(표8[[#This Row],[supplier_id]],표7[supplier_id],표7[supplier_name])</f>
        <v>롯데케미칼</v>
      </c>
      <c r="D55" s="4">
        <v>730</v>
      </c>
      <c r="E55" s="3" t="s">
        <v>541</v>
      </c>
      <c r="F55" s="3" t="s">
        <v>747</v>
      </c>
      <c r="G55" t="s">
        <v>545</v>
      </c>
      <c r="H55">
        <v>2025</v>
      </c>
    </row>
    <row r="56" spans="1:8" x14ac:dyDescent="0.3">
      <c r="A56" s="10" t="s">
        <v>55</v>
      </c>
      <c r="B56" s="10" t="s">
        <v>404</v>
      </c>
      <c r="C56" s="10" t="str">
        <f>_xlfn.XLOOKUP(표8[[#This Row],[supplier_id]],표7[supplier_id],표7[supplier_name])</f>
        <v>롯데케미칼</v>
      </c>
      <c r="D56" s="4">
        <v>400</v>
      </c>
      <c r="E56" s="3" t="s">
        <v>541</v>
      </c>
      <c r="F56" s="3" t="s">
        <v>715</v>
      </c>
      <c r="G56" t="s">
        <v>545</v>
      </c>
      <c r="H56">
        <v>2025</v>
      </c>
    </row>
    <row r="57" spans="1:8" x14ac:dyDescent="0.3">
      <c r="A57" s="10" t="s">
        <v>55</v>
      </c>
      <c r="B57" s="10" t="s">
        <v>735</v>
      </c>
      <c r="C57" s="10" t="str">
        <f>_xlfn.XLOOKUP(표8[[#This Row],[supplier_id]],표7[supplier_id],표7[supplier_name])</f>
        <v>한화토탈에너지스</v>
      </c>
      <c r="D57" s="4">
        <v>218</v>
      </c>
      <c r="E57" s="3" t="s">
        <v>541</v>
      </c>
      <c r="F57" s="3" t="s">
        <v>747</v>
      </c>
      <c r="G57" t="s">
        <v>545</v>
      </c>
      <c r="H57">
        <v>2025</v>
      </c>
    </row>
    <row r="58" spans="1:8" x14ac:dyDescent="0.3">
      <c r="A58" s="10" t="s">
        <v>55</v>
      </c>
      <c r="B58" s="3" t="s">
        <v>400</v>
      </c>
      <c r="C58" s="3" t="str">
        <f>_xlfn.XLOOKUP(표8[[#This Row],[supplier_id]],표7[supplier_id],표7[supplier_name])</f>
        <v>대한유화</v>
      </c>
      <c r="D58" s="4">
        <v>200</v>
      </c>
      <c r="E58" s="3" t="s">
        <v>541</v>
      </c>
      <c r="F58" s="3" t="s">
        <v>543</v>
      </c>
      <c r="G58" t="s">
        <v>545</v>
      </c>
      <c r="H58">
        <v>2025</v>
      </c>
    </row>
    <row r="59" spans="1:8" x14ac:dyDescent="0.3">
      <c r="A59" s="10" t="s">
        <v>57</v>
      </c>
      <c r="B59" s="3" t="s">
        <v>403</v>
      </c>
      <c r="C59" s="3" t="str">
        <f>_xlfn.XLOOKUP(표8[[#This Row],[supplier_id]],표7[supplier_id],표7[supplier_name])</f>
        <v>롯데이네오스화학</v>
      </c>
      <c r="D59" s="4">
        <v>460</v>
      </c>
      <c r="E59" s="3" t="s">
        <v>541</v>
      </c>
      <c r="F59" s="3" t="s">
        <v>543</v>
      </c>
      <c r="G59" t="s">
        <v>545</v>
      </c>
      <c r="H59">
        <v>2025</v>
      </c>
    </row>
    <row r="60" spans="1:8" x14ac:dyDescent="0.3">
      <c r="A60" s="10" t="s">
        <v>58</v>
      </c>
      <c r="B60" s="10" t="s">
        <v>709</v>
      </c>
      <c r="C60" s="10" t="str">
        <f>_xlfn.XLOOKUP(표8[[#This Row],[supplier_id]],표7[supplier_id],표7[supplier_name])</f>
        <v>LG화학</v>
      </c>
      <c r="D60" s="4">
        <v>1300</v>
      </c>
      <c r="E60" s="3" t="s">
        <v>541</v>
      </c>
      <c r="F60" s="3" t="s">
        <v>715</v>
      </c>
      <c r="G60" t="s">
        <v>545</v>
      </c>
      <c r="H60">
        <v>2025</v>
      </c>
    </row>
    <row r="61" spans="1:8" x14ac:dyDescent="0.3">
      <c r="A61" s="10" t="s">
        <v>58</v>
      </c>
      <c r="B61" s="10" t="s">
        <v>710</v>
      </c>
      <c r="C61" s="10" t="str">
        <f>_xlfn.XLOOKUP(표8[[#This Row],[supplier_id]],표7[supplier_id],표7[supplier_name])</f>
        <v>여천NCC</v>
      </c>
      <c r="D61" s="4">
        <v>1289</v>
      </c>
      <c r="E61" s="3" t="s">
        <v>541</v>
      </c>
      <c r="F61" s="3" t="s">
        <v>715</v>
      </c>
      <c r="G61" t="s">
        <v>545</v>
      </c>
      <c r="H61">
        <v>2025</v>
      </c>
    </row>
    <row r="62" spans="1:8" x14ac:dyDescent="0.3">
      <c r="A62" s="10" t="s">
        <v>58</v>
      </c>
      <c r="B62" s="10" t="s">
        <v>735</v>
      </c>
      <c r="C62" s="10" t="str">
        <f>_xlfn.XLOOKUP(표8[[#This Row],[supplier_id]],표7[supplier_id],표7[supplier_name])</f>
        <v>한화토탈에너지스</v>
      </c>
      <c r="D62" s="4">
        <v>1064</v>
      </c>
      <c r="E62" s="3" t="s">
        <v>541</v>
      </c>
      <c r="F62" s="3" t="s">
        <v>747</v>
      </c>
      <c r="G62" t="s">
        <v>545</v>
      </c>
      <c r="H62">
        <v>2025</v>
      </c>
    </row>
    <row r="63" spans="1:8" x14ac:dyDescent="0.3">
      <c r="A63" s="10" t="s">
        <v>58</v>
      </c>
      <c r="B63" s="10" t="s">
        <v>711</v>
      </c>
      <c r="C63" s="10" t="str">
        <f>_xlfn.XLOOKUP(표8[[#This Row],[supplier_id]],표7[supplier_id],표7[supplier_name])</f>
        <v>GS칼텍스</v>
      </c>
      <c r="D63" s="4">
        <v>970</v>
      </c>
      <c r="E63" s="3" t="s">
        <v>541</v>
      </c>
      <c r="F63" s="3" t="s">
        <v>715</v>
      </c>
      <c r="G63" t="s">
        <v>545</v>
      </c>
      <c r="H63">
        <v>2025</v>
      </c>
    </row>
    <row r="64" spans="1:8" x14ac:dyDescent="0.3">
      <c r="A64" s="3" t="s">
        <v>58</v>
      </c>
      <c r="B64" s="3" t="s">
        <v>407</v>
      </c>
      <c r="C64" s="3" t="str">
        <f>_xlfn.XLOOKUP(표8[[#This Row],[supplier_id]],표7[supplier_id],표7[supplier_name])</f>
        <v>S-OIL</v>
      </c>
      <c r="D64" s="4">
        <v>840</v>
      </c>
      <c r="E64" s="3" t="s">
        <v>541</v>
      </c>
      <c r="F64" s="3" t="s">
        <v>543</v>
      </c>
      <c r="G64" t="s">
        <v>545</v>
      </c>
      <c r="H64">
        <v>2025</v>
      </c>
    </row>
    <row r="65" spans="1:8" x14ac:dyDescent="0.3">
      <c r="A65" s="10" t="s">
        <v>58</v>
      </c>
      <c r="B65" s="10" t="s">
        <v>709</v>
      </c>
      <c r="C65" s="10" t="str">
        <f>_xlfn.XLOOKUP(표8[[#This Row],[supplier_id]],표7[supplier_id],표7[supplier_name])</f>
        <v>LG화학</v>
      </c>
      <c r="D65" s="4">
        <v>680</v>
      </c>
      <c r="E65" s="3" t="s">
        <v>541</v>
      </c>
      <c r="F65" s="3" t="s">
        <v>747</v>
      </c>
      <c r="G65" t="s">
        <v>545</v>
      </c>
      <c r="H65">
        <v>2025</v>
      </c>
    </row>
    <row r="66" spans="1:8" x14ac:dyDescent="0.3">
      <c r="A66" s="10" t="s">
        <v>58</v>
      </c>
      <c r="B66" s="10" t="s">
        <v>404</v>
      </c>
      <c r="C66" s="10" t="str">
        <f>_xlfn.XLOOKUP(표8[[#This Row],[supplier_id]],표7[supplier_id],표7[supplier_name])</f>
        <v>롯데케미칼</v>
      </c>
      <c r="D66" s="4">
        <v>641</v>
      </c>
      <c r="E66" s="3" t="s">
        <v>541</v>
      </c>
      <c r="F66" s="3" t="s">
        <v>715</v>
      </c>
      <c r="G66" t="s">
        <v>545</v>
      </c>
      <c r="H66">
        <v>2025</v>
      </c>
    </row>
    <row r="67" spans="1:8" x14ac:dyDescent="0.3">
      <c r="A67" s="3" t="s">
        <v>58</v>
      </c>
      <c r="B67" s="3" t="s">
        <v>409</v>
      </c>
      <c r="C67" s="3" t="str">
        <f>_xlfn.XLOOKUP(표8[[#This Row],[supplier_id]],표7[supplier_id],표7[supplier_name])</f>
        <v>SK에너지</v>
      </c>
      <c r="D67" s="4">
        <v>620</v>
      </c>
      <c r="E67" s="3" t="s">
        <v>541</v>
      </c>
      <c r="F67" s="3" t="s">
        <v>543</v>
      </c>
      <c r="G67" t="s">
        <v>545</v>
      </c>
      <c r="H67">
        <v>2025</v>
      </c>
    </row>
    <row r="68" spans="1:8" x14ac:dyDescent="0.3">
      <c r="A68" s="3" t="s">
        <v>58</v>
      </c>
      <c r="B68" s="3" t="s">
        <v>408</v>
      </c>
      <c r="C68" s="3" t="str">
        <f>_xlfn.XLOOKUP(표8[[#This Row],[supplier_id]],표7[supplier_id],표7[supplier_name])</f>
        <v>SK어드밴스드</v>
      </c>
      <c r="D68" s="4">
        <v>600</v>
      </c>
      <c r="E68" s="3" t="s">
        <v>541</v>
      </c>
      <c r="F68" s="3" t="s">
        <v>543</v>
      </c>
      <c r="G68" t="s">
        <v>545</v>
      </c>
      <c r="H68">
        <v>2025</v>
      </c>
    </row>
    <row r="69" spans="1:8" x14ac:dyDescent="0.3">
      <c r="A69" t="s">
        <v>58</v>
      </c>
      <c r="B69" s="3" t="s">
        <v>400</v>
      </c>
      <c r="C69" s="3" t="str">
        <f>_xlfn.XLOOKUP(표8[[#This Row],[supplier_id]],표7[supplier_id],표7[supplier_name])</f>
        <v>대한유화</v>
      </c>
      <c r="D69" s="4">
        <v>560</v>
      </c>
      <c r="E69" s="3" t="s">
        <v>541</v>
      </c>
      <c r="F69" s="3" t="s">
        <v>543</v>
      </c>
      <c r="G69" t="s">
        <v>545</v>
      </c>
      <c r="H69">
        <v>2025</v>
      </c>
    </row>
    <row r="70" spans="1:8" x14ac:dyDescent="0.3">
      <c r="A70" s="10" t="s">
        <v>58</v>
      </c>
      <c r="B70" s="10" t="s">
        <v>404</v>
      </c>
      <c r="C70" s="10" t="str">
        <f>_xlfn.XLOOKUP(표8[[#This Row],[supplier_id]],표7[supplier_id],표7[supplier_name])</f>
        <v>롯데케미칼</v>
      </c>
      <c r="D70" s="4">
        <v>550</v>
      </c>
      <c r="E70" s="3" t="s">
        <v>541</v>
      </c>
      <c r="F70" s="3" t="s">
        <v>747</v>
      </c>
      <c r="G70" t="s">
        <v>545</v>
      </c>
      <c r="H70">
        <v>2025</v>
      </c>
    </row>
    <row r="71" spans="1:8" x14ac:dyDescent="0.3">
      <c r="A71" s="3" t="s">
        <v>58</v>
      </c>
      <c r="B71" s="3" t="s">
        <v>460</v>
      </c>
      <c r="C71" s="3" t="str">
        <f>_xlfn.XLOOKUP(표8[[#This Row],[supplier_id]],표7[supplier_id],표7[supplier_name])</f>
        <v>효성화학</v>
      </c>
      <c r="D71" s="4">
        <v>500</v>
      </c>
      <c r="E71" s="3" t="s">
        <v>541</v>
      </c>
      <c r="F71" s="3" t="s">
        <v>543</v>
      </c>
      <c r="G71" t="s">
        <v>545</v>
      </c>
      <c r="H71">
        <v>2025</v>
      </c>
    </row>
    <row r="72" spans="1:8" x14ac:dyDescent="0.3">
      <c r="A72" s="10" t="s">
        <v>58</v>
      </c>
      <c r="B72" s="10" t="s">
        <v>736</v>
      </c>
      <c r="C72" s="10" t="str">
        <f>_xlfn.XLOOKUP(표8[[#This Row],[supplier_id]],표7[supplier_id],표7[supplier_name])</f>
        <v>HD현대케미칼</v>
      </c>
      <c r="D72" s="4">
        <v>451</v>
      </c>
      <c r="E72" s="3" t="s">
        <v>541</v>
      </c>
      <c r="F72" s="3" t="s">
        <v>747</v>
      </c>
      <c r="G72" t="s">
        <v>545</v>
      </c>
      <c r="H72">
        <v>2025</v>
      </c>
    </row>
    <row r="73" spans="1:8" x14ac:dyDescent="0.3">
      <c r="A73" s="8" t="s">
        <v>58</v>
      </c>
      <c r="B73" s="8" t="s">
        <v>746</v>
      </c>
      <c r="C73" s="8" t="str">
        <f>_xlfn.XLOOKUP(표8[[#This Row],[supplier_id]],표7[supplier_id],표7[supplier_name])</f>
        <v>HD현대오일뱅크</v>
      </c>
      <c r="D73" s="9">
        <v>420</v>
      </c>
      <c r="E73" s="3" t="s">
        <v>541</v>
      </c>
      <c r="F73" s="3" t="s">
        <v>747</v>
      </c>
      <c r="G73" t="s">
        <v>545</v>
      </c>
      <c r="H73">
        <v>2025</v>
      </c>
    </row>
    <row r="74" spans="1:8" x14ac:dyDescent="0.3">
      <c r="A74" t="s">
        <v>58</v>
      </c>
      <c r="B74" t="s">
        <v>410</v>
      </c>
      <c r="C74" t="str">
        <f>_xlfn.XLOOKUP(표8[[#This Row],[supplier_id]],표7[supplier_id],표7[supplier_name])</f>
        <v>SK지오센트릭</v>
      </c>
      <c r="D74" s="9">
        <v>380</v>
      </c>
      <c r="E74" s="3" t="s">
        <v>541</v>
      </c>
      <c r="F74" s="3" t="s">
        <v>543</v>
      </c>
      <c r="G74" t="s">
        <v>545</v>
      </c>
      <c r="H74">
        <v>2025</v>
      </c>
    </row>
    <row r="75" spans="1:8" x14ac:dyDescent="0.3">
      <c r="A75" t="s">
        <v>58</v>
      </c>
      <c r="B75" t="s">
        <v>453</v>
      </c>
      <c r="C75" t="str">
        <f>_xlfn.XLOOKUP(표8[[#This Row],[supplier_id]],표7[supplier_id],표7[supplier_name])</f>
        <v>태광산업</v>
      </c>
      <c r="D75" s="9">
        <v>300</v>
      </c>
      <c r="E75" s="3" t="s">
        <v>541</v>
      </c>
      <c r="F75" s="3" t="s">
        <v>543</v>
      </c>
      <c r="G75" t="s">
        <v>545</v>
      </c>
      <c r="H75">
        <v>2025</v>
      </c>
    </row>
    <row r="76" spans="1:8" x14ac:dyDescent="0.3">
      <c r="A76" s="8" t="s">
        <v>59</v>
      </c>
      <c r="B76" t="s">
        <v>402</v>
      </c>
      <c r="C76" t="str">
        <f>_xlfn.XLOOKUP(표8[[#This Row],[supplier_id]],표7[supplier_id],표7[supplier_name])</f>
        <v>동서석유화학</v>
      </c>
      <c r="D76" s="9">
        <v>602</v>
      </c>
      <c r="E76" s="3" t="s">
        <v>541</v>
      </c>
      <c r="F76" s="3" t="s">
        <v>543</v>
      </c>
      <c r="G76" t="s">
        <v>545</v>
      </c>
      <c r="H76">
        <v>2025</v>
      </c>
    </row>
    <row r="77" spans="1:8" x14ac:dyDescent="0.3">
      <c r="A77" s="8" t="s">
        <v>59</v>
      </c>
      <c r="B77" t="s">
        <v>453</v>
      </c>
      <c r="C77" t="str">
        <f>_xlfn.XLOOKUP(표8[[#This Row],[supplier_id]],표7[supplier_id],표7[supplier_name])</f>
        <v>태광산업</v>
      </c>
      <c r="D77" s="9">
        <v>290</v>
      </c>
      <c r="E77" s="3" t="s">
        <v>541</v>
      </c>
      <c r="F77" s="3" t="s">
        <v>543</v>
      </c>
      <c r="G77" t="s">
        <v>545</v>
      </c>
      <c r="H77">
        <v>2025</v>
      </c>
    </row>
    <row r="78" spans="1:8" x14ac:dyDescent="0.3">
      <c r="A78" s="10" t="s">
        <v>60</v>
      </c>
      <c r="B78" s="25" t="s">
        <v>709</v>
      </c>
      <c r="C78" s="10" t="str">
        <f>_xlfn.XLOOKUP(표8[[#This Row],[supplier_id]],표7[supplier_id],표7[supplier_name])</f>
        <v>LG화학</v>
      </c>
      <c r="D78" s="4">
        <v>1030</v>
      </c>
      <c r="E78" t="s">
        <v>541</v>
      </c>
      <c r="F78" s="3" t="s">
        <v>715</v>
      </c>
      <c r="G78" t="s">
        <v>545</v>
      </c>
      <c r="H78">
        <v>2025</v>
      </c>
    </row>
    <row r="79" spans="1:8" x14ac:dyDescent="0.3">
      <c r="A79" s="10" t="s">
        <v>60</v>
      </c>
      <c r="B79" s="10" t="s">
        <v>404</v>
      </c>
      <c r="C79" s="10" t="str">
        <f>_xlfn.XLOOKUP(표8[[#This Row],[supplier_id]],표7[supplier_id],표7[supplier_name])</f>
        <v>롯데케미칼</v>
      </c>
      <c r="D79" s="4">
        <v>757</v>
      </c>
      <c r="E79" t="s">
        <v>541</v>
      </c>
      <c r="F79" s="3" t="s">
        <v>715</v>
      </c>
      <c r="G79" t="s">
        <v>545</v>
      </c>
      <c r="H79">
        <v>2025</v>
      </c>
    </row>
    <row r="80" spans="1:8" x14ac:dyDescent="0.3">
      <c r="A80" t="s">
        <v>60</v>
      </c>
      <c r="B80" t="s">
        <v>398</v>
      </c>
      <c r="C80" t="str">
        <f>_xlfn.XLOOKUP(표8[[#This Row],[supplier_id]],표7[supplier_id],표7[supplier_name])</f>
        <v>금호석유화학</v>
      </c>
      <c r="D80" s="9">
        <v>290</v>
      </c>
      <c r="E80" t="s">
        <v>541</v>
      </c>
      <c r="F80" s="3" t="s">
        <v>543</v>
      </c>
      <c r="G80" t="s">
        <v>545</v>
      </c>
      <c r="H80">
        <v>2025</v>
      </c>
    </row>
    <row r="81" spans="1:8" x14ac:dyDescent="0.3">
      <c r="A81" t="s">
        <v>60</v>
      </c>
      <c r="B81" t="s">
        <v>456</v>
      </c>
      <c r="C81" t="str">
        <f>_xlfn.XLOOKUP(표8[[#This Row],[supplier_id]],표7[supplier_id],표7[supplier_name])</f>
        <v>한국이네오스스티롤루션</v>
      </c>
      <c r="D81" s="9">
        <v>276</v>
      </c>
      <c r="E81" t="s">
        <v>541</v>
      </c>
      <c r="F81" s="3" t="s">
        <v>543</v>
      </c>
      <c r="G81" t="s">
        <v>545</v>
      </c>
      <c r="H81">
        <v>2025</v>
      </c>
    </row>
    <row r="82" spans="1:8" x14ac:dyDescent="0.3">
      <c r="A82" t="s">
        <v>1063</v>
      </c>
      <c r="B82" t="s">
        <v>399</v>
      </c>
      <c r="C82" s="8" t="str">
        <f>_xlfn.XLOOKUP(표8[[#This Row],[supplier_id]],표7[supplier_id],표7[supplier_name])</f>
        <v>금호석유화학</v>
      </c>
      <c r="D82" s="9">
        <v>50</v>
      </c>
      <c r="E82" t="s">
        <v>541</v>
      </c>
      <c r="F82" s="3" t="s">
        <v>543</v>
      </c>
      <c r="G82" t="s">
        <v>1027</v>
      </c>
      <c r="H82">
        <v>2022</v>
      </c>
    </row>
    <row r="83" spans="1:8" x14ac:dyDescent="0.3">
      <c r="A83" t="s">
        <v>1063</v>
      </c>
      <c r="B83" t="s">
        <v>1059</v>
      </c>
      <c r="C83" s="8" t="str">
        <f>_xlfn.XLOOKUP(표8[[#This Row],[supplier_id]],표7[supplier_id],표7[supplier_name])</f>
        <v>LG화학</v>
      </c>
      <c r="D83" s="9">
        <v>70</v>
      </c>
      <c r="E83" t="s">
        <v>541</v>
      </c>
      <c r="F83" s="3" t="s">
        <v>715</v>
      </c>
      <c r="G83" t="s">
        <v>1027</v>
      </c>
      <c r="H83">
        <v>2022</v>
      </c>
    </row>
    <row r="84" spans="1:8" x14ac:dyDescent="0.3">
      <c r="A84" s="8" t="s">
        <v>1063</v>
      </c>
      <c r="B84" t="s">
        <v>1061</v>
      </c>
      <c r="C84" s="8" t="str">
        <f>_xlfn.XLOOKUP(표8[[#This Row],[supplier_id]],표7[supplier_id],표7[supplier_name])</f>
        <v>롯데케미칼</v>
      </c>
      <c r="D84" s="9">
        <v>40</v>
      </c>
      <c r="E84" t="s">
        <v>541</v>
      </c>
      <c r="F84" s="3" t="s">
        <v>715</v>
      </c>
      <c r="G84" t="s">
        <v>1027</v>
      </c>
      <c r="H84">
        <v>2022</v>
      </c>
    </row>
    <row r="85" spans="1:8" x14ac:dyDescent="0.3">
      <c r="A85" t="s">
        <v>62</v>
      </c>
      <c r="B85" t="s">
        <v>398</v>
      </c>
      <c r="C85" t="str">
        <f>_xlfn.XLOOKUP(표8[[#This Row],[supplier_id]],표7[supplier_id],표7[supplier_name])</f>
        <v>금호석유화학</v>
      </c>
      <c r="D85" s="9">
        <v>92</v>
      </c>
      <c r="E85" t="s">
        <v>541</v>
      </c>
      <c r="F85" s="3" t="s">
        <v>543</v>
      </c>
      <c r="G85" t="s">
        <v>545</v>
      </c>
      <c r="H85">
        <v>2025</v>
      </c>
    </row>
    <row r="86" spans="1:8" x14ac:dyDescent="0.3">
      <c r="A86" s="8" t="s">
        <v>62</v>
      </c>
      <c r="B86" s="8" t="s">
        <v>709</v>
      </c>
      <c r="C86" s="8" t="str">
        <f>_xlfn.XLOOKUP(표8[[#This Row],[supplier_id]],표7[supplier_id],표7[supplier_name])</f>
        <v>LG화학</v>
      </c>
      <c r="D86" s="9">
        <v>65</v>
      </c>
      <c r="E86" t="s">
        <v>541</v>
      </c>
      <c r="F86" s="3" t="s">
        <v>747</v>
      </c>
      <c r="G86" t="s">
        <v>545</v>
      </c>
      <c r="H86">
        <v>2025</v>
      </c>
    </row>
    <row r="87" spans="1:8" x14ac:dyDescent="0.3">
      <c r="A87" s="8" t="s">
        <v>63</v>
      </c>
      <c r="B87" s="8" t="s">
        <v>735</v>
      </c>
      <c r="C87" s="8" t="str">
        <f>_xlfn.XLOOKUP(표8[[#This Row],[supplier_id]],표7[supplier_id],표7[supplier_name])</f>
        <v>한화토탈에너지스</v>
      </c>
      <c r="D87" s="9">
        <v>1117</v>
      </c>
      <c r="E87" t="s">
        <v>541</v>
      </c>
      <c r="F87" s="3" t="s">
        <v>747</v>
      </c>
      <c r="G87" t="s">
        <v>545</v>
      </c>
      <c r="H87">
        <v>2025</v>
      </c>
    </row>
    <row r="88" spans="1:8" x14ac:dyDescent="0.3">
      <c r="A88" s="8" t="s">
        <v>63</v>
      </c>
      <c r="B88" s="8" t="s">
        <v>712</v>
      </c>
      <c r="C88" s="8" t="str">
        <f>_xlfn.XLOOKUP(표8[[#This Row],[supplier_id]],표7[supplier_id],표7[supplier_name])</f>
        <v>폴리미래</v>
      </c>
      <c r="D88" s="9">
        <v>730</v>
      </c>
      <c r="E88" t="s">
        <v>541</v>
      </c>
      <c r="F88" s="3" t="s">
        <v>715</v>
      </c>
      <c r="G88" t="s">
        <v>545</v>
      </c>
      <c r="H88">
        <v>2025</v>
      </c>
    </row>
    <row r="89" spans="1:8" x14ac:dyDescent="0.3">
      <c r="A89" s="8" t="s">
        <v>63</v>
      </c>
      <c r="B89" t="s">
        <v>460</v>
      </c>
      <c r="C89" t="str">
        <f>_xlfn.XLOOKUP(표8[[#This Row],[supplier_id]],표7[supplier_id],표7[supplier_name])</f>
        <v>효성화학</v>
      </c>
      <c r="D89" s="9">
        <v>600</v>
      </c>
      <c r="E89" t="s">
        <v>541</v>
      </c>
      <c r="F89" s="3" t="s">
        <v>543</v>
      </c>
      <c r="G89" t="s">
        <v>545</v>
      </c>
      <c r="H89">
        <v>2025</v>
      </c>
    </row>
    <row r="90" spans="1:8" x14ac:dyDescent="0.3">
      <c r="A90" s="8" t="s">
        <v>63</v>
      </c>
      <c r="B90" s="8" t="s">
        <v>404</v>
      </c>
      <c r="C90" s="8" t="str">
        <f>_xlfn.XLOOKUP(표8[[#This Row],[supplier_id]],표7[supplier_id],표7[supplier_name])</f>
        <v>롯데케미칼</v>
      </c>
      <c r="D90" s="9">
        <v>600</v>
      </c>
      <c r="E90" t="s">
        <v>541</v>
      </c>
      <c r="F90" s="3" t="s">
        <v>715</v>
      </c>
      <c r="G90" t="s">
        <v>545</v>
      </c>
      <c r="H90">
        <v>2025</v>
      </c>
    </row>
    <row r="91" spans="1:8" x14ac:dyDescent="0.3">
      <c r="A91" s="8" t="s">
        <v>63</v>
      </c>
      <c r="B91" t="s">
        <v>400</v>
      </c>
      <c r="C91" t="str">
        <f>_xlfn.XLOOKUP(표8[[#This Row],[supplier_id]],표7[supplier_id],표7[supplier_name])</f>
        <v>대한유화</v>
      </c>
      <c r="D91" s="9">
        <v>550</v>
      </c>
      <c r="E91" t="s">
        <v>541</v>
      </c>
      <c r="F91" s="3" t="s">
        <v>543</v>
      </c>
      <c r="G91" t="s">
        <v>545</v>
      </c>
      <c r="H91">
        <v>2025</v>
      </c>
    </row>
    <row r="92" spans="1:8" x14ac:dyDescent="0.3">
      <c r="A92" s="8" t="s">
        <v>63</v>
      </c>
      <c r="B92" s="8" t="s">
        <v>736</v>
      </c>
      <c r="C92" s="8" t="str">
        <f>_xlfn.XLOOKUP(표8[[#This Row],[supplier_id]],표7[supplier_id],표7[supplier_name])</f>
        <v>HD현대케미칼</v>
      </c>
      <c r="D92" s="9">
        <v>500</v>
      </c>
      <c r="E92" t="s">
        <v>541</v>
      </c>
      <c r="F92" s="3" t="s">
        <v>747</v>
      </c>
      <c r="G92" t="s">
        <v>545</v>
      </c>
      <c r="H92">
        <v>2025</v>
      </c>
    </row>
    <row r="93" spans="1:8" x14ac:dyDescent="0.3">
      <c r="A93" s="8" t="s">
        <v>63</v>
      </c>
      <c r="B93" s="8" t="s">
        <v>404</v>
      </c>
      <c r="C93" s="8" t="str">
        <f>_xlfn.XLOOKUP(표8[[#This Row],[supplier_id]],표7[supplier_id],표7[supplier_name])</f>
        <v>롯데케미칼</v>
      </c>
      <c r="D93" s="9">
        <v>490</v>
      </c>
      <c r="E93" t="s">
        <v>541</v>
      </c>
      <c r="F93" s="3" t="s">
        <v>747</v>
      </c>
      <c r="G93" t="s">
        <v>545</v>
      </c>
      <c r="H93">
        <v>2025</v>
      </c>
    </row>
    <row r="94" spans="1:8" x14ac:dyDescent="0.3">
      <c r="A94" s="8" t="s">
        <v>63</v>
      </c>
      <c r="B94" t="s">
        <v>410</v>
      </c>
      <c r="C94" t="str">
        <f>_xlfn.XLOOKUP(표8[[#This Row],[supplier_id]],표7[supplier_id],표7[supplier_name])</f>
        <v>SK지오센트릭</v>
      </c>
      <c r="D94" s="9">
        <v>432</v>
      </c>
      <c r="E94" t="s">
        <v>541</v>
      </c>
      <c r="F94" s="3" t="s">
        <v>543</v>
      </c>
      <c r="G94" t="s">
        <v>545</v>
      </c>
      <c r="H94">
        <v>2025</v>
      </c>
    </row>
    <row r="95" spans="1:8" x14ac:dyDescent="0.3">
      <c r="A95" s="8" t="s">
        <v>63</v>
      </c>
      <c r="B95" t="s">
        <v>407</v>
      </c>
      <c r="C95" t="str">
        <f>_xlfn.XLOOKUP(표8[[#This Row],[supplier_id]],표7[supplier_id],표7[supplier_name])</f>
        <v>S-OIL</v>
      </c>
      <c r="D95" s="9">
        <v>405</v>
      </c>
      <c r="E95" t="s">
        <v>541</v>
      </c>
      <c r="F95" s="3" t="s">
        <v>543</v>
      </c>
      <c r="G95" t="s">
        <v>545</v>
      </c>
      <c r="H95">
        <v>2025</v>
      </c>
    </row>
    <row r="96" spans="1:8" x14ac:dyDescent="0.3">
      <c r="A96" s="8" t="s">
        <v>63</v>
      </c>
      <c r="B96" t="s">
        <v>447</v>
      </c>
      <c r="C96" t="str">
        <f>_xlfn.XLOOKUP(표8[[#This Row],[supplier_id]],표7[supplier_id],표7[supplier_name])</f>
        <v>울산피피</v>
      </c>
      <c r="D96" s="9">
        <v>400</v>
      </c>
      <c r="E96" t="s">
        <v>541</v>
      </c>
      <c r="F96" s="3" t="s">
        <v>543</v>
      </c>
      <c r="G96" t="s">
        <v>545</v>
      </c>
      <c r="H96">
        <v>2025</v>
      </c>
    </row>
    <row r="97" spans="1:8" x14ac:dyDescent="0.3">
      <c r="A97" s="8" t="s">
        <v>63</v>
      </c>
      <c r="B97" s="8" t="s">
        <v>709</v>
      </c>
      <c r="C97" s="8" t="str">
        <f>_xlfn.XLOOKUP(표8[[#This Row],[supplier_id]],표7[supplier_id],표7[supplier_name])</f>
        <v>LG화학</v>
      </c>
      <c r="D97" s="9">
        <v>380</v>
      </c>
      <c r="E97" t="s">
        <v>541</v>
      </c>
      <c r="F97" s="3" t="s">
        <v>747</v>
      </c>
      <c r="G97" t="s">
        <v>545</v>
      </c>
      <c r="H97">
        <v>2025</v>
      </c>
    </row>
    <row r="98" spans="1:8" x14ac:dyDescent="0.3">
      <c r="A98" s="8" t="s">
        <v>63</v>
      </c>
      <c r="B98" s="8" t="s">
        <v>711</v>
      </c>
      <c r="C98" s="8" t="str">
        <f>_xlfn.XLOOKUP(표8[[#This Row],[supplier_id]],표7[supplier_id],표7[supplier_name])</f>
        <v>GS칼텍스</v>
      </c>
      <c r="D98" s="9">
        <v>180</v>
      </c>
      <c r="E98" t="s">
        <v>541</v>
      </c>
      <c r="F98" s="3" t="s">
        <v>715</v>
      </c>
      <c r="G98" t="s">
        <v>545</v>
      </c>
      <c r="H98">
        <v>2025</v>
      </c>
    </row>
    <row r="99" spans="1:8" x14ac:dyDescent="0.3">
      <c r="A99" s="8" t="s">
        <v>64</v>
      </c>
      <c r="B99" t="s">
        <v>443</v>
      </c>
      <c r="C99" t="str">
        <f>_xlfn.XLOOKUP(표8[[#This Row],[supplier_id]],표7[supplier_id],표7[supplier_name])</f>
        <v>SK picglobal</v>
      </c>
      <c r="D99" s="9">
        <v>310</v>
      </c>
      <c r="E99" t="s">
        <v>541</v>
      </c>
      <c r="F99" s="3" t="s">
        <v>543</v>
      </c>
      <c r="G99" t="s">
        <v>545</v>
      </c>
      <c r="H99">
        <v>2025</v>
      </c>
    </row>
    <row r="100" spans="1:8" x14ac:dyDescent="0.3">
      <c r="A100" s="8" t="s">
        <v>64</v>
      </c>
      <c r="B100" t="s">
        <v>407</v>
      </c>
      <c r="C100" t="str">
        <f>_xlfn.XLOOKUP(표8[[#This Row],[supplier_id]],표7[supplier_id],표7[supplier_name])</f>
        <v>S-OIL</v>
      </c>
      <c r="D100" s="9">
        <v>300</v>
      </c>
      <c r="E100" t="s">
        <v>541</v>
      </c>
      <c r="F100" s="3" t="s">
        <v>543</v>
      </c>
      <c r="G100" t="s">
        <v>545</v>
      </c>
      <c r="H100">
        <v>2025</v>
      </c>
    </row>
    <row r="101" spans="1:8" x14ac:dyDescent="0.3">
      <c r="A101" t="s">
        <v>65</v>
      </c>
      <c r="B101" t="s">
        <v>443</v>
      </c>
      <c r="C101" t="str">
        <f>_xlfn.XLOOKUP(표8[[#This Row],[supplier_id]],표7[supplier_id],표7[supplier_name])</f>
        <v>SK picglobal</v>
      </c>
      <c r="D101" s="9">
        <v>180</v>
      </c>
      <c r="E101" t="s">
        <v>541</v>
      </c>
      <c r="F101" s="3" t="s">
        <v>543</v>
      </c>
      <c r="G101" t="s">
        <v>545</v>
      </c>
      <c r="H101">
        <v>2025</v>
      </c>
    </row>
    <row r="102" spans="1:8" x14ac:dyDescent="0.3">
      <c r="A102" t="s">
        <v>66</v>
      </c>
      <c r="B102" t="s">
        <v>450</v>
      </c>
      <c r="C102" t="str">
        <f>_xlfn.XLOOKUP(표8[[#This Row],[supplier_id]],표7[supplier_id],표7[supplier_name])</f>
        <v>KPX케미칼</v>
      </c>
      <c r="D102" s="9">
        <v>298</v>
      </c>
      <c r="E102" t="s">
        <v>541</v>
      </c>
      <c r="F102" s="3" t="s">
        <v>543</v>
      </c>
      <c r="G102" t="s">
        <v>545</v>
      </c>
      <c r="H102">
        <v>2025</v>
      </c>
    </row>
    <row r="103" spans="1:8" x14ac:dyDescent="0.3">
      <c r="A103" s="8" t="s">
        <v>66</v>
      </c>
      <c r="B103" t="s">
        <v>443</v>
      </c>
      <c r="C103" t="str">
        <f>_xlfn.XLOOKUP(표8[[#This Row],[supplier_id]],표7[supplier_id],표7[supplier_name])</f>
        <v>SK picglobal</v>
      </c>
      <c r="D103" s="9">
        <v>220</v>
      </c>
      <c r="E103" t="s">
        <v>541</v>
      </c>
      <c r="F103" s="3" t="s">
        <v>543</v>
      </c>
      <c r="G103" t="s">
        <v>545</v>
      </c>
      <c r="H103">
        <v>2025</v>
      </c>
    </row>
    <row r="104" spans="1:8" x14ac:dyDescent="0.3">
      <c r="A104" t="s">
        <v>66</v>
      </c>
      <c r="B104" t="s">
        <v>398</v>
      </c>
      <c r="C104" t="str">
        <f>_xlfn.XLOOKUP(표8[[#This Row],[supplier_id]],표7[supplier_id],표7[supplier_name])</f>
        <v>금호석유화학</v>
      </c>
      <c r="D104" s="9">
        <v>152</v>
      </c>
      <c r="E104" t="s">
        <v>541</v>
      </c>
      <c r="F104" s="3" t="s">
        <v>543</v>
      </c>
      <c r="G104" t="s">
        <v>545</v>
      </c>
      <c r="H104">
        <v>2025</v>
      </c>
    </row>
    <row r="105" spans="1:8" x14ac:dyDescent="0.3">
      <c r="A105" s="8" t="s">
        <v>66</v>
      </c>
      <c r="B105" t="s">
        <v>454</v>
      </c>
      <c r="C105" t="str">
        <f>_xlfn.XLOOKUP(표8[[#This Row],[supplier_id]],표7[supplier_id],표7[supplier_name])</f>
        <v>한국바스프</v>
      </c>
      <c r="D105" s="9">
        <v>119</v>
      </c>
      <c r="E105" t="s">
        <v>541</v>
      </c>
      <c r="F105" s="3" t="s">
        <v>543</v>
      </c>
      <c r="G105" t="s">
        <v>545</v>
      </c>
      <c r="H105">
        <v>2025</v>
      </c>
    </row>
    <row r="106" spans="1:8" x14ac:dyDescent="0.3">
      <c r="A106" s="8" t="s">
        <v>69</v>
      </c>
      <c r="B106" s="8" t="s">
        <v>709</v>
      </c>
      <c r="C106" s="8" t="str">
        <f>_xlfn.XLOOKUP(표8[[#This Row],[supplier_id]],표7[supplier_id],표7[supplier_name])</f>
        <v>LG화학</v>
      </c>
      <c r="D106" s="9">
        <v>649</v>
      </c>
      <c r="E106" t="s">
        <v>541</v>
      </c>
      <c r="F106" s="3" t="s">
        <v>715</v>
      </c>
      <c r="G106" t="s">
        <v>545</v>
      </c>
      <c r="H106">
        <v>2025</v>
      </c>
    </row>
    <row r="107" spans="1:8" x14ac:dyDescent="0.3">
      <c r="A107" t="s">
        <v>353</v>
      </c>
      <c r="B107" t="s">
        <v>1059</v>
      </c>
      <c r="C107" s="8" t="str">
        <f>_xlfn.XLOOKUP(표8[[#This Row],[supplier_id]],표7[supplier_id],표7[supplier_name])</f>
        <v>LG화학</v>
      </c>
      <c r="D107" s="9">
        <v>200</v>
      </c>
      <c r="E107" t="s">
        <v>541</v>
      </c>
      <c r="F107" s="3" t="s">
        <v>715</v>
      </c>
      <c r="G107" t="s">
        <v>1027</v>
      </c>
      <c r="H107">
        <v>2023</v>
      </c>
    </row>
    <row r="108" spans="1:8" x14ac:dyDescent="0.3">
      <c r="A108" t="s">
        <v>72</v>
      </c>
      <c r="B108" s="8" t="s">
        <v>709</v>
      </c>
      <c r="C108" t="str">
        <f>_xlfn.XLOOKUP(표8[[#This Row],[supplier_id]],표7[supplier_id],표7[supplier_name])</f>
        <v>LG화학</v>
      </c>
      <c r="D108" s="9">
        <v>280</v>
      </c>
      <c r="E108" t="s">
        <v>541</v>
      </c>
      <c r="F108" s="3" t="s">
        <v>715</v>
      </c>
      <c r="G108" t="s">
        <v>548</v>
      </c>
      <c r="H108">
        <v>2025</v>
      </c>
    </row>
    <row r="109" spans="1:8" x14ac:dyDescent="0.3">
      <c r="A109" t="s">
        <v>1080</v>
      </c>
      <c r="B109" s="8" t="s">
        <v>458</v>
      </c>
      <c r="C109" s="8" t="str">
        <f>_xlfn.XLOOKUP(표8[[#This Row],[supplier_id]],표7[supplier_id],표7[supplier_name])</f>
        <v>한화솔루션</v>
      </c>
      <c r="D109" s="9">
        <v>210</v>
      </c>
      <c r="E109" t="s">
        <v>541</v>
      </c>
      <c r="F109" s="3" t="s">
        <v>715</v>
      </c>
      <c r="G109" t="s">
        <v>1027</v>
      </c>
      <c r="H109">
        <v>2024</v>
      </c>
    </row>
    <row r="110" spans="1:8" x14ac:dyDescent="0.3">
      <c r="A110" t="s">
        <v>1080</v>
      </c>
      <c r="B110" t="s">
        <v>1059</v>
      </c>
      <c r="C110" s="8" t="str">
        <f>_xlfn.XLOOKUP(표8[[#This Row],[supplier_id]],표7[supplier_id],표7[supplier_name])</f>
        <v>LG화학</v>
      </c>
      <c r="D110" s="9">
        <v>145</v>
      </c>
      <c r="E110" t="s">
        <v>541</v>
      </c>
      <c r="F110" s="3" t="s">
        <v>715</v>
      </c>
      <c r="G110" t="s">
        <v>1027</v>
      </c>
      <c r="H110">
        <v>2024</v>
      </c>
    </row>
    <row r="111" spans="1:8" x14ac:dyDescent="0.3">
      <c r="A111" t="s">
        <v>1080</v>
      </c>
      <c r="B111" t="s">
        <v>1059</v>
      </c>
      <c r="C111" s="8" t="str">
        <f>_xlfn.XLOOKUP(표8[[#This Row],[supplier_id]],표7[supplier_id],표7[supplier_name])</f>
        <v>LG화학</v>
      </c>
      <c r="D111" s="9">
        <v>205</v>
      </c>
      <c r="E111" t="s">
        <v>541</v>
      </c>
      <c r="F111" s="3" t="s">
        <v>1082</v>
      </c>
      <c r="G111" t="s">
        <v>1027</v>
      </c>
      <c r="H111">
        <v>2024</v>
      </c>
    </row>
    <row r="112" spans="1:8" x14ac:dyDescent="0.3">
      <c r="A112" s="8" t="s">
        <v>74</v>
      </c>
      <c r="B112" s="8" t="s">
        <v>458</v>
      </c>
      <c r="C112" s="8" t="str">
        <f>_xlfn.XLOOKUP(표8[[#This Row],[supplier_id]],표7[supplier_id],표7[supplier_name])</f>
        <v>한화솔루션</v>
      </c>
      <c r="D112" s="9">
        <v>152</v>
      </c>
      <c r="E112" t="s">
        <v>541</v>
      </c>
      <c r="F112" s="3" t="s">
        <v>715</v>
      </c>
      <c r="G112" t="s">
        <v>545</v>
      </c>
      <c r="H112">
        <v>2025</v>
      </c>
    </row>
    <row r="113" spans="1:8" x14ac:dyDescent="0.3">
      <c r="A113" s="8" t="s">
        <v>74</v>
      </c>
      <c r="B113" s="8" t="s">
        <v>709</v>
      </c>
      <c r="C113" s="8" t="str">
        <f>_xlfn.XLOOKUP(표8[[#This Row],[supplier_id]],표7[supplier_id],표7[supplier_name])</f>
        <v>LG화학</v>
      </c>
      <c r="D113" s="9">
        <v>125</v>
      </c>
      <c r="E113" t="s">
        <v>541</v>
      </c>
      <c r="F113" s="3" t="s">
        <v>715</v>
      </c>
      <c r="G113" t="s">
        <v>545</v>
      </c>
      <c r="H113">
        <v>2025</v>
      </c>
    </row>
    <row r="114" spans="1:8" x14ac:dyDescent="0.3">
      <c r="A114" s="8" t="s">
        <v>75</v>
      </c>
      <c r="B114" s="8" t="s">
        <v>458</v>
      </c>
      <c r="C114" s="8" t="str">
        <f>_xlfn.XLOOKUP(표8[[#This Row],[supplier_id]],표7[supplier_id],표7[supplier_name])</f>
        <v>한화솔루션</v>
      </c>
      <c r="D114" s="9">
        <v>12</v>
      </c>
      <c r="E114" t="s">
        <v>541</v>
      </c>
      <c r="F114" s="3" t="s">
        <v>715</v>
      </c>
      <c r="G114" t="s">
        <v>545</v>
      </c>
      <c r="H114">
        <v>2025</v>
      </c>
    </row>
    <row r="115" spans="1:8" x14ac:dyDescent="0.3">
      <c r="A115" s="8" t="s">
        <v>79</v>
      </c>
      <c r="B115" s="8" t="s">
        <v>709</v>
      </c>
      <c r="C115" s="8" t="str">
        <f>_xlfn.XLOOKUP(표8[[#This Row],[supplier_id]],표7[supplier_id],표7[supplier_name])</f>
        <v>LG화학</v>
      </c>
      <c r="D115" s="9">
        <v>205</v>
      </c>
      <c r="E115" t="s">
        <v>541</v>
      </c>
      <c r="F115" s="3" t="s">
        <v>715</v>
      </c>
      <c r="G115" t="s">
        <v>545</v>
      </c>
      <c r="H115">
        <v>2025</v>
      </c>
    </row>
    <row r="116" spans="1:8" x14ac:dyDescent="0.3">
      <c r="A116" s="8" t="s">
        <v>552</v>
      </c>
      <c r="B116" t="s">
        <v>448</v>
      </c>
      <c r="C116" t="str">
        <f>_xlfn.XLOOKUP(표8[[#This Row],[supplier_id]],표7[supplier_id],표7[supplier_name])</f>
        <v>이수화학</v>
      </c>
      <c r="D116" s="9">
        <v>60</v>
      </c>
      <c r="E116" t="s">
        <v>541</v>
      </c>
      <c r="F116" s="3" t="s">
        <v>543</v>
      </c>
      <c r="G116" t="s">
        <v>545</v>
      </c>
      <c r="H116">
        <v>2025</v>
      </c>
    </row>
    <row r="117" spans="1:8" x14ac:dyDescent="0.3">
      <c r="A117" s="8" t="s">
        <v>81</v>
      </c>
      <c r="B117" s="8" t="s">
        <v>710</v>
      </c>
      <c r="C117" s="8" t="str">
        <f>_xlfn.XLOOKUP(표8[[#This Row],[supplier_id]],표7[supplier_id],표7[supplier_name])</f>
        <v>여천NCC</v>
      </c>
      <c r="D117" s="9">
        <v>378</v>
      </c>
      <c r="E117" t="s">
        <v>541</v>
      </c>
      <c r="F117" s="3" t="s">
        <v>715</v>
      </c>
      <c r="G117" t="s">
        <v>545</v>
      </c>
      <c r="H117">
        <v>2025</v>
      </c>
    </row>
    <row r="118" spans="1:8" x14ac:dyDescent="0.3">
      <c r="A118" s="8" t="s">
        <v>81</v>
      </c>
      <c r="B118" s="8" t="s">
        <v>709</v>
      </c>
      <c r="C118" s="8" t="str">
        <f>_xlfn.XLOOKUP(표8[[#This Row],[supplier_id]],표7[supplier_id],표7[supplier_name])</f>
        <v>LG화학</v>
      </c>
      <c r="D118" s="9">
        <v>306</v>
      </c>
      <c r="E118" t="s">
        <v>541</v>
      </c>
      <c r="F118" s="3" t="s">
        <v>715</v>
      </c>
      <c r="G118" t="s">
        <v>545</v>
      </c>
      <c r="H118">
        <v>2025</v>
      </c>
    </row>
    <row r="119" spans="1:8" x14ac:dyDescent="0.3">
      <c r="A119" s="8" t="s">
        <v>81</v>
      </c>
      <c r="B119" s="8" t="s">
        <v>709</v>
      </c>
      <c r="C119" s="8" t="str">
        <f>_xlfn.XLOOKUP(표8[[#This Row],[supplier_id]],표7[supplier_id],표7[supplier_name])</f>
        <v>LG화학</v>
      </c>
      <c r="D119" s="9">
        <v>200</v>
      </c>
      <c r="E119" t="s">
        <v>541</v>
      </c>
      <c r="F119" s="3" t="s">
        <v>747</v>
      </c>
      <c r="G119" t="s">
        <v>545</v>
      </c>
      <c r="H119">
        <v>2025</v>
      </c>
    </row>
    <row r="120" spans="1:8" x14ac:dyDescent="0.3">
      <c r="A120" s="8" t="s">
        <v>81</v>
      </c>
      <c r="B120" s="8" t="s">
        <v>404</v>
      </c>
      <c r="C120" s="8" t="str">
        <f>_xlfn.XLOOKUP(표8[[#This Row],[supplier_id]],표7[supplier_id],표7[supplier_name])</f>
        <v>롯데케미칼</v>
      </c>
      <c r="D120" s="9">
        <v>190</v>
      </c>
      <c r="E120" t="s">
        <v>541</v>
      </c>
      <c r="F120" s="3" t="s">
        <v>747</v>
      </c>
      <c r="G120" t="s">
        <v>545</v>
      </c>
      <c r="H120">
        <v>2025</v>
      </c>
    </row>
    <row r="121" spans="1:8" x14ac:dyDescent="0.3">
      <c r="A121" s="8" t="s">
        <v>81</v>
      </c>
      <c r="B121" s="8" t="s">
        <v>736</v>
      </c>
      <c r="C121" s="8" t="str">
        <f>_xlfn.XLOOKUP(표8[[#This Row],[supplier_id]],표7[supplier_id],표7[supplier_name])</f>
        <v>HD현대케미칼</v>
      </c>
      <c r="D121" s="9">
        <v>163</v>
      </c>
      <c r="E121" t="s">
        <v>541</v>
      </c>
      <c r="F121" s="3" t="s">
        <v>747</v>
      </c>
      <c r="G121" t="s">
        <v>545</v>
      </c>
      <c r="H121">
        <v>2025</v>
      </c>
    </row>
    <row r="122" spans="1:8" x14ac:dyDescent="0.3">
      <c r="A122" s="8" t="s">
        <v>81</v>
      </c>
      <c r="B122" s="8" t="s">
        <v>404</v>
      </c>
      <c r="C122" s="8" t="str">
        <f>_xlfn.XLOOKUP(표8[[#This Row],[supplier_id]],표7[supplier_id],표7[supplier_name])</f>
        <v>롯데케미칼</v>
      </c>
      <c r="D122" s="9">
        <v>160</v>
      </c>
      <c r="E122" t="s">
        <v>541</v>
      </c>
      <c r="F122" s="3" t="s">
        <v>715</v>
      </c>
      <c r="G122" t="s">
        <v>545</v>
      </c>
      <c r="H122">
        <v>2025</v>
      </c>
    </row>
    <row r="123" spans="1:8" x14ac:dyDescent="0.3">
      <c r="A123" s="8" t="s">
        <v>81</v>
      </c>
      <c r="B123" s="8" t="s">
        <v>735</v>
      </c>
      <c r="C123" s="8" t="str">
        <f>_xlfn.XLOOKUP(표8[[#This Row],[supplier_id]],표7[supplier_id],표7[supplier_name])</f>
        <v>한화토탈에너지스</v>
      </c>
      <c r="D123" s="9">
        <v>150</v>
      </c>
      <c r="E123" t="s">
        <v>541</v>
      </c>
      <c r="F123" s="3" t="s">
        <v>747</v>
      </c>
      <c r="G123" t="s">
        <v>545</v>
      </c>
      <c r="H123">
        <v>2025</v>
      </c>
    </row>
    <row r="124" spans="1:8" x14ac:dyDescent="0.3">
      <c r="A124" s="8" t="s">
        <v>81</v>
      </c>
      <c r="B124" s="8" t="s">
        <v>398</v>
      </c>
      <c r="C124" s="8" t="str">
        <f>_xlfn.XLOOKUP(표8[[#This Row],[supplier_id]],표7[supplier_id],표7[supplier_name])</f>
        <v>금호석유화학</v>
      </c>
      <c r="D124" s="9">
        <v>147</v>
      </c>
      <c r="E124" t="s">
        <v>541</v>
      </c>
      <c r="F124" s="3" t="s">
        <v>715</v>
      </c>
      <c r="G124" t="s">
        <v>545</v>
      </c>
      <c r="H124">
        <v>2025</v>
      </c>
    </row>
    <row r="125" spans="1:8" x14ac:dyDescent="0.3">
      <c r="A125" t="s">
        <v>81</v>
      </c>
      <c r="B125" t="s">
        <v>400</v>
      </c>
      <c r="C125" t="str">
        <f>_xlfn.XLOOKUP(표8[[#This Row],[supplier_id]],표7[supplier_id],표7[supplier_name])</f>
        <v>대한유화</v>
      </c>
      <c r="D125" s="9">
        <v>146</v>
      </c>
      <c r="E125" t="s">
        <v>541</v>
      </c>
      <c r="F125" s="3" t="s">
        <v>543</v>
      </c>
      <c r="G125" t="s">
        <v>545</v>
      </c>
      <c r="H125">
        <v>2025</v>
      </c>
    </row>
    <row r="126" spans="1:8" x14ac:dyDescent="0.3">
      <c r="A126" t="s">
        <v>81</v>
      </c>
      <c r="B126" t="s">
        <v>410</v>
      </c>
      <c r="C126" t="str">
        <f>_xlfn.XLOOKUP(표8[[#This Row],[supplier_id]],표7[supplier_id],표7[supplier_name])</f>
        <v>SK지오센트릭</v>
      </c>
      <c r="D126" s="9">
        <v>130</v>
      </c>
      <c r="E126" t="s">
        <v>541</v>
      </c>
      <c r="F126" s="3" t="s">
        <v>543</v>
      </c>
      <c r="G126" t="s">
        <v>545</v>
      </c>
      <c r="H126">
        <v>2025</v>
      </c>
    </row>
    <row r="127" spans="1:8" x14ac:dyDescent="0.3">
      <c r="A127" s="8" t="s">
        <v>81</v>
      </c>
      <c r="B127" s="8" t="s">
        <v>713</v>
      </c>
      <c r="C127" s="8" t="str">
        <f>_xlfn.XLOOKUP(표8[[#This Row],[supplier_id]],표7[supplier_id],표7[supplier_name])</f>
        <v>롯데GS화학</v>
      </c>
      <c r="D127" s="9">
        <v>130</v>
      </c>
      <c r="E127" t="s">
        <v>541</v>
      </c>
      <c r="F127" s="3" t="s">
        <v>715</v>
      </c>
      <c r="G127" t="s">
        <v>545</v>
      </c>
      <c r="H127">
        <v>2025</v>
      </c>
    </row>
    <row r="128" spans="1:8" x14ac:dyDescent="0.3">
      <c r="A128" t="s">
        <v>81</v>
      </c>
      <c r="B128" t="s">
        <v>398</v>
      </c>
      <c r="C128" t="str">
        <f>_xlfn.XLOOKUP(표8[[#This Row],[supplier_id]],표7[supplier_id],표7[supplier_name])</f>
        <v>금호석유화학</v>
      </c>
      <c r="D128" s="9">
        <v>90</v>
      </c>
      <c r="E128" t="s">
        <v>541</v>
      </c>
      <c r="F128" s="3" t="s">
        <v>543</v>
      </c>
      <c r="G128" t="s">
        <v>545</v>
      </c>
      <c r="H128">
        <v>2025</v>
      </c>
    </row>
    <row r="129" spans="1:9" x14ac:dyDescent="0.3">
      <c r="A129" s="8" t="s">
        <v>82</v>
      </c>
      <c r="B129" s="8" t="s">
        <v>398</v>
      </c>
      <c r="C129" s="8" t="str">
        <f>_xlfn.XLOOKUP(표8[[#This Row],[supplier_id]],표7[supplier_id],표7[supplier_name])</f>
        <v>금호석유화학</v>
      </c>
      <c r="D129" s="9">
        <v>275</v>
      </c>
      <c r="E129" t="s">
        <v>541</v>
      </c>
      <c r="F129" s="3" t="s">
        <v>715</v>
      </c>
      <c r="G129" t="s">
        <v>545</v>
      </c>
      <c r="H129">
        <v>2025</v>
      </c>
    </row>
    <row r="130" spans="1:9" x14ac:dyDescent="0.3">
      <c r="A130" s="8" t="s">
        <v>82</v>
      </c>
      <c r="B130" s="8" t="s">
        <v>709</v>
      </c>
      <c r="C130" s="8" t="str">
        <f>_xlfn.XLOOKUP(표8[[#This Row],[supplier_id]],표7[supplier_id],표7[supplier_name])</f>
        <v>LG화학</v>
      </c>
      <c r="D130" s="9">
        <v>220</v>
      </c>
      <c r="E130" t="s">
        <v>541</v>
      </c>
      <c r="F130" s="3" t="s">
        <v>747</v>
      </c>
      <c r="G130" t="s">
        <v>545</v>
      </c>
      <c r="H130">
        <v>2025</v>
      </c>
      <c r="I130" t="s">
        <v>745</v>
      </c>
    </row>
    <row r="131" spans="1:9" x14ac:dyDescent="0.3">
      <c r="A131" t="s">
        <v>83</v>
      </c>
      <c r="B131" t="s">
        <v>398</v>
      </c>
      <c r="C131" t="str">
        <f>_xlfn.XLOOKUP(표8[[#This Row],[supplier_id]],표7[supplier_id],표7[supplier_name])</f>
        <v>금호석유화학</v>
      </c>
      <c r="D131" s="9">
        <v>263</v>
      </c>
      <c r="E131" t="s">
        <v>541</v>
      </c>
      <c r="F131" s="3" t="s">
        <v>543</v>
      </c>
      <c r="G131" t="s">
        <v>545</v>
      </c>
      <c r="H131">
        <v>2025</v>
      </c>
    </row>
    <row r="132" spans="1:9" x14ac:dyDescent="0.3">
      <c r="A132" s="8" t="s">
        <v>83</v>
      </c>
      <c r="B132" s="8" t="s">
        <v>398</v>
      </c>
      <c r="C132" s="8" t="str">
        <f>_xlfn.XLOOKUP(표8[[#This Row],[supplier_id]],표7[supplier_id],표7[supplier_name])</f>
        <v>금호석유화학</v>
      </c>
      <c r="D132" s="9">
        <v>123</v>
      </c>
      <c r="E132" t="s">
        <v>541</v>
      </c>
      <c r="F132" s="3" t="s">
        <v>715</v>
      </c>
      <c r="G132" t="s">
        <v>545</v>
      </c>
      <c r="H132">
        <v>2025</v>
      </c>
      <c r="I132" t="s">
        <v>739</v>
      </c>
    </row>
    <row r="133" spans="1:9" x14ac:dyDescent="0.3">
      <c r="A133" s="8" t="s">
        <v>83</v>
      </c>
      <c r="B133" s="8" t="s">
        <v>705</v>
      </c>
      <c r="C133" s="8" t="str">
        <f>_xlfn.XLOOKUP(표8[[#This Row],[supplier_id]],표7[supplier_id],표7[supplier_name])</f>
        <v>롯데베르살리스엘라스토머스</v>
      </c>
      <c r="D133" s="9">
        <v>100</v>
      </c>
      <c r="E133" t="s">
        <v>541</v>
      </c>
      <c r="F133" s="3" t="s">
        <v>715</v>
      </c>
      <c r="G133" t="s">
        <v>545</v>
      </c>
      <c r="H133">
        <v>2025</v>
      </c>
      <c r="I133" t="s">
        <v>740</v>
      </c>
    </row>
    <row r="134" spans="1:9" x14ac:dyDescent="0.3">
      <c r="A134" s="8" t="s">
        <v>83</v>
      </c>
      <c r="B134" s="8" t="s">
        <v>709</v>
      </c>
      <c r="C134" s="8" t="str">
        <f>_xlfn.XLOOKUP(표8[[#This Row],[supplier_id]],표7[supplier_id],표7[supplier_name])</f>
        <v>LG화학</v>
      </c>
      <c r="D134" s="9">
        <v>80</v>
      </c>
      <c r="E134" t="s">
        <v>541</v>
      </c>
      <c r="F134" s="3" t="s">
        <v>747</v>
      </c>
      <c r="G134" t="s">
        <v>545</v>
      </c>
      <c r="H134">
        <v>2025</v>
      </c>
    </row>
    <row r="135" spans="1:9" x14ac:dyDescent="0.3">
      <c r="A135" t="s">
        <v>86</v>
      </c>
      <c r="B135" t="s">
        <v>546</v>
      </c>
      <c r="C135" t="str">
        <f>_xlfn.XLOOKUP(표8[[#This Row],[supplier_id]],표7[supplier_id],표7[supplier_name])</f>
        <v>TKG일렘</v>
      </c>
      <c r="D135" s="9">
        <v>13</v>
      </c>
      <c r="E135" t="s">
        <v>541</v>
      </c>
      <c r="F135" s="3" t="s">
        <v>715</v>
      </c>
      <c r="G135" t="s">
        <v>548</v>
      </c>
      <c r="H135">
        <v>2025</v>
      </c>
    </row>
    <row r="136" spans="1:9" x14ac:dyDescent="0.3">
      <c r="A136" t="s">
        <v>87</v>
      </c>
      <c r="B136" t="s">
        <v>407</v>
      </c>
      <c r="C136" t="str">
        <f>_xlfn.XLOOKUP(표8[[#This Row],[supplier_id]],표7[supplier_id],표7[supplier_name])</f>
        <v>S-OIL</v>
      </c>
      <c r="D136" s="9">
        <v>460</v>
      </c>
      <c r="E136" t="s">
        <v>541</v>
      </c>
      <c r="F136" s="3" t="s">
        <v>543</v>
      </c>
      <c r="G136" t="s">
        <v>545</v>
      </c>
      <c r="H136">
        <v>2025</v>
      </c>
    </row>
    <row r="137" spans="1:9" x14ac:dyDescent="0.3">
      <c r="A137" s="8" t="s">
        <v>87</v>
      </c>
      <c r="B137" s="8" t="s">
        <v>708</v>
      </c>
      <c r="C137" s="8" t="str">
        <f>_xlfn.XLOOKUP(표8[[#This Row],[supplier_id]],표7[supplier_id],표7[supplier_name])</f>
        <v>LX MMA</v>
      </c>
      <c r="D137" s="9">
        <v>275</v>
      </c>
      <c r="E137" t="s">
        <v>541</v>
      </c>
      <c r="F137" s="3" t="s">
        <v>715</v>
      </c>
      <c r="G137" t="s">
        <v>545</v>
      </c>
      <c r="H137">
        <v>2025</v>
      </c>
    </row>
    <row r="138" spans="1:9" x14ac:dyDescent="0.3">
      <c r="A138" s="8" t="s">
        <v>87</v>
      </c>
      <c r="B138" s="8" t="s">
        <v>709</v>
      </c>
      <c r="C138" s="8" t="str">
        <f>_xlfn.XLOOKUP(표8[[#This Row],[supplier_id]],표7[supplier_id],표7[supplier_name])</f>
        <v>LG화학</v>
      </c>
      <c r="D138" s="9">
        <v>220</v>
      </c>
      <c r="E138" t="s">
        <v>541</v>
      </c>
      <c r="F138" s="3" t="s">
        <v>747</v>
      </c>
      <c r="G138" t="s">
        <v>545</v>
      </c>
      <c r="H138">
        <v>2025</v>
      </c>
    </row>
    <row r="139" spans="1:9" x14ac:dyDescent="0.3">
      <c r="A139" s="8" t="s">
        <v>87</v>
      </c>
      <c r="B139" s="8" t="s">
        <v>746</v>
      </c>
      <c r="C139" s="8" t="str">
        <f>_xlfn.XLOOKUP(표8[[#This Row],[supplier_id]],표7[supplier_id],표7[supplier_name])</f>
        <v>HD현대오일뱅크</v>
      </c>
      <c r="D139" s="9">
        <v>200</v>
      </c>
      <c r="E139" t="s">
        <v>541</v>
      </c>
      <c r="F139" s="3" t="s">
        <v>747</v>
      </c>
      <c r="G139" t="s">
        <v>545</v>
      </c>
      <c r="H139">
        <v>2025</v>
      </c>
    </row>
    <row r="140" spans="1:9" x14ac:dyDescent="0.3">
      <c r="A140" t="s">
        <v>87</v>
      </c>
      <c r="B140" t="s">
        <v>410</v>
      </c>
      <c r="C140" t="str">
        <f>_xlfn.XLOOKUP(표8[[#This Row],[supplier_id]],표7[supplier_id],표7[supplier_name])</f>
        <v>SK지오센트릭</v>
      </c>
      <c r="D140" s="9">
        <v>178</v>
      </c>
      <c r="E140" t="s">
        <v>541</v>
      </c>
      <c r="F140" s="3" t="s">
        <v>543</v>
      </c>
      <c r="G140" t="s">
        <v>545</v>
      </c>
      <c r="H140">
        <v>2025</v>
      </c>
    </row>
    <row r="141" spans="1:9" x14ac:dyDescent="0.3">
      <c r="A141" s="8" t="s">
        <v>87</v>
      </c>
      <c r="B141" s="8" t="s">
        <v>710</v>
      </c>
      <c r="C141" s="8" t="str">
        <f>_xlfn.XLOOKUP(표8[[#This Row],[supplier_id]],표7[supplier_id],표7[supplier_name])</f>
        <v>여천NCC</v>
      </c>
      <c r="D141" s="9">
        <v>170</v>
      </c>
      <c r="E141" t="s">
        <v>541</v>
      </c>
      <c r="F141" s="3" t="s">
        <v>715</v>
      </c>
      <c r="G141" t="s">
        <v>545</v>
      </c>
      <c r="H141">
        <v>2025</v>
      </c>
    </row>
    <row r="142" spans="1:9" x14ac:dyDescent="0.3">
      <c r="A142" s="8" t="s">
        <v>87</v>
      </c>
      <c r="B142" s="8" t="s">
        <v>711</v>
      </c>
      <c r="C142" s="8" t="str">
        <f>_xlfn.XLOOKUP(표8[[#This Row],[supplier_id]],표7[supplier_id],표7[supplier_name])</f>
        <v>GS칼텍스</v>
      </c>
      <c r="D142" s="9">
        <v>150</v>
      </c>
      <c r="E142" t="s">
        <v>541</v>
      </c>
      <c r="F142" s="3" t="s">
        <v>715</v>
      </c>
      <c r="G142" t="s">
        <v>545</v>
      </c>
      <c r="H142">
        <v>2025</v>
      </c>
    </row>
    <row r="143" spans="1:9" x14ac:dyDescent="0.3">
      <c r="A143" s="8" t="s">
        <v>87</v>
      </c>
      <c r="B143" s="8" t="s">
        <v>404</v>
      </c>
      <c r="C143" s="8" t="str">
        <f>_xlfn.XLOOKUP(표8[[#This Row],[supplier_id]],표7[supplier_id],표7[supplier_name])</f>
        <v>롯데케미칼</v>
      </c>
      <c r="D143" s="9">
        <v>20</v>
      </c>
      <c r="E143" t="s">
        <v>541</v>
      </c>
      <c r="F143" s="3" t="s">
        <v>715</v>
      </c>
      <c r="G143" t="s">
        <v>545</v>
      </c>
      <c r="H143">
        <v>2025</v>
      </c>
    </row>
    <row r="144" spans="1:9" x14ac:dyDescent="0.3">
      <c r="A144" s="8" t="s">
        <v>92</v>
      </c>
      <c r="B144" s="8" t="s">
        <v>735</v>
      </c>
      <c r="C144" s="8" t="str">
        <f>_xlfn.XLOOKUP(표8[[#This Row],[supplier_id]],표7[supplier_id],표7[supplier_name])</f>
        <v>한화토탈에너지스</v>
      </c>
      <c r="D144" s="9">
        <v>1267</v>
      </c>
      <c r="E144" t="s">
        <v>541</v>
      </c>
      <c r="F144" s="3" t="s">
        <v>747</v>
      </c>
      <c r="G144" t="s">
        <v>545</v>
      </c>
      <c r="H144">
        <v>2025</v>
      </c>
    </row>
    <row r="145" spans="1:8" x14ac:dyDescent="0.3">
      <c r="A145" s="8" t="s">
        <v>92</v>
      </c>
      <c r="B145" s="8" t="s">
        <v>711</v>
      </c>
      <c r="C145" s="8" t="str">
        <f>_xlfn.XLOOKUP(표8[[#This Row],[supplier_id]],표7[supplier_id],표7[supplier_name])</f>
        <v>GS칼텍스</v>
      </c>
      <c r="D145" s="9">
        <v>930</v>
      </c>
      <c r="E145" t="s">
        <v>541</v>
      </c>
      <c r="F145" s="3" t="s">
        <v>715</v>
      </c>
      <c r="G145" t="s">
        <v>545</v>
      </c>
      <c r="H145">
        <v>2025</v>
      </c>
    </row>
    <row r="146" spans="1:8" x14ac:dyDescent="0.3">
      <c r="A146" s="8" t="s">
        <v>92</v>
      </c>
      <c r="B146" t="s">
        <v>407</v>
      </c>
      <c r="C146" t="str">
        <f>_xlfn.XLOOKUP(표8[[#This Row],[supplier_id]],표7[supplier_id],표7[supplier_name])</f>
        <v>S-OIL</v>
      </c>
      <c r="D146" s="9">
        <v>672</v>
      </c>
      <c r="E146" t="s">
        <v>541</v>
      </c>
      <c r="F146" s="3" t="s">
        <v>543</v>
      </c>
      <c r="G146" t="s">
        <v>545</v>
      </c>
      <c r="H146">
        <v>2025</v>
      </c>
    </row>
    <row r="147" spans="1:8" x14ac:dyDescent="0.3">
      <c r="A147" s="8" t="s">
        <v>92</v>
      </c>
      <c r="B147" s="8" t="s">
        <v>709</v>
      </c>
      <c r="C147" s="8" t="str">
        <f>_xlfn.XLOOKUP(표8[[#This Row],[supplier_id]],표7[supplier_id],표7[supplier_name])</f>
        <v>LG화학</v>
      </c>
      <c r="D147" s="9">
        <v>630</v>
      </c>
      <c r="E147" t="s">
        <v>541</v>
      </c>
      <c r="F147" s="3" t="s">
        <v>715</v>
      </c>
      <c r="G147" t="s">
        <v>545</v>
      </c>
      <c r="H147">
        <v>2025</v>
      </c>
    </row>
    <row r="148" spans="1:8" x14ac:dyDescent="0.3">
      <c r="A148" s="8" t="s">
        <v>92</v>
      </c>
      <c r="B148" t="s">
        <v>410</v>
      </c>
      <c r="C148" t="str">
        <f>_xlfn.XLOOKUP(표8[[#This Row],[supplier_id]],표7[supplier_id],표7[supplier_name])</f>
        <v>SK지오센트릭</v>
      </c>
      <c r="D148" s="9">
        <v>603</v>
      </c>
      <c r="E148" t="s">
        <v>541</v>
      </c>
      <c r="F148" s="3" t="s">
        <v>543</v>
      </c>
      <c r="G148" t="s">
        <v>545</v>
      </c>
      <c r="H148">
        <v>2025</v>
      </c>
    </row>
    <row r="149" spans="1:8" x14ac:dyDescent="0.3">
      <c r="A149" s="8" t="s">
        <v>92</v>
      </c>
      <c r="B149" t="s">
        <v>446</v>
      </c>
      <c r="C149" t="str">
        <f>_xlfn.XLOOKUP(표8[[#This Row],[supplier_id]],표7[supplier_id],표7[supplier_name])</f>
        <v>울산아로마틱스</v>
      </c>
      <c r="D149" s="9">
        <v>600</v>
      </c>
      <c r="E149" t="s">
        <v>541</v>
      </c>
      <c r="F149" s="3" t="s">
        <v>543</v>
      </c>
      <c r="G149" t="s">
        <v>545</v>
      </c>
      <c r="H149">
        <v>2025</v>
      </c>
    </row>
    <row r="150" spans="1:8" x14ac:dyDescent="0.3">
      <c r="A150" s="8" t="s">
        <v>92</v>
      </c>
      <c r="B150" s="8" t="s">
        <v>763</v>
      </c>
      <c r="C150" s="8" t="str">
        <f>_xlfn.XLOOKUP(표8[[#This Row],[supplier_id]],표7[supplier_id],표7[supplier_name])</f>
        <v>SK인천석유화학</v>
      </c>
      <c r="D150" s="9">
        <v>600</v>
      </c>
      <c r="E150" t="s">
        <v>541</v>
      </c>
      <c r="F150" s="3" t="s">
        <v>756</v>
      </c>
      <c r="G150" t="s">
        <v>545</v>
      </c>
      <c r="H150">
        <v>2025</v>
      </c>
    </row>
    <row r="151" spans="1:8" x14ac:dyDescent="0.3">
      <c r="A151" s="8" t="s">
        <v>92</v>
      </c>
      <c r="B151" s="8" t="s">
        <v>710</v>
      </c>
      <c r="C151" s="8" t="str">
        <f>_xlfn.XLOOKUP(표8[[#This Row],[supplier_id]],표7[supplier_id],표7[supplier_name])</f>
        <v>여천NCC</v>
      </c>
      <c r="D151" s="9">
        <v>457</v>
      </c>
      <c r="E151" t="s">
        <v>541</v>
      </c>
      <c r="F151" s="3" t="s">
        <v>715</v>
      </c>
      <c r="G151" t="s">
        <v>545</v>
      </c>
      <c r="H151">
        <v>2025</v>
      </c>
    </row>
    <row r="152" spans="1:8" x14ac:dyDescent="0.3">
      <c r="A152" s="8" t="s">
        <v>92</v>
      </c>
      <c r="B152" s="8" t="s">
        <v>736</v>
      </c>
      <c r="C152" s="8" t="str">
        <f>_xlfn.XLOOKUP(표8[[#This Row],[supplier_id]],표7[supplier_id],표7[supplier_name])</f>
        <v>HD현대케미칼</v>
      </c>
      <c r="D152" s="9">
        <v>410</v>
      </c>
      <c r="E152" t="s">
        <v>541</v>
      </c>
      <c r="F152" s="3" t="s">
        <v>747</v>
      </c>
      <c r="G152" t="s">
        <v>545</v>
      </c>
      <c r="H152">
        <v>2025</v>
      </c>
    </row>
    <row r="153" spans="1:8" x14ac:dyDescent="0.3">
      <c r="A153" s="8" t="s">
        <v>92</v>
      </c>
      <c r="B153" s="8" t="s">
        <v>746</v>
      </c>
      <c r="C153" s="8" t="str">
        <f>_xlfn.XLOOKUP(표8[[#This Row],[supplier_id]],표7[supplier_id],표7[supplier_name])</f>
        <v>HD현대오일뱅크</v>
      </c>
      <c r="D153" s="9">
        <v>338</v>
      </c>
      <c r="E153" t="s">
        <v>541</v>
      </c>
      <c r="F153" s="3" t="s">
        <v>747</v>
      </c>
      <c r="G153" t="s">
        <v>545</v>
      </c>
      <c r="H153">
        <v>2025</v>
      </c>
    </row>
    <row r="154" spans="1:8" x14ac:dyDescent="0.3">
      <c r="A154" s="8" t="s">
        <v>92</v>
      </c>
      <c r="B154" s="8" t="s">
        <v>709</v>
      </c>
      <c r="C154" s="8" t="str">
        <f>_xlfn.XLOOKUP(표8[[#This Row],[supplier_id]],표7[supplier_id],표7[supplier_name])</f>
        <v>LG화학</v>
      </c>
      <c r="D154" s="9">
        <v>270</v>
      </c>
      <c r="E154" t="s">
        <v>541</v>
      </c>
      <c r="F154" s="3" t="s">
        <v>747</v>
      </c>
      <c r="G154" t="s">
        <v>545</v>
      </c>
      <c r="H154">
        <v>2025</v>
      </c>
    </row>
    <row r="155" spans="1:8" x14ac:dyDescent="0.3">
      <c r="A155" s="8" t="s">
        <v>92</v>
      </c>
      <c r="B155" s="8" t="s">
        <v>404</v>
      </c>
      <c r="C155" s="8" t="str">
        <f>_xlfn.XLOOKUP(표8[[#This Row],[supplier_id]],표7[supplier_id],표7[supplier_name])</f>
        <v>롯데케미칼</v>
      </c>
      <c r="D155" s="9">
        <v>240</v>
      </c>
      <c r="E155" t="s">
        <v>541</v>
      </c>
      <c r="F155" s="3" t="s">
        <v>747</v>
      </c>
      <c r="G155" t="s">
        <v>545</v>
      </c>
      <c r="H155">
        <v>2025</v>
      </c>
    </row>
    <row r="156" spans="1:8" x14ac:dyDescent="0.3">
      <c r="A156" s="8" t="s">
        <v>92</v>
      </c>
      <c r="B156" s="8" t="s">
        <v>404</v>
      </c>
      <c r="C156" s="8" t="str">
        <f>_xlfn.XLOOKUP(표8[[#This Row],[supplier_id]],표7[supplier_id],표7[supplier_name])</f>
        <v>롯데케미칼</v>
      </c>
      <c r="D156" s="9">
        <v>235</v>
      </c>
      <c r="E156" t="s">
        <v>541</v>
      </c>
      <c r="F156" s="3" t="s">
        <v>715</v>
      </c>
      <c r="G156" t="s">
        <v>545</v>
      </c>
      <c r="H156">
        <v>2025</v>
      </c>
    </row>
    <row r="157" spans="1:8" x14ac:dyDescent="0.3">
      <c r="A157" s="8" t="s">
        <v>92</v>
      </c>
      <c r="B157" t="s">
        <v>400</v>
      </c>
      <c r="C157" t="str">
        <f>_xlfn.XLOOKUP(표8[[#This Row],[supplier_id]],표7[supplier_id],표7[supplier_name])</f>
        <v>대한유화</v>
      </c>
      <c r="D157" s="9">
        <v>210</v>
      </c>
      <c r="E157" t="s">
        <v>541</v>
      </c>
      <c r="F157" s="3" t="s">
        <v>543</v>
      </c>
      <c r="G157" t="s">
        <v>545</v>
      </c>
      <c r="H157">
        <v>2025</v>
      </c>
    </row>
    <row r="158" spans="1:8" x14ac:dyDescent="0.3">
      <c r="A158" t="s">
        <v>92</v>
      </c>
      <c r="B158" t="s">
        <v>760</v>
      </c>
      <c r="C158" t="str">
        <f>_xlfn.XLOOKUP(표8[[#This Row],[supplier_id]],표7[supplier_id],표7[supplier_name])</f>
        <v>OCI</v>
      </c>
      <c r="D158" s="9">
        <v>200</v>
      </c>
      <c r="E158" t="s">
        <v>541</v>
      </c>
      <c r="F158" s="3" t="s">
        <v>749</v>
      </c>
      <c r="G158" t="s">
        <v>545</v>
      </c>
      <c r="H158">
        <v>2025</v>
      </c>
    </row>
    <row r="159" spans="1:8" x14ac:dyDescent="0.3">
      <c r="A159" s="8" t="s">
        <v>92</v>
      </c>
      <c r="B159" t="s">
        <v>404</v>
      </c>
      <c r="C159" t="str">
        <f>_xlfn.XLOOKUP(표8[[#This Row],[supplier_id]],표7[supplier_id],표7[supplier_name])</f>
        <v>롯데케미칼</v>
      </c>
      <c r="D159" s="9">
        <v>110</v>
      </c>
      <c r="E159" t="s">
        <v>541</v>
      </c>
      <c r="F159" s="3" t="s">
        <v>543</v>
      </c>
      <c r="G159" t="s">
        <v>545</v>
      </c>
      <c r="H159">
        <v>2025</v>
      </c>
    </row>
    <row r="160" spans="1:8" x14ac:dyDescent="0.3">
      <c r="A160" s="8" t="s">
        <v>124</v>
      </c>
      <c r="B160" s="8" t="s">
        <v>735</v>
      </c>
      <c r="C160" s="8" t="str">
        <f>_xlfn.XLOOKUP(표8[[#This Row],[supplier_id]],표7[supplier_id],표7[supplier_name])</f>
        <v>한화토탈에너지스</v>
      </c>
      <c r="D160" s="9">
        <v>1071</v>
      </c>
      <c r="E160" t="s">
        <v>541</v>
      </c>
      <c r="F160" s="3" t="s">
        <v>747</v>
      </c>
      <c r="G160" t="s">
        <v>545</v>
      </c>
      <c r="H160">
        <v>2025</v>
      </c>
    </row>
    <row r="161" spans="1:9" x14ac:dyDescent="0.3">
      <c r="A161" s="8" t="s">
        <v>124</v>
      </c>
      <c r="B161" s="8" t="s">
        <v>404</v>
      </c>
      <c r="C161" s="8" t="str">
        <f>_xlfn.XLOOKUP(표8[[#This Row],[supplier_id]],표7[supplier_id],표7[supplier_name])</f>
        <v>롯데케미칼</v>
      </c>
      <c r="D161" s="9">
        <v>577</v>
      </c>
      <c r="E161" t="s">
        <v>541</v>
      </c>
      <c r="F161" s="3" t="s">
        <v>747</v>
      </c>
      <c r="G161" t="s">
        <v>545</v>
      </c>
      <c r="H161">
        <v>2025</v>
      </c>
    </row>
    <row r="162" spans="1:9" x14ac:dyDescent="0.3">
      <c r="A162" s="8" t="s">
        <v>124</v>
      </c>
      <c r="B162" t="s">
        <v>443</v>
      </c>
      <c r="C162" t="str">
        <f>_xlfn.XLOOKUP(표8[[#This Row],[supplier_id]],표7[supplier_id],표7[supplier_name])</f>
        <v>SK picglobal</v>
      </c>
      <c r="D162" s="9">
        <v>400</v>
      </c>
      <c r="E162" t="s">
        <v>541</v>
      </c>
      <c r="F162" s="3" t="s">
        <v>543</v>
      </c>
      <c r="G162" t="s">
        <v>545</v>
      </c>
      <c r="H162">
        <v>2025</v>
      </c>
    </row>
    <row r="163" spans="1:9" x14ac:dyDescent="0.3">
      <c r="A163" s="10" t="s">
        <v>124</v>
      </c>
      <c r="B163" s="10" t="s">
        <v>710</v>
      </c>
      <c r="C163" s="10" t="str">
        <f>_xlfn.XLOOKUP(표8[[#This Row],[supplier_id]],표7[supplier_id],표7[supplier_name])</f>
        <v>여천NCC</v>
      </c>
      <c r="D163" s="4">
        <v>351</v>
      </c>
      <c r="E163" t="s">
        <v>541</v>
      </c>
      <c r="F163" t="s">
        <v>715</v>
      </c>
      <c r="G163" t="s">
        <v>545</v>
      </c>
      <c r="H163">
        <v>2025</v>
      </c>
    </row>
    <row r="164" spans="1:9" x14ac:dyDescent="0.3">
      <c r="A164" t="s">
        <v>130</v>
      </c>
      <c r="B164" t="s">
        <v>398</v>
      </c>
      <c r="C164" t="str">
        <f>_xlfn.XLOOKUP(표8[[#This Row],[supplier_id]],표7[supplier_id],표7[supplier_name])</f>
        <v>금호석유화학</v>
      </c>
      <c r="D164" s="9">
        <f>265+80</f>
        <v>345</v>
      </c>
      <c r="E164" t="s">
        <v>541</v>
      </c>
      <c r="F164" t="s">
        <v>543</v>
      </c>
      <c r="G164" t="s">
        <v>545</v>
      </c>
      <c r="H164">
        <v>2025</v>
      </c>
      <c r="I164" t="s">
        <v>539</v>
      </c>
    </row>
    <row r="165" spans="1:9" x14ac:dyDescent="0.3">
      <c r="A165" t="s">
        <v>130</v>
      </c>
      <c r="B165" t="s">
        <v>456</v>
      </c>
      <c r="C165" t="str">
        <f>_xlfn.XLOOKUP(표8[[#This Row],[supplier_id]],표7[supplier_id],표7[supplier_name])</f>
        <v>한국이네오스스티롤루션</v>
      </c>
      <c r="D165" s="9">
        <v>266</v>
      </c>
      <c r="E165" t="s">
        <v>541</v>
      </c>
      <c r="F165" t="s">
        <v>543</v>
      </c>
      <c r="G165" t="s">
        <v>545</v>
      </c>
      <c r="H165">
        <v>2025</v>
      </c>
    </row>
    <row r="166" spans="1:9" x14ac:dyDescent="0.3">
      <c r="A166" t="s">
        <v>130</v>
      </c>
      <c r="B166" t="s">
        <v>444</v>
      </c>
      <c r="C166" t="str">
        <f>_xlfn.XLOOKUP(표8[[#This Row],[supplier_id]],표7[supplier_id],표7[supplier_name])</f>
        <v>HDC현대EP</v>
      </c>
      <c r="D166" s="9">
        <f>148+80</f>
        <v>228</v>
      </c>
      <c r="E166" t="s">
        <v>541</v>
      </c>
      <c r="F166" t="s">
        <v>543</v>
      </c>
      <c r="G166" t="s">
        <v>545</v>
      </c>
      <c r="H166">
        <v>2025</v>
      </c>
      <c r="I166" t="s">
        <v>539</v>
      </c>
    </row>
    <row r="167" spans="1:9" x14ac:dyDescent="0.3">
      <c r="A167" s="8" t="s">
        <v>130</v>
      </c>
      <c r="B167" s="8" t="s">
        <v>765</v>
      </c>
      <c r="C167" s="8" t="str">
        <f>_xlfn.XLOOKUP(표8[[#This Row],[supplier_id]],표7[supplier_id],표7[supplier_name])</f>
        <v>SH에너지화학</v>
      </c>
      <c r="D167" s="9">
        <v>100</v>
      </c>
      <c r="E167" t="s">
        <v>541</v>
      </c>
      <c r="F167" t="s">
        <v>751</v>
      </c>
      <c r="G167" t="s">
        <v>545</v>
      </c>
      <c r="H167">
        <v>2025</v>
      </c>
      <c r="I167" t="s">
        <v>766</v>
      </c>
    </row>
    <row r="168" spans="1:9" x14ac:dyDescent="0.3">
      <c r="A168" s="8" t="s">
        <v>130</v>
      </c>
      <c r="B168" s="8" t="s">
        <v>709</v>
      </c>
      <c r="C168" s="8" t="str">
        <f>_xlfn.XLOOKUP(표8[[#This Row],[supplier_id]],표7[supplier_id],표7[supplier_name])</f>
        <v>LG화학</v>
      </c>
      <c r="D168" s="9">
        <v>90</v>
      </c>
      <c r="E168" t="s">
        <v>541</v>
      </c>
      <c r="F168" t="s">
        <v>715</v>
      </c>
      <c r="G168" t="s">
        <v>545</v>
      </c>
      <c r="H168">
        <v>2025</v>
      </c>
      <c r="I168" t="s">
        <v>741</v>
      </c>
    </row>
    <row r="169" spans="1:9" x14ac:dyDescent="0.3">
      <c r="A169" t="s">
        <v>130</v>
      </c>
      <c r="B169" t="s">
        <v>454</v>
      </c>
      <c r="C169" t="str">
        <f>_xlfn.XLOOKUP(표8[[#This Row],[supplier_id]],표7[supplier_id],표7[supplier_name])</f>
        <v>한국바스프</v>
      </c>
      <c r="D169" s="9">
        <v>85</v>
      </c>
      <c r="E169" t="s">
        <v>541</v>
      </c>
      <c r="F169" t="s">
        <v>543</v>
      </c>
      <c r="G169" t="s">
        <v>545</v>
      </c>
      <c r="H169">
        <v>2025</v>
      </c>
      <c r="I169" t="s">
        <v>538</v>
      </c>
    </row>
    <row r="170" spans="1:9" x14ac:dyDescent="0.3">
      <c r="A170" s="8" t="s">
        <v>132</v>
      </c>
      <c r="B170" s="8" t="s">
        <v>703</v>
      </c>
      <c r="C170" s="8" t="str">
        <f>_xlfn.XLOOKUP(표8[[#This Row],[supplier_id]],표7[supplier_id],표7[supplier_name])</f>
        <v>금호피앤비화학</v>
      </c>
      <c r="D170" s="9">
        <v>680</v>
      </c>
      <c r="E170" t="s">
        <v>541</v>
      </c>
      <c r="F170" t="s">
        <v>715</v>
      </c>
      <c r="G170" t="s">
        <v>545</v>
      </c>
      <c r="H170">
        <v>2025</v>
      </c>
    </row>
    <row r="171" spans="1:9" x14ac:dyDescent="0.3">
      <c r="A171" s="8" t="s">
        <v>132</v>
      </c>
      <c r="B171" s="8" t="s">
        <v>709</v>
      </c>
      <c r="C171" s="8" t="str">
        <f>_xlfn.XLOOKUP(표8[[#This Row],[supplier_id]],표7[supplier_id],표7[supplier_name])</f>
        <v>LG화학</v>
      </c>
      <c r="D171" s="9">
        <v>360</v>
      </c>
      <c r="E171" t="s">
        <v>541</v>
      </c>
      <c r="F171" t="s">
        <v>747</v>
      </c>
      <c r="G171" t="s">
        <v>545</v>
      </c>
      <c r="H171">
        <v>2025</v>
      </c>
    </row>
    <row r="172" spans="1:9" x14ac:dyDescent="0.3">
      <c r="A172" s="8" t="s">
        <v>132</v>
      </c>
      <c r="B172" s="8" t="s">
        <v>709</v>
      </c>
      <c r="C172" s="8" t="str">
        <f>_xlfn.XLOOKUP(표8[[#This Row],[supplier_id]],표7[supplier_id],표7[supplier_name])</f>
        <v>LG화학</v>
      </c>
      <c r="D172" s="9">
        <v>350</v>
      </c>
      <c r="E172" t="s">
        <v>541</v>
      </c>
      <c r="F172" t="s">
        <v>715</v>
      </c>
      <c r="G172" t="s">
        <v>545</v>
      </c>
      <c r="H172">
        <v>2025</v>
      </c>
    </row>
    <row r="173" spans="1:9" x14ac:dyDescent="0.3">
      <c r="A173" s="8" t="s">
        <v>133</v>
      </c>
      <c r="B173" s="8" t="s">
        <v>703</v>
      </c>
      <c r="C173" s="8" t="str">
        <f>_xlfn.XLOOKUP(표8[[#This Row],[supplier_id]],표7[supplier_id],표7[supplier_name])</f>
        <v>금호피앤비화학</v>
      </c>
      <c r="D173" s="9">
        <v>420</v>
      </c>
      <c r="E173" t="s">
        <v>541</v>
      </c>
      <c r="F173" t="s">
        <v>715</v>
      </c>
      <c r="G173" t="s">
        <v>545</v>
      </c>
      <c r="H173">
        <v>2025</v>
      </c>
    </row>
    <row r="174" spans="1:9" x14ac:dyDescent="0.3">
      <c r="A174" s="8" t="s">
        <v>133</v>
      </c>
      <c r="B174" s="8" t="s">
        <v>709</v>
      </c>
      <c r="C174" s="8" t="str">
        <f>_xlfn.XLOOKUP(표8[[#This Row],[supplier_id]],표7[supplier_id],표7[supplier_name])</f>
        <v>LG화학</v>
      </c>
      <c r="D174" s="9">
        <v>225</v>
      </c>
      <c r="E174" t="s">
        <v>541</v>
      </c>
      <c r="F174" t="s">
        <v>747</v>
      </c>
      <c r="G174" t="s">
        <v>545</v>
      </c>
      <c r="H174">
        <v>2025</v>
      </c>
    </row>
    <row r="175" spans="1:9" x14ac:dyDescent="0.3">
      <c r="A175" s="8" t="s">
        <v>133</v>
      </c>
      <c r="B175" s="8" t="s">
        <v>709</v>
      </c>
      <c r="C175" s="8" t="str">
        <f>_xlfn.XLOOKUP(표8[[#This Row],[supplier_id]],표7[supplier_id],표7[supplier_name])</f>
        <v>LG화학</v>
      </c>
      <c r="D175" s="9">
        <v>210</v>
      </c>
      <c r="E175" t="s">
        <v>541</v>
      </c>
      <c r="F175" t="s">
        <v>715</v>
      </c>
      <c r="G175" t="s">
        <v>545</v>
      </c>
      <c r="H175">
        <v>2025</v>
      </c>
    </row>
    <row r="176" spans="1:9" x14ac:dyDescent="0.3">
      <c r="A176" s="8" t="s">
        <v>134</v>
      </c>
      <c r="B176" s="8" t="s">
        <v>703</v>
      </c>
      <c r="C176" s="8" t="str">
        <f>_xlfn.XLOOKUP(표8[[#This Row],[supplier_id]],표7[supplier_id],표7[supplier_name])</f>
        <v>금호피앤비화학</v>
      </c>
      <c r="D176" s="9">
        <v>450</v>
      </c>
      <c r="E176" t="s">
        <v>541</v>
      </c>
      <c r="F176" t="s">
        <v>715</v>
      </c>
      <c r="G176" t="s">
        <v>545</v>
      </c>
      <c r="H176">
        <v>2025</v>
      </c>
    </row>
    <row r="177" spans="1:8" x14ac:dyDescent="0.3">
      <c r="A177" s="8" t="s">
        <v>134</v>
      </c>
      <c r="B177" s="8" t="s">
        <v>709</v>
      </c>
      <c r="C177" s="8" t="str">
        <f>_xlfn.XLOOKUP(표8[[#This Row],[supplier_id]],표7[supplier_id],표7[supplier_name])</f>
        <v>LG화학</v>
      </c>
      <c r="D177" s="9">
        <v>330</v>
      </c>
      <c r="E177" t="s">
        <v>541</v>
      </c>
      <c r="F177" t="s">
        <v>715</v>
      </c>
      <c r="G177" t="s">
        <v>545</v>
      </c>
      <c r="H177">
        <v>2025</v>
      </c>
    </row>
    <row r="178" spans="1:8" x14ac:dyDescent="0.3">
      <c r="A178" s="8" t="s">
        <v>134</v>
      </c>
      <c r="B178" s="8" t="s">
        <v>761</v>
      </c>
      <c r="C178" s="8" t="str">
        <f>_xlfn.XLOOKUP(표8[[#This Row],[supplier_id]],표7[supplier_id],표7[supplier_name])</f>
        <v>삼양이노켐</v>
      </c>
      <c r="D178" s="9">
        <v>180</v>
      </c>
      <c r="E178" t="s">
        <v>541</v>
      </c>
      <c r="F178" t="s">
        <v>751</v>
      </c>
      <c r="G178" t="s">
        <v>545</v>
      </c>
      <c r="H178">
        <v>2025</v>
      </c>
    </row>
    <row r="179" spans="1:8" x14ac:dyDescent="0.3">
      <c r="A179" s="8" t="s">
        <v>134</v>
      </c>
      <c r="B179" s="8" t="s">
        <v>709</v>
      </c>
      <c r="C179" s="8" t="str">
        <f>_xlfn.XLOOKUP(표8[[#This Row],[supplier_id]],표7[supplier_id],표7[supplier_name])</f>
        <v>LG화학</v>
      </c>
      <c r="D179" s="9">
        <v>165</v>
      </c>
      <c r="E179" t="s">
        <v>541</v>
      </c>
      <c r="F179" t="s">
        <v>747</v>
      </c>
      <c r="G179" t="s">
        <v>545</v>
      </c>
      <c r="H179">
        <v>2025</v>
      </c>
    </row>
    <row r="180" spans="1:8" x14ac:dyDescent="0.3">
      <c r="A180" s="8" t="s">
        <v>135</v>
      </c>
      <c r="B180" s="8" t="s">
        <v>404</v>
      </c>
      <c r="C180" s="8" t="str">
        <f>_xlfn.XLOOKUP(표8[[#This Row],[supplier_id]],표7[supplier_id],표7[supplier_name])</f>
        <v>롯데케미칼</v>
      </c>
      <c r="D180" s="9">
        <v>480</v>
      </c>
      <c r="E180" t="s">
        <v>541</v>
      </c>
      <c r="F180" t="s">
        <v>715</v>
      </c>
      <c r="G180" t="s">
        <v>545</v>
      </c>
      <c r="H180">
        <v>2025</v>
      </c>
    </row>
    <row r="181" spans="1:8" x14ac:dyDescent="0.3">
      <c r="A181" s="8" t="s">
        <v>135</v>
      </c>
      <c r="B181" s="8" t="s">
        <v>709</v>
      </c>
      <c r="C181" s="8" t="str">
        <f>_xlfn.XLOOKUP(표8[[#This Row],[supplier_id]],표7[supplier_id],표7[supplier_name])</f>
        <v>LG화학</v>
      </c>
      <c r="D181" s="9">
        <v>170</v>
      </c>
      <c r="E181" t="s">
        <v>541</v>
      </c>
      <c r="F181" t="s">
        <v>715</v>
      </c>
      <c r="G181" t="s">
        <v>545</v>
      </c>
      <c r="H181">
        <v>2025</v>
      </c>
    </row>
    <row r="182" spans="1:8" x14ac:dyDescent="0.3">
      <c r="A182" s="8" t="s">
        <v>135</v>
      </c>
      <c r="B182" s="8" t="s">
        <v>764</v>
      </c>
      <c r="C182" s="8" t="str">
        <f>_xlfn.XLOOKUP(표8[[#This Row],[supplier_id]],표7[supplier_id],표7[supplier_name])</f>
        <v>삼양화성</v>
      </c>
      <c r="D182" s="9">
        <v>120</v>
      </c>
      <c r="E182" t="s">
        <v>541</v>
      </c>
      <c r="F182" t="s">
        <v>758</v>
      </c>
      <c r="G182" t="s">
        <v>545</v>
      </c>
      <c r="H182">
        <v>2025</v>
      </c>
    </row>
    <row r="183" spans="1:8" x14ac:dyDescent="0.3">
      <c r="A183" s="8" t="s">
        <v>136</v>
      </c>
      <c r="B183" s="8" t="s">
        <v>762</v>
      </c>
      <c r="C183" s="8" t="str">
        <f>_xlfn.XLOOKUP(표8[[#This Row],[supplier_id]],표7[supplier_id],표7[supplier_name])</f>
        <v>국도화학</v>
      </c>
      <c r="D183" s="9">
        <v>530</v>
      </c>
      <c r="E183" t="s">
        <v>541</v>
      </c>
      <c r="F183" t="s">
        <v>754</v>
      </c>
      <c r="G183" t="s">
        <v>545</v>
      </c>
      <c r="H183">
        <v>2025</v>
      </c>
    </row>
    <row r="184" spans="1:8" x14ac:dyDescent="0.3">
      <c r="A184" s="8" t="s">
        <v>136</v>
      </c>
      <c r="B184" s="8" t="s">
        <v>703</v>
      </c>
      <c r="C184" s="8" t="str">
        <f>_xlfn.XLOOKUP(표8[[#This Row],[supplier_id]],표7[supplier_id],표7[supplier_name])</f>
        <v>금호피앤비화학</v>
      </c>
      <c r="D184" s="9">
        <v>338</v>
      </c>
      <c r="E184" t="s">
        <v>541</v>
      </c>
      <c r="F184" t="s">
        <v>715</v>
      </c>
      <c r="G184" t="s">
        <v>545</v>
      </c>
      <c r="H184">
        <v>2025</v>
      </c>
    </row>
    <row r="185" spans="1:8" x14ac:dyDescent="0.3">
      <c r="A185" s="8" t="s">
        <v>136</v>
      </c>
      <c r="B185" s="8" t="s">
        <v>452</v>
      </c>
      <c r="C185" s="8" t="str">
        <f>_xlfn.XLOOKUP(표8[[#This Row],[supplier_id]],표7[supplier_id],표7[supplier_name])</f>
        <v>코오롱인더스트리</v>
      </c>
      <c r="D185" s="9">
        <v>52</v>
      </c>
      <c r="E185" t="s">
        <v>541</v>
      </c>
      <c r="F185" t="s">
        <v>750</v>
      </c>
      <c r="G185" t="s">
        <v>545</v>
      </c>
      <c r="H185">
        <v>2025</v>
      </c>
    </row>
    <row r="186" spans="1:8" x14ac:dyDescent="0.3">
      <c r="A186" s="8" t="s">
        <v>137</v>
      </c>
      <c r="B186" t="s">
        <v>449</v>
      </c>
      <c r="C186" t="str">
        <f>_xlfn.XLOOKUP(표8[[#This Row],[supplier_id]],표7[supplier_id],표7[supplier_name])</f>
        <v>카프로</v>
      </c>
      <c r="D186" s="9">
        <v>190</v>
      </c>
      <c r="E186" t="s">
        <v>541</v>
      </c>
      <c r="F186" t="s">
        <v>543</v>
      </c>
      <c r="G186" t="s">
        <v>545</v>
      </c>
      <c r="H186">
        <v>2025</v>
      </c>
    </row>
    <row r="187" spans="1:8" x14ac:dyDescent="0.3">
      <c r="A187" s="8" t="s">
        <v>137</v>
      </c>
      <c r="B187" t="s">
        <v>410</v>
      </c>
      <c r="C187" t="str">
        <f>_xlfn.XLOOKUP(표8[[#This Row],[supplier_id]],표7[supplier_id],표7[supplier_name])</f>
        <v>SK지오센트릭</v>
      </c>
      <c r="D187" s="9">
        <v>160</v>
      </c>
      <c r="E187" t="s">
        <v>541</v>
      </c>
      <c r="F187" t="s">
        <v>543</v>
      </c>
      <c r="G187" t="s">
        <v>545</v>
      </c>
      <c r="H187">
        <v>2025</v>
      </c>
    </row>
    <row r="188" spans="1:8" x14ac:dyDescent="0.3">
      <c r="A188" s="8" t="s">
        <v>139</v>
      </c>
      <c r="B188" t="s">
        <v>448</v>
      </c>
      <c r="C188" t="str">
        <f>_xlfn.XLOOKUP(표8[[#This Row],[supplier_id]],표7[supplier_id],표7[supplier_name])</f>
        <v>이수화학</v>
      </c>
      <c r="D188" s="9">
        <v>180</v>
      </c>
      <c r="E188" t="s">
        <v>541</v>
      </c>
      <c r="F188" t="s">
        <v>543</v>
      </c>
      <c r="G188" t="s">
        <v>545</v>
      </c>
      <c r="H188">
        <v>2025</v>
      </c>
    </row>
    <row r="189" spans="1:8" x14ac:dyDescent="0.3">
      <c r="A189" t="s">
        <v>470</v>
      </c>
      <c r="B189" t="s">
        <v>445</v>
      </c>
      <c r="C189" t="str">
        <f>_xlfn.XLOOKUP(표8[[#This Row],[supplier_id]],표7[supplier_id],표7[supplier_name])</f>
        <v>용산케미칼</v>
      </c>
      <c r="D189" s="9">
        <v>38</v>
      </c>
      <c r="E189" t="s">
        <v>541</v>
      </c>
      <c r="F189" t="s">
        <v>543</v>
      </c>
      <c r="G189" t="s">
        <v>545</v>
      </c>
      <c r="H189">
        <v>2025</v>
      </c>
    </row>
    <row r="190" spans="1:8" x14ac:dyDescent="0.3">
      <c r="A190" t="s">
        <v>470</v>
      </c>
      <c r="B190" t="s">
        <v>451</v>
      </c>
      <c r="C190" t="str">
        <f>_xlfn.XLOOKUP(표8[[#This Row],[supplier_id]],표7[supplier_id],표7[supplier_name])</f>
        <v>코리아피티지</v>
      </c>
      <c r="D190" s="9">
        <v>30</v>
      </c>
      <c r="E190" t="s">
        <v>541</v>
      </c>
      <c r="F190" t="s">
        <v>543</v>
      </c>
      <c r="G190" t="s">
        <v>545</v>
      </c>
      <c r="H190">
        <v>2025</v>
      </c>
    </row>
    <row r="191" spans="1:8" x14ac:dyDescent="0.3">
      <c r="A191" s="8" t="s">
        <v>470</v>
      </c>
      <c r="B191" t="s">
        <v>405</v>
      </c>
      <c r="C191" t="str">
        <f>_xlfn.XLOOKUP(표8[[#This Row],[supplier_id]],표7[supplier_id],표7[supplier_name])</f>
        <v>애경케미칼</v>
      </c>
      <c r="D191" s="9">
        <v>8</v>
      </c>
      <c r="E191" t="s">
        <v>541</v>
      </c>
      <c r="F191" t="s">
        <v>543</v>
      </c>
      <c r="G191" t="s">
        <v>545</v>
      </c>
      <c r="H191">
        <v>2025</v>
      </c>
    </row>
    <row r="192" spans="1:8" x14ac:dyDescent="0.3">
      <c r="A192" s="8" t="s">
        <v>491</v>
      </c>
      <c r="B192" t="s">
        <v>403</v>
      </c>
      <c r="C192" t="str">
        <f>_xlfn.XLOOKUP(표8[[#This Row],[supplier_id]],표7[supplier_id],표7[supplier_name])</f>
        <v>롯데이네오스화학</v>
      </c>
      <c r="D192" s="9">
        <v>710</v>
      </c>
      <c r="E192" t="s">
        <v>541</v>
      </c>
      <c r="F192" t="s">
        <v>543</v>
      </c>
      <c r="G192" t="s">
        <v>545</v>
      </c>
      <c r="H192">
        <v>2025</v>
      </c>
    </row>
    <row r="193" spans="1:8" x14ac:dyDescent="0.3">
      <c r="A193" s="8" t="s">
        <v>493</v>
      </c>
      <c r="B193" t="s">
        <v>410</v>
      </c>
      <c r="C193" t="str">
        <f>_xlfn.XLOOKUP(표8[[#This Row],[supplier_id]],표7[supplier_id],표7[supplier_name])</f>
        <v>SK지오센트릭</v>
      </c>
      <c r="D193" s="9">
        <v>1506</v>
      </c>
      <c r="E193" t="s">
        <v>541</v>
      </c>
      <c r="F193" t="s">
        <v>543</v>
      </c>
      <c r="G193" t="s">
        <v>545</v>
      </c>
      <c r="H193">
        <v>2025</v>
      </c>
    </row>
    <row r="194" spans="1:8" x14ac:dyDescent="0.3">
      <c r="A194" s="8" t="s">
        <v>493</v>
      </c>
      <c r="B194" t="s">
        <v>407</v>
      </c>
      <c r="C194" t="str">
        <f>_xlfn.XLOOKUP(표8[[#This Row],[supplier_id]],표7[supplier_id],표7[supplier_name])</f>
        <v>S-OIL</v>
      </c>
      <c r="D194" s="9">
        <v>300</v>
      </c>
      <c r="E194" t="s">
        <v>541</v>
      </c>
      <c r="F194" t="s">
        <v>543</v>
      </c>
      <c r="G194" t="s">
        <v>545</v>
      </c>
      <c r="H194">
        <v>2025</v>
      </c>
    </row>
    <row r="195" spans="1:8" x14ac:dyDescent="0.3">
      <c r="A195" s="8" t="s">
        <v>723</v>
      </c>
      <c r="B195" s="8" t="s">
        <v>710</v>
      </c>
      <c r="C195" s="8" t="str">
        <f>_xlfn.XLOOKUP(표8[[#This Row],[supplier_id]],표7[supplier_id],표7[supplier_name])</f>
        <v>여천NCC</v>
      </c>
      <c r="D195" s="9">
        <v>282</v>
      </c>
      <c r="E195" t="s">
        <v>541</v>
      </c>
      <c r="F195" t="s">
        <v>715</v>
      </c>
      <c r="G195" t="s">
        <v>545</v>
      </c>
      <c r="H195">
        <v>2025</v>
      </c>
    </row>
    <row r="196" spans="1:8" x14ac:dyDescent="0.3">
      <c r="A196" s="8" t="s">
        <v>723</v>
      </c>
      <c r="B196" s="8" t="s">
        <v>711</v>
      </c>
      <c r="C196" s="8" t="str">
        <f>_xlfn.XLOOKUP(표8[[#This Row],[supplier_id]],표7[supplier_id],표7[supplier_name])</f>
        <v>GS칼텍스</v>
      </c>
      <c r="D196" s="9">
        <v>170</v>
      </c>
      <c r="E196" t="s">
        <v>541</v>
      </c>
      <c r="F196" t="s">
        <v>715</v>
      </c>
      <c r="G196" t="s">
        <v>545</v>
      </c>
      <c r="H196">
        <v>2025</v>
      </c>
    </row>
    <row r="197" spans="1:8" x14ac:dyDescent="0.3">
      <c r="A197" s="8" t="s">
        <v>723</v>
      </c>
      <c r="B197" s="8" t="s">
        <v>404</v>
      </c>
      <c r="C197" s="8" t="str">
        <f>_xlfn.XLOOKUP(표8[[#This Row],[supplier_id]],표7[supplier_id],표7[supplier_name])</f>
        <v>롯데케미칼</v>
      </c>
      <c r="D197" s="9">
        <v>120</v>
      </c>
      <c r="E197" t="s">
        <v>541</v>
      </c>
      <c r="F197" t="s">
        <v>747</v>
      </c>
      <c r="G197" t="s">
        <v>545</v>
      </c>
      <c r="H197">
        <v>2025</v>
      </c>
    </row>
    <row r="198" spans="1:8" x14ac:dyDescent="0.3">
      <c r="A198" s="8" t="s">
        <v>723</v>
      </c>
      <c r="B198" s="8" t="s">
        <v>404</v>
      </c>
      <c r="C198" s="8" t="str">
        <f>_xlfn.XLOOKUP(표8[[#This Row],[supplier_id]],표7[supplier_id],표7[supplier_name])</f>
        <v>롯데케미칼</v>
      </c>
      <c r="D198" s="9">
        <v>112</v>
      </c>
      <c r="E198" t="s">
        <v>541</v>
      </c>
      <c r="F198" t="s">
        <v>715</v>
      </c>
      <c r="G198" t="s">
        <v>545</v>
      </c>
      <c r="H198">
        <v>2025</v>
      </c>
    </row>
    <row r="199" spans="1:8" x14ac:dyDescent="0.3">
      <c r="A199" s="8" t="s">
        <v>723</v>
      </c>
      <c r="B199" s="8" t="s">
        <v>709</v>
      </c>
      <c r="C199" s="8" t="str">
        <f>_xlfn.XLOOKUP(표8[[#This Row],[supplier_id]],표7[supplier_id],표7[supplier_name])</f>
        <v>LG화학</v>
      </c>
      <c r="D199" s="9">
        <v>110</v>
      </c>
      <c r="E199" t="s">
        <v>541</v>
      </c>
      <c r="F199" t="s">
        <v>715</v>
      </c>
      <c r="G199" t="s">
        <v>545</v>
      </c>
      <c r="H199">
        <v>2025</v>
      </c>
    </row>
    <row r="200" spans="1:8" x14ac:dyDescent="0.3">
      <c r="A200" s="8" t="s">
        <v>723</v>
      </c>
      <c r="B200" s="8" t="s">
        <v>709</v>
      </c>
      <c r="C200" s="8" t="str">
        <f>_xlfn.XLOOKUP(표8[[#This Row],[supplier_id]],표7[supplier_id],표7[supplier_name])</f>
        <v>LG화학</v>
      </c>
      <c r="D200" s="9">
        <v>100</v>
      </c>
      <c r="E200" t="s">
        <v>541</v>
      </c>
      <c r="F200" t="s">
        <v>747</v>
      </c>
      <c r="G200" t="s">
        <v>545</v>
      </c>
      <c r="H200">
        <v>2025</v>
      </c>
    </row>
    <row r="201" spans="1:8" x14ac:dyDescent="0.3">
      <c r="A201" s="8" t="s">
        <v>493</v>
      </c>
      <c r="B201" t="s">
        <v>400</v>
      </c>
      <c r="C201" t="str">
        <f>_xlfn.XLOOKUP(표8[[#This Row],[supplier_id]],표7[supplier_id],표7[supplier_name])</f>
        <v>대한유화</v>
      </c>
      <c r="D201" s="9">
        <v>78</v>
      </c>
      <c r="E201" t="s">
        <v>541</v>
      </c>
      <c r="F201" t="s">
        <v>543</v>
      </c>
      <c r="G201" t="s">
        <v>545</v>
      </c>
      <c r="H201">
        <v>2025</v>
      </c>
    </row>
    <row r="202" spans="1:8" x14ac:dyDescent="0.3">
      <c r="A202" s="8" t="s">
        <v>723</v>
      </c>
      <c r="B202" s="8" t="s">
        <v>760</v>
      </c>
      <c r="C202" s="8" t="str">
        <f>_xlfn.XLOOKUP(표8[[#This Row],[supplier_id]],표7[supplier_id],표7[supplier_name])</f>
        <v>OCI</v>
      </c>
      <c r="D202" s="9">
        <v>40</v>
      </c>
      <c r="E202" t="s">
        <v>541</v>
      </c>
      <c r="F202" t="s">
        <v>749</v>
      </c>
      <c r="G202" t="s">
        <v>545</v>
      </c>
      <c r="H202">
        <v>2025</v>
      </c>
    </row>
    <row r="203" spans="1:8" x14ac:dyDescent="0.3">
      <c r="A203" s="8" t="s">
        <v>724</v>
      </c>
      <c r="B203" s="8" t="s">
        <v>736</v>
      </c>
      <c r="C203" s="8" t="str">
        <f>_xlfn.XLOOKUP(표8[[#This Row],[supplier_id]],표7[supplier_id],표7[supplier_name])</f>
        <v>HD현대케미칼</v>
      </c>
      <c r="D203" s="9">
        <v>1350</v>
      </c>
      <c r="E203" t="s">
        <v>541</v>
      </c>
      <c r="F203" t="s">
        <v>747</v>
      </c>
      <c r="G203" t="s">
        <v>545</v>
      </c>
      <c r="H203">
        <v>2025</v>
      </c>
    </row>
    <row r="204" spans="1:8" x14ac:dyDescent="0.3">
      <c r="A204" s="8" t="s">
        <v>495</v>
      </c>
      <c r="B204" t="s">
        <v>410</v>
      </c>
      <c r="C204" t="str">
        <f>_xlfn.XLOOKUP(표8[[#This Row],[supplier_id]],표7[supplier_id],표7[supplier_name])</f>
        <v>SK지오센트릭</v>
      </c>
      <c r="D204" s="9">
        <v>894</v>
      </c>
      <c r="E204" t="s">
        <v>541</v>
      </c>
      <c r="F204" t="s">
        <v>543</v>
      </c>
      <c r="G204" t="s">
        <v>545</v>
      </c>
      <c r="H204">
        <v>2025</v>
      </c>
    </row>
    <row r="205" spans="1:8" x14ac:dyDescent="0.3">
      <c r="A205" s="8" t="s">
        <v>495</v>
      </c>
      <c r="B205" t="s">
        <v>407</v>
      </c>
      <c r="C205" t="str">
        <f>_xlfn.XLOOKUP(표8[[#This Row],[supplier_id]],표7[supplier_id],표7[supplier_name])</f>
        <v>S-OIL</v>
      </c>
      <c r="D205" s="9">
        <v>450</v>
      </c>
      <c r="E205" t="s">
        <v>541</v>
      </c>
      <c r="F205" t="s">
        <v>543</v>
      </c>
      <c r="G205" t="s">
        <v>545</v>
      </c>
      <c r="H205">
        <v>2025</v>
      </c>
    </row>
    <row r="206" spans="1:8" x14ac:dyDescent="0.3">
      <c r="A206" s="8" t="s">
        <v>724</v>
      </c>
      <c r="B206" s="8" t="s">
        <v>711</v>
      </c>
      <c r="C206" s="8" t="str">
        <f>_xlfn.XLOOKUP(표8[[#This Row],[supplier_id]],표7[supplier_id],표7[supplier_name])</f>
        <v>GS칼텍스</v>
      </c>
      <c r="D206" s="9">
        <v>350</v>
      </c>
      <c r="E206" t="s">
        <v>541</v>
      </c>
      <c r="F206" t="s">
        <v>715</v>
      </c>
      <c r="G206" t="s">
        <v>545</v>
      </c>
      <c r="H206">
        <v>2025</v>
      </c>
    </row>
    <row r="207" spans="1:8" x14ac:dyDescent="0.3">
      <c r="A207" s="8" t="s">
        <v>724</v>
      </c>
      <c r="B207" s="8" t="s">
        <v>710</v>
      </c>
      <c r="C207" s="8" t="str">
        <f>_xlfn.XLOOKUP(표8[[#This Row],[supplier_id]],표7[supplier_id],표7[supplier_name])</f>
        <v>여천NCC</v>
      </c>
      <c r="D207" s="9">
        <v>204</v>
      </c>
      <c r="E207" t="s">
        <v>541</v>
      </c>
      <c r="F207" t="s">
        <v>715</v>
      </c>
      <c r="G207" t="s">
        <v>545</v>
      </c>
      <c r="H207">
        <v>2025</v>
      </c>
    </row>
    <row r="208" spans="1:8" x14ac:dyDescent="0.3">
      <c r="A208" s="8" t="s">
        <v>724</v>
      </c>
      <c r="B208" s="8" t="s">
        <v>404</v>
      </c>
      <c r="C208" s="8" t="str">
        <f>_xlfn.XLOOKUP(표8[[#This Row],[supplier_id]],표7[supplier_id],표7[supplier_name])</f>
        <v>롯데케미칼</v>
      </c>
      <c r="D208" s="9">
        <v>79</v>
      </c>
      <c r="E208" t="s">
        <v>541</v>
      </c>
      <c r="F208" t="s">
        <v>715</v>
      </c>
      <c r="G208" t="s">
        <v>545</v>
      </c>
      <c r="H208">
        <v>2025</v>
      </c>
    </row>
    <row r="209" spans="1:8" x14ac:dyDescent="0.3">
      <c r="A209" s="8" t="s">
        <v>724</v>
      </c>
      <c r="B209" s="8" t="s">
        <v>709</v>
      </c>
      <c r="C209" s="8" t="str">
        <f>_xlfn.XLOOKUP(표8[[#This Row],[supplier_id]],표7[supplier_id],표7[supplier_name])</f>
        <v>LG화학</v>
      </c>
      <c r="D209" s="9">
        <v>60</v>
      </c>
      <c r="E209" t="s">
        <v>541</v>
      </c>
      <c r="F209" t="s">
        <v>715</v>
      </c>
      <c r="G209" t="s">
        <v>545</v>
      </c>
      <c r="H209">
        <v>2025</v>
      </c>
    </row>
    <row r="210" spans="1:8" x14ac:dyDescent="0.3">
      <c r="A210" s="8" t="s">
        <v>724</v>
      </c>
      <c r="B210" s="8" t="s">
        <v>404</v>
      </c>
      <c r="C210" s="8" t="str">
        <f>_xlfn.XLOOKUP(표8[[#This Row],[supplier_id]],표7[supplier_id],표7[supplier_name])</f>
        <v>롯데케미칼</v>
      </c>
      <c r="D210" s="9">
        <v>60</v>
      </c>
      <c r="E210" t="s">
        <v>541</v>
      </c>
      <c r="F210" t="s">
        <v>747</v>
      </c>
      <c r="G210" t="s">
        <v>545</v>
      </c>
      <c r="H210">
        <v>2025</v>
      </c>
    </row>
    <row r="211" spans="1:8" x14ac:dyDescent="0.3">
      <c r="A211" s="8" t="s">
        <v>495</v>
      </c>
      <c r="B211" t="s">
        <v>400</v>
      </c>
      <c r="C211" t="str">
        <f>_xlfn.XLOOKUP(표8[[#This Row],[supplier_id]],표7[supplier_id],표7[supplier_name])</f>
        <v>대한유화</v>
      </c>
      <c r="D211" s="9">
        <v>47</v>
      </c>
      <c r="E211" t="s">
        <v>541</v>
      </c>
      <c r="F211" t="s">
        <v>543</v>
      </c>
      <c r="G211" t="s">
        <v>545</v>
      </c>
      <c r="H211">
        <v>2025</v>
      </c>
    </row>
    <row r="212" spans="1:8" x14ac:dyDescent="0.3">
      <c r="A212" s="8" t="s">
        <v>497</v>
      </c>
      <c r="B212" t="s">
        <v>459</v>
      </c>
      <c r="C212" t="str">
        <f>_xlfn.XLOOKUP(표8[[#This Row],[supplier_id]],표7[supplier_id],표7[supplier_name])</f>
        <v>한화임팩트</v>
      </c>
      <c r="D212" s="9">
        <v>1300</v>
      </c>
      <c r="E212" t="s">
        <v>541</v>
      </c>
      <c r="F212" t="s">
        <v>543</v>
      </c>
      <c r="G212" t="s">
        <v>545</v>
      </c>
      <c r="H212">
        <v>2025</v>
      </c>
    </row>
    <row r="213" spans="1:8" x14ac:dyDescent="0.3">
      <c r="A213" s="8" t="s">
        <v>497</v>
      </c>
      <c r="B213" t="s">
        <v>453</v>
      </c>
      <c r="C213" t="str">
        <f>_xlfn.XLOOKUP(표8[[#This Row],[supplier_id]],표7[supplier_id],표7[supplier_name])</f>
        <v>태광산업</v>
      </c>
      <c r="D213" s="9">
        <v>1000</v>
      </c>
      <c r="E213" t="s">
        <v>541</v>
      </c>
      <c r="F213" t="s">
        <v>543</v>
      </c>
      <c r="G213" t="s">
        <v>545</v>
      </c>
      <c r="H213">
        <v>2025</v>
      </c>
    </row>
    <row r="214" spans="1:8" x14ac:dyDescent="0.3">
      <c r="A214" s="8" t="s">
        <v>497</v>
      </c>
      <c r="B214" t="s">
        <v>404</v>
      </c>
      <c r="C214" t="str">
        <f>_xlfn.XLOOKUP(표8[[#This Row],[supplier_id]],표7[supplier_id],표7[supplier_name])</f>
        <v>롯데케미칼</v>
      </c>
      <c r="D214" s="9">
        <v>840</v>
      </c>
      <c r="E214" t="s">
        <v>541</v>
      </c>
      <c r="F214" t="s">
        <v>543</v>
      </c>
      <c r="G214" t="s">
        <v>545</v>
      </c>
      <c r="H214">
        <v>2025</v>
      </c>
    </row>
    <row r="215" spans="1:8" x14ac:dyDescent="0.3">
      <c r="A215" s="8" t="s">
        <v>497</v>
      </c>
      <c r="B215" t="s">
        <v>460</v>
      </c>
      <c r="C215" t="str">
        <f>_xlfn.XLOOKUP(표8[[#This Row],[supplier_id]],표7[supplier_id],표7[supplier_name])</f>
        <v>효성화학</v>
      </c>
      <c r="D215" s="9">
        <v>420</v>
      </c>
      <c r="E215" t="s">
        <v>541</v>
      </c>
      <c r="F215" t="s">
        <v>543</v>
      </c>
      <c r="G215" t="s">
        <v>545</v>
      </c>
      <c r="H215">
        <v>2025</v>
      </c>
    </row>
    <row r="216" spans="1:8" x14ac:dyDescent="0.3">
      <c r="A216" s="3" t="s">
        <v>497</v>
      </c>
      <c r="B216" s="3" t="s">
        <v>405</v>
      </c>
      <c r="C216" s="3" t="str">
        <f>_xlfn.XLOOKUP(표8[[#This Row],[supplier_id]],표7[supplier_id],표7[supplier_name])</f>
        <v>애경케미칼</v>
      </c>
      <c r="D216" s="4">
        <v>210</v>
      </c>
      <c r="E216" t="s">
        <v>541</v>
      </c>
      <c r="F216" t="s">
        <v>543</v>
      </c>
      <c r="G216" t="s">
        <v>545</v>
      </c>
      <c r="H216">
        <v>2025</v>
      </c>
    </row>
    <row r="217" spans="1:8" x14ac:dyDescent="0.3">
      <c r="A217" s="8" t="s">
        <v>497</v>
      </c>
      <c r="B217" t="s">
        <v>441</v>
      </c>
      <c r="C217" t="str">
        <f>_xlfn.XLOOKUP(표8[[#This Row],[supplier_id]],표7[supplier_id],표7[supplier_name])</f>
        <v>SK케미칼</v>
      </c>
      <c r="D217" s="9">
        <v>160</v>
      </c>
      <c r="E217" t="s">
        <v>541</v>
      </c>
      <c r="F217" t="s">
        <v>543</v>
      </c>
      <c r="G217" t="s">
        <v>545</v>
      </c>
      <c r="H217">
        <v>2025</v>
      </c>
    </row>
    <row r="218" spans="1:8" x14ac:dyDescent="0.3">
      <c r="A218" s="8" t="s">
        <v>767</v>
      </c>
      <c r="B218" s="8" t="s">
        <v>760</v>
      </c>
      <c r="C218" s="8" t="str">
        <f>_xlfn.XLOOKUP(표8[[#This Row],[supplier_id]],표7[supplier_id],표7[supplier_name])</f>
        <v>OCI</v>
      </c>
      <c r="D218" s="9">
        <v>60</v>
      </c>
      <c r="E218" t="s">
        <v>541</v>
      </c>
      <c r="F218" t="s">
        <v>758</v>
      </c>
      <c r="G218" t="s">
        <v>545</v>
      </c>
      <c r="H218">
        <v>2025</v>
      </c>
    </row>
    <row r="219" spans="1:8" x14ac:dyDescent="0.3">
      <c r="A219" t="s">
        <v>507</v>
      </c>
      <c r="B219" t="s">
        <v>449</v>
      </c>
      <c r="C219" t="str">
        <f>_xlfn.XLOOKUP(표8[[#This Row],[supplier_id]],표7[supplier_id],표7[supplier_name])</f>
        <v>카프로</v>
      </c>
      <c r="D219" s="9">
        <v>270</v>
      </c>
      <c r="E219" t="s">
        <v>541</v>
      </c>
      <c r="F219" t="s">
        <v>543</v>
      </c>
      <c r="G219" t="s">
        <v>545</v>
      </c>
      <c r="H219">
        <v>2025</v>
      </c>
    </row>
    <row r="220" spans="1:8" x14ac:dyDescent="0.3">
      <c r="A220" s="8" t="s">
        <v>725</v>
      </c>
      <c r="B220" s="8" t="s">
        <v>708</v>
      </c>
      <c r="C220" s="8" t="str">
        <f>_xlfn.XLOOKUP(표8[[#This Row],[supplier_id]],표7[supplier_id],표7[supplier_name])</f>
        <v>LX MMA</v>
      </c>
      <c r="D220" s="9">
        <v>260</v>
      </c>
      <c r="E220" t="s">
        <v>541</v>
      </c>
      <c r="F220" t="s">
        <v>715</v>
      </c>
      <c r="G220" t="s">
        <v>545</v>
      </c>
      <c r="H220">
        <v>2025</v>
      </c>
    </row>
    <row r="221" spans="1:8" x14ac:dyDescent="0.3">
      <c r="A221" s="8" t="s">
        <v>725</v>
      </c>
      <c r="B221" s="8" t="s">
        <v>706</v>
      </c>
      <c r="C221" s="8" t="str">
        <f>_xlfn.XLOOKUP(표8[[#This Row],[supplier_id]],표7[supplier_id],표7[supplier_name])</f>
        <v>롯데엠시시</v>
      </c>
      <c r="D221" s="9">
        <v>97</v>
      </c>
      <c r="E221" t="s">
        <v>541</v>
      </c>
      <c r="F221" t="s">
        <v>715</v>
      </c>
      <c r="G221" t="s">
        <v>545</v>
      </c>
      <c r="H221">
        <v>2025</v>
      </c>
    </row>
    <row r="222" spans="1:8" x14ac:dyDescent="0.3">
      <c r="A222" s="8" t="s">
        <v>725</v>
      </c>
      <c r="B222" s="8" t="s">
        <v>706</v>
      </c>
      <c r="C222" s="8" t="str">
        <f>_xlfn.XLOOKUP(표8[[#This Row],[supplier_id]],표7[supplier_id],표7[supplier_name])</f>
        <v>롯데엠시시</v>
      </c>
      <c r="D222" s="9">
        <v>90</v>
      </c>
      <c r="E222" t="s">
        <v>541</v>
      </c>
      <c r="F222" t="s">
        <v>747</v>
      </c>
      <c r="G222" t="s">
        <v>545</v>
      </c>
      <c r="H222">
        <v>2025</v>
      </c>
    </row>
    <row r="223" spans="1:8" x14ac:dyDescent="0.3">
      <c r="A223" s="8" t="s">
        <v>725</v>
      </c>
      <c r="B223" s="8" t="s">
        <v>404</v>
      </c>
      <c r="C223" s="8" t="str">
        <f>_xlfn.XLOOKUP(표8[[#This Row],[supplier_id]],표7[supplier_id],표7[supplier_name])</f>
        <v>롯데케미칼</v>
      </c>
      <c r="D223" s="9">
        <v>50</v>
      </c>
      <c r="E223" t="s">
        <v>541</v>
      </c>
      <c r="F223" t="s">
        <v>715</v>
      </c>
      <c r="G223" t="s">
        <v>545</v>
      </c>
      <c r="H223">
        <v>2025</v>
      </c>
    </row>
    <row r="224" spans="1:8" x14ac:dyDescent="0.3">
      <c r="A224" s="8" t="s">
        <v>726</v>
      </c>
      <c r="B224" s="8" t="s">
        <v>708</v>
      </c>
      <c r="C224" s="8" t="str">
        <f>_xlfn.XLOOKUP(표8[[#This Row],[supplier_id]],표7[supplier_id],표7[supplier_name])</f>
        <v>LX MMA</v>
      </c>
      <c r="D224" s="9">
        <v>120</v>
      </c>
      <c r="E224" t="s">
        <v>541</v>
      </c>
      <c r="F224" t="s">
        <v>715</v>
      </c>
      <c r="G224" t="s">
        <v>545</v>
      </c>
      <c r="H224">
        <v>2025</v>
      </c>
    </row>
    <row r="225" spans="1:8" x14ac:dyDescent="0.3">
      <c r="A225" s="8" t="s">
        <v>726</v>
      </c>
      <c r="B225" s="8" t="s">
        <v>706</v>
      </c>
      <c r="C225" s="8" t="str">
        <f>_xlfn.XLOOKUP(표8[[#This Row],[supplier_id]],표7[supplier_id],표7[supplier_name])</f>
        <v>롯데엠시시</v>
      </c>
      <c r="D225" s="9">
        <v>110</v>
      </c>
      <c r="E225" t="s">
        <v>541</v>
      </c>
      <c r="F225" t="s">
        <v>715</v>
      </c>
      <c r="G225" t="s">
        <v>545</v>
      </c>
      <c r="H225">
        <v>2025</v>
      </c>
    </row>
    <row r="226" spans="1:8" x14ac:dyDescent="0.3">
      <c r="A226" s="8" t="s">
        <v>620</v>
      </c>
      <c r="B226" t="s">
        <v>1026</v>
      </c>
      <c r="C226" s="8" t="str">
        <f>_xlfn.XLOOKUP(표8[[#This Row],[supplier_id]],표7[supplier_id],표7[supplier_name])</f>
        <v>한화솔루션</v>
      </c>
      <c r="D226" s="9">
        <v>363</v>
      </c>
      <c r="E226" s="8" t="s">
        <v>541</v>
      </c>
      <c r="F226" t="s">
        <v>715</v>
      </c>
      <c r="G226" t="s">
        <v>1027</v>
      </c>
      <c r="H226">
        <v>2026</v>
      </c>
    </row>
    <row r="227" spans="1:8" x14ac:dyDescent="0.3">
      <c r="A227" t="s">
        <v>620</v>
      </c>
      <c r="B227" t="s">
        <v>709</v>
      </c>
      <c r="C227" s="10" t="str">
        <f>_xlfn.XLOOKUP(표8[[#This Row],[supplier_id]],표7[supplier_id],표7[supplier_name])</f>
        <v>LG화학</v>
      </c>
      <c r="D227" s="4">
        <v>275</v>
      </c>
      <c r="E227" t="s">
        <v>541</v>
      </c>
      <c r="F227" t="s">
        <v>715</v>
      </c>
      <c r="G227" t="s">
        <v>1027</v>
      </c>
      <c r="H227">
        <v>2026</v>
      </c>
    </row>
    <row r="228" spans="1:8" x14ac:dyDescent="0.3">
      <c r="A228" s="10" t="s">
        <v>727</v>
      </c>
      <c r="B228" s="10" t="s">
        <v>701</v>
      </c>
      <c r="C228" s="10" t="str">
        <f>_xlfn.XLOOKUP(표8[[#This Row],[supplier_id]],표7[supplier_id],표7[supplier_name])</f>
        <v>금호미쓰이화학</v>
      </c>
      <c r="D228" s="4">
        <v>610</v>
      </c>
      <c r="E228" t="s">
        <v>541</v>
      </c>
      <c r="F228" t="s">
        <v>715</v>
      </c>
      <c r="G228" t="s">
        <v>545</v>
      </c>
      <c r="H228">
        <v>2025</v>
      </c>
    </row>
    <row r="229" spans="1:8" x14ac:dyDescent="0.3">
      <c r="A229" s="8" t="s">
        <v>727</v>
      </c>
      <c r="B229" s="10" t="s">
        <v>454</v>
      </c>
      <c r="C229" s="10" t="str">
        <f>_xlfn.XLOOKUP(표8[[#This Row],[supplier_id]],표7[supplier_id],표7[supplier_name])</f>
        <v>한국바스프</v>
      </c>
      <c r="D229" s="4">
        <v>250</v>
      </c>
      <c r="E229" t="s">
        <v>541</v>
      </c>
      <c r="F229" t="s">
        <v>715</v>
      </c>
      <c r="G229" t="s">
        <v>545</v>
      </c>
      <c r="H229">
        <v>2025</v>
      </c>
    </row>
    <row r="230" spans="1:8" x14ac:dyDescent="0.3">
      <c r="A230" s="10" t="s">
        <v>727</v>
      </c>
      <c r="B230" s="10" t="s">
        <v>714</v>
      </c>
      <c r="C230" s="8" t="str">
        <f>_xlfn.XLOOKUP(표8[[#This Row],[supplier_id]],표7[supplier_id],표7[supplier_name])</f>
        <v>구다우케미칼</v>
      </c>
      <c r="D230" s="4">
        <v>30</v>
      </c>
      <c r="E230" t="s">
        <v>541</v>
      </c>
      <c r="F230" t="s">
        <v>715</v>
      </c>
      <c r="G230" t="s">
        <v>545</v>
      </c>
      <c r="H230">
        <v>2025</v>
      </c>
    </row>
    <row r="231" spans="1:8" x14ac:dyDescent="0.3">
      <c r="A231" s="10" t="s">
        <v>728</v>
      </c>
      <c r="B231" s="10" t="s">
        <v>454</v>
      </c>
      <c r="C231" s="8" t="str">
        <f>_xlfn.XLOOKUP(표8[[#This Row],[supplier_id]],표7[supplier_id],표7[supplier_name])</f>
        <v>한국바스프</v>
      </c>
      <c r="D231" s="4">
        <v>160</v>
      </c>
      <c r="E231" t="s">
        <v>541</v>
      </c>
      <c r="F231" t="s">
        <v>715</v>
      </c>
      <c r="G231" t="s">
        <v>545</v>
      </c>
      <c r="H231">
        <v>2025</v>
      </c>
    </row>
    <row r="232" spans="1:8" x14ac:dyDescent="0.3">
      <c r="A232" s="10" t="s">
        <v>728</v>
      </c>
      <c r="B232" s="8" t="s">
        <v>458</v>
      </c>
      <c r="C232" s="8" t="str">
        <f>_xlfn.XLOOKUP(표8[[#This Row],[supplier_id]],표7[supplier_id],표7[supplier_name])</f>
        <v>한화솔루션</v>
      </c>
      <c r="D232" s="9">
        <v>150</v>
      </c>
      <c r="E232" t="s">
        <v>541</v>
      </c>
      <c r="F232" t="s">
        <v>715</v>
      </c>
      <c r="G232" t="s">
        <v>545</v>
      </c>
      <c r="H232">
        <v>2025</v>
      </c>
    </row>
    <row r="233" spans="1:8" x14ac:dyDescent="0.3">
      <c r="A233" s="10" t="s">
        <v>728</v>
      </c>
      <c r="B233" s="10" t="s">
        <v>760</v>
      </c>
      <c r="C233" s="8" t="str">
        <f>_xlfn.XLOOKUP(표8[[#This Row],[supplier_id]],표7[supplier_id],표7[supplier_name])</f>
        <v>OCI</v>
      </c>
      <c r="D233" s="4">
        <v>50</v>
      </c>
      <c r="E233" t="s">
        <v>541</v>
      </c>
      <c r="F233" t="s">
        <v>751</v>
      </c>
      <c r="G233" t="s">
        <v>545</v>
      </c>
      <c r="H233">
        <v>2025</v>
      </c>
    </row>
    <row r="234" spans="1:8" x14ac:dyDescent="0.3">
      <c r="A234" s="10" t="s">
        <v>653</v>
      </c>
      <c r="B234" s="10" t="s">
        <v>1084</v>
      </c>
      <c r="C234" s="8" t="str">
        <f>_xlfn.XLOOKUP(표8[[#This Row],[supplier_id]],표7[supplier_id],표7[supplier_name])</f>
        <v>SK지오센트릭</v>
      </c>
      <c r="D234" s="4">
        <v>200</v>
      </c>
      <c r="E234" t="s">
        <v>541</v>
      </c>
      <c r="F234" t="s">
        <v>543</v>
      </c>
      <c r="G234" t="s">
        <v>545</v>
      </c>
      <c r="H234">
        <v>2025</v>
      </c>
    </row>
    <row r="235" spans="1:8" x14ac:dyDescent="0.3">
      <c r="A235" s="10" t="s">
        <v>653</v>
      </c>
      <c r="B235" s="10" t="s">
        <v>1061</v>
      </c>
      <c r="C235" s="8" t="str">
        <f>_xlfn.XLOOKUP(표8[[#This Row],[supplier_id]],표7[supplier_id],표7[supplier_name])</f>
        <v>롯데케미칼</v>
      </c>
      <c r="D235" s="4">
        <v>210</v>
      </c>
      <c r="E235" t="s">
        <v>541</v>
      </c>
      <c r="F235" t="s">
        <v>543</v>
      </c>
      <c r="G235" t="s">
        <v>545</v>
      </c>
      <c r="H235">
        <v>2025</v>
      </c>
    </row>
    <row r="236" spans="1:8" x14ac:dyDescent="0.3">
      <c r="A236" s="10" t="s">
        <v>654</v>
      </c>
      <c r="B236" s="10" t="s">
        <v>1061</v>
      </c>
      <c r="C236" s="8" t="str">
        <f>_xlfn.XLOOKUP(표8[[#This Row],[supplier_id]],표7[supplier_id],표7[supplier_name])</f>
        <v>롯데케미칼</v>
      </c>
      <c r="D236" s="4">
        <v>360</v>
      </c>
      <c r="E236" t="s">
        <v>541</v>
      </c>
      <c r="F236" t="s">
        <v>543</v>
      </c>
      <c r="G236" t="s">
        <v>545</v>
      </c>
      <c r="H236">
        <v>2025</v>
      </c>
    </row>
    <row r="237" spans="1:8" x14ac:dyDescent="0.3">
      <c r="A237" s="10" t="s">
        <v>722</v>
      </c>
      <c r="B237" s="10" t="s">
        <v>1061</v>
      </c>
      <c r="C237" s="8" t="str">
        <f>_xlfn.XLOOKUP(표8[[#This Row],[supplier_id]],표7[supplier_id],표7[supplier_name])</f>
        <v>롯데케미칼</v>
      </c>
      <c r="D237" s="4">
        <v>750</v>
      </c>
      <c r="E237" t="s">
        <v>541</v>
      </c>
      <c r="F237" t="s">
        <v>543</v>
      </c>
      <c r="G237" t="s">
        <v>545</v>
      </c>
      <c r="H237">
        <v>2025</v>
      </c>
    </row>
    <row r="238" spans="1:8" x14ac:dyDescent="0.3">
      <c r="A238" s="10" t="s">
        <v>722</v>
      </c>
      <c r="B238" s="10" t="s">
        <v>1085</v>
      </c>
      <c r="C238" s="8" t="str">
        <f>_xlfn.XLOOKUP(표8[[#This Row],[supplier_id]],표7[supplier_id],표7[supplier_name])</f>
        <v>S-OIL</v>
      </c>
      <c r="D238" s="4">
        <v>1900</v>
      </c>
      <c r="E238" t="s">
        <v>541</v>
      </c>
      <c r="F238" t="s">
        <v>543</v>
      </c>
      <c r="G238" t="s">
        <v>545</v>
      </c>
      <c r="H238">
        <v>2025</v>
      </c>
    </row>
    <row r="239" spans="1:8" x14ac:dyDescent="0.3">
      <c r="A239" s="10" t="s">
        <v>722</v>
      </c>
      <c r="B239" s="10" t="s">
        <v>1084</v>
      </c>
      <c r="C239" s="8" t="str">
        <f>_xlfn.XLOOKUP(표8[[#This Row],[supplier_id]],표7[supplier_id],표7[supplier_name])</f>
        <v>SK지오센트릭</v>
      </c>
      <c r="D239" s="4">
        <v>830</v>
      </c>
      <c r="E239" t="s">
        <v>541</v>
      </c>
      <c r="F239" t="s">
        <v>543</v>
      </c>
      <c r="G239" t="s">
        <v>545</v>
      </c>
      <c r="H239">
        <v>2025</v>
      </c>
    </row>
    <row r="240" spans="1:8" x14ac:dyDescent="0.3">
      <c r="A240" s="10" t="s">
        <v>722</v>
      </c>
      <c r="B240" s="10" t="s">
        <v>1086</v>
      </c>
      <c r="C240" s="8" t="str">
        <f>_xlfn.XLOOKUP(표8[[#This Row],[supplier_id]],표7[supplier_id],표7[supplier_name])</f>
        <v>울산아로마틱스</v>
      </c>
      <c r="D240" s="4">
        <v>1000</v>
      </c>
      <c r="E240" t="s">
        <v>541</v>
      </c>
      <c r="F240" t="s">
        <v>543</v>
      </c>
      <c r="G240" t="s">
        <v>545</v>
      </c>
      <c r="H240">
        <v>2025</v>
      </c>
    </row>
    <row r="241" spans="1:8" x14ac:dyDescent="0.3">
      <c r="A241" s="10" t="s">
        <v>722</v>
      </c>
      <c r="B241" s="10" t="s">
        <v>735</v>
      </c>
      <c r="C241" s="8" t="str">
        <f>_xlfn.XLOOKUP(표8[[#This Row],[supplier_id]],표7[supplier_id],표7[supplier_name])</f>
        <v>한화토탈에너지스</v>
      </c>
      <c r="D241" s="4">
        <v>2000</v>
      </c>
      <c r="E241" t="s">
        <v>541</v>
      </c>
      <c r="F241" t="s">
        <v>747</v>
      </c>
      <c r="G241" t="s">
        <v>545</v>
      </c>
      <c r="H241">
        <v>2025</v>
      </c>
    </row>
    <row r="242" spans="1:8" x14ac:dyDescent="0.3">
      <c r="A242" s="10" t="s">
        <v>722</v>
      </c>
      <c r="B242" s="10" t="s">
        <v>763</v>
      </c>
      <c r="C242" s="8" t="str">
        <f>_xlfn.XLOOKUP(표8[[#This Row],[supplier_id]],표7[supplier_id],표7[supplier_name])</f>
        <v>SK인천석유화학</v>
      </c>
      <c r="D242" s="4">
        <v>1500</v>
      </c>
      <c r="E242" t="s">
        <v>541</v>
      </c>
      <c r="F242" t="s">
        <v>756</v>
      </c>
      <c r="G242" t="s">
        <v>545</v>
      </c>
      <c r="H242">
        <v>2025</v>
      </c>
    </row>
    <row r="243" spans="1:8" x14ac:dyDescent="0.3">
      <c r="A243" s="10" t="s">
        <v>722</v>
      </c>
      <c r="B243" s="10" t="s">
        <v>746</v>
      </c>
      <c r="C243" s="8" t="str">
        <f>_xlfn.XLOOKUP(표8[[#This Row],[supplier_id]],표7[supplier_id],표7[supplier_name])</f>
        <v>HD현대오일뱅크</v>
      </c>
      <c r="D243" s="4">
        <v>1460</v>
      </c>
      <c r="E243" t="s">
        <v>541</v>
      </c>
      <c r="F243" t="s">
        <v>747</v>
      </c>
      <c r="G243" t="s">
        <v>545</v>
      </c>
      <c r="H243">
        <v>2025</v>
      </c>
    </row>
    <row r="244" spans="1:8" x14ac:dyDescent="0.3">
      <c r="A244" s="10" t="s">
        <v>722</v>
      </c>
      <c r="B244" s="8" t="s">
        <v>711</v>
      </c>
      <c r="C244" s="8" t="str">
        <f>_xlfn.XLOOKUP(표8[[#This Row],[supplier_id]],표7[supplier_id],표7[supplier_name])</f>
        <v>GS칼텍스</v>
      </c>
      <c r="D244" s="9">
        <v>1350</v>
      </c>
      <c r="E244" t="s">
        <v>541</v>
      </c>
      <c r="F244" t="s">
        <v>715</v>
      </c>
      <c r="G244" t="s">
        <v>545</v>
      </c>
      <c r="H244">
        <v>2025</v>
      </c>
    </row>
    <row r="245" spans="1:8" x14ac:dyDescent="0.3">
      <c r="A245" s="10" t="s">
        <v>1087</v>
      </c>
      <c r="B245" s="8" t="s">
        <v>1061</v>
      </c>
      <c r="C245" s="8" t="str">
        <f>_xlfn.XLOOKUP(표8[[#This Row],[supplier_id]],표7[supplier_id],표7[supplier_name])</f>
        <v>롯데케미칼</v>
      </c>
      <c r="D245" s="9">
        <v>840</v>
      </c>
      <c r="E245" t="s">
        <v>541</v>
      </c>
      <c r="F245" t="s">
        <v>543</v>
      </c>
      <c r="G245" t="s">
        <v>545</v>
      </c>
      <c r="H245">
        <v>2025</v>
      </c>
    </row>
    <row r="246" spans="1:8" x14ac:dyDescent="0.3">
      <c r="A246" s="10" t="s">
        <v>675</v>
      </c>
      <c r="B246" s="10" t="s">
        <v>707</v>
      </c>
      <c r="C246" s="8" t="str">
        <f>_xlfn.XLOOKUP(표8[[#This Row],[supplier_id]],표7[supplier_id],표7[supplier_name])</f>
        <v>삼남석유화학</v>
      </c>
      <c r="D246" s="4">
        <v>1500</v>
      </c>
      <c r="E246" t="s">
        <v>541</v>
      </c>
      <c r="F246" t="s">
        <v>715</v>
      </c>
      <c r="G246" t="s">
        <v>545</v>
      </c>
      <c r="H246">
        <v>2025</v>
      </c>
    </row>
    <row r="247" spans="1:8" x14ac:dyDescent="0.3">
      <c r="A247" s="10" t="s">
        <v>675</v>
      </c>
      <c r="B247" s="8" t="s">
        <v>459</v>
      </c>
      <c r="C247" s="8" t="str">
        <f>_xlfn.XLOOKUP(표8[[#This Row],[supplier_id]],표7[supplier_id],표7[supplier_name])</f>
        <v>한화임팩트</v>
      </c>
      <c r="D247" s="4">
        <v>700</v>
      </c>
      <c r="E247" t="s">
        <v>541</v>
      </c>
      <c r="F247" t="s">
        <v>747</v>
      </c>
      <c r="G247" t="s">
        <v>545</v>
      </c>
      <c r="H247">
        <v>2025</v>
      </c>
    </row>
    <row r="248" spans="1:8" x14ac:dyDescent="0.3">
      <c r="A248" s="10" t="s">
        <v>771</v>
      </c>
      <c r="B248" s="10" t="s">
        <v>702</v>
      </c>
      <c r="C248" s="8" t="str">
        <f>_xlfn.XLOOKUP(표8[[#This Row],[supplier_id]],표7[supplier_id],표7[supplier_name])</f>
        <v>금호폴리켐</v>
      </c>
      <c r="D248" s="9">
        <v>310</v>
      </c>
      <c r="E248" t="s">
        <v>541</v>
      </c>
      <c r="F248" t="s">
        <v>715</v>
      </c>
      <c r="G248" t="s">
        <v>545</v>
      </c>
      <c r="H248">
        <v>2025</v>
      </c>
    </row>
    <row r="249" spans="1:8" x14ac:dyDescent="0.3">
      <c r="A249" s="10" t="s">
        <v>771</v>
      </c>
      <c r="B249" s="10" t="s">
        <v>705</v>
      </c>
      <c r="C249" s="8" t="str">
        <f>_xlfn.XLOOKUP(표8[[#This Row],[supplier_id]],표7[supplier_id],표7[supplier_name])</f>
        <v>롯데베르살리스엘라스토머스</v>
      </c>
      <c r="D249" s="9">
        <v>96</v>
      </c>
      <c r="E249" t="s">
        <v>541</v>
      </c>
      <c r="F249" t="s">
        <v>715</v>
      </c>
      <c r="G249" t="s">
        <v>545</v>
      </c>
      <c r="H249">
        <v>2025</v>
      </c>
    </row>
    <row r="250" spans="1:8" x14ac:dyDescent="0.3">
      <c r="A250" s="10" t="s">
        <v>1072</v>
      </c>
      <c r="B250" s="8" t="s">
        <v>458</v>
      </c>
      <c r="C250" s="8" t="str">
        <f>_xlfn.XLOOKUP(표8[[#This Row],[supplier_id]],표7[supplier_id],표7[supplier_name])</f>
        <v>한화솔루션</v>
      </c>
      <c r="D250" s="9">
        <v>10</v>
      </c>
      <c r="E250" t="s">
        <v>541</v>
      </c>
      <c r="F250" t="s">
        <v>715</v>
      </c>
      <c r="G250" t="s">
        <v>1027</v>
      </c>
      <c r="H250">
        <v>2024</v>
      </c>
    </row>
    <row r="251" spans="1:8" x14ac:dyDescent="0.3">
      <c r="A251" s="10" t="s">
        <v>1072</v>
      </c>
      <c r="B251" s="3" t="s">
        <v>1059</v>
      </c>
      <c r="C251" s="8" t="str">
        <f>_xlfn.XLOOKUP(표8[[#This Row],[supplier_id]],표7[supplier_id],표7[supplier_name])</f>
        <v>LG화학</v>
      </c>
      <c r="D251" s="9">
        <v>100</v>
      </c>
      <c r="E251" t="s">
        <v>541</v>
      </c>
      <c r="F251" t="s">
        <v>715</v>
      </c>
      <c r="G251" t="s">
        <v>1027</v>
      </c>
      <c r="H251">
        <v>2024</v>
      </c>
    </row>
    <row r="252" spans="1:8" x14ac:dyDescent="0.3">
      <c r="A252" s="10" t="s">
        <v>1072</v>
      </c>
      <c r="B252" s="3" t="s">
        <v>1059</v>
      </c>
      <c r="C252" s="8" t="str">
        <f>_xlfn.XLOOKUP(표8[[#This Row],[supplier_id]],표7[supplier_id],표7[supplier_name])</f>
        <v>LG화학</v>
      </c>
      <c r="D252" s="9">
        <v>25</v>
      </c>
      <c r="E252" t="s">
        <v>541</v>
      </c>
      <c r="F252" t="s">
        <v>1082</v>
      </c>
      <c r="G252" t="s">
        <v>1027</v>
      </c>
      <c r="H252">
        <v>2024</v>
      </c>
    </row>
    <row r="253" spans="1:8" x14ac:dyDescent="0.3">
      <c r="A253" s="27" t="s">
        <v>1129</v>
      </c>
      <c r="B253" s="32" t="s">
        <v>1059</v>
      </c>
      <c r="C253" s="34" t="str">
        <f>_xlfn.XLOOKUP(표8[[#This Row],[supplier_id]],표7[supplier_id],표7[supplier_name])</f>
        <v>LG화학</v>
      </c>
      <c r="D253" s="28">
        <v>450</v>
      </c>
      <c r="E253" t="s">
        <v>541</v>
      </c>
      <c r="F253" s="36" t="s">
        <v>747</v>
      </c>
      <c r="G253" t="s">
        <v>1027</v>
      </c>
      <c r="H253">
        <v>2025</v>
      </c>
    </row>
    <row r="254" spans="1:8" x14ac:dyDescent="0.3">
      <c r="A254" s="27" t="s">
        <v>1129</v>
      </c>
      <c r="B254" s="33" t="s">
        <v>1059</v>
      </c>
      <c r="C254" s="34" t="str">
        <f>_xlfn.XLOOKUP(표8[[#This Row],[supplier_id]],표7[supplier_id],표7[supplier_name])</f>
        <v>LG화학</v>
      </c>
      <c r="D254" s="35">
        <v>450</v>
      </c>
      <c r="E254" t="s">
        <v>541</v>
      </c>
      <c r="F254" s="36" t="s">
        <v>715</v>
      </c>
      <c r="G254" t="s">
        <v>1027</v>
      </c>
      <c r="H254">
        <v>2025</v>
      </c>
    </row>
    <row r="255" spans="1:8" x14ac:dyDescent="0.3">
      <c r="A255" s="27" t="s">
        <v>1129</v>
      </c>
      <c r="B255" s="8" t="s">
        <v>703</v>
      </c>
      <c r="C255" s="34" t="str">
        <f>_xlfn.XLOOKUP(표8[[#This Row],[supplier_id]],표7[supplier_id],표7[supplier_name])</f>
        <v>금호피앤비화학</v>
      </c>
      <c r="D255" s="28">
        <v>430</v>
      </c>
      <c r="E255" t="s">
        <v>541</v>
      </c>
      <c r="F255" s="36" t="s">
        <v>715</v>
      </c>
      <c r="G255" t="s">
        <v>1027</v>
      </c>
      <c r="H255">
        <v>2025</v>
      </c>
    </row>
    <row r="256" spans="1:8" x14ac:dyDescent="0.3">
      <c r="A256" s="27" t="s">
        <v>1129</v>
      </c>
      <c r="B256" s="8" t="s">
        <v>703</v>
      </c>
      <c r="C256" s="34" t="str">
        <f>_xlfn.XLOOKUP(표8[[#This Row],[supplier_id]],표7[supplier_id],표7[supplier_name])</f>
        <v>금호피앤비화학</v>
      </c>
      <c r="D256" s="28">
        <v>470</v>
      </c>
      <c r="E256" t="s">
        <v>541</v>
      </c>
      <c r="F256" s="36" t="s">
        <v>715</v>
      </c>
      <c r="G256" t="s">
        <v>1027</v>
      </c>
      <c r="H256">
        <v>2025</v>
      </c>
    </row>
    <row r="257" spans="1:8" x14ac:dyDescent="0.3">
      <c r="A257" s="10" t="s">
        <v>1129</v>
      </c>
      <c r="B257" s="8" t="s">
        <v>713</v>
      </c>
      <c r="C257" s="34" t="str">
        <f>_xlfn.XLOOKUP(표8[[#This Row],[supplier_id]],표7[supplier_id],표7[supplier_name])</f>
        <v>롯데GS화학</v>
      </c>
      <c r="D257" s="35">
        <v>475</v>
      </c>
      <c r="E257" t="s">
        <v>541</v>
      </c>
      <c r="F257" s="36" t="s">
        <v>715</v>
      </c>
      <c r="G257" t="s">
        <v>1027</v>
      </c>
      <c r="H257">
        <v>2025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56ec2f6-49a6-4260-b291-cddfa4fb07f3}" enabled="1" method="Privileged" siteId="{a2d478ac-b585-41c5-a681-f7383808fa1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Sheet1</vt:lpstr>
      <vt:lpstr>ccma_list</vt:lpstr>
      <vt:lpstr>ceh_list</vt:lpstr>
      <vt:lpstr>material_master</vt:lpstr>
      <vt:lpstr>route_master</vt:lpstr>
      <vt:lpstr>route_input_link</vt:lpstr>
      <vt:lpstr>route_output_link</vt:lpstr>
      <vt:lpstr>licensor_master</vt:lpstr>
      <vt:lpstr>route_licensor_link</vt:lpstr>
      <vt:lpstr>supplier_master</vt:lpstr>
      <vt:lpstr>material_supplier_link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이원일(W.I. Lee)</cp:lastModifiedBy>
  <dcterms:created xsi:type="dcterms:W3CDTF">2015-06-05T18:19:34Z</dcterms:created>
  <dcterms:modified xsi:type="dcterms:W3CDTF">2026-05-27T02:06:06Z</dcterms:modified>
</cp:coreProperties>
</file>