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S\Petro_DB\"/>
    </mc:Choice>
  </mc:AlternateContent>
  <xr:revisionPtr revIDLastSave="0" documentId="13_ncr:1_{FC8485AC-F28E-4F7C-AA44-6D3D15916FFA}" xr6:coauthVersionLast="47" xr6:coauthVersionMax="47" xr10:uidLastSave="{00000000-0000-0000-0000-000000000000}"/>
  <bookViews>
    <workbookView xWindow="-120" yWindow="-120" windowWidth="29040" windowHeight="15720" firstSheet="56" activeTab="63" xr2:uid="{00000000-000D-0000-FFFF-FFFF00000000}"/>
  </bookViews>
  <sheets>
    <sheet name="screen_master" sheetId="94" r:id="rId1"/>
    <sheet name="Progress" sheetId="60" r:id="rId2"/>
    <sheet name="material_strategy_master" sheetId="10" r:id="rId3"/>
    <sheet name="Overivew" sheetId="83" r:id="rId4"/>
    <sheet name="001_Ethylene" sheetId="81" r:id="rId5"/>
    <sheet name="002_HDPE" sheetId="12" r:id="rId6"/>
    <sheet name="003_LDPE" sheetId="13" r:id="rId7"/>
    <sheet name="004_LLDPE" sheetId="14" r:id="rId8"/>
    <sheet name="005_EDC" sheetId="15" r:id="rId9"/>
    <sheet name="006_VCM" sheetId="16" r:id="rId10"/>
    <sheet name="007_PVC" sheetId="17" r:id="rId11"/>
    <sheet name="008_Ethanol" sheetId="18" r:id="rId12"/>
    <sheet name="010_Ethyl Acetate" sheetId="20" r:id="rId13"/>
    <sheet name="012_EO" sheetId="21" r:id="rId14"/>
    <sheet name="014_MEA" sheetId="22" r:id="rId15"/>
    <sheet name="015_DEA" sheetId="23" r:id="rId16"/>
    <sheet name="016_TEA" sheetId="24" r:id="rId17"/>
    <sheet name="017_MEG" sheetId="25" r:id="rId18"/>
    <sheet name="018_Acetaldehyde" sheetId="28" r:id="rId19"/>
    <sheet name="019_VAM" sheetId="26" r:id="rId20"/>
    <sheet name="020_Propylene" sheetId="31" r:id="rId21"/>
    <sheet name="021_AN" sheetId="32" r:id="rId22"/>
    <sheet name="022_ABS" sheetId="33" r:id="rId23"/>
    <sheet name="023_SAN" sheetId="34" r:id="rId24"/>
    <sheet name="024_NBR" sheetId="35" r:id="rId25"/>
    <sheet name="025_PP" sheetId="40" r:id="rId26"/>
    <sheet name="026_PO" sheetId="36" r:id="rId27"/>
    <sheet name="027_PG" sheetId="37" r:id="rId28"/>
    <sheet name="028_PPG" sheetId="38" r:id="rId29"/>
    <sheet name="029_Polyols" sheetId="39" r:id="rId30"/>
    <sheet name="030_PU" sheetId="41" r:id="rId31"/>
    <sheet name="031_Acrylic acid" sheetId="42" r:id="rId32"/>
    <sheet name="033_Acrylate" sheetId="44" r:id="rId33"/>
    <sheet name="034_SAP" sheetId="45" r:id="rId34"/>
    <sheet name="035_n-Butyraldehyde" sheetId="46" r:id="rId35"/>
    <sheet name="036_2-Ethylhexanol" sheetId="47" r:id="rId36"/>
    <sheet name="037_n-Butanol" sheetId="48" r:id="rId37"/>
    <sheet name="038_n-Butyl acetate" sheetId="49" r:id="rId38"/>
    <sheet name="039_Isobutanol" sheetId="50" r:id="rId39"/>
    <sheet name="040_Isobutyl acetate" sheetId="51" r:id="rId40"/>
    <sheet name="041_IPA" sheetId="52" r:id="rId41"/>
    <sheet name="042_Isopropyl acetate" sheetId="53" r:id="rId42"/>
    <sheet name="043_Butadiene" sheetId="61" r:id="rId43"/>
    <sheet name="044_BR" sheetId="62" r:id="rId44"/>
    <sheet name="045_SBR" sheetId="63" r:id="rId45"/>
    <sheet name="046_Isobutylene" sheetId="87" r:id="rId46"/>
    <sheet name="047_PIB" sheetId="89" r:id="rId47"/>
    <sheet name="048_PB-1" sheetId="64" r:id="rId48"/>
    <sheet name="049_MTBE" sheetId="65" r:id="rId49"/>
    <sheet name="050_Butyl Rubber" sheetId="90" r:id="rId50"/>
    <sheet name="052_1-Butene" sheetId="95" r:id="rId51"/>
    <sheet name="054_Benzene" sheetId="66" r:id="rId52"/>
    <sheet name="055_Ethylbenzene" sheetId="91" r:id="rId53"/>
    <sheet name="056_Styrene" sheetId="67" r:id="rId54"/>
    <sheet name="057_PS" sheetId="68" r:id="rId55"/>
    <sheet name="058_Cumene" sheetId="84" r:id="rId56"/>
    <sheet name="059_Phenol" sheetId="69" r:id="rId57"/>
    <sheet name="060_Acetone" sheetId="70" r:id="rId58"/>
    <sheet name="061_BPA" sheetId="71" r:id="rId59"/>
    <sheet name="062_PC" sheetId="72" r:id="rId60"/>
    <sheet name="063_Epoxy resin" sheetId="73" r:id="rId61"/>
    <sheet name="064_Cyclohexane" sheetId="74" r:id="rId62"/>
    <sheet name="065_Aniline" sheetId="92" r:id="rId63"/>
    <sheet name="064_Cyclohexane (2)" sheetId="99" r:id="rId64"/>
    <sheet name="066_LAB" sheetId="75" r:id="rId65"/>
    <sheet name="068_MA" sheetId="76" r:id="rId66"/>
    <sheet name="071_Toluene" sheetId="77" r:id="rId67"/>
    <sheet name="072_Xylene" sheetId="54" r:id="rId68"/>
    <sheet name="073_PA" sheetId="55" r:id="rId69"/>
    <sheet name="074_Caprolactam" sheetId="78" r:id="rId70"/>
    <sheet name="075_LAO" sheetId="97" r:id="rId71"/>
    <sheet name="076_1-Hexene" sheetId="98" r:id="rId72"/>
    <sheet name="077_PAO" sheetId="96" r:id="rId73"/>
    <sheet name="083_PVOH" sheetId="86" r:id="rId74"/>
    <sheet name="084_EVA" sheetId="27" r:id="rId75"/>
    <sheet name="085_MDI" sheetId="79" r:id="rId76"/>
    <sheet name="086_TDI" sheetId="30" r:id="rId77"/>
    <sheet name="087_o-Xylene" sheetId="56" r:id="rId78"/>
    <sheet name="091_TPA" sheetId="80" r:id="rId79"/>
    <sheet name="088_m-Xylene" sheetId="57" r:id="rId80"/>
    <sheet name="089_p-Xylene" sheetId="58" r:id="rId81"/>
    <sheet name="090_PIA" sheetId="59" r:id="rId82"/>
    <sheet name="093_PET" sheetId="93" r:id="rId83"/>
    <sheet name="097_EDPM" sheetId="29" r:id="rId84"/>
    <sheet name="98_ECH" sheetId="85" r:id="rId85"/>
    <sheet name="107_iso-Butyraldehyde" sheetId="82" r:id="rId86"/>
    <sheet name="114_Chlorobenzene" sheetId="88" r:id="rId87"/>
  </sheets>
  <externalReferences>
    <externalReference r:id="rId88"/>
  </externalReferences>
  <definedNames>
    <definedName name="category_list" localSheetId="0">[1]Overivew!$B$1:$F$1</definedName>
    <definedName name="category_list">Overivew!$B$1:$F$1</definedName>
  </definedNames>
  <calcPr calcId="191029"/>
  <pivotCaches>
    <pivotCache cacheId="3" r:id="rId8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83" l="1"/>
  <c r="B5" i="83" a="1"/>
  <c r="B5" i="83" s="1"/>
  <c r="A5" i="83" a="1"/>
  <c r="A5" i="83" s="1"/>
  <c r="C5" i="83" a="1"/>
  <c r="C5" i="83" s="1"/>
  <c r="C27" i="60" l="1"/>
  <c r="B27" i="60"/>
  <c r="C35" i="60"/>
  <c r="B35" i="60"/>
  <c r="D32" i="60"/>
  <c r="D33" i="60"/>
  <c r="D34" i="60"/>
  <c r="D30" i="60"/>
  <c r="D31" i="60"/>
  <c r="D25" i="60"/>
  <c r="D26" i="60"/>
  <c r="D22" i="60"/>
  <c r="D23" i="60"/>
  <c r="D24" i="60"/>
  <c r="I46" i="94" a="1"/>
  <c r="E42" i="94" a="1"/>
  <c r="J105" i="94" a="1"/>
  <c r="I44" i="94" a="1"/>
  <c r="H61" i="94" a="1"/>
  <c r="E7" i="94" a="1"/>
  <c r="J45" i="94" a="1"/>
  <c r="J72" i="94" a="1"/>
  <c r="H46" i="94" a="1"/>
  <c r="F82" i="94" a="1"/>
  <c r="H105" i="94" a="1"/>
  <c r="H57" i="94" a="1"/>
  <c r="J102" i="94" a="1"/>
  <c r="J87" i="94" a="1"/>
  <c r="G68" i="94" a="1"/>
  <c r="I10" i="94" a="1"/>
  <c r="G23" i="94" a="1"/>
  <c r="E47" i="94" a="1"/>
  <c r="H93" i="94" a="1"/>
  <c r="F102" i="94" a="1"/>
  <c r="G7" i="94" a="1"/>
  <c r="H48" i="94" a="1"/>
  <c r="I17" i="94" a="1"/>
  <c r="E57" i="94" a="1"/>
  <c r="H109" i="94" a="1"/>
  <c r="I60" i="94" a="1"/>
  <c r="G25" i="94" a="1"/>
  <c r="H39" i="94" a="1"/>
  <c r="J106" i="94" a="1"/>
  <c r="E22" i="94" a="1"/>
  <c r="H10" i="94" a="1"/>
  <c r="G102" i="94" a="1"/>
  <c r="J81" i="94" a="1"/>
  <c r="F87" i="94" a="1"/>
  <c r="G95" i="94" a="1"/>
  <c r="J28" i="94" a="1"/>
  <c r="F42" i="94" a="1"/>
  <c r="H72" i="94" a="1"/>
  <c r="J27" i="94" a="1"/>
  <c r="J41" i="94" a="1"/>
  <c r="G9" i="94" a="1"/>
  <c r="H77" i="94" a="1"/>
  <c r="H53" i="94" a="1"/>
  <c r="H47" i="94" a="1"/>
  <c r="E77" i="94" a="1"/>
  <c r="G18" i="94" a="1"/>
  <c r="H98" i="94" a="1"/>
  <c r="H84" i="94" a="1"/>
  <c r="E97" i="94" a="1"/>
  <c r="E12" i="94" a="1"/>
  <c r="E76" i="94" a="1"/>
  <c r="E86" i="94" a="1"/>
  <c r="G34" i="94" a="1"/>
  <c r="J24" i="94" a="1"/>
  <c r="J57" i="94" a="1"/>
  <c r="E27" i="94" a="1"/>
  <c r="J73" i="94" a="1"/>
  <c r="I32" i="94" a="1"/>
  <c r="F105" i="94" a="1"/>
  <c r="E82" i="94" a="1"/>
  <c r="E44" i="94" a="1"/>
  <c r="E62" i="94" a="1"/>
  <c r="G21" i="94" a="1"/>
  <c r="F89" i="94" a="1"/>
  <c r="I101" i="94" a="1"/>
  <c r="J65" i="94" a="1"/>
  <c r="H24" i="94" a="1"/>
  <c r="F27" i="94" a="1"/>
  <c r="I47" i="94" a="1"/>
  <c r="F94" i="94" a="1"/>
  <c r="F59" i="94" a="1"/>
  <c r="J93" i="94" a="1"/>
  <c r="H80" i="94" a="1"/>
  <c r="J76" i="94" a="1"/>
  <c r="F50" i="94" a="1"/>
  <c r="J12" i="94" a="1"/>
  <c r="J85" i="94" a="1"/>
  <c r="F6" i="94" a="1"/>
  <c r="H79" i="94" a="1"/>
  <c r="I11" i="94" a="1"/>
  <c r="G60" i="94" a="1"/>
  <c r="H43" i="94" a="1"/>
  <c r="J104" i="94" a="1"/>
  <c r="G98" i="94" a="1"/>
  <c r="F36" i="94" a="1"/>
  <c r="I29" i="94" a="1"/>
  <c r="F107" i="94" a="1"/>
  <c r="F75" i="94" a="1"/>
  <c r="J89" i="94" a="1"/>
  <c r="I79" i="94" a="1"/>
  <c r="J92" i="94" a="1"/>
  <c r="G20" i="94" a="1"/>
  <c r="E61" i="94" a="1"/>
  <c r="I54" i="94" a="1"/>
  <c r="E83" i="94" a="1"/>
  <c r="E79" i="94" a="1"/>
  <c r="G45" i="94" a="1"/>
  <c r="J42" i="94" a="1"/>
  <c r="G33" i="94" a="1"/>
  <c r="F14" i="83" a="1"/>
  <c r="H104" i="94" a="1"/>
  <c r="H44" i="94" a="1"/>
  <c r="F40" i="94" a="1"/>
  <c r="H36" i="94" a="1"/>
  <c r="G90" i="94" a="1"/>
  <c r="E36" i="94" a="1"/>
  <c r="H45" i="94" a="1"/>
  <c r="H81" i="94" a="1"/>
  <c r="F34" i="94" a="1"/>
  <c r="E80" i="94" a="1"/>
  <c r="F18" i="94" a="1"/>
  <c r="H50" i="94" a="1"/>
  <c r="G81" i="94" a="1"/>
  <c r="G100" i="94" a="1"/>
  <c r="I18" i="94" a="1"/>
  <c r="F48" i="94" a="1"/>
  <c r="F20" i="94" a="1"/>
  <c r="F3" i="94" a="1"/>
  <c r="H30" i="94" a="1"/>
  <c r="G8" i="94" a="1"/>
  <c r="G93" i="94" a="1"/>
  <c r="H66" i="94" a="1"/>
  <c r="G28" i="94" a="1"/>
  <c r="I7" i="94" a="1"/>
  <c r="F37" i="94" a="1"/>
  <c r="E74" i="94" a="1"/>
  <c r="H63" i="94" a="1"/>
  <c r="J6" i="94" a="1"/>
  <c r="I81" i="94" a="1"/>
  <c r="F7" i="83" a="1"/>
  <c r="J103" i="94" a="1"/>
  <c r="F8" i="94" a="1"/>
  <c r="H100" i="94" a="1"/>
  <c r="J96" i="94" a="1"/>
  <c r="I59" i="94" a="1"/>
  <c r="G106" i="94" a="1"/>
  <c r="F5" i="94" a="1"/>
  <c r="H70" i="94" a="1"/>
  <c r="J69" i="94" a="1"/>
  <c r="F109" i="94" a="1"/>
  <c r="G80" i="94" a="1"/>
  <c r="H65" i="94" a="1"/>
  <c r="F81" i="94" a="1"/>
  <c r="G51" i="94" a="1"/>
  <c r="H12" i="94" a="1"/>
  <c r="G26" i="94" a="1"/>
  <c r="G52" i="94" a="1"/>
  <c r="F24" i="94" a="1"/>
  <c r="H4" i="94" a="1"/>
  <c r="J78" i="94" a="1"/>
  <c r="I76" i="94" a="1"/>
  <c r="J99" i="94" a="1"/>
  <c r="E10" i="94" a="1"/>
  <c r="E60" i="94" a="1"/>
  <c r="E54" i="94" a="1"/>
  <c r="H38" i="94" a="1"/>
  <c r="I77" i="94" a="1"/>
  <c r="F29" i="94" a="1"/>
  <c r="E25" i="94" a="1"/>
  <c r="F5" i="83" a="1"/>
  <c r="G87" i="94" a="1"/>
  <c r="F41" i="94" a="1"/>
  <c r="F60" i="94" a="1"/>
  <c r="H56" i="94" a="1"/>
  <c r="F21" i="94" a="1"/>
  <c r="J62" i="94" a="1"/>
  <c r="I26" i="94" a="1"/>
  <c r="F19" i="94" a="1"/>
  <c r="H40" i="94" a="1"/>
  <c r="F25" i="94" a="1"/>
  <c r="E40" i="94" a="1"/>
  <c r="G65" i="94" a="1"/>
  <c r="E37" i="94" a="1"/>
  <c r="J68" i="94" a="1"/>
  <c r="G40" i="94" a="1"/>
  <c r="E102" i="94" a="1"/>
  <c r="G96" i="94" a="1"/>
  <c r="J98" i="94" a="1"/>
  <c r="E23" i="94" a="1"/>
  <c r="F49" i="94" a="1"/>
  <c r="J37" i="94" a="1"/>
  <c r="I16" i="94" a="1"/>
  <c r="I3" i="94" a="1"/>
  <c r="I49" i="94" a="1"/>
  <c r="G39" i="94" a="1"/>
  <c r="I66" i="94" a="1"/>
  <c r="E46" i="94" a="1"/>
  <c r="I106" i="94" a="1"/>
  <c r="H17" i="94" a="1"/>
  <c r="F15" i="83" a="1"/>
  <c r="G37" i="94" a="1"/>
  <c r="J60" i="94" a="1"/>
  <c r="J19" i="94" a="1"/>
  <c r="F16" i="94" a="1"/>
  <c r="G6" i="94" a="1"/>
  <c r="I104" i="94" a="1"/>
  <c r="F69" i="94" a="1"/>
  <c r="G72" i="94" a="1"/>
  <c r="F88" i="94" a="1"/>
  <c r="G48" i="94" a="1"/>
  <c r="I91" i="94" a="1"/>
  <c r="E87" i="94" a="1"/>
  <c r="I12" i="94" a="1"/>
  <c r="H88" i="94" a="1"/>
  <c r="I94" i="94" a="1"/>
  <c r="J21" i="94" a="1"/>
  <c r="G53" i="94" a="1"/>
  <c r="F14" i="94" a="1"/>
  <c r="F51" i="94" a="1"/>
  <c r="E32" i="94" a="1"/>
  <c r="F58" i="94" a="1"/>
  <c r="J101" i="94" a="1"/>
  <c r="I50" i="94" a="1"/>
  <c r="E9" i="94" a="1"/>
  <c r="H99" i="94" a="1"/>
  <c r="F44" i="94" a="1"/>
  <c r="J86" i="94" a="1"/>
  <c r="F7" i="94" a="1"/>
  <c r="F70" i="94" a="1"/>
  <c r="F35" i="94" a="1"/>
  <c r="G31" i="94" a="1"/>
  <c r="I36" i="94" a="1"/>
  <c r="F72" i="94" a="1"/>
  <c r="H27" i="94" a="1"/>
  <c r="H34" i="94" a="1"/>
  <c r="G35" i="94" a="1"/>
  <c r="H41" i="94" a="1"/>
  <c r="I78" i="94" a="1"/>
  <c r="E108" i="94" a="1"/>
  <c r="E98" i="94" a="1"/>
  <c r="I15" i="94" a="1"/>
  <c r="F55" i="94" a="1"/>
  <c r="J38" i="94" a="1"/>
  <c r="F73" i="94" a="1"/>
  <c r="I45" i="94" a="1"/>
  <c r="J48" i="94" a="1"/>
  <c r="H23" i="94" a="1"/>
  <c r="I96" i="94" a="1"/>
  <c r="G69" i="94" a="1"/>
  <c r="I108" i="94" a="1"/>
  <c r="J9" i="94" a="1"/>
  <c r="F79" i="94" a="1"/>
  <c r="E63" i="94" a="1"/>
  <c r="G57" i="94" a="1"/>
  <c r="G27" i="94" a="1"/>
  <c r="H102" i="94" a="1"/>
  <c r="I93" i="94" a="1"/>
  <c r="I70" i="94" a="1"/>
  <c r="H33" i="94" a="1"/>
  <c r="I69" i="94" a="1"/>
  <c r="J83" i="94" a="1"/>
  <c r="E28" i="94" a="1"/>
  <c r="E24" i="94" a="1"/>
  <c r="H107" i="94" a="1"/>
  <c r="H90" i="94" a="1"/>
  <c r="F32" i="94" a="1"/>
  <c r="J23" i="94" a="1"/>
  <c r="H96" i="94" a="1"/>
  <c r="I64" i="94" a="1"/>
  <c r="F31" i="94" a="1"/>
  <c r="I63" i="94" a="1"/>
  <c r="G82" i="94" a="1"/>
  <c r="G47" i="94" a="1"/>
  <c r="F86" i="94" a="1"/>
  <c r="H83" i="94" a="1"/>
  <c r="J10" i="94" a="1"/>
  <c r="G13" i="94" a="1"/>
  <c r="E66" i="94" a="1"/>
  <c r="G97" i="94" a="1"/>
  <c r="H8" i="94" a="1"/>
  <c r="J34" i="94" a="1"/>
  <c r="F23" i="94" a="1"/>
  <c r="H89" i="94" a="1"/>
  <c r="G64" i="94" a="1"/>
  <c r="H7" i="94" a="1"/>
  <c r="I21" i="94" a="1"/>
  <c r="J39" i="94" a="1"/>
  <c r="J75" i="94" a="1"/>
  <c r="E17" i="94" a="1"/>
  <c r="I107" i="94" a="1"/>
  <c r="J33" i="94" a="1"/>
  <c r="G43" i="94" a="1"/>
  <c r="I35" i="94" a="1"/>
  <c r="I14" i="94" a="1"/>
  <c r="F8" i="83" a="1"/>
  <c r="E3" i="94" a="1"/>
  <c r="F84" i="94" a="1"/>
  <c r="J70" i="94" a="1"/>
  <c r="I51" i="94" a="1"/>
  <c r="G42" i="94" a="1"/>
  <c r="I37" i="94" a="1"/>
  <c r="E75" i="94" a="1"/>
  <c r="G88" i="94" a="1"/>
  <c r="J108" i="94" a="1"/>
  <c r="E84" i="94" a="1"/>
  <c r="F4" i="94" a="1"/>
  <c r="F54" i="94" a="1"/>
  <c r="H3" i="94" a="1"/>
  <c r="J18" i="94" a="1"/>
  <c r="H75" i="94" a="1"/>
  <c r="F77" i="94" a="1"/>
  <c r="H55" i="94" a="1"/>
  <c r="J8" i="94" a="1"/>
  <c r="H86" i="94" a="1"/>
  <c r="G105" i="94" a="1"/>
  <c r="F95" i="94" a="1"/>
  <c r="E45" i="94" a="1"/>
  <c r="E30" i="94" a="1"/>
  <c r="H31" i="94" a="1"/>
  <c r="H62" i="94" a="1"/>
  <c r="E81" i="94" a="1"/>
  <c r="I25" i="94" a="1"/>
  <c r="E31" i="94" a="1"/>
  <c r="I80" i="94" a="1"/>
  <c r="I90" i="94" a="1"/>
  <c r="F65" i="94" a="1"/>
  <c r="J26" i="94" a="1"/>
  <c r="J49" i="94" a="1"/>
  <c r="H22" i="94" a="1"/>
  <c r="I33" i="94" a="1"/>
  <c r="I53" i="94" a="1"/>
  <c r="G2" i="94" a="1"/>
  <c r="J17" i="94" a="1"/>
  <c r="I38" i="94" a="1"/>
  <c r="F11" i="94" a="1"/>
  <c r="I67" i="94" a="1"/>
  <c r="F90" i="94" a="1"/>
  <c r="E43" i="94" a="1"/>
  <c r="J109" i="94" a="1"/>
  <c r="H82" i="94" a="1"/>
  <c r="G36" i="94" a="1"/>
  <c r="J95" i="94" a="1"/>
  <c r="H51" i="94" a="1"/>
  <c r="H71" i="94" a="1"/>
  <c r="E29" i="94" a="1"/>
  <c r="H19" i="94" a="1"/>
  <c r="E5" i="94" a="1"/>
  <c r="F67" i="94" a="1"/>
  <c r="E53" i="94" a="1"/>
  <c r="E94" i="94" a="1"/>
  <c r="I87" i="94" a="1"/>
  <c r="J15" i="94" a="1"/>
  <c r="I55" i="94" a="1"/>
  <c r="F83" i="94" a="1"/>
  <c r="F98" i="94" a="1"/>
  <c r="H16" i="94" a="1"/>
  <c r="G11" i="94" a="1"/>
  <c r="G24" i="94" a="1"/>
  <c r="G32" i="94" a="1"/>
  <c r="J67" i="94" a="1"/>
  <c r="F17" i="94" a="1"/>
  <c r="E41" i="94" a="1"/>
  <c r="E50" i="94" a="1"/>
  <c r="H108" i="94" a="1"/>
  <c r="G10" i="94" a="1"/>
  <c r="G12" i="94" a="1"/>
  <c r="F15" i="94" a="1"/>
  <c r="G4" i="94" a="1"/>
  <c r="I71" i="94" a="1"/>
  <c r="E109" i="94" a="1"/>
  <c r="G92" i="94" a="1"/>
  <c r="G108" i="94" a="1"/>
  <c r="E33" i="94" a="1"/>
  <c r="F96" i="94" a="1"/>
  <c r="J25" i="94" a="1"/>
  <c r="G76" i="94" a="1"/>
  <c r="F106" i="94" a="1"/>
  <c r="E16" i="94" a="1"/>
  <c r="E55" i="94" a="1"/>
  <c r="F66" i="94" a="1"/>
  <c r="I42" i="94" a="1"/>
  <c r="G99" i="94" a="1"/>
  <c r="H2" i="94" a="1"/>
  <c r="J43" i="94" a="1"/>
  <c r="E4" i="94" a="1"/>
  <c r="I95" i="94" a="1"/>
  <c r="J5" i="94" a="1"/>
  <c r="F33" i="94" a="1"/>
  <c r="I34" i="94" a="1"/>
  <c r="F91" i="94" a="1"/>
  <c r="G30" i="94" a="1"/>
  <c r="I43" i="94" a="1"/>
  <c r="H52" i="94" a="1"/>
  <c r="G17" i="94" a="1"/>
  <c r="F71" i="94" a="1"/>
  <c r="I89" i="94" a="1"/>
  <c r="I86" i="94" a="1"/>
  <c r="G16" i="94" a="1"/>
  <c r="I13" i="94" a="1"/>
  <c r="G109" i="94" a="1"/>
  <c r="H21" i="94" a="1"/>
  <c r="E59" i="94" a="1"/>
  <c r="J55" i="94" a="1"/>
  <c r="I102" i="94" a="1"/>
  <c r="F68" i="94" a="1"/>
  <c r="H85" i="94" a="1"/>
  <c r="F63" i="94" a="1"/>
  <c r="J90" i="94" a="1"/>
  <c r="I31" i="94" a="1"/>
  <c r="F78" i="94" a="1"/>
  <c r="I28" i="94" a="1"/>
  <c r="G77" i="94" a="1"/>
  <c r="I58" i="94" a="1"/>
  <c r="J53" i="94" a="1"/>
  <c r="E56" i="94" a="1"/>
  <c r="I109" i="94" a="1"/>
  <c r="H18" i="94" a="1"/>
  <c r="I75" i="94" a="1"/>
  <c r="E6" i="94" a="1"/>
  <c r="G38" i="94" a="1"/>
  <c r="I57" i="94" a="1"/>
  <c r="E67" i="94" a="1"/>
  <c r="E103" i="94" a="1"/>
  <c r="J3" i="94" a="1"/>
  <c r="J44" i="94" a="1"/>
  <c r="G84" i="94" a="1"/>
  <c r="J13" i="94" a="1"/>
  <c r="I98" i="94" a="1"/>
  <c r="F97" i="94" a="1"/>
  <c r="E48" i="94" a="1"/>
  <c r="E105" i="94" a="1"/>
  <c r="G86" i="94" a="1"/>
  <c r="F93" i="94" a="1"/>
  <c r="F39" i="94" a="1"/>
  <c r="J82" i="94" a="1"/>
  <c r="E18" i="94" a="1"/>
  <c r="J100" i="94" a="1"/>
  <c r="H13" i="94" a="1"/>
  <c r="E68" i="94" a="1"/>
  <c r="E35" i="94" a="1"/>
  <c r="F76" i="94" a="1"/>
  <c r="I24" i="94" a="1"/>
  <c r="I74" i="94" a="1"/>
  <c r="E90" i="94" a="1"/>
  <c r="J74" i="94" a="1"/>
  <c r="J50" i="94" a="1"/>
  <c r="H94" i="94" a="1"/>
  <c r="G63" i="94" a="1"/>
  <c r="E52" i="94" a="1"/>
  <c r="H67" i="94" a="1"/>
  <c r="H49" i="94" a="1"/>
  <c r="E38" i="94" a="1"/>
  <c r="I97" i="94" a="1"/>
  <c r="E39" i="94" a="1"/>
  <c r="E49" i="94" a="1"/>
  <c r="H26" i="94" a="1"/>
  <c r="G73" i="94" a="1"/>
  <c r="F85" i="94" a="1"/>
  <c r="I9" i="94" a="1"/>
  <c r="J2" i="94" a="1"/>
  <c r="F104" i="94" a="1"/>
  <c r="I85" i="94" a="1"/>
  <c r="G79" i="94" a="1"/>
  <c r="J35" i="94" a="1"/>
  <c r="F30" i="94" a="1"/>
  <c r="E95" i="94" a="1"/>
  <c r="F61" i="94" a="1"/>
  <c r="F100" i="94" a="1"/>
  <c r="G3" i="94" a="1"/>
  <c r="G56" i="94" a="1"/>
  <c r="J61" i="94" a="1"/>
  <c r="J30" i="94" a="1"/>
  <c r="G49" i="94" a="1"/>
  <c r="H28" i="94" a="1"/>
  <c r="G14" i="94" a="1"/>
  <c r="J29" i="94" a="1"/>
  <c r="G44" i="94" a="1"/>
  <c r="E71" i="94" a="1"/>
  <c r="J36" i="94" a="1"/>
  <c r="F80" i="94" a="1"/>
  <c r="E14" i="94" a="1"/>
  <c r="G55" i="94" a="1"/>
  <c r="G59" i="94" a="1"/>
  <c r="G15" i="94" a="1"/>
  <c r="F46" i="94" a="1"/>
  <c r="J54" i="94" a="1"/>
  <c r="J94" i="94" a="1"/>
  <c r="I103" i="94" a="1"/>
  <c r="G70" i="94" a="1"/>
  <c r="H64" i="94" a="1"/>
  <c r="J63" i="94" a="1"/>
  <c r="I19" i="94" a="1"/>
  <c r="J64" i="94" a="1"/>
  <c r="I6" i="94" a="1"/>
  <c r="J20" i="94" a="1"/>
  <c r="H9" i="94" a="1"/>
  <c r="I8" i="94" a="1"/>
  <c r="I48" i="94" a="1"/>
  <c r="E19" i="94" a="1"/>
  <c r="G19" i="94" a="1"/>
  <c r="F101" i="94" a="1"/>
  <c r="H32" i="94" a="1"/>
  <c r="E73" i="94" a="1"/>
  <c r="I92" i="94" a="1"/>
  <c r="F12" i="94" a="1"/>
  <c r="J59" i="94" a="1"/>
  <c r="F26" i="94" a="1"/>
  <c r="F57" i="94" a="1"/>
  <c r="H95" i="94" a="1"/>
  <c r="F47" i="94" a="1"/>
  <c r="E100" i="94" a="1"/>
  <c r="I72" i="94" a="1"/>
  <c r="G58" i="94" a="1"/>
  <c r="E15" i="94" a="1"/>
  <c r="F62" i="94" a="1"/>
  <c r="H60" i="94" a="1"/>
  <c r="F28" i="94" a="1"/>
  <c r="G85" i="94" a="1"/>
  <c r="I52" i="94" a="1"/>
  <c r="H58" i="94" a="1"/>
  <c r="E104" i="94" a="1"/>
  <c r="E96" i="94" a="1"/>
  <c r="I41" i="94" a="1"/>
  <c r="E20" i="94" a="1"/>
  <c r="G78" i="94" a="1"/>
  <c r="E91" i="94" a="1"/>
  <c r="G91" i="94" a="1"/>
  <c r="J52" i="94" a="1"/>
  <c r="F38" i="94" a="1"/>
  <c r="G46" i="94" a="1"/>
  <c r="H97" i="94" a="1"/>
  <c r="J107" i="94" a="1"/>
  <c r="I30" i="94" a="1"/>
  <c r="H92" i="94" a="1"/>
  <c r="E89" i="94" a="1"/>
  <c r="G29" i="94" a="1"/>
  <c r="I82" i="94" a="1"/>
  <c r="J31" i="94" a="1"/>
  <c r="I22" i="94" a="1"/>
  <c r="F92" i="94" a="1"/>
  <c r="F103" i="94" a="1"/>
  <c r="F13" i="94" a="1"/>
  <c r="I62" i="94" a="1"/>
  <c r="E72" i="94" a="1"/>
  <c r="G5" i="94" a="1"/>
  <c r="H59" i="94" a="1"/>
  <c r="H91" i="94" a="1"/>
  <c r="E106" i="94" a="1"/>
  <c r="J66" i="94" a="1"/>
  <c r="E21" i="94" a="1"/>
  <c r="F6" i="83" a="1"/>
  <c r="F64" i="94" a="1"/>
  <c r="F99" i="94" a="1"/>
  <c r="I84" i="94" a="1"/>
  <c r="H25" i="94" a="1"/>
  <c r="G75" i="94" a="1"/>
  <c r="I73" i="94" a="1"/>
  <c r="I5" i="94" a="1"/>
  <c r="G107" i="94" a="1"/>
  <c r="J84" i="94" a="1"/>
  <c r="F43" i="94" a="1"/>
  <c r="J56" i="94" a="1"/>
  <c r="H5" i="94" a="1"/>
  <c r="J32" i="94" a="1"/>
  <c r="J58" i="94" a="1"/>
  <c r="G71" i="94" a="1"/>
  <c r="E93" i="94" a="1"/>
  <c r="F10" i="94" a="1"/>
  <c r="F2" i="94" a="1"/>
  <c r="G67" i="94" a="1"/>
  <c r="J91" i="94" a="1"/>
  <c r="I68" i="94" a="1"/>
  <c r="H69" i="94" a="1"/>
  <c r="E26" i="94" a="1"/>
  <c r="E13" i="94" a="1"/>
  <c r="G101" i="94" a="1"/>
  <c r="G103" i="94" a="1"/>
  <c r="I23" i="94" a="1"/>
  <c r="H73" i="94" a="1"/>
  <c r="E51" i="94" a="1"/>
  <c r="F56" i="94" a="1"/>
  <c r="F13" i="83" a="1"/>
  <c r="F12" i="83" a="1"/>
  <c r="F9" i="94" a="1"/>
  <c r="H103" i="94" a="1"/>
  <c r="H11" i="94" a="1"/>
  <c r="H37" i="94" a="1"/>
  <c r="H68" i="94" a="1"/>
  <c r="J47" i="94" a="1"/>
  <c r="H54" i="94" a="1"/>
  <c r="E65" i="94" a="1"/>
  <c r="J16" i="94" a="1"/>
  <c r="J40" i="94" a="1"/>
  <c r="E11" i="94" a="1"/>
  <c r="I83" i="94" a="1"/>
  <c r="I39" i="94" a="1"/>
  <c r="E99" i="94" a="1"/>
  <c r="G61" i="94" a="1"/>
  <c r="I61" i="94" a="1"/>
  <c r="H106" i="94" a="1"/>
  <c r="E34" i="94" a="1"/>
  <c r="H29" i="94" a="1"/>
  <c r="E107" i="94" a="1"/>
  <c r="G62" i="94" a="1"/>
  <c r="F74" i="94" a="1"/>
  <c r="H15" i="94" a="1"/>
  <c r="G41" i="94" a="1"/>
  <c r="I4" i="94" a="1"/>
  <c r="G104" i="94" a="1"/>
  <c r="E58" i="94" a="1"/>
  <c r="J7" i="94" a="1"/>
  <c r="F52" i="94" a="1"/>
  <c r="F9" i="83" a="1"/>
  <c r="I56" i="94" a="1"/>
  <c r="G89" i="94" a="1"/>
  <c r="G22" i="94" a="1"/>
  <c r="I65" i="94" a="1"/>
  <c r="E64" i="94" a="1"/>
  <c r="I88" i="94" a="1"/>
  <c r="I20" i="94" a="1"/>
  <c r="I2" i="94" a="1"/>
  <c r="E88" i="94" a="1"/>
  <c r="E101" i="94" a="1"/>
  <c r="E2" i="94" a="1"/>
  <c r="E92" i="94" a="1"/>
  <c r="F45" i="94" a="1"/>
  <c r="G50" i="94" a="1"/>
  <c r="H6" i="94" a="1"/>
  <c r="E78" i="94" a="1"/>
  <c r="I40" i="94" a="1"/>
  <c r="J71" i="94" a="1"/>
  <c r="J11" i="94" a="1"/>
  <c r="F10" i="83" a="1"/>
  <c r="J88" i="94" a="1"/>
  <c r="J51" i="94" a="1"/>
  <c r="I100" i="94" a="1"/>
  <c r="H20" i="94" a="1"/>
  <c r="G54" i="94" a="1"/>
  <c r="J22" i="94" a="1"/>
  <c r="H87" i="94" a="1"/>
  <c r="I99" i="94" a="1"/>
  <c r="F22" i="94" a="1"/>
  <c r="I27" i="94" a="1"/>
  <c r="J14" i="94" a="1"/>
  <c r="H35" i="94" a="1"/>
  <c r="H14" i="94" a="1"/>
  <c r="H101" i="94" a="1"/>
  <c r="J46" i="94" a="1"/>
  <c r="J80" i="94" a="1"/>
  <c r="H74" i="94" a="1"/>
  <c r="J4" i="94" a="1"/>
  <c r="G74" i="94" a="1"/>
  <c r="H42" i="94" a="1"/>
  <c r="F11" i="83" a="1"/>
  <c r="J77" i="94" a="1"/>
  <c r="G94" i="94" a="1"/>
  <c r="J97" i="94" a="1"/>
  <c r="H76" i="94" a="1"/>
  <c r="E69" i="94" a="1"/>
  <c r="J79" i="94" a="1"/>
  <c r="G66" i="94" a="1"/>
  <c r="E8" i="94" a="1"/>
  <c r="H78" i="94" a="1"/>
  <c r="E70" i="94" a="1"/>
  <c r="E85" i="94" a="1"/>
  <c r="G83" i="94" a="1"/>
  <c r="I105" i="94" a="1"/>
  <c r="F53" i="94" a="1"/>
  <c r="F108" i="94" a="1"/>
  <c r="F6" i="83" l="1"/>
  <c r="F10" i="83"/>
  <c r="F12" i="83"/>
  <c r="F15" i="83"/>
  <c r="F5" i="83"/>
  <c r="F7" i="83"/>
  <c r="F14" i="83"/>
  <c r="F13" i="83"/>
  <c r="F11" i="83"/>
  <c r="F8" i="83"/>
  <c r="H94" i="94"/>
  <c r="E82" i="94"/>
  <c r="E22" i="94"/>
  <c r="G4" i="94"/>
  <c r="G32" i="94"/>
  <c r="J83" i="94"/>
  <c r="J95" i="94"/>
  <c r="I8" i="94"/>
  <c r="H64" i="94"/>
  <c r="I58" i="94"/>
  <c r="F65" i="94"/>
  <c r="H41" i="94"/>
  <c r="H73" i="94"/>
  <c r="E8" i="94"/>
  <c r="H74" i="94"/>
  <c r="H17" i="94"/>
  <c r="E25" i="94"/>
  <c r="I81" i="94"/>
  <c r="G33" i="94"/>
  <c r="H101" i="94"/>
  <c r="H35" i="94"/>
  <c r="E39" i="94"/>
  <c r="F96" i="94"/>
  <c r="F105" i="94"/>
  <c r="J106" i="94"/>
  <c r="F38" i="94"/>
  <c r="I63" i="94"/>
  <c r="E53" i="94"/>
  <c r="E63" i="94"/>
  <c r="J48" i="94"/>
  <c r="G70" i="94"/>
  <c r="G77" i="94"/>
  <c r="I90" i="94"/>
  <c r="G35" i="94"/>
  <c r="E2" i="94"/>
  <c r="E88" i="94"/>
  <c r="I88" i="94"/>
  <c r="I106" i="94"/>
  <c r="F29" i="94"/>
  <c r="J6" i="94"/>
  <c r="J42" i="94"/>
  <c r="J7" i="94"/>
  <c r="I4" i="94"/>
  <c r="I22" i="94"/>
  <c r="H7" i="94"/>
  <c r="I32" i="94"/>
  <c r="H39" i="94"/>
  <c r="E35" i="94"/>
  <c r="E104" i="94"/>
  <c r="E100" i="94"/>
  <c r="J13" i="94"/>
  <c r="I38" i="94"/>
  <c r="I103" i="94"/>
  <c r="I28" i="94"/>
  <c r="I80" i="94"/>
  <c r="H34" i="94"/>
  <c r="J32" i="94"/>
  <c r="F43" i="94"/>
  <c r="G107" i="94"/>
  <c r="E46" i="94"/>
  <c r="I77" i="94"/>
  <c r="H63" i="94"/>
  <c r="G45" i="94"/>
  <c r="I61" i="94"/>
  <c r="I84" i="94"/>
  <c r="H2" i="94"/>
  <c r="E89" i="94"/>
  <c r="J73" i="94"/>
  <c r="G25" i="94"/>
  <c r="G97" i="94"/>
  <c r="G24" i="94"/>
  <c r="I69" i="94"/>
  <c r="I92" i="94"/>
  <c r="E6" i="94"/>
  <c r="J94" i="94"/>
  <c r="F78" i="94"/>
  <c r="E31" i="94"/>
  <c r="H27" i="94"/>
  <c r="F64" i="94"/>
  <c r="J47" i="94"/>
  <c r="E21" i="94"/>
  <c r="I66" i="94"/>
  <c r="H38" i="94"/>
  <c r="E74" i="94"/>
  <c r="E79" i="94"/>
  <c r="F108" i="94"/>
  <c r="G54" i="94"/>
  <c r="I14" i="94"/>
  <c r="J50" i="94"/>
  <c r="E27" i="94"/>
  <c r="I60" i="94"/>
  <c r="F15" i="94"/>
  <c r="F31" i="94"/>
  <c r="J82" i="94"/>
  <c r="G36" i="94"/>
  <c r="I45" i="94"/>
  <c r="J54" i="94"/>
  <c r="I31" i="94"/>
  <c r="I25" i="94"/>
  <c r="F72" i="94"/>
  <c r="G83" i="94"/>
  <c r="E51" i="94"/>
  <c r="G50" i="94"/>
  <c r="G39" i="94"/>
  <c r="E54" i="94"/>
  <c r="F37" i="94"/>
  <c r="E83" i="94"/>
  <c r="J4" i="94"/>
  <c r="G101" i="94"/>
  <c r="I97" i="94"/>
  <c r="E33" i="94"/>
  <c r="J57" i="94"/>
  <c r="H109" i="94"/>
  <c r="J52" i="94"/>
  <c r="H58" i="94"/>
  <c r="F67" i="94"/>
  <c r="F79" i="94"/>
  <c r="H9" i="94"/>
  <c r="F46" i="94"/>
  <c r="J90" i="94"/>
  <c r="E81" i="94"/>
  <c r="I36" i="94"/>
  <c r="H76" i="94"/>
  <c r="J14" i="94"/>
  <c r="E13" i="94"/>
  <c r="I49" i="94"/>
  <c r="E60" i="94"/>
  <c r="I7" i="94"/>
  <c r="I54" i="94"/>
  <c r="H69" i="94"/>
  <c r="F9" i="83"/>
  <c r="J31" i="94"/>
  <c r="G64" i="94"/>
  <c r="J24" i="94"/>
  <c r="E57" i="94"/>
  <c r="E68" i="94"/>
  <c r="G11" i="94"/>
  <c r="F47" i="94"/>
  <c r="G84" i="94"/>
  <c r="J17" i="94"/>
  <c r="G15" i="94"/>
  <c r="F63" i="94"/>
  <c r="H62" i="94"/>
  <c r="G31" i="94"/>
  <c r="I65" i="94"/>
  <c r="G71" i="94"/>
  <c r="F74" i="94"/>
  <c r="I3" i="94"/>
  <c r="E10" i="94"/>
  <c r="G28" i="94"/>
  <c r="E61" i="94"/>
  <c r="E107" i="94"/>
  <c r="E34" i="94"/>
  <c r="G99" i="94"/>
  <c r="H92" i="94"/>
  <c r="G34" i="94"/>
  <c r="I17" i="94"/>
  <c r="E66" i="94"/>
  <c r="I64" i="94"/>
  <c r="H33" i="94"/>
  <c r="E73" i="94"/>
  <c r="F73" i="94"/>
  <c r="G59" i="94"/>
  <c r="H85" i="94"/>
  <c r="H31" i="94"/>
  <c r="F35" i="94"/>
  <c r="G75" i="94"/>
  <c r="I39" i="94"/>
  <c r="J40" i="94"/>
  <c r="I16" i="94"/>
  <c r="J99" i="94"/>
  <c r="H66" i="94"/>
  <c r="G20" i="94"/>
  <c r="H68" i="94"/>
  <c r="J66" i="94"/>
  <c r="I35" i="94"/>
  <c r="J74" i="94"/>
  <c r="E86" i="94"/>
  <c r="H48" i="94"/>
  <c r="G12" i="94"/>
  <c r="I52" i="94"/>
  <c r="F39" i="94"/>
  <c r="H82" i="94"/>
  <c r="I75" i="94"/>
  <c r="G55" i="94"/>
  <c r="F68" i="94"/>
  <c r="E30" i="94"/>
  <c r="F70" i="94"/>
  <c r="J22" i="94"/>
  <c r="J71" i="94"/>
  <c r="E78" i="94"/>
  <c r="J37" i="94"/>
  <c r="I76" i="94"/>
  <c r="G93" i="94"/>
  <c r="J92" i="94"/>
  <c r="H6" i="94"/>
  <c r="H78" i="94"/>
  <c r="E38" i="94"/>
  <c r="G108" i="94"/>
  <c r="E76" i="94"/>
  <c r="G7" i="94"/>
  <c r="G91" i="94"/>
  <c r="H16" i="94"/>
  <c r="E5" i="94"/>
  <c r="J9" i="94"/>
  <c r="J20" i="94"/>
  <c r="E14" i="94"/>
  <c r="I102" i="94"/>
  <c r="E45" i="94"/>
  <c r="F7" i="94"/>
  <c r="G103" i="94"/>
  <c r="J79" i="94"/>
  <c r="H14" i="94"/>
  <c r="F49" i="94"/>
  <c r="J78" i="94"/>
  <c r="G8" i="94"/>
  <c r="I79" i="94"/>
  <c r="I27" i="94"/>
  <c r="I56" i="94"/>
  <c r="I42" i="94"/>
  <c r="F94" i="94"/>
  <c r="E12" i="94"/>
  <c r="F102" i="94"/>
  <c r="H13" i="94"/>
  <c r="H96" i="94"/>
  <c r="H95" i="94"/>
  <c r="J44" i="94"/>
  <c r="J38" i="94"/>
  <c r="F80" i="94"/>
  <c r="J55" i="94"/>
  <c r="F95" i="94"/>
  <c r="J86" i="94"/>
  <c r="I2" i="94"/>
  <c r="G67" i="94"/>
  <c r="F10" i="94"/>
  <c r="E23" i="94"/>
  <c r="H4" i="94"/>
  <c r="H30" i="94"/>
  <c r="J89" i="94"/>
  <c r="G41" i="94"/>
  <c r="J2" i="94"/>
  <c r="I82" i="94"/>
  <c r="H89" i="94"/>
  <c r="E97" i="94"/>
  <c r="H93" i="94"/>
  <c r="G13" i="94"/>
  <c r="G85" i="94"/>
  <c r="I70" i="94"/>
  <c r="H32" i="94"/>
  <c r="G2" i="94"/>
  <c r="J36" i="94"/>
  <c r="E59" i="94"/>
  <c r="G105" i="94"/>
  <c r="F44" i="94"/>
  <c r="H5" i="94"/>
  <c r="J84" i="94"/>
  <c r="I5" i="94"/>
  <c r="J98" i="94"/>
  <c r="F24" i="94"/>
  <c r="F3" i="94"/>
  <c r="F75" i="94"/>
  <c r="G61" i="94"/>
  <c r="I47" i="94"/>
  <c r="G43" i="94"/>
  <c r="I30" i="94"/>
  <c r="H84" i="94"/>
  <c r="E47" i="94"/>
  <c r="G10" i="94"/>
  <c r="F98" i="94"/>
  <c r="F93" i="94"/>
  <c r="J109" i="94"/>
  <c r="H18" i="94"/>
  <c r="E71" i="94"/>
  <c r="H21" i="94"/>
  <c r="H86" i="94"/>
  <c r="H99" i="94"/>
  <c r="I83" i="94"/>
  <c r="J16" i="94"/>
  <c r="H37" i="94"/>
  <c r="G96" i="94"/>
  <c r="G52" i="94"/>
  <c r="F20" i="94"/>
  <c r="F107" i="94"/>
  <c r="E106" i="94"/>
  <c r="G5" i="94"/>
  <c r="H49" i="94"/>
  <c r="E90" i="94"/>
  <c r="H98" i="94"/>
  <c r="G23" i="94"/>
  <c r="E91" i="94"/>
  <c r="J23" i="94"/>
  <c r="H19" i="94"/>
  <c r="I108" i="94"/>
  <c r="F55" i="94"/>
  <c r="G44" i="94"/>
  <c r="G109" i="94"/>
  <c r="J8" i="94"/>
  <c r="E9" i="94"/>
  <c r="F9" i="94"/>
  <c r="I105" i="94"/>
  <c r="F56" i="94"/>
  <c r="E102" i="94"/>
  <c r="G26" i="94"/>
  <c r="F48" i="94"/>
  <c r="I29" i="94"/>
  <c r="J51" i="94"/>
  <c r="G74" i="94"/>
  <c r="F66" i="94"/>
  <c r="G92" i="94"/>
  <c r="G18" i="94"/>
  <c r="I10" i="94"/>
  <c r="J10" i="94"/>
  <c r="F28" i="94"/>
  <c r="F57" i="94"/>
  <c r="J3" i="94"/>
  <c r="I6" i="94"/>
  <c r="J29" i="94"/>
  <c r="I13" i="94"/>
  <c r="H55" i="94"/>
  <c r="I50" i="94"/>
  <c r="G66" i="94"/>
  <c r="J80" i="94"/>
  <c r="J97" i="94"/>
  <c r="G40" i="94"/>
  <c r="H12" i="94"/>
  <c r="I18" i="94"/>
  <c r="F36" i="94"/>
  <c r="F22" i="94"/>
  <c r="I9" i="94"/>
  <c r="J33" i="94"/>
  <c r="F23" i="94"/>
  <c r="E77" i="94"/>
  <c r="G68" i="94"/>
  <c r="H108" i="94"/>
  <c r="F83" i="94"/>
  <c r="G86" i="94"/>
  <c r="F101" i="94"/>
  <c r="I53" i="94"/>
  <c r="G14" i="94"/>
  <c r="G16" i="94"/>
  <c r="F77" i="94"/>
  <c r="J101" i="94"/>
  <c r="E101" i="94"/>
  <c r="I68" i="94"/>
  <c r="F52" i="94"/>
  <c r="J68" i="94"/>
  <c r="G51" i="94"/>
  <c r="G100" i="94"/>
  <c r="G98" i="94"/>
  <c r="E58" i="94"/>
  <c r="F27" i="94"/>
  <c r="H67" i="94"/>
  <c r="J107" i="94"/>
  <c r="H47" i="94"/>
  <c r="J87" i="94"/>
  <c r="G78" i="94"/>
  <c r="F32" i="94"/>
  <c r="I93" i="94"/>
  <c r="E43" i="94"/>
  <c r="I15" i="94"/>
  <c r="H28" i="94"/>
  <c r="I86" i="94"/>
  <c r="H75" i="94"/>
  <c r="F58" i="94"/>
  <c r="J58" i="94"/>
  <c r="G62" i="94"/>
  <c r="H29" i="94"/>
  <c r="E37" i="94"/>
  <c r="F81" i="94"/>
  <c r="G81" i="94"/>
  <c r="J104" i="94"/>
  <c r="H106" i="94"/>
  <c r="E72" i="94"/>
  <c r="E55" i="94"/>
  <c r="I74" i="94"/>
  <c r="H53" i="94"/>
  <c r="J102" i="94"/>
  <c r="J100" i="94"/>
  <c r="H60" i="94"/>
  <c r="E29" i="94"/>
  <c r="G69" i="94"/>
  <c r="I109" i="94"/>
  <c r="G49" i="94"/>
  <c r="I89" i="94"/>
  <c r="J18" i="94"/>
  <c r="E32" i="94"/>
  <c r="E99" i="94"/>
  <c r="F99" i="94"/>
  <c r="E65" i="94"/>
  <c r="G65" i="94"/>
  <c r="H65" i="94"/>
  <c r="H50" i="94"/>
  <c r="H43" i="94"/>
  <c r="H11" i="94"/>
  <c r="F85" i="94"/>
  <c r="I107" i="94"/>
  <c r="E109" i="94"/>
  <c r="H77" i="94"/>
  <c r="H57" i="94"/>
  <c r="H83" i="94"/>
  <c r="I55" i="94"/>
  <c r="E105" i="94"/>
  <c r="E103" i="94"/>
  <c r="J64" i="94"/>
  <c r="J30" i="94"/>
  <c r="F71" i="94"/>
  <c r="H3" i="94"/>
  <c r="F51" i="94"/>
  <c r="H91" i="94"/>
  <c r="J11" i="94"/>
  <c r="H20" i="94"/>
  <c r="E40" i="94"/>
  <c r="G80" i="94"/>
  <c r="F18" i="94"/>
  <c r="G60" i="94"/>
  <c r="I100" i="94"/>
  <c r="H24" i="94"/>
  <c r="G29" i="94"/>
  <c r="J34" i="94"/>
  <c r="G9" i="94"/>
  <c r="H105" i="94"/>
  <c r="E50" i="94"/>
  <c r="H90" i="94"/>
  <c r="F26" i="94"/>
  <c r="G19" i="94"/>
  <c r="I33" i="94"/>
  <c r="J61" i="94"/>
  <c r="G17" i="94"/>
  <c r="F54" i="94"/>
  <c r="F14" i="94"/>
  <c r="E70" i="94"/>
  <c r="F45" i="94"/>
  <c r="E92" i="94"/>
  <c r="F25" i="94"/>
  <c r="F109" i="94"/>
  <c r="E80" i="94"/>
  <c r="I11" i="94"/>
  <c r="E69" i="94"/>
  <c r="I62" i="94"/>
  <c r="E16" i="94"/>
  <c r="I24" i="94"/>
  <c r="J41" i="94"/>
  <c r="F82" i="94"/>
  <c r="E20" i="94"/>
  <c r="F62" i="94"/>
  <c r="H102" i="94"/>
  <c r="F90" i="94"/>
  <c r="E98" i="94"/>
  <c r="G56" i="94"/>
  <c r="H52" i="94"/>
  <c r="F4" i="94"/>
  <c r="G53" i="94"/>
  <c r="G94" i="94"/>
  <c r="I99" i="94"/>
  <c r="E26" i="94"/>
  <c r="H40" i="94"/>
  <c r="J69" i="94"/>
  <c r="F34" i="94"/>
  <c r="H79" i="94"/>
  <c r="I20" i="94"/>
  <c r="G73" i="94"/>
  <c r="E52" i="94"/>
  <c r="H97" i="94"/>
  <c r="J27" i="94"/>
  <c r="H46" i="94"/>
  <c r="F86" i="94"/>
  <c r="J15" i="94"/>
  <c r="H71" i="94"/>
  <c r="E67" i="94"/>
  <c r="H22" i="94"/>
  <c r="G3" i="94"/>
  <c r="I43" i="94"/>
  <c r="E84" i="94"/>
  <c r="J21" i="94"/>
  <c r="E64" i="94"/>
  <c r="G104" i="94"/>
  <c r="H15" i="94"/>
  <c r="F19" i="94"/>
  <c r="H70" i="94"/>
  <c r="H81" i="94"/>
  <c r="F6" i="94"/>
  <c r="J56" i="94"/>
  <c r="F13" i="94"/>
  <c r="E17" i="94"/>
  <c r="F76" i="94"/>
  <c r="H72" i="94"/>
  <c r="J72" i="94"/>
  <c r="E41" i="94"/>
  <c r="H107" i="94"/>
  <c r="E48" i="94"/>
  <c r="I96" i="94"/>
  <c r="E56" i="94"/>
  <c r="F100" i="94"/>
  <c r="G30" i="94"/>
  <c r="J108" i="94"/>
  <c r="I94" i="94"/>
  <c r="G22" i="94"/>
  <c r="I73" i="94"/>
  <c r="F69" i="94"/>
  <c r="I26" i="94"/>
  <c r="F5" i="94"/>
  <c r="H45" i="94"/>
  <c r="J85" i="94"/>
  <c r="H25" i="94"/>
  <c r="J65" i="94"/>
  <c r="F106" i="94"/>
  <c r="G46" i="94"/>
  <c r="F42" i="94"/>
  <c r="J45" i="94"/>
  <c r="I41" i="94"/>
  <c r="E15" i="94"/>
  <c r="J59" i="94"/>
  <c r="E19" i="94"/>
  <c r="I19" i="94"/>
  <c r="F61" i="94"/>
  <c r="F91" i="94"/>
  <c r="G88" i="94"/>
  <c r="H88" i="94"/>
  <c r="E11" i="94"/>
  <c r="H54" i="94"/>
  <c r="I104" i="94"/>
  <c r="J62" i="94"/>
  <c r="G106" i="94"/>
  <c r="E36" i="94"/>
  <c r="J12" i="94"/>
  <c r="H103" i="94"/>
  <c r="H26" i="94"/>
  <c r="J75" i="94"/>
  <c r="I71" i="94"/>
  <c r="J28" i="94"/>
  <c r="E7" i="94"/>
  <c r="G47" i="94"/>
  <c r="I87" i="94"/>
  <c r="G27" i="94"/>
  <c r="I67" i="94"/>
  <c r="E108" i="94"/>
  <c r="E95" i="94"/>
  <c r="I34" i="94"/>
  <c r="E75" i="94"/>
  <c r="I12" i="94"/>
  <c r="H59" i="94"/>
  <c r="F53" i="94"/>
  <c r="G6" i="94"/>
  <c r="F21" i="94"/>
  <c r="I59" i="94"/>
  <c r="G90" i="94"/>
  <c r="F50" i="94"/>
  <c r="I40" i="94"/>
  <c r="F103" i="94"/>
  <c r="G76" i="94"/>
  <c r="H8" i="94"/>
  <c r="G95" i="94"/>
  <c r="H61" i="94"/>
  <c r="F17" i="94"/>
  <c r="E24" i="94"/>
  <c r="F97" i="94"/>
  <c r="I57" i="94"/>
  <c r="J49" i="94"/>
  <c r="F30" i="94"/>
  <c r="F33" i="94"/>
  <c r="I37" i="94"/>
  <c r="E87" i="94"/>
  <c r="E85" i="94"/>
  <c r="H42" i="94"/>
  <c r="F16" i="94"/>
  <c r="H56" i="94"/>
  <c r="J96" i="94"/>
  <c r="H36" i="94"/>
  <c r="J76" i="94"/>
  <c r="I23" i="94"/>
  <c r="E3" i="94"/>
  <c r="J39" i="94"/>
  <c r="F89" i="94"/>
  <c r="F87" i="94"/>
  <c r="I44" i="94"/>
  <c r="E18" i="94"/>
  <c r="G58" i="94"/>
  <c r="I98" i="94"/>
  <c r="G38" i="94"/>
  <c r="I78" i="94"/>
  <c r="J35" i="94"/>
  <c r="J5" i="94"/>
  <c r="G42" i="94"/>
  <c r="I91" i="94"/>
  <c r="G89" i="94"/>
  <c r="J46" i="94"/>
  <c r="J19" i="94"/>
  <c r="F60" i="94"/>
  <c r="H100" i="94"/>
  <c r="F40" i="94"/>
  <c r="H80" i="94"/>
  <c r="J77" i="94"/>
  <c r="I101" i="94"/>
  <c r="J25" i="94"/>
  <c r="G21" i="94"/>
  <c r="J81" i="94"/>
  <c r="J105" i="94"/>
  <c r="J67" i="94"/>
  <c r="I72" i="94"/>
  <c r="G57" i="94"/>
  <c r="F11" i="94"/>
  <c r="J26" i="94"/>
  <c r="G79" i="94"/>
  <c r="I95" i="94"/>
  <c r="I51" i="94"/>
  <c r="G48" i="94"/>
  <c r="H87" i="94"/>
  <c r="J88" i="94"/>
  <c r="J60" i="94"/>
  <c r="F41" i="94"/>
  <c r="F8" i="94"/>
  <c r="H44" i="94"/>
  <c r="J93" i="94"/>
  <c r="J91" i="94"/>
  <c r="E49" i="94"/>
  <c r="I21" i="94"/>
  <c r="E62" i="94"/>
  <c r="G102" i="94"/>
  <c r="E42" i="94"/>
  <c r="G82" i="94"/>
  <c r="E28" i="94"/>
  <c r="F12" i="94"/>
  <c r="I48" i="94"/>
  <c r="J53" i="94"/>
  <c r="I85" i="94"/>
  <c r="E4" i="94"/>
  <c r="J70" i="94"/>
  <c r="F88" i="94"/>
  <c r="G72" i="94"/>
  <c r="F2" i="94"/>
  <c r="G37" i="94"/>
  <c r="G87" i="94"/>
  <c r="J103" i="94"/>
  <c r="H104" i="94"/>
  <c r="F59" i="94"/>
  <c r="E93" i="94"/>
  <c r="F92" i="94"/>
  <c r="G63" i="94"/>
  <c r="E44" i="94"/>
  <c r="H10" i="94"/>
  <c r="I46" i="94"/>
  <c r="E96" i="94"/>
  <c r="E94" i="94"/>
  <c r="H51" i="94"/>
  <c r="H23" i="94"/>
  <c r="J63" i="94"/>
  <c r="F104" i="94"/>
  <c r="J43" i="94"/>
  <c r="F84" i="94"/>
  <c r="D35" i="60"/>
  <c r="D27" i="6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<sst xmlns="http://schemas.openxmlformats.org/spreadsheetml/2006/main" count="9945" uniqueCount="2916">
  <si>
    <t>remarks</t>
    <phoneticPr fontId="1" type="noConversion"/>
  </si>
  <si>
    <t>material_id</t>
    <phoneticPr fontId="1" type="noConversion"/>
  </si>
  <si>
    <t>material_name</t>
    <phoneticPr fontId="1" type="noConversion"/>
  </si>
  <si>
    <t>material_group</t>
    <phoneticPr fontId="1" type="noConversion"/>
  </si>
  <si>
    <t>M001</t>
  </si>
  <si>
    <t>Ethylene</t>
  </si>
  <si>
    <t>Propylene</t>
  </si>
  <si>
    <t>M003</t>
  </si>
  <si>
    <t>Benzene</t>
  </si>
  <si>
    <t>M004</t>
  </si>
  <si>
    <t>M005</t>
  </si>
  <si>
    <t>M006</t>
  </si>
  <si>
    <t>C4</t>
  </si>
  <si>
    <t>M007</t>
  </si>
  <si>
    <t>1-Butene</t>
  </si>
  <si>
    <t>M008</t>
  </si>
  <si>
    <t>Ethylbenzene</t>
  </si>
  <si>
    <t>M010</t>
  </si>
  <si>
    <t>Styrene</t>
  </si>
  <si>
    <t>Butadiene</t>
  </si>
  <si>
    <t>Isobutylene</t>
  </si>
  <si>
    <t>Cumene</t>
  </si>
  <si>
    <t>HDPE</t>
  </si>
  <si>
    <t>LDPE</t>
  </si>
  <si>
    <t>LLDPE</t>
  </si>
  <si>
    <t>PVC</t>
  </si>
  <si>
    <t>Ethyl acetate</t>
  </si>
  <si>
    <t>Acetaldehyde</t>
  </si>
  <si>
    <t>Ethanol</t>
  </si>
  <si>
    <t>MEA</t>
  </si>
  <si>
    <t>DEA</t>
  </si>
  <si>
    <t>TEA</t>
  </si>
  <si>
    <t>VCM</t>
    <phoneticPr fontId="1" type="noConversion"/>
  </si>
  <si>
    <t>VAM</t>
    <phoneticPr fontId="1" type="noConversion"/>
  </si>
  <si>
    <t>M002</t>
    <phoneticPr fontId="1" type="noConversion"/>
  </si>
  <si>
    <t>M012</t>
  </si>
  <si>
    <t>M014</t>
  </si>
  <si>
    <t>M015</t>
  </si>
  <si>
    <t>M016</t>
  </si>
  <si>
    <t>M017</t>
  </si>
  <si>
    <t>M018</t>
  </si>
  <si>
    <t>M019</t>
  </si>
  <si>
    <t>M020</t>
  </si>
  <si>
    <t>M021</t>
  </si>
  <si>
    <t>M022</t>
  </si>
  <si>
    <t>M023</t>
  </si>
  <si>
    <t>M024</t>
  </si>
  <si>
    <t>M025</t>
  </si>
  <si>
    <t>M026</t>
  </si>
  <si>
    <t>M027</t>
  </si>
  <si>
    <t>M028</t>
  </si>
  <si>
    <t>M029</t>
  </si>
  <si>
    <t>M030</t>
  </si>
  <si>
    <t>M031</t>
  </si>
  <si>
    <t>M033</t>
  </si>
  <si>
    <t>M034</t>
  </si>
  <si>
    <t>M035</t>
  </si>
  <si>
    <t>M036</t>
  </si>
  <si>
    <t>M037</t>
  </si>
  <si>
    <t>M038</t>
  </si>
  <si>
    <t>M039</t>
  </si>
  <si>
    <t>M040</t>
  </si>
  <si>
    <t>M041</t>
  </si>
  <si>
    <t>M042</t>
  </si>
  <si>
    <t>M043</t>
  </si>
  <si>
    <t>M044</t>
  </si>
  <si>
    <t>M045</t>
  </si>
  <si>
    <t>M046</t>
  </si>
  <si>
    <t>M047</t>
  </si>
  <si>
    <t>M048</t>
  </si>
  <si>
    <t>M049</t>
  </si>
  <si>
    <t>M050</t>
  </si>
  <si>
    <t>M052</t>
  </si>
  <si>
    <t>M054</t>
  </si>
  <si>
    <t>NBR</t>
  </si>
  <si>
    <t>Polyols</t>
  </si>
  <si>
    <t>Phenol</t>
  </si>
  <si>
    <t>Acetone</t>
  </si>
  <si>
    <t>Acrylic acid</t>
  </si>
  <si>
    <t>SAP</t>
    <phoneticPr fontId="1" type="noConversion"/>
  </si>
  <si>
    <t>Isobutanol</t>
  </si>
  <si>
    <t>ABS</t>
  </si>
  <si>
    <t>SAN</t>
  </si>
  <si>
    <t>n-Butyl acetate</t>
  </si>
  <si>
    <t>Isobutyl acetate</t>
  </si>
  <si>
    <t>Isopropyl acetate</t>
  </si>
  <si>
    <t>BR</t>
  </si>
  <si>
    <t>SBR</t>
  </si>
  <si>
    <t>PIB</t>
    <phoneticPr fontId="1" type="noConversion"/>
  </si>
  <si>
    <t>MTBE</t>
  </si>
  <si>
    <t>Butyl rubber</t>
  </si>
  <si>
    <t>PB-1</t>
    <phoneticPr fontId="1" type="noConversion"/>
  </si>
  <si>
    <t>M055</t>
  </si>
  <si>
    <t>M056</t>
  </si>
  <si>
    <t>Aniline</t>
  </si>
  <si>
    <t>Cyclohexane</t>
  </si>
  <si>
    <t>Epoxy resin</t>
  </si>
  <si>
    <t>M057</t>
  </si>
  <si>
    <t>M058</t>
  </si>
  <si>
    <t>M059</t>
  </si>
  <si>
    <t>M060</t>
  </si>
  <si>
    <t>M061</t>
  </si>
  <si>
    <t>M062</t>
  </si>
  <si>
    <t>M063</t>
  </si>
  <si>
    <t>M064</t>
  </si>
  <si>
    <t>M065</t>
  </si>
  <si>
    <t>M066</t>
  </si>
  <si>
    <t>M002</t>
  </si>
  <si>
    <t>PG</t>
    <phoneticPr fontId="1" type="noConversion"/>
  </si>
  <si>
    <t>PPG</t>
    <phoneticPr fontId="1" type="noConversion"/>
  </si>
  <si>
    <t>PO</t>
    <phoneticPr fontId="1" type="noConversion"/>
  </si>
  <si>
    <t>PP</t>
    <phoneticPr fontId="1" type="noConversion"/>
  </si>
  <si>
    <t>PU</t>
    <phoneticPr fontId="1" type="noConversion"/>
  </si>
  <si>
    <t>Acrylate</t>
    <phoneticPr fontId="1" type="noConversion"/>
  </si>
  <si>
    <t>Cyclohexanone</t>
    <phoneticPr fontId="1" type="noConversion"/>
  </si>
  <si>
    <t>LAB</t>
    <phoneticPr fontId="1" type="noConversion"/>
  </si>
  <si>
    <t>M067</t>
    <phoneticPr fontId="1" type="noConversion"/>
  </si>
  <si>
    <t>MA</t>
    <phoneticPr fontId="1" type="noConversion"/>
  </si>
  <si>
    <t>Methanol</t>
    <phoneticPr fontId="1" type="noConversion"/>
  </si>
  <si>
    <t>EDC</t>
    <phoneticPr fontId="1" type="noConversion"/>
  </si>
  <si>
    <t>AN</t>
    <phoneticPr fontId="1" type="noConversion"/>
  </si>
  <si>
    <t>IPA</t>
    <phoneticPr fontId="1" type="noConversion"/>
  </si>
  <si>
    <t>Acetic acid</t>
    <phoneticPr fontId="1" type="noConversion"/>
  </si>
  <si>
    <t>M068</t>
    <phoneticPr fontId="1" type="noConversion"/>
  </si>
  <si>
    <t>PS</t>
    <phoneticPr fontId="1" type="noConversion"/>
  </si>
  <si>
    <t>BPA</t>
    <phoneticPr fontId="1" type="noConversion"/>
  </si>
  <si>
    <t>PC</t>
    <phoneticPr fontId="1" type="noConversion"/>
  </si>
  <si>
    <t>EO</t>
    <phoneticPr fontId="1" type="noConversion"/>
  </si>
  <si>
    <t>MEG</t>
    <phoneticPr fontId="1" type="noConversion"/>
  </si>
  <si>
    <t>M069</t>
    <phoneticPr fontId="1" type="noConversion"/>
  </si>
  <si>
    <t>M070</t>
    <phoneticPr fontId="1" type="noConversion"/>
  </si>
  <si>
    <t>M071</t>
    <phoneticPr fontId="1" type="noConversion"/>
  </si>
  <si>
    <t>Toluene</t>
    <phoneticPr fontId="1" type="noConversion"/>
  </si>
  <si>
    <t>M072</t>
    <phoneticPr fontId="1" type="noConversion"/>
  </si>
  <si>
    <t>Xylene</t>
    <phoneticPr fontId="1" type="noConversion"/>
  </si>
  <si>
    <t>M073</t>
    <phoneticPr fontId="1" type="noConversion"/>
  </si>
  <si>
    <t>PA</t>
    <phoneticPr fontId="1" type="noConversion"/>
  </si>
  <si>
    <t>PIA</t>
    <phoneticPr fontId="1" type="noConversion"/>
  </si>
  <si>
    <t>TPA</t>
    <phoneticPr fontId="1" type="noConversion"/>
  </si>
  <si>
    <t>DMT</t>
    <phoneticPr fontId="1" type="noConversion"/>
  </si>
  <si>
    <t>M074</t>
    <phoneticPr fontId="1" type="noConversion"/>
  </si>
  <si>
    <t>Caprolactam</t>
    <phoneticPr fontId="1" type="noConversion"/>
  </si>
  <si>
    <t>M075</t>
    <phoneticPr fontId="1" type="noConversion"/>
  </si>
  <si>
    <t>M076</t>
    <phoneticPr fontId="1" type="noConversion"/>
  </si>
  <si>
    <t>M077</t>
    <phoneticPr fontId="1" type="noConversion"/>
  </si>
  <si>
    <t>LAO</t>
    <phoneticPr fontId="1" type="noConversion"/>
  </si>
  <si>
    <t>1-Hexene</t>
    <phoneticPr fontId="1" type="noConversion"/>
  </si>
  <si>
    <t>Ethylene</t>
    <phoneticPr fontId="1" type="noConversion"/>
  </si>
  <si>
    <t>PAO</t>
    <phoneticPr fontId="1" type="noConversion"/>
  </si>
  <si>
    <t>M078</t>
    <phoneticPr fontId="1" type="noConversion"/>
  </si>
  <si>
    <t>M079</t>
    <phoneticPr fontId="1" type="noConversion"/>
  </si>
  <si>
    <t>MMA</t>
    <phoneticPr fontId="1" type="noConversion"/>
  </si>
  <si>
    <t>PMMA</t>
    <phoneticPr fontId="1" type="noConversion"/>
  </si>
  <si>
    <t>M080</t>
    <phoneticPr fontId="1" type="noConversion"/>
  </si>
  <si>
    <t>Formaldehyde</t>
    <phoneticPr fontId="1" type="noConversion"/>
  </si>
  <si>
    <t>M081</t>
    <phoneticPr fontId="1" type="noConversion"/>
  </si>
  <si>
    <t>M082</t>
    <phoneticPr fontId="1" type="noConversion"/>
  </si>
  <si>
    <t>EC</t>
    <phoneticPr fontId="1" type="noConversion"/>
  </si>
  <si>
    <t>DMC</t>
    <phoneticPr fontId="1" type="noConversion"/>
  </si>
  <si>
    <t>M083</t>
    <phoneticPr fontId="1" type="noConversion"/>
  </si>
  <si>
    <t>M084</t>
    <phoneticPr fontId="1" type="noConversion"/>
  </si>
  <si>
    <t>EVA</t>
    <phoneticPr fontId="1" type="noConversion"/>
  </si>
  <si>
    <t>M085</t>
    <phoneticPr fontId="1" type="noConversion"/>
  </si>
  <si>
    <t>M086</t>
    <phoneticPr fontId="1" type="noConversion"/>
  </si>
  <si>
    <t>MDI</t>
    <phoneticPr fontId="1" type="noConversion"/>
  </si>
  <si>
    <t>TDI</t>
    <phoneticPr fontId="1" type="noConversion"/>
  </si>
  <si>
    <t>M087</t>
    <phoneticPr fontId="1" type="noConversion"/>
  </si>
  <si>
    <t>M088</t>
    <phoneticPr fontId="1" type="noConversion"/>
  </si>
  <si>
    <t>M089</t>
    <phoneticPr fontId="1" type="noConversion"/>
  </si>
  <si>
    <t>o-Xylene</t>
    <phoneticPr fontId="1" type="noConversion"/>
  </si>
  <si>
    <t>m-Xylene</t>
    <phoneticPr fontId="1" type="noConversion"/>
  </si>
  <si>
    <t>p-Xylene</t>
    <phoneticPr fontId="1" type="noConversion"/>
  </si>
  <si>
    <t>M090</t>
  </si>
  <si>
    <t>M091</t>
  </si>
  <si>
    <t>M092</t>
  </si>
  <si>
    <t>M093</t>
    <phoneticPr fontId="1" type="noConversion"/>
  </si>
  <si>
    <t>PET</t>
    <phoneticPr fontId="1" type="noConversion"/>
  </si>
  <si>
    <t>M094</t>
    <phoneticPr fontId="1" type="noConversion"/>
  </si>
  <si>
    <t>1-Octene</t>
    <phoneticPr fontId="1" type="noConversion"/>
  </si>
  <si>
    <t>M095</t>
    <phoneticPr fontId="1" type="noConversion"/>
  </si>
  <si>
    <t>hsk10</t>
    <phoneticPr fontId="1" type="noConversion"/>
  </si>
  <si>
    <t>EPDM</t>
    <phoneticPr fontId="1" type="noConversion"/>
  </si>
  <si>
    <t>M096</t>
    <phoneticPr fontId="1" type="noConversion"/>
  </si>
  <si>
    <t>n-Butanol</t>
    <phoneticPr fontId="1" type="noConversion"/>
  </si>
  <si>
    <t>C4</t>
    <phoneticPr fontId="1" type="noConversion"/>
  </si>
  <si>
    <t>M097</t>
    <phoneticPr fontId="1" type="noConversion"/>
  </si>
  <si>
    <t>M098</t>
    <phoneticPr fontId="1" type="noConversion"/>
  </si>
  <si>
    <t>ECH</t>
    <phoneticPr fontId="1" type="noConversion"/>
  </si>
  <si>
    <t>Propylene</t>
    <phoneticPr fontId="1" type="noConversion"/>
  </si>
  <si>
    <t>M099</t>
    <phoneticPr fontId="1" type="noConversion"/>
  </si>
  <si>
    <t>Ethoxylate</t>
    <phoneticPr fontId="1" type="noConversion"/>
  </si>
  <si>
    <t>Adipic Acid</t>
    <phoneticPr fontId="1" type="noConversion"/>
  </si>
  <si>
    <t>M100</t>
    <phoneticPr fontId="1" type="noConversion"/>
  </si>
  <si>
    <t>2-Ethylhexanol</t>
    <phoneticPr fontId="1" type="noConversion"/>
  </si>
  <si>
    <t>M101</t>
    <phoneticPr fontId="1" type="noConversion"/>
  </si>
  <si>
    <t>n-Butane</t>
    <phoneticPr fontId="1" type="noConversion"/>
  </si>
  <si>
    <t>main_application</t>
    <phoneticPr fontId="1" type="noConversion"/>
  </si>
  <si>
    <t>end_use_industry</t>
    <phoneticPr fontId="1" type="noConversion"/>
  </si>
  <si>
    <t>specialty_level</t>
    <phoneticPr fontId="1" type="noConversion"/>
  </si>
  <si>
    <t>domestic_supplier</t>
    <phoneticPr fontId="1" type="noConversion"/>
  </si>
  <si>
    <t>domestic_supplier_names</t>
    <phoneticPr fontId="1" type="noConversion"/>
  </si>
  <si>
    <t>trade_status</t>
    <phoneticPr fontId="1" type="noConversion"/>
  </si>
  <si>
    <t>licensable</t>
    <phoneticPr fontId="1" type="noConversion"/>
  </si>
  <si>
    <t>licensors</t>
    <phoneticPr fontId="1" type="noConversion"/>
  </si>
  <si>
    <t>china_expansion_risk</t>
    <phoneticPr fontId="1" type="noConversion"/>
  </si>
  <si>
    <t>integration_fit</t>
    <phoneticPr fontId="1" type="noConversion"/>
  </si>
  <si>
    <t>entry_barrier</t>
    <phoneticPr fontId="1" type="noConversion"/>
  </si>
  <si>
    <t>shortlist_candidate</t>
    <phoneticPr fontId="1" type="noConversion"/>
  </si>
  <si>
    <t>Raw</t>
    <phoneticPr fontId="1" type="noConversion"/>
  </si>
  <si>
    <t>Short</t>
    <phoneticPr fontId="1" type="noConversion"/>
  </si>
  <si>
    <t>Y</t>
  </si>
  <si>
    <t>Unknown</t>
  </si>
  <si>
    <t>TBU</t>
  </si>
  <si>
    <t>Category</t>
    <phoneticPr fontId="1" type="noConversion"/>
  </si>
  <si>
    <t>Description</t>
    <phoneticPr fontId="1" type="noConversion"/>
  </si>
  <si>
    <t>기존 material_master와 연결</t>
    <phoneticPr fontId="1" type="noConversion"/>
  </si>
  <si>
    <t>Ethylene / Propylene / C4 / BTX / C5+ 등</t>
    <phoneticPr fontId="1" type="noConversion"/>
  </si>
  <si>
    <t>제품명</t>
    <phoneticPr fontId="1" type="noConversion"/>
  </si>
  <si>
    <t>대표 용도</t>
    <phoneticPr fontId="1" type="noConversion"/>
  </si>
  <si>
    <t>한국 HSK 코드</t>
    <phoneticPr fontId="1" type="noConversion"/>
  </si>
  <si>
    <t>주요 라이센서</t>
    <phoneticPr fontId="1" type="noConversion"/>
  </si>
  <si>
    <t>High</t>
  </si>
  <si>
    <t>High</t>
    <phoneticPr fontId="1" type="noConversion"/>
  </si>
  <si>
    <t>Strategic comments</t>
    <phoneticPr fontId="1" type="noConversion"/>
  </si>
  <si>
    <t>source_reference</t>
    <phoneticPr fontId="1" type="noConversion"/>
  </si>
  <si>
    <t>source_url</t>
    <phoneticPr fontId="1" type="noConversion"/>
  </si>
  <si>
    <t>Low</t>
  </si>
  <si>
    <t>Univation, Chevron Phillips Chemical, Lummus/Texplore, Mitsui Chemicals</t>
  </si>
  <si>
    <t>국내 생산업체 존재 여부
- Y/N/Unknown</t>
    <phoneticPr fontId="1" type="noConversion"/>
  </si>
  <si>
    <t>무역코드 기반 수출입통계
- Net Import/Net Export/Balanced/Unknown</t>
    <phoneticPr fontId="1" type="noConversion"/>
  </si>
  <si>
    <t>차별화·고부가 수준
- High/Mid/Low/Unknown</t>
    <phoneticPr fontId="1" type="noConversion"/>
  </si>
  <si>
    <t>당사 Feedstock 연계성
- High/Mid/Low/Unknown</t>
    <phoneticPr fontId="1" type="noConversion"/>
  </si>
  <si>
    <t>최종 수요 산업(End-use Industry)</t>
    <phoneticPr fontId="1" type="noConversion"/>
  </si>
  <si>
    <t>중국 증설/공급과잉 리스크
- High/Mid/Low/Unknown</t>
    <phoneticPr fontId="1" type="noConversion"/>
  </si>
  <si>
    <t>고객인증, 기술, 시장 진입장벽
- High/Mid/Low/Unknown</t>
    <phoneticPr fontId="1" type="noConversion"/>
  </si>
  <si>
    <t>라이센서 존재 여부
- Y/N/Unknown</t>
    <phoneticPr fontId="1" type="noConversion"/>
  </si>
  <si>
    <t>Step 2 후보
- 현단계 TBU</t>
    <phoneticPr fontId="1" type="noConversion"/>
  </si>
  <si>
    <t>M003</t>
    <phoneticPr fontId="1" type="noConversion"/>
  </si>
  <si>
    <t>LDPE</t>
    <phoneticPr fontId="1" type="noConversion"/>
  </si>
  <si>
    <t>국내 공급사명(KTA)</t>
    <phoneticPr fontId="1" type="noConversion"/>
  </si>
  <si>
    <t>HD현대케미칼(300), LG화학(460), 롯데케미칼(135), 한화솔루션(457), 한화토탈에너지스(435)</t>
    <phoneticPr fontId="1" type="noConversion"/>
  </si>
  <si>
    <t>product_overview</t>
    <phoneticPr fontId="1" type="noConversion"/>
  </si>
  <si>
    <t>production_process</t>
    <phoneticPr fontId="1" type="noConversion"/>
  </si>
  <si>
    <t>제품개요/제품설명</t>
    <phoneticPr fontId="1" type="noConversion"/>
  </si>
  <si>
    <t>대략적인 생산 공정/주요 제조기술</t>
    <phoneticPr fontId="1" type="noConversion"/>
  </si>
  <si>
    <t>HDPE는 높은 밀도와 결정성을 가지는 범용 폴리에틸렌 수지로, 강성·내화학성·내습성이 우수하여 포장재, 파이프, 용기, 자동차 부품 등에 사용되는 열가소성 수지이다.</t>
    <phoneticPr fontId="1" type="noConversion"/>
  </si>
  <si>
    <t>HDPE는 에틸렌을 저압 중합하여 생산되며 slurry loop, slurry tank, gas phase 및 solution 공정이 상업적으로 사용된다. 주요 촉매는 Ziegler-Natta계, chromium계, metallocene계가 활용된다.</t>
    <phoneticPr fontId="1" type="noConversion"/>
  </si>
  <si>
    <t>Net Export</t>
    <phoneticPr fontId="1" type="noConversion"/>
  </si>
  <si>
    <t>대표적인 범용 PE 수지로 중국 중심의 대규모 증설에 따른 공급 과잉 리스크가 높음. 에틸렌 다운스트림과의 통합 적합성이 매우 높으며, 포장·인프라 수요 기반은 견조함.</t>
  </si>
  <si>
    <t>S&amp;P Global Chemical Economics Handbook – Polyethylene Resins, High-Density (HDPE), Dec 2025</t>
  </si>
  <si>
    <t>DL케미칼(180), GS칼텍스(500), HD현대케미칼(550), LG화학(360), SK지오센트릭(210), 대한유화(650), 롯데케미칼(630), 한화토탈에너지스(575)</t>
    <phoneticPr fontId="1" type="noConversion"/>
  </si>
  <si>
    <t>LyondellBasell (Lupotech), ExxonMobil, Versalis, Sabtec</t>
  </si>
  <si>
    <t>Mid</t>
    <phoneticPr fontId="1" type="noConversion"/>
  </si>
  <si>
    <t>Commodity PE market with ongoing China-led capacity expansion; film and packaging dominate demand; extrusion coating and EVA-linked applications provide relatively resilient demand segments.</t>
  </si>
  <si>
    <t>S&amp;P Global CEH Polyethylene Resins, Low-Density (LDPE), Dec 2025 pp.6-24</t>
  </si>
  <si>
    <t>LLDPE</t>
    <phoneticPr fontId="1" type="noConversion"/>
  </si>
  <si>
    <t>M004</t>
    <phoneticPr fontId="1" type="noConversion"/>
  </si>
  <si>
    <t>Packaging</t>
  </si>
  <si>
    <t>LG화학(1100), DL케미칼(530), 한화솔루션(425), 롯데케미칼(310), SSNC(288), SK지오센트릭(180), 한화토탈에너지스(125)</t>
    <phoneticPr fontId="1" type="noConversion"/>
  </si>
  <si>
    <t>범용 PE 제품으로 중국 중심 대규모 증설 리스크가 높음. 다만 포장·필름 중심의 안정적 수요 성장 지속. 메탈로센(mLLDPE) 및 고기능 필름용 specialty grade는 차별화 가능성 존재.</t>
    <phoneticPr fontId="1" type="noConversion"/>
  </si>
  <si>
    <t>EDC (Ethylene dichloride)</t>
  </si>
  <si>
    <t>Mid</t>
  </si>
  <si>
    <t>한화솔루션(1971), LG화학(810)</t>
    <phoneticPr fontId="1" type="noConversion"/>
  </si>
  <si>
    <t>Construction, Infrastructure, Electrical, Healthcare</t>
  </si>
  <si>
    <t>VCM</t>
  </si>
  <si>
    <t>VCM은 EDC 열분해로 제조되는 무색의 가연성 액화가스로, PVC 수지 제조에 사용되는 핵심 모노머이다.</t>
  </si>
  <si>
    <t>PVC resin feedstock</t>
  </si>
  <si>
    <t>S&amp;P Global Commodity Insights, Chemical Economics Handbook – Ethylene Dichloride, Mar 2025 revised Oct 2025; S&amp;P Global CEH Vinyl Chloride Monomer abstract, Jun 2025; Hanwha Solutions VCM product page</t>
  </si>
  <si>
    <t>https://www.spglobal.com/content/dam/spglobal/ci/en/documents/products/pdf/SP_Global_CEH_Vinyl_Chloride_Monomer_Abstract_and_TOC_June_2025.pdf; https://hcc.hanwha.co.kr/m/en/business/ca-vcm</t>
  </si>
  <si>
    <t>LG화학(950), 한화솔루션(847)</t>
    <phoneticPr fontId="1" type="noConversion"/>
  </si>
  <si>
    <t>Unknown</t>
    <phoneticPr fontId="1" type="noConversion"/>
  </si>
  <si>
    <t>에틸렌 기반 공정에서는 에틸렌과 염소로 EDC를 만들고, EDC 열분해로 VCM을 생산한 뒤 VCM을 중합하여 PVC를 제조한다. 중국은 acetylene-based VCM/PVC route 비중도 크다.</t>
  </si>
  <si>
    <t>Pipe, fittings, profiles, windows, doors, wire &amp; cable, film, sheet, flooring</t>
  </si>
  <si>
    <t>S&amp;P Global Commodity Insights, Chemical Economics Handbook – Ethylene Dichloride, Mar 2025 revised Oct 2025; S&amp;P Global CEH Polyvinyl Chloride Resins abstract, Dec 2024; Hanwha Solutions PVC product page</t>
  </si>
  <si>
    <t>한화솔루션(810), LG화학(690)</t>
    <phoneticPr fontId="1" type="noConversion"/>
  </si>
  <si>
    <t>https://www.spglobal.com/energy/en/news-research/latest-news/chemicals/072925-chemicals-h2-2025-pvc-makers-rethink-trade-flows-amid-excess-capacity-regulatory-changes;</t>
    <phoneticPr fontId="1" type="noConversion"/>
  </si>
  <si>
    <t>범용 vinyl chain 최종 수지로 건설 경기 민감도가 높음. EDC/VCM/Chlor-alkali 및 에틸렌 통합 여부가 경쟁력 핵심이며, 중국 증설과 아시아 oversupply 리스크가 큼.</t>
    <phoneticPr fontId="1" type="noConversion"/>
  </si>
  <si>
    <t>Fuel, Beverage, Pharmaceutical, Personal Care, Chemicals</t>
  </si>
  <si>
    <t>PubChem Ethanol; U.S. EIA Ethanol Explained; Korea Customs Service HS classification; Korea Alcohol Industrial; Changhae Ethanol; Pungguk Ethanol</t>
  </si>
  <si>
    <t>https://pubchem.ncbi.nlm.nih.gov/compound/Ethanol; https://www.eia.gov/energyexplained/biofuels/ethanol.php; https://customs.go.kr; https://www.ka.co.kr/en/; https://chethanol.com; https://pungguk.com/eng/</t>
  </si>
  <si>
    <t>전세계 에탄올 생산능력의 대부분(97%이상)은 탄수화물 발효 기반이며, 합성공정기반 에탄올은 글로벌 생산능력의 2% 수준이다. 중국에서는 석탄 유래 합성가스로부터 초산(Acetic Acid)또는 DME(Dimethyl Ether)를 중간체로 사용하는 합성 에탄올 기술이 사용된다.</t>
    <phoneticPr fontId="1" type="noConversion"/>
  </si>
  <si>
    <t>Fuel(80~90%), Solvent, beverage alcohol, feedstock(ETBE, Ethyl Acetate, Acetaldehyde)</t>
    <phoneticPr fontId="1" type="noConversion"/>
  </si>
  <si>
    <t>발효 기반 제품은 원료·규제·주류시장 구조 영향이 크고, 석유화학 기반 Ethanol은 에틸렌 수화 route로 ethylene chain 연계 가능. 범용 제품이나 식품·의약·전자재료용은 품질 인증 및 규제 관리 필요.</t>
    <phoneticPr fontId="1" type="noConversion"/>
  </si>
  <si>
    <t>한국알콜산업(70)</t>
    <phoneticPr fontId="1" type="noConversion"/>
  </si>
  <si>
    <t>M010</t>
    <phoneticPr fontId="1" type="noConversion"/>
  </si>
  <si>
    <t>Ethyl Acetate</t>
    <phoneticPr fontId="1" type="noConversion"/>
  </si>
  <si>
    <t>Ethyl Acetate는 무색·휘발성의 에스터계 용제로, 빠른 증발성과 용해성을 가져 도료·잉크·접착제 등에 널리 사용된다.
Ethyl Acetate는 전체 초산 수요의 42%를 차지하고, C1~C4 Alkyl Acetate 제품군 중 가장 큰 비중(60%)을 차지한다.</t>
    <phoneticPr fontId="1" type="noConversion"/>
  </si>
  <si>
    <t>주로 에탄올과 초산의 산촉매 에스터화 및 정제 공정으로 생산되며, 반응증류 공정도 적용 가능하다. 일부 공정은 에틸렌과 초산의 직접 부가 또는 아세트알데히드 Tishchenko 반응 기반이다.</t>
    <phoneticPr fontId="1" type="noConversion"/>
  </si>
  <si>
    <t>Y</t>
    <phoneticPr fontId="1" type="noConversion"/>
  </si>
  <si>
    <t>한국알콜산업(123)</t>
    <phoneticPr fontId="1" type="noConversion"/>
  </si>
  <si>
    <t>Net Import</t>
    <phoneticPr fontId="1" type="noConversion"/>
  </si>
  <si>
    <t>Low</t>
    <phoneticPr fontId="1" type="noConversion"/>
  </si>
  <si>
    <t>TBU</t>
    <phoneticPr fontId="1" type="noConversion"/>
  </si>
  <si>
    <t>Coating</t>
    <phoneticPr fontId="1" type="noConversion"/>
  </si>
  <si>
    <t>Coating용 수요가 전체 시장을 견인하여 중국이 최대 소비국이며 최대 수출국으로 신규 증설 대부분 차지</t>
    <phoneticPr fontId="1" type="noConversion"/>
  </si>
  <si>
    <t>Surface coating, Printing Inks, Process/extraction solvent</t>
    <phoneticPr fontId="1" type="noConversion"/>
  </si>
  <si>
    <t>Balanced</t>
    <phoneticPr fontId="1" type="noConversion"/>
  </si>
  <si>
    <t>Dow Chemical, KBR, Shell, Union</t>
    <phoneticPr fontId="1" type="noConversion"/>
  </si>
  <si>
    <t>End-use industry</t>
  </si>
  <si>
    <t>Fenix Process Technologies</t>
  </si>
  <si>
    <t>Korea Alcohol Industrial product page; Korea Alcohol Industrial company page; WITS Korea 2024 trade data; Intratec Ethyl Acetate Production preview; Fenix acetate reactive distillation technology page; Chemexcil/KTC anti-dumping notice</t>
  </si>
  <si>
    <t>https://www.ka.co.kr/en/business/petrochemistry/ethyl-acetate/; https://www.ka.co.kr/en/about-kai/about-us/; https://wits.worldbank.org/trade/comtrade/en/country/KOR/year/2024/tradeflow/Imports/partner/ALL/product/291531; https://wits.worldbank.org/trade/comtrade/en/country/KOR/year/2024/tradeflow/Exports/partner/ALL/product/291531; https://cdn.intratec.us/docs/reports/previews/ethyl-acetate-e11a-b.pdf; https://www.fenix.in/acetate.html</t>
  </si>
  <si>
    <t>EG 생산용 Captive(75%), 고순도 EO 유도체(25%)</t>
    <phoneticPr fontId="1" type="noConversion"/>
  </si>
  <si>
    <t>EO는 반응성이 높은 고리형 에폭사이드로, 주로 EG·계면활성제·EOA 등 에틸렌계 유도품의 중간체로 사용된다.</t>
  </si>
  <si>
    <t>EO는 에틸렌을 산소로 은 촉매하에 직접 부분산화하여 생산하며, 반응가스 순환·흡수·정제 공정을 거친다. 상업 공정은 EO 단독 또는 EO/EG 통합 형태가 일반적이다.</t>
  </si>
  <si>
    <t>Lotte Chemical EO/EG product page; Shell EO/EG Process Technology page; Ullmann’s Encyclopedia of Industrial Chemistry “Ethylene Oxide”; WITS Korea 2024 trade data HS 291010; Reuters Korea petrochemical restructuring report; ICIS China C2/C3 capacity outlook</t>
  </si>
  <si>
    <t>https://product.lottechem.com/en/basic_materials/eoeg.do; https://www.shell.com/business-customers/catalysts-technologies/licensed-technologies/petrochemicals/ethylene-oxide-production.html; https://www.ugr.es/~tep028/pqi/descargas/Industria%20quimica%20organica/tema_5/oxido_etileno_a10_117.pdf; https://wits.worldbank.org/trade/comtrade/en/country/KOR/year/2024/tradeflow/Imports/partner/ALL/product/291010; https://wits.worldbank.org/trade/comtrade/en/country/KOR/year/2024/tradeflow/Exports/partner/ALL/product/291010</t>
  </si>
  <si>
    <t>EO 생산 경쟁력의 핵심은 저렴한 에틸렌 원료 확보 여부로 중동은 저가 에틸렌 기반 글로벌 EO 생산능력의 17%차지하고 대부분 MEG까지 수직계열화
중국 내 Coal-to-MEG 설비 확대도 주요 리스크</t>
    <phoneticPr fontId="1" type="noConversion"/>
  </si>
  <si>
    <t>M012</t>
    <phoneticPr fontId="1" type="noConversion"/>
  </si>
  <si>
    <t>M014</t>
    <phoneticPr fontId="1" type="noConversion"/>
  </si>
  <si>
    <t>MEA</t>
    <phoneticPr fontId="1" type="noConversion"/>
  </si>
  <si>
    <t>Gas treating(CO2/H2S 흡수), 에틸렌아민(EDA 등), H2S 제거제(Triazine 형태)</t>
    <phoneticPr fontId="1" type="noConversion"/>
  </si>
  <si>
    <t>DEA</t>
    <phoneticPr fontId="1" type="noConversion"/>
  </si>
  <si>
    <t>TEA</t>
    <phoneticPr fontId="1" type="noConversion"/>
  </si>
  <si>
    <t>M015</t>
    <phoneticPr fontId="1" type="noConversion"/>
  </si>
  <si>
    <t>M016</t>
    <phoneticPr fontId="1" type="noConversion"/>
  </si>
  <si>
    <t>Consumer &amp; Personal Care (ethoxylates, detergents), Construction &amp; Infrastructure (PEG/PCE concrete admixtures), Automotive &amp; Future Mobility (PET, antifreeze, PVB-related glycols), Healthcare &amp; Medical (PEG, sterilization-related EO use), Industrial Manufacturing (glycol ethers, intermediates)</t>
    <phoneticPr fontId="1" type="noConversion"/>
  </si>
  <si>
    <t>MEA는 아민기와 알코올기를 모두 가진 에탄올아민류의 대표 제품으로, 산성가스 제거·계면활성제·에틸렌아민 원료 등에 쓰이는 EO 유도체이다</t>
  </si>
  <si>
    <t>Agriculture &amp; Resource (gas sweetening, H2S scavenger, wood preservatives), Consumer &amp; Personal Care (surfactants, personal care cleansers), Industrial Manufacturing (ethyleneamines, corrosion inhibitors, metalworking fluids), Semiconductor &amp; Advanced Electronics (photoresist stripping formulations)</t>
  </si>
  <si>
    <t>CEH_Ethanolamines.pdf ; CEH_Ethylene_Oxide.pdf</t>
  </si>
  <si>
    <t>KPX Green Chemical(18KTA) - Ethanolamine</t>
    <phoneticPr fontId="1" type="noConversion"/>
  </si>
  <si>
    <t>DEA는 EO와 암모니아 반응으로 생산되는 에탄올아민류 중간체로, 글리포세이트·DEIPA·계면활성제·가스처리 등에 사용된다.</t>
  </si>
  <si>
    <t>Glyphosate intermediate, DEIPA cement grinding aid, gas purification, surfactants, emulsifiers, metalworking fluids</t>
  </si>
  <si>
    <t>Agriculture &amp; Resource (glyphosate herbicide intermediate, gas purification), Construction &amp; Infrastructure (DEIPA cement grinding aid), Consumer &amp; Personal Care (surfactants/emulsifiers), Industrial Manufacturing (metalworking fluids, corrosion inhibitors)</t>
  </si>
  <si>
    <t>DEA는 글리포세이트 수요의 규제·대체공정 리스크가 있으나 DEIPA cement grinding aid가 성장 용도로 부상하고 있다. 중국 에탄올아민 증설로 공급 리스크가 높다.</t>
  </si>
  <si>
    <t>MEA는 EO와 암모니아를 반응시켜 생산되며, 반응 조건 조절을 통해 MEA·DEA·TEA 제품 분포를 조절한다. 이후 암모니아 회수 및 분별증류로 제품을 정제한다.</t>
    <phoneticPr fontId="1" type="noConversion"/>
  </si>
  <si>
    <t>DEA는 EO와 암모니아 반응으로 MEA/DEA/TEA 혼합물을 만든 뒤 증류 분리해 생산한다. DEA 생산은 MEA와 EO를 무수 조건에서 반응시키는 방식으로 비중을 높일 수 있다.</t>
    <phoneticPr fontId="1" type="noConversion"/>
  </si>
  <si>
    <t>Application</t>
  </si>
  <si>
    <t>설명</t>
  </si>
  <si>
    <t>전략적 의미</t>
  </si>
  <si>
    <t>Glyphosate intermediate</t>
  </si>
  <si>
    <t>DEA는 제초제 glyphosate 합성 중간체로 사용됩니다. 다만 중국의 glycine route 확대와 환경규제·저항성 잡초 이슈로 성장성은 제한됩니다.</t>
  </si>
  <si>
    <t>Agriculture &amp; Resource</t>
  </si>
  <si>
    <t>기존 대형 용도이나 구조적 리스크 존재</t>
  </si>
  <si>
    <t>DEIPA cement grinding aid</t>
  </si>
  <si>
    <t>DEA는 DEIPA 원료로 사용되며, DEIPA는 시멘트 분쇄 효율 개선·입자 응집 방지·장기 강도 개선 목적으로 사용됩니다. TEA를 대체하는 성장 용도입니다.</t>
  </si>
  <si>
    <t>Construction &amp; Infrastructure</t>
  </si>
  <si>
    <t>DEA의 가장 유망한 성장 application</t>
  </si>
  <si>
    <t>Surfactants / emulsifiers</t>
  </si>
  <si>
    <t>DEA는 fatty alkanolamides, ethanolamine salts 등 계면활성제·유화제 원료로 사용되어 세제, 샴푸, 크림, 로션 등에 적용됩니다. 다만 nitrosamine 우려로 일부 용도는 MEA/TEA 등으로 대체되었습니다.</t>
  </si>
  <si>
    <t>Consumer &amp; Personal Care</t>
  </si>
  <si>
    <t>성숙 시장, 규제·대체 리스크 존재</t>
  </si>
  <si>
    <t>Gas purification</t>
  </si>
  <si>
    <t>DEA는 산성가스 처리에서 H₂S/CO₂ 흡수용 amine으로 사용됩니다. 특히 H₂S가 높은 조건에서 MEA 대비 재생 손실 측면의 장점이 언급됩니다.</t>
  </si>
  <si>
    <t>Agriculture &amp; Resource / Industrial Manufacturing</t>
  </si>
  <si>
    <t>정유·가스 처리 연계 용도</t>
  </si>
  <si>
    <t>Metalworking fluids</t>
  </si>
  <si>
    <t>DEA는 절삭유·윤활유·냉각계에서 부식방지제/중화 amine으로 쓰였으나, nitrosamine 우려로 금속가공유에서는 TEA 및 다른 amine으로 상당 부분 대체되었습니다.</t>
  </si>
  <si>
    <t>Industrial Manufacturing</t>
  </si>
  <si>
    <t>과거 용도, 성장성 낮음</t>
  </si>
  <si>
    <t>##</t>
    <phoneticPr fontId="1" type="noConversion"/>
  </si>
  <si>
    <t>TEA는 EO와 암모니아 반응으로 생산되는 에탄올아민류 제품으로, 시멘트 첨가제·계면활성제·금속가공유·개인생활용품 등에 폭넓게 사용된다.</t>
  </si>
  <si>
    <t>TEA는 에틸렌옥사이드와 암모니아 반응 후 생성되는 에탄올아민 혼합물을 증류 분리하여 생산하며, EO 투입비를 높이면 TEA 수율을 높일 수 있다.</t>
  </si>
  <si>
    <t>Cement grinding aid, surfactants, fabric softeners, personal care formulations, metalworking fluids, corrosion inhibitors</t>
  </si>
  <si>
    <t>TEA는 전통적으로 cement grinding aid와 계면활성제 시장이 핵심이나, 최근에는 DEIPA 확대로 일부 시멘트용 수요 대체 리스크가 존재한다. 생활용품·세제용은 안정적이나 성숙 시장 성격이 강하다.</t>
  </si>
  <si>
    <t>Cement grinding aid / concrete additive</t>
  </si>
  <si>
    <t>시멘트 분쇄 공정에서 입자 간 응집을 줄이고 분쇄 효율을 높이며, 콘크리트 경화·수분 증발 조절에도 사용됩니다. 다만 DEIPA가 TEA를 대체하는 추세가 있어 성장성은 제한적입니다.</t>
  </si>
  <si>
    <t>전통적 대형 용도이나 DEIPA 대체 리스크</t>
  </si>
  <si>
    <t>Surfactants / detergents</t>
  </si>
  <si>
    <t>TEA는 DDBS·lauryl sulfate 등을 중화해 TEA salt 형태의 계면활성제를 만들며, 액체세제·샴푸·크림·로션·버블배스 등에 사용됩니다.</t>
  </si>
  <si>
    <t>Personal care formulations</t>
  </si>
  <si>
    <t>TEA lauryl sulfate, TEA lauryl ether sulfate, TEA stearate 형태로 샴푸, 바디워시, 쉐이빙크림, 비누, 젤 클렌저 등에 들어가며 피부 자극이 낮은 formulation에 적합합니다.</t>
  </si>
  <si>
    <t>formulation know-how 중요</t>
  </si>
  <si>
    <t>Fabric softeners / ester quats</t>
  </si>
  <si>
    <t>TEA는 지방산과 반응해 ester quat 계 섬유유연제 원료로 쓰이며, 생분해성 측면에서 기존 유연제 대비 장점이 있습니다.</t>
  </si>
  <si>
    <t>세제·홈케어 연계 specialty 용도</t>
  </si>
  <si>
    <t>Metalworking fluids / corrosion inhibitors</t>
  </si>
  <si>
    <t>절삭유·윤활유·냉각수 시스템에서 중화 amine 및 부식방지제로 사용되며, DEA 대체재로 TEA 사용이 확대된 영역입니다.</t>
  </si>
  <si>
    <t>산업용 안정 수요</t>
  </si>
  <si>
    <t>Wax, polish, cleaners</t>
  </si>
  <si>
    <t>가구·바닥·자동차 왁스, all-purpose cleaner에서 유화제·세정성·부식 억제 기능을 제공합니다.</t>
  </si>
  <si>
    <t>Consumer &amp; Personal Care / Industrial Manufacturing</t>
  </si>
  <si>
    <t>소량 다품종 formulation 시장</t>
  </si>
  <si>
    <t>TEA도 산성가스 처리에 사용 가능하지만 반응성이 낮아 MEA/DEA 대비 활용도는 낮습니다.</t>
  </si>
  <si>
    <t>Water &amp; Environmental Solutions / Industrial Manufacturing</t>
  </si>
  <si>
    <t>보조적 용도</t>
  </si>
  <si>
    <t>Construction &amp; Infrastructure (cement grinding aid, concrete additive), Consumer &amp; Personal Care (detergent, shampoo, cream, fabric softener), Industrial Manufacturing (metalworking fluids, corrosion inhibitors), Water &amp; Environmental Solutions (gas treatment formulations)</t>
    <phoneticPr fontId="1" type="noConversion"/>
  </si>
  <si>
    <t>Construction &amp; Infrastructure; Consumer &amp; Personal Care</t>
    <phoneticPr fontId="1" type="noConversion"/>
  </si>
  <si>
    <t>MEG (Mono Ethylene Glycol)</t>
  </si>
  <si>
    <t>MEG는 EO hydration으로 생산되는 가장 대표적인 EO downstream 제품으로, 주로 PET 수지·폴리에스터 섬유·부동액용으로 사용되는 대규모 commodity 화학제품이다.</t>
  </si>
  <si>
    <t>주로 EO의 비촉매 수화반응으로 생산되며, Dow METEOR·Shell OMEGA 같은 selective hydration 기술은 MEG 수율을 높인다. 중국에서는 coal-to-MEG(CTM) 공정도 대규모 상용화되었다.</t>
  </si>
  <si>
    <t>PET resin, polyester fiber, antifreeze/coolant, heat transfer fluids, polyester polyols, unsaturated polyester resins</t>
  </si>
  <si>
    <t>Net Export</t>
  </si>
  <si>
    <t>Very High</t>
  </si>
  <si>
    <t>Low Priority</t>
  </si>
  <si>
    <t>글로벌 MEG 수요의 92% 이상이 PET/polyester chain에 집중되어 있어 사실상 polyester 산업의 방향성이 시장을 결정한다. 중국 CTM 기반 증설로 구조적 oversupply 상태가 지속되고 있으며 operating rate가 70% 이하에 머물고 있다. 중동은 원가 경쟁력이 매우 높고, 한국/대만/일본은 상대적으로 불리한 구조다. EO swing 전략(HPEO diversion)이 중요해지고 있다.</t>
  </si>
  <si>
    <t>CEH_Ethylene_Glycols.pdf</t>
  </si>
  <si>
    <t>롯데케미칼(1130), 한화토탈에너지스(218), 대한유화(200)</t>
    <phoneticPr fontId="1" type="noConversion"/>
  </si>
  <si>
    <t>Net Import (Export → Import, 2020)</t>
    <phoneticPr fontId="1" type="noConversion"/>
  </si>
  <si>
    <t>Shell OMEGA, Dow METEOR, Scientific Design</t>
    <phoneticPr fontId="1" type="noConversion"/>
  </si>
  <si>
    <t>Packaging &amp; Consumer Materials (PET bottle resin, film), Textiles &amp; Apparel (polyester fiber), Automotive &amp; Future Mobility (engine coolant/antifreeze), Construction &amp; Infrastructure (UPR/polyester polyols), Industrial Manufacturing (heat transfer fluids, solvents)</t>
    <phoneticPr fontId="1" type="noConversion"/>
  </si>
  <si>
    <t>Packaging &amp; Consumer Materials</t>
  </si>
  <si>
    <t>PET bottle resin</t>
  </si>
  <si>
    <t>MEG는 PTA와 반응해 PET를 만들며, 생수·탄산음료·식품 포장용 bottle resin에 사용됩니다.</t>
  </si>
  <si>
    <t>Consumer &amp; Personal Care / Food &amp; Nutrition</t>
  </si>
  <si>
    <t>최대 수요처, packaging 성장과 연동</t>
  </si>
  <si>
    <t>Polyester fiber</t>
  </si>
  <si>
    <t>의류·홈텍스타일·산업용 섬유용 polyester의 핵심 원료입니다. 중국 및 신흥국 섬유 수요가 MEG 수요를 견인합니다.</t>
  </si>
  <si>
    <t>Industrial Manufacturing / Consumer &amp; Personal Care</t>
  </si>
  <si>
    <t>MEG 수요의 구조적 핵심</t>
  </si>
  <si>
    <t>PET film</t>
  </si>
  <si>
    <t>포장재, 필름, 시트 등 PET film 제조에 사용됩니다.</t>
  </si>
  <si>
    <t>Industrial Manufacturing / Semiconductor &amp; Advanced Electronics</t>
  </si>
  <si>
    <t>범용 film 중심, 일부 고기능 film 연계</t>
  </si>
  <si>
    <t>Antifreeze / engine coolant</t>
  </si>
  <si>
    <t>MEG는 어는점을 낮추고 끓는점을 높여 자동차 냉각수·부동액의 active ingredient로 사용됩니다.</t>
  </si>
  <si>
    <t>Automotive &amp; Future Mobility</t>
  </si>
  <si>
    <t>안정적이나 장수명 냉각수·EV 전환 영향</t>
  </si>
  <si>
    <t>Heat-transfer fluids</t>
  </si>
  <si>
    <t>냉동·공조·산업 공정에서 열전달 유체로 사용됩니다.</t>
  </si>
  <si>
    <t>소규모 안정 수요</t>
  </si>
  <si>
    <t>Unsaturated polyester resin (UPR)</t>
  </si>
  <si>
    <t>MEG는 UPR 및 polyester계 수지 원료로 사용되어 건축재·복합재 등에 적용됩니다.</t>
  </si>
  <si>
    <t>건설·복합재 경기와 연동</t>
  </si>
  <si>
    <t>Polyester polyols / plasticizers / esters</t>
  </si>
  <si>
    <t>폴리우레탄용 polyester polyol, ester, ether, plasticizer 등 다양한 산업용 중간체로 쓰입니다.</t>
  </si>
  <si>
    <t>소량 다품종 downstream</t>
  </si>
  <si>
    <t>안정적 수요, 성숙 시장</t>
    <phoneticPr fontId="1" type="noConversion"/>
  </si>
  <si>
    <t>https://www.scidesign.com/products/technology-licensing/</t>
    <phoneticPr fontId="1" type="noConversion"/>
  </si>
  <si>
    <t>VAM은 에틸렌·초산·산소를 원료로 생산되는 핵심 중간체로, EVA·PVA·PVAc·EVOH 등의 원료로 사용되는 범용 vinyl 계 화학제품이다.</t>
  </si>
  <si>
    <t>현대 공정은 에틸렌·초산·산소를 Pd 촉매 하에서 기상 산화 반응시켜 생산하며, 과거 acetylene route는 대부분 퇴출되었다.</t>
  </si>
  <si>
    <t>EVA, PVA, PVAc adhesives, EVOH barrier resin, emulsions, coatings</t>
  </si>
  <si>
    <t>EVA solar encapsulant 수요가 VAM 시장의 핵심 성장 동력이다. 다만 중국 중심 EVA/VAM 증설로 구조적 oversupply 가능성이 높으며, 장기적으로는 POE encapsulant 전환 리스크가 존재한다.</t>
  </si>
  <si>
    <t>CEH_Ethylene-Vinyl_Acetate__EVA_.pdf</t>
  </si>
  <si>
    <t>EVA</t>
  </si>
  <si>
    <t>VAM을 에틸렌과 공중합해 EVA를 만들며, VAM 함량에 따라 packaging film, foam, wire &amp; cable, solar encapsulant로 사용됩니다. 특히 solar PV encapsulant가 가장 빠르게 성장하는 용도입니다.</t>
  </si>
  <si>
    <t>Renewable Energy, Consumer &amp; Personal Care, Power &amp; Electrical Infrastructure</t>
  </si>
  <si>
    <t>VAM 성장의 핵심 driver</t>
  </si>
  <si>
    <t>PVAc</t>
  </si>
  <si>
    <t>Polyvinyl acetate는 접착제, 목공용 접착제, 종이/포장 접착제, 코팅 등에 사용됩니다.</t>
  </si>
  <si>
    <t>Construction &amp; Infrastructure, Industrial Manufacturing</t>
  </si>
  <si>
    <t>안정적 성숙 수요</t>
  </si>
  <si>
    <t>PVA</t>
  </si>
  <si>
    <t>Polyvinyl alcohol은 수용성 필름, 섬유 sizing, 접착제, 종이 코팅, emulsion 안정제 등에 사용됩니다.</t>
  </si>
  <si>
    <t>Industrial Manufacturing, Packaging, Consumer &amp; Personal Care</t>
  </si>
  <si>
    <t>고부가 specialty 일부 존재</t>
  </si>
  <si>
    <t>VAE emulsion</t>
  </si>
  <si>
    <t>VAM 함량이 높은 vinyl acetate-ethylene emulsion은 페인트, 코팅, 접착제, nonwoven binder, 건축용 redispersible powder 등에 사용됩니다.</t>
  </si>
  <si>
    <t>Construction &amp; Infrastructure, Consumer &amp; Personal Care, Industrial Manufacturing</t>
  </si>
  <si>
    <t>건축·접착제 연계 안정 수요</t>
  </si>
  <si>
    <t>EVOH</t>
  </si>
  <si>
    <t>Ethylene vinyl alcohol은 고차단성 포장재로 사용되며, 산소 차단성이 필요한 식품·의약품 포장에 적용됩니다.</t>
  </si>
  <si>
    <t>Food &amp; Nutrition, Healthcare &amp; Medical, Packaging</t>
  </si>
  <si>
    <t>고기능 barrier resin, 진입장벽 상대적으로 높음</t>
  </si>
  <si>
    <t>Coatings / adhesives / sealants</t>
  </si>
  <si>
    <t>VAM계 polymer는 접착력·필름 형성성·유연성이 좋아 수성 접착제, 코팅, 실란트에 사용됩니다.</t>
  </si>
  <si>
    <t>범용+specialty 혼합 시장</t>
  </si>
  <si>
    <t>롯데이네오스화학(460)</t>
    <phoneticPr fontId="1" type="noConversion"/>
  </si>
  <si>
    <t>Net Export (Import → Export, 2021)</t>
    <phoneticPr fontId="1" type="noConversion"/>
  </si>
  <si>
    <t>Celanese</t>
    <phoneticPr fontId="1" type="noConversion"/>
  </si>
  <si>
    <t>https://www.celanese.com/products/vinyl-acetate;</t>
    <phoneticPr fontId="1" type="noConversion"/>
  </si>
  <si>
    <t>EVA는 에틸렌과 VAM(Vinyl Acetate Monomer)의 공중합체로, VAM 함량에 따라 필름·폼·접착제·전선용 compound·태양광 encapsulant 등 다양한 물성을 구현하는 대표적인 ethylene copolymer이다.</t>
  </si>
  <si>
    <t>고압(high-pressure) tubular 또는 autoclave 공정에서 ethylene과 VAM을 peroxide 개시제 하에 자유라디칼 공중합하여 생산한다. 고 VAM grade는 autoclave 공정 비중이 높다.</t>
  </si>
  <si>
    <t>Solar PV encapsulant, EVA foam footwear, wire &amp; cable compounds, hot-melt adhesives, packaging films</t>
  </si>
  <si>
    <t>LyondellBasell Lupotech, ExxonMobil, Versalis, SABTEC</t>
  </si>
  <si>
    <t>Selective</t>
  </si>
  <si>
    <t>Renewable Energy (EVA solar PV encapsulant), Power &amp; Electrical Infrastructure (EVA wire &amp; cable compounds), Construction &amp; Infrastructure (PVAc/VAE adhesives, coatings, sealants), Industrial Manufacturing (PVA, PVAc, emulsions, coatings), Food &amp; Nutrition (EVOH barrier packaging), Healthcare &amp; Medical (EVOH barrier packaging)</t>
    <phoneticPr fontId="1" type="noConversion"/>
  </si>
  <si>
    <t>Renewable Energy</t>
  </si>
  <si>
    <t>Renewable Energy, Power &amp; Electrical Infrastructure</t>
    <phoneticPr fontId="1" type="noConversion"/>
  </si>
  <si>
    <t>한화솔루션(363), LG화학(275)</t>
    <phoneticPr fontId="1" type="noConversion"/>
  </si>
  <si>
    <t>EVA 시장의 핵심 성장동력은 태양광용 encapsulant이다. 다만 중국 중심 대규모 증설과 POE encapsulant 전환 가능성으로 장기적인 margin volatility가 높다. 고VA content 및 solar-grade formulation/customer approval이 핵심 경쟁력이다.</t>
    <phoneticPr fontId="1" type="noConversion"/>
  </si>
  <si>
    <t>Solar PV encapsulant</t>
  </si>
  <si>
    <t>EVA sheet는 태양광 셀을 보호·고정하는 봉지재로 쓰입니다. 투명성, 접착성, 내구성이 중요하며 보통 약 28% VAM grade가 사용됩니다.</t>
  </si>
  <si>
    <t>최대 성장 application. 다만 POE 대체 리스크 존재</t>
  </si>
  <si>
    <t>Footwear / sports foam</t>
  </si>
  <si>
    <t>EVA foam은 가볍고 충격흡수성이 좋아 신발 midsole, 슬리퍼, 요가매트, 보호장비 등에 사용됩니다. 보통 15–22% VAM grade가 많이 쓰입니다.</t>
  </si>
  <si>
    <t>안정적 소비재 수요, 브랜드/가공성 중요</t>
  </si>
  <si>
    <t>Wire &amp; cable compound</t>
  </si>
  <si>
    <t>EVA는 유연성, stress-crack resistance, 난연 filler 수용성이 좋아 전선 피복·절연재에 사용됩니다.</t>
  </si>
  <si>
    <t>Power &amp; Electrical Infrastructure</t>
  </si>
  <si>
    <t>전력망·재생에너지·EV 인프라와 연계</t>
  </si>
  <si>
    <t>Hot-melt adhesives</t>
  </si>
  <si>
    <t>고 VAM EVA는 접착성·빠른 setting 특성으로 포장, 목공, 자동차, 매트리스용 hot-melt adhesive에 사용됩니다.</t>
  </si>
  <si>
    <t>Construction &amp; Infrastructure / Industrial Manufacturing</t>
  </si>
  <si>
    <t>고 VAM grade 중심 specialty 성격</t>
  </si>
  <si>
    <t>Packaging film / sheet</t>
  </si>
  <si>
    <t>저~중 VAM EVA는 투명성, heat-sealability, 저온 유연성이 좋아 식품·비식품 포장 film에 쓰입니다.</t>
  </si>
  <si>
    <t>성숙 시장, LDPE/LLDPE와 경쟁</t>
  </si>
  <si>
    <t>Agriculture film</t>
  </si>
  <si>
    <t>greenhouse cover, mulch film 등에 사용되어 작물 보호와 수확량 개선에 기여합니다.</t>
  </si>
  <si>
    <t>개발도상국 중심 점진 성장</t>
  </si>
  <si>
    <t>Molded goods / extrusion coating</t>
  </si>
  <si>
    <t>장난감, 생활용품, 자동차 부품, 종이·foil laminate coating 등에 사용됩니다.</t>
  </si>
  <si>
    <t>소량 다품종 용도</t>
  </si>
  <si>
    <t>Renewable Energy (solar PV encapsulant), Consumer &amp; Personal Care (footwear foam, sports/leisure goods), Power &amp; Electrical Infrastructure (wire &amp; cable insulation/jacketing), Construction &amp; Infrastructure (adhesives, sealants), Agriculture &amp; Resource (greenhouse and mulch films), Industrial Manufacturing (packaging films, extrusion coating, molded goods)</t>
    <phoneticPr fontId="1" type="noConversion"/>
  </si>
  <si>
    <t>Renewable Energy, Consumer &amp; Personal Care</t>
    <phoneticPr fontId="1" type="noConversion"/>
  </si>
  <si>
    <t>&gt; 태양광용 고부가 grade와 소비재 foam grade가 핵심입니다. 2025년 글로벌 EVA 수요는 solar 41%, consumer goods 21%, wire &amp; cable 13%, packaging 11%, adhesive &amp; sealant 7% 구조이며, 중국 증설과 POE 대체 가능성이 가장 중요한 리스크</t>
    <phoneticPr fontId="1" type="noConversion"/>
  </si>
  <si>
    <t>Acetaldehyde는 에틸렌 산화(Wacker process), ethanol 탈수소/부분산화 등으로 생산되는 기초 aldehyde 중간체로, pyridines·pentaerythritol·acetate esters 등의 원료로 사용된다. 글로벌 시장은 장기적으로 구조적 축소 추세에 있다.</t>
  </si>
  <si>
    <t>상업 공정은 ethylene liquid-phase oxidation(Wacker process), ethanol dehydrogenation/partial oxidation, acetylene hydration 등이 있으며 현재는 ethylene 및 ethanol route가 주류이다.</t>
  </si>
  <si>
    <t>Pyridines, pentaerythritol, acetate esters, acetic acid, crotonaldehyde, 1,3-butylene glycol</t>
  </si>
  <si>
    <t>Agriculture &amp; Resource (pyridines/agrochemicals), Construction &amp; Infrastructure (pentaerythritol alkyd coatings), Consumer &amp; Personal Care (1,3-butylene glycol cosmetics, fragrance intermediates), Industrial Manufacturing (acetate esters solvents, crotonaldehyde intermediates), Food &amp; Nutrition (sorbic acid preservatives)</t>
  </si>
  <si>
    <t>Wacker/Hoechst technology historically, Libra Techcon (ethanol route)</t>
  </si>
  <si>
    <t>CEH_Acetaldehyde.pdf</t>
  </si>
  <si>
    <t>Pyridines / pyridine bases</t>
  </si>
  <si>
    <t>Acetaldehyde와 ammonia 반응으로 pyridine·picoline류를 만들며, 농약, niacin/niacinamide, 의약 중간체에 사용됩니다.</t>
  </si>
  <si>
    <t>Agriculture &amp; Resource / Healthcare &amp; Medical</t>
  </si>
  <si>
    <t>최대 수요처이나 paraquat 규제 영향 존재</t>
  </si>
  <si>
    <t>Pentaerythritol</t>
  </si>
  <si>
    <t>Acetaldehyde와 formaldehyde 축합으로 생산되며, alkyd coating resin, synthetic lubricant, rosin/tall oil ester 등에 사용됩니다.</t>
  </si>
  <si>
    <t>coating·윤활유 연계 주요 성장처</t>
  </si>
  <si>
    <t>Acetate esters</t>
  </si>
  <si>
    <t>Ethyl acetate 등 용제 생산에 사용되며, coatings, inks, pharma/cosmetic extraction solvent 등에 쓰입니다.</t>
  </si>
  <si>
    <t>과거 대형 용도였으나 대체공정과 경쟁</t>
  </si>
  <si>
    <t>1,3-Butylene glycol</t>
  </si>
  <si>
    <t>Acetaldehyde self-condensation 후 hydrogenation으로 생산되며, 화장품·스킨케어 보습제/안정제로 사용됩니다.</t>
  </si>
  <si>
    <t>소규모지만 비교적 specialty 성격</t>
  </si>
  <si>
    <t>Crotonaldehyde / sorbic acid</t>
  </si>
  <si>
    <t>Acetaldehyde aldol condensation으로 crotonaldehyde를 만들고, 일부는 sorbic acid 식품보존제로 연결됩니다.</t>
  </si>
  <si>
    <t>Food &amp; Nutrition / Industrial Manufacturing</t>
  </si>
  <si>
    <t>niche intermediate</t>
  </si>
  <si>
    <t>Acetic acid</t>
  </si>
  <si>
    <t>과거 acetaldehyde 기반 acetic acid가 중요했으나, 현재는 methanol carbonylation 공정에 대부분 대체되었습니다.</t>
  </si>
  <si>
    <t>구조적 축소 용도</t>
  </si>
  <si>
    <t>Glyoxal / glyoxylic acid</t>
  </si>
  <si>
    <t>Acetaldehyde 산화로 glyoxal을 만들며, paper chemicals, textile finishing, advanced intermediates에 사용됩니다.</t>
  </si>
  <si>
    <t>일부 지역 제한적 용도</t>
  </si>
  <si>
    <t>Acetaldehyde 시장은 methanol carbonylation 기반 acetic acid, oxo alcohol route 등 대체공정 확산으로 장기 축소 산업이다. 현재는 pyridines와 pentaerythritol 중심 niche intermediate 성격이 강하며 지역 기반 captive 수요 중심으로 운영된다. 물질 특성상 장거리 교역이 제한적이다.
Acetaldehyde는 pyridines와 pentaerythritol 중심의 niche intermediate입니다. 2023년 글로벌 소비 비중은 pyridines 30%, pentaerythritol 29%, acetate esters 5%, acetic acid 2%, 기타 33% 수준입니다. 다만 acetic acid·ethyl acetate 등 과거 대형 용도는 더 저렴한 대체공정으로 전환되어 장기 성장성은 제한적</t>
    <phoneticPr fontId="1" type="noConversion"/>
  </si>
  <si>
    <t>EPDM은 ethylene·propylene과 소량의 비공액 diene(ENB, DCPD 등)을 공중합한 합성고무로, 내열·내후·내오존 특성이 우수해 자동차 씰, 전선, 건축 방수시트 등에 사용되는 대표적인 고기능 범용 elastomer이다.</t>
  </si>
  <si>
    <t>ExxonMobil, Dow, Versalis, ARLANXEO</t>
  </si>
  <si>
    <t>CEH_Ethylene-Propylene_Elastomers.pdf ; CEH_Elastomers_Overview.pdf</t>
  </si>
  <si>
    <t>금호폴리켐(310), 롯데베르살리스엘라스토머스(96)</t>
    <phoneticPr fontId="1" type="noConversion"/>
  </si>
  <si>
    <t>Automotive weatherseals</t>
  </si>
  <si>
    <t>도어·윈도우 씰, 웨더스트립, 글라스런 등에 사용됩니다. EPDM의 내오존·내후·내열성이 강점입니다.</t>
  </si>
  <si>
    <t>최대 수요처, 완성차 생산량과 연동</t>
  </si>
  <si>
    <t>Automotive hoses / under-hood parts</t>
  </si>
  <si>
    <t>냉각수 호스, 히터 호스, 가스켓 등 열·노화 저항이 필요한 부품에 사용됩니다.</t>
  </si>
  <si>
    <t>EV에서도 thermal management 부품 수요 유지</t>
  </si>
  <si>
    <t>Single-ply roofing membrane</t>
  </si>
  <si>
    <t>지붕 방수시트, 건축용 membrane에 사용됩니다. 자외선·오존·날씨 저항성이 중요합니다.</t>
  </si>
  <si>
    <t>비자동차 대형 안정 수요</t>
  </si>
  <si>
    <t>Wire &amp; cable insulation/jacketing</t>
  </si>
  <si>
    <t>전선 피복·절연재로 사용되며, 전기적 특성과 내후성이 강점입니다.</t>
  </si>
  <si>
    <t>전력망·인프라 투자와 연계</t>
  </si>
  <si>
    <t>Polymer modification / TPV</t>
  </si>
  <si>
    <t>PP 등과 블렌딩하거나 TPV 원료로 사용되어 자동차 내외장재, 유연 부품에 적용됩니다.</t>
  </si>
  <si>
    <t>Industrial Manufacturing / Automotive &amp; Future Mobility</t>
  </si>
  <si>
    <t>경량화·TPE 전환 수혜</t>
  </si>
  <si>
    <t>Oil additives</t>
  </si>
  <si>
    <t>윤활유 viscosity index improver로 사용됩니다.</t>
  </si>
  <si>
    <t>자동차·산업용 윤활유와 연동</t>
  </si>
  <si>
    <t>Appliance parts / miscellaneous rubber goods</t>
  </si>
  <si>
    <t>가전 부품, 고무 성형품, 스포츠 트랙·필드 등에 사용됩니다.</t>
  </si>
  <si>
    <t>소량 다품종 수요</t>
  </si>
  <si>
    <t>Ziegler-Natta 또는 metallocene 촉매 기반 solution/slurry polymerization으로 생산되며, ENB·DCPD·1,4-hexadiene 등의 diene을 도입해 sulfur/peroxide vulcanization이 가능하도록 한다.</t>
    <phoneticPr fontId="1" type="noConversion"/>
  </si>
  <si>
    <t>Automotive weatherseals, hoses, wire &amp; cable insulation, roofing membrane, TPV/TPO modification, oil additives</t>
    <phoneticPr fontId="1" type="noConversion"/>
  </si>
  <si>
    <t>Automotive &amp; Future Mobility (weatherseals, hoses, under-hood parts), Construction &amp; Infrastructure (single-ply roofing membrane, waterproofing), Power &amp; Electrical Infrastructure (wire &amp; cable insulation/jacketing), Industrial Manufacturing (TPV/TPO modification, appliance parts), Energy &amp; Resource (lubricant viscosity modifier/oil additive)</t>
    <phoneticPr fontId="1" type="noConversion"/>
  </si>
  <si>
    <t>EPDM은 자동차 sealing 및 TPV/TPO용 수요가 핵심이며, EV 확대에도 sealing·thermal management 부품 수요가 유지되는 장점이 있다. 다만 중국 증설과 자동차 경기 민감도가 높고, metallocene POE/TPE 일부 대체 가능성을 모니터링해야 한다. 한국은 Kumho Polychem 중심의 수출 경쟁력이 높다.
자동차가 중심이고, 건축 방수·전선·TPV가 보완 성장축입니다. EP elastomer 수요의 60% 이상이 자동차와 직간접적으로 연결되며, EPDM은 전체 EP elastomer 생산의 약 85%를 차지</t>
    <phoneticPr fontId="1" type="noConversion"/>
  </si>
  <si>
    <t>M086</t>
  </si>
  <si>
    <t>TDI (Toluene Diisocyanate)</t>
  </si>
  <si>
    <t>TDI는 toluene 기반 aromatic diisocyanate로, polyol과 반응해 polyurethane를 형성하는 핵심 원료이며 주로 flexible PU foam에 사용된다.</t>
  </si>
  <si>
    <t>Toluene을 질산 혼산으로 nitration하여 DNT를 만든 뒤 hydrogenation으로 TDA를 생산하고, 이를 phosgene과 반응시켜 TDI를 제조한다. 최근에는 Covestro gas-phase phosgenation 기술이 에너지·용매 사용을 크게 절감한다.</t>
  </si>
  <si>
    <t>Flexible polyurethane foam, automotive seating, mattresses, furniture cushioning, coatings, adhesives, elastomers</t>
  </si>
  <si>
    <t>Covestro, BASF, Wanhua, Mitsui Chemicals</t>
  </si>
  <si>
    <t>글로벌 TDI 시장은 highly concentrated 구조이며 flexible PU foam 의존도가 매우 높다. 중국 증설과 구조적 공급과잉 압력이 지속되고 있으며, 일부 용도는 MDI blend 전환이 진행 중이다. 반면 자동차 경량화·고급 bedding 수요는 중장기 지지 요인이다.</t>
  </si>
  <si>
    <t>CEH_Diisocyanates_And_Polyisocyanates.pdf</t>
  </si>
  <si>
    <t>한국바스프(160), 한화솔루션(150), OCI(50)</t>
    <phoneticPr fontId="1" type="noConversion"/>
  </si>
  <si>
    <t>Flexible PU foam</t>
  </si>
  <si>
    <t>TDI와 polyether polyol을 반응시켜 쿠션성 foam을 만듭니다. 매트리스, 소파, 의자, 일반 cushioning material이 대표 용도입니다.</t>
  </si>
  <si>
    <t>최대 수요처, 가구·침구 경기와 연동</t>
  </si>
  <si>
    <t>Automotive seating foam</t>
  </si>
  <si>
    <t>자동차 시트 쿠션, 헤드레스트, 암레스트 등에 사용됩니다. 일부 formulation에서는 TDI/MDI blend도 사용됩니다.</t>
  </si>
  <si>
    <t>자동차 생산량·내장재 고급화와 연동</t>
  </si>
  <si>
    <t>Acoustic / comfort foam</t>
  </si>
  <si>
    <t>자동차·가전·건축 내 흡음재, 진동완화재, comfort foam에 사용됩니다.</t>
  </si>
  <si>
    <t>Automotive &amp; Future Mobility / Industrial Manufacturing</t>
  </si>
  <si>
    <t>고기능 foam formulation 영역</t>
  </si>
  <si>
    <t>Surface coatings</t>
  </si>
  <si>
    <t>PU coating 원료로 사용되어 내마모성·탄성·접착성을 부여합니다.</t>
  </si>
  <si>
    <t>TDI 내 비중은 작지만 CASE 시장</t>
  </si>
  <si>
    <t>Adhesives &amp; sealants</t>
  </si>
  <si>
    <t>PU adhesive, sealant formulation에 사용됩니다.</t>
  </si>
  <si>
    <t>건축·산업용 안정 수요</t>
  </si>
  <si>
    <t>PU elastomers</t>
  </si>
  <si>
    <t>바퀴, 롤러, 산업용 탄성부품 등 PU elastomer 제조에 쓰입니다.</t>
  </si>
  <si>
    <t>소량 고부가 용도</t>
  </si>
  <si>
    <t>Consumer &amp; Personal Care (mattress, furniture cushioning), Automotive &amp; Future Mobility (automotive seating, acoustic foam), Construction &amp; Infrastructure (sealants, coatings, adhesives), Industrial Manufacturing (PU elastomers, CASE applications)</t>
    <phoneticPr fontId="1" type="noConversion"/>
  </si>
  <si>
    <t>Consumer &amp; Personal Care</t>
    <phoneticPr fontId="1" type="noConversion"/>
  </si>
  <si>
    <t>M020</t>
    <phoneticPr fontId="1" type="noConversion"/>
  </si>
  <si>
    <t>Lummus CATOFIN; Honeywell UOP Oleflex; KBR</t>
    <phoneticPr fontId="1" type="noConversion"/>
  </si>
  <si>
    <t>https://www.ineos.com/businesses/ineos-nitriles/products/acrylonitrile/; https://www.taekwang.co.kr/en/business/petrochemical; https://wits.worldbank.org/trade/comtrade/en/country/KOR/year/2024/tradeflow/Exports/partner/ALL/product/292610; https://wits.worldbank.org/trade/comtrade/en/country/KOR/year/2024/tradeflow/Imports/partner/ALL/product/292610; https://www.asahi-kasei.com/</t>
    <phoneticPr fontId="1" type="noConversion"/>
  </si>
  <si>
    <t>INEOS Nitriles AN technology/product page; Taekwang Industrial petrochemical business introduction; WITS/UN Comtrade Korea HS292610 trade statistics; Asahi Kasei acrylonitrile process references</t>
    <phoneticPr fontId="1" type="noConversion"/>
  </si>
  <si>
    <t>Strong integration with propylene chain and ABS/acrylic downstreams; China capacity expansion and weak acrylic fiber demand may pressure margins.</t>
    <phoneticPr fontId="1" type="noConversion"/>
  </si>
  <si>
    <t>INEOS Nitriles; Asahi Kasei</t>
    <phoneticPr fontId="1" type="noConversion"/>
  </si>
  <si>
    <t>Textile, Automotive, Electronics, Construction</t>
    <phoneticPr fontId="1" type="noConversion"/>
  </si>
  <si>
    <t>Acrylic fiber, ABS resin, acrylamide, nitrile rubber (NBR), carbon fiber precursor</t>
    <phoneticPr fontId="1" type="noConversion"/>
  </si>
  <si>
    <t>AN은 주로 프로필렌, 암모니아, 공기를 이용한 SOHIO ammoxidation 공정으로 상업 생산되며, 유동층 촉매 반응기가 사용된다.</t>
    <phoneticPr fontId="1" type="noConversion"/>
  </si>
  <si>
    <t>Acrylonitrile(AN)은 프로필렌과 암모니아를 원료로 산화 반응을 통해 생산되는 기초 석유화학 제품으로, 우수한 내화학성·기계적 강도를 바탕으로 ABS, Acrylic Fiber, NBR 등의 핵심 중간원료로 사용된다.</t>
    <phoneticPr fontId="1" type="noConversion"/>
  </si>
  <si>
    <t>Acylonitrile</t>
    <phoneticPr fontId="1" type="noConversion"/>
  </si>
  <si>
    <t>M021</t>
    <phoneticPr fontId="1" type="noConversion"/>
  </si>
  <si>
    <t>https://www.lgchem.com/product-detail/abs?lang=en_US; https://www.ineos-styrolution.com/; https://wits.worldbank.org/trade/comtrade/en/country/KOR/year/2024/tradeflow/Exports/partner/ALL/product/390330; https://wits.worldbank.org/trade/comtrade/en/country/KOR/year/2024/tradeflow/Imports/partner/ALL/product/390330; https://www.kumhopetrochemical.com/</t>
    <phoneticPr fontId="1" type="noConversion"/>
  </si>
  <si>
    <t>LG Chem ABS product page; INEOS Styrolution ABS technology/product information; WITS/UN Comtrade Korea HS390330 trade statistics; Kumho Petrochemical business overview</t>
    <phoneticPr fontId="1" type="noConversion"/>
  </si>
  <si>
    <t>Broad downstream demand in appliance and automotive sectors; differentiated grades and OEM approvals are important, but China capacity expansion is increasing competitive pressure.</t>
    <phoneticPr fontId="1" type="noConversion"/>
  </si>
  <si>
    <t>INEOS Styrolution; Versalis</t>
    <phoneticPr fontId="1" type="noConversion"/>
  </si>
  <si>
    <t>Automotive, home appliance, electronics, consumer goods, construction, office equipment industries</t>
    <phoneticPr fontId="1" type="noConversion"/>
  </si>
  <si>
    <t>Automotive parts, home appliance housing, electronics casing, office equipment, toys, household goods, industrial components</t>
    <phoneticPr fontId="1" type="noConversion"/>
  </si>
  <si>
    <t>ABS는 SAN 수지와 부타디엔 고무를 graft 중합하는 방식으로 생산되며, emulsion 및 mass 공정이 상업적으로 사용된다.</t>
    <phoneticPr fontId="1" type="noConversion"/>
  </si>
  <si>
    <t>ABS(Acrylonitrile Butadiene Styrene)는 아크릴로니트릴·부타디엔·스티렌을 중합해 제조하는 엔지니어링 플라스틱으로, 충격강도·가공성·외관 특성이 우수하다.</t>
    <phoneticPr fontId="1" type="noConversion"/>
  </si>
  <si>
    <t>ABS(Acrylonitrile Butadiene Styrene)</t>
    <phoneticPr fontId="1" type="noConversion"/>
  </si>
  <si>
    <t>M022</t>
    <phoneticPr fontId="1" type="noConversion"/>
  </si>
  <si>
    <t>https://www.lgchem.com/; https://www.ineos-styrolution.com/; https://wits.worldbank.org/trade/comtrade/en/country/KOR/year/2024/tradeflow/Exports/partner/ALL/product/390320; https://wits.worldbank.org/trade/comtrade/en/country/KOR/year/2024/tradeflow/Imports/partner/ALL/product/390320; https://www.kumhopetrochemical.com/</t>
    <phoneticPr fontId="1" type="noConversion"/>
  </si>
  <si>
    <t>LG Chem SAN product information; INEOS Styrolution SAN product overview; WITS/UN Comtrade Korea HS390320 trade statistics; Kumho Petrochemical product portfolio</t>
    <phoneticPr fontId="1" type="noConversion"/>
  </si>
  <si>
    <t>SAN demand is closely linked to ABS and appliance markets; transparent specialty grades offer some differentiation, but overall market remains cyclical.</t>
    <phoneticPr fontId="1" type="noConversion"/>
  </si>
  <si>
    <t>Electronics, Consumer goods, Packaging</t>
    <phoneticPr fontId="1" type="noConversion"/>
  </si>
  <si>
    <t>Appliance components, cosmetic packaging, battery cases, kitchenware, ABS intermediate</t>
    <phoneticPr fontId="1" type="noConversion"/>
  </si>
  <si>
    <t>SAN은 스티렌과 아크릴로니트릴을 연속 공중합하는 방식으로 생산되며, bulk 또는 solution 공정이 상업적으로 사용된다.</t>
    <phoneticPr fontId="1" type="noConversion"/>
  </si>
  <si>
    <t>SAN(Styrene Acrylonitrile)은 스티렌과 아크릴로니트릴을 공중합한 투명 열가소성 수지로, 내열성·내화학성·강성이 우수하다.</t>
    <phoneticPr fontId="1" type="noConversion"/>
  </si>
  <si>
    <t>SAN</t>
    <phoneticPr fontId="1" type="noConversion"/>
  </si>
  <si>
    <t>M023</t>
    <phoneticPr fontId="1" type="noConversion"/>
  </si>
  <si>
    <t>https://www.kumhopetrochemical.com/; https://www.arlanxeo.com/en/our-business/products/nbr; https://wits.worldbank.org/trade/comtrade/en/country/KOR/year/2024/tradeflow/Exports/partner/ALL/product/400259; https://wits.worldbank.org/trade/comtrade/en/country/KOR/year/2024/tradeflow/Imports/partner/ALL/product/400259; https://www.lgchem.com/</t>
    <phoneticPr fontId="1" type="noConversion"/>
  </si>
  <si>
    <t>Kumho Petrochemical synthetic rubber product overview; ARLANXEO NBR product information; WITS/UN Comtrade Korea HS400259 trade statistics; LG Chem elastomer business information</t>
    <phoneticPr fontId="1" type="noConversion"/>
  </si>
  <si>
    <t>Demand is supported by automotive and industrial sealing applications; nitrile glove demand volatility and China synthetic rubber expansion may impact margins.</t>
    <phoneticPr fontId="1" type="noConversion"/>
  </si>
  <si>
    <t>ARLANXEO; Zeon</t>
    <phoneticPr fontId="1" type="noConversion"/>
  </si>
  <si>
    <t>Automotive, Industrial, Healthcare, Consumer goods</t>
    <phoneticPr fontId="1" type="noConversion"/>
  </si>
  <si>
    <t>Automotive seals and hoses, industrial gloves, oil-resistant gaskets, belts, footwear</t>
    <phoneticPr fontId="1" type="noConversion"/>
  </si>
  <si>
    <t>NBR은 부타디엔과 아크릴로니트릴을 유화중합(emulsion polymerization) 방식으로 생산하며, 고무 라텍스 및 solid rubber 형태로 제조된다.</t>
    <phoneticPr fontId="1" type="noConversion"/>
  </si>
  <si>
    <t>NBR(Nitrile Butadiene Rubber)은 부타디엔과 아크릴로니트릴을 공중합한 합성고무로, 내유성·내마모성·내화학성이 우수하다.</t>
    <phoneticPr fontId="1" type="noConversion"/>
  </si>
  <si>
    <t>NBR</t>
    <phoneticPr fontId="1" type="noConversion"/>
  </si>
  <si>
    <t>M024</t>
    <phoneticPr fontId="1" type="noConversion"/>
  </si>
  <si>
    <t>https://corporate.evonik.com/en/businesses/smart-materials/hppo-technology-144123.html; https://www.skpicglobal.com/; https://www.kpb.co.kr/eng/; https://wits.worldbank.org/trade/comtrade/en/country/KOR/year/2024/tradeflow/Exports/partner/ALL/product/291020; https://wits.worldbank.org/trade/comtrade/en/country/KOR/year/2024/tradeflow/Imports/partner/ALL/product/291020</t>
    <phoneticPr fontId="1" type="noConversion"/>
  </si>
  <si>
    <t>Evonik/Uhde HPPO technology overview; SK picglobal company/product information; Kumho P&amp;B Chemicals business overview; WITS/UN Comtrade Korea HS291020 trade statistics</t>
    <phoneticPr fontId="1" type="noConversion"/>
  </si>
  <si>
    <t>Strategic intermediate for polyurethane chain; HPPO adoption improves environmental profile, but China PO and polyol capacity expansion may pressure profitability.</t>
    <phoneticPr fontId="1" type="noConversion"/>
  </si>
  <si>
    <t>Evonik/Uhde HPPO; Shell; LyondellBasell</t>
    <phoneticPr fontId="1" type="noConversion"/>
  </si>
  <si>
    <t>Construction, Automotive, Furniture, Appliance</t>
    <phoneticPr fontId="1" type="noConversion"/>
  </si>
  <si>
    <t>Polyether polyols, propylene glycol, glycol ethers, polyurethane foams</t>
    <phoneticPr fontId="1" type="noConversion"/>
  </si>
  <si>
    <t>PO는 chlorohydrin, PO/SM(Styrene Monomer co-product), HPPO(Hydrogen Peroxide to Propylene Oxide) 등의 공정으로 상업 생산된다.</t>
    <phoneticPr fontId="1" type="noConversion"/>
  </si>
  <si>
    <t>PO(Propylene Oxide)는 프로필렌 기반의 주요 중간체로, 무색의 반응성 액체이며 폴리우레탄 원료인 폴리올 및 프로필렌글리콜 생산에 사용된다.</t>
    <phoneticPr fontId="1" type="noConversion"/>
  </si>
  <si>
    <t>M026</t>
    <phoneticPr fontId="1" type="noConversion"/>
  </si>
  <si>
    <t>https://www.skc.kr/eng/; https://www.shell.com/business-customers/chemicals/our-products/propylene-glycols.html; https://www.basf.com/global/en/products/chemicals/intermediates/glycols/propylene-glycol.html; https://wits.worldbank.org/trade/comtrade/en/country/KOR/year/2024/tradeflow/Exports/partner/ALL/product/290532; https://wits.worldbank.org/trade/comtrade/en/country/KOR/year/2024/tradeflow/Imports/partner/ALL/product/290532</t>
    <phoneticPr fontId="1" type="noConversion"/>
  </si>
  <si>
    <t>SKC chemical business/product information; Shell propylene glycol product overview; WITS/UN Comtrade Korea HS290532 trade statistics; BASF glycols product information</t>
    <phoneticPr fontId="1" type="noConversion"/>
  </si>
  <si>
    <t>Broad downstream demand across industrial and consumer sectors; pharma/food grades require regulatory approvals and quality consistency.</t>
    <phoneticPr fontId="1" type="noConversion"/>
  </si>
  <si>
    <t>Shell; Dow; BASF</t>
    <phoneticPr fontId="1" type="noConversion"/>
  </si>
  <si>
    <t>Food, Pharmaceutical, Cosmetics, Construction</t>
    <phoneticPr fontId="1" type="noConversion"/>
  </si>
  <si>
    <t>Unsaturated polyester resin, food additives, pharmaceuticals, cosmetics, antifreeze</t>
    <phoneticPr fontId="1" type="noConversion"/>
  </si>
  <si>
    <t>PG는 주로 프로필렌옥사이드(PO)의 가수분해 공정을 통해 생산되며, 일부는 바이오 기반 글리세린 공정도 사용된다.</t>
    <phoneticPr fontId="1" type="noConversion"/>
  </si>
  <si>
    <t>PG(Propylene Glycol)는 프로필렌옥사이드 기반의 무색·무취 액상 화학제품으로, 보습성·용해성·저독성이 우수하다.</t>
    <phoneticPr fontId="1" type="noConversion"/>
  </si>
  <si>
    <t>M027</t>
    <phoneticPr fontId="1" type="noConversion"/>
  </si>
  <si>
    <t>KPX Chemical polyether polyol product information; BASF polyether polyol overview; Dow polyols information; WITS/UN Comtrade Korea HS390720 trade statistics</t>
    <phoneticPr fontId="1" type="noConversion"/>
  </si>
  <si>
    <t>Key intermediate for polyurethane systems with customized formulations and customer qualification requirements; downstream PU demand is linked to construction and automotive cycles.</t>
    <phoneticPr fontId="1" type="noConversion"/>
  </si>
  <si>
    <t>Dow; BASF; Shell</t>
    <phoneticPr fontId="1" type="noConversion"/>
  </si>
  <si>
    <t>Construction, Automotive, Furniture, Industrial</t>
    <phoneticPr fontId="1" type="noConversion"/>
  </si>
  <si>
    <t>Polyurethane foam, adhesives, sealants, elastomers, surfactants</t>
    <phoneticPr fontId="1" type="noConversion"/>
  </si>
  <si>
    <t>PPG는 프로필렌옥사이드(PO)를 개시제와 함께 음이온 중합하는 방식으로 생산되며, 분자량 및 기능기에 따라 다양한 grade가 제조된다.</t>
    <phoneticPr fontId="1" type="noConversion"/>
  </si>
  <si>
    <t>PPG(Polypropylene Glycol)는 프로필렌옥사이드를 중합해 제조하는 폴리에테르 폴리올 계열 제품으로, 점도와 분자량 조절이 가능하다.</t>
    <phoneticPr fontId="1" type="noConversion"/>
  </si>
  <si>
    <t>M028</t>
    <phoneticPr fontId="1" type="noConversion"/>
  </si>
  <si>
    <t>https://www.kpxchemical.co.kr/eng/; https://www.basf.com/global/en/products/plastics-rubber/polyurethanes.html; https://www.dow.com/en-us/product-technology/pt-polyurethanes/pg-polyether-polyols.html; https://wits.worldbank.org/trade/comtrade/en/country/KOR/year/2024/tradeflow/Exports/partner/ALL/product/390720; https://wits.worldbank.org/trade/comtrade/en/country/KOR/year/2024/tradeflow/Imports/partner/ALL/product/390720</t>
    <phoneticPr fontId="1" type="noConversion"/>
  </si>
  <si>
    <t>KPX Chemical polyol product information; BASF polyurethane raw materials overview; Dow polyols information; WITS/UN Comtrade Korea HS390720 trade statistics</t>
    <phoneticPr fontId="1" type="noConversion"/>
  </si>
  <si>
    <t>Polyurethane demand supports long-term growth in insulation and mobility applications; customized formulations and system-house relationships create moderate entry barriers.</t>
    <phoneticPr fontId="1" type="noConversion"/>
  </si>
  <si>
    <t>Construction, Furniture, Automotive, Appliance</t>
    <phoneticPr fontId="1" type="noConversion"/>
  </si>
  <si>
    <t>Polyols</t>
    <phoneticPr fontId="1" type="noConversion"/>
  </si>
  <si>
    <t>M029</t>
    <phoneticPr fontId="1" type="noConversion"/>
  </si>
  <si>
    <t>https://www.lgchem.com/product-detail/polypropylene-pp?lang=en_US; https://www.lummustechnology.com/technologies/novolen; https://wits.worldbank.org/trade/comtrade/en/country/KOR/year/2024/tradeflow/Exports/partner/ALL/product/390210; https://wits.worldbank.org/trade/comtrade/en/country/KOR/year/2024/tradeflow/Imports/partner/ALL/product/390210; https://www.polymirae.com/</t>
    <phoneticPr fontId="1" type="noConversion"/>
  </si>
  <si>
    <t>LG Chem PP product page; Lummus Novolen PP technology information; WITS/UN Comtrade Korea HS390210 trade statistics; PolyMirae company information</t>
    <phoneticPr fontId="1" type="noConversion"/>
  </si>
  <si>
    <t>Commodity polyolefin market with strong integration to propylene chain; differentiated automotive and metallocene grades offer premium potential, but China oversupply risk is significant.</t>
    <phoneticPr fontId="1" type="noConversion"/>
  </si>
  <si>
    <t>LyondellBasell; W. R. Grace; INEOS; Lummus Novolen</t>
    <phoneticPr fontId="1" type="noConversion"/>
  </si>
  <si>
    <t>Packaging, Automotive, Consumer goods, Textile</t>
    <phoneticPr fontId="1" type="noConversion"/>
  </si>
  <si>
    <t>Packaging, automotive parts, fibers, household goods, appliances</t>
    <phoneticPr fontId="1" type="noConversion"/>
  </si>
  <si>
    <t>PP는 Ziegler-Natta 또는 metallocene 촉매를 이용한 slurry, bulk, gas phase 중합 공정으로 상업 생산된다.</t>
    <phoneticPr fontId="1" type="noConversion"/>
  </si>
  <si>
    <t>PP(Polypropylene)는 프로필렌을 중합해 생산하는 범용 열가소성 수지로, 경량성·내화학성·가공성이 우수하다.</t>
    <phoneticPr fontId="1" type="noConversion"/>
  </si>
  <si>
    <t>M025</t>
    <phoneticPr fontId="1" type="noConversion"/>
  </si>
  <si>
    <t>https://www.basf.com/global/en/products/plastics-rubber/polyurethanes.html; https://www.covestro.com/en/products/polyurethanes; https://www.kmci.co.kr/eng/; https://www.isopa.org/</t>
    <phoneticPr fontId="1" type="noConversion"/>
  </si>
  <si>
    <t>BASF polyurethane overview; Covestro polyurethane systems information; Kumho Mitsui Chemicals company information; ISOPA polyurethane industry references</t>
    <phoneticPr fontId="1" type="noConversion"/>
  </si>
  <si>
    <t>Broad application base across insulation, mobility, and comfort materials; differentiated formulation capability and customer qualification are important competitive factors.</t>
    <phoneticPr fontId="1" type="noConversion"/>
  </si>
  <si>
    <t>Covestro; BASF; Huntsman</t>
    <phoneticPr fontId="1" type="noConversion"/>
  </si>
  <si>
    <t>Flexible foam, rigid insulation foam, coatings, adhesives, sealants, elastomers</t>
    <phoneticPr fontId="1" type="noConversion"/>
  </si>
  <si>
    <t>PU는 polyol과 MDI/TDI 계열 이소시아네이트를 반응시켜 제조하며, slabstock, molded foam, spray, elastomer 등 다양한 가공 공정이 사용된다.</t>
    <phoneticPr fontId="1" type="noConversion"/>
  </si>
  <si>
    <t>PU(Polyurethane)는 폴리올과 이소시아네이트의 반응으로 제조되는 고분자 소재로, 유연성·단열성·내마모성이 우수하다.</t>
    <phoneticPr fontId="1" type="noConversion"/>
  </si>
  <si>
    <t>M030</t>
    <phoneticPr fontId="1" type="noConversion"/>
  </si>
  <si>
    <t>Acrylic Acid</t>
    <phoneticPr fontId="1" type="noConversion"/>
  </si>
  <si>
    <t>M031</t>
    <phoneticPr fontId="1" type="noConversion"/>
  </si>
  <si>
    <t>M033</t>
    <phoneticPr fontId="1" type="noConversion"/>
  </si>
  <si>
    <t xml:space="preserve">	https://www.lgchem.com ; https://www.shokubai.co.jp/en/ ; https://www.basf.com</t>
    <phoneticPr fontId="1" type="noConversion"/>
  </si>
  <si>
    <t>LG Chem SAP business materials; Nippon Shokubai SAP references; BASF SAP product information</t>
    <phoneticPr fontId="1" type="noConversion"/>
  </si>
  <si>
    <t>M034</t>
    <phoneticPr fontId="1" type="noConversion"/>
  </si>
  <si>
    <t>N</t>
    <phoneticPr fontId="1" type="noConversion"/>
  </si>
  <si>
    <t>n-Butyl acetate</t>
    <phoneticPr fontId="1" type="noConversion"/>
  </si>
  <si>
    <t>M038</t>
    <phoneticPr fontId="1" type="noConversion"/>
  </si>
  <si>
    <t>M039</t>
    <phoneticPr fontId="1" type="noConversion"/>
  </si>
  <si>
    <t>https://www.lgchem.com ; https://www.isuchemical.com ; https://www.lummustechnology.com</t>
    <phoneticPr fontId="1" type="noConversion"/>
  </si>
  <si>
    <t>LG Chem product references; ISU Chemical solvent business references; Lummus IPA technology references</t>
    <phoneticPr fontId="1" type="noConversion"/>
  </si>
  <si>
    <t>ExxonMobil, Lummus Technology</t>
    <phoneticPr fontId="1" type="noConversion"/>
  </si>
  <si>
    <t>Electronic cleaning, solvents, disinfectants, pharmaceuticals, coatings</t>
    <phoneticPr fontId="1" type="noConversion"/>
  </si>
  <si>
    <t>IPA(Isopropyl Alcohol)는 휘발성과 용해성이 우수한 알코올계 용제로, 전자세정·의약·코팅·소독용 등에 널리 사용되는 무색 액체이다.</t>
    <phoneticPr fontId="1" type="noConversion"/>
  </si>
  <si>
    <t>M041</t>
    <phoneticPr fontId="1" type="noConversion"/>
  </si>
  <si>
    <t>Public solvent technical references; ester solvent market references</t>
    <phoneticPr fontId="1" type="noConversion"/>
  </si>
  <si>
    <t xml:space="preserve">	https://www.skgeo-centric.com ; https://uop.honeywell.com ; https://www.axens.net</t>
    <phoneticPr fontId="1" type="noConversion"/>
  </si>
  <si>
    <t>SK Geo Centric aromatics materials; UOP aromatics process references; Axens PX technology references</t>
    <phoneticPr fontId="1" type="noConversion"/>
  </si>
  <si>
    <t>Core aromatic feedstock integrated with PX and polyester value chains. Profitability is highly cyclical and exposed to China polyester and aromatics capacity expansion.</t>
    <phoneticPr fontId="1" type="noConversion"/>
  </si>
  <si>
    <t>UOP, Axens</t>
    <phoneticPr fontId="1" type="noConversion"/>
  </si>
  <si>
    <t>Polyester, Packaging, Textiles, Coatings</t>
    <phoneticPr fontId="1" type="noConversion"/>
  </si>
  <si>
    <t>Paraxylene feedstock, solvents, orthoxylene production</t>
    <phoneticPr fontId="1" type="noConversion"/>
  </si>
  <si>
    <t>납사 개질(reforming) 공정에서 생성된 reformate로부터 추출되며, 분리·이성화·흡착 공정을 통해 paraxylene, orthoxylene 등을 생산한다.</t>
    <phoneticPr fontId="1" type="noConversion"/>
  </si>
  <si>
    <t>Xylene은 벤젠 고리에 두 개의 메틸기가 결합된 방향족 탄화수소 혼합물로, PX·OX 생산 및 용제 용도로 사용된다.</t>
    <phoneticPr fontId="1" type="noConversion"/>
  </si>
  <si>
    <t>https://www.aekyungchemical.com ; https://www.hanwhasolutions.com ; https://www.basf.com</t>
    <phoneticPr fontId="1" type="noConversion"/>
  </si>
  <si>
    <t>Aekyung Chemical product references; Hanwha Solutions chemical materials; BASF PA process references</t>
    <phoneticPr fontId="1" type="noConversion"/>
  </si>
  <si>
    <t>Mature aromatic intermediate mainly linked to plasticizer and UPR markets. Demand growth is relatively limited, while environmental pressure on phthalate plasticizers remains a structural risk.</t>
    <phoneticPr fontId="1" type="noConversion"/>
  </si>
  <si>
    <t>BASF, Clariant</t>
    <phoneticPr fontId="1" type="noConversion"/>
  </si>
  <si>
    <t>Construction, Automotive, Coatings, Electrical</t>
    <phoneticPr fontId="1" type="noConversion"/>
  </si>
  <si>
    <t>Plasticizers, unsaturated polyester resin (UPR), alkyd resins</t>
    <phoneticPr fontId="1" type="noConversion"/>
  </si>
  <si>
    <t>Orthoxylene 또는 naphthalene의 기상 산화 반응을 통해 생산되며, 바나듐계 촉매 기반 고정층 반응 공정이 일반적으로 사용된다.</t>
    <phoneticPr fontId="1" type="noConversion"/>
  </si>
  <si>
    <t>PA(Phthalic Anhydride)는 무수프탈산 계열의 방향족 화학제품으로, 주로 가소제·불포화폴리에스터수지·도료 원료로 사용된다.</t>
    <phoneticPr fontId="1" type="noConversion"/>
  </si>
  <si>
    <t>PA (Phthalic Anhydride)</t>
    <phoneticPr fontId="1" type="noConversion"/>
  </si>
  <si>
    <t>https://www.skgeo-centric.com ; https://www.gscaltex.com ; https://uop.honeywell.com</t>
    <phoneticPr fontId="1" type="noConversion"/>
  </si>
  <si>
    <t>SK Geo Centric aromatics materials; GS Caltex aromatics references; UOP aromatics process references</t>
    <phoneticPr fontId="1" type="noConversion"/>
  </si>
  <si>
    <t>Commodity aromatic intermediate primarily linked to PA and plasticizer value chains. Long-term demand growth is relatively mature and exposed to phthalate plasticizer market pressure.</t>
    <phoneticPr fontId="1" type="noConversion"/>
  </si>
  <si>
    <t>Plasticizers, Construction, Coatings</t>
    <phoneticPr fontId="1" type="noConversion"/>
  </si>
  <si>
    <t>Phthalic anhydride (PA) feedstock, solvents</t>
    <phoneticPr fontId="1" type="noConversion"/>
  </si>
  <si>
    <t>Mixed xylene으로부터 증류 및 분리 공정을 통해 생산되며, 방향족 추출 및 이성질체 분리 기술이 사용된다.</t>
    <phoneticPr fontId="1" type="noConversion"/>
  </si>
  <si>
    <t>o-Xylene은 벤젠 고리에 두 개의 메틸기가 인접 위치에 결합된 방향족 탄화수소로, 주로 무수프탈산(PA) 생산 원료로 사용된다.</t>
    <phoneticPr fontId="1" type="noConversion"/>
  </si>
  <si>
    <t>Less commoditized xylene isomer with downstream linkage to isophthalic acid and specialty resin markets. Demand profile is relatively more stable versus phthalate-linked aromatic chains.</t>
    <phoneticPr fontId="1" type="noConversion"/>
  </si>
  <si>
    <t>Coatings, PET resin, Composites</t>
    <phoneticPr fontId="1" type="noConversion"/>
  </si>
  <si>
    <t>Isophthalic acid (IPA), coatings, specialty resins</t>
    <phoneticPr fontId="1" type="noConversion"/>
  </si>
  <si>
    <t>Mixed xylene으로부터 분리·정제 공정을 통해 생산되며, 상업적으로는 이성질체 평형 및 분리 기술이 활용된다.</t>
    <phoneticPr fontId="1" type="noConversion"/>
  </si>
  <si>
    <t>m-Xylene은 벤젠 고리에 두 개의 메틸기가 메타 위치에 결합된 방향족 탄화수소로, 주로 isophthalic acid(IPA) 및 specialty chemical 원료로 사용된다.</t>
    <phoneticPr fontId="1" type="noConversion"/>
  </si>
  <si>
    <t>SK Geo Centric aromatics materials; UOP Parex technology references; Axens PX technology references</t>
    <phoneticPr fontId="1" type="noConversion"/>
  </si>
  <si>
    <t>Core polyester chain feedstock with strong integration into PTA and PET value chains. Market profitability is highly cyclical and increasingly exposed to China polyester self-sufficiency expansion.</t>
    <phoneticPr fontId="1" type="noConversion"/>
  </si>
  <si>
    <t>Polyester, Packaging, Textile</t>
    <phoneticPr fontId="1" type="noConversion"/>
  </si>
  <si>
    <t>PTA production, PET resin, polyester fiber</t>
    <phoneticPr fontId="1" type="noConversion"/>
  </si>
  <si>
    <t>Mixed xylene으로부터 흡착 분리 및 이성화 공정을 통해 생산된다. 상업적으로 Parex 기반 흡착 분리 기술이 널리 사용된다.</t>
    <phoneticPr fontId="1" type="noConversion"/>
  </si>
  <si>
    <t>p-Xylene은 벤젠 고리에 두 개의 메틸기가 파라 위치에 결합된 방향족 탄화수소로, PTA 및 PET 생산의 핵심 원료로 사용된다.</t>
    <phoneticPr fontId="1" type="noConversion"/>
  </si>
  <si>
    <t xml:space="preserve">	https://www.lottechem.com ; https://www.bp.com ; https://www.invista.com</t>
    <phoneticPr fontId="1" type="noConversion"/>
  </si>
  <si>
    <t>LOTTE Chemical aromatic products references; BP aromatic acids references; Invista PTA/PIA technology materials</t>
    <phoneticPr fontId="1" type="noConversion"/>
  </si>
  <si>
    <t>PIA (Purified Isophthalic Acid)</t>
    <phoneticPr fontId="1" type="noConversion"/>
  </si>
  <si>
    <t>M090</t>
    <phoneticPr fontId="1" type="noConversion"/>
  </si>
  <si>
    <t>PIC</t>
    <phoneticPr fontId="1" type="noConversion"/>
  </si>
  <si>
    <t>Progress</t>
    <phoneticPr fontId="1" type="noConversion"/>
  </si>
  <si>
    <t>이원일</t>
    <phoneticPr fontId="1" type="noConversion"/>
  </si>
  <si>
    <t>이기민</t>
    <phoneticPr fontId="1" type="noConversion"/>
  </si>
  <si>
    <t>이석균</t>
    <phoneticPr fontId="1" type="noConversion"/>
  </si>
  <si>
    <t>초안</t>
    <phoneticPr fontId="1" type="noConversion"/>
  </si>
  <si>
    <t>O</t>
  </si>
  <si>
    <t>X</t>
  </si>
  <si>
    <t>has_supplier</t>
  </si>
  <si>
    <t>M102</t>
    <phoneticPr fontId="1" type="noConversion"/>
  </si>
  <si>
    <t>M103</t>
    <phoneticPr fontId="1" type="noConversion"/>
  </si>
  <si>
    <t>M104</t>
    <phoneticPr fontId="1" type="noConversion"/>
  </si>
  <si>
    <t>M105</t>
    <phoneticPr fontId="1" type="noConversion"/>
  </si>
  <si>
    <t>M106</t>
    <phoneticPr fontId="1" type="noConversion"/>
  </si>
  <si>
    <t>C5</t>
    <phoneticPr fontId="1" type="noConversion"/>
  </si>
  <si>
    <t>Isoprene</t>
    <phoneticPr fontId="1" type="noConversion"/>
  </si>
  <si>
    <t>Piperylene</t>
    <phoneticPr fontId="1" type="noConversion"/>
  </si>
  <si>
    <t>DCPD</t>
    <phoneticPr fontId="1" type="noConversion"/>
  </si>
  <si>
    <t>IR</t>
    <phoneticPr fontId="1" type="noConversion"/>
  </si>
  <si>
    <t>SIS</t>
    <phoneticPr fontId="1" type="noConversion"/>
  </si>
  <si>
    <t>C5</t>
  </si>
  <si>
    <t>행 레이블</t>
  </si>
  <si>
    <t>Toluene</t>
  </si>
  <si>
    <t>Methanol</t>
  </si>
  <si>
    <t>총합계</t>
  </si>
  <si>
    <t>개수 : material_id</t>
  </si>
  <si>
    <t>개수 : Progress</t>
  </si>
  <si>
    <t>진행율</t>
    <phoneticPr fontId="1" type="noConversion"/>
  </si>
  <si>
    <t>제품수</t>
    <phoneticPr fontId="1" type="noConversion"/>
  </si>
  <si>
    <t>초안 작업수</t>
    <phoneticPr fontId="1" type="noConversion"/>
  </si>
  <si>
    <t>Total</t>
    <phoneticPr fontId="1" type="noConversion"/>
  </si>
  <si>
    <t>Butadiene은 steam cracker의 crude C4 stream에서 추출되는 핵심 C4 olefin으로, 합성고무·ABS·latex·engineering resin 원료로 사용되는 대표적인 elastomer chain 중간체이다.</t>
  </si>
  <si>
    <t>주로 naphtha steam cracking 부산물인 crude C4에서 extractive distillation로 추출되며, 일부는 butane dehydrogenation 또는 n-butene ODH(on-purpose) 공정으로 생산된다.</t>
  </si>
  <si>
    <t>PBR, SBR, ABS resins, nitrile rubber, styrene block copolymers, adiponitrile</t>
  </si>
  <si>
    <t>Automotive &amp; Future Mobility (tires, automotive rubber parts), Industrial Manufacturing (synthetic rubber, ABS, SBC, engineering plastics), Construction &amp; Infrastructure (roofing, sealants, asphalt modification), Consumer &amp; Personal Care (appliances, footwear, consumer electronics housings), Healthcare &amp; Medical (nitrile gloves)</t>
  </si>
  <si>
    <t>BASF (BASF/NMP extraction), Lummus, Shell CTC, UOP</t>
  </si>
  <si>
    <t>CEH_Butadiene.pdf</t>
  </si>
  <si>
    <t>Butadiene은 tire/elastomer chain 중심의 cyclical commodity이나 EV tire, ABS, nitrile glove 수요가 구조적 성장요인이다. 반면 중국 heavy-feed cracker 증설과 downstream self-sufficiency 확대에 따라 장기 oversupply 압력이 존재한다. Ethane cracking 확대 시 crude C4 공급 감소 가능성도 supply volatility 요인이다.
2024년 글로벌 butadiene 소비 구조는 PBR 28%, E-SBR 17%, ABS 15%, S-SBR 9%, SBL 8%, SBC 7%, nitrile latex 7%, adiponitrile 4%, NBR 3% 수준입니다. 따라서 butadiene의 투자성은 타이어/자동차 생산, EV 타이어, ABS 수요, 중국 C4·downstream 증설에 의해 좌우</t>
    <phoneticPr fontId="1" type="noConversion"/>
  </si>
  <si>
    <t>PBR</t>
  </si>
  <si>
    <t>Polybutadiene rubber 원료입니다. 타이어 tread/sidewall, 충격보강 고무, 자동차용 고무부품에 쓰입니다.</t>
  </si>
  <si>
    <t>최대 단일 수요처. EV 타이어 설계에서도 중요</t>
  </si>
  <si>
    <t>Styrene과 공중합해 SBR을 만들며, E-SBR/S-SBR 모두 타이어용 합성고무로 사용됩니다.</t>
  </si>
  <si>
    <t>타이어 산업과 직접 연동</t>
  </si>
  <si>
    <t>ABS resin</t>
  </si>
  <si>
    <t>Acrylonitrile·butadiene·styrene 공중합체로, butadiene은 충격강도와 toughness를 부여합니다. 가전, 전자제품, 자동차 내외장재에 사용됩니다.</t>
  </si>
  <si>
    <t>Consumer &amp; Personal Care / Automotive &amp; Future Mobility</t>
  </si>
  <si>
    <t>비고무계 최대 용도, EV·가전 수요와 연계</t>
  </si>
  <si>
    <t>Nitrile latex / NBR</t>
  </si>
  <si>
    <t>NBR은 호스, 씰, 가스켓 등 내유성 고무에 쓰이고, nitrile latex는 의료·산업용 장갑에 사용됩니다.</t>
  </si>
  <si>
    <t>Healthcare &amp; Medical / Industrial Manufacturing</t>
  </si>
  <si>
    <t>장갑 수요는 구조적 성장, 팬데믹 이후 정상화</t>
  </si>
  <si>
    <t>Styrene-butadiene latex</t>
  </si>
  <si>
    <t>종이 코팅, 카펫 backing, 접착제 등에 사용됩니다.</t>
  </si>
  <si>
    <t>Industrial Manufacturing / Construction &amp; Infrastructure</t>
  </si>
  <si>
    <t>성숙 시장, 디지털 전환으로 종이용은 제한적</t>
  </si>
  <si>
    <t>Styrene block copolymers</t>
  </si>
  <si>
    <t>SBS/SIS 등 TPE 원료로, 아스팔트 개질, 접착제, 신발, sealant에 사용됩니다.</t>
  </si>
  <si>
    <t>Construction &amp; Infrastructure / Consumer &amp; Personal Care</t>
  </si>
  <si>
    <t>도로·방수·접착제와 연계</t>
  </si>
  <si>
    <t>Adiponitrile</t>
  </si>
  <si>
    <t>Nylon 66 원료인 HMDA로 이어지며, 자동차 under-the-hood 부품, 섬유, engineering plastic에 사용됩니다.</t>
  </si>
  <si>
    <t>고기능 nylon 66 chain 연계</t>
  </si>
  <si>
    <t>Chloroprene</t>
  </si>
  <si>
    <t>Neoprene 원료로, 벨트, 호스, 케이블 피복, wetsuit 등에 사용됩니다.</t>
  </si>
  <si>
    <t>소규모 specialty rubber 용도</t>
  </si>
  <si>
    <t>BR (Polybutadiene Rubber, PBR)</t>
  </si>
  <si>
    <t>BR(PBR)은 butadiene을 중합하여 생산되는 대표적인 합성고무로, 높은 탄성·내마모성·저발열 특성을 바탕으로 타이어, ABS/HIPS impact modifier, 산업용 고무제품 등에 사용된다.</t>
  </si>
  <si>
    <t>주로 solution polymerization 방식으로 생산되며, neodymium·nickel·cobalt·lithium계 촉매를 사용해 cis-1,4 함량과 물성을 제어한다. 최근에는 Nd-PBR 비중이 증가하고 있다.</t>
  </si>
  <si>
    <t>Tire tread/sidewall, ABS/HIPS impact modifier, industrial rubber goods, golf ball cores, conveyor belts</t>
  </si>
  <si>
    <t>Automotive &amp; Future Mobility (tires, tire components, automotive rubber goods), Industrial Manufacturing (industrial belts, hoses, seals, gaskets), Consumer &amp; Personal Care (golf balls, sporting goods, appliances via ABS/HIPS), Construction &amp; Infrastructure (conveyor belts, industrial rubber sheet), Power &amp; Electrical Infrastructure (wire insulation)</t>
  </si>
  <si>
    <t>Goodyear, Firestone/Bridgestone, Versalis, ARLANXEO, Lanxess legacy technology</t>
  </si>
  <si>
    <t>CEH_Polybutadiene_Elastomers.pdf</t>
  </si>
  <si>
    <t>Tire tread / sidewall</t>
  </si>
  <si>
    <t>BR은 고탄성, 내마모성, 저발열 특성이 좋아 타이어 tread, sidewall, bead, chafer 등에 사용됩니다. 특히 Nd-BR은 rolling resistance를 낮춰 green tire와 EV tire에 적합합니다.</t>
  </si>
  <si>
    <t>최대 수요처, 전체 BR 수요의 약 75%</t>
  </si>
  <si>
    <t>Green tire / EV tire</t>
  </si>
  <si>
    <t>Nd-PBR은 굴림저항 저감, 내마모성, flex resistance 개선에 유리해 고성능·저연비 타이어에 사용됩니다. EV는 차량 중량과 토크가 높아 고성능 타이어 수요가 증가합니다.</t>
  </si>
  <si>
    <t>가장 중요한 성장 application</t>
  </si>
  <si>
    <t>ABS / HIPS impact modifier</t>
  </si>
  <si>
    <t>BR은 ABS와 HIPS에 충격강도, toughness, ductility를 부여합니다. 가전, 전자제품, 자동차 내외장재, 포장재 등에 적용됩니다.</t>
  </si>
  <si>
    <t>비타이어 최대 용도, 약 15%</t>
  </si>
  <si>
    <t>Automotive rubber goods</t>
  </si>
  <si>
    <t>호스, 씰, 가스켓, molded/extruded rubber goods 등에 사용됩니다.</t>
  </si>
  <si>
    <t>자동차 생산과 연동</t>
  </si>
  <si>
    <t>Industrial rubber goods</t>
  </si>
  <si>
    <t>V-belt, conveyor belt covering, hose cover, tube, sheet packing 등에 사용됩니다.</t>
  </si>
  <si>
    <t>안정적 산업재 수요</t>
  </si>
  <si>
    <t>Golf ball / sporting goods</t>
  </si>
  <si>
    <t>골프공 코어, play ball 등 고탄성이 필요한 스포츠용품에 사용됩니다.</t>
  </si>
  <si>
    <t>소량 specialty 용도</t>
  </si>
  <si>
    <t>Wire insulation / sponge rubber</t>
  </si>
  <si>
    <t>일부 전선 절연재, sponge rubber, mechanical goods에도 사용됩니다.</t>
  </si>
  <si>
    <t>Power &amp; Electrical Infrastructure / Industrial Manufacturing</t>
  </si>
  <si>
    <t>소규모 보조 용도</t>
  </si>
  <si>
    <t>BR은 tire chain 중심의 대표 합성고무로 EV tire·green tire 전환 시 Nd-PBR 수요 증가가 핵심 성장요인이다. 다만 중국 중심 증설과 tire 경기 변동성 영향이 크며, 장기적으로는 타이어 OEM captive 구조가 중요하다. 글로벌 수요의 약 75%가 tire용에 집중된다.
2024년 글로벌 BR 수요 구조는 타이어 75%, ABS/HIPS 15%, 기타 10%입니다. 따라서 BR의 투자성은 타이어 경기, EV/green tire용 Nd-BR 전환, 중국·동남아 타이어 생산 증가, butadiene 원료 경쟁력에 의해 결정</t>
    <phoneticPr fontId="1" type="noConversion"/>
  </si>
  <si>
    <t>SBR (Styrene-Butadiene Rubber)</t>
  </si>
  <si>
    <t>SBR은 styrene과 butadiene을 공중합해 생산되는 세계 최대 규모의 합성고무로, 주로 타이어 및 타이어 제품에 사용된다. Emulsion SBR(E-SBR)과 Solution SBR(S-SBR)로 구분되며, 특히 S-SBR은 저연비·고성능 타이어 핵심 소재다.</t>
  </si>
  <si>
    <t>E-SBR은 free-radical emulsion polymerization으로, S-SBR은 anionic solution polymerization으로 생산된다. S-SBR은 분자구조 및 functional group 제어가 가능해 고성능 tire용에 적합하다.</t>
  </si>
  <si>
    <t>Passenger car tires, green tires, EV tires, conveyor belts, hoses, seals, footwear, adhesives</t>
  </si>
  <si>
    <t>Automotive &amp; Future Mobility (passenger car tires, EV tires, automotive rubber parts), Industrial Manufacturing (mechanical rubber goods, belts, hoses, seals), Consumer &amp; Personal Care (footwear, sporting goods), Construction &amp; Infrastructure (adhesives, flooring, coated fabrics), Power &amp; Electrical Infrastructure (wire &amp; cable insulation)</t>
  </si>
  <si>
    <t>Goodyear, Michelin, Bridgestone, Asahi Kasei, ARLANXEO</t>
  </si>
  <si>
    <t>CEH_Styrene-Butadiene_Elastomers__SBR_.pdf</t>
  </si>
  <si>
    <t>Passenger car tire</t>
  </si>
  <si>
    <t>SBR은 승용차 타이어 tread compound에 많이 쓰입니다. 내마모성, 가공성, cost/performance가 좋아 NR·BR과 blend됩니다.</t>
  </si>
  <si>
    <t>최대 수요처</t>
  </si>
  <si>
    <t>Green tire / low rolling resistance tire</t>
  </si>
  <si>
    <t>S-SBR은 flex resistance, 저발열, 낮은 rolling resistance가 강점이며 silica filler와 함께 사용됩니다. 연비 개선과 CO₂ 저감 목적의 고성능 타이어에 적합합니다.</t>
  </si>
  <si>
    <t>SBR 성장의 핵심</t>
  </si>
  <si>
    <t>EV tire</t>
  </si>
  <si>
    <t>EV는 차량 중량과 토크가 높아 내마모성·저발열·저소음 타이어가 중요합니다. 이 때문에 S-SBR과 Nd-BR 조합 수요가 증가합니다.</t>
  </si>
  <si>
    <t>고부가 application</t>
  </si>
  <si>
    <t>Replacement tire / retread</t>
  </si>
  <si>
    <t>교체용 타이어와 truck tire retread용 tread rubber에 사용됩니다. SBR/PBR, NR/SBR/PBR blend가 활용됩니다.</t>
  </si>
  <si>
    <t>안정적 반복 수요</t>
  </si>
  <si>
    <t>Conveyor belts / industrial hoses</t>
  </si>
  <si>
    <t>컨베이어 벨트, 산업용 호스, 튜빙, 패킹, 가스켓, 씰 등에 사용됩니다.</t>
  </si>
  <si>
    <t>비타이어 주요 용도</t>
  </si>
  <si>
    <t>라디에이터·히터 호스, weather strip, door/window seal, mat, grommet 등 자동차 고무부품에 쓰입니다. 일부는 EPDM/NBR로 대체됩니다.</t>
  </si>
  <si>
    <t>보조적 자동차 수요</t>
  </si>
  <si>
    <t>Footwear / consumer goods</t>
  </si>
  <si>
    <t>신발 밑창, 스포츠용품, 고무매트, household rubber goods 등에 사용됩니다.</t>
  </si>
  <si>
    <t>범용 소비재 수요</t>
  </si>
  <si>
    <t>Adhesives / flooring / coated fabrics</t>
  </si>
  <si>
    <t>접착제, floor tile, coated fabric, sponge carpet underlay 등에 사용됩니다.</t>
  </si>
  <si>
    <t>소규모 안정 용도</t>
  </si>
  <si>
    <t>Wire &amp; cable insulation</t>
  </si>
  <si>
    <t>방수성·순도 조건을 만족하는 일부 grade는 cable insulation에 사용됩니다.</t>
  </si>
  <si>
    <t>niche application</t>
  </si>
  <si>
    <t>SBR 시장은 tire chain 중심 구조이며, EV/green tire 확대에 따라 S-SBR 비중이 빠르게 증가하고 있다. E-SBR은 commodity화가 심화되는 반면, functionalized S-SBR은 고부가 영역으로 이동 중이다. 중국 중심 증설과 타이어 경기 변동성이 주요 리스크다. 글로벌 SBR 수요의 75~80%는 타이어용이다.
2024년 기준 SBR 수요의 75–80%는 타이어 및 타이어 제품입니다. 투자 관점에서는 E-SBR은 commodity 성격이 강하고 성장률이 낮은 반면, S-SBR은 green tire·EV tire 확대로 더 매력적인 고부가 영역</t>
    <phoneticPr fontId="1" type="noConversion"/>
  </si>
  <si>
    <t>M048</t>
    <phoneticPr fontId="1" type="noConversion"/>
  </si>
  <si>
    <t>Hot/cold water pipe, easy-peel packaging, polyolefin modification, film, cap &amp; closure liner</t>
  </si>
  <si>
    <t>Construction &amp; Infrastructure (plumbing pipe systems), Food &amp; Nutrition (easy-peel food packaging), Industrial Manufacturing (polyolefin modification, film, sheets), Consumer &amp; Personal Care (cap liners, flexible packaging), Healthcare &amp; Medical (medical tubing, specialty packaging)</t>
  </si>
  <si>
    <t>1-butene을 LyondellBasell 라이선스 기반 공정으로 중합해 생산하는 specialty polyolefin</t>
  </si>
  <si>
    <t>PB-1은 소규모 specialty polyolefin 시장으로, plumbing pipe·easy-peel packaging·polyolefin modification 중심 niche 구조다. 대체재 대비 creep resistance와 sealing 특성이 강점이며, 공급사 수가 제한적이다.</t>
    <phoneticPr fontId="1" type="noConversion"/>
  </si>
  <si>
    <t>LyondellBasel, Lummus</t>
    <phoneticPr fontId="1" type="noConversion"/>
  </si>
  <si>
    <t>PB-1은 1-butene을 중합해 생산하는 polyolefin으로, 우수한 creep resistance·flexibility·heat resistance를 바탕으로 hot &amp; cold water piping, easy-peel packaging, film modification 등에 사용되는 specialty polyolefin이다.</t>
    <phoneticPr fontId="1" type="noConversion"/>
  </si>
  <si>
    <t>MTBE (Methyl tertiary-Butyl Ether)</t>
  </si>
  <si>
    <t>MTBE는 methanol과 isobutylene을 반응시켜 생산하는 ether계 gasoline blending component로, 주로 octane booster 및 oxygenate로 사용된다.</t>
  </si>
  <si>
    <t>Isobutylene과 methanol을 산성 ion-exchange resin catalyst 하에서 반응시켜 생산한다. Isobutylene 원료는 refinery C4, steam cracker C4, isobutane dehydrogenation, TBA dehydration 등에서 공급된다.</t>
  </si>
  <si>
    <t>Gasoline octane booster, gasoline oxygenate, high-purity isobutylene intermediate, solvent</t>
  </si>
  <si>
    <t>Energy &amp; Resource (gasoline blending, octane enhancement), Industrial Manufacturing (HPIB, butyl rubber/PIB intermediates, solvent), Automotive &amp; Future Mobility (gasoline fuel performance)</t>
  </si>
  <si>
    <t>Lummus CATOFIN / CDMtbe, UOP, Axens, Snamprogetti/Ecofuel</t>
  </si>
  <si>
    <t>MTBE 수요의 약 94%는 gasoline blending에 집중되어 있어 내연기관 연료 수요와 규제에 민감하다. 미국·일본 등 일부 지역은 지하수 오염 우려로 사용이 제한되지만, 중국·동남아·중동 등에서는 여전히 주요 octane booster로 사용된다. 중국 증설이 매우 커 장기 operating rate 하락 리스크가 높다.</t>
  </si>
  <si>
    <t>CEH_Methyl_tertiary-Butyl_Ether__MTBE_.pdf</t>
  </si>
  <si>
    <t>Mixed</t>
    <phoneticPr fontId="1" type="noConversion"/>
  </si>
  <si>
    <t>Benzene은 BTX/aromatics chain의 핵심 기초유분으로, styrene, phenol/acetone, nylon, MDI 등 다양한 downstream value chain의 출발 물질이다. 직접 용도는 발암성 이슈로 제한적이며 대부분 중간체로 사용된다.</t>
  </si>
  <si>
    <t>주로 catalytic reformate, pyrolysis gasoline, aromatics conversion(TDP/STDP/TA/HDA), coke-oven light oil에서 회수된다. 2024년 생산 기준 reformate 41%, pygas 31%, transalkylation 11%가 주요 공급원이다.</t>
  </si>
  <si>
    <t>Ethylbenzene/styrene, cumene/phenol/acetone, nitrobenzene/aniline/MDI, cyclohexane/cyclohexene/nylon, alkylbenzene</t>
  </si>
  <si>
    <t>Industrial Manufacturing (styrenics, phenolics, nylon intermediates, MDI), Construction &amp; Infrastructure (EPS insulation, PU foam insulation, epoxy resin, phenolic resin), Automotive &amp; Future Mobility (ABS, nylon engineering plastics, PU foam, coatings), Consumer &amp; Personal Care (appliances, detergents via LAB/LAS, furniture foam), Healthcare &amp; Medical (medical equipment via ABS/PC), Power &amp; Electrical Infrastructure (epoxy resin, PC, PPS, insulation materials)</t>
  </si>
  <si>
    <t>UOP, Axens, GTC Technology, Lummus, ExxonMobil</t>
  </si>
  <si>
    <t>CEH_Benzene.pdf</t>
  </si>
  <si>
    <t>Ethylbenzene / Styrene</t>
  </si>
  <si>
    <t>Benzene과 ethylene으로 ethylbenzene을 만들고, 이를 styrene으로 전환합니다. Styrene은 PS, EPS, ABS, SAN, SBR, SBL의 원료입니다.</t>
  </si>
  <si>
    <t>Industrial Manufacturing / Consumer &amp; Personal Care / Construction &amp; Infrastructure</t>
  </si>
  <si>
    <t>최대 용도, 2024년 benzene 수요의 약 50%</t>
  </si>
  <si>
    <t>Cumene / Phenol / Acetone</t>
  </si>
  <si>
    <t>Benzene과 propylene으로 cumene을 만들고, phenol·acetone으로 전환합니다. Phenol은 BPA, polycarbonate, epoxy resin, phenolic resin으로 이어집니다.</t>
  </si>
  <si>
    <t>Construction &amp; Infrastructure / Automotive &amp; Future Mobility / Power &amp; Electrical Infrastructure</t>
  </si>
  <si>
    <t>2대 용도, PC·epoxy·phenolic chain과 연동</t>
  </si>
  <si>
    <t>Nitrobenzene / Aniline / MDI</t>
  </si>
  <si>
    <t>Benzene을 nitration해 nitrobenzene을 만들고, aniline을 거쳐 MDI로 전환합니다. MDI는 rigid/flexible PU foam 원료입니다.</t>
  </si>
  <si>
    <t>Construction &amp; Infrastructure / Automotive &amp; Future Mobility / Consumer &amp; Personal Care</t>
  </si>
  <si>
    <t>PU insulation, 가구·침구 foam 성장축</t>
  </si>
  <si>
    <t>Cyclohexane / Cyclohexene / Nylon</t>
  </si>
  <si>
    <t>Benzene을 hydrogenation해 cyclohexane/cyclohexene을 만들고 caprolactam·adipic acid를 거쳐 nylon 6/66으로 연결됩니다.</t>
  </si>
  <si>
    <t>Automotive &amp; Future Mobility / Industrial Manufacturing / Consumer &amp; Personal Care</t>
  </si>
  <si>
    <t>섬유·engineering plastic chain</t>
  </si>
  <si>
    <t>Alkylbenzene / LAB</t>
  </si>
  <si>
    <t>Benzene과 olefin/paraffin 유래 alkyl group을 반응시켜 LAB를 만들고, LAS 세제 계면활성제로 사용됩니다.</t>
  </si>
  <si>
    <t>세제·홈케어 안정 수요</t>
  </si>
  <si>
    <t>Chlorobenzene</t>
  </si>
  <si>
    <t>PPS, nitrochlorobenzene, 의약·농약·염료 중간체, MDI/TDI solvent 등에 사용됩니다.</t>
  </si>
  <si>
    <t>Industrial Manufacturing / Healthcare &amp; Medical</t>
  </si>
  <si>
    <t>소규모 specialty 용도</t>
  </si>
  <si>
    <t>Maleic anhydride</t>
  </si>
  <si>
    <t>일부 benzene 기반 MAN 생산에 사용되지만, n-butane route가 비용 우위라 축소 추세입니다.</t>
  </si>
  <si>
    <t>구조적 감소 용도</t>
  </si>
  <si>
    <t>Direct solvent / gasoline</t>
  </si>
  <si>
    <t>과거에는 solvent와 gasoline component로 쓰였지만, 발암성 이슈로 직접 사용은 크게 제한되었습니다.</t>
  </si>
  <si>
    <t>Energy &amp; Resource / Industrial Manufacturing</t>
  </si>
  <si>
    <t>비핵심, 규제 리스크 높음</t>
  </si>
  <si>
    <t>Benzene은 독립 제품이라기보다 styrenics·phenolics·polyamide·MDI chain의 원료로 보는 것이 적절하다. 2024년 수요의 약 50%는 ethylbenzene/styrene이며, cumene 21%, nitrobenzene 12%, cyclohexane/cyclohexene 12~13%가 핵심이다. 중국의 aromatics/derivatives 증설로 장기 oversupply와 margin pressure가 크다.
2024년 글로벌 benzene 수요 구조는 ethylbenzene 50%, cumene 21%, nitrobenzene 12%, cyclohexene 7%, cyclohexane 5% 중심입니다. 따라서 benzene의 투자성은 styrenics, phenolics, MDI/PU, nylon chain의 수급과 중국 증설에 의해 좌우</t>
    <phoneticPr fontId="1" type="noConversion"/>
  </si>
  <si>
    <t>Styrene Monomer (SM)</t>
  </si>
  <si>
    <t>Styrene은 benzene과 ethylene에서 유래한 ethylbenzene을 탈수소화해 생산하는 방향족 모노머로, PS, EPS, ABS, UPR, SBR/SBL 등 styrenics·rubber·resin chain의 핵심 원료이다.</t>
  </si>
  <si>
    <t>대부분 ethylbenzene dehydrogenation으로 생산되며, 일부는 POSM 공정에서 propylene oxide와 병산된다. 소규모로는 pygas에서 styrene을 추출하는 STEX route도 있다.</t>
  </si>
  <si>
    <t>Polystyrene, EPS, ABS, UPR, SBL, SBR, SAN, styrenic block copolymers</t>
  </si>
  <si>
    <t>Industrial Manufacturing (PS, ABS, SBR, SBL, UPR, SAN), Construction &amp; Infrastructure (EPS insulation, UPR composites, XPS), Consumer &amp; Personal Care (food packaging, appliances, household goods, footwear), Automotive &amp; Future Mobility (ABS parts, UPR composites, SBR tires), Healthcare &amp; Medical (medical equipment housings via ABS/PS), Power &amp; Electrical Infrastructure (electrical/electronic housings, insulation materials)</t>
  </si>
  <si>
    <t>Lummus/UOP, Badger, Versalis, Dow, Shell/ARCO POSM, GTC/Sulzer STEX</t>
  </si>
  <si>
    <t>CEH_Styrene.pdf</t>
  </si>
  <si>
    <t>Net Import (Export → Import, 2023)</t>
    <phoneticPr fontId="1" type="noConversion"/>
  </si>
  <si>
    <t>Polystyrene, GPPS/HIPS</t>
  </si>
  <si>
    <t>GPPS는 투명 포장재, 식품용기, 소비재에 쓰이고, HIPS는 충격강도가 필요한 냉장고 liner, 요거트컵, 가전 부품 등에 사용됩니다.</t>
  </si>
  <si>
    <t>최대 용도이나 저성장·PP/PET 대체 압력</t>
  </si>
  <si>
    <t>EPS</t>
  </si>
  <si>
    <t>발포 polystyrene으로 포장 완충재, 단열재, cold-chain 포장, geofoam 등에 사용됩니다.</t>
  </si>
  <si>
    <t>Construction &amp; Infrastructure / Food &amp; Nutrition</t>
  </si>
  <si>
    <t>단열·포장 중심의 안정 성장</t>
  </si>
  <si>
    <t>Styrene은 ABS의 핵심 monomer로, 가전, 전자제품 housing, 자동차 내외장재, 의료기기 housing 등에 사용됩니다.</t>
  </si>
  <si>
    <t>Consumer &amp; Personal Care / Automotive &amp; Future Mobility / Healthcare &amp; Medical</t>
  </si>
  <si>
    <t>가장 빠르게 성장하는 주요 derivative</t>
  </si>
  <si>
    <t>Unsaturated polyester resin, UPR</t>
  </si>
  <si>
    <t>Styrene은 UPR의 reactive diluent/crosslinking monomer로 쓰이며, GFRP 복합재, 건설자재, 선박, 자동차 보수재, 인조대리석 등에 적용됩니다.</t>
  </si>
  <si>
    <t>Construction &amp; Infrastructure / Automotive &amp; Future Mobility / Industrial Manufacturing</t>
  </si>
  <si>
    <t>복합재·건설 연계 성장</t>
  </si>
  <si>
    <t>Styrene-butadiene latex, SBL</t>
  </si>
  <si>
    <t>종이 코팅, 카펫 backing, nonwoven binder 등에 사용됩니다.</t>
  </si>
  <si>
    <t>성숙 시장, 종이용은 제한적</t>
  </si>
  <si>
    <t>SBR, E-SBR/S-SBR</t>
  </si>
  <si>
    <t>Butadiene과 공중합해 타이어용 합성고무를 만듭니다. S-SBR은 green tire/EV tire용 고성능 rubber입니다.</t>
  </si>
  <si>
    <t>타이어 산업과 연동</t>
  </si>
  <si>
    <t>Other styrenics</t>
  </si>
  <si>
    <t>SAN, SBC, SIS, MMBS 등 copolymer 및 thermoplastic elastomer에 사용됩니다.</t>
  </si>
  <si>
    <t>일부 고부가 specialty 영역</t>
  </si>
  <si>
    <t>Styrene은 PS/EPS/ABS가 2024년 글로벌 수요의 약 73%를 차지하는 대형 commodity monomer이다. 중국의 대규모 자급화 증설로 글로벌 trade flow가 크게 바뀌었고, PS는 저성장·대체재 압력이 있으나 ABS/EPS/UPR은 상대적으로 성장성이 높다.
2024년 수요 비중은 PS 33%, EPS 21%, ABS 19%, UPR 6%, SBL 4%, E-SBR 2%, S-SBR 1%, 기타 14%입니다. 투자 관점에서는 PS는 성숙·저성장, EPS는 단열/포장 안정 성장, ABS는 가전·EV·전자제품 중심의 핵심 성장 application으로 보는 것이 적절</t>
    <phoneticPr fontId="1" type="noConversion"/>
  </si>
  <si>
    <t>Food packaging / disposable packaging</t>
  </si>
  <si>
    <t>컵, 용기, yogurt cup, meat tray, egg carton, deli tray, take-out container 등에 사용됩니다. GPPS는 투명 포장, HIPS는 내충격 food container에 적합합니다.</t>
  </si>
  <si>
    <t>Food &amp; Nutrition / Consumer &amp; Personal Care</t>
  </si>
  <si>
    <t>최대 application, 전체 수요의 약 34%</t>
  </si>
  <si>
    <t>EPS/XPS insulation</t>
  </si>
  <si>
    <t>Styrene 기반 foam으로 단열재, insulation board, 건축 단열 panel, geofoam 등에 사용됩니다.</t>
  </si>
  <si>
    <t>에너지 효율 규제 수혜</t>
  </si>
  <si>
    <t>Refrigerator liner / appliance parts</t>
  </si>
  <si>
    <t>HIPS는 냉장고 door liner, freezer liner, tray, cover, handle trim 등에 널리 사용됩니다. ABS 대체도 일부 진행됩니다.</t>
  </si>
  <si>
    <t>E&amp;E 핵심 성장처</t>
  </si>
  <si>
    <t>Consumer electronics housing</t>
  </si>
  <si>
    <t>TV, printer, 소형가전, office accessory housing 등에 사용됩니다. HIPS는 가공성과 cost competitiveness가 강점입니다.</t>
  </si>
  <si>
    <t>Consumer &amp; Personal Care / Power &amp; Electrical Infrastructure</t>
  </si>
  <si>
    <t>ABS와 경쟁</t>
  </si>
  <si>
    <t>Housewares / toys</t>
  </si>
  <si>
    <t>컵, 식기, 장난감, 문구, 생활용품 등에 사용됩니다. GPPS는 투명성, HIPS는 toughness가 강점입니다.</t>
  </si>
  <si>
    <t>전통적 범용 시장</t>
  </si>
  <si>
    <t>Medical / labware</t>
  </si>
  <si>
    <t>Petri dish, diagnostic tray, labware, disposable medical ware 등에 사용됩니다.</t>
  </si>
  <si>
    <t>Healthcare &amp; Medical</t>
  </si>
  <si>
    <t>비교적 안정적 niche</t>
  </si>
  <si>
    <t>Oriented PS film (OPS)</t>
  </si>
  <si>
    <t>과자 tray, bakery tray, deli packaging 등 얇고 투명한 포장 film에 사용됩니다.</t>
  </si>
  <si>
    <t>Food &amp; Nutrition</t>
  </si>
  <si>
    <t>PET와 경쟁 심화</t>
  </si>
  <si>
    <t>Foam foodservice products</t>
  </si>
  <si>
    <t>Hot drink cup, foam cup, foam clamshell 등에 사용됩니다. PS foam은 단열성과 저비용이 장점입니다.</t>
  </si>
  <si>
    <t>규제 리스크 매우 큼</t>
  </si>
  <si>
    <t>PS (Polystyrene, GPPS/HIPS)</t>
  </si>
  <si>
    <t>PS는 styrene monomer를 중합해 생산하는 범용 thermoplastic resin으로, GPPS는 투명·강성, HIPS는 PBR 개질로 충격강도가 우수하다. 포장재, 가전·전자, 소비재, 건축용 XPS 등에 사용된다.</t>
  </si>
  <si>
    <t>주로 styrene의 continuous mass/solution polymerization으로 생산되며, HIPS는 styrene에 polybutadiene rubber를 용해·graft/phase inversion시켜 충격강도를 부여한다.</t>
  </si>
  <si>
    <t>Food packaging, disposable containers, refrigerator liners, appliance parts, consumer goods, toys, medical/labware, XPS insulation</t>
  </si>
  <si>
    <t>Food &amp; Nutrition (food packaging, trays, cups), Consumer &amp; Personal Care (housewares, toys, appliances), Power &amp; Electrical Infrastructure (electrical/electronic housings), Construction &amp; Infrastructure (XPS insulation, foam board), Healthcare &amp; Medical (medical/labware), Industrial Manufacturing (sheets, films, molded parts)</t>
  </si>
  <si>
    <t>INEOS Styrolution, Versalis, Toyo Engineering, Polimeri/Eni legacy</t>
  </si>
  <si>
    <t>PS는 packaging 34%, electrical/electronic 31% 중심의 성숙 commodity resin이다. PP/PET 대체, single-use plastic 규제, 낮은 recycling rate가 구조적 리스크이며, 중국 증설로 글로벌 oversupply가 지속될 가능성이 높다. HIPS의 가전·전자용과 XPS 단열재는 상대적으로 방어적이나 전체 투자 매력도는 낮다.</t>
  </si>
  <si>
    <t>CEH_Polystyrene.pdf</t>
  </si>
  <si>
    <t>HD현대케미칼(1350), SK지오센트릭(894), S-OIL(450), GS칼텍스(350), 여천NCC(204), 롯데케미칼(139), LG화학(60), 대한유화(47)</t>
    <phoneticPr fontId="1" type="noConversion"/>
  </si>
  <si>
    <t>한화임팩트(1300), 태광산업(1000), 롯데케미칼(840), 효성화학(420), 애경케미칼(210), SK케미칼(160), OCI(60)</t>
    <phoneticPr fontId="1" type="noConversion"/>
  </si>
  <si>
    <t>페놀은 벤젠 유래 방향족 화합물로, BPA·페놀수지·카프로락탐 등 다양한 화학 중간체 생산에 쓰이는 대량 기초유분 제품이다.</t>
  </si>
  <si>
    <t>상업 생산은 대부분 큐멘 공정 기반이며, 벤젠과 프로필렌으로 큐멘을 만든 뒤 산화·분해하여 페놀과 아세톤을 병산한다.</t>
  </si>
  <si>
    <t>Bisphenol A (BPA), phenol-formaldehyde resins, cyclohexanone/cyclohexanol, adipic acid</t>
  </si>
  <si>
    <t>Automotive &amp; Future Mobility (polycarbonate, epoxy, polyamide applications); Construction &amp; Infrastructure (phenolic resins, insulation, laminates); Semiconductor &amp; Advanced Electronics (epoxy resins, printed circuit boards); Industrial Manufacturing (adhesives, coatings, intermediates)</t>
  </si>
  <si>
    <t>KBR, Badger Licensing</t>
  </si>
  <si>
    <t>Commodity phenolics chain with strong benzene/propylene integration fit, but global oversupply and mainland China capacity expansion risk are significant.</t>
  </si>
  <si>
    <t>CEH Phenol, Dec. 2025 ; Kumho P&amp;B Chemicals; Badger Licensing; S&amp;P Global/KBR process references</t>
  </si>
  <si>
    <t>https://www.kpb.co.kr; https://www.badgerlicensing.com</t>
  </si>
  <si>
    <t>LG화학(710), 금호피앤비화학(680)</t>
    <phoneticPr fontId="1" type="noConversion"/>
  </si>
  <si>
    <t>End-use Industry</t>
  </si>
  <si>
    <t>Bisphenol A (BPA) → Polycarbonate</t>
  </si>
  <si>
    <t>Automotive &amp; Future Mobility; Construction &amp; Infrastructure; Consumer &amp; Electronics</t>
  </si>
  <si>
    <t>페놀 최대 수요처. BPA는 PC 수지로 전환되어 자동차 램프·패널, 건축용 시트/창호, 전자제품 하우징 등에 사용됨.</t>
  </si>
  <si>
    <t>전체 페놀 수요의 핵심 드라이버이나, 중국 BPA/PC 증설 영향으로 사이클 리스크 큼.</t>
  </si>
  <si>
    <t>Bisphenol A (BPA) → Epoxy resin</t>
  </si>
  <si>
    <t>Semiconductor &amp; Advanced Electronics; Industrial Manufacturing; Construction &amp; Infrastructure</t>
  </si>
  <si>
    <t>BPA 기반 에폭시는 표면코팅, 접착제, 복합재, rigid printed circuit board 등에 사용됨.</t>
  </si>
  <si>
    <t>전자재료·코팅·접착제와 연결되어 상대적으로 고부가이나, 다운스트림 고객 인증 중요.</t>
  </si>
  <si>
    <t>Phenol-formaldehyde resin (PF resin)</t>
  </si>
  <si>
    <t>Construction &amp; Infrastructure; Industrial Manufacturing</t>
  </si>
  <si>
    <t>OSB, 합판, hardboard 등 목재 접착제와 단열재 바인더, decorative/industrial laminate에 사용됨.</t>
  </si>
  <si>
    <t>건설·리모델링 경기 민감도가 높고 MDI·MF resin 등 대체재와 경쟁.</t>
  </si>
  <si>
    <t>PF resin → Foundry / molding compound</t>
  </si>
  <si>
    <t>Automotive &amp; Future Mobility; Industrial Manufacturing</t>
  </si>
  <si>
    <t>주조용 바인더, 자동차 엔진·변속기 부품, 브레이크 부품, 전기 부품용 성형재에 사용됨.</t>
  </si>
  <si>
    <t>자동차 생산량과 산업 제조 회복에 연동되며, 범용 PF보다 formulation 역량이 중요.</t>
  </si>
  <si>
    <t>Cyclohexanone / Cyclohexanol → Caprolactam</t>
  </si>
  <si>
    <t>Automotive &amp; Future Mobility; Construction &amp; Infrastructure; Consumer &amp; Personal Care</t>
  </si>
  <si>
    <t>페놀을 수소화해 KA oil을 만들고, caprolactam을 거쳐 polyamide 6 섬유·수지로 사용됨. 자동차 부품, 카펫, 필름 등이 주요 용도.</t>
  </si>
  <si>
    <t>나일론 체인과 연결되지만 caprolactam은 다른 공정도 있어 페놀 route 경쟁력 검토 필요.</t>
  </si>
  <si>
    <t>Adipic acid → Polyamide 66</t>
  </si>
  <si>
    <t>KA oil 산화로 adipic acid를 만들고 PA66 엔지니어링 플라스틱·섬유에 사용됨.</t>
  </si>
  <si>
    <t>고성능 소재 체인과 연결되나, 페놀 기반 adipic acid 비중은 제한적.</t>
  </si>
  <si>
    <t>Alkylphenols</t>
  </si>
  <si>
    <t>Industrial Manufacturing; Consumer &amp; Personal Care; Agriculture &amp; Resource</t>
  </si>
  <si>
    <t>nonylphenol, dodecylphenol, octylphenol 등으로 전환되어 계면활성제, 윤활유 첨가제, 산화방지제, 농업용 보조제 등에 사용됨.</t>
  </si>
  <si>
    <t>일부 고부가 specialty 영역이나 환경규제 및 대체소재 리스크 존재.</t>
  </si>
  <si>
    <t>Other derivatives</t>
  </si>
  <si>
    <t>Healthcare &amp; Medical; Agriculture &amp; Resource; Industrial Manufacturing</t>
  </si>
  <si>
    <t>salicylic acid, chlorophenols, dyes, herbicides, diphenyl ether, phosphate esters 등 다양한 소량 중간체에 사용됨.</t>
  </si>
  <si>
    <t>규모는 작지만 specialty diversification 옵션으로 검토 가능.</t>
  </si>
  <si>
    <t>아세톤은 무색·휘발성 케톤계 용제로, 페놀 생산 시 병산되며 MMA·BPA·IPA 및 용제 시장에 사용되는 대량 기초화학 제품이다.</t>
  </si>
  <si>
    <t>전 세계 생산의 97% 이상이 큐멘 공정에서 페놀과 함께 병산된다. 일부는 IPA 탈수소화 및 기타 비페놀 공정으로 생산된다.</t>
  </si>
  <si>
    <t>Solvent, Bisphenol A (BPA), methyl methacrylate (MMA), isopropyl alcohol (IPA), MIBK/aldol chemicals</t>
  </si>
  <si>
    <t>Healthcare &amp; Medical (pharmaceutical solvent, IPA disinfectant); Consumer &amp; Personal Care (nail polish remover, cosmetics); Automotive &amp; Future Mobility (PMMA, PC, epoxy, coatings); Construction &amp; Infrastructure (PMMA sheet, coatings, adhesives); Semiconductor &amp; Advanced Electronics (BPA epoxy resins, circuit board related applications); Industrial Manufacturing (solvents, coatings, adhesives, rubber chemicals)</t>
  </si>
  <si>
    <t>CEH Acetone, Dec. 2025</t>
  </si>
  <si>
    <t>LG화학(435), 금호피앤비화학(420)</t>
    <phoneticPr fontId="1" type="noConversion"/>
  </si>
  <si>
    <t>Solvent / Direct use</t>
  </si>
  <si>
    <t>Healthcare &amp; Medical; Consumer &amp; Personal Care; Industrial Manufacturing</t>
  </si>
  <si>
    <t>아세톤 최대 수요처. 의약품 제조용 용제, 비타민·항생제 생산, 화장품·네일 리무버, 페인트·잉크·바니시·접착제·세정제 등에 사용됨.</t>
  </si>
  <si>
    <t>범용 용제 시장이지만 수요 저변이 넓음. 다만 고부가보다는 잉여 아세톤 흡수처 성격이 강함.</t>
  </si>
  <si>
    <t>Bisphenol A (BPA)</t>
  </si>
  <si>
    <t>Automotive &amp; Future Mobility; Semiconductor &amp; Advanced Electronics; Construction &amp; Infrastructure</t>
  </si>
  <si>
    <t>페놀과 아세톤을 반응시켜 BPA를 만들고, BPA는 polycarbonate와 epoxy resin으로 전환됨. 자동차 경량 부품, 전자기기, PCB용 에폭시, 건축재 등에 사용됨.</t>
  </si>
  <si>
    <t>아세톤의 핵심 화학적 수요처. PC·epoxy 성장과 연결되지만 BPA 규제 및 중국 증설 리스크 존재.</t>
  </si>
  <si>
    <t>Methyl Methacrylate (MMA) / PMMA</t>
  </si>
  <si>
    <t>Construction &amp; Infrastructure; Automotive &amp; Future Mobility; Healthcare &amp; Medical</t>
  </si>
  <si>
    <t>아세톤을 ACH route로 MMA 생산에 사용. MMA는 PMMA로 전환되어 아크릴 시트, 간판, 조명, 창호, 자동차 부품, 의료기기 등에 사용됨.</t>
  </si>
  <si>
    <t>투명·경량 소재 체인과 연결. 단, 신규 MMA 기술이 비아세톤 route로 이동 중이라 장기 수요 리스크 있음.</t>
  </si>
  <si>
    <t>Isopropyl Alcohol (IPA)</t>
  </si>
  <si>
    <t>Healthcare &amp; Medical; Semiconductor &amp; Advanced Electronics; Consumer &amp; Personal Care</t>
  </si>
  <si>
    <t>아세톤 수소화로 IPA 생산 가능. IPA는 소독제, 의료용 wipes/swabs, 화장품 용제, 전자부품 세정 등에 사용됨.</t>
  </si>
  <si>
    <t>의료·전자 세정 수요와 연결되어 상대적으로 안정적. 고순도 IPA는 전자재료로 확장 가능.</t>
  </si>
  <si>
    <t>MIBK / MIBC / Aldol chemicals</t>
  </si>
  <si>
    <t>Industrial Manufacturing; Automotive &amp; Future Mobility; Agriculture &amp; Resource</t>
  </si>
  <si>
    <t>아세톤 축합을 통해 DAA, MIBK, MIBC, hexylene glycol 등 생산. 코팅용 용제, 고무 산화방지제, 타이어·벨트, 광산 부유선광제 등에 사용됨.</t>
  </si>
  <si>
    <t>범용 아세톤보다 specialty 성격이 높고 고무·코팅·광산용 첨가제 체인으로 확장 가능.</t>
  </si>
  <si>
    <t>Isophorone / IPDA / IPDI</t>
  </si>
  <si>
    <t>Industrial Manufacturing; Automotive &amp; Future Mobility; Construction &amp; Infrastructure</t>
  </si>
  <si>
    <t>아세톤 유래 isophorone은 IPDA/IPDI로 전환되어 우레탄 코팅 경화제, 분체도료, 자동차 외장 trim, 옥외용 코팅 등에 사용됨.</t>
  </si>
  <si>
    <t>내후성 코팅·고기능 우레탄 체인 진입 가능. 기술·고객 인증 장벽이 상대적으로 높음.</t>
  </si>
  <si>
    <t>Miscellaneous derivatives</t>
  </si>
  <si>
    <t>Agriculture &amp; Resource; Industrial Manufacturing; Food &amp; Nutrition</t>
  </si>
  <si>
    <t>TMQ, MAK, MIAK, pseudoionone, hexafluoroacetone 등으로 전환되어 고무첨가제, 고비점 용제, 비타민 A/E 중간체, 농약 중간체 등에 사용됨.</t>
  </si>
  <si>
    <t>규모는 작지만 specialty diversification 후보. 개별 제품별 시장성과 기술 접근성 검토 필요.</t>
  </si>
  <si>
    <t>Phenol coproduct with frequent supply-demand imbalance; demand tied to solvents, BPA and MMA, while mainland China is the dominant growth and capacity-expansion driver.
2024년 글로벌 아세톤 수요는 Other/solvent 43%, BPA 28%, MMA 19%, IPA 10% 구조입니다.</t>
    <phoneticPr fontId="1" type="noConversion"/>
  </si>
  <si>
    <t>BPA</t>
  </si>
  <si>
    <t>BPA는 페놀과 아세톤으로 생산되는 백색 고체 중간체로, 주로 폴리카보네이트와 에폭시수지의 원료로 사용된다.</t>
  </si>
  <si>
    <t>BPA는 페놀과 아세톤을 산 촉매 또는 이온교환수지 촉매 하에서 축합 반응시켜 생산한다. 2024년 기준 글로벌 BPA 생산의 대부분은 이온교환수지 촉매 공정이다.</t>
  </si>
  <si>
    <t>Polycarbonate resin, epoxy resin, flame retardants, specialty resins</t>
  </si>
  <si>
    <t>Semiconductor &amp; Advanced Electronics (epoxy resins, electrical/electronics, circuit-related materials); Automotive &amp; Future Mobility (polycarbonate parts, coatings, composites); Construction &amp; Infrastructure (polycarbonate sheet, epoxy coatings, civil engineering); Industrial Manufacturing (coatings, adhesives, composites); Consumer &amp; Personal Care (consumer goods, durable plastics)</t>
  </si>
  <si>
    <t>PC와 epoxy resin이 수요 대부분을 차지하며, 페놀/아세톤 및 PC/epoxy와의 수직계열화가 중요하다. 중국 대규모 증설로 글로벌 가동률과 교역 구조 압박이 큼.</t>
  </si>
  <si>
    <t>CEH Bisphenol A, Oct. 2025 ; Kumho P&amp;B Chemicals</t>
  </si>
  <si>
    <t>https://www.kpb.co.kr/eng/product/bpa</t>
  </si>
  <si>
    <t>LG화학(495), 금호피앤비화학(450), 삼양이노켐(180)</t>
    <phoneticPr fontId="1" type="noConversion"/>
  </si>
  <si>
    <t>Polycarbonate (PC) resin</t>
  </si>
  <si>
    <t>Semiconductor &amp; Advanced Electronics; Automotive &amp; Future Mobility; Construction &amp; Infrastructure; Consumer &amp; Personal Care</t>
  </si>
  <si>
    <t>BPA의 최대 수요처. PC는 투명성, 내충격성, 내열성이 좋아 전자기기 하우징, 모바일·PC·TV, 자동차 램프·내외장재, 건축용 시트·창호, 조명·디스플레이 등에 사용됨.</t>
  </si>
  <si>
    <t>BPA 수요의 핵심 성장축. 전자·자동차·건설 경기와 직접 연동되며, PC와의 수직계열화가 중요함.</t>
  </si>
  <si>
    <t>Semiconductor &amp; Advanced Electronics; Power &amp; Electrical Infrastructure; Construction &amp; Infrastructure; Industrial Manufacturing</t>
  </si>
  <si>
    <t>BPA 기반 에폭시는 코팅, 접착제, 전기전자 절연재, PCB 관련 소재, 복합재, 바닥재·토목용 수지 등에 사용됨.</t>
  </si>
  <si>
    <t>PC 다음으로 큰 수요처. 전자재료·전력 인프라·고성능 코팅과 연결되어 상대적으로 고부가이나 고객 인증 장벽 존재.</t>
  </si>
  <si>
    <t>Coatings from epoxy resin</t>
  </si>
  <si>
    <t>Automotive &amp; Future Mobility; Construction &amp; Infrastructure; Industrial Manufacturing</t>
  </si>
  <si>
    <t>BPA epoxy는 보호 코팅, 산업용 코팅, 자동차 코팅, 금속·콘크리트 보호용 코팅에 사용됨.</t>
  </si>
  <si>
    <t>경기 민감도는 있으나 유지보수·부식방지 수요가 있어 안정적. 고기능 코팅 formulation 역량이 중요.</t>
  </si>
  <si>
    <t>Electrical / electronic epoxy</t>
  </si>
  <si>
    <t>Semiconductor &amp; Advanced Electronics; Power &amp; Electrical Infrastructure</t>
  </si>
  <si>
    <t>에폭시 수지는 전기전자 부품, 절연재, 회로기판, 전자 패키징 관련 소재 등에 사용됨.</t>
  </si>
  <si>
    <t>고부가 전자소재로 확장 가능. 품질 안정성, 불순물 관리, 고객 승인 장벽이 높음.</t>
  </si>
  <si>
    <t>Tetrabromobisphenol A (TBBPA) / flame retardants</t>
  </si>
  <si>
    <t>Semiconductor &amp; Advanced Electronics; Industrial Manufacturing</t>
  </si>
  <si>
    <t>BPA는 브롬계 난연제인 TBBPA 및 BDP 생산에 사용되며, PCB용 에폭시, PC, ABS, 불포화폴리에스터 등에 난연성을 부여함.</t>
  </si>
  <si>
    <t>전자·전기 안전 규격과 연결되지만, 브롬계 난연제 규제 리스크를 반드시 검토해야 함.</t>
  </si>
  <si>
    <t>Specialty resins</t>
  </si>
  <si>
    <t>Industrial Manufacturing; Automotive &amp; Future Mobility; Semiconductor &amp; Advanced Electronics</t>
  </si>
  <si>
    <t>BPA는 polysulfone, polyetherimide, polyarylate 등 고내열·고성능 엔지니어링 플라스틱 원료로도 사용됨.</t>
  </si>
  <si>
    <t>물량은 작지만 고부가 소재 체인. 기술·고객 인증 장벽이 높아 specialty 후보로 검토 가능.</t>
  </si>
  <si>
    <t>Unsaturated polyester resin additives / modifiers</t>
  </si>
  <si>
    <t>BPA는 일부 불포화폴리에스터 수지 및 관련 고성능 수지의 개질 성분으로 사용됨.</t>
  </si>
  <si>
    <t>규모는 제한적이나 복합재·건자재 성능 개선용 niche application 가능.</t>
  </si>
  <si>
    <t>Food-contact related legacy uses</t>
  </si>
  <si>
    <t>Consumer &amp; Personal Care; Food &amp; Nutrition</t>
  </si>
  <si>
    <t>과거 PC 병·식품용기와 에폭시 캔 코팅에 사용되었으나, 안전성 우려로 대체 수지와 대체 코팅으로 전환되는 추세.</t>
  </si>
  <si>
    <t>규제 및 소비자 수용성 리스크가 큼. 신규 투자 시 식품접촉 용도 의존도는 낮게 보는 것이 바람직.</t>
  </si>
  <si>
    <t>PC (polycarbonate)</t>
  </si>
  <si>
    <t>PC는 투명성·내충격성·내열성·전기절연성이 우수한 고성능 엔지니어링 플라스틱으로, 전자·자동차·건축·소비재에 폭넓게 사용된다.</t>
  </si>
  <si>
    <t>PC는 주로 BPA와 phosgene을 반응시키는 interfacial phosgenation 공정으로 생산되며, 일부는 BPA와 diphenyl carbonate를 이용한 melt/non-phosgene 공정으로 생산된다.</t>
  </si>
  <si>
    <t>Electrical/electronic components, automotive lighting and parts, consumer goods, sheet/film, glazing, packaging, medical devices</t>
  </si>
  <si>
    <t>Semiconductor &amp; Advanced Electronics (electronics housings, electrical components); Automotive &amp; Future Mobility (headlamp lenses, lightweight parts, glazing); Construction &amp; Infrastructure (sheet, glazing, roof panels); Healthcare &amp; Medical (medical devices, lenses); Consumer &amp; Personal Care (durable goods, appliances); Industrial Manufacturing (engineering plastic components)</t>
  </si>
  <si>
    <t>Asahi Kasei Chemicals</t>
  </si>
  <si>
    <t>CEH Polycarbonate Resins, Jun. 2025</t>
  </si>
  <si>
    <t>롯데케미칼(480), LG화학(170), 삼양화성(120)</t>
    <phoneticPr fontId="1" type="noConversion"/>
  </si>
  <si>
    <t>Epoxy Resin</t>
    <phoneticPr fontId="1" type="noConversion"/>
  </si>
  <si>
    <t>Electrical / Electronics</t>
  </si>
  <si>
    <t>Semiconductor &amp; Advanced Electronics</t>
  </si>
  <si>
    <t>PC 최대 수요처. 휴대폰, 태블릿, PC, 노트북, TV, 카메라, 네트워크 장비, 프린터, 전기부품 하우징 등에 사용됨.</t>
  </si>
  <si>
    <t>전자기기 경량화·내충격·난연 요구와 연결. 가장 큰 성장 application이나 제품 수명 단축과 원가절감 압력 존재.</t>
  </si>
  <si>
    <t>Automotive lighting</t>
  </si>
  <si>
    <t>헤드램프 렌즈, 테일램프, 시그널 램프, 반사판, 하우징 등에 사용. 유리 대비 가볍고 복잡한 형상 구현이 쉬움.</t>
  </si>
  <si>
    <t>자동차 경량화와 디자인 자유도 확대에 유리. 이미 핵심 PC 적용처로 자리잡음.</t>
  </si>
  <si>
    <t>Automotive exterior / interior parts</t>
  </si>
  <si>
    <t>범퍼, 외장 패널, 미러 하우징, 휠커버, 계기판, 도어패널 등에 PC/ABS, PC/PBT, PC/PET 블렌드 형태로 사용됨.</t>
  </si>
  <si>
    <t>EV 및 연비 규제에 따른 경량화 수혜. 다만 OEM 승인, 장기 내구성, 가격 경쟁력이 중요.</t>
  </si>
  <si>
    <t>Automotive glazing</t>
  </si>
  <si>
    <t>소형 측면창, 문루프, 파노라마 루프 등 유리 대체 용도로 검토·적용. 투명성과 경량성이 장점.</t>
  </si>
  <si>
    <t>잠재 시장은 크지만 스크래치, 황변, UV, 내열성 문제가 진입장벽. 코팅 기술이 핵심.</t>
  </si>
  <si>
    <t>Consumer goods / Appliances</t>
  </si>
  <si>
    <t>가전제품, 생활용품, 하우징, 내구소비재, 스포츠·레저 제품 등에 사용됨.</t>
  </si>
  <si>
    <t>주택·소비 경기와 연동. 범용 PC보다 디자인·내구성·색상·난연 grade 개발이 중요.</t>
  </si>
  <si>
    <t>Sheet / Film / Glazing</t>
  </si>
  <si>
    <t>건축용 시트, 채광판, 지붕재, 방호창, 온실, 차양, 투명 방풍·방호 패널 등에 사용됨.</t>
  </si>
  <si>
    <t>유리·아크릴 대체재. 건설 경기 민감도가 있으나 안전·경량·투명 소재 수요와 연결.</t>
  </si>
  <si>
    <t>물병, 스포츠병, 컵, 워터쿨러 병 등으로 사용되었으나 BPA 우려로 식품·물 접촉 용도는 일부 대체됨.</t>
  </si>
  <si>
    <t>규제·소비자 인식 리스크가 큼. PET, copolyester, PP 등 대체재와 경쟁.</t>
  </si>
  <si>
    <t>Medical / Healthcare devices</t>
  </si>
  <si>
    <t>투명성, 내충격성, 멸균 적합성 때문에 의료기기, 진단기기 부품, 보호장비, 렌즈류 등에 사용됨.</t>
  </si>
  <si>
    <t>고부가 application. 품질관리와 인증 장벽이 높아 specialty grade 전략에 적합.</t>
  </si>
  <si>
    <t>Optical / Lenses</t>
  </si>
  <si>
    <t>Healthcare &amp; Medical; Consumer &amp; Personal Care</t>
  </si>
  <si>
    <t>안경렌즈, 보호안경, 카메라 렌즈 등 유리 대체 광학 소재로 사용됨.</t>
  </si>
  <si>
    <t>고굴절·저복굴절·광학 품질이 중요. 범용 PC보다 기술 차별화 가능.</t>
  </si>
  <si>
    <t>Recycled PC / Sustainable materials</t>
  </si>
  <si>
    <t>Circular Economy &amp; Recycling; Semiconductor &amp; Advanced Electronics; Automotive &amp; Future Mobility</t>
  </si>
  <si>
    <t>전자폐기물, 산업 폐기물, 사용후 제품에서 회수한 PC를 재활용해 시트, 패널, 전자·자동차 부품 등에 사용.</t>
  </si>
  <si>
    <t>ESG와 순환경제 대응용 성장 영역. 전자·자동차 고객의 recycled content 요구 대응이 중요.</t>
  </si>
  <si>
    <t>고성능 엔지니어링 플라스틱이나 중국의 대규모 증설과 자급화가 글로벌 가격·교역 구조에 큰 압박 요인. 자동차 경량화·전자전기·재활용 PC는 전략적 수요 포인트.
CEH Polycarbonate Resins 기준 2024년 글로벌 PC 수요는 Electrical/electronic 37%, Consumer goods 22%, Transportation 19%, Packaging 6%, Other 16% 구조</t>
    <phoneticPr fontId="1" type="noConversion"/>
  </si>
  <si>
    <t>에폭시수지는 BPA와 ECH(epichlorohydrin)를 기반으로 생산되는 대표 열경화성 수지로, 우수한 접착성·내식성·전기절연성·기계적 강도를 바탕으로 코팅·전자재료·복합재·접착제 등에 사용된다.</t>
  </si>
  <si>
    <t>주류 공정은 BPA와 epichlorohydrin(ECH)을 반응시켜 DGEBPA(diglycidyl ether of bisphenol A) 기반 액상 에폭시를 제조하고, 이후 advancement/fusion 공정을 통해 고분자 solid epoxy 및 specialty epoxy로 전환한다.</t>
  </si>
  <si>
    <t>Protective coatings, electrical/electronic laminates, adhesives, composites, civil engineering materials</t>
  </si>
  <si>
    <t>Semiconductor &amp; Advanced Electronics (PCB laminates, encapsulation, insulation); Automotive &amp; Future Mobility (structural adhesives, composites, coatings); Construction &amp; Infrastructure (flooring, corrosion protection, civil engineering); Renewable Energy (wind turbine blades, pressure vessels); Industrial Manufacturing (protective coatings, adhesives, tooling)</t>
  </si>
  <si>
    <t>Mid-High</t>
  </si>
  <si>
    <t>Partial</t>
  </si>
  <si>
    <t>In-house technology dominant; 일부 specialty formulation 기술 중심</t>
  </si>
  <si>
    <t>Potential</t>
  </si>
  <si>
    <t>CEH Epoxy Resins, Oct. 2024</t>
  </si>
  <si>
    <t>https://www.spglobal.com/commodityinsights</t>
  </si>
  <si>
    <t>국도화학(530), 금호피앤비화학(338), 코오롱인더스트리(52)</t>
    <phoneticPr fontId="1" type="noConversion"/>
  </si>
  <si>
    <t>Protective coatings</t>
  </si>
  <si>
    <t>Industrial Manufacturing; Construction &amp; Infrastructure</t>
  </si>
  <si>
    <t>에폭시 최대 용도. 금속·콘크리트·설비의 방청, 내화학, 보호 코팅에 사용되며 산업용 코팅, 선박·해양, 유지보수 코팅에 적용됨.</t>
  </si>
  <si>
    <t>가장 큰 시장이나 성숙도가 높음. VOC 규제 대응을 위한 waterborne, powder, high-solids 코팅 전환이 중요.</t>
  </si>
  <si>
    <t>Electrical / electronic laminates</t>
  </si>
  <si>
    <t>브롬화 에폭시 및 고기능 에폭시는 PCB laminate, 전기 절연재, encapsulation, 전자부품 보호재에 사용됨.</t>
  </si>
  <si>
    <t>고부가·고품질 시장. 전자소재 고객 인증, 난연성, 불순물 관리가 핵심 진입장벽.</t>
  </si>
  <si>
    <t>Civil engineering / Flooring / Construction</t>
  </si>
  <si>
    <t>에폭시는 바닥재, 포장재, 콘크리트 보수, 접착·충진재, 구조 보강재 등에 사용됨. 내마모성·접착성·내화학성이 장점.</t>
  </si>
  <si>
    <t>건설·인프라 경기와 연동. 범용 시장이지만 고내구 flooring, 산업시설 보수용은 안정적 수요.</t>
  </si>
  <si>
    <t>Adhesives / Sealants</t>
  </si>
  <si>
    <t>Automotive &amp; Future Mobility; Renewable Energy; Industrial Manufacturing</t>
  </si>
  <si>
    <t>구조용 접착제로 금속, 플라스틱, 알루미늄 등 이종 소재 접합에 사용. 자동차·항공기·풍력 블레이드 조립에 확대 적용됨.</t>
  </si>
  <si>
    <t>성장성이 높은 specialty 영역. 자동차 경량화와 이종소재 접합 트렌드의 직접 수혜.</t>
  </si>
  <si>
    <t>Composites / CFRP</t>
  </si>
  <si>
    <t>Renewable Energy; Automotive &amp; Future Mobility; Industrial Manufacturing</t>
  </si>
  <si>
    <t>탄소섬유·유리섬유와 결합해 복합재를 만들며 풍력 블레이드, 항공기 구조재, 압력용기, 스포츠용품, 자동차 부품에 사용됨.</t>
  </si>
  <si>
    <t>고성장·고부가 application. 풍력, 항공, 수소/CNG 압력용기, EV 경량화와 연결됨.</t>
  </si>
  <si>
    <t>Wind turbine blades</t>
  </si>
  <si>
    <t>에폭시는 대형 풍력 블레이드용 복합재 매트릭스 수지로 사용되며, 강도·피로 내구성·접착성이 중요함.</t>
  </si>
  <si>
    <t>재생에너지 확대 수혜. 블레이드 대형화와 offshore wind에서 고성능 epoxy 수요 증가 가능.</t>
  </si>
  <si>
    <t>Automotive structural adhesives / composites</t>
  </si>
  <si>
    <t>차체 조립, 구조 접착, CFRP 부품, 코팅 등에 사용. 기계적 체결이 어려운 이종소재 접합에 적합함.</t>
  </si>
  <si>
    <t>EV·경량화·차체 강성 개선 트렌드와 연결. OEM 승인 및 장기 신뢰성 검증이 중요.</t>
  </si>
  <si>
    <t>Aerospace composites</t>
  </si>
  <si>
    <t>항공기 구조재용 탄소섬유 강화 에폭시 복합재에 사용. 고강도·경량·내구성이 요구됨.</t>
  </si>
  <si>
    <t>물량은 제한적이나 최고부가 시장. 인증 기간과 기술 장벽이 매우 높음.</t>
  </si>
  <si>
    <t>Vinyl ester resins</t>
  </si>
  <si>
    <t>에폭시 기반 vinyl ester resin은 내식성 탱크, 파이프, 화학설비, 해양·산업용 복합재에 사용됨.</t>
  </si>
  <si>
    <t>화학 플랜트·수처리·부식 환경 인프라와 연결. 내식성 specialty 시장으로 차별화 가능.</t>
  </si>
  <si>
    <t>Can coatings / food-contact legacy use</t>
  </si>
  <si>
    <t>Food &amp; Nutrition; Consumer &amp; Personal Care</t>
  </si>
  <si>
    <t>BPA 기반 에폭시는 식음료 캔 내부 코팅에 사용되어 왔으나, BPA 우려로 polyester, acrylic 등 대체 코팅으로 전환 중.</t>
  </si>
  <si>
    <t>규제·소비자 인식 리스크 큼. 신규 성장보다는 BPA-NI 대체기술 대응 여부가 중요.</t>
  </si>
  <si>
    <t>범용 LER/solid epoxy는 중국 공급과잉 영향이 크지만, 전자재료·복합재·접착제·고기능 코팅용 specialty epoxy는 기술장벽과 고객 인증 기반으로 전략 가치가 높다.
CEH Epoxy Resins 기준 2024년 글로벌 에폭시 수요는 coatings 44%, electrical/electronics 19%, civil engineering 14%, composites 11%, adhesives 7%, 기타 5% 구조</t>
    <phoneticPr fontId="1" type="noConversion"/>
  </si>
  <si>
    <t>사이클로헥산은 벤젠 유래 고리형 탄화수소로, 주로 KA oil·cyclohexanone·adipic acid를 거쳐 나일론 6 및 나일론 66 체인에 사용되는 중간체이다.</t>
  </si>
  <si>
    <t>주 공정은 벤젠의 직접 수소화이며, 고순도 cyclohexane을 생산한다. 일부는 벤젠 부분수소화로 cyclohexene을 만들 때 부산물로 생산되며, 이 경로는 주로 중국과 일본에서 사용된다.</t>
  </si>
  <si>
    <t>Cyclohexanone, adipic acid, solvent, benzene recovery</t>
  </si>
  <si>
    <t>Automotive &amp; Future Mobility (PA6/PA66 engineering plastics, tire cord, airbag filament); Industrial Manufacturing (solvent, rubber chemicals, coatings); Consumer &amp; Personal Care (nylon fibers, textiles); Construction &amp; Infrastructure (polyamide fibers, coatings, industrial materials); Agriculture &amp; Resource (pesticide/herbicide intermediates)</t>
  </si>
  <si>
    <t>CEH Cyclohexane, Oct. 2025</t>
  </si>
  <si>
    <t>Cyclohexanone → Caprolactam → PA6</t>
  </si>
  <si>
    <t>Automotive &amp; Future Mobility; Consumer &amp; Personal Care; Industrial Manufacturing</t>
  </si>
  <si>
    <t>Cyclohexane의 최대 용도. Cyclohexanone으로 전환 후 caprolactam을 거쳐 polyamide 6(PA6) 섬유·수지로 사용됨. PA6는 자동차 부품, 전기전자 부품, 산업용 섬유, 필름, 섬유·텍스타일 등에 적용됨.</t>
  </si>
  <si>
    <t>Cyclohexane 수요의 핵심 축이나 caprolactam/PA6 공급과잉 및 중국 자급화 영향이 큼. 성장성은 제한적.</t>
  </si>
  <si>
    <t>Adipic acid → PA66</t>
  </si>
  <si>
    <t>Automotive &amp; Future Mobility; Industrial Manufacturing; Consumer &amp; Personal Care</t>
  </si>
  <si>
    <t>Cyclohexane을 KA oil로 산화한 뒤 adipic acid를 생산. Adipic acid는 PA66 섬유·엔지니어링 플라스틱의 핵심 원료로 자동차 사출부품, 전기전자 부품, 산업기계 부품, 타이어코드, 에어백 섬유 등에 사용됨.</t>
  </si>
  <si>
    <t>PA66 고성능 소재 체인과 연결되지만, adipic acid 수요 둔화와 대체 feedstock 경로를 고려해야 함.</t>
  </si>
  <si>
    <t>KA oil / Cyclohexanol</t>
  </si>
  <si>
    <t>Cyclohexane 산화로 cyclohexanol/cyclohexanone 혼합물(KA oil)을 만들며, 이는 adipic acid 및 cyclohexanone 생산의 중간체로 사용됨.</t>
  </si>
  <si>
    <t>자체 상품성보다는 nylon chain 중간체 성격. downstream 통합 없이는 투자 매력 낮음.</t>
  </si>
  <si>
    <t>Solvent use</t>
  </si>
  <si>
    <t>Cellulose ester, fats &amp; oils, rubber용 용제, essential oil 추출, paint remover, coating·paint·adhesive용 용제로 사용됨.</t>
  </si>
  <si>
    <t>물량은 제한적이고 범용 용제 성격. 환경규제와 VOC 저감 트렌드에 취약.</t>
  </si>
  <si>
    <t>Cyclohexanone solvent / specialty derivatives</t>
  </si>
  <si>
    <t>Industrial Manufacturing; Agriculture &amp; Resource</t>
  </si>
  <si>
    <t>Cyclohexanone은 산업용 코팅, PVC cement, printing ink, pesticide formulation, herbicide/pesticide 중간체 등에 사용됨.</t>
  </si>
  <si>
    <t>Nylon 체인 외 specialty outlet이나 규모는 작음. 용제·농약 중간체 수요는 안정적이나 고성장 시장은 아님.</t>
  </si>
  <si>
    <t>Cyclohexanol derivatives</t>
  </si>
  <si>
    <t>Cyclohexanol은 cyclohexylamine, rubber-processing chemicals, corrosion inhibitor, propargite insecticide, cyclohexyl ester plasticizer 등에 사용됨.</t>
  </si>
  <si>
    <t>소량 specialty 파생 용도. 고부가 가능성은 있으나 cyclohexane 전체 수요를 견인하기에는 제한적.</t>
  </si>
  <si>
    <t>Benzene recovery / dehydrogenation</t>
  </si>
  <si>
    <t>일부 지역, 특히 중국에서 byproduct cyclohexane을 탈수소화하여 benzene과 hydrogen으로 되돌리는 용도.</t>
  </si>
  <si>
    <t>순환형 feedstock 활용 옵션이나 기술·경제성 제약으로 현재 규모는 작음.</t>
  </si>
  <si>
    <t>Byproduct cyclohexane from cyclohexene route</t>
  </si>
  <si>
    <t>중국·일본의 benzene partial hydrogenation 기반 cyclohexene 공정에서 cyclohexane이 부산물로 발생. 일부는 내부 cyclohexanone/adipic acid 라인에서 소비되거나 외부 판매됨.</t>
  </si>
  <si>
    <t>전통적 benzene hydrogenation cyclohexane 설비에는 공급 압박 요인. 중국 내 byproduct supply가 시장 구조에 영향.</t>
  </si>
  <si>
    <t>Benzene-hydrogenation based commodity intermediate; demand is mainly tied to cyclohexanone/caprolactam and adipic acid/PA66 chains, with weak global growth and low operating rates.
CEH Cyclohexane 기준 2024년 글로벌 cyclohexane 수요는 cyclohexanone 64%, adipic acid 23%, other 11%, benzene 2% 구조입니다.</t>
    <phoneticPr fontId="1" type="noConversion"/>
  </si>
  <si>
    <t>카프로(190), SK지오센트릭(160)</t>
    <phoneticPr fontId="1" type="noConversion"/>
  </si>
  <si>
    <t>LAB (Linear Alkyl Benzene)</t>
  </si>
  <si>
    <t>LAB는 벤젠에 C10–C13 선형 알킬기를 도입해 생산하는 세제용 방향족 중간체로, 대부분 LAS 계면활성제 원료로 사용된다.</t>
  </si>
  <si>
    <t>LAB는 n-paraffin 유래 internal olefin 또는 linear alpha-olefin과 벤젠을 알킬화하여 생산한다. 상업 공정은 HF 촉매 공정과 고체 촉매 기반 Detal 공정이 대표적이다.</t>
  </si>
  <si>
    <t>Linear alkylbenzene sulfonate (LAS), household detergents, industrial detergents, cleaning products</t>
  </si>
  <si>
    <t>Consumer &amp; Personal Care (laundry detergent, dishwashing detergent, household cleaners); Industrial Manufacturing (industrial &amp; institutional detergents, cleaners); Water &amp; Environmental Solutions (biodegradable surfactant for cleaning applications)</t>
  </si>
  <si>
    <t>UOP, CEPSA/PETRESA</t>
  </si>
  <si>
    <t>Detergent surfactant chain의 핵심 원료이나 성숙한 commodity 성격이 강함. 수요는 세제 사용량과 powder detergent 비중에 연동되며, oleochemical surfactant와 원가 경쟁이 중요하다.</t>
  </si>
  <si>
    <t>CEH Alkylbenzenes, Linear and Branched, Nov. 2024</t>
  </si>
  <si>
    <t>이수화학(180)</t>
    <phoneticPr fontId="1" type="noConversion"/>
  </si>
  <si>
    <t>LAS (Linear Alkylbenzene Sulfonate)</t>
  </si>
  <si>
    <t>Consumer &amp; Personal Care; Industrial Manufacturing</t>
  </si>
  <si>
    <t>LAB의 거의 전량이 sulfonation을 거쳐 LAS로 전환됨. LAS는 세계 최대 규모의 합성 음이온 계면활성제로 세탁세제, 주방세제, household cleaner에 사용됨.</t>
  </si>
  <si>
    <t>LAB 사업의 본질은 사실상 LAS/세제 체인. 세제 소비량과 연동되는 안정적 대량 시장이나 commodity 성격이 강함.</t>
  </si>
  <si>
    <t>Powder laundry detergents</t>
  </si>
  <si>
    <t>LAS는 powder detergent에서 가장 중요한 계면활성제 중 하나. 특히 인도·동남아·중남미·아프리카 등 powder detergent 비중이 높은 지역에서 사용량이 큼.</t>
  </si>
  <si>
    <t>신흥국 생활수준 향상과 세제 보급 확대의 수혜. 인도 시장이 핵심 성장 드라이버.</t>
  </si>
  <si>
    <t>Dishwashing detergents</t>
  </si>
  <si>
    <t>주방세제 및 hand dishwashing detergent에 사용. 세정력·거품 특성이 우수함.</t>
  </si>
  <si>
    <t>Alcohol ethoxylate 등과 경쟁하지만 여전히 cost-performance 장점 존재.</t>
  </si>
  <si>
    <t>Household cleaners</t>
  </si>
  <si>
    <t>다목적 세정제, bathroom cleaner, floor cleaner 등 household cleaning 제품에 사용됨. COVID 시기 위생 수요 증가로 사용량 확대.</t>
  </si>
  <si>
    <t>경기방어적 성격이 강한 생활필수재 체인. 팬데믹 이후에도 일정 수준 수요 유지.</t>
  </si>
  <si>
    <t>Industrial &amp; Institutional detergents</t>
  </si>
  <si>
    <t>공장·상업시설·호텔·병원·세탁 서비스용 세정제에 사용됨.</t>
  </si>
  <si>
    <t>B2B 세정 시장과 연결되며 비교적 안정적 수요 기반.</t>
  </si>
  <si>
    <t>Agricultural emulsifiers (BAS legacy use)</t>
  </si>
  <si>
    <t>Branched alkylbenzene sulfonate(BAS)는 농약·제초제 유화제로 사용됨. 특히 oil-based agricultural formulation에 사용 사례 존재.</t>
  </si>
  <si>
    <t>niche 시장이지만 환경규제와 biodegradability 이슈 존재.</t>
  </si>
  <si>
    <t>Emulsion polymerization surfactant</t>
  </si>
  <si>
    <t>BAS 계열은 styrene-butadiene rubber(SBR), PVC emulsion polymerization용 계면활성제로 사용됨.</t>
  </si>
  <si>
    <t>합성고무·PVC 체인과 연결되나 규모는 제한적.</t>
  </si>
  <si>
    <t>Oilfield chemicals</t>
  </si>
  <si>
    <t>Energy &amp; Resources</t>
  </si>
  <si>
    <t>일부 alkylbenzene sulfonate는 유전용 화학제 및 oilfield surfactant로 사용됨.</t>
  </si>
  <si>
    <t>규모는 작지만 specialty oilfield chemical 영역으로 확장 가능.</t>
  </si>
  <si>
    <t>Biodegradable surfactants</t>
  </si>
  <si>
    <t>Water &amp; Environmental Solutions; Consumer &amp; Personal Care</t>
  </si>
  <si>
    <t>LAS는 기존 BAS 대비 생분해성이 우수하여 developed market household detergent의 표준 surfactant로 자리잡음.</t>
  </si>
  <si>
    <t>친환경·생분해성 요구 대응 측면에서 여전히 강점. 다만 bio-based surfactant와 장기 경쟁 가능성 존재.</t>
  </si>
  <si>
    <t>Low-carbon / sustainable LAB</t>
  </si>
  <si>
    <t>Circular Economy &amp; Recycling; Consumer &amp; Personal Care</t>
  </si>
  <si>
    <t>CEPSA의 NextLAB-Low Carbon처럼 biomethane·저탄소 feedstock 기반 저탄소 LAB 개발 사례 존재.</t>
  </si>
  <si>
    <t>글로벌 FMCG 기업의 Scope 3·저탄소 원료 요구 대응용 전략 영역. 장기적으로 premium 가능성 존재.</t>
  </si>
  <si>
    <t>Category</t>
  </si>
  <si>
    <t>Description</t>
  </si>
  <si>
    <t>Raw</t>
  </si>
  <si>
    <t>material_id</t>
  </si>
  <si>
    <t>기존 material_master와 연결</t>
  </si>
  <si>
    <t>M068</t>
  </si>
  <si>
    <t>material_group</t>
  </si>
  <si>
    <t>Ethylene / Propylene / C4 / BTX / C5 등</t>
  </si>
  <si>
    <t>material_name</t>
  </si>
  <si>
    <t>제품명</t>
  </si>
  <si>
    <t>MA (Maleic Anhydride)</t>
  </si>
  <si>
    <t>product_overview</t>
  </si>
  <si>
    <t>제품개요/제품설명</t>
  </si>
  <si>
    <t>Maleic anhydride는 n-butane 또는 benzene 산화로 생산되는 C4계 산무수물로, UPR·fumaric acid·malic acid·lubricating oil additives·copolymer 등 다양한 수지·첨가제 중간체로 사용된다.</t>
  </si>
  <si>
    <t>production_process</t>
  </si>
  <si>
    <t>대략적인 생산 공정/주요 제조기술</t>
  </si>
  <si>
    <t>주류 공정은 n-butane의 촉매 기상 산화이며, benzene 산화 공정은 경제성·환경성 측면에서 축소 추세다. 일부는 phthalic anhydride 생산 부산물로 회수된다.</t>
  </si>
  <si>
    <t>main_application</t>
  </si>
  <si>
    <t>대표 용도</t>
  </si>
  <si>
    <t>Unsaturated polyester resin, fumaric acid, malic acid, lubricating oil additives, copolymers, BDO intermediate</t>
  </si>
  <si>
    <t>end_use_industry</t>
  </si>
  <si>
    <t>Construction &amp; Infrastructure (UPR/FRP, pipes, panels, synthetic marble); Automotive &amp; Future Mobility (FRP parts, lightweight composites, lubricant additives); Food &amp; Nutrition (malic acid, fumaric acid); Industrial Manufacturing (copolymers, alkyd resins, additives); Agriculture &amp; Resource (agrochemical intermediates, biodegradable polymers)</t>
  </si>
  <si>
    <t>specialty_level</t>
  </si>
  <si>
    <t>차별화/고부가 수준</t>
  </si>
  <si>
    <t>domestic_supplier</t>
  </si>
  <si>
    <t>국내 생산업체 존재 여부</t>
  </si>
  <si>
    <t>domestic_supplier_names</t>
  </si>
  <si>
    <t>국내 공급사 명</t>
  </si>
  <si>
    <t>hsk10</t>
  </si>
  <si>
    <t>한국 HSK code</t>
  </si>
  <si>
    <t>trade_status</t>
  </si>
  <si>
    <t>수출입 포지션</t>
  </si>
  <si>
    <t>licensable</t>
  </si>
  <si>
    <t>라이센서 존재 여부</t>
  </si>
  <si>
    <t>licensors</t>
  </si>
  <si>
    <t>주요 라이센서</t>
  </si>
  <si>
    <t>Huntsman, Scientific Design, Lonza, BP</t>
  </si>
  <si>
    <t>china_expansion_risk</t>
  </si>
  <si>
    <t>중국 증설 리스크</t>
  </si>
  <si>
    <t>integration_fit</t>
  </si>
  <si>
    <t>Feedstock 연계성</t>
  </si>
  <si>
    <t>entry_barrier</t>
  </si>
  <si>
    <t>시장 진입장벽</t>
  </si>
  <si>
    <t>shortlist_candidate</t>
  </si>
  <si>
    <t>Step 2 후보</t>
  </si>
  <si>
    <t>remarks</t>
  </si>
  <si>
    <t>Strategic comments</t>
  </si>
  <si>
    <t>UPR 중심의 대량 중간체이나 중국 n-butane 기반 증설로 공급과잉 리스크가 큼. 단, compatibilizer, biodegradable polymer, malic/fumaric acid 등 downstream specialty 확장성은 존재.</t>
  </si>
  <si>
    <t>source_reference</t>
  </si>
  <si>
    <t>Main references used</t>
  </si>
  <si>
    <t>CEH Maleic Anhydride, Feb. 2025</t>
  </si>
  <si>
    <t>source_url</t>
  </si>
  <si>
    <t>Source URLs</t>
  </si>
  <si>
    <t>용산케미칼(38), 코리아피티지(30), 애경케미칼(8)</t>
    <phoneticPr fontId="1" type="noConversion"/>
  </si>
  <si>
    <t>Unsaturated Polyester Resin (UPR)</t>
  </si>
  <si>
    <t>Construction &amp; Infrastructure; Automotive &amp; Future Mobility; Marine &amp; Industrial Manufacturing</t>
  </si>
  <si>
    <t>MA의 최대 용도. Phthalic anhydride/isophthalic acid + glycol과 반응해 UPR 생산. 이후 styrene과 가교되어 FRP(fiberglass reinforced plastic) 제조에 사용됨. 욕조, 파이프, 탱크, 보트, 자동차 부품, 건축 패널, synthetic marble 등에 적용.</t>
  </si>
  <si>
    <t>전체 MA 수요의 핵심(글로벌 58%). 건설·인프라·해양·자동차 경기와 강하게 연동되는 commodity resin chain.</t>
  </si>
  <si>
    <t>FRP / Composite materials</t>
  </si>
  <si>
    <t>Construction &amp; Infrastructure; Renewable Energy; Automotive &amp; Future Mobility</t>
  </si>
  <si>
    <t>UPR 기반 유리섬유 강화 복합재(FRP)에 사용. 내식성 탱크, 파이프, 풍력 블레이드, 건축 구조재 등에 적용됨.</t>
  </si>
  <si>
    <t>인프라 및 lightweighting 수요와 연결. 풍력 블레이드·배관·부식방지 소재는 중장기 성장 포인트.</t>
  </si>
  <si>
    <t>Fumaric acid</t>
  </si>
  <si>
    <t>Food &amp; Nutrition; Industrial Manufacturing</t>
  </si>
  <si>
    <t>MA → maleic acid → fumaric acid 전환. 식품 산미제, 미생물 성장 억제, tortilla·bakery processing aid, UPR·alkyd resin 등에 사용.</t>
  </si>
  <si>
    <t>식품첨가물 시장과 연결된 specialty downstream. 규모는 작지만 안정적 수요.</t>
  </si>
  <si>
    <t>Malic acid</t>
  </si>
  <si>
    <t>Food &amp; Nutrition; Healthcare &amp; Medical</t>
  </si>
  <si>
    <t>MA 유래 malic acid는 음료·캔디·영양바·제약용 산미제 및 flavor enhancer로 사용됨.</t>
  </si>
  <si>
    <t>식품·헬스케어용 고부가 downstream. 고순도 및 food-grade 인증 중요.</t>
  </si>
  <si>
    <t>Lubricating oil additives (PIBSA)</t>
  </si>
  <si>
    <t>MA는 polyisobutenyl succinic anhydride(PIBSA) 생산에 사용되며 엔진오일 dispersant·corrosion inhibitor로 사용됨.</t>
  </si>
  <si>
    <t>EV 확대로 장기 성장성은 제한되나, 기존 ICE 차량 유지보수 시장은 여전히 큼.</t>
  </si>
  <si>
    <t>Copolymers (SMA, PVM/MA)</t>
  </si>
  <si>
    <t>Consumer &amp; Personal Care; Industrial Manufacturing; Packaging</t>
  </si>
  <si>
    <t>Styrene-maleic anhydride(SMA), methyl vinyl ether-maleic anhydride(PVM/MA) copolymer 생산에 사용. 헤어스프레이, 치약, skin care, latex coating, paper sizing, dispersant 등에 적용됨.</t>
  </si>
  <si>
    <t>specialty polymer 영역. formulation/IP/customer qualification 중요.</t>
  </si>
  <si>
    <t>Compatibilizers for recycling</t>
  </si>
  <si>
    <t>Circular Economy &amp; Recycling; Automotive &amp; Future Mobility; Packaging</t>
  </si>
  <si>
    <t>MA grafted polyolefin은 서로 다른 플라스틱(PP, PE, PET, nylon 등)의 상용성을 개선하여 재활용·복합소재 제조에 사용됨.</t>
  </si>
  <si>
    <t>순환경제·재활용 플라스틱 확대의 핵심 성장 영역. ESG relevance 높음.</t>
  </si>
  <si>
    <t>Biodegradable polymers (PBS/PBAT)</t>
  </si>
  <si>
    <t>Agriculture &amp; Resource; Packaging; Consumer &amp; Personal Care</t>
  </si>
  <si>
    <t>MA는 BDO intermediate로 사용되며 PBS/PBAT biodegradable polymer chain과 연결됨.</t>
  </si>
  <si>
    <t>친환경 플라스틱 성장 기대가 있었으나 경제성 문제로 중국 공급과잉 리스크 존재.</t>
  </si>
  <si>
    <t>Alkenyl succinic anhydrides (ASA)</t>
  </si>
  <si>
    <t>Industrial Manufacturing; Paper &amp; Packaging</t>
  </si>
  <si>
    <t>C16–C20 alpha-olefin 기반 ASA는 paper sizing agent로 사용되어 종이의 내수성·인쇄성을 개선함.</t>
  </si>
  <si>
    <t>제지 시장 성숙으로 성장 제한적이나 niche specialty additive 시장 유지.</t>
  </si>
  <si>
    <t>Agricultural chemicals</t>
  </si>
  <si>
    <t>Maleic hydrazide, captan, malathion 등 농약·성장조절제 중간체에 사용됨.</t>
  </si>
  <si>
    <t>환경규제로 장기 감소 추세. 신규 전략 중요도는 낮음.</t>
  </si>
  <si>
    <t>Adhesion promoters / Composite modifiers</t>
  </si>
  <si>
    <t>Automotive &amp; Future Mobility; Construction &amp; Infrastructure</t>
  </si>
  <si>
    <t>MA graft polymer는 natural fiber-composite, wood-plastic composite(WPC), 자동차 lightweight composite의 접착·분산성 개선에 사용됨.</t>
  </si>
  <si>
    <t>경량화·친환경 소재 트렌드 수혜 가능. 재활용·바이오복합재와 연결되는 전략적 영역.</t>
  </si>
  <si>
    <t>톨루엔은 정유·스팀크래커의 BTX stream에서 주로 회수되는 대량 방향족 제품으로, gasoline blending, benzene/xylene 전환, TDI, benzoic acid, solvent 등에 사용된다.</t>
  </si>
  <si>
    <t>주로 refinery catalytic reformate와 steam cracker pyrolysis gasoline에서 BTX를 추출·분리하여 생산된다. 일부는 coke-oven light oil 및 styrene 제조 부산물로 생산된다.</t>
  </si>
  <si>
    <t>Transalkylation to benzene/xylene, STDP/TDP, gasoline blending, TDI, benzoic acid, solvent</t>
  </si>
  <si>
    <t>Automotive &amp; Future Mobility (gasoline octane booster, polyurethane foam via TDI); Construction &amp; Infrastructure (TDI-based polyurethane foam, coatings, adhesives); Consumer &amp; Personal Care (solvent in paints, thinners, nail products); Industrial Manufacturing (solvents, benzyl chloride, nitrotoluenes, benzaldehyde); Textile &amp; Packaging (PX/PTA/polyester chain via xylene production)</t>
  </si>
  <si>
    <t>UOP, Axens, ExxonMobil, Shell/UOP, Lurgi</t>
  </si>
  <si>
    <t>CEH Toluene, Oct. 2025</t>
  </si>
  <si>
    <t>SK지오센트릭(1506), S-OIL(300), 여천NCC(282), GS칼텍스(170), 롯데케미칼(232), LG화학(210), 대한유화(78), OCI(40)</t>
    <phoneticPr fontId="1" type="noConversion"/>
  </si>
  <si>
    <t>BTX commodity with supply driven by refinery/cracker and PX complex economics rather than standalone demand. China’s large integrated PX/aromatics capacity is the dominant demand and supply driver; gasoline blending use faces long-term pressure from efficiency and EV/hybrid penetration.
글로벌 톨루엔 수요의 약 66%가 benzene/xylene conversion(TA + STDP/TDP + HDA)에 사용</t>
    <phoneticPr fontId="1" type="noConversion"/>
  </si>
  <si>
    <t>Transalkylation → Benzene/Xylenes</t>
  </si>
  <si>
    <t>Textile &amp; Packaging; Industrial Manufacturing</t>
  </si>
  <si>
    <t>톨루엔 최대 용도. Toluene + C9/C10 aromatics를 benzene 및 mixed xylene으로 전환. PX(paraxylene) → PTA → polyester chain의 핵심 중간 단계. 글로벌 톨루엔 수요의 56% 차지.</t>
  </si>
  <si>
    <t>사실상 PX/polyester 산업의 feedstock balancing molecule 역할. 중국 PX 증설이 톨루엔 시장을 좌우.</t>
  </si>
  <si>
    <t>STDP/TDP (Selective Toluene Disproportionation)</t>
  </si>
  <si>
    <t>Textile &amp; Packaging</t>
  </si>
  <si>
    <t>톨루엔을 benzene + xylene으로 disproportionation하며 특히 p-xylene 선택도를 높이는 STDP 공정이 중요. PTA/PET/polyester fiber·bottle 수요와 연결.</t>
  </si>
  <si>
    <t>고성장 PX chain 연계. PX 공급 확대 시 핵심 aromatic conversion route.</t>
  </si>
  <si>
    <t>Gasoline blending / Octane booster</t>
  </si>
  <si>
    <t>Automotive &amp; Future Mobility; Energy &amp; Resources</t>
  </si>
  <si>
    <t>높은 octane value(RON ~120)를 이용해 gasoline blending component로 사용. lead-free gasoline 시대 이후 중요성이 확대됨.</t>
  </si>
  <si>
    <t>정유 economics와 직접 연결. EV·연비 향상·oxygenate 확대(MTBE/ethanol)로 장기 감소 압력.</t>
  </si>
  <si>
    <t>Toluene Diisocyanate (TDI)</t>
  </si>
  <si>
    <t>Construction &amp; Infrastructure; Automotive &amp; Future Mobility; Furniture &amp; Bedding</t>
  </si>
  <si>
    <t>톨루엔 nitration → DNT → TDA → TDI를 거쳐 polyurethane foam 생산. 가구, mattress, 자동차 seat, insulation foam, carpet underlay 등에 사용.</t>
  </si>
  <si>
    <t>PU chain 핵심 원료. 건설·자동차·가구 경기와 연동되며 중국 공급과잉 영향 큼.</t>
  </si>
  <si>
    <t>Benzoic acid</t>
  </si>
  <si>
    <t>톨루엔 산화로 benzoic acid 생산. preservative(sodium/potassium benzoate), plasticizer, alkyd resin intermediate 등에 사용.</t>
  </si>
  <si>
    <t>식품보존료·plasticizer용 specialty chain. 규모는 제한적이나 안정적 수요 존재.</t>
  </si>
  <si>
    <t>Phenol via benzoic acid route</t>
  </si>
  <si>
    <t>일부 공정(Emerald Kalama)은 톨루엔 → benzoic acid → phenol route 사용.</t>
  </si>
  <si>
    <t>Cumene process 대비 niche route. 부산물 economics가 중요.</t>
  </si>
  <si>
    <t>Solvent (paints/coatings/thinners)</t>
  </si>
  <si>
    <t>Consumer &amp; Personal Care; Industrial Manufacturing; Construction &amp; Infrastructure</t>
  </si>
  <si>
    <t>Paint thinner, coating, adhesive, ink, cleaning solvent 등에 사용. nail salon·printing·industrial coating 용도 존재.</t>
  </si>
  <si>
    <t>전통적 대량 용도지만 VOC 규제로 장기 감소 추세. closed-loop recovery system 중심으로 재편.</t>
  </si>
  <si>
    <t>Printing inks / coatings</t>
  </si>
  <si>
    <t>Industrial Manufacturing; Packaging</t>
  </si>
  <si>
    <t>Publication gravure ink, wood coating, automotive finish, machinery coating 등에 사용.</t>
  </si>
  <si>
    <t>ester/ketone/emulsion coating 대체 확대 중. 범용 solvent market은 구조적 감소 압력.</t>
  </si>
  <si>
    <t>Benzyl chloride</t>
  </si>
  <si>
    <t>톨루엔 chlorination으로 benzyl chloride 생산. quaternary ammonium compound, PVC plasticizer(BBP), bactericide, hair conditioner 등에 사용.</t>
  </si>
  <si>
    <t>niche specialty intermediate. 개인위생·살균제·PVC additive chain과 연결.</t>
  </si>
  <si>
    <t>Benzaldehyde</t>
  </si>
  <si>
    <t>Consumer &amp; Personal Care; Healthcare &amp; Medical</t>
  </si>
  <si>
    <t>향료, flavor chemical, dye intermediate, pharmaceutical intermediate에 사용.</t>
  </si>
  <si>
    <t>소규모 specialty aroma chemical 시장.</t>
  </si>
  <si>
    <t>Nitrotoluenes / DNT / TDA</t>
  </si>
  <si>
    <t>Agriculture &amp; Resource; Industrial Manufacturing; Automotive &amp; Future Mobility</t>
  </si>
  <si>
    <t>nitrotoluene은 농약·rubber chemical·optical brightener·dye intermediate에 사용. DNT/TDA는 TDI precursor.</t>
  </si>
  <si>
    <t>대부분 TDI chain captive consumption. 일부 specialty dye/agrochemical outlet 존재.</t>
  </si>
  <si>
    <t>Vinyl toluene / p-methylstyrene</t>
  </si>
  <si>
    <t>Industrial Manufacturing; Semiconductor &amp; Advanced Electronics</t>
  </si>
  <si>
    <t>styrene 대체 monomer로 specialty resin, electrical material, low-volatility resin application에 사용.</t>
  </si>
  <si>
    <t>규모는 작지만 specialty monomer 영역.</t>
  </si>
  <si>
    <t>Caprolactam (historical route)</t>
  </si>
  <si>
    <t>Automotive &amp; Future Mobility; Textile &amp; Packaging</t>
  </si>
  <si>
    <t>과거 SNIA process에서 톨루엔 기반 caprolactam 생산에 사용되었으나 현재는 사실상 중단.</t>
  </si>
  <si>
    <t>현재 전략적 중요도 낮음.</t>
  </si>
  <si>
    <t>M074</t>
  </si>
  <si>
    <t>Caprolactam</t>
  </si>
  <si>
    <t>Caprolactam은 polyamide 6(PA6, nylon 6) 생산에 사용되는 핵심 단량체(mononer intermediate)로, 대부분 cyclohexane/cyclohexene 기반 공정을 통해 생산된다.</t>
  </si>
  <si>
    <t>Polyamide 6 fiber, engineering plastics, films, industrial yarn, tire cord</t>
  </si>
  <si>
    <t>Automotive &amp; Future Mobility (engineering plastics, under-the-hood parts, tire cord); Textile &amp; Apparel (nylon fiber, carpet fiber, industrial yarn); Semiconductor &amp; Advanced Electronics (wire &amp; cable insulation, electrical components); Packaging (PA film, food packaging); Industrial Manufacturing (gears, housings, machine parts)</t>
  </si>
  <si>
    <t>DSM/Stamicarbon, BASF, Toray (PNC), Sumitomo, Inventa</t>
  </si>
  <si>
    <t>CEH Caprolactam, Aug. 2025</t>
  </si>
  <si>
    <t>Net Import(Export → Import, 2023)</t>
    <phoneticPr fontId="1" type="noConversion"/>
  </si>
  <si>
    <t>카프로(270)</t>
    <phoneticPr fontId="1" type="noConversion"/>
  </si>
  <si>
    <t>Polyamide 6 (PA6) fiber</t>
  </si>
  <si>
    <t>Textile &amp; Apparel; Consumer &amp; Personal Care</t>
  </si>
  <si>
    <t>Caprolactam의 최대 용도. 거의 대부분이 PA6(nylon 6) fiber 생산에 사용됨. 의류용 섬유, carpet fiber, industrial yarn, sportswear, hosiery 등에 적용. 글로벌 caprolactam 수요의 약 70%가 fiber용 PA6로 소비됨.</t>
  </si>
  <si>
    <t>사실상 textile chain에 strongly linked. 중국 textile 산업이 시장 구조를 좌우하며 commodity oversupply 영향 큼.</t>
  </si>
  <si>
    <t>Engineering plastics (PA6 resin)</t>
  </si>
  <si>
    <t>Automotive &amp; Future Mobility; Semiconductor &amp; Advanced Electronics; Industrial Manufacturing</t>
  </si>
  <si>
    <t>PA6 resin은 자동차 under-the-hood 부품, fan blade, shroud, reservoir, pulley, circuit breaker, housing, machine component 등에 사용됨. 높은 강도·내열성·내마모성이 장점.</t>
  </si>
  <si>
    <t>자동차 lightweighting과 metal replacement 수혜. fiber 대비 상대적으로 고부가 영역.</t>
  </si>
  <si>
    <t>Automotive lightweight parts</t>
  </si>
  <si>
    <t>Mirror housing, wheel cover, emission-control canister, cooling fan, fluid reservoir 등 금속 대체용 엔지니어링 플라스틱으로 사용.</t>
  </si>
  <si>
    <t>EV·연비 규제 대응 핵심 소재. glass-fiber reinforced PA6 compound 중요성 확대.</t>
  </si>
  <si>
    <t>Tire cord / Industrial yarn</t>
  </si>
  <si>
    <t>고강도 nylon industrial yarn으로 tire cord, chafer fabric, hose reinforcement, belt reinforcement 등에 사용됨.</t>
  </si>
  <si>
    <t>과거 핵심 시장이었으나 polyester·steel radial tire로 일부 대체 진행. 여전히 heavy-duty tire에서는 중요.</t>
  </si>
  <si>
    <t>Carpet fiber</t>
  </si>
  <si>
    <t>Consumer &amp; Personal Care; Construction &amp; Infrastructure</t>
  </si>
  <si>
    <t>Nylon carpet fiber는 내마모성과 복원력이 좋아 residential/commercial carpet에 사용됨.</t>
  </si>
  <si>
    <t>북미 시장 중요. hard flooring 확대와 경쟁 중.</t>
  </si>
  <si>
    <t>Packaging film (PA6 film)</t>
  </si>
  <si>
    <t>Packaging; Food &amp; Nutrition; Healthcare &amp; Medical</t>
  </si>
  <si>
    <t>PA6 film은 grease resistance와 low gas transmission 특성으로 processed meat, cheese, boil-in bag, medical packaging 등에 사용됨. 보통 PE/PVC와 laminate 형태 사용.</t>
  </si>
  <si>
    <t>food packaging specialty 영역. barrier film 수요 확대 수혜 가능.</t>
  </si>
  <si>
    <t>Electrical wire &amp; cable</t>
  </si>
  <si>
    <t>Heat-stabilized PA6는 wire &amp; cable insulation protective layer로 사용됨.</t>
  </si>
  <si>
    <t>전기전자용 engineering plastic 시장과 연결. 난연·고내열 compound 중요.</t>
  </si>
  <si>
    <t>Cast nylon / Machinery parts</t>
  </si>
  <si>
    <t>Caprolactam의 anionic polymerization으로 cast nylon 생산. gear, bearing, machine housing, industrial framework 등 대형 기계부품에 사용됨.</t>
  </si>
  <si>
    <t>niche specialty engineering plastic 시장.</t>
  </si>
  <si>
    <t>RIM nylon (Reaction Injection Molding)</t>
  </si>
  <si>
    <t>Nyrim® 같은 elastomer-modified PA6 시스템에 사용되며 wheel chock, industrial housing, tractor panel, sweeper parts 등에 적용됨.</t>
  </si>
  <si>
    <t>impact-resistant lightweight industrial component 시장. specialty compound/application 중심.</t>
  </si>
  <si>
    <t>Composite molding film</t>
  </si>
  <si>
    <t>Aerospace &amp; Industrial Manufacturing</t>
  </si>
  <si>
    <t>Vacuum bag molding, sheet molding compound carrier web 등 aerospace composite fabrication에 사용됨.</t>
  </si>
  <si>
    <t>항공복합재 niche 시장.</t>
  </si>
  <si>
    <t>Specialty additives / coatings / adhesives</t>
  </si>
  <si>
    <t>Industrial Manufacturing; Consumer &amp; Personal Care</t>
  </si>
  <si>
    <t>Specialty coating, ink, adhesive additive, floor polish reactive additive, textile stiffener 등에 사용됨.</t>
  </si>
  <si>
    <t>규모는 작지만 specialty chemical downstream 가능.</t>
  </si>
  <si>
    <t>Recycled nylon / circular economy</t>
  </si>
  <si>
    <t>Circular Economy &amp; Recycling; Textile &amp; Apparel</t>
  </si>
  <si>
    <t>Aquafil Econyl®처럼 폐 nylon을 depolymerization하여 caprolactam으로 재생 후 다시 PA6 생산.</t>
  </si>
  <si>
    <t>ESG·순환경제 핵심 성장 포인트. apparel brand와 automotive OEM의 recycled content 요구 확대 중.</t>
  </si>
  <si>
    <t>Bio-based caprolactam</t>
  </si>
  <si>
    <t>Genomatica/Aquafil 등이 sugar-to-caprolactam bio-route 개발 중.</t>
  </si>
  <si>
    <t>아직 초기 단계지만 장기적으로 low-carbon nylon chain potential 존재.</t>
  </si>
  <si>
    <t>caprolactam 수요의 99%가 PA6(polyamide 6)에 사용
사실상 PA6 산업의 upstream intermediate. 중국의 massive capacity expansion으로 글로벌 operating rate가 78% 수준까지 하락했으며, 범용 textile fiber 중심 시장은 구조적으로 공급과잉 압력이 큼. 다만 engineering plastic, recycled nylon, specialty film, compound 영역은 상대적으로 전략 가치 존재.</t>
    <phoneticPr fontId="1" type="noConversion"/>
  </si>
  <si>
    <t>MDI (Methylene Diphenyl Diisocyanate)</t>
  </si>
  <si>
    <t>MDI는 aniline 기반 방향족 diisocyanate로, polyol과 반응해 polyurethane을 만드는 핵심 원료이다. PMDI는 rigid PU foam, pure MDI는 elastomer·TPU·spandex 등에 주로 사용된다.</t>
  </si>
  <si>
    <t>Aniline과 formaldehyde를 축합해 MDA를 만들고, 이를 phosgene과 반응시켜 MDI/PMDI를 생산한다. 최근 대형 설비는 gas-phase phosgenation 기반 고효율 공정으로 solvent·energy 사용을 줄이는 방향이다.</t>
  </si>
  <si>
    <t>Rigid polyurethane foam, flexible foam, elastomers, adhesives &amp; sealants, coatings, binders</t>
  </si>
  <si>
    <t>Limited</t>
  </si>
  <si>
    <t>In-house technology dominant; major producers include Wanhua, Covestro, BASF, Huntsman, Dow</t>
  </si>
  <si>
    <t>CEH Diisocyanates and Polyisocyanates, Dec. 2024 / revised Feb. 2025</t>
  </si>
  <si>
    <t xml:space="preserve">Construction &amp; Infrastructure(Rigid PU foam insulation); Appliances &amp; Cold Chain(Refigerator/freezer insulation, cold-chain panel); Automotive &amp; Future Mobility(Lightweigth PU parts, acoustic insulation); Industrial Manufacturing(PU elastomers, rollers); </t>
    <phoneticPr fontId="1" type="noConversion"/>
  </si>
  <si>
    <t>금호미쓰이화학(610), 한국바스프(250), 구다우케미칼(30)</t>
    <phoneticPr fontId="1" type="noConversion"/>
  </si>
  <si>
    <t>MDI는 TDI보다 시장 규모가 크고 rigid insulation·construction·appliance·automotive lightweighting 수요와 연결된다. 다만 산업은 상위 5개사가 80% 이상 capacity를 보유한 고집중 구조이며, aniline/phosgene 통합과 대규모 설비 경쟁력이 중요하다.
MDI 수요의 53%가 rigid foam, 그 외 elastomers 14%, flexible foam 8%, adhesives &amp; sealants 7%, surface coatings 4%라고 제시</t>
    <phoneticPr fontId="1" type="noConversion"/>
  </si>
  <si>
    <t>Rigid polyurethane foam</t>
  </si>
  <si>
    <t>Construction &amp; Infrastructure; Appliances &amp; Cold Chain</t>
  </si>
  <si>
    <t>MDI 최대 용도. Polyol과 반응하여 rigid PU foam을 만들며 건축 단열재(boardstock, sandwich panel, spray foam), 냉장고·냉동고 insulation, 냉동물류 패널 등에 사용됨. 낮은 열전도율과 우수한 단열성이 핵심 장점.</t>
  </si>
  <si>
    <t>에너지 효율 규제 강화와 직접 연결되는 핵심 성장 시장. 건물 단열·cold chain 확대 수혜.</t>
  </si>
  <si>
    <t>Flexible polyurethane foam</t>
  </si>
  <si>
    <t>Furniture &amp; Bedding; Automotive &amp; Future Mobility; Consumer &amp; Personal Care</t>
  </si>
  <si>
    <t>Mattress, sofa cushion, automotive seating, headrest, interior cushioning 등에 사용되는 flexible PU foam 생산에 사용. 일부 high-resilience foam은 MDI 기반으로 전환 확대.</t>
  </si>
  <si>
    <t>생활소비재·자동차 생산과 연동. TDI 대체 및 low-emission foam 트렌드 수혜 가능.</t>
  </si>
  <si>
    <t>Elastomers / TPU</t>
  </si>
  <si>
    <t>Industrial Manufacturing; Automotive &amp; Future Mobility; Footwear &amp; Consumer Goods</t>
  </si>
  <si>
    <t>Pure MDI는 TPU 및 cast elastomer 생산에 사용되며 wheel, roller, conveyor belt, seal, gasket, footwear sole 등에 적용됨. 내마모성과 기계적 강도가 우수함.</t>
  </si>
  <si>
    <t>상대적으로 고부가 specialty 영역. 산업·신발·자동차용 고기능 소재 시장과 연결.</t>
  </si>
  <si>
    <t>CASE (Coatings, Adhesives, Sealants, Elastomers)</t>
  </si>
  <si>
    <t>Industrial Manufacturing; Construction &amp; Infrastructure; Automotive &amp; Future Mobility</t>
  </si>
  <si>
    <t>접착제, 실란트, 산업용 coating, 자동차 접착, 바닥재 coating 등에 사용됨. 높은 접착력·내화학성·내구성이 특징.</t>
  </si>
  <si>
    <t>EV lightweighting과 이종소재 접합 확대 수혜. specialty formulation 역량 중요.</t>
  </si>
  <si>
    <t>Wood binders / Composite board</t>
  </si>
  <si>
    <t>Construction &amp; Infrastructure; Furniture &amp; Bedding</t>
  </si>
  <si>
    <t>PMDI는 OSB, MDF, particle board 등의 wood composite binder로 사용됨. formaldehyde-based resin 대비 저배출 특성이 장점.</t>
  </si>
  <si>
    <t>친환경 건축재·저포름알데히드 규제 대응용 성장 영역.</t>
  </si>
  <si>
    <t>Automotive lightweight applications</t>
  </si>
  <si>
    <t>NVH insulation, structural foam, lightweight interior/exterior component, adhesive bonding 등에 사용됨.</t>
  </si>
  <si>
    <t>EV 시대 lightweighting 및 주행거리 향상 트렌드와 연결.</t>
  </si>
  <si>
    <t>Refrigeration &amp; cold-chain insulation</t>
  </si>
  <si>
    <t>Appliances &amp; Cold Chain; Food &amp; Nutrition</t>
  </si>
  <si>
    <t>냉장고, 냉동창고, insulated truck/panel 등에 rigid PU insulation으로 사용됨.</t>
  </si>
  <si>
    <t>식품 물류·백신 물류·cold chain 확대 수혜 가능.</t>
  </si>
  <si>
    <t>Spray polyurethane foam (SPF)</t>
  </si>
  <si>
    <t>건축 단열·방수용 현장 분사형 foam에 사용됨. 기밀성·에너지 절감 효과가 큼.</t>
  </si>
  <si>
    <t>북미 중심 고성장 단열 시장. 건물 에너지 효율 정책과 연결.</t>
  </si>
  <si>
    <t>Wind blade / Composite applications</t>
  </si>
  <si>
    <t>일부 PU composite 및 adhesive system은 풍력 블레이드 제조에 사용됨.</t>
  </si>
  <si>
    <t>재생에너지·복합재 시장과 연결되나 epoxy 대비 규모는 제한적.</t>
  </si>
  <si>
    <t>Footwear applications</t>
  </si>
  <si>
    <t>Footwear &amp; Consumer Goods</t>
  </si>
  <si>
    <t>PU sole, cushioning foam, athletic shoe midsole 등에 사용됨.</t>
  </si>
  <si>
    <t>스포츠·아웃도어 시장과 연결. EVA·TPU 등과 경쟁.</t>
  </si>
  <si>
    <t>Industrial insulation / Pipe insulation</t>
  </si>
  <si>
    <t>Industrial Manufacturing; Energy &amp; Resources</t>
  </si>
  <si>
    <t>LNG storage, pipeline, industrial equipment insulation에 rigid PU foam 사용.</t>
  </si>
  <si>
    <t>에너지 인프라 및 LNG·수소 storage 확대와 연결 가능.</t>
  </si>
  <si>
    <t>Specialty medical / niche applications</t>
  </si>
  <si>
    <t>일부 medical casting, specialty elastomer, medical device component에 사용됨.</t>
  </si>
  <si>
    <t>규모는 작지만 인증 기반 specialty 시장 가능성 존재.</t>
  </si>
  <si>
    <t>TPA (Terephthalic Acid)</t>
  </si>
  <si>
    <t>TPA는 p-xylene(PX) 산화로 생산되는 핵심 방향족 중간체로, 대부분 PET(polyethylene terephthalate) 및 polyester chain 생산에 사용된다. 상업적으로는 고순도 PTA(Purified Terephthalic Acid)가 주류이다.</t>
  </si>
  <si>
    <t>주류 공정은 Amoco liquid-phase oxidation 공정으로, p-xylene을 acetic acid 용매 내에서 Co/Mn/Bromide catalyst로 산화하여 crude TPA를 만들고 hydrogenation purification을 거쳐 PTA를 생산한다. 일부는 DMT hydrolysis 또는 medium-purity TPA route 사용.</t>
  </si>
  <si>
    <t>PET resin, polyester fiber, bottle resin, polyester film, PBT, engineering polyester</t>
  </si>
  <si>
    <t>Low-Mid</t>
  </si>
  <si>
    <t>BP Amoco, Invista, Mitsubishi Chemical</t>
  </si>
  <si>
    <t>사실상 PX→PTA→PET/polyester chain의 핵심 중간체. 중국의 massive integrated PX-PTA-PET 증설로 글로벌 operating rate 하락 압력이 크며 commodity화가 심화되고 있다. 반면 recycled PET 및 specialty polyester chain은 전략적 의미 존재.</t>
  </si>
  <si>
    <t>CEH Dimethyl Terephthalate (DMT) and Terephthalic Acid (TPA), Dec. 2025</t>
  </si>
  <si>
    <t>삼남석유화학(1500), 한화임팩트(700)</t>
    <phoneticPr fontId="1" type="noConversion"/>
  </si>
  <si>
    <t>Packaging; Food &amp; Nutrition; Consumer Goods</t>
  </si>
  <si>
    <t>TPA의 최대 downstream 중 하나. Ethylene glycol(EG)과 중합하여 bottle-grade PET 생산. 생수병, 탄산음료병, 식품용기, edible oil bottle 등에 사용됨.</t>
  </si>
  <si>
    <t>글로벌 beverage consumption 및 sustainable packaging 트렌드와 직결. rPET 확대가 핵심 변수.</t>
  </si>
  <si>
    <t>Textile &amp; Apparel; Consumer Goods</t>
  </si>
  <si>
    <t>TPA 최대 수요처. PET/polyester fiber 형태로 의류, 스포츠웨어, industrial textile, home textile, carpet 등에 사용됨. 글로벌 TPA 수요의 약 70% 차지.</t>
  </si>
  <si>
    <t>사실상 TPA 시장의 core demand driver. 중국 textile chain 영향 절대적.</t>
  </si>
  <si>
    <t>Polyester filament / yarn</t>
  </si>
  <si>
    <t>Textile &amp; Apparel; Industrial Manufacturing</t>
  </si>
  <si>
    <t>Tire cord, industrial yarn, sewing thread, technical textile 등에 사용. 강도·내구성·가격경쟁력이 장점.</t>
  </si>
  <si>
    <t>산업용 섬유 수요와 연결. commodity 성격 강하지만 규모 큼.</t>
  </si>
  <si>
    <t>Semiconductor &amp; Advanced Electronics; Packaging; Industrial Manufacturing</t>
  </si>
  <si>
    <t>PET film은 electrical insulation film, display film, release liner, packaging film 등에 사용됨.</t>
  </si>
  <si>
    <t>전자·산업용 specialty polyester 영역. optical/electrical grade는 상대적으로 고부가.</t>
  </si>
  <si>
    <t>Packaging trays / sheets</t>
  </si>
  <si>
    <t>Packaging; Food &amp; Nutrition</t>
  </si>
  <si>
    <t>Thermoforming PET sheet/tray로 식품 포장, meat tray, ready-meal packaging 등에 사용됨.</t>
  </si>
  <si>
    <t>식품 포장 시장 성장과 연결. recyclable mono-material packaging 확대 수혜 가능.</t>
  </si>
  <si>
    <t>Recycled PET (rPET)</t>
  </si>
  <si>
    <t>Circular Economy &amp; Recycling; Packaging; Textile &amp; Apparel</t>
  </si>
  <si>
    <t>사용 후 PET를 mechanical recycling 또는 chemical recycling하여 다시 PET resin으로 재생. bottle-to-bottle 및 fiber recycling 확대 중.</t>
  </si>
  <si>
    <t>ESG·순환경제 핵심 영역. 글로벌 브랜드사의 recycled content 요구 확대.</t>
  </si>
  <si>
    <t>Chemical recycling (methanolysis/hydrolysis)</t>
  </si>
  <si>
    <t>Circular Economy &amp; Recycling</t>
  </si>
  <si>
    <t>PET depolymerization을 통해 DMT 또는 PTA를 회수하여 virgin-like PET 재생산.</t>
  </si>
  <si>
    <t>장기적으로 low-carbon polyester chain의 핵심 기술 후보.</t>
  </si>
  <si>
    <t>PBT (Polybutylene Terephthalate)</t>
  </si>
  <si>
    <t>Automotive &amp; Future Mobility; Semiconductor &amp; Advanced Electronics</t>
  </si>
  <si>
    <t>TPA/DMT + BDO 기반 engineering plastic. 자동차 connector, sensor housing, electrical component 등에 사용됨.</t>
  </si>
  <si>
    <t>EV·전자화 확대 수혜. 난연·고내열 engineering plastic 시장 중요.</t>
  </si>
  <si>
    <t>PTT (Polytrimethylene Terephthalate)</t>
  </si>
  <si>
    <t>Automotive &amp; Future Mobility; Textile &amp; Apparel</t>
  </si>
  <si>
    <t>PTT는 carpet fiber, automotive textile, engineering plastic에 사용됨. 우수한 탄성·복원성이 특징.</t>
  </si>
  <si>
    <t>niche specialty polyester 영역. Sorona® 등 bio-based PTT도 존재.</t>
  </si>
  <si>
    <t>PETG / Copolyester</t>
  </si>
  <si>
    <t>Consumer Goods; Healthcare &amp; Medical; Semiconductor &amp; Advanced Electronics</t>
  </si>
  <si>
    <t>CHDM 기반 copolyester(PETG, PCTG)는 투명성·가공성이 우수하여 의료기기, 디스플레이, cosmetic packaging, 3D printing filament 등에 사용됨.</t>
  </si>
  <si>
    <t>일반 PET 대비 고부가 specialty polyester 시장.</t>
  </si>
  <si>
    <t>Engineering polyester</t>
  </si>
  <si>
    <t>강화 PET/PBT resin은 자동차 lightweight component, motor housing, electrical insulation 부품 등에 사용됨.</t>
  </si>
  <si>
    <t>금속 대체 lightweighting 트렌드와 연결.</t>
  </si>
  <si>
    <t>Terephthaloyl chloride (TPC) → Aramid fiber</t>
  </si>
  <si>
    <t>Aerospace &amp; Defense; Industrial Manufacturing</t>
  </si>
  <si>
    <t>TPA 유도체 TPC는 Kevlar® 같은 aramid fiber precursor로 사용됨. 방탄복, 타이어 reinforcement, aerospace composite 적용.</t>
  </si>
  <si>
    <t>규모는 작지만 최고부가 specialty chain.</t>
  </si>
  <si>
    <t>COPE (Copolyester-ether elastomer)</t>
  </si>
  <si>
    <t>Automotive &amp; Future Mobility; Healthcare &amp; Medical</t>
  </si>
  <si>
    <t>Thermoplastic elastomer로 hose, tube, cable jacketing, medical packaging 등에 사용됨.</t>
  </si>
  <si>
    <t>specialty elastomer 시장. 의료·자동차 niche application 존재.</t>
  </si>
  <si>
    <t>Coatings / Adhesives</t>
  </si>
  <si>
    <t>TPA 기반 saturated polyester는 powder coating, waterborne coating, hot-melt adhesive 등에 사용됨.</t>
  </si>
  <si>
    <t>친환경 powder coating 성장과 연결.</t>
  </si>
  <si>
    <t>DOTP plasticizer</t>
  </si>
  <si>
    <t>Construction &amp; Infrastructure; Consumer Goods</t>
  </si>
  <si>
    <t>DMT/TPA 기반 DOTP는 PVC용 non-phthalate plasticizer로 사용됨. 전선, flooring, artificial leather 등에 적용.</t>
  </si>
  <si>
    <t>DEHP 대체 친환경 plasticizer 수혜 가능.</t>
  </si>
  <si>
    <t>Consumer &amp; Personal Care (polyester fiber for apparel, home textile and consumer fabrics); Food &amp; Nutrition (PET bottles and food packaging trays/films); Circular Economy &amp; Recycling (rPET and chemical recycling of PET waste); Semiconductor &amp; Advanced Electronics (PET film for electronic/display/insulation applications); Automotive &amp; Future Mobility (PBT/PTT engineering plastics and polyester industrial fiber); Industrial Manufacturing (PET film, industrial yarn, coatings and adhesives); Construction &amp; Infrastructure (polyester fiber, PET sheet and coating-related materials)</t>
    <phoneticPr fontId="1" type="noConversion"/>
  </si>
  <si>
    <t>Ethylene은 세계 최대 규모의 기초 석유화학 원료로, steam cracking 기반으로 생산되며 polyethylene, EO/EG, EDC/PVC, styrene, alpha-olefin 등 광범위한 다운스트림 체인의 출발점이다. 글로벌 석유화학 산업의 benchmark monomer 역할을 수행한다.</t>
  </si>
  <si>
    <t>주류 공정은 hydrocarbon steam cracking이며 ethane, naphtha, LPG, gas oil 등을 cracking하여 생산한다. 일부는 CTO/MTO(coal/methanol-to-olefins), ethanol dehydration, refinery off-gas recovery, crude-to-chemicals(COTC) 기반으로 생산된다. 2024년 기준 ethane 42%, naphtha 37%, LPG 15% 비중.</t>
  </si>
  <si>
    <t>Polyethylene, EO/EG, EDC/PVC, ethylbenzene/styrene, alpha-olefins, VAM</t>
  </si>
  <si>
    <t>Consumer &amp; Personal Care (packaging film, containers, household goods); Food &amp; Nutrition (PET bottle, food packaging film and container); Construction &amp; Infrastructure (PVC pipe, insulation, wire &amp; cable); Automotive &amp; Future Mobility (automotive plastic parts, antifreeze, tire and ABS applications); Semiconductor &amp; Advanced Electronics (wire &amp; cable insulation, electronic packaging film); Industrial Manufacturing (industrial packaging, drums, tanks, coatings, elastomers); Healthcare &amp; Medical (medical packaging, tubing, disposable products); Circular Economy &amp; Recycling (polyethylene and PET recycling value chain)</t>
  </si>
  <si>
    <t>Technip Energies, Lummus, KBR, Stone &amp; Webster, Shell</t>
  </si>
  <si>
    <t>Strategic Benchmark</t>
  </si>
  <si>
    <t>CEH Ethylene, Oct. 2025</t>
  </si>
  <si>
    <t>Polyethylene (HDPE/LLDPE/LDPE)</t>
  </si>
  <si>
    <t>Consumer &amp; Personal Care (packaging film, household containers); Food &amp; Nutrition (food packaging film and bottle); Industrial Manufacturing (industrial drums, tanks, pipe); Construction &amp; Infrastructure (pipe and geomembrane)</t>
  </si>
  <si>
    <t>Ethylene 최대 용도(글로벌 수요의 63%). HDPE, LLDPE, LDPE로 전환되어 film, packaging, bottle, pipe, industrial container, consumer goods 등에 사용됨.</t>
  </si>
  <si>
    <t>Ethylene 산업의 핵심 성장 엔진. Packaging 및 소비재 수요와 직접 연결되며 emerging market 소비 성장 수혜.</t>
  </si>
  <si>
    <t>Construction &amp; Infrastructure (water/gas pipe); Consumer &amp; Personal Care (detergent bottle, household container); Automotive &amp; Future Mobility (fuel tank)</t>
  </si>
  <si>
    <t>Blow molding bottle, pipe, crate, industrial container, fuel tank 등에 사용. 강도·내화학성이 우수함.</t>
  </si>
  <si>
    <t>인프라·배관·물관리 시장과 연결. 중국 도시화 및 pipeline 교체 수요 중요.</t>
  </si>
  <si>
    <t>Food &amp; Nutrition (flexible food packaging); Consumer &amp; Personal Care (shopping bag, trash bag); Industrial Manufacturing (stretch film)</t>
  </si>
  <si>
    <t>Flexible packaging, industrial trash bag, food wrap, stretch film 등에 사용. packaging용 핵심 resin.</t>
  </si>
  <si>
    <t>전자상거래·온라인 유통 확대 최대 수혜 resin 중 하나.</t>
  </si>
  <si>
    <t>Consumer &amp; Personal Care (clear film, disposable bag); Semiconductor &amp; Advanced Electronics (wire &amp; cable coating); Food &amp; Nutrition (carton coating)</t>
  </si>
  <si>
    <t>Clear film, shrink wrap, extrusion coating, wire &amp; cable coating 등에 사용. 투명성과 유연성이 강점.</t>
  </si>
  <si>
    <t>고투명 packaging 및 cable coating niche 유지. 다만 LLDPE 대체 압력 존재.</t>
  </si>
  <si>
    <t>Ethylene Oxide (EO) → Ethylene Glycol (EG)</t>
  </si>
  <si>
    <t>Food &amp; Nutrition (PET bottle); Consumer &amp; Personal Care (polyester fiber for apparel); Automotive &amp; Future Mobility (antifreeze coolant)</t>
  </si>
  <si>
    <t>EO는 EG 생산의 핵심 중간체이며 PET bottle, polyester fiber, antifreeze에 사용됨. EO 자체는 detergent·surfactant 원료로도 사용.</t>
  </si>
  <si>
    <t>PET/polyester 산업과 직결. 중국 textile 및 beverage packaging 시장 의존도 높음.</t>
  </si>
  <si>
    <t>EDC → PVC</t>
  </si>
  <si>
    <t>Construction &amp; Infrastructure (PVC pipe, window, siding); Power &amp; Electrical Infrastructure (wire &amp; cable insulation); Healthcare &amp; Medical (medical tubing/bag)</t>
  </si>
  <si>
    <t>Ethylene dichloride(EDC)는 거의 전량 PVC chain으로 사용. PVC는 pipe, siding, flooring, cable insulation 등에 사용됨.</t>
  </si>
  <si>
    <t>건설·인프라 경기 민감. 장기적으로 PVC 환경규제가 변수.</t>
  </si>
  <si>
    <t>Ethylbenzene → Styrene</t>
  </si>
  <si>
    <t>Automotive &amp; Future Mobility (ABS auto parts, tire); Consumer &amp; Personal Care (appliance housing); Construction &amp; Infrastructure (EPS insulation)</t>
  </si>
  <si>
    <t>Styrene/PS/ABS/SBR chain의 핵심 원료. appliance, EPS insulation, 자동차 ABS, tire rubber 등에 사용됨.</t>
  </si>
  <si>
    <t>내구재 경기 민감도가 높음. ABS와 engineering plastic 수요가 핵심 성장 포인트.</t>
  </si>
  <si>
    <t>Alpha-olefins</t>
  </si>
  <si>
    <t>Industrial Manufacturing (detergent alcohol, lubricant additive); Consumer &amp; Personal Care (surfactant intermediate)</t>
  </si>
  <si>
    <t>PE comonomer, detergent alcohol, synthetic lubricant base oil 등에 사용됨.</t>
  </si>
  <si>
    <t>PE specialty grade와 lubricant chain 연결. 상대적으로 고부가 영역.</t>
  </si>
  <si>
    <t>Vinyl Acetate Monomer (VAM)</t>
  </si>
  <si>
    <t>Construction &amp; Infrastructure (adhesive, coating); Consumer &amp; Personal Care (paper adhesive)</t>
  </si>
  <si>
    <t>VAM은 EVA, PVA, adhesive, coating 원료로 사용됨.</t>
  </si>
  <si>
    <t>접착제·태양광 EVA chain과 연결 가능.</t>
  </si>
  <si>
    <t>EVA (via VAM)</t>
  </si>
  <si>
    <t>Renewable Energy (solar encapsulant film); Consumer &amp; Personal Care (footwear foam)</t>
  </si>
  <si>
    <t>Ethylene 기반 EVA는 solar encapsulant와 footwear foam 핵심 소재.</t>
  </si>
  <si>
    <t>에너지전환·태양광 확대 수혜 영역.</t>
  </si>
  <si>
    <t>Antifreeze / Coolant</t>
  </si>
  <si>
    <t>EG 기반 자동차 coolant 및 heat transfer fluid에 사용됨.</t>
  </si>
  <si>
    <t>EV 포함 자동차 thermal management와 연결.</t>
  </si>
  <si>
    <t>Detergent &amp; Surfactants</t>
  </si>
  <si>
    <t>EO 유도체는 nonionic surfactant, detergent, shampoo, cleaner 등에 사용됨.</t>
  </si>
  <si>
    <t>생활필수재 기반의 경기방어적 수요 존재.</t>
  </si>
  <si>
    <t>Wire &amp; Cable Insulation</t>
  </si>
  <si>
    <t>Power &amp; Electrical Infrastructure; Semiconductor &amp; Advanced Electronics</t>
  </si>
  <si>
    <t>PE/PVC 기반 wire &amp; cable insulation에 사용됨.</t>
  </si>
  <si>
    <t>전력망 투자·데이터센터·전기화 트렌드 수혜 가능.</t>
  </si>
  <si>
    <t>Recycled PE/PET chain</t>
  </si>
  <si>
    <t>PE/PET mechanical recycling 및 chemical recycling 확대. Ethylene chain 전체가 circular economy 핵심 타깃.</t>
  </si>
  <si>
    <t>장기적으로 virgin ethylene 수요 일부 잠식 가능. 하지만 recycling integration이 새로운 경쟁력 요소.</t>
  </si>
  <si>
    <t>Ethylene은 전체 석유화학 산업의 core building block이며 polyethylene이 전체 수요의 63%를 차지한다. 중국 중심 대규모 증설과 글로벌 공급과잉이 지속되고 있으며, 장기적으로는 COTC·저탄소 cracker·recycling integration이 핵심 전략 변수이다.
글로벌 ethylene 수요의 polyethylene(63%), EO/EG(15%), EDC/PVC(8%), ethylbenzene/styrene(5%)입니다.</t>
    <phoneticPr fontId="1" type="noConversion"/>
  </si>
  <si>
    <t>LG화학(506), 여천NCC(378), 롯데케미칼(350), 금호석유화학(237), HD현대케미칼(163), 한화토탈에너지스(150), 대한유화(146), SK지오센트릭(130), 롯데GS화학(130)</t>
    <phoneticPr fontId="1" type="noConversion"/>
  </si>
  <si>
    <t>Automotive &amp; Future Mobility; Health &amp; Medical</t>
    <phoneticPr fontId="1" type="noConversion"/>
  </si>
  <si>
    <t>금호석유화학(275), LG화학(220)</t>
    <phoneticPr fontId="1" type="noConversion"/>
  </si>
  <si>
    <t>BR</t>
    <phoneticPr fontId="1" type="noConversion"/>
  </si>
  <si>
    <t>Automotive &amp; Future Mobility</t>
    <phoneticPr fontId="1" type="noConversion"/>
  </si>
  <si>
    <t>C4 Stream에서 Extraction(메인); Butane Dehydrogenation 등On-purpose(보조)</t>
    <phoneticPr fontId="1" type="noConversion"/>
  </si>
  <si>
    <t>Solution Polymerization(메인)</t>
    <phoneticPr fontId="1" type="noConversion"/>
  </si>
  <si>
    <t>SBR</t>
    <phoneticPr fontId="1" type="noConversion"/>
  </si>
  <si>
    <t>Emulsion Polymerizaiton(E-SBR); Solution Polyermization(S-SBR)</t>
    <phoneticPr fontId="1" type="noConversion"/>
  </si>
  <si>
    <t>SC/FCC의 C4 Stream에서 추출되는 C4 Oleifn; 대표적인 Elastomer Chain 중간체;</t>
    <phoneticPr fontId="1" type="noConversion"/>
  </si>
  <si>
    <r>
      <t>1-Butene을 중합해 생산하는 Polyolefin; 고온</t>
    </r>
    <r>
      <rPr>
        <sz val="11"/>
        <color theme="1"/>
        <rFont val="맑은 고딕"/>
        <family val="3"/>
        <charset val="129"/>
      </rPr>
      <t>·고압에 적합하여 급탕/난방용 배관에 사용;</t>
    </r>
    <phoneticPr fontId="1" type="noConversion"/>
  </si>
  <si>
    <t xml:space="preserve">Butadiene을 중합하여 생산되는 대표적인 합성고무; Nd-BR은 rolling resistance를 낮춰 green tire와 EV tire에 적합; </t>
    <phoneticPr fontId="1" type="noConversion"/>
  </si>
  <si>
    <r>
      <t>Styrene과 Butadiene을 공중합하여 생산되는 합성고무; S-SBR은 저연비</t>
    </r>
    <r>
      <rPr>
        <sz val="11"/>
        <color theme="1"/>
        <rFont val="맑은 고딕"/>
        <family val="3"/>
        <charset val="129"/>
      </rPr>
      <t>·</t>
    </r>
    <r>
      <rPr>
        <sz val="11"/>
        <color theme="1"/>
        <rFont val="맑은 고딕"/>
        <family val="2"/>
        <scheme val="minor"/>
      </rPr>
      <t>고성능 타이어 소재;</t>
    </r>
    <phoneticPr fontId="1" type="noConversion"/>
  </si>
  <si>
    <t>Catalyst Polymerizaiton (LyondellBasell 라이선스)</t>
    <phoneticPr fontId="1" type="noConversion"/>
  </si>
  <si>
    <t>Construction &amp; Infrastructure</t>
    <phoneticPr fontId="1" type="noConversion"/>
  </si>
  <si>
    <t>금호석유화학(386), 롯데베르살리스엘라스토머스(100), LG화학(80)</t>
    <phoneticPr fontId="1" type="noConversion"/>
  </si>
  <si>
    <t>TKG일렘(13)</t>
    <phoneticPr fontId="1" type="noConversion"/>
  </si>
  <si>
    <t>Hot/Cold Water Pipe; Easy-peel Packing;</t>
    <phoneticPr fontId="1" type="noConversion"/>
  </si>
  <si>
    <t>MTBE</t>
    <phoneticPr fontId="1" type="noConversion"/>
  </si>
  <si>
    <t xml:space="preserve">Isobutylene과 Methanol을 산 촉매하에서 반응; </t>
    <phoneticPr fontId="1" type="noConversion"/>
  </si>
  <si>
    <t>Isobutylene과 Methanol을 반응시켜 생산; 가솔린 블랜딩 Component로 사용;</t>
    <phoneticPr fontId="1" type="noConversion"/>
  </si>
  <si>
    <t>Gasoline Octane Booster(94%);</t>
    <phoneticPr fontId="1" type="noConversion"/>
  </si>
  <si>
    <t>S-OIL(460), LX MMA(275), LG화학(220), HD현대오일뱅크(200), SK지오센트릭(178), 여천NCC(170), GS칼텍스(150), 롯데케미칼(20)</t>
    <phoneticPr fontId="1" type="noConversion"/>
  </si>
  <si>
    <t>Steam Cracking 기반으로 생산; 세계 최대 규모의 기초 석유화학 원료;</t>
    <phoneticPr fontId="1" type="noConversion"/>
  </si>
  <si>
    <t>Hydrocarbon Steam Cracking(메인); CTO/MTO 혹은 COTC 등(보조)</t>
    <phoneticPr fontId="1" type="noConversion"/>
  </si>
  <si>
    <t>LG화학(3380), 롯데케미칼(2330), 여천NCC(2285), 한화토탈에너지스(1525), 대한유화(900), GS칼텍스(900), HD현대케미칼(850), SK지오센트릭(660), S-OIL(182)</t>
    <phoneticPr fontId="1" type="noConversion"/>
  </si>
  <si>
    <t>Slurry Loop/Tank, Gas Phase, Solution 공정으로 에틸렌을 중합;</t>
    <phoneticPr fontId="1" type="noConversion"/>
  </si>
  <si>
    <t>Construction &amp; Infrastructure (water pipe, drainage pipe), Consumer &amp; Personal Care (detergent/shampoo bottles), Food &amp; Nutrition (milk &amp; juice bottles, food packaging), Industrial Manufacturing (chemical containers, industrial drums), Automotive &amp; Future Mobility (fuel tanks), Power &amp; Electrical Infrastructure (wire &amp; cable insulation), Agriculture &amp; Resource (irrigation pipe, agricultural film), Circular Economy &amp; Recycling (mechanical recycling applications)</t>
    <phoneticPr fontId="1" type="noConversion"/>
  </si>
  <si>
    <t>Blow molded bottles &amp; containers, film &amp; sheet, pipe &amp; extrusion, injection molding, wire &amp; cable</t>
    <phoneticPr fontId="1" type="noConversion"/>
  </si>
  <si>
    <t>LDPE는 고압 자유라디칼 중합 공정으로 생산되며 tubular reactor 및 autoclave reactor 공정이 상업적으로 사용된다. 에틸렌을 1,500–3,500 kg/cm² 수준의 고압 조건에서 중합하며 EVA 등 copolymer 생산에도 적용된다.</t>
  </si>
  <si>
    <t>Packaging film, extrusion coating, wire &amp; cable, photovoltaic EVA film, industrial film</t>
  </si>
  <si>
    <t>Food &amp; Nutrition (food packaging film), Renewable Energy (solar encapsulant EVA), Power &amp; Electrical Infrastructure (wire &amp; cable insulation), Consumer &amp; Personal Care (packaging film), Industrial Manufacturing (industrial film)</t>
  </si>
  <si>
    <t>고압 자유라디탈 중합 공정 (Tubular 및 Autoclave)</t>
    <phoneticPr fontId="1" type="noConversion"/>
  </si>
  <si>
    <t>LDPE는 저밀도 폴리에틸렌 수지로, 유연성·투명성·가공성이 우수하여 포장필름·압출코팅·전선용 소재 등에 사용된다.</t>
    <phoneticPr fontId="1" type="noConversion"/>
  </si>
  <si>
    <t>Food packaging film</t>
  </si>
  <si>
    <t>LDPE는 투명성·유연성·heat-seal 특성이 우수하여 빵 포장, 냉동식품 포장, shrink wrap 및 produce bag 등에 사용된다. 다층 포장 구조에서 sealing layer로 활용되며 식품 보호와 가공성이 중요하다.</t>
  </si>
  <si>
    <t>식품포장 안정 수요</t>
  </si>
  <si>
    <t>Solar PV encapsulant film (EVA)</t>
  </si>
  <si>
    <t>LDPE 계열 EVA는 태양광 모듈 encapsulant sheet에 사용되며 셀 보호·투명성·장기 내후성이 중요하다. 태양광 발전 확대와 함께 EVA 수요가 구조적으로 증가하고 있다.</t>
  </si>
  <si>
    <t>태양광 성장 직접 수혜</t>
  </si>
  <si>
    <t>Extrusion coating</t>
  </si>
  <si>
    <t>LDPE는 우수한 가공성과 접착 특성으로 종이컵, 액체 포장재, 산업용 코팅층 등에 사용된다. 저온 sealability와 코팅 안정성이 핵심 경쟁력이다.</t>
  </si>
  <si>
    <t>고부가 coating 수요</t>
  </si>
  <si>
    <t>LDPE는 절연성·유연성이 우수하여 전선 및 케이블 피복 소재로 사용된다. 전력 인프라와 산업용 케이블 시장에서 안정적인 수요가 존재한다.</t>
  </si>
  <si>
    <t>전력망 투자 연계</t>
  </si>
  <si>
    <t>Industrial heavy-duty film</t>
  </si>
  <si>
    <t>LDPE는 내충격성과 가공성이 우수하여 산업용 heavy-duty film, pallet wrap 및 보호필름에 사용된다. 운송·물류 확대와 함께 포장 수요가 증가하고 있다.</t>
  </si>
  <si>
    <t>물류·포장 구조 성장</t>
  </si>
  <si>
    <t>Consumer flexible packaging</t>
  </si>
  <si>
    <t>생활용품 및 위생용 포장재에 LDPE film이 사용되며 softness·clarity·sealability가 중요하다. e-commerce 확대에 따라 flexible packaging 수요가 증가하고 있다.</t>
  </si>
  <si>
    <t>생활소비재 안정 수요</t>
  </si>
  <si>
    <t>Adhesive &amp; hot-melt applications (EVA)</t>
  </si>
  <si>
    <t>EVA 기반 LDPE copolymer는 접착성 및 저온 특성이 우수하여 hot-melt adhesive, bookbinding 및 건축용 접착제에 사용된다. 고기능 specialty 영역으로 확대가 가능하다.</t>
  </si>
  <si>
    <t>specialty grade 확대</t>
  </si>
  <si>
    <t>Bubble wrap &amp; protective packaging</t>
  </si>
  <si>
    <t>LDPE는 충격완화 특성과 가공성이 우수하여 bubble wrap, cushioning film 및 protective envelope 소재로 사용된다. 전자상거래와 글로벌 물류 증가가 수요를 견인한다.</t>
  </si>
  <si>
    <t>e-commerce 성장 수혜</t>
  </si>
  <si>
    <t>Recycled LDPE film</t>
  </si>
  <si>
    <t>재생 LDPE는 trash bag, 산업용 필름 및 저사양 포장재에 사용되며 기계적 재활용 기반으로 활용도가 확대되고 있다. 유럽·미국 중심의 재활용 규제가 수요 확대를 유도한다.</t>
  </si>
  <si>
    <t>순환경제 규제 수혜</t>
  </si>
  <si>
    <t>Medical &amp; pharmaceutical packaging</t>
  </si>
  <si>
    <t>LDPE film은 청결성·sealability·가공성이 요구되는 의료 및 제약 포장 분야에 제한적으로 사용된다. 멸균 포장 및 보호 포장용 flexible film 수요가 존재한다.</t>
  </si>
  <si>
    <t>의료 포장 안정 수요</t>
  </si>
  <si>
    <t>Univation (UNIPOL), INEOS (Innovene), LyondellBasell (Spherilene), Dow (Dowlex), NOVA Chemicals (Sclairtech)</t>
    <phoneticPr fontId="1" type="noConversion"/>
  </si>
  <si>
    <t>LLDPE는 선형 구조와 짧은 분지를 가진 폴리에틸렌 수지로, 유연성·인장강도·충격 및 천공 저항성이 우수하여 필름 중심으로 사용된다.</t>
  </si>
  <si>
    <t>Film &amp; sheet, food packaging film, stretch film, heavy-duty sacks, agricultural film, extrusion coating, rotomolding</t>
  </si>
  <si>
    <t>Food &amp; Nutrition (food packaging film), Consumer &amp; Personal Care (retail packaging, trash bags), Agriculture &amp; Resource (mulch and greenhouse film), Industrial Manufacturing (heavy-duty sacks, stretch film), Power &amp; Electrical Infrastructure (wire &amp; cable compound), Circular Economy &amp; Recycling (mechanical recycle resin)</t>
  </si>
  <si>
    <t>S&amp;P Global CEH LLDPE 2024; LG Chem LLDPE product page; LOTTE Chemical LLDPE product page; Hanwha LLDPE product page (LG Chem)</t>
  </si>
  <si>
    <t>S&amp;P Global uploaded PDF; LG Chem official website; LOTTE Chemical official website; Hanwha official website</t>
  </si>
  <si>
    <r>
      <t xml:space="preserve">LLDPE는 에틸렌과 </t>
    </r>
    <r>
      <rPr>
        <sz val="11"/>
        <color theme="1"/>
        <rFont val="Calibri"/>
        <family val="2"/>
        <charset val="161"/>
      </rPr>
      <t>α</t>
    </r>
    <r>
      <rPr>
        <sz val="11"/>
        <color theme="1"/>
        <rFont val="맑은 고딕"/>
        <family val="2"/>
        <scheme val="minor"/>
      </rPr>
      <t>-올레핀의 저압 공중합으로 생산되며, gas-phase 및 solution 공정이 대표적이다. Gas-phase는 대형 범용 설비, solution은 grade 전환 유연성이 강점이다.</t>
    </r>
    <phoneticPr fontId="1" type="noConversion"/>
  </si>
  <si>
    <r>
      <t xml:space="preserve">에틸렌과 </t>
    </r>
    <r>
      <rPr>
        <sz val="11"/>
        <color theme="1"/>
        <rFont val="Calibri"/>
        <family val="2"/>
        <charset val="161"/>
      </rPr>
      <t>α</t>
    </r>
    <r>
      <rPr>
        <sz val="11"/>
        <color theme="1"/>
        <rFont val="맑은 고딕"/>
        <family val="2"/>
        <scheme val="minor"/>
      </rPr>
      <t>-올레핀의 저압 공중합 공정 (gas-phase 및 solution)</t>
    </r>
    <phoneticPr fontId="1" type="noConversion"/>
  </si>
  <si>
    <t>LLDPE는 천공 저항성·heat sealing·유연성이 우수하여 냉동식품, 신선식품, 일반 식품 포장용 blown/cast film에 사용된다. 박막화에도 기계적 강도를 유지할 수 있어 고속 포장 공정에 적합하다.</t>
  </si>
  <si>
    <t>식품포장 필수소재</t>
  </si>
  <si>
    <t>Stretch film</t>
  </si>
  <si>
    <t>LLDPE는 인장강도와 신율이 우수하여 pallet wrapping 및 물류용 stretch film에 사용된다. 물류 자동화와 e-commerce 포장 증가에 따라 안정적 수요 기반이 있다.</t>
  </si>
  <si>
    <t>물류포장 안정수요</t>
  </si>
  <si>
    <t>Agricultural film</t>
  </si>
  <si>
    <t>LLDPE는 유연성·내충격성·내환경성이 좋아 mulch film, greenhouse covering, silage film 등에 사용된다. 농업 생산성 향상과 보호재 수요가 핵심 driver이다.</t>
  </si>
  <si>
    <t>농업 생산성 연계</t>
  </si>
  <si>
    <t>Heavy-duty sacks</t>
  </si>
  <si>
    <t>LLDPE는 tear resistance와 puncture resistance가 좋아 비료, 수지, 건자재 등 중량물 포장용 heavy-duty sack에 사용된다. 산업재 포장에서는 내구성과 파손 방지가 중요하다.</t>
  </si>
  <si>
    <t>산업재 포장 수요</t>
  </si>
  <si>
    <t>Trash bags / liners</t>
  </si>
  <si>
    <t>LLDPE는 유연성과 인열강도가 균형적이어서 생활폐기물 봉투와 can liner에 사용된다. 얇은 gauge에서도 강도를 확보할 수 있어 원가 절감형 포장재에 적합하다.</t>
  </si>
  <si>
    <t>생활소비재 안정수요</t>
  </si>
  <si>
    <t>Extrusion coating / lamination</t>
  </si>
  <si>
    <t>LLDPE는 종이·필름 기재 위에 extrusion coating 또는 lamination layer로 사용되어 방습성, sealability, 내구성을 부여한다. 식품·소비재 포장재의 다층화 트렌드와 연결된다.</t>
  </si>
  <si>
    <t>포장재 다층화 수혜</t>
  </si>
  <si>
    <t>LLDPE는 절연성, 유연성, 가공성이 요구되는 전선·케이블 compound에 일부 사용된다. 전력망 및 통신 인프라 투자와 간접적으로 연결되는 application이다.</t>
  </si>
  <si>
    <t>Rotomolded products</t>
  </si>
  <si>
    <t>LLDPE는 충격강도와 ESCR이 좋아 outdoor recreational products, storage tanks, industrial containers 등 rotomolding 제품에 사용된다. 내구성과 성형성이 중요한 niche 시장이다.</t>
  </si>
  <si>
    <t>내구재 niche 수요</t>
  </si>
  <si>
    <t>EDC는 염소와 에틸렌 기반의 기초 염소계 중간체로, 주로 VCM 및 PVC 생산에 사용되는 vinyls chain 핵심 원료이다.</t>
  </si>
  <si>
    <t>EDC는 ethylene direct chlorination 및 oxychlorination 공정으로 생산되며, 일반적으로 chlor-alkali 및 VCM 설비와 통합 운영된다. Oxychlorination에서는 byproduct HCl을 재활용한다.</t>
  </si>
  <si>
    <t>VCM feedstock, PVC value chain intermediate, chlorinated solvents, vinylidene chloride, ethyleneamines</t>
  </si>
  <si>
    <t>Construction &amp; Infrastructure (PVC pipe, fittings, profiles), Power &amp; Electrical Infrastructure (wire &amp; cable PVC), Agriculture &amp; Resource (agricultural PVC film and pipe), Healthcare &amp; Medical (medical PVC applications), Industrial Manufacturing (chlorinated solvents, ethyleneamines)</t>
  </si>
  <si>
    <t>Technip Energies, Vinnolit, INEOS</t>
  </si>
  <si>
    <t>Highly integrated chlor-alkali/vinyls intermediate with strong PVC chain dependency and elevated China vinyls expansion exposure</t>
  </si>
  <si>
    <t>S&amp;P Global CEH Ethylene Dichloride 2025; Hanwha Solutions chlor-alkali/vinyl chain materials</t>
  </si>
  <si>
    <t>S&amp;P Global uploaded PDF; Hanwha Solutions official website</t>
  </si>
  <si>
    <t>PVC pipe &amp; fittings</t>
  </si>
  <si>
    <t>EDC는 VCM을 거쳐 PVC resin으로 전환되며, PVC는 상하수도관·배관 fitting·건축용 conduit에 사용된다. 내식성·내구성·가공성이 우수하여 장기 인프라용 소재로 적합하다.</t>
  </si>
  <si>
    <t>인프라 투자 연계</t>
  </si>
  <si>
    <t>EDC 기반 PVC는 전선·케이블 절연재 및 jacketing 소재로 사용된다. 난연성·절연성·가공성이 중요하며 전력망 및 데이터 인프라 확대와 연결된다.</t>
  </si>
  <si>
    <t>전력망 투자 수혜</t>
  </si>
  <si>
    <t>Window profile &amp; building materials</t>
  </si>
  <si>
    <t>PVC window profile, siding, flooring 등 건축자재는 EDC 기반 vinyls chain의 핵심 수요처이다. 내후성·시공성·가격 경쟁력이 주요 장점이다.</t>
  </si>
  <si>
    <t>건축 리모델링 수요</t>
  </si>
  <si>
    <t>Agricultural PVC products</t>
  </si>
  <si>
    <t>PVC 기반 농업용 pipe, irrigation system, greenhouse sheet 등에 사용되며 내화학성과 장기 내구성이 요구된다. 농업 생산성 향상과 관개 인프라 투자와 연계된다.</t>
  </si>
  <si>
    <t>농업 인프라 수혜</t>
  </si>
  <si>
    <t>Medical PVC applications</t>
  </si>
  <si>
    <t>EDC 기반 PVC는 의료 tubing, blood bag, disposable medical device 등에 사용된다. 유연성·투명성·가공성이 중요하며 의료용 인증 요구가 존재한다.</t>
  </si>
  <si>
    <t>의료 규제 진입장벽</t>
  </si>
  <si>
    <t>Chlorinated solvents</t>
  </si>
  <si>
    <t>EDC는 PCE, TCE 등 chlorinated solvent 중간체로 사용되며 금속 세정·산업용 cleaning·fluorochemical chain에 연결된다. 다만 환경 규제 영향이 큰 시장이다.</t>
  </si>
  <si>
    <t>규제 민감 시장</t>
  </si>
  <si>
    <t>PVDC barrier packaging</t>
  </si>
  <si>
    <t>EDC 유래 VDC/PVDC는 산소·수분 차단성이 우수하여 육가공·치즈·의약품 packaging barrier layer에 사용된다. 식품 shelf-life 연장에 중요하다.</t>
  </si>
  <si>
    <t>고부가 barrier 소재</t>
  </si>
  <si>
    <t>Ethyleneamines</t>
  </si>
  <si>
    <t>EDC는 ethylenediamine 및 고급 ethyleneamines 생산에 사용되며 epoxy curing agent, 윤활유 첨가제, 계면활성제 등에 적용된다. downstream specialty 확장성이 존재한다.</t>
  </si>
  <si>
    <t>specialty 확장 가능</t>
  </si>
  <si>
    <t>Adhesives &amp; textile solvent use</t>
  </si>
  <si>
    <t>EDC는 일부 접착제·섬유·금속세정용 solvent chain에 사용된다. 용제 특성과 chlorinated chemistry 기반 반응성이 활용된다.</t>
  </si>
  <si>
    <t>제한적 niche 수요</t>
  </si>
  <si>
    <t>PVC film &amp; sheet</t>
  </si>
  <si>
    <t>EDC 기반 PVC는 포장용 sheet, decorative film, consumer packaging 등에 사용된다. 가공성과 투명성, 비용 경쟁력이 주요 장점이다.</t>
  </si>
  <si>
    <t>높은 밀도와 결정성을 가지는 범용 폴리에틸렌 수지; 포장재, 파이프, 용기, 자동차 부품 등에 사용되는 열가소성 수지;</t>
    <phoneticPr fontId="1" type="noConversion"/>
  </si>
  <si>
    <r>
      <t>저밀도 범용 폴리에틸렌 수지; 포장필름</t>
    </r>
    <r>
      <rPr>
        <sz val="11"/>
        <color theme="1"/>
        <rFont val="맑은 고딕"/>
        <family val="3"/>
        <charset val="129"/>
      </rPr>
      <t>·코팅·전선용 소재 등에 사용</t>
    </r>
    <r>
      <rPr>
        <sz val="11"/>
        <color theme="1"/>
        <rFont val="맑은 고딕"/>
        <family val="2"/>
        <scheme val="minor"/>
      </rPr>
      <t>;</t>
    </r>
    <phoneticPr fontId="1" type="noConversion"/>
  </si>
  <si>
    <t>선형구조에 짧은 가지를 가진 폴리에틸렌 수지; 유연성·인장강도·충격 및 천공 저항성이 우수하여 필름 중심으로 사용;</t>
    <phoneticPr fontId="1" type="noConversion"/>
  </si>
  <si>
    <t>염소와 에틸렌 기반의 중간체; VCM 및 PVC 생산에 사용;</t>
    <phoneticPr fontId="1" type="noConversion"/>
  </si>
  <si>
    <t>Ethylene Direct Chlorination 및 Oxychlorination 공정; 일반적으로 Chlor-Alkali 및 VCM 설비와 통합운영;</t>
    <phoneticPr fontId="1" type="noConversion"/>
  </si>
  <si>
    <t>EDC의 열분해로 제조; PVC 수지 생산에 사용;</t>
    <phoneticPr fontId="1" type="noConversion"/>
  </si>
  <si>
    <t>주류 공정은 EDC thermal pyrolysis 기반 balanced chlorination-oxychlorination process이며, ethylene과 chlorine으로 EDC를 제조 후 cracking하여 VCM을 생산한다. 부산물 HCl은 oxychlorination 공정으로 recycle된다. 중국은 coal/carbide 기반 acetylene-HCl route 비중이 높다.</t>
  </si>
  <si>
    <t>EDC Thermal Pryolysis (메인); Coal/Carbide 기반 Acetylene-HCL route(중국, 보조);</t>
    <phoneticPr fontId="1" type="noConversion"/>
  </si>
  <si>
    <t>Technip Energies, Vinnolit, INEOS, KBR</t>
  </si>
  <si>
    <t>VCM의 99% 이상은 PVC 생산에 사용되며, PVC pipe·fitting·conduit는 건설 및 상하수도 인프라 핵심 소재이다. 내식성·시공성·가격 경쟁력이 우수하다.</t>
  </si>
  <si>
    <t>인프라 투자 민감</t>
  </si>
  <si>
    <t>Window profile &amp; siding</t>
  </si>
  <si>
    <t>PVC window, siding, decking, fencing 등에 사용된다. 단열성과 내후성이 장점이며 건축 리모델링 시장과 연동된다.</t>
  </si>
  <si>
    <t>건설 경기 연동</t>
  </si>
  <si>
    <t>PVC 기반 wire &amp; cable jacket은 절연성과 난연성이 우수하여 전력망 및 데이터센터 인프라 확대에 사용된다.</t>
  </si>
  <si>
    <t>전력 인프라 수혜</t>
  </si>
  <si>
    <t>Flooring &amp; roofing materials</t>
  </si>
  <si>
    <t>PVC flooring 및 roofing membrane은 상업용·주거용 건설에 광범위하게 사용된다. 유지관리 비용이 낮다.</t>
  </si>
  <si>
    <t>리모델링 수요</t>
  </si>
  <si>
    <t>Irrigation &amp; agricultural pipe</t>
  </si>
  <si>
    <t>농업용 관개 시스템 및 water management pipe에 사용된다. 내화학성과 장기 durability가 중요하다.</t>
  </si>
  <si>
    <t>농업 인프라 연계</t>
  </si>
  <si>
    <t>Medical PVC products</t>
  </si>
  <si>
    <t>Medical tubing, blood bag, disposable device 등에 사용된다. 위생성·유연성·가공성이 핵심이다.</t>
  </si>
  <si>
    <t>Consumer &amp; Packaging</t>
  </si>
  <si>
    <t>Packaging sheet, decorative film, consumer film applications 등에 사용된다. 저원가 범용 소재 포지션이 강하다.</t>
  </si>
  <si>
    <t>소비재 안정 수요</t>
  </si>
  <si>
    <t>Vinyl copolymers</t>
  </si>
  <si>
    <t>VCM은 vinyl chloride/vinylidene chloride copolymer 제조에 사용된다. coating 및 specialty resin 시장과 연결된다.</t>
  </si>
  <si>
    <t>specialty derivative 확장</t>
  </si>
  <si>
    <t>Vinylidene chloride (VDC)</t>
  </si>
  <si>
    <t>Food &amp; Nutrition / Packaging</t>
  </si>
  <si>
    <t>VDC/PVDC는 고차단 food packaging 소재로 사용된다. 산소·수분 barrier 특성이 우수하다.</t>
  </si>
  <si>
    <t>Chlorinated intermediates</t>
  </si>
  <si>
    <t>일부 chlorinated solvent 및 downstream chlorine chemistry intermediate로 사용된다. 다만 환경 규제 영향이 존재한다.</t>
  </si>
  <si>
    <t>규제 민감 산업</t>
  </si>
  <si>
    <t>PVC value chain의 핵심 중간체로 대부분(99%) PVC 생산에 captive 소비됨. 에틸렌·염소·EDC·PVC 통합 여부가 원가 경쟁력의 핵심이며, 중국은 acetylene-based VCM/PVC 설비 비중이 커 증설 및 공급 리스크가 높음.</t>
    <phoneticPr fontId="1" type="noConversion"/>
  </si>
  <si>
    <t>PVC는 VCM을 중합하여 제조되는 범용 열가소성 수지로, 파이프·피팅·창호·전선피복·필름·시트·바닥재 등에 사용된다.</t>
    <phoneticPr fontId="1" type="noConversion"/>
  </si>
  <si>
    <t>VCM을 중합하여 제조하는 범용 열가소성 수지; 파이프·피팅·창호·전선피복·필름·시트·바닥재 등에 사용</t>
    <phoneticPr fontId="1" type="noConversion"/>
  </si>
  <si>
    <t>VCM을 중합;</t>
    <phoneticPr fontId="1" type="noConversion"/>
  </si>
  <si>
    <t>Construction &amp; Infrastructure (pipe, fittings, profiles, flooring), Power &amp; Electrical Infrastructure (wire &amp; cable insulation), Agriculture &amp; Resource (irrigation pipe), Healthcare &amp; Medical (medical tubing, blood bags), Consumer &amp; Personal Care (film, sheet, synthetic leather), Industrial Manufacturing (coatings, compounds)</t>
  </si>
  <si>
    <t>Pipe &amp; fittings</t>
  </si>
  <si>
    <t>Rigid PVC는 상하수도관, DWV pipe, sewer pipe, conduit 및 fitting에 사용된다. 내식성·내화학성·시공성이 우수하고 금속관 대체가 가능해 PVC 최대 수요처이다.</t>
  </si>
  <si>
    <t>인프라 투자 핵심</t>
  </si>
  <si>
    <t>Window profile / doors</t>
  </si>
  <si>
    <t>uPVC profile은 창호, 문틀, siding, fencing 등에 사용된다. 내후성·단열성·저유지보수 특성이 중요하며 주거·리모델링 수요와 연동된다.</t>
  </si>
  <si>
    <t>건축 리모델링 수혜</t>
  </si>
  <si>
    <t>Flexible PVC는 plasticizer와 함께 전선·케이블 절연 및 jacketing에 사용된다. 난연성·절연성·가공성이 우수해 전력망과 통신 인프라에 적용된다.</t>
  </si>
  <si>
    <t>Flooring / luxury vinyl tile</t>
  </si>
  <si>
    <t>PVC는 vinyl flooring, LVT, wall covering 등에 사용되며 내구성·방수성·가공성이 강점이다. 상업용·주거용 리모델링 시장과 연결된다.</t>
  </si>
  <si>
    <t>안정적 건축 수요</t>
  </si>
  <si>
    <t>Irrigation pipe</t>
  </si>
  <si>
    <t>PVC pipe는 농업용 관개, 배수, 물 공급 시스템에 사용된다. 경량성·내식성·장기 내구성이 중요해 농업 인프라 투자와 연계된다.</t>
  </si>
  <si>
    <t>Medical tubing / blood bags</t>
  </si>
  <si>
    <t>Plasticized PVC는 의료용 tubing, blood bag, IV bag 등 유연성이 필요한 disposable medical product에 사용된다. 투명성·유연성·가공성이 핵심이다.</t>
  </si>
  <si>
    <t>Flexible film &amp; sheet</t>
  </si>
  <si>
    <t>Flexible PVC film과 sheet는 포장재, signage, inflatable goods, synthetic leather 등에 사용된다. 유연성·내구성·저원가 가공성이 주요 장점이다.</t>
  </si>
  <si>
    <t>Coatings / plastisol</t>
  </si>
  <si>
    <t>Emulsion PVC 기반 plastisol은 바닥재, 코팅직물, 장갑, 금속 보호코팅 등에 사용된다. 코팅성·내마모성·표면 보호 기능이 중요하다.</t>
  </si>
  <si>
    <t>specialty compound 전환</t>
  </si>
  <si>
    <t>CPVC pipe</t>
  </si>
  <si>
    <t>PVC를 추가 염소화한 CPVC는 고온수 배관, fire sprinkler, 산업용 piping에 사용된다. 내열성·내식성이 PVC 대비 높아 고부가 niche로 분류된다.</t>
  </si>
  <si>
    <t>고부가 niche 시장</t>
  </si>
  <si>
    <t>Rigid film &amp; sheet</t>
  </si>
  <si>
    <t>Rigid PVC sheet는 카드, 문구류, 투명 포장, decorative sheet 등에 사용된다. 강성·투명성·성형성이 요구되는 downstream 제품에 적합하다.</t>
  </si>
  <si>
    <t>소비재·포장 안정수요</t>
  </si>
  <si>
    <t>LG화학(1980), 여천NCC(1289), 롯데케미칼(1191), 한화토탈에너지스(1064), GS칼텍스(970), S-OIL(840), SK에너지(620), SK어드밴스드(600), 대한유화(560), 효성화학(500), HD현대케미칼(451), HD현대오일뱅크(420), SK지오센트릭(380), 태광산업(300)</t>
    <phoneticPr fontId="1" type="noConversion"/>
  </si>
  <si>
    <t>Ethanol은 휘발성·가연성의 무색 액체 알코올로, 용제·소독제·연료첨가제·화학 원료로 사용된다.</t>
    <phoneticPr fontId="1" type="noConversion"/>
  </si>
  <si>
    <t>휘발성·가연성의 무색 액체 알코올; 용제·소독제·연료첨가제·화학 원료로 사용;</t>
    <phoneticPr fontId="1" type="noConversion"/>
  </si>
  <si>
    <t>탄수화물 발효(97%), 합성공정기반(2%); 석탄유래(중국);</t>
    <phoneticPr fontId="1" type="noConversion"/>
  </si>
  <si>
    <t>무색·휘발성의 에스터계 용제; 빠른 증발성과 용해성을 가져 도료·잉크·접착제 등에 널리 사용;</t>
    <phoneticPr fontId="1" type="noConversion"/>
  </si>
  <si>
    <t>에탄올과 초산의 산촉매 에스터화 및 정제 공정(메인); 반응증류 공정, 에틸렌과 초산의 직접 부가, 아세트알데히드 Tishchenko 반응(보조)</t>
    <phoneticPr fontId="1" type="noConversion"/>
  </si>
  <si>
    <t>반응성이 높은 고리형 에폭사이드; 주로 EG·계면활성제·EOA 등 에틸렌계 유도품의 중간체로 사용;</t>
    <phoneticPr fontId="1" type="noConversion"/>
  </si>
  <si>
    <t>에틸렌을 산소로 은 촉매하에 직접 부분산화; EO/EG 통합생산(75%), 고순도 EO생산(25%);</t>
    <phoneticPr fontId="1" type="noConversion"/>
  </si>
  <si>
    <t>롯데케미칼(922), 대한유화(250), 한화토탈에너지스(120), LG화학(60)</t>
    <phoneticPr fontId="1" type="noConversion"/>
  </si>
  <si>
    <t>아민기와 알코올기를 모두 가진 에탄올아민류의 대표 제품; 산성가스 제거·계면활성제·에틸렌아민 중간체로 사용;</t>
    <phoneticPr fontId="1" type="noConversion"/>
  </si>
  <si>
    <t>EO와 암모니아를 반응시켜 생산; 반응 조건 조절을 통해 MEA·DEA·TEA 제품 분포를 조절;</t>
    <phoneticPr fontId="1" type="noConversion"/>
  </si>
  <si>
    <t>아민기와 알코올기를 모두 가진 에탄올아민류 중간체; 글리포세이트·DEIPA·계면활성제·가스처리에 사용;</t>
    <phoneticPr fontId="1" type="noConversion"/>
  </si>
  <si>
    <t>아민기와 알코올기를 모두 가진 에탄올아민류 제품; 시멘트 첨가제·계면활성제·금속가공유 등에 사용;</t>
    <phoneticPr fontId="1" type="noConversion"/>
  </si>
  <si>
    <t>EO hydration으로 생산되는 가장 대표적인 EO downstream 제품; 주로 PET 수지·폴리에스터 섬유·부동액용으로 사용;</t>
    <phoneticPr fontId="1" type="noConversion"/>
  </si>
  <si>
    <t>EO의 비촉매 수화반응으로 생산(메인); Selective hydration 기술(MEG수율 개선); Coal-to-MEG 공정(중국)</t>
    <phoneticPr fontId="1" type="noConversion"/>
  </si>
  <si>
    <t>Pyridines·Pentaerythritol·Acetate esters 등의 원료로 사용되는 중간체; 글롭러 시장은 장기적으로 구조적 축소 추세</t>
    <phoneticPr fontId="1" type="noConversion"/>
  </si>
  <si>
    <t>Ethylene liquid-phase oxidation(Wacker process, 메인); Ethanol dehydrogenation/partial oxidation(메인); Acetylene hydration(보조);</t>
    <phoneticPr fontId="1" type="noConversion"/>
  </si>
  <si>
    <t>EVA·PVA·PVAc·EVOH 등의 핵심 중간체;</t>
    <phoneticPr fontId="1" type="noConversion"/>
  </si>
  <si>
    <t>에틸렌·초산·산소를 Pd 촉매 하에서 기상 산화;</t>
    <phoneticPr fontId="1" type="noConversion"/>
  </si>
  <si>
    <t>에틸렌과 VAM의 공중합체; VAM 함량에 따라 필름·폼·접착제·전선용 compound·태양광 encapsulant 등 다양한 물성을 구현;</t>
    <phoneticPr fontId="1" type="noConversion"/>
  </si>
  <si>
    <t>에틸렌과 VAM을 자유라디칼 공중합(고압 Tubular 혹은 Autoclave);</t>
    <phoneticPr fontId="1" type="noConversion"/>
  </si>
  <si>
    <t>에틸렌, 프로필렌 소량의 diene(ENB, DCPD 등)을 공중합한 합성고무; 내열·내후·내오존 특성이 우수해 자동차 씰, 전선, 건축 방수시트 등에 사용;</t>
    <phoneticPr fontId="1" type="noConversion"/>
  </si>
  <si>
    <t>Solution/Slurry Polymerization(Ziegler-Natta 또는 metallocene 촉매);</t>
    <phoneticPr fontId="1" type="noConversion"/>
  </si>
  <si>
    <t>Propylene은 ethylene 다음으로 큰 기초 petrochemical building block으로, PP·PO·ACN·acrylic acid 등 다양한 C3 downstream chain의 핵심 원료이다.</t>
  </si>
  <si>
    <t>Propylene은 steam cracker 및 refinery FCC의 coproduct로 주로 생산되며, 최근에는 PDH, metathesis, MTO/MTP, CTO/CTP, HS-FCC 등 on-purpose 공정 비중이 확대되고 있다.</t>
  </si>
  <si>
    <t>Polypropylene, propylene oxide, acrylonitrile, crude acrylic acid, oxo-alcohols, cumene, isopropanol</t>
  </si>
  <si>
    <t>Automotive &amp; Future Mobility (PP compounds, ABS), Consumer &amp; Personal Care (PP packaging, hygiene nonwovens), Healthcare &amp; Medical (PP medical nonwovens, IPA), Construction &amp; Infrastructure (PU insulation, acrylic coatings), Industrial Manufacturing (ACN, oxo-alcohols, solvents), Renewable Energy (epoxy/PC-related components)</t>
  </si>
  <si>
    <t>Core C3 platform chemical with strong PP dependency; China PDH and integrated cracker additions create structural oversupply risk</t>
  </si>
  <si>
    <t>S&amp;P Global CEH Propylene 2026</t>
  </si>
  <si>
    <t>S&amp;P Global uploaded PDF</t>
  </si>
  <si>
    <t xml:space="preserve">에틸렌 다음으로 큰 기초 석유화학 원료; </t>
    <phoneticPr fontId="1" type="noConversion"/>
  </si>
  <si>
    <t>SC/FCC에서 주로 생산; PDH, metathesis, MTO/MTP, CTO/CTP, HS-FCC 등 on-purpose 공정 비중이 확대;</t>
    <phoneticPr fontId="1" type="noConversion"/>
  </si>
  <si>
    <t>Polypropylene resin</t>
  </si>
  <si>
    <t>Propylene의 최대 수요처는 PP이며, 식품용기, 포장재, 생활용품, 섬유 및 nonwoven에 사용된다. 저밀도·강성·내열성이 우수해 범용 플라스틱 중 수요 기반이 넓다.</t>
  </si>
  <si>
    <t>최대 수요 기반</t>
  </si>
  <si>
    <t>Automotive PP compound</t>
  </si>
  <si>
    <t>PP compound는 bumper, interior trim, underbody 부품 등에 사용된다. 경량성·성형성·원가 경쟁력이 강해 자동차 경량화 소재로 활용된다.</t>
  </si>
  <si>
    <t>EV/경량화 수혜</t>
  </si>
  <si>
    <t>Propylene oxide / polyols</t>
  </si>
  <si>
    <t>Propylene oxide는 polyether polyol을 거쳐 PU foam으로 전환되며, 건축 단열재·가구·자동차 seat cushion에 사용된다. 단열성과 cushioning 성능이 핵심이다.</t>
  </si>
  <si>
    <t>단열재 성장 연계</t>
  </si>
  <si>
    <t>Acrylonitrile</t>
  </si>
  <si>
    <t>Propylene은 ammoxidation을 통해 ACN으로 전환되며 ABS/SAN resin, acrylic fiber, nitrile rubber, carbon fiber 전구체에 사용된다. 내충격성·내화학성 downstream 소재와 연결된다.</t>
  </si>
  <si>
    <t>엔지니어링 소재 연계</t>
  </si>
  <si>
    <t>Crude acrylic acid</t>
  </si>
  <si>
    <t>Propylene 유래 acrylic acid는 superabsorbent polymer, acrylate ester, coating resin에 사용된다. 건축용 도료와 위생재 수요가 핵심 driver이다.</t>
  </si>
  <si>
    <t>위생·코팅 수요</t>
  </si>
  <si>
    <t>Oxo-alcohols</t>
  </si>
  <si>
    <t>Propylene은 hydroformylation을 통해 butanol 및 2-EH로 전환되며, PVC plasticizer, solvent, coating intermediate에 사용된다. flexible PVC와 산업용 coating chain에 연결된다.</t>
  </si>
  <si>
    <t>PVC chain 보완</t>
  </si>
  <si>
    <t>Cumene / phenol chain</t>
  </si>
  <si>
    <t>Propylene과 benzene으로 생산되는 cumene은 phenol·acetone의 핵심 원료이며, BPA, epoxy resin, polycarbonate로 이어진다. 자동차·전기전자·건축소재와 연결된다.</t>
  </si>
  <si>
    <t>고기능 소재 chain</t>
  </si>
  <si>
    <t>Isopropanol</t>
  </si>
  <si>
    <t>Propylene 기반 IPA는 소독제, sanitizer, industrial cleaning solvent로 사용된다. 휘발성·용해성·살균 용도 적합성이 중요하다.</t>
  </si>
  <si>
    <t>위생 수요 연계</t>
  </si>
  <si>
    <t>PP medical nonwovens</t>
  </si>
  <si>
    <t>PP nonwoven은 surgical mask, medical gown, hairnet 등 disposable medical product에 사용된다. 경량성·가공성·위생성이 핵심이며 pandemic 이후 구조적 수요가 확대됐다.</t>
  </si>
  <si>
    <t>의료 안정수요</t>
  </si>
  <si>
    <t>Acrylic coatings / adhesives</t>
  </si>
  <si>
    <t>Propylene 유래 acrylates는 도료, 접착제, sealant에 사용된다. 내후성·접착성·필름 형성능이 중요해 건축 및 산업용 표면처리와 연결된다.</t>
  </si>
  <si>
    <t>coating 소재화</t>
  </si>
  <si>
    <t>동서석유화학(602), 태광산업(290)</t>
    <phoneticPr fontId="1" type="noConversion"/>
  </si>
  <si>
    <t>프로필렌과 암모니아를 원료로 산화 반응을 통해 생산; 우수한 내화학성·기계적 강도를 바탕으로 ABS, Acrylic Fiber, NBR 등의 핵심 중간체;</t>
    <phoneticPr fontId="1" type="noConversion"/>
  </si>
  <si>
    <t xml:space="preserve">프로필렌, 암모니아, 공기를 이용한 SOHIO ammoxidation 공정; </t>
    <phoneticPr fontId="1" type="noConversion"/>
  </si>
  <si>
    <t>ABS</t>
    <phoneticPr fontId="1" type="noConversion"/>
  </si>
  <si>
    <t>아크릴로니트릴·부타디엔·스티렌을 중합해 제조하는 엔지니어링 플라스틱; 충격강도·가공성·외관 특성이 우수;</t>
    <phoneticPr fontId="1" type="noConversion"/>
  </si>
  <si>
    <t>SAN 수지와 부타디엔 고무를 graft 중합하는 방식으로 생산(Emulsion 및 Mass);</t>
    <phoneticPr fontId="1" type="noConversion"/>
  </si>
  <si>
    <t>LG화학(1030), 롯데케미칼(757), 금호석유화학(290), 한국이네오스스티롤루션(276)</t>
    <phoneticPr fontId="1" type="noConversion"/>
  </si>
  <si>
    <t>스티렌과 아크릴로니트릴을 공중합한 투명 열가소성 수지; 내열성·내화학성·강성이 우수;</t>
    <phoneticPr fontId="1" type="noConversion"/>
  </si>
  <si>
    <t>스티렌과 아크릴로니트릴을 연속 공중합(Bulk 혹은 Solution);</t>
    <phoneticPr fontId="1" type="noConversion"/>
  </si>
  <si>
    <t>LG화학(70), 금호석유화학(50), 롯데케미칼(40)</t>
    <phoneticPr fontId="1" type="noConversion"/>
  </si>
  <si>
    <t>금호석유화학(92), LG화학(65)</t>
    <phoneticPr fontId="1" type="noConversion"/>
  </si>
  <si>
    <t>부타디엔과 아크릴로니트릴을 공중합한 합성고무; 내유성·내마모성·내화학성이 우수;</t>
    <phoneticPr fontId="1" type="noConversion"/>
  </si>
  <si>
    <t>부타디엔과 아크릴로니트릴을 유화중합(emulsion polymerization) 방식으로 생산; 고무 라텍스 및 solid rubber 형태로 제조;</t>
    <phoneticPr fontId="1" type="noConversion"/>
  </si>
  <si>
    <t>프로필렌을 중합해 생산하는 범용 열가소성 수지; 경량성·내화학성·가공성이 우수;</t>
    <phoneticPr fontId="1" type="noConversion"/>
  </si>
  <si>
    <t>PP는 Ziegler-Natta 또는 metallocene 촉매를 이용한 slurry, bulk, gas phase 중합 공정;</t>
    <phoneticPr fontId="1" type="noConversion"/>
  </si>
  <si>
    <t>한화토탈에너지스(1117), 롯데케미칼(1090), 폴리미래(730), 효성화학(600), 대한유화(550), HD현대케미칼(500), SK지오센트릭(432), S-OIL(405), 울산피피(400), LG화학(380), GS칼텍스(180)</t>
    <phoneticPr fontId="1" type="noConversion"/>
  </si>
  <si>
    <t>SK picglobal(310), S-OIL(300)</t>
    <phoneticPr fontId="1" type="noConversion"/>
  </si>
  <si>
    <t>프로필렌 Downstream의 주요 중간체; 폴리우레탄 원료인 폴리올 및 프로필렌글리콜 생산에 사용;</t>
    <phoneticPr fontId="1" type="noConversion"/>
  </si>
  <si>
    <t>Chlorohydrin, PO/SM(Styrene Monomer co-product), HPPO(Hydrogen Peroxide to Propylene Oxide) 등의 공정;</t>
    <phoneticPr fontId="1" type="noConversion"/>
  </si>
  <si>
    <t>프로필렌옥사이드 기반의 무색·무취 액상 화학제품; 보습성·용해성·저독성이 우수;</t>
    <phoneticPr fontId="1" type="noConversion"/>
  </si>
  <si>
    <t>프로필렌옥사이드의 가수분해 공정(메인); 바이오 기반 글리세린 공정(보조);</t>
    <phoneticPr fontId="1" type="noConversion"/>
  </si>
  <si>
    <t>SK picglobal(180)</t>
    <phoneticPr fontId="1" type="noConversion"/>
  </si>
  <si>
    <t>KPX케미칼(298), SK picglobal(220), 금호석유화학(152), 한국바스프(119)</t>
    <phoneticPr fontId="1" type="noConversion"/>
  </si>
  <si>
    <t>Net Export(2022년이후 통계 X)</t>
    <phoneticPr fontId="1" type="noConversion"/>
  </si>
  <si>
    <t>Polyols는 isocyanate와 반응해 polyurethane을 만드는 핵심 원료로, flexible foam·rigid foam·CASE 등 다양한 downstream 제품의 성능을 결정하는 중간소재이다.</t>
  </si>
  <si>
    <t>Polyether polyol은 주로 PO 및 EO를 starter molecule에 부가중합해 생산하며, polyester polyol은 diol과 dicarboxylic acid/ester의 축합 반응으로 제조된다.</t>
  </si>
  <si>
    <t>Flexible PU foam, rigid PU foam, automotive seat foam, insulation panel, mattress, CASE, shoe sole, elastomer</t>
  </si>
  <si>
    <t>Construction &amp; Infrastructure (rigid insulation foam), Automotive &amp; Future Mobility (seat foam, interior), Consumer &amp; Personal Care (mattress, furniture foam), Healthcare &amp; Medical (medical cushioning), Industrial Manufacturing (CASE, elastomers), Renewable Energy (insulation and specialty PU components)</t>
  </si>
  <si>
    <t>Isocyanate와 반응해 Polyurethane을 만드는 핵심 원료; Flexible Foam·Rigid Foam 등 다양한 Downstream 제품의 성능을 결정하는 중간소재;</t>
    <phoneticPr fontId="1" type="noConversion"/>
  </si>
  <si>
    <t>Flexible slabstock foam</t>
  </si>
  <si>
    <t>Polyether polyol은 TDI/MDI와 반응해 mattress, sofa cushion, furniture foam에 사용된다. 탄성·복원력·comfort 성능이 중요하며 대량 생활소비재 수요와 연결된다.</t>
  </si>
  <si>
    <t>안정적 소비재 수요</t>
  </si>
  <si>
    <t>Automotive seat foam</t>
  </si>
  <si>
    <t>Polyol 기반 PU foam은 자동차 seat cushion, headrest, armrest에 사용된다. 경량성·내구성·승차감이 핵심이며 OEM 품질 승인 장벽이 존재한다.</t>
  </si>
  <si>
    <t>OEM 승인 중요 시장</t>
  </si>
  <si>
    <t>Rigid insulation foam</t>
  </si>
  <si>
    <t>Rigid PU foam은 건축 단열 panel, spray foam, 냉장고 insulation에 사용된다. 낮은 열전도율과 치수 안정성이 중요하다.</t>
  </si>
  <si>
    <t>에너지효율 규제 수혜</t>
  </si>
  <si>
    <t>Refrigerator insulation</t>
  </si>
  <si>
    <t>Polyol 기반 rigid foam은 냉장고·냉동고 단열층에 주입 발포되어 에너지 손실을 줄인다. 단열성·발포 안정성·치수 안정성이 핵심이다.</t>
  </si>
  <si>
    <t>고효율 가전 수요</t>
  </si>
  <si>
    <t>CASE materials</t>
  </si>
  <si>
    <t>Polyester/polyether polyol은 coatings, adhesives, sealants, elastomers에 사용된다. 접착력·내마모성·내후성 조절이 가능해 specialty formulation 가치가 높다.</t>
  </si>
  <si>
    <t>specialty 전환 가능</t>
  </si>
  <si>
    <t>Shoe sole / elastomer</t>
  </si>
  <si>
    <t>Polyurethane elastomer는 신발 midsole, outsole, sports cushioning에 사용된다. 반발탄성·내마모성·경량성이 중요하다.</t>
  </si>
  <si>
    <t>고부가 소비재 소재</t>
  </si>
  <si>
    <t>Automotive interior skin / synthetic leather</t>
  </si>
  <si>
    <t>Polyol 기반 PU는 instrument panel, door trim, synthetic leather coating 등에 적용된다. 촉감·내마모성·VOC 저감 특성이 중요하다.</t>
  </si>
  <si>
    <t>EV 내장재 고급화</t>
  </si>
  <si>
    <t>Bio-polyol / recycled polyol</t>
  </si>
  <si>
    <t>Bio-polyol과 re-polyol은 천연물 또는 폐PU를 활용해 PU 원료로 재사용된다. 탄소저감 및 순환경제 대응 소재로 positioning 가능하다.</t>
  </si>
  <si>
    <t>친환경 전환 수혜</t>
  </si>
  <si>
    <t>Medical cushioning foam</t>
  </si>
  <si>
    <t>PU foam은 의료용 mattress, positioning pad, wound-care cushioning 등에 사용된다. 압력분산·유연성·위생성이 중요하다.</t>
  </si>
  <si>
    <t>Industrial elastomer / roller</t>
  </si>
  <si>
    <t>고기능 polyol은 industrial roller, wheel, gasket, vibration damping 부품용 PU elastomer에 사용된다. 내마모성·기계적 강도가 핵심이다.</t>
  </si>
  <si>
    <t>고수익 niche 시장</t>
  </si>
  <si>
    <t>Polyether polyol - PO 및 EO를 starter molecule에 부가중: Polyester polyol - Diol과 Dicarboxylic acid/ester의 축합 반응(PO Downstream 아님);</t>
    <phoneticPr fontId="1" type="noConversion"/>
  </si>
  <si>
    <t>금호석유화학, 한국바스프, 피유코어, KPX케미컬(자료없음)</t>
    <phoneticPr fontId="1" type="noConversion"/>
  </si>
  <si>
    <r>
      <t>진양폴리우레탄, 대동우레탄, 한국우레탄, 세림TTC, 세원케미컬 등 중소</t>
    </r>
    <r>
      <rPr>
        <sz val="11"/>
        <color theme="1"/>
        <rFont val="맑은 고딕"/>
        <family val="3"/>
        <charset val="129"/>
      </rPr>
      <t>·중견 가공사</t>
    </r>
    <phoneticPr fontId="1" type="noConversion"/>
  </si>
  <si>
    <r>
      <t>진양폴리우레탄, 대동우레탄, 한국우레탄, 세림TTC, 세원케미컬 등 중소</t>
    </r>
    <r>
      <rPr>
        <sz val="11"/>
        <color theme="1"/>
        <rFont val="맑은 고딕"/>
        <family val="3"/>
        <charset val="129"/>
      </rPr>
      <t>·중견 가공사</t>
    </r>
    <r>
      <rPr>
        <sz val="11"/>
        <color theme="1"/>
        <rFont val="맑은 고딕"/>
        <family val="3"/>
        <charset val="129"/>
        <scheme val="minor"/>
      </rPr>
      <t>(자료없음)</t>
    </r>
    <phoneticPr fontId="1" type="noConversion"/>
  </si>
  <si>
    <t>폴리올과 이소시아네이트의 반응으로 제조되는 고분자 소재; 유연성·단열성·내마모성이 우수;</t>
    <phoneticPr fontId="1" type="noConversion"/>
  </si>
  <si>
    <t>폴리올과 MDI/TDI 계열 이소시아네이트를 반응시켜 제조;  slabstock, molded foam, spray, elastomer 등 다양한 가공 공정이 사용;</t>
    <phoneticPr fontId="1" type="noConversion"/>
  </si>
  <si>
    <t>Balance</t>
    <phoneticPr fontId="1" type="noConversion"/>
  </si>
  <si>
    <t>LG화학(649)</t>
    <phoneticPr fontId="1" type="noConversion"/>
  </si>
  <si>
    <t>Acrylic Acid</t>
  </si>
  <si>
    <t>Acrylic Acid는 프로필렌 산화 기반으로 생산되는 핵심 아크릴계 모노머로, 아크릴레이트 에스터·SAP(고흡수성수지)·수처리용 폴리머 등의 원료로 사용된다.</t>
  </si>
  <si>
    <t>상업적으로는 프로필렌 산화(propylene oxidation) 공정이 지배적이며, 프로필렌을 acrolein으로 산화한 후 추가 산화하여 acrylic acid를 생산한다. 이후 esterification을 통해 butyl acrylate, 2-EHA 등 acrylate ester를 제조한다.</t>
  </si>
  <si>
    <t>Superabsorbent polymers (SAP), acrylate esters, coatings, adhesives, water treatment polymers</t>
  </si>
  <si>
    <t>Consumer &amp; Personal Care (diaper용 SAP), Construction &amp; Infrastructure (coatings, sealants), Water &amp; Environmental Solutions (water treatment polymer), Industrial Manufacturing (adhesive, coating resin), Automotive &amp; Future Mobility (automotive coating용 specialty acrylate)</t>
  </si>
  <si>
    <t>LG Chem</t>
  </si>
  <si>
    <t>Nippon Shokubai, BASF, Mitsubishi, BP (Sohio)</t>
  </si>
  <si>
    <t>S&amp;P Global CEH Acrylic Acid and Esters 2023</t>
  </si>
  <si>
    <t>Superabsorbent polymers (SAP) for diapers</t>
  </si>
  <si>
    <t>Acrylic acid는 중화·가교를 거쳐 SAP의 핵심 원료로 사용되며, 기저귀·성인용 위생재의 수분 흡수 및 retention 성능을 구현한다. 높은 흡수력과 gel 안정성이 중요하다.</t>
  </si>
  <si>
    <t>위생소재 구조적 성장</t>
  </si>
  <si>
    <t>Pressure-sensitive adhesives</t>
  </si>
  <si>
    <t>Acrylate ester 기반 PSA는 라벨·테이프·산업용 점착제에 사용되며, 점착력·내후성·유연성 조절이 가능하다. Acrylic acid는 접착 특성 조절용 공단량체 역할을 수행한다.</t>
  </si>
  <si>
    <t>고부가 접착소재</t>
  </si>
  <si>
    <t>Architectural &amp; industrial coatings</t>
  </si>
  <si>
    <t>Butyl acrylate 및 specialty acrylate 기반 아크릴 수지는 건축·산업용 도료에 사용되며, 내후성·UV 안정성·유연성이 중요하다.</t>
  </si>
  <si>
    <t>건축·인프라 안정 수요</t>
  </si>
  <si>
    <t>Automotive coatings</t>
  </si>
  <si>
    <t>Hydroxyethyl acrylate(HEA), hydroxypropyl acrylate(HPA) 등 specialty acrylate는 자동차용 acrylic enamel coating에 사용되며 내구성·광택·내화학성이 요구된다.</t>
  </si>
  <si>
    <t>OEM 승인 기반 시장</t>
  </si>
  <si>
    <t>Water treatment polymers</t>
  </si>
  <si>
    <t>Water &amp; Environmental Solutions</t>
  </si>
  <si>
    <t>Polyacrylic acid 기반 분산제·antiscalant는 산업용 수처리 및 보일러 시스템에 사용되며 scale 억제 및 분산 안정성이 핵심이다.</t>
  </si>
  <si>
    <t>환경규제 수혜</t>
  </si>
  <si>
    <t>Sealants &amp; construction adhesives</t>
  </si>
  <si>
    <t>Acrylic ester 기반 emulsion polymer는 건축용 sealant 및 접착제에 사용되며, 내수성·유연성·시공성이 중요하다.</t>
  </si>
  <si>
    <t>리모델링·건설 수요</t>
  </si>
  <si>
    <t>Textile binders &amp; coatings</t>
  </si>
  <si>
    <t>Acrylate polymer latex는 섬유 코팅·카펫 backing·industrial fabric 처리에 사용되며 유연성 및 내구성이 요구된다.</t>
  </si>
  <si>
    <t>산업소재 안정 수요</t>
  </si>
  <si>
    <t>Plastic modifiers &amp; copolymers</t>
  </si>
  <si>
    <t>Acrylic acid 및 acrylate ester는 EVA·PVC·ABS 등의 modifier 및 copolymer 원료로 사용되며 충격강도·유연성 개선에 기여한다.</t>
  </si>
  <si>
    <t>경량화 소재 연계</t>
  </si>
  <si>
    <t>Paper coating &amp; dispersants</t>
  </si>
  <si>
    <t>Polyacrylic acid 기반 dispersant는 종이 코팅 및 안료 분산용으로 사용되며 slurry 안정성과 코팅 품질 향상이 중요하다.</t>
  </si>
  <si>
    <t>공정효율 개선 수요</t>
  </si>
  <si>
    <t>Radiation-curable coatings &amp; inks</t>
  </si>
  <si>
    <t>Specialty acrylate는 UV/EB 경화형 코팅·잉크에 사용되며 빠른 경화속도와 고내구성이 요구된다.</t>
  </si>
  <si>
    <t>Hygiene absorbent products</t>
  </si>
  <si>
    <t>SAP는 의료용 흡수재 및 wound-care absorbent 소재에도 적용되며 체액 흡수 및 위생성이 중요하다.</t>
  </si>
  <si>
    <t>고부가 위생소재</t>
  </si>
  <si>
    <t>Flexible packaging adhesives</t>
  </si>
  <si>
    <t>Acrylate adhesive는 식품 포장 laminate용 접착제에 사용되며 저취·내구성·가공성이 중요하다.</t>
  </si>
  <si>
    <t>프로필렌 산화 기반으로 생산되는 핵심 아크릴계 모노머; 아크릴레이트 에스터·SAP(고흡수성수지)·수처리용 폴리머 등의 원료로 사용;</t>
    <phoneticPr fontId="1" type="noConversion"/>
  </si>
  <si>
    <t xml:space="preserve">SAP 및 acrylate ester 중심의 대형 downstream chain을 보유하나 중국 중심의 공격적 증설로 공급과잉 리스크가 존재
</t>
    <phoneticPr fontId="1" type="noConversion"/>
  </si>
  <si>
    <t>LG화학(200)</t>
    <phoneticPr fontId="1" type="noConversion"/>
  </si>
  <si>
    <t>Acrylate Ester</t>
    <phoneticPr fontId="1" type="noConversion"/>
  </si>
  <si>
    <t>프로필렌의 2단계 기상 산화 공정을 통해 상업 생산; 50%는 Acrylate Ester로 전환되며, 나머지는 98%+순도의 GAA(Glacical Acrylic Acid)로 정제;</t>
    <phoneticPr fontId="1" type="noConversion"/>
  </si>
  <si>
    <t>Acrylate Ester는 Acrylic Acid와 알코올의 esterification으로 생산되는 아크릴계 모노머군으로, 코팅·접착제·점착제·섬유·플라스틱 개질용 폴리머 원료로 사용된다.</t>
  </si>
  <si>
    <t>Acrylic Acid와 n-butanol, 2-EH, ethanol, methanol 등의 알코올을 esterification하여 생산한다. 상업적으로는 propylene oxidation 기반 acrylic acid와 통합 운영되는 경우가 많다.</t>
  </si>
  <si>
    <t>Coatings, adhesives, sealants, PSA, textile latex, plastic modifiers</t>
  </si>
  <si>
    <t>Construction &amp; Infrastructure (architectural coating, sealant), Industrial Manufacturing (adhesive, industrial coating), Automotive &amp; Future Mobility (automotive coating, PSA), Consumer &amp; Personal Care (hygiene adhesive), Food &amp; Nutrition (packaging adhesive)</t>
  </si>
  <si>
    <t>Coating·adhesive 중심의 대형 downstream platform이나 commodity ester 중심 공급과잉 및 중국 증설 리스크 존재</t>
  </si>
  <si>
    <t>Acrylic Acid와 알코올의 esterification으로 생산되는 아크릴계 모노머군; 코팅·접착제·점착제·섬유·플라스틱 개질용 폴리머 원료로 사용;</t>
    <phoneticPr fontId="1" type="noConversion"/>
  </si>
  <si>
    <t>Acrylic Acid와 n-butanol, 2-EH, ethanol, methanol 등의 알코올을 esterification하여 생산; Acrylic acid와 통합 운영되는 경우가 많음;</t>
    <phoneticPr fontId="1" type="noConversion"/>
  </si>
  <si>
    <t>Architectural coatings</t>
  </si>
  <si>
    <t>Butyl acrylate 기반 아크릴 에멀전은 건축용 수성도료에 사용되며 내후성·유연성·UV 안정성이 우수하다. 저 VOC 수성 코팅 전환에 적합하다.</t>
  </si>
  <si>
    <t>친환경 코팅 전환</t>
  </si>
  <si>
    <t>Industrial coatings</t>
  </si>
  <si>
    <t>Acrylate ester 기반 resin은 산업용 금속·플라스틱 코팅에 사용되며 내화학성·광택·내구성 확보가 중요하다. 다양한 monomer 조합으로 성능 tuning이 가능하다.</t>
  </si>
  <si>
    <t>고부가 formulation 시장</t>
  </si>
  <si>
    <t>Pressure-sensitive adhesives (PSA)</t>
  </si>
  <si>
    <t>2-EHA 및 BA 기반 acrylic PSA는 라벨·테이프·산업용 필름 접착에 사용되며 tackiness와 장기 접착 안정성이 중요하다.</t>
  </si>
  <si>
    <t>점착소재 성장</t>
  </si>
  <si>
    <t>HEA/HPA 등 specialty acrylate는 자동차용 acrylic enamel 및 clear coating에 사용되며 내스크래치성·광택 유지성이 요구된다.</t>
  </si>
  <si>
    <t>Hygiene adhesives</t>
  </si>
  <si>
    <t>Acrylate ester 기반 hot-melt 및 PSA는 기저귀·위생재 assembly용 접착제에 사용되며 저취·유연성·피부 안전성이 중요하다.</t>
  </si>
  <si>
    <t>위생소재 안정 성장</t>
  </si>
  <si>
    <t>Packaging adhesives</t>
  </si>
  <si>
    <t>Acrylic adhesive는 식품 포장 laminate 및 label adhesive에 사용되며 접착 안정성·가공성·저취 특성이 요구된다.</t>
  </si>
  <si>
    <t>Textile latex &amp; backing</t>
  </si>
  <si>
    <t>Ethyl acrylate 기반 latex는 카펫 backing·섬유 코팅·industrial fabric 처리에 사용되며 유연성과 내마모성이 중요하다.</t>
  </si>
  <si>
    <t>산업소재 수요 연계</t>
  </si>
  <si>
    <t>Sealants &amp; caulks</t>
  </si>
  <si>
    <t>Acrylate polymer는 건축용 sealant 및 caulking 소재에 사용되며 내수성·탄성·시공성이 중요하다.</t>
  </si>
  <si>
    <t>건설 리모델링 수요</t>
  </si>
  <si>
    <t>Plastic modifiers</t>
  </si>
  <si>
    <t>Acrylate copolymer는 PVC·ABS·엔지니어링 플라스틱 충격개질제로 사용되며 유연성 및 impact resistance 개선에 기여한다.</t>
  </si>
  <si>
    <t>경량화·내구성 수요</t>
  </si>
  <si>
    <t>Multifunctional acrylate는 UV/EB 경화형 코팅·잉크에 사용되며 빠른 curing 속도와 고내구성이 핵심이다.</t>
  </si>
  <si>
    <t>specialty 소재 확대</t>
  </si>
  <si>
    <t>Paper coating binders</t>
  </si>
  <si>
    <t>Acrylate latex는 종이 코팅 및 인쇄용 binder로 사용되며 안료 결합력과 표면 품질 향상에 기여한다.</t>
  </si>
  <si>
    <t>포장·인쇄 안정 수요</t>
  </si>
  <si>
    <t>Leather &amp; elastomer additives</t>
  </si>
  <si>
    <t>Specialty acrylate는 synthetic leather coating 및 elastomer additive에 사용되며 유연성·표면감·내구성이 중요하다.</t>
  </si>
  <si>
    <t>niche specialty 시장</t>
  </si>
  <si>
    <t>Superabsorbent Polymer (SAP)</t>
  </si>
  <si>
    <t>SAP는 acrylic acid 기반의 lightly cross-linked polyacrylic acid polymer로, 자기 무게의 수백 배에 달하는 액체를 흡수·보유할 수 있는 고흡수성 고분자이다. 주로 위생용품(기저귀·성인용 요실금·생리대)에 사용되며 일부 산업용 흡수·수분조절 소재로도 활용된다.</t>
  </si>
  <si>
    <t>Glacial Acrylic Acid(GAA)를 부분 중화 후 cross-linking 및 중합하여 제조한다. 대부분 sodium polyacrylate 기반이며 연속 polymerization 공정이 상업적 표준이다. Water solution process와 solvent suspension process가 사용되며, polymer gel → chopping → drying 공정을 거친다.</t>
  </si>
  <si>
    <t>Baby diapers, adult incontinence, feminine hygiene, agriculture water retention, industrial absorbents</t>
  </si>
  <si>
    <t>Consumer &amp; Personal Care (diapers, feminine care, adult incontinence), Agriculture &amp; Environmental (soil moisture control), Healthcare &amp; Medical (medical waste absorbent), Industrial Manufacturing (cable wrap, packaging, flood control)</t>
  </si>
  <si>
    <t>Mid–High</t>
  </si>
  <si>
    <t>Export-oriented / Balanced</t>
  </si>
  <si>
    <t>Nippon Shokubai, BASF, Evonik, Sumitomo Seika</t>
  </si>
  <si>
    <t>High (Propylene → Acrylic Acid → SAP)</t>
  </si>
  <si>
    <t>Acrylic acid downstream 고부가 소재이나 중국·한국 중심 증설로 공급경쟁이 심화되었으며 위생재 시장 성장과 고기능 SAP(ultrathin diaper, adult care) 중심 differentiation가 중요</t>
  </si>
  <si>
    <t>S&amp;P Global CEH Superabsorbent Polymers 2023</t>
  </si>
  <si>
    <t>Uploaded CEH Report</t>
  </si>
  <si>
    <t>LG화학(280)</t>
    <phoneticPr fontId="1" type="noConversion"/>
  </si>
  <si>
    <t>Lummus</t>
    <phoneticPr fontId="1" type="noConversion"/>
  </si>
  <si>
    <t>Acrylic acid 기반의 lightly cross-linked polyacrylic acid polymer로, 자기 무게의 수백 배에 달하는 액체를 흡수·보유할 수 있는 고흡수성 고분자;</t>
    <phoneticPr fontId="1" type="noConversion"/>
  </si>
  <si>
    <t>Glacial Acrylic Acid(GAA)를 부분 중화 후 cross-linking 및 중합; Sodium polyacrylate 기반 연속 polymerization 공정(메인);</t>
    <phoneticPr fontId="1" type="noConversion"/>
  </si>
  <si>
    <t>Dow / Johnson Matthey, BASF, OQ Chemicals, Eastman Chemical, Mitsubishi</t>
  </si>
  <si>
    <t>S&amp;P Global CEH Oxo Chemicals 2024</t>
  </si>
  <si>
    <t>n-Butyraldehyde</t>
  </si>
  <si>
    <t>n-Butyraldehyde는 propylene과 syngas의 oxo/hydroformylation으로 생산되는 C4 aldehyde로, 대부분 2-ethylhexanol과 n-butanol로 전환되는 propylene downstream 핵심 중간체이다.</t>
  </si>
  <si>
    <t>Propylene과 syngas를 hydroformylation하여 n-butyraldehyde와 isobutyraldehyde를 생산한다. 상업 공정은 rhodium 또는 cobalt catalyst 기반이며, rhodium catalyst는 높은 n/iso 비율을 구현한다.</t>
  </si>
  <si>
    <t>2-Ethylhexanol, n-butanol, butyl acrylate, 2-ethylhexyl acrylate, plasticizers, PVB, TMP</t>
  </si>
  <si>
    <t>Construction &amp; Infrastructure (PVC plasticizer, coatings), Automotive &amp; Future Mobility (PVB laminated safety glass), Industrial Manufacturing (solvents, acrylates, additives), Power &amp; Electrical Infrastructure (flexible PVC cable compound)</t>
  </si>
  <si>
    <t>단독 판매보다는 대부분 captive 전환되는 oxo intermediate로, 투자 매력은 2-EH·n-butanol·acrylate·plasticizer downstream 통합 여부에 좌우됨</t>
  </si>
  <si>
    <t>프로필렌과 syngas의 oxo/hydroformylation으로 생산되는 C4 aldehyde; 대부분 2-ethylhexanol과 n-butanol로 전환되는 propylene downstream 핵심 중간체;</t>
    <phoneticPr fontId="1" type="noConversion"/>
  </si>
  <si>
    <t>프로필렌과 syngas를 hydroformylation하여 n-butyraldehyde와 isobutyraldehyde를 생산; 상업 공정은 rhodium 또는 cobalt catalyst 기반이며, rhodium catalyst는 높은 n/iso 비율을 구현;</t>
    <phoneticPr fontId="1" type="noConversion"/>
  </si>
  <si>
    <t>LG화학(350), 한화솔루션(210)</t>
    <phoneticPr fontId="1" type="noConversion"/>
  </si>
  <si>
    <t>Dow/DPT, BASF, OQ Chemicals, Eastman Chemical, Mitsubishi</t>
    <phoneticPr fontId="1" type="noConversion"/>
  </si>
  <si>
    <t>2-Ethylhexanol (2-EH)</t>
  </si>
  <si>
    <t>n-Butyraldehyde는 aldol condensation 및 hydrogenation을 거쳐 2-EH로 전환되며, 2-EH는 PVC plasticizer와 2-EHA의 핵심 원료이다.</t>
  </si>
  <si>
    <t>PVC·건설 경기 연동</t>
  </si>
  <si>
    <t>n-Butanol</t>
  </si>
  <si>
    <t>n-Butyraldehyde hydrogenation으로 생산되는 n-butanol은 solvent, n-butyl acetate, glycol ether, butyl acrylate 원료로 사용된다.</t>
  </si>
  <si>
    <t>용제·코팅 안정 수요</t>
  </si>
  <si>
    <t>Butyl acrylate</t>
  </si>
  <si>
    <t>n-Butanol은 acrylic acid와 esterification되어 butyl acrylate로 전환되며, 수성 도료·sealant·접착제의 soft monomer로 사용된다.</t>
  </si>
  <si>
    <t>수성코팅 전환</t>
  </si>
  <si>
    <t>2-Ethylhexyl acrylate</t>
  </si>
  <si>
    <t>2-EH 유도체인 2-EHA는 PSA와 고성능 접착제용 soft acrylate monomer로 사용되며 tack과 저온 유연성이 중요하다.</t>
  </si>
  <si>
    <t>고부가 점착소재</t>
  </si>
  <si>
    <t>Flexible PVC plasticizers</t>
  </si>
  <si>
    <t>2-EH 기반 DOTP·DEHP 등 plasticizer는 flooring, wallcovering, hose, cable compound 등 flexible PVC에 유연성을 부여한다.</t>
  </si>
  <si>
    <t>인프라·리모델링 수요</t>
  </si>
  <si>
    <t>Automotive PVB interlayer</t>
  </si>
  <si>
    <t>n-Butyraldehyde는 PVB 제조에 사용되며, PVB는 자동차 laminated safety glass interlayer로 적용되어 접착성·투명성·충격흡수가 중요하다.</t>
  </si>
  <si>
    <t>자동차 안전소재</t>
  </si>
  <si>
    <t>Trimethylolpropane (TMP)</t>
  </si>
  <si>
    <t>n-Butyraldehyde 유도체 TMP는 alkyd resin, polyurethane, UV-curable resin, lubricant ester 원료로 사용된다.</t>
  </si>
  <si>
    <t>specialty resin 원료</t>
  </si>
  <si>
    <t>2-Ethylhexanoic acid</t>
  </si>
  <si>
    <t>n-Butyraldehyde chain에서 생산되는 2-ethylhexanoic acid는 금속염 dryer, lubricant additive, PVC stabilizer 중간체로 활용된다.</t>
  </si>
  <si>
    <t>additive chain 확장</t>
  </si>
  <si>
    <t>n-Butanol 유도체인 n-butyl acetate는 도료·잉크·접착제용 solvent로 사용되며 용해력과 도막 형성성이 중요하다.</t>
  </si>
  <si>
    <t>코팅용제 안정 수요</t>
  </si>
  <si>
    <t>Power cable PVC compound</t>
  </si>
  <si>
    <t>2-EH 기반 plasticizer는 전선·케이블용 flexible PVC compound에 사용되어 유연성·가공성·절연재 내구성을 개선한다.</t>
  </si>
  <si>
    <t>2-Ethylhexanol</t>
  </si>
  <si>
    <t>2-Ethylhexanol(2-EH)은 n-butyraldehyde를 거쳐 생산되는 C8 oxo alcohol로, plasticizer, 2-ethylhexyl acrylate, solvent/additive 원료로 사용되는 대형 propylene downstream 제품이다.</t>
  </si>
  <si>
    <t>Propylene hydroformylation으로 n-butyraldehyde를 생산한 후 aldol condensation 및 hydrogenation을 통해 2-EH를 제조한다. Oxo unit과 butyraldehyde downstream이 통합 운영되는 경우가 많다.</t>
  </si>
  <si>
    <t>Plasticizers, 2-ethylhexyl acrylate, 2-ethylhexanoic acid, solvents, lube oil additives, surfactants</t>
  </si>
  <si>
    <t>Construction &amp; Infrastructure (flexible PVC plasticizer), Industrial Manufacturing (acrylates, coatings, additives), Automotive &amp; Future Mobility (coatings, plasticized PVC parts), Power &amp; Electrical Infrastructure (PVC cable compound), Consumer &amp; Personal Care (surfactant intermediates)</t>
  </si>
  <si>
    <t>2-EH는 oxo chain의 핵심 대형 derivative로 plasticizer와 2-EHA 수요에 크게 연동되며, 중국 증설 및 PVC 경기 민감도가 주요 리스크</t>
  </si>
  <si>
    <t xml:space="preserve">n-butyraldehyde를 거쳐 생산되는 C8 oxo alcohol; Plasticizer, 2-Ethylhexyl acrylate, Solvent/Additive 원료로 사용되는 대형 프로필렌 downstream 제품; </t>
    <phoneticPr fontId="1" type="noConversion"/>
  </si>
  <si>
    <t>Aldol condensation 및 hydrogenation을 통해 2-EH를 제조; Oxo unit과 butyraldehyde downstream이 통합 운영되는 경우가 많음;</t>
    <phoneticPr fontId="1" type="noConversion"/>
  </si>
  <si>
    <t>LG화학(125), 한화솔루션(152)</t>
    <phoneticPr fontId="1" type="noConversion"/>
  </si>
  <si>
    <t>2-EH는 terephthalic acid와 esterification되어 DOTP plasticizer로 사용되며, flooring, wallcovering, hose 등 flexible PVC에 유연성·내구성을 부여한다.</t>
  </si>
  <si>
    <t>비프탈레이트 전환</t>
  </si>
  <si>
    <t>DEHP/DOP plasticizer</t>
  </si>
  <si>
    <t>2-EH는 phthalic anhydride와 반응해 DEHP/DOP를 생산하며, 전통적으로 flexible PVC의 핵심 plasticizer로 사용된다. 규제 영향은 있으나 대형 수요 기반을 보유한다.</t>
  </si>
  <si>
    <t>PVC 경기 연동</t>
  </si>
  <si>
    <t>2-EH는 acrylic acid와 esterification되어 2-EHA로 전환되며, PSA·label·tape·film adhesive용 soft monomer로 사용된다. 낮은 Tg와 우수한 tack 특성이 핵심이다.</t>
  </si>
  <si>
    <t>PVC cable compound plasticizer</t>
  </si>
  <si>
    <t>2-EH 기반 plasticizer는 전선·케이블용 flexible PVC compound에 사용되어 유연성, 가공성, 장기 내구성을 개선한다.</t>
  </si>
  <si>
    <t>Automotive PVC interior parts</t>
  </si>
  <si>
    <t>2-EH 기반 plasticizer는 자동차 interior trim, coated fabric, sealant용 PVC compound에 사용되며 유연성·내구성·가공 안정성이 중요하다.</t>
  </si>
  <si>
    <t>자동차 소재 수요</t>
  </si>
  <si>
    <t>2-EH 산화 유도체인 2-ethylhexanoic acid는 metal drier, lubricant additive, stabilizer 중간체로 사용되며 금속염 형성성과 산화 안정성이 중요하다.</t>
  </si>
  <si>
    <t>Lubricant ester additives</t>
  </si>
  <si>
    <t>2-EH는 ester lubricant 및 additive 원료로 사용되며 저온 유동성, 산화 안정성, 윤활 성능 개선에 기여한다.</t>
  </si>
  <si>
    <t>산업 윤활소재</t>
  </si>
  <si>
    <t>Coatings and adhesive intermediates</t>
  </si>
  <si>
    <t>2-EH 유도체는 코팅·접착제 formulation의 acrylate, solvent, additive 원료로 활용되며 유연성·접착력·내후성 조절에 기여한다.</t>
  </si>
  <si>
    <t>코팅소재 안정 수요</t>
  </si>
  <si>
    <t>Surfactant intermediates</t>
  </si>
  <si>
    <t>2-EH 계열 hydrophobic alcohol 구조는 일부 계면활성제 및 세정제 중간체로 활용되며 세정·분산 성능에 기여한다.</t>
  </si>
  <si>
    <t>생활소비재 연계</t>
  </si>
  <si>
    <t>Plasticizer for industrial films/sheets</t>
  </si>
  <si>
    <t>2-EH 기반 plasticizer는 flexible PVC film, sheet, coated fabric에 사용되어 연신성·유연성·가공성을 확보한다.</t>
  </si>
  <si>
    <t>범용 소재 대형수요</t>
  </si>
  <si>
    <t>n-Butanol은 n-butyraldehyde를 hydrogenation하여 생산되는 C4 oxo alcohol로, butyl acrylate, acetate solvent, glycol ether, plasticizer 등의 원료로 사용된다.</t>
  </si>
  <si>
    <t>Propylene과 syngas의 hydroformylation으로 n-butyraldehyde를 만든 뒤 hydrogenation하여 n-butanol을 생산한다. Oxo process 기반이며 2-EH와 함께 n-butyraldehyde의 핵심 downstream이다.</t>
  </si>
  <si>
    <t>Butyl acrylate, n-butyl acetate, glycol ethers, direct solvents, plasticizers, amino resins</t>
  </si>
  <si>
    <t>Construction &amp; Infrastructure (coatings, sealants), Industrial Manufacturing (solvents, acrylates, glycol ethers), Automotive &amp; Future Mobility (coatings, adhesives), Consumer &amp; Personal Care (specialty solvents), Food &amp; Nutrition (packaging adhesive)</t>
  </si>
  <si>
    <t>Propylene oxo chain의 대형 solvent/acrylate intermediate로, butyl acrylate·coating solvent 수요와 연동되며 중국 oxo 증설 리스크가 존재</t>
  </si>
  <si>
    <t xml:space="preserve">n-butyraldehyde를 hydrogenation하여 생산; </t>
    <phoneticPr fontId="1" type="noConversion"/>
  </si>
  <si>
    <t>n-butyraldehyde를 hydrogenation하여 생산되는 C4 oxo alcohol; Oxo process 기반이며 2-EH와 함께 n-butyraldehyde의 핵심 downstream; butyl acrylate, acetate solvent, glycol ether, plasticizer 등의 원료로 사용;</t>
    <phoneticPr fontId="1" type="noConversion"/>
  </si>
  <si>
    <t>한화솔루션(12)</t>
    <phoneticPr fontId="1" type="noConversion"/>
  </si>
  <si>
    <t>n-Butanol은 acrylic acid와 esterification되어 butyl acrylate로 전환되며, 수성 아크릴 도료·sealant·접착제의 soft monomer로 사용된다. 유연성·접착성·내후성 조절이 핵심이다.</t>
  </si>
  <si>
    <t>n-Butanol 유도체인 n-butyl acetate는 도료·잉크·접착제용 solvent로 사용되며, 적절한 휘발성·용해력·도막 형성성이 중요하다.</t>
  </si>
  <si>
    <t>Glycol ethers</t>
  </si>
  <si>
    <t>n-Butanol은 butyl glycol ether 계열 용제 원료로 사용되며, 코팅·세정·잉크 formulation에서 용해력과 증발속도 조절 기능을 제공한다.</t>
  </si>
  <si>
    <t>formulation 소재</t>
  </si>
  <si>
    <t>Direct solvent use</t>
  </si>
  <si>
    <t>n-Butanol은 페인트, 코팅, 잉크, 접착제에서 직접 solvent로 사용되며 resin 용해성 및 작업성을 개선한다.</t>
  </si>
  <si>
    <t>범용 산업용제</t>
  </si>
  <si>
    <t>Coatings additives</t>
  </si>
  <si>
    <t>n-Butanol 및 유도체는 건축·산업용 코팅에서 co-solvent 또는 resin intermediate로 활용되며 film formation과 도막 품질 개선에 기여한다.</t>
  </si>
  <si>
    <t>건축 경기 연동</t>
  </si>
  <si>
    <t>n-Butanol 기반 solvent 및 acrylate derivatives는 자동차 도료·보수용 coating formulation에 사용되며 광택·도막 균일성·작업성이 중요하다.</t>
  </si>
  <si>
    <t>자동차 coating 수요</t>
  </si>
  <si>
    <t>n-Butanol 유도체는 포장용 접착제 및 ink solvent chain에 연결되며, 접착 안정성·건조성·가공성이 중요하다.</t>
  </si>
  <si>
    <t>Amino resin intermediates</t>
  </si>
  <si>
    <t>n-Butanol은 butylated amino resin 제조에 사용되며, 코팅 수지의 경화성·내화학성·내구성 개선에 기여한다.</t>
  </si>
  <si>
    <t>고기능 coating resin</t>
  </si>
  <si>
    <t>Plasticizer intermediates</t>
  </si>
  <si>
    <t>n-Butanol은 일부 butyl plasticizer 생산에 사용되며 PVC 및 resin formulation의 유연성 조절에 기여한다.</t>
  </si>
  <si>
    <t>PVC chain 연계</t>
  </si>
  <si>
    <t>Specialty solvent blends</t>
  </si>
  <si>
    <t>n-Butanol은 일부 세정제·향료·생활화학 formulation에서 solvent blend 성분으로 사용될 수 있으며, 용해력과 휘발성 조절이 중요하다.</t>
  </si>
  <si>
    <t>n-Butyl Acetate는 n-butanol과 acetic acid로 생산되는 acetate ester 용제로, 도료·잉크·접착제에서 용해력과 증발속도 조절 기능을 제공하는 대표 coating solvent이다.</t>
  </si>
  <si>
    <t>n-Butyraldehyde를 hydrogenation하여 n-butanol을 생산한 뒤, acetic acid와 esterification하여 n-butyl acetate를 제조한다. n-Butanol은 propylene oxo chain의 주요 downstream이며, oxo producer가 acetate·solvent chain까지 통합하는 경우가 있다.</t>
  </si>
  <si>
    <t>Coating solvent, ink solvent, adhesive solvent, process solvent, resin solvent</t>
  </si>
  <si>
    <t>Construction &amp; Infrastructure (architectural coatings), Industrial Manufacturing (industrial coatings, inks, adhesives), Automotive &amp; Future Mobility (automotive coatings), Food &amp; Nutrition (packaging inks and adhesives), Consumer &amp; Personal Care (specialty solvent blends)</t>
  </si>
  <si>
    <t>범용 acetate solvent로 단독 차별화는 제한적이나, n-butanol·acetic acid integration 및 coating solvent portfolio와의 연계성이 중요</t>
  </si>
  <si>
    <t>n-butanol과 acetic acid로 생산되는 acetate ester 용제; 도료·잉크·접착제에서 용해력과 증발속도 조절 기능을 제공하는 대표 coating solvent;</t>
    <phoneticPr fontId="1" type="noConversion"/>
  </si>
  <si>
    <t>n-butanol을 acetic acid와 esterification하여 n-butyl acetate를 제조;.</t>
    <phoneticPr fontId="1" type="noConversion"/>
  </si>
  <si>
    <t>Isobutanol은 propylene oxo 공정에서 생성되는 isobutyraldehyde를 hydrogenation하여 생산되는 C4 alcohol로, solvent 및 acetate·acrylate·chemical intermediate 용도로 사용된다.</t>
  </si>
  <si>
    <t>Propylene과 syngas의 hydroformylation으로 n-/iso-butyraldehyde를 생산한 뒤, isobutyraldehyde를 hydrogenation하여 isobutanol을 제조한다. 상업 공정은 rhodium 또는 cobalt catalyst 기반 oxo process가 중심이다.</t>
  </si>
  <si>
    <t>Solvents, isobutyl acetate, isobutyl acrylate, coatings, cleaners, chemical intermediates</t>
  </si>
  <si>
    <t>Industrial Manufacturing (solvents, coatings, intermediates), Construction &amp; Infrastructure (coatings), Automotive &amp; Future Mobility (coating solvent), Consumer &amp; Personal Care (cleaner solvent), Agriculture &amp; Resource (chemical intermediates)</t>
  </si>
  <si>
    <t>Isobutyraldehyde derivative 중 범용 solvent/intermediate 성격이 강하며, 단독 매력보다는 oxo alcohol·acetate·coating solvent portfolio 연계성이 중요</t>
  </si>
  <si>
    <t>n-Butyl acetate는 건축용 도료에서 resin 용해 및 도막 형성 보조 solvent로 사용되며, 적절한 증발속도와 용해력이 작업성과 표면 품질을 개선한다.</t>
  </si>
  <si>
    <t>금속·플라스틱용 산업 코팅에서 solvent로 사용되며, resin compatibility와 drying profile 조절이 중요하다.</t>
  </si>
  <si>
    <t>산업용 코팅 수요</t>
  </si>
  <si>
    <t>Automotive refinish coatings</t>
  </si>
  <si>
    <t>자동차 보수용 도료 및 clear coat formulation에서 용제 성분으로 사용되며, 균일한 도막 형성과 광택 유지가 중요하다.</t>
  </si>
  <si>
    <t>자동차 aftermarket</t>
  </si>
  <si>
    <t>Printing inks</t>
  </si>
  <si>
    <t>포장용 gravure/flexo ink에서 용제로 사용되며, 빠른 건조성·안료 분산성·인쇄 작업성이 요구된다.</t>
  </si>
  <si>
    <t>Adhesive solvent</t>
  </si>
  <si>
    <t>접착제 formulation에서 polymer resin을 용해하고 coating 작업성을 조절하는 solvent로 사용된다. 접착층 균일성과 건조 속도 관리가 중요하다.</t>
  </si>
  <si>
    <t>접착소재 연계</t>
  </si>
  <si>
    <t>식품·소비재 포장용 접착제에서 solvent carrier로 사용되며, laminate 공정의 도포성·건조성·잔류용제 관리가 중요하다.</t>
  </si>
  <si>
    <t>Wood coatings</t>
  </si>
  <si>
    <t>목재용 lacquer 및 varnish formulation에서 사용되며, 도막 평활성·광택·건조속도 조절에 기여한다.</t>
  </si>
  <si>
    <t>Process solvent</t>
  </si>
  <si>
    <t>화학 공정 및 specialty formulation에서 extraction·cleaning·reaction solvent로 사용되며, 중간 수준의 휘발성과 용해력이 장점이다.</t>
  </si>
  <si>
    <t>Resin solvent</t>
  </si>
  <si>
    <t>cellulose nitrate, acrylic resin, polyurethane resin 등 다양한 coating resin 용해에 활용되며 formulation flexibility를 제공한다.</t>
  </si>
  <si>
    <t>formulation 기반 수요</t>
  </si>
  <si>
    <t>일부 생활화학·세정 formulation에서 solvent blend 성분으로 사용되며, 향·세정 성분의 용해성과 휘발성 조절에 기여한다.</t>
  </si>
  <si>
    <t>Coating solvent</t>
  </si>
  <si>
    <t>Isobutanol은 산업용 코팅 formulation에서 solvent로 사용되며 resin 용해성, 건조속도, 도막 평활성 조절에 기여한다.</t>
  </si>
  <si>
    <t>건축용 도료에서 co-solvent 또는 intermediate로 활용되며, 도막 형성과 작업성 개선에 사용된다.</t>
  </si>
  <si>
    <t>자동차용 coating 및 refinish formulation에서 solvent blend 성분으로 사용되며, 균일한 도막과 광택 유지가 중요하다.</t>
  </si>
  <si>
    <t>Industrial cleaners</t>
  </si>
  <si>
    <t>Isobutanol은 세정제 및 cleaning formulation에서 용해력과 휘발성 조절용 solvent로 활용된다.</t>
  </si>
  <si>
    <t>생활화학 연계</t>
  </si>
  <si>
    <t>Isobutanol은 acetic acid와 esterification되어 isobutyl acetate로 전환되며, 도료·잉크·접착제용 solvent로 사용된다.</t>
  </si>
  <si>
    <t>acetate solvent chain</t>
  </si>
  <si>
    <t>Isobutyl acrylate</t>
  </si>
  <si>
    <t>Isobutanol은 acrylic acid와 esterification되어 isobutyl acrylate로 전환될 수 있으며, specialty acrylic polymer의 유연성·접착성 조절에 사용된다.</t>
  </si>
  <si>
    <t>specialty acrylate 연계</t>
  </si>
  <si>
    <t>Chemical intermediates</t>
  </si>
  <si>
    <t>Isobutanol은 ester, ether, plasticizer 및 기타 fine chemical 중간체로 사용되며, C4 branched alcohol 구조가 formulation 특성 조절에 활용된다.</t>
  </si>
  <si>
    <t>oxo derivative 확장</t>
  </si>
  <si>
    <t>Textile applications</t>
  </si>
  <si>
    <t>CEH는 isobutanol이 textile application에도 활용된다고 설명하며, 용제·중간체 특성을 통해 섬유 처리 formulation에 연결된다.</t>
  </si>
  <si>
    <t>산업소재 niche</t>
  </si>
  <si>
    <t>Anticorrosion intermediates</t>
  </si>
  <si>
    <t>Isobutanol 및 유도체는 anticorrosion additive chain에 사용될 수 있으며, 금속 표면 보호용 formulation에서 용해성·상용성이 중요하다.</t>
  </si>
  <si>
    <t>유지보수 소재</t>
  </si>
  <si>
    <t>Agricultural chemical intermediates</t>
  </si>
  <si>
    <t>Isobutanol은 일부 농화학·중간체 합성에서 solvent 또는 ester intermediate로 활용될 수 있으며, formulation 안정성과 용해성이 중요하다.</t>
  </si>
  <si>
    <t>농화학 연계</t>
  </si>
  <si>
    <t>isobutyraldehyde를 Hydrogenation하여 생산되는 C4 Alcohol; Solvent 및 Acetate·Acrylate·Chemical Intermediate 용도로 사용;</t>
    <phoneticPr fontId="1" type="noConversion"/>
  </si>
  <si>
    <t>isobutyraldehyde를 Hydrogenation하여 isobutanol을 제조;  상업 공정은 rhodium 또는 cobalt catalyst 기반 oxo process 중심;</t>
    <phoneticPr fontId="1" type="noConversion"/>
  </si>
  <si>
    <t>Isobutyl Acetate</t>
  </si>
  <si>
    <t>Isobutyl Acetate는 isobutanol 또는 isobutyraldehyde 유래 acetate ester 용제로, 도료·잉크·접착제에서 빠른 건조성과 용해력을 제공하는 C4 acetate solvent이다.</t>
  </si>
  <si>
    <t>Propylene oxo 공정으로 isobutyraldehyde를 생산한 뒤 hydrogenation을 통해 isobutanol을 만들고, 이를 acetic acid와 esterification하여 isobutyl acetate를 제조한다. 일부 producer는 isobutyraldehyde에서 직접 isobutyl acetate를 생산할 수 있다.</t>
  </si>
  <si>
    <t>Industrial Manufacturing (coatings, inks, adhesives), Construction &amp; Infrastructure (architectural coatings), Automotive &amp; Future Mobility (automotive coatings), Food &amp; Nutrition (packaging inks), Consumer &amp; Personal Care (specialty solvent blends)</t>
  </si>
  <si>
    <t>범용 acetate solvent로 단독 진입장벽은 낮으나, isobutanol·acetic acid integration 및 coating solvent portfolio 내 보완재로 의미</t>
  </si>
  <si>
    <t>isobutanol 또는 isobutyraldehyde 유래 acetate ester 용제; 도료·잉크·접착제에서 빠른 건조성과 용해력을 제공하는 C4 acetate solvent;</t>
    <phoneticPr fontId="1" type="noConversion"/>
  </si>
  <si>
    <t>isobutanol을 acetic acid와 esterification하여 isobutyl acetate를 제조;</t>
    <phoneticPr fontId="1" type="noConversion"/>
  </si>
  <si>
    <t>M107</t>
  </si>
  <si>
    <t>Isobutyraldehyde</t>
  </si>
  <si>
    <t>Isobutyraldehyde는 propylene oxo 공정에서 n-butyraldehyde와 함께 생산되는 branched C4 aldehyde로, isobutanol, neopentyl glycol, isobutyric acid 등 specialty derivative의 원료로 사용된다.</t>
  </si>
  <si>
    <t>Propylene과 syngas를 hydroformylation하여 n-butyraldehyde와 isobutyraldehyde를 생산한다. Rhodium catalyst 공정은 높은 n/iso 비율을 구현하며, isobutyraldehyde는 분리 후 hydrogenation·oxidation·condensation 등으로 유도체화된다.</t>
  </si>
  <si>
    <t>Isobutanol, neopentyl glycol, isobutyric acid, isobutyl acetate, MIAK, plasticizers, coating intermediates</t>
  </si>
  <si>
    <t>Industrial Manufacturing (solvents, NPG, coating resin intermediates), Construction &amp; Infrastructure (coatings, sealants), Automotive &amp; Future Mobility (coatings, resins), Agriculture &amp; Resource (IBDU fertilizer intermediate), Consumer &amp; Personal Care (flavor/fragrance intermediates)</t>
  </si>
  <si>
    <t>n-butyraldehyde 대비 규모는 작지만 NPG·isobutanol·isobutyl acetate 등 specialty derivative로 연결되는 branched oxo intermediate</t>
  </si>
  <si>
    <t>프로필렌과 syngas의 oxo/hydroformylation으로 생산되는 C4 aldehyde; isobutanol, neopentyl glycol, isobutyric acid 등 specialty derivative의 원료로 사용;</t>
    <phoneticPr fontId="1" type="noConversion"/>
  </si>
  <si>
    <t>LG화학(125), 한화솔루션(10)</t>
    <phoneticPr fontId="1" type="noConversion"/>
  </si>
  <si>
    <t>LG화학(205), 이수화학(60)</t>
    <phoneticPr fontId="1" type="noConversion"/>
  </si>
  <si>
    <t>주요 공정은 propylene direct/indirect hydration과 acetone hydrogenation이다. 2023년 기준 글로벌 IPA capacity의 약 60%는 propylene hydration, 약 40%는 acetone hydrogenation 기반이다.</t>
  </si>
  <si>
    <t>범용 solvent 성격이 강하나 electronic grade·pharma grade는 고순도화와 품질 관리가 중요하며, 중국 acetone hydrogenation 증설로 공급과잉 리스크 존재</t>
  </si>
  <si>
    <t>Propylene direct/indirect hydration(메인, 60%); Acetone Hydrogenation(보조, 40%)</t>
    <phoneticPr fontId="1" type="noConversion"/>
  </si>
  <si>
    <t>Electronic cleaning solvent</t>
  </si>
  <si>
    <t>Electronic-grade IPA는 PCB, FPD 및 전자부품 세정에 사용되며, ppm 수준 불순물 관리와 submicron filtration이 중요하다. 고순도 세정성이 핵심이다.</t>
  </si>
  <si>
    <t>반도체 고순도 소재</t>
  </si>
  <si>
    <t>Medical wipes &amp; swabs</t>
  </si>
  <si>
    <t>Pharmaceutical-grade IPA는 의료용 wipes, pads, swabs 및 소형 의료기기 표면 소독에 사용된다. 빠른 휘발성과 살균·소독 성능이 중요하다.</t>
  </si>
  <si>
    <t>의료 위생 안정 수요</t>
  </si>
  <si>
    <t>Hand sanitizer / rubbing alcohol</t>
  </si>
  <si>
    <t>Cosmetic/pharma grade IPA는 손소독제와 rubbing alcohol에 사용되며, 충분한 alcohol 농도에서 효과적인 disinfectant 기능을 제공한다.</t>
  </si>
  <si>
    <t>위생소비재 수요</t>
  </si>
  <si>
    <t>Surface coatings solvent</t>
  </si>
  <si>
    <t>IPA는 도료 formulation에서 resin 용해 및 drying profile 조절용 solvent로 사용되며, 수성 coating의 co-solvent로도 활용된다.</t>
  </si>
  <si>
    <t>IPA는 인쇄잉크에서 co-solvent로 사용되며 안료 분산성, 건조속도, 인쇄 작업성 조절에 기여한다.</t>
  </si>
  <si>
    <t>포장·인쇄 연계</t>
  </si>
  <si>
    <t>Household &amp; industrial cleaners</t>
  </si>
  <si>
    <t>IPA는 유리세정제, 표면세정제, 산업용 degreasing formulation에 사용되며 빠른 건조성과 우수한 세정성이 장점이다.</t>
  </si>
  <si>
    <t>생활화학 안정 수요</t>
  </si>
  <si>
    <t>Resin processing solvent</t>
  </si>
  <si>
    <t>IPA는 resin 생산 공정에서 processing solvent로 사용되며, 반응·세정·희석 단계의 용해성과 휘발성 균형이 중요하다.</t>
  </si>
  <si>
    <t>범용 공정용제</t>
  </si>
  <si>
    <t>Pesticide formulation solvent</t>
  </si>
  <si>
    <t>IPA는 pesticide formulation에서 active ingredient 용해 및 분산 안정성을 확보하는 solvent로 사용된다.</t>
  </si>
  <si>
    <t>농화학 formulation</t>
  </si>
  <si>
    <t>IPA는 acetic acid와 esterification되어 isopropyl acetate로 전환되며, coating·ink·adhesive용 빠른 건조 solvent로 사용된다.</t>
  </si>
  <si>
    <t>Pharmaceutical processing solvent</t>
  </si>
  <si>
    <t>IPA는 의약품 제조 공정의 processing solvent로 사용되며, USP grade 품질과 잔류용제 관리가 중요하다.</t>
  </si>
  <si>
    <t>제약 품질장벽</t>
  </si>
  <si>
    <t>Isopropyl Acetate</t>
  </si>
  <si>
    <t>Isopropyl Acetate는 IPA와 acetic acid의 esterification으로 생산되는 acetate ester 용제로, 도료·잉크·접착제에서 빠른 건조성과 용해력을 제공한다.</t>
  </si>
  <si>
    <t>Propylene hydration 또는 acetone hydrogenation으로 IPA를 생산한 뒤, acetic acid와 esterification하여 isopropyl acetate를 제조한다.</t>
  </si>
  <si>
    <t>Coating solvent, printing ink solvent, adhesive solvent, cleaning solvent, process solvent</t>
  </si>
  <si>
    <t>Industrial Manufacturing (coatings, inks, adhesives), Construction &amp; Infrastructure (architectural coatings), Automotive &amp; Future Mobility (refinish coatings), Food &amp; Nutrition (packaging inks), Consumer &amp; Personal Care (cleaning solvent blends)</t>
  </si>
  <si>
    <t>IPA derivative 중 대표 acetate solvent로, 단독 차별화는 제한적이나 coating·ink solvent portfolio 보완재로 의미</t>
  </si>
  <si>
    <t>IPA와 acetic acid의 esterification으로 생산되는 acetate ester 용제; 도료·잉크·접착제에서 빠른 건조성과 용해력을 제공;</t>
    <phoneticPr fontId="1" type="noConversion"/>
  </si>
  <si>
    <t>IPA를 acetic acid와 esterification;</t>
    <phoneticPr fontId="1" type="noConversion"/>
  </si>
  <si>
    <t>Semiconductor &amp; Advanced Electronics (PCB/FPD/device cleaning), Healthcare &amp; Medical (medical wipes, disinfecting pads), Consumer &amp; Personal Care (hand sanitizer, rubbing alcohol), Industrial Manufacturing (coatings, inks, resin solvent), Agriculture &amp; Resource (pesticide formulation solvent)</t>
    <phoneticPr fontId="1" type="noConversion"/>
  </si>
  <si>
    <t>Isopropyl acetate는 산업용 coating formulation에서 resin 용해 및 건조속도 조절용 solvent로 사용된다. 빠른 휘발성과 ester계 용해력이 도막 형성에 기여한다.</t>
  </si>
  <si>
    <t>건축용 도료 및 보수용 coating에서 co-solvent로 사용되며, 작업성·도막 평활성·건조 profile 조절에 활용된다.</t>
  </si>
  <si>
    <t>자동차 보수용 도료에서 solvent blend 성분으로 사용되며, 균일한 도막 형성과 빠른 건조성이 중요하다.</t>
  </si>
  <si>
    <t>포장용 잉크에서 solvent로 사용되며, 안료 분산성·건조속도·인쇄 작업성 확보에 기여한다.</t>
  </si>
  <si>
    <t>접착제 formulation에서 polymer resin 용해 및 도포성 조절용 solvent로 활용된다. 접착층 균일성과 잔류용제 관리가 중요하다.</t>
  </si>
  <si>
    <t>Cleaning solvent blends</t>
  </si>
  <si>
    <t>일부 세정제 및 specialty solvent blend에서 빠른 건조성과 오염물 용해성을 제공한다. 표면 세정 후 잔류물이 적은 특성이 장점이다.</t>
  </si>
  <si>
    <t>화학공정 및 specialty formulation에서 추출·세정·희석 solvent로 사용되며, 중간 휘발성과 용해력 균형이 중요하다.</t>
  </si>
  <si>
    <t>Acrylic, nitrocellulose, polyurethane 등 coating resin 용해에 활용되며 formulation flexibility를 제공한다.</t>
  </si>
  <si>
    <t>벤젠 유래 방향족 화합물; BPA·페놀수지·카프로락탐 등 다양한 화학제품 중간체;</t>
    <phoneticPr fontId="1" type="noConversion"/>
  </si>
  <si>
    <t>상업 생산은 대부분 큐멘 공정 기반이며, 벤젠과 프로필렌으로 큐멘을 만든 뒤 산화·분해하여 페놀과 아세톤을 병산;</t>
    <phoneticPr fontId="1" type="noConversion"/>
  </si>
  <si>
    <t>무색·휘발성 케톤계 용제; 페놀 생산 시 병산되며 MMA·BPA·IPA 및 용제 시장에 사용되는 대량 기초화학 제품;</t>
    <phoneticPr fontId="1" type="noConversion"/>
  </si>
  <si>
    <t>전 세계 생산의 97% 이상이 큐멘 공정에서 페놀과 함께 병산; 일부는 IPA 탈수소화 및 기타 비페놀 공정으로 생산;</t>
    <phoneticPr fontId="1" type="noConversion"/>
  </si>
  <si>
    <t>페놀과 아세톤으로 생산되는 백색 고체 중간체; 폴리카보네이트와 에폭시수지의 원료로 사용;</t>
    <phoneticPr fontId="1" type="noConversion"/>
  </si>
  <si>
    <t>페놀과 아세톤을 산 촉매 또는 이온교환수지 촉매 하에서 축합 반응;</t>
    <phoneticPr fontId="1" type="noConversion"/>
  </si>
  <si>
    <t>투명성·내충격성·내열성·전기절연성이 우수한 고성능 엔지니어링 플라스틱; 전자·자동차·건축·소비재에 폭넓게 사용;</t>
    <phoneticPr fontId="1" type="noConversion"/>
  </si>
  <si>
    <t>BPA와 phosgene을 반응시키는 interfacial phosgenation 공정(메인); BPA와 diphenyl carbonate를 이용한 melt/non-phosgene 공정(보조);</t>
    <phoneticPr fontId="1" type="noConversion"/>
  </si>
  <si>
    <t>BPA와 ECH(epichlorohydrin)를 기반으로 생산되는 대표 열경화성 수지; 우수한 접착성·내식성·전기절연성·기계적 강도를 바탕으로 코팅·전자재료·복합재·접착제 등에 사용;</t>
    <phoneticPr fontId="1" type="noConversion"/>
  </si>
  <si>
    <t>BPA와 epichlorohydrin(ECH)을 반응시켜 DGEBPA(diglycidyl ether of bisphenol A) 기반 액상 에폭시를 제조; 이후 advancement/fusion 공정을 통해 고분자 solid epoxy 및 specialty epoxy로 전환;</t>
    <phoneticPr fontId="1" type="noConversion"/>
  </si>
  <si>
    <t>벤젠 유래 고리형 탄화수소로, 주로 KA oil·cyclohexanone·adipic acid를 거쳐 나일론 6 및 나일론 66 체인에 사용되는 중간체;</t>
    <phoneticPr fontId="1" type="noConversion"/>
  </si>
  <si>
    <t>벤젠의 직접 수소화로 고순도 cyclohexane을 생산(메인);벤젠 부분수소화로 cyclohexene을 만들 때 부산물로 생산(보조, 일본&amp;중국)</t>
    <phoneticPr fontId="1" type="noConversion"/>
  </si>
  <si>
    <t>벤젠에 C10–C13 선형 알킬기를 도입해 생산하는 세제용 방향족 중간체; 대부분 LAS 계면활성제 원료로 사용;</t>
    <phoneticPr fontId="1" type="noConversion"/>
  </si>
  <si>
    <t>n-paraffin 유래 internal olefin 또는 linear alpha-olefin과 벤젠을 알킬화하여 생산; 상업 공정은 HF 촉매 공정과 고체 촉매 기반 Detal 공정이 대표적;</t>
    <phoneticPr fontId="1" type="noConversion"/>
  </si>
  <si>
    <t>Aromatics</t>
  </si>
  <si>
    <t>Aromatics</t>
    <phoneticPr fontId="1" type="noConversion"/>
  </si>
  <si>
    <t>n-butane 또는 benzene 산화로 생산되는 C4계 산무수물; UPR·fumaric acid·malic acid·lubricating oil additives·copolymer 등 다양한 수지·첨가제 중간체로 사용;</t>
    <phoneticPr fontId="1" type="noConversion"/>
  </si>
  <si>
    <t>n-butane의 촉매 기상 산화(메인); benzene 산화 공정(보조, 축소추세); phthalic anhydride 생산 부산물(보조)</t>
    <phoneticPr fontId="1" type="noConversion"/>
  </si>
  <si>
    <t>톨루엔은 정유·스팀크래커의 BTX stream에서 주로 회수되는 대량 방향족 제품; gasoline blending, benzene/xylene 전환, TDI, benzoic acid, solvent 등에 사용;</t>
    <phoneticPr fontId="1" type="noConversion"/>
  </si>
  <si>
    <t>주로 refinery catalytic reformate와 steam cracker pyrolysis gasoline에서 BTX를 추출·분리하여 생산(메인); coke-oven light oil 및 styrene 제조 부산물로 생산(보조)</t>
    <phoneticPr fontId="1" type="noConversion"/>
  </si>
  <si>
    <t>Polyamide 6(PA6) 생산에 사용되는 핵심 중간체로, 대부분 cyclohexane/cyclohexene 기반 공정을 통해 생산;</t>
    <phoneticPr fontId="1" type="noConversion"/>
  </si>
  <si>
    <t>상업적으로는 benzene → cyclohexane/cyclohexanone → cyclohexanone oxime → caprolactam 경로가 대표적이다. Cyclohexanone oxime을 Beckmann rearrangement하여 caprolactam을 생산한다.</t>
  </si>
  <si>
    <t>Cyclohexanone oxime을 Beckmann rearrangement하여 caprolactam을 생산;</t>
    <phoneticPr fontId="1" type="noConversion"/>
  </si>
  <si>
    <t xml:space="preserve">Aniline 기반 방향족 diisocyanate로, polyol과 반응해 polyurethane을 만드는 핵심 원료; </t>
    <phoneticPr fontId="1" type="noConversion"/>
  </si>
  <si>
    <t>Aniline과 formaldehyde를 축합해 MDA를 만들고, 이를 phosgene과 반응시켜 MDI/PMDI를 생산;</t>
    <phoneticPr fontId="1" type="noConversion"/>
  </si>
  <si>
    <t>p-xylene(PX) 산화로 생산되는 핵심 방향족 중간체; 대부분 PET(polyethylene terephthalate) 및 polyester chain 생산에 사용;</t>
    <phoneticPr fontId="1" type="noConversion"/>
  </si>
  <si>
    <t>Amoco liquid-phase oxidation 공정(메인); p-xylene을 acetic acid 용매 내에서 Co/Mn/Bromide catalyst로 산화하여 crude TPA를 만들고 hydrogenation purification을 거쳐 PTA를 생산;</t>
    <phoneticPr fontId="1" type="noConversion"/>
  </si>
  <si>
    <t>벤젠 고리에 두 개의 메틸기가 결합된 방향족 탄화수소 혼합물; PX·OX 생산 및 용제 용도로 사용;</t>
    <phoneticPr fontId="1" type="noConversion"/>
  </si>
  <si>
    <t>납사 개질(reforming) 공정에서 생성된 reformate로부터 추출; 분리·이성화·흡착 공정을 통해 paraxylene, orthoxylene 등을 생산;</t>
    <phoneticPr fontId="1" type="noConversion"/>
  </si>
  <si>
    <t>무수프탈산 계열의 방향족 화학제품; 주로 가소제·불포화폴리에스터수지·도료 원료로 사용;</t>
    <phoneticPr fontId="1" type="noConversion"/>
  </si>
  <si>
    <t>o-xylene 또는 naphthalene의 기상 산화 반응을 통해 생산; 바나듐계 촉매 기반 고정층 반응 공정;</t>
    <phoneticPr fontId="1" type="noConversion"/>
  </si>
  <si>
    <t>Toluene 기반 aromatic diisocyanate로 polyol과 반응해 polyurethane를 형성하는 핵심 원료; 주로 flexible PU foam에 사용;</t>
    <phoneticPr fontId="1" type="noConversion"/>
  </si>
  <si>
    <t>Toluene을 질산 혼산으로 nitration하여 DNT를 만든 뒤 hydrogenation으로 TDA를 생산하고, 이를 phosgene과 반응시켜 TDI를 제조;</t>
    <phoneticPr fontId="1" type="noConversion"/>
  </si>
  <si>
    <t>벤젠 고리에 두 개의 메틸기가 인접 위치에 결합된 방향족 탄화수소; 주로 무수프탈산(PA) 생산 원료로 사용;</t>
    <phoneticPr fontId="1" type="noConversion"/>
  </si>
  <si>
    <t>Mixed xylene으로부터 증류 및 분리 공정을 통해 생산;</t>
    <phoneticPr fontId="1" type="noConversion"/>
  </si>
  <si>
    <t>롯데케미칼(210), SK지오센트릭(200)</t>
    <phoneticPr fontId="1" type="noConversion"/>
  </si>
  <si>
    <t>벤젠 고리에 두 개의 메틸기가 메타 위치에 결합된 방향족 탄화수소; 주로 isophthalic acid(IPA) 및 specialty chemical 원료로 사용;</t>
    <phoneticPr fontId="1" type="noConversion"/>
  </si>
  <si>
    <t>Mixed xylene으로부터 흡착 분리 및 이성화 공정을 통해 생산;</t>
    <phoneticPr fontId="1" type="noConversion"/>
  </si>
  <si>
    <t>Mixed xylene으로부터 분리 및 정제 공정을 통해 생산;</t>
    <phoneticPr fontId="1" type="noConversion"/>
  </si>
  <si>
    <t>롯데케미칼(360)</t>
    <phoneticPr fontId="1" type="noConversion"/>
  </si>
  <si>
    <t>한화토탈에너지스(2000), S-OIL(1900), SK인천석유화학(1500), HD현대오일뱅크(1460), GS칼텍스(1350), 울산아로마틱스(1000), 롯데케미칼(750)</t>
    <phoneticPr fontId="1" type="noConversion"/>
  </si>
  <si>
    <t>벤젠 고리에 두 개의 메틸기가 파라 위치에 결합된 방향족 탄화수소; PTA 및 PET 생산의 핵심 원료로 사용;</t>
    <phoneticPr fontId="1" type="noConversion"/>
  </si>
  <si>
    <t>롯데케미칼(840)</t>
    <phoneticPr fontId="1" type="noConversion"/>
  </si>
  <si>
    <t>PET copolymer resin, unsaturated polyester resin, polyester/alkyd coating resin, powder coating resin, isophthaloyl chloride</t>
  </si>
  <si>
    <t>PIA는 m-xylene 산화로 생산되는 고순도 방향족 dicarboxylic acid로, PET bottle resin 개질제, UPR, 고내구 coating resin 등에 사용된다.</t>
  </si>
  <si>
    <t>m-Xylene을 acetic acid 용매와 Co/Mn/Br 계 촉매 조건에서 산화하여 isophthalic acid를 생산한다. 고순도 m-xylene feed가 PIA 품질을 좌우하며, 대부분 생산자는 m-xylene과 통합되어 있다.</t>
  </si>
  <si>
    <t>Food &amp; Nutrition (PET bottle resin), Construction &amp; Infrastructure (UPR, coating resin), Automotive &amp; Future Mobility (UPR, polyester coating), Industrial Manufacturing (powder coating, specialty polymer), Consumer &amp; Personal Care (PET packaging)</t>
  </si>
  <si>
    <t>PET bottle resin·UPR·powder coating용 specialty aromatic acid이나, Asia 중심 증설로 oversupply 압력 존재</t>
  </si>
  <si>
    <t>m-xylene 산화로 생산되는 고순도 방향족 dicarboxylic acid; PET bottle resin 개질제, UPR, 고내구 coating resin 등에 사용;</t>
    <phoneticPr fontId="1" type="noConversion"/>
  </si>
  <si>
    <t>m-Xylene을 acetic acid 용매와 Co/Mn/Br 계 촉매 조건에서 산화하여 isophthalic acid를 생산; 고순도 m-xylene feed가 PIA 품질을 좌우하며, 대부분 생산자는 m-xylene과 통합;</t>
    <phoneticPr fontId="1" type="noConversion"/>
  </si>
  <si>
    <t>BP, Invista, UOP</t>
    <phoneticPr fontId="1" type="noConversion"/>
  </si>
  <si>
    <t>PET bottle resin comonomer</t>
  </si>
  <si>
    <t>PIA는 PET bottle resin에 소량 첨가되어 결정성을 낮추고 투명성·병 성형 생산성을 개선한다. 음료·식품 포장용 PET의 clarity와 processing 안정성에 기여한다.</t>
  </si>
  <si>
    <t>PET 포장 안정 수요</t>
  </si>
  <si>
    <t>PET packaging for beverages</t>
  </si>
  <si>
    <t>생수·탄산음료·스포츠음료용 PET bottle에서 PIA는 bottle clarity와 가공성을 개선하는 copolymer modifier로 사용된다.</t>
  </si>
  <si>
    <t>PIA 기반 UPR은 FRP pipe, tank, panel 등에 사용되며 내수성·내화학성·기계적 강도가 우수하다. phthalic계 대비 premium resin에 주로 적용된다.</t>
  </si>
  <si>
    <t>인프라 내구소재</t>
  </si>
  <si>
    <t>FRP marine and sanitary products</t>
  </si>
  <si>
    <t>PIA-based UPR은 boat, bathtub, shower stall, cultured marble 등 gel coat 및 FRP 제품에 사용되며 광택 유지와 blister resistance가 중요하다.</t>
  </si>
  <si>
    <t>Polyester powder coatings</t>
  </si>
  <si>
    <t>PIA는 polyester powder coating resin에 사용되며 내후성·내구성·내화학성을 높인다. 무용제 coating 전환에서 중요한 원료이다.</t>
  </si>
  <si>
    <t>친환경 무용제 코팅</t>
  </si>
  <si>
    <t>Automotive coating resins</t>
  </si>
  <si>
    <t>PIA 기반 polyester/alkyd resin은 automotive primer, topcoat, refinish coating에 사용되며 outdoor durability와 gloss retention이 중요하다.</t>
  </si>
  <si>
    <t>Industrial maintenance coatings</t>
  </si>
  <si>
    <t>PIA는 산업 설비·금속용 coating resin에 내수성, 내식성, 내후성을 부여한다. 장기 보호 성능이 중요한 maintenance coating에 적합하다.</t>
  </si>
  <si>
    <t>설비 유지보수 수요</t>
  </si>
  <si>
    <t>Isophthaloyl chloride (IPC)</t>
  </si>
  <si>
    <t>PIA는 IPC로 전환되어 meta-aramid, specialty polyamide, high-temperature polymer 원료로 사용된다. 내열성·난연성 소재 체인과 연결된다.</t>
  </si>
  <si>
    <t>고부가 specialty polymer</t>
  </si>
  <si>
    <t>Low-melt polyester fiber</t>
  </si>
  <si>
    <t>PIA는 low-melt polyester fiber 제조에 사용되며 자동차 내장재, 단열재, 가구, 위생재 bonding fiber에 적용된다.</t>
  </si>
  <si>
    <t>기능성 섬유소재</t>
  </si>
  <si>
    <t>Polyphthalamide / LCP intermediates</t>
  </si>
  <si>
    <t>PIA는 PPA, LCP 등 고내열 engineering polymer에 일부 사용되며 전기전자 부품의 치수안정성·내열성 확보에 기여한다.</t>
  </si>
  <si>
    <t>고내열 전장소재</t>
  </si>
  <si>
    <t>BTX/aromatics chain의 핵심 기초유분으로 다양한 downstream value chain의 출발 물질; 직접 용도는 발암성 이슈로 제한적이며 대부분 중간체로 사용;</t>
    <phoneticPr fontId="1" type="noConversion"/>
  </si>
  <si>
    <t>주로 catalytic reformate, pyrolysis gasoline, aromatics conversion(TDP/STDP/TA/HDA), coke-oven light oil에서 회수;</t>
    <phoneticPr fontId="1" type="noConversion"/>
  </si>
  <si>
    <t>한화토탈에너지스(1267), GS칼텍스(930), LG화학(900), S-OIL(672), SK지오센트릭(603), 울산아로마틱스(600), SK인천석유화학(600), 롯데케미칼(585), 여천NCC(457), HD현대케미칼(410), HD현대오일뱅크(338), 대한유화(210), OCI(200)</t>
    <phoneticPr fontId="1" type="noConversion"/>
  </si>
  <si>
    <t>Styrene</t>
    <phoneticPr fontId="1" type="noConversion"/>
  </si>
  <si>
    <t>Benzene과 에틸렌에서 유래한 ethylbenzene을 탈수소화해 생산하는 방향족 모노머; PS, EPS, ABS, UPR, SBR/SBL 등 styrenics·rubber·resin chain의 핵심 원료;</t>
    <phoneticPr fontId="1" type="noConversion"/>
  </si>
  <si>
    <t>대부분 ethylbenzene dehydrogenation으로 생산(메인), 일부는 POSM 공정에서 propylene oxide와 병산(보조), pygas에서 styrene을 추출하는 STEX route(소규모)</t>
    <phoneticPr fontId="1" type="noConversion"/>
  </si>
  <si>
    <t>한화토탈에너지스(1071), 롯데케미칼(577), SK picglobal(400), 여천NCC(351)</t>
    <phoneticPr fontId="1" type="noConversion"/>
  </si>
  <si>
    <t>금호석유화학(345), 한국이네오스스티롤루션(266), HDC현대EP(228), SH에너지화학(100), LG화학(90), 한국바스프(85)</t>
    <phoneticPr fontId="1" type="noConversion"/>
  </si>
  <si>
    <t>Styrene monomer를 중합해 생산하는 범용 thermoplastic resin; GPPS는 투명·강성, HIPS는 PBR 개질로 충격강도가 우수; 포장재, 가전·전자, 소비재, 건축용 XPS 등에 사용;</t>
    <phoneticPr fontId="1" type="noConversion"/>
  </si>
  <si>
    <t>Styrene의 continuous mass/solution polymerization으로 생산; HIPS는 styrene에 polybutadiene rubber를 용해·graft/phase inversion시켜 충격강도를 부여;</t>
    <phoneticPr fontId="1" type="noConversion"/>
  </si>
  <si>
    <t>Overview</t>
    <phoneticPr fontId="1" type="noConversion"/>
  </si>
  <si>
    <t>sheet_name</t>
    <phoneticPr fontId="1" type="noConversion"/>
  </si>
  <si>
    <t>001_Ethylene</t>
  </si>
  <si>
    <t>002_HDPE</t>
  </si>
  <si>
    <t>003_LDPE</t>
  </si>
  <si>
    <t>004_LLDPE</t>
  </si>
  <si>
    <t>005_EDC</t>
  </si>
  <si>
    <t>006_VCM</t>
  </si>
  <si>
    <t>007_PVC</t>
  </si>
  <si>
    <t>008_Ethanol</t>
  </si>
  <si>
    <t>010_Ethyl acetate</t>
  </si>
  <si>
    <t>012_EO</t>
  </si>
  <si>
    <t>014_MEA</t>
  </si>
  <si>
    <t>015_DEA</t>
  </si>
  <si>
    <t>016_TEA</t>
  </si>
  <si>
    <t>017_MEG</t>
  </si>
  <si>
    <t>018_Acetaldehyde</t>
  </si>
  <si>
    <t>019_VAM</t>
  </si>
  <si>
    <t>020_Propylene</t>
  </si>
  <si>
    <t>021_AN</t>
  </si>
  <si>
    <t>022_ABS</t>
  </si>
  <si>
    <t>023_SAN</t>
  </si>
  <si>
    <t>024_NBR</t>
  </si>
  <si>
    <t>025_PP</t>
  </si>
  <si>
    <t>026_PO</t>
  </si>
  <si>
    <t>027_PG</t>
  </si>
  <si>
    <t>028_PPG</t>
  </si>
  <si>
    <t>029_Polyols</t>
  </si>
  <si>
    <t>030_PU</t>
  </si>
  <si>
    <t>031_Acrylic acid</t>
  </si>
  <si>
    <t>033_Acrylate</t>
  </si>
  <si>
    <t>034_SAP</t>
  </si>
  <si>
    <t>036_2-Ethylhexanol</t>
  </si>
  <si>
    <t>037_n-Butanol</t>
  </si>
  <si>
    <t>038_n-Butyl acetate</t>
  </si>
  <si>
    <t>039_Isobutanol</t>
  </si>
  <si>
    <t>040_Isobutyl acetate</t>
  </si>
  <si>
    <t>041_IPA</t>
  </si>
  <si>
    <t>042_Isopropyl acetate</t>
  </si>
  <si>
    <t>043_Butadiene</t>
  </si>
  <si>
    <t>044_BR</t>
  </si>
  <si>
    <t>045_SBR</t>
  </si>
  <si>
    <t>046_Isobutylene</t>
  </si>
  <si>
    <t>047_PIB</t>
  </si>
  <si>
    <t>048_PB-1</t>
  </si>
  <si>
    <t>049_MTBE</t>
  </si>
  <si>
    <t>050_Butyl rubber</t>
  </si>
  <si>
    <t>052_1-Butene</t>
  </si>
  <si>
    <t>054_Benzene</t>
  </si>
  <si>
    <t>055_Ethylbenzene</t>
  </si>
  <si>
    <t>056_Styrene</t>
  </si>
  <si>
    <t>057_PS</t>
  </si>
  <si>
    <t>058_Cumene</t>
  </si>
  <si>
    <t>059_Phenol</t>
  </si>
  <si>
    <t>060_Acetone</t>
  </si>
  <si>
    <t>061_BPA</t>
  </si>
  <si>
    <t>062_PC</t>
  </si>
  <si>
    <t>063_Epoxy resin</t>
  </si>
  <si>
    <t>064_Cyclohexane</t>
  </si>
  <si>
    <t>065_Aniline</t>
  </si>
  <si>
    <t>066_LAB</t>
  </si>
  <si>
    <t>067_Cyclohexanone</t>
  </si>
  <si>
    <t>068_MA</t>
  </si>
  <si>
    <t>069_Methanol</t>
  </si>
  <si>
    <t>070_Acetic acid</t>
  </si>
  <si>
    <t>071_Toluene</t>
  </si>
  <si>
    <t>072_Xylene</t>
  </si>
  <si>
    <t>073_PA</t>
  </si>
  <si>
    <t>074_Caprolactam</t>
  </si>
  <si>
    <t>075_LAO</t>
  </si>
  <si>
    <t>076_1-Hexene</t>
  </si>
  <si>
    <t>077_PAO</t>
  </si>
  <si>
    <t>078_MMA</t>
  </si>
  <si>
    <t>079_PMMA</t>
  </si>
  <si>
    <t>080_Formaldehyde</t>
  </si>
  <si>
    <t>081_EC</t>
  </si>
  <si>
    <t>082_DMC</t>
  </si>
  <si>
    <t>084_EVA</t>
  </si>
  <si>
    <t>085_MDI</t>
  </si>
  <si>
    <t>086_TDI</t>
  </si>
  <si>
    <t>087_o-Xylene</t>
  </si>
  <si>
    <t>088_m-Xylene</t>
  </si>
  <si>
    <t>089_p-Xylene</t>
  </si>
  <si>
    <t>090_PIA</t>
  </si>
  <si>
    <t>091_TPA</t>
  </si>
  <si>
    <t>092_DMT</t>
  </si>
  <si>
    <t>093_PET</t>
  </si>
  <si>
    <t>094_PU</t>
  </si>
  <si>
    <t>095_1-Octene</t>
  </si>
  <si>
    <t>096_1-Hexene</t>
  </si>
  <si>
    <t>097_EPDM</t>
  </si>
  <si>
    <t>098_ECH</t>
  </si>
  <si>
    <t>099_Ethoxylate</t>
  </si>
  <si>
    <t>100_Adipic Acid</t>
  </si>
  <si>
    <t>101_n-Butane</t>
  </si>
  <si>
    <t>102_Isoprene</t>
  </si>
  <si>
    <t>103_Piperylene</t>
  </si>
  <si>
    <t>104_DCPD</t>
  </si>
  <si>
    <t>105_IR</t>
  </si>
  <si>
    <t>106_SIS</t>
  </si>
  <si>
    <t>has_page</t>
    <phoneticPr fontId="1" type="noConversion"/>
  </si>
  <si>
    <t>O</t>
    <phoneticPr fontId="1" type="noConversion"/>
  </si>
  <si>
    <t>X</t>
    <phoneticPr fontId="1" type="noConversion"/>
  </si>
  <si>
    <t>M107</t>
    <phoneticPr fontId="1" type="noConversion"/>
  </si>
  <si>
    <t>iso-Butyraldehyde</t>
    <phoneticPr fontId="1" type="noConversion"/>
  </si>
  <si>
    <t>107_iso-Butyraldehyde</t>
    <phoneticPr fontId="1" type="noConversion"/>
  </si>
  <si>
    <t>Product</t>
    <phoneticPr fontId="1" type="noConversion"/>
  </si>
  <si>
    <t>Details</t>
    <phoneticPr fontId="1" type="noConversion"/>
  </si>
  <si>
    <t>Supplier</t>
    <phoneticPr fontId="1" type="noConversion"/>
  </si>
  <si>
    <t>Dropdown</t>
    <phoneticPr fontId="1" type="noConversion"/>
  </si>
  <si>
    <t>Summary</t>
    <phoneticPr fontId="1" type="noConversion"/>
  </si>
  <si>
    <t>D2</t>
    <phoneticPr fontId="1" type="noConversion"/>
  </si>
  <si>
    <t>D3</t>
    <phoneticPr fontId="1" type="noConversion"/>
  </si>
  <si>
    <t>D4</t>
    <phoneticPr fontId="1" type="noConversion"/>
  </si>
  <si>
    <t>D5</t>
    <phoneticPr fontId="1" type="noConversion"/>
  </si>
  <si>
    <t>D6</t>
    <phoneticPr fontId="1" type="noConversion"/>
  </si>
  <si>
    <t>D10</t>
    <phoneticPr fontId="1" type="noConversion"/>
  </si>
  <si>
    <t>D11</t>
    <phoneticPr fontId="1" type="noConversion"/>
  </si>
  <si>
    <t>D12</t>
    <phoneticPr fontId="1" type="noConversion"/>
  </si>
  <si>
    <t>D13</t>
    <phoneticPr fontId="1" type="noConversion"/>
  </si>
  <si>
    <t>D7</t>
    <phoneticPr fontId="1" type="noConversion"/>
  </si>
  <si>
    <t>D8</t>
    <phoneticPr fontId="1" type="noConversion"/>
  </si>
  <si>
    <t>Supplier O</t>
    <phoneticPr fontId="1" type="noConversion"/>
  </si>
  <si>
    <t>Supplier X</t>
    <phoneticPr fontId="1" type="noConversion"/>
  </si>
  <si>
    <t>M058</t>
    <phoneticPr fontId="1" type="noConversion"/>
  </si>
  <si>
    <t>Cumene</t>
    <phoneticPr fontId="1" type="noConversion"/>
  </si>
  <si>
    <t>Cumene은 benzene과 propylene으로 생산되는 방향족 중간체로, 대부분 phenol과 acetone 제조에 소비된다.</t>
  </si>
  <si>
    <t>Cumene은 benzene과 propylene의 alkylation으로 생산된다. 상업 공정은 과거 SPA 촉매 기반에서 zeolite 촉매 기반으로 전환되었으며, Badger/UOP/CDTech 등이 주요 기술로 언급된다.</t>
  </si>
  <si>
    <t>Phenol/acetone feedstock, minor solvent/thinner, gasoline blending component</t>
  </si>
  <si>
    <t>Industrial Manufacturing (phenol/acetone intermediate); Automotive &amp; Future Mobility (polycarbonate, epoxy, phenolic resin derivatives); Construction &amp; Infrastructure (phenolic resin, epoxy, BPA derivatives); Consumer &amp; Personal Care (acetone derivatives, coatings/adhesives exposure)</t>
  </si>
  <si>
    <t>Badger Licensing, UOP, CDTech, Versalis</t>
  </si>
  <si>
    <t>Phenol/acetone value chain captive intermediate with high integration requirement and significant China capacity expansion risk</t>
  </si>
  <si>
    <t>CEH Cumene, S&amp;P Global Commodity Insights, Dec. 2025</t>
  </si>
  <si>
    <t>LG화학(900), 금호피앤비화학(900), 롯데GS화학(475)</t>
    <phoneticPr fontId="1" type="noConversion"/>
  </si>
  <si>
    <t>Net Export (Import → Export, 2020)</t>
    <phoneticPr fontId="1" type="noConversion"/>
  </si>
  <si>
    <t>벤젠과 프로필렌으로 생산되는 방향족 중간체; 대부분 phenol과 acetone 제조에 소비;</t>
    <phoneticPr fontId="1" type="noConversion"/>
  </si>
  <si>
    <t>Phenol / acetone production</t>
  </si>
  <si>
    <t>Cumene은 산화·분해 공정을 통해 phenol과 acetone을 병산하는 핵심 feedstock으로 사용된다. 글로벌 cumene의 약 99%가 phenol/acetone 생산에 소비되어 수요가 phenol chain에 사실상 종속된다.</t>
  </si>
  <si>
    <t>phenol chain captive 수요</t>
  </si>
  <si>
    <t>Bisphenol A / polycarbonate chain</t>
  </si>
  <si>
    <t>Cumene에서 유래한 phenol과 acetone은 BPA 원료로 사용되며, BPA는 polycarbonate resin 생산에 연결된다. Polycarbonate는 내충격성·투명성·경량성이 요구되는 자동차 및 전기전자 부품에 활용된다.</t>
  </si>
  <si>
    <t>EV/경량화 연계</t>
  </si>
  <si>
    <t>Epoxy resin chain</t>
  </si>
  <si>
    <t>Cumene-derived phenol/acetone은 BPA를 거쳐 epoxy resin value chain에 연결된다. Epoxy는 코팅, 접착, 복합재, 건설·인프라 보호재에 사용되며 내화학성·접착성·기계적 강도가 중요하다.</t>
  </si>
  <si>
    <t>인프라·보호코팅 수요</t>
  </si>
  <si>
    <t>Phenol-formaldehyde resin</t>
  </si>
  <si>
    <t>Cumene downstream phenol은 phenol-formaldehyde resin 원료로 사용되며, 목재 접착제·단열재·산업용 성형재 등에 적용된다. 내열성·접착력·치수안정성이 필요한 건축자재 및 산업소재에 적합하다.</t>
  </si>
  <si>
    <t>건축자재 안정 수요</t>
  </si>
  <si>
    <t>Polyamide intermediates</t>
  </si>
  <si>
    <t>Phenol은 cyclohexanone 등 polyamide intermediates chain과 연결되며, nylon 소재는 자동차 부품·섬유·엔지니어링 플라스틱에 사용된다. 경량화와 내구성이 요구되는 mobility 부품 수요와 연계된다.</t>
  </si>
  <si>
    <t>자동차 소재 chain</t>
  </si>
  <si>
    <t>Coatings solvent / thinner</t>
  </si>
  <si>
    <t>Cumene은 소량이 paint, lacquer, enamel의 thinner 또는 solvent로 사용된다. 다만 상업적 중심 용도는 아니며, phenol/acetone 대비 시장 규모는 제한적이다.</t>
  </si>
  <si>
    <t>제한적 부가 용도</t>
  </si>
  <si>
    <t>Gasoline blending component</t>
  </si>
  <si>
    <t>Cumene은 높은 octane 특성 때문에 가격이 에너지 대체가치 이하로 낮아질 때 gasoline blending component로 일부 사용될 수 있다. 주로 북미·유럽에서 소량 흡수 가능한 보조 outlet 성격이다.</t>
  </si>
  <si>
    <t>가격 하방 outlet</t>
  </si>
  <si>
    <t>BPA-derived electronics plastics</t>
  </si>
  <si>
    <t>Cumene downstream BPA/polycarbonate는 투명성·내충격성·치수안정성이 필요한 전기전자 하우징 및 부품 소재로 연결된다. 직접 전자재료보다는 phenol/BPA를 통한 간접 수요 노출이다.</t>
  </si>
  <si>
    <t>전기전자 간접 노출</t>
  </si>
  <si>
    <t>M108</t>
  </si>
  <si>
    <t>M109</t>
  </si>
  <si>
    <t>M110</t>
  </si>
  <si>
    <t>M111</t>
  </si>
  <si>
    <t>M112</t>
  </si>
  <si>
    <t>M113</t>
    <phoneticPr fontId="1" type="noConversion"/>
  </si>
  <si>
    <t>UPR</t>
  </si>
  <si>
    <t>ENB</t>
  </si>
  <si>
    <t>PolyDCPD</t>
  </si>
  <si>
    <t>COP</t>
  </si>
  <si>
    <t>C5 Resin</t>
  </si>
  <si>
    <t>DCPD Resin</t>
    <phoneticPr fontId="1" type="noConversion"/>
  </si>
  <si>
    <t>108_DCPD Resin</t>
    <phoneticPr fontId="1" type="noConversion"/>
  </si>
  <si>
    <t>109_UPR</t>
    <phoneticPr fontId="1" type="noConversion"/>
  </si>
  <si>
    <t>110_ENB</t>
    <phoneticPr fontId="1" type="noConversion"/>
  </si>
  <si>
    <t>111_PolyDCPD</t>
    <phoneticPr fontId="1" type="noConversion"/>
  </si>
  <si>
    <t>112_COP</t>
    <phoneticPr fontId="1" type="noConversion"/>
  </si>
  <si>
    <t>113_C5 Resin</t>
    <phoneticPr fontId="1" type="noConversion"/>
  </si>
  <si>
    <t>PVOH</t>
    <phoneticPr fontId="1" type="noConversion"/>
  </si>
  <si>
    <t>083_PVOH</t>
    <phoneticPr fontId="1" type="noConversion"/>
  </si>
  <si>
    <t>M098</t>
  </si>
  <si>
    <t>Propylene / Chlor-alkali</t>
  </si>
  <si>
    <t>Epichlorohydrin (ECH)</t>
  </si>
  <si>
    <t>ECH는 epoxy resin 생산에 주로 사용되는 반응성 epoxide 중간체로, 글로벌 수요의 약 90%가 epoxy resin에 연계된다.</t>
  </si>
  <si>
    <t>전통적으로 propylene에서 allyl chloride를 거쳐 chlorohydrination 공정으로 생산된다. 최근에는 biodiesel 부산물인 glycerin 기반 ECH 및 중국의 hydrogen peroxide 산화 공정도 상업화되고 있다.</t>
  </si>
  <si>
    <t>Epoxy resins, PAE wet-strength resins, water treatment polyamines, glycidyl ethers, ECH elastomers</t>
  </si>
  <si>
    <t>Construction &amp; Infrastructure (epoxy coatings, flooring), Renewable Energy (wind blade composites), Automotive &amp; Future Mobility (composites, elastomer parts), Power &amp; Electrical Infrastructure (electrical laminates), Water &amp; Environmental Solutions (PAE resins, polyamines), Industrial Manufacturing (adhesives, glycidyl ethers)</t>
  </si>
  <si>
    <t>TechnipFMC Epicerol; KVT Technology Epiprovit</t>
  </si>
  <si>
    <t>Epoxy-chain intermediate with high China capacity expansion risk; glycerin route offers bio-based positioning but economics depend on ECH and glycerin spreads.</t>
  </si>
  <si>
    <t>CEH Epichlorohydrin, S&amp;P Global Commodity Insights, Nov. 2024</t>
  </si>
  <si>
    <t>Net Import</t>
  </si>
  <si>
    <t>롯데정밀화학(132), 한화솔루션(25)</t>
    <phoneticPr fontId="1" type="noConversion"/>
  </si>
  <si>
    <t>Epoxy Resin 생산에 주로 사용되는 반응성 epoxide 중간체; 글로벌 수요의 약 90%가 epoxy resin에 연계;</t>
    <phoneticPr fontId="1" type="noConversion"/>
  </si>
  <si>
    <t>프로필렌에서 allyl chloride를 거쳐 chlorohydrination 공정으로 생산(메인); 최근에는 biodiesel 부산물인 glycerin 기반 ECH 및 중국의 hydrogen peroxide 산화 공정도 상업화(보조)</t>
    <phoneticPr fontId="1" type="noConversion"/>
  </si>
  <si>
    <t>Liquid epoxy resin</t>
  </si>
  <si>
    <t>ECH는 BPA와 반응해 liquid epoxy resin을 만드는 핵심 원료로 사용되며, 코팅·바닥재·콘크리트 보수재에서 내화학성·접착력·기계적 강도를 제공합니다.</t>
  </si>
  <si>
    <t>Epoxy coatings</t>
  </si>
  <si>
    <t>Epoxy resin 기반 보호코팅은 금속·설비·탱크·산업 구조물에 적용되며, ECH 유래 epoxy 구조가 내식성·내습성·내구성을 부여합니다.</t>
  </si>
  <si>
    <t>산업 유지보수 수요</t>
  </si>
  <si>
    <t>Wind blade composites</t>
  </si>
  <si>
    <t>ECH 기반 epoxy resin은 풍력 블레이드용 복합재 matrix로 사용되며, 높은 강도와 피로 내구성이 대형 블레이드 제조에 중요합니다.</t>
  </si>
  <si>
    <t>에너지전환 수혜</t>
  </si>
  <si>
    <t>Electrical laminates / encapsulation</t>
  </si>
  <si>
    <t>Epoxy resin은 전기 절연 laminate 및 전자부품 encapsulation에 사용되며, 우수한 절연성·접착성·열적 안정성이 요구됩니다.</t>
  </si>
  <si>
    <t>Automotive composites</t>
  </si>
  <si>
    <t>ECH 기반 epoxy systems는 차량용 복합재·구조 접착재에 적용되며, 경량화와 내구성 확보가 중요한 부품에 사용됩니다.</t>
  </si>
  <si>
    <t>PAE wet-strength resin</t>
  </si>
  <si>
    <t>ECH는 polyamide-epichlorohydrin resin 제조에 사용되며, 종이 타월·포장지 등에서 습윤 강도를 높이는 첨가제로 기능합니다.</t>
  </si>
  <si>
    <t>Water treatment polyamines</t>
  </si>
  <si>
    <t>ECH는 dimethylamine과 반응해 polyamine coagulant/flocculant를 만들며, 제지·산업용수 처리에서 입자 응집 성능을 제공합니다.</t>
  </si>
  <si>
    <t>환경처리 안정 수요</t>
  </si>
  <si>
    <t>Glycidyl ethers</t>
  </si>
  <si>
    <t>ECH는 cresyl·butyl·dodecyl glycidyl ether 등 reactive diluent 제조에 사용되며, epoxy coating의 점도 조절과 가공성 개선에 기여합니다.</t>
  </si>
  <si>
    <t>ECH elastomers</t>
  </si>
  <si>
    <t>ECH elastomer는 연료 호스·가스켓·씰 등 자동차 부품에 사용되며, 내유성·내오존성·낮은 gas permeability가 핵심 성능입니다.</t>
  </si>
  <si>
    <t>Bio-based ECH / bio-epoxy</t>
  </si>
  <si>
    <t>Glycerin 기반 ECH는 biodiesel 부산물을 활용해 bio-based epoxy resin으로 연결될 수 있으며, 기존 epoxy 성능을 유지하면서 탄소발자국 저감 포지셔닝이 가능합니다.</t>
  </si>
  <si>
    <t>친환경 전환</t>
  </si>
  <si>
    <t>M083</t>
  </si>
  <si>
    <t>Polyvinyl Alcohol (PVOH)</t>
  </si>
  <si>
    <t>PVOH는 VAM 유래 PVAc를 가수분해해 생산되는 수용성 고분자로, 접착·필름형성·보호콜로이드 기능을 기반으로 다양한 산업에 사용된다.</t>
  </si>
  <si>
    <t>VAM을 중합해 PVAc를 만들고, 이를 methanol 존재하에 가수분해 또는 alcoholysis하여 PVOH를 생산한다. 생산물 특성은 중합도와 가수분해도에 따라 달라진다.</t>
  </si>
  <si>
    <t>Polymerization aids, PVB resin, adhesives, textile warp sizing, paper sizing/coating, PVOH film, fibers</t>
  </si>
  <si>
    <t>Automotive &amp; Future Mobility (PVB laminated safety glass), Construction &amp; Infrastructure (architectural laminated glass, cement additives), Industrial Manufacturing (adhesives, polymerization aid), Consumer &amp; Personal Care (detergent pods, water-soluble film), Food &amp; Nutrition (paper coating, indirect food-contact packaging), Semiconductor &amp; Advanced Electronics (optical-grade PVOH film for polarizer chain)</t>
  </si>
  <si>
    <t>VAM downstream derivative with broad applications, but commodity grades face high China capacity and import competition risk.</t>
  </si>
  <si>
    <t>CEH Polyvinyl Alcohol, S&amp;P Global Commodity Insights, Dec. 2023</t>
  </si>
  <si>
    <t>VAM 유래 PVAc를 가수분해해 생산되는 수용성 고분자; 접착·필름형성·보호콜로이드 기능을 기반으로 다양한 산업에 사용;</t>
    <phoneticPr fontId="1" type="noConversion"/>
  </si>
  <si>
    <t>VAM을 중합해 PVAc를 만들고, 이를 methanol 존재하에 가수분해 또는 alcoholysis하여 PVOH를 생산;</t>
    <phoneticPr fontId="1" type="noConversion"/>
  </si>
  <si>
    <t>PVB resin for laminated glass</t>
  </si>
  <si>
    <t>PVOH는 butyraldehyde와 반응해 PVB resin으로 전환되며, 자동차 windshield·side glass용 laminated safety glass interlayer에 사용됩니다. 투명성, 접착성, 충격흡수성이 안전유리 성능의 핵심입니다.</t>
  </si>
  <si>
    <t>Architectural laminated glass</t>
  </si>
  <si>
    <t>PVOH 유래 PVB는 건축용 laminated glass interlayer로 사용되며, 소음저감·보안성·파손 시 비산방지 성능을 제공합니다. 고층·상업용 건물의 glass façade 확대와 연계됩니다.</t>
  </si>
  <si>
    <t>건축 고기능화 수혜</t>
  </si>
  <si>
    <t>Polymerization aid for PVC/PVAc</t>
  </si>
  <si>
    <t>PVOH는 PVC suspension polymerization 및 PVAc emulsion 제조에서 보호콜로이드로 사용되며, 입자 크기와 분산 안정성을 제어합니다. 범용 resin 제조의 품질 안정성에 중요한 process additive입니다.</t>
  </si>
  <si>
    <t>산업소재 기반 수요</t>
  </si>
  <si>
    <t>PVAc adhesive modifier</t>
  </si>
  <si>
    <t>PVOH는 PVAc 접착제에 첨가되어 접착력, 점도, 도포성, 내습성을 조절하며 종이·포장·목공용 adhesive 성능을 개선합니다.</t>
  </si>
  <si>
    <t>접착제 value chain 연계</t>
  </si>
  <si>
    <t>Textile warp sizing</t>
  </si>
  <si>
    <t>PVOH는 직물 제직 전 원사 표면에 적용되어 마찰저항·강도·필름형성성을 부여하고, 제직 후 물로 제거할 수 있습니다. Polyester 혼방 원단에서 성능 균형이 중요합니다.</t>
  </si>
  <si>
    <t>섬유공정 안정 수요</t>
  </si>
  <si>
    <t>Paper sizing and coating</t>
  </si>
  <si>
    <t>PVOH는 종이 코팅·사이징에서 pigment binder 및 barrier coating으로 사용되며, 내유성·내용제성·인쇄성을 개선합니다. 식품 포장지와 release liner 등 기능성 paper에 적용됩니다.</t>
  </si>
  <si>
    <t>Water-soluble film</t>
  </si>
  <si>
    <t>PVOH film은 세제 pod, laundry bag, 농약 포장 등에 사용되며, 수용성·필름강도·저독성·생분해성이 핵심 기능입니다.</t>
  </si>
  <si>
    <t>친환경 포장 전환</t>
  </si>
  <si>
    <t>Optical-grade PVOH film</t>
  </si>
  <si>
    <t>고순도 PVOH film은 편광판 제조 chain에서 핵심 film 소재로 사용되며, 균일한 필름성·광학 투명성·가공 안정성이 중요합니다.</t>
  </si>
  <si>
    <t>고부가 전자소재</t>
  </si>
  <si>
    <t>Construction additive</t>
  </si>
  <si>
    <t>PVOH는 gypsum joint cement 및 ceramic tile cement 첨가제로 사용되어 접착력, 보수성, 강도를 높입니다. 건축 보수재와 dry-mix formulation에서 기능성 첨가제로 포지셔닝됩니다.</t>
  </si>
  <si>
    <t>Biodegradable thermoplastic / barrier film</t>
  </si>
  <si>
    <t>PVOH copolymer는 수용성·생분해성 및 aroma barrier 특성을 활용해 특수 포장재와 보호필름으로 개발됩니다. 범용 플라스틱 대체보다는 niche 친환경 포장 중심의 기회입니다.</t>
  </si>
  <si>
    <t>Balanced</t>
  </si>
  <si>
    <t>M114</t>
    <phoneticPr fontId="1" type="noConversion"/>
  </si>
  <si>
    <t>Chlorobenzenes</t>
  </si>
  <si>
    <t>Chlorobenzenes는 벤젠의 염소화로 생산되는 방향족 염소화합물군으로, 상업적으로는 Monochlorobenzene(MCB), o-Dichlorobenzene(o-DCB), p-Dichlorobenzene(p-DCB)가 대부분의 시장을 구성하며 다양한 화학중간체 및 기능성 소재 원료로 사용된다.</t>
  </si>
  <si>
    <t>벤젠을 염소와 반응시켜 Lewis acid 촉매 존재하에 염소화하는 공정이 상업적으로 사용되며, 생성된 혼합물을 증류·결정화하여 MCB, o-DCB, p-DCB를 분리한다.</t>
  </si>
  <si>
    <t>Nitrochlorobenzenes, PPS resin intermediate, Sulfone polymers, Pharmaceutical intermediates, Agrochemical intermediates, Solvents</t>
  </si>
  <si>
    <t>Agriculture &amp; Resource (농약·제초제 중간체), Industrial Manufacturing (고무약품·염료·안료 중간체), Automotive &amp; Future Mobility (PPS 엔지니어링 플라스틱), Healthcare &amp; Medical (의약 중간체), Consumer &amp; Personal Care (방충제·탈취제)</t>
  </si>
  <si>
    <t>중국이 글로벌 생산능력의 약 2/3를 차지하며 공급 영향력이 매우 높다. 성장 동력은 PPS 수지, 의약품 및 농약 중간체 수요이며 범용 용도는 환경규제 영향을 받고 있다.</t>
  </si>
  <si>
    <t>S&amp;P Global Commodity Insights CEH Chlorobenzenes (Oct 2024)</t>
  </si>
  <si>
    <t>도레이첨단소재(14)</t>
    <phoneticPr fontId="1" type="noConversion"/>
  </si>
  <si>
    <t>Chlorobenzenes</t>
    <phoneticPr fontId="1" type="noConversion"/>
  </si>
  <si>
    <t>Chlorobenzenes는 벤젠의 염소화로 생산되는 방향족 염소화합물군으로, 상업적으로는 Monochlorobenzene(MCB), o-Dichlorobenzene(o-DCB), p-Dichlorobenzene(p-DCB)가 대부분의 시장을 구성하며 다양한 화학중간체 및 기능성 소재 원료로 사용된다.</t>
    <phoneticPr fontId="1" type="noConversion"/>
  </si>
  <si>
    <t>벤젠을 염소와 반응시켜 Lewis acid 촉매 존재하에 염소화하는 공정이 상업적으로 사용되며, 생성된 혼합물을 증류·결정화하여 MCB, o-DCB, p-DCB를 분리한다.</t>
    <phoneticPr fontId="1" type="noConversion"/>
  </si>
  <si>
    <t>Nitrochlorobenzenes</t>
  </si>
  <si>
    <t>Monochlorobenzene은 nitrochlorobenzene 제조의 핵심 원료로 사용되며, 이후 염료·안료·고무약품·산화방지제 및 각종 유기화학 중간체 생산으로 연결된다. Chlorobenzenes 전체 수요의 가장 큰 비중을 차지하는 다운스트림이다.</t>
  </si>
  <si>
    <t>산업용 중간체 핵심 수요</t>
  </si>
  <si>
    <t>Pharmaceutical Intermediates</t>
  </si>
  <si>
    <t>Nitrochlorobenzene 유도체는 의약 중간체 생산에 사용되며, 특히 acetaminophen 등 다양한 의약품 합성 체인에 연결된다. 기능성 중간체 역할이 중요하다.</t>
  </si>
  <si>
    <t>의료시장 연계</t>
  </si>
  <si>
    <t>Agrochemical Intermediates</t>
  </si>
  <si>
    <t>Chlorobenzenes 유도체는 제초제·살충제·농약 중간체 제조에 사용되며, o-DCB 및 nitrochlorobenzene 계열은 다양한 농업용 활성성분 합성에 활용된다.</t>
  </si>
  <si>
    <t>농업 생산성 수요</t>
  </si>
  <si>
    <t>PPS Resin Production</t>
  </si>
  <si>
    <t>p-Dichlorobenzene은 PPS(polyphenylene sulfide) 수지의 핵심 원료로 사용된다. PPS는 전장부품, 자동차 경량화 부품, 내열·내화학 부품에 적용되는 고기능 엔지니어링 플라스틱이다.</t>
  </si>
  <si>
    <t>EV 경량화 수혜</t>
  </si>
  <si>
    <t>PPS는 우수한 절연성·내열성을 바탕으로 전기·전자 부품에 사용되며, p-Dichlorobenzene 수요 확대의 핵심 성장동력으로 평가된다.</t>
  </si>
  <si>
    <t>고부가 엔지니어링 수지</t>
  </si>
  <si>
    <t>Sulfone Polymers</t>
  </si>
  <si>
    <t>Monochlorobenzene은 4,4'-dichlorodiphenylsulfone을 거쳐 polysulfone, PES, PPSO 등의 고성능 sulfone polymer 생산에 사용된다. 고온·고내구 산업용 소재 시장과 연결된다.</t>
  </si>
  <si>
    <t>Specialty 소재 성장</t>
  </si>
  <si>
    <t>Process Solvent</t>
  </si>
  <si>
    <t>Monochlorobenzene과 o-DCB는 MDI·TDI 생산공정 및 다양한 화학공정의 반응·공정용 용매로 사용된다. 내화학성과 공정 적합성이 중요하다.</t>
  </si>
  <si>
    <t>안정적 산업수요</t>
  </si>
  <si>
    <t>Moth Repellents</t>
  </si>
  <si>
    <t>p-Dichlorobenzene은 방충제 및 mothball 제품의 주성분으로 사용된다. 승화 특성을 활용하여 의류 보호 기능을 제공한다.</t>
  </si>
  <si>
    <t>생활소비재 수요</t>
  </si>
  <si>
    <t>Room Deodorant Blocks</t>
  </si>
  <si>
    <t>p-Dichlorobenzene은 실내용 탈취제 블록 및 공기정화 제품에 사용된다. 휘발성과 냄새 제어 기능이 적용 포인트다.</t>
  </si>
  <si>
    <t>안정적 니치시장</t>
  </si>
  <si>
    <t>Dyes &amp; Pigments</t>
  </si>
  <si>
    <t>Nitrochlorobenzene 유도체는 염료 및 안료 중간체 생산에 광범위하게 사용되며, 고무약품 및 특수 화학제품 제조와 연계된다.</t>
  </si>
  <si>
    <t>고부가 중간체 시장</t>
  </si>
  <si>
    <t>Chlorobenzene</t>
    <phoneticPr fontId="1" type="noConversion"/>
  </si>
  <si>
    <t>114_Chlorobenzene</t>
    <phoneticPr fontId="1" type="noConversion"/>
  </si>
  <si>
    <t>이소부틸렌(2-methylpropene)은 C4 올레핀 계열의 분지형 부텐으로, MTBE·고순도 이소부틸렌(HPIB)·폴리이소부틸렌·부틸고무 등의 핵심 원료로 사용된다.</t>
  </si>
  <si>
    <t>주로 정유 FCC C4 스트림 및 스팀크래커 C4 부산물에서 회수되며, 이소부탄 탈수소화(Oleflex, CATOFIN 등) 또는 TBA 탈수 공정을 통해 온퍼포즈 생산도 가능하다.</t>
  </si>
  <si>
    <t>MTBE, High-Purity Isobutylene (butyl rubber, polyisobutylene), ETBE, Isooctane, Fuel blending</t>
  </si>
  <si>
    <t>Automotive &amp; Future Mobility (fuel additives, butyl rubber), Industrial Manufacturing (polyisobutylene), Consumer &amp; Personal Care (PIB additives), Construction &amp; Infrastructure (sealants/adhesives via PIB), Power &amp; Electrical Infrastructure (rubber compounds)</t>
  </si>
  <si>
    <t>LG Chem, Hanwha TotalEnergies, Yeochun NCC (C4 stream related)</t>
  </si>
  <si>
    <t>UOP Oleflex, Lummus CATOFIN, Uhde STAR</t>
  </si>
  <si>
    <t>FCC·크래커 C4 밸류체인과의 통합성이 높으며, MTBE 중심의 연료 수요와 HPIB·부틸고무 등 고부가 다운스트림 시장을 동시에 보유. 중국 정유·석유화학 증설에 따른 공급 증가 리스크 존재.</t>
  </si>
  <si>
    <t>S&amp;P Global Chemical Economics Handbook – Butylenes (May 2024)</t>
  </si>
  <si>
    <t>M047</t>
    <phoneticPr fontId="1" type="noConversion"/>
  </si>
  <si>
    <t>PIB (Polyisobutylene)</t>
  </si>
  <si>
    <t>PIB는 이소부틸렌을 중합하여 생산하는 고분자 소재로, 우수한 기밀성·점착성·내수성·화학안정성을 바탕으로 윤활유 첨가제, 연료첨가제, 접착제, 실란트 및 고무 응용 분야에 사용된다.</t>
  </si>
  <si>
    <t>이소부틸렌 또는 고순도 이소부틸렌(HPIB)을 양이온 중합(cationic polymerization)하여 생산한다. 분자량에 따라 저분자(HR-PIB), 중분자 및 고분자 PIB 제품으로 구분된다.</t>
  </si>
  <si>
    <t>Lubricant additives, Fuel additives, Adhesives &amp; sealants, Chewing gum base, Butyl rubber intermediate</t>
  </si>
  <si>
    <t>Automotive &amp; Future Mobility (lubricant and fuel additives), Industrial Manufacturing (adhesives, sealants), Consumer &amp; Personal Care (gum base, personal care ingredients), Construction &amp; Infrastructure (sealants), Power &amp; Electrical Infrastructure (insulating compounds)</t>
  </si>
  <si>
    <t>BASF, TPC Group, INEOS (commercial PIB know-how holders)</t>
  </si>
  <si>
    <t>이소부틸렌 다운스트림의 대표 고부가 전환 제품으로 연료·윤활유 첨가제 시장과 산업용 실란트 시장에 노출되어 있으며, 고반응성 PIB(HR-PIB)는 첨가제 산업의 핵심 중간체로 활용된다. PIB는 이소부틸렌 주요 용도 중 하나로 확인된다.</t>
  </si>
  <si>
    <t>S&amp;P Global Chemical Economics Handbook – Butylenes (May 2024); PIB industry value chain references</t>
  </si>
  <si>
    <t>DL케미칼(220)</t>
    <phoneticPr fontId="1" type="noConversion"/>
  </si>
  <si>
    <t>M050</t>
    <phoneticPr fontId="1" type="noConversion"/>
  </si>
  <si>
    <t>Butyl Rubber(IIR)</t>
    <phoneticPr fontId="1" type="noConversion"/>
  </si>
  <si>
    <t>Butyl Rubber(IIR, Isobutylene Isoprene Rubber)는 이소부틸렌과 소량의 이소프렌을 공중합한 합성고무로, 매우 우수한 기체 차단성·내열노화성·내약품성을 보유하여 타이어 및 특수 고무제품에 사용된다.</t>
  </si>
  <si>
    <t>고순도 이소부틸렌(HPIB)과 소량의 이소프렌을 저온 양이온 공중합하여 생산한다. 일반 IIR 외에도 브로모부틸(BIIR), 클로로부틸(CIIR) 등 할로겐화 부틸고무가 상업적으로 생산된다.</t>
  </si>
  <si>
    <t>Tire inner liner, Pharmaceutical stoppers, Tire curing bladder, Industrial seals, Protective rubber products</t>
  </si>
  <si>
    <t>Automotive &amp; Future Mobility (tire inner liner), Healthcare &amp; Medical (pharmaceutical closures), Industrial Manufacturing (seals and hoses), Construction &amp; Infrastructure (waterproof membranes), Power &amp; Electrical Infrastructure (insulating rubber products)</t>
  </si>
  <si>
    <t>ExxonMobil Chemical (historical technology), ARLANXEO (industry know-how), Unknown</t>
  </si>
  <si>
    <t>HPIB 기반 대표 다운스트림 specialty elastomer로 타이어 및 의료용 시장 비중이 높다. 기체 차단 성능이 핵심 경쟁력이며 고객 승인과 품질 인증이 중요해 진입장벽이 높은 시장이다. 이소부틸렌의 주요 고부가 용도 중 하나로 확인된다.</t>
  </si>
  <si>
    <t>S&amp;P Global Chemical Economics Handbook – Butylenes (May 2024); Butyl Rubber industry references</t>
  </si>
  <si>
    <t>Ethylbenzene (EB)</t>
  </si>
  <si>
    <t>에틸벤젠(EB)은 벤젠과 에틸렌을 원료로 생산되는 방향족 화합물로, 전 세계 생산량의 대부분이 스티렌 모노머(SM) 제조 원료로 사용된다.</t>
  </si>
  <si>
    <t>상업 생산의 99% 이상은 벤젠과 에틸렌의 Friedel-Crafts 알킬화 반응을 통해 제조된다. 액상 AlCl3 공정과 기상 제올라이트 공정이 사용되며, 최근 신설 설비는 대부분 제올라이트 기반 공정을 채택한다.</t>
  </si>
  <si>
    <t>Styrene Monomer (SM) production, ABS, PS, EPS, SAN value chain feedstock</t>
  </si>
  <si>
    <t>Semiconductor &amp; Advanced Electronics (ABS, SAN housings), Automotive &amp; Future Mobility (ABS interior/exterior parts), Construction &amp; Infrastructure (EPS insulation), Consumer &amp; Personal Care (packaging), Industrial Manufacturing (styrenic plastics)</t>
  </si>
  <si>
    <t>Badger, Mobil, Versalis, Lummus</t>
  </si>
  <si>
    <t>스티렌 체인에 거의 전량 소비되는 전형적인 중간체로 독립 시장이 매우 제한적이다. 중국 중심의 대규모 증설과 스티렌 공급과잉 영향에 직접 노출되어 있으며 벤젠-에틸렌-스티렌 통합체인 경쟁력이 핵심이다. 2024년 기준 99.7%가 스티렌 생산에 사용된다.</t>
  </si>
  <si>
    <t>S&amp;P Global Chemical Economics Handbook – Ethylbenzene (March 2025)</t>
  </si>
  <si>
    <t>한화토탈에너지스(1155), 롯데케미칼(673), SK picglobal(438),여천NCC(370)</t>
    <phoneticPr fontId="1" type="noConversion"/>
  </si>
  <si>
    <t>Ethylbenzene</t>
    <phoneticPr fontId="1" type="noConversion"/>
  </si>
  <si>
    <t>ABS Resin Feedstock</t>
  </si>
  <si>
    <t>에틸벤젠은 스티렌 생산을 거쳐 ABS 제조에 사용된다. ABS는 자동차 내외장재, 대시보드, 전장 부품 등에 적용되며 충격강도와 가공성이 우수하다.</t>
  </si>
  <si>
    <t>자동차 경량화 수혜</t>
  </si>
  <si>
    <t>ABS는 가전제품 외장재, IT기기 하우징 및 전자부품에 사용된다. 스티렌 체인의 핵심 수요처로 전자산업 경기와 연동된다.</t>
  </si>
  <si>
    <t>전자산업 연계</t>
  </si>
  <si>
    <t>Polystyrene (PS)</t>
  </si>
  <si>
    <t>PS는 식품용기, 일회용 포장재, 생활용품 등에 사용되며 투명성과 성형성이 우수하다. 에틸벤젠 수요의 가장 중요한 다운스트림 중 하나다.</t>
  </si>
  <si>
    <t>안정적 포장재 수요</t>
  </si>
  <si>
    <t>Expandable Polystyrene (EPS)</t>
  </si>
  <si>
    <t>EPS 단열재는 건축 외단열 시스템, 냉장·냉동 물류 포장재에 사용된다. 경량성과 단열성이 핵심 성능이다.</t>
  </si>
  <si>
    <t>건축·인프라 수요</t>
  </si>
  <si>
    <t>SAN Resin</t>
  </si>
  <si>
    <t>SAN 수지는 투명성과 내화학성이 우수하여 전자제품 및 가전 부품에 사용된다. 스티렌 체인의 고기능 수지 시장을 형성한다.</t>
  </si>
  <si>
    <t>기능성 수지 시장</t>
  </si>
  <si>
    <t>Styrene-Butadiene Rubber (SBR)</t>
  </si>
  <si>
    <t>에틸벤젠은 스티렌을 거쳐 SBR 생산에 사용되며 자동차 타이어의 내마모성과 연비 향상에 기여한다.</t>
  </si>
  <si>
    <t>EV 타이어 수혜</t>
  </si>
  <si>
    <t>Styrene-Butadiene Latex</t>
  </si>
  <si>
    <t>SB Latex는 종이코팅, 카펫백킹, 건축용 바인더에 사용되며 접착력과 내구성을 제공한다.</t>
  </si>
  <si>
    <t>산업소재 수요</t>
  </si>
  <si>
    <t>UPR은 풍력 블레이드 및 FRP 복합재에 사용되며 경량성과 성형성이 우수하다. 스티렌 기반 수요 성장처이다.</t>
  </si>
  <si>
    <t>Appliance Housing Materials</t>
  </si>
  <si>
    <t>ABS 및 PS는 냉장고, 세탁기, 소형가전 외장재에 사용되며 외관 품질과 내충격성이 중요하다.</t>
  </si>
  <si>
    <t>생활가전 안정 수요</t>
  </si>
  <si>
    <t>Packaging Materials</t>
  </si>
  <si>
    <t>PS 및 EPS는 식품포장, 보호포장 및 물류 포장재로 사용된다. 위생성과 경량성이 요구되는 시장이다.</t>
  </si>
  <si>
    <t>Industrial Styrenics</t>
  </si>
  <si>
    <t>스티렌계 수지는 범용 플라스틱, 복합재 및 산업용 부품 제조에 광범위하게 사용된다. 에틸벤젠은 이 전체 체인의 핵심 중간체 역할을 수행한다.</t>
  </si>
  <si>
    <t>통합 체인 필수 원료</t>
  </si>
  <si>
    <t>Solvent &amp; Specialty Uses</t>
  </si>
  <si>
    <t>에틸벤젠의 비스티렌 용도는 1% 미만이며 일부 용제, 디에틸벤젠·아세토페논 제조 등에 제한적으로 사용된다.</t>
  </si>
  <si>
    <t>제한적 niche 시장</t>
  </si>
  <si>
    <t>아닐린(C₆H₅NH₂)은 무색의 유상 액체로, 주로 MDI(Methylene Diphenyl Diisocyanate) 생산용 핵심 원료이다. 전 세계 아닐린 수요의 약 85%가 MDI 제조에 사용되며, MDI는 폴리우레탄(PU) 폼 생산에 사용된다.</t>
  </si>
  <si>
    <t>상업 생산의 대부분은 니트로벤젠(Nitrobenzene)의 수소화(Hydrogenation) 공정으로 제조된다. 구리·니켈·귀금속 촉매를 사용하며 수율은 99% 이상이다.</t>
  </si>
  <si>
    <t>MDI production, Polyurethane (PU) foams, Rubber chemicals, Dyes &amp; Pigments, Agrochemicals, Pharmaceuticals</t>
  </si>
  <si>
    <t>Construction &amp; Infrastructure, Automotive &amp; Future Mobility, Consumer &amp; Personal Care, Industrial Manufacturing, Agriculture</t>
  </si>
  <si>
    <t>Medium-Low</t>
  </si>
  <si>
    <t>DuPont (KBR), BorsodChem, Covestro process technologies</t>
  </si>
  <si>
    <t>Very High (Benzene → Nitrobenzene → Aniline → MDI)</t>
  </si>
  <si>
    <t>Medium-High</t>
  </si>
  <si>
    <t>아닐린 시장은 사실상 MDI 시장과 동일한 방향으로 움직인다. 전체 수요의 약 85%가 MDI용이며, MDI 수요는 건설용 단열재·냉장고·가구·자동차용 PU 폼에 의해 결정된다. 대부분의 생산설비가 Nitrobenzene-Aniline-MDI 통합체인으로 운영되어 독립 판매 시장은 제한적이다. 중국이 세계 수요의 약 48%, 생산능력의 53%를 차지하며 공급 주도권을 보유한다.</t>
  </si>
  <si>
    <t>S&amp;P Global Chemical Economics Handbook – Nitrobenzene and Aniline (May 2024)</t>
  </si>
  <si>
    <t>M065</t>
    <phoneticPr fontId="1" type="noConversion"/>
  </si>
  <si>
    <t>Aniline</t>
    <phoneticPr fontId="1" type="noConversion"/>
  </si>
  <si>
    <t>아닐린(C₆H₅NH₂)은 무색의 유상 액체로, 주로 MDI(Methylene Diphenyl Diisocyanate) 생산용 핵심 원료이다. 전 세계 아닐린 수요의 약 85%가 MDI 제조에 사용되며, MDI는 폴리우레탄(PU) 폼 생산에 사용된다.</t>
    <phoneticPr fontId="1" type="noConversion"/>
  </si>
  <si>
    <t>상업 생산의 대부분은 니트로벤젠(Nitrobenzene)의 수소화(Hydrogenation) 공정으로 제조된다. 구리·니켈·귀금속 촉매를 사용하며 수율은 99% 이상이다.</t>
    <phoneticPr fontId="1" type="noConversion"/>
  </si>
  <si>
    <t>금호미쓰이화학(320), 한국바스프(155)</t>
    <phoneticPr fontId="1" type="noConversion"/>
  </si>
  <si>
    <t>MDI Production</t>
  </si>
  <si>
    <t>아닐린의 약 85%는 MDI 생산에 사용된다. MDI는 건축용 단열재, 샌드위치패널, 냉동창고 단열재용 경질 PU 폼의 핵심 원료이다.</t>
  </si>
  <si>
    <t>에너지효율·단열 규제 수혜</t>
  </si>
  <si>
    <t>Polyurethane Rigid Foam</t>
  </si>
  <si>
    <t>경질 PU 폼은 건축물 에너지 절감과 냉장·냉동 설비 단열재 시장에 사용된다.</t>
  </si>
  <si>
    <t>ESG·탄소저감 수혜</t>
  </si>
  <si>
    <t>Polyurethane Flexible Foam</t>
  </si>
  <si>
    <t>자동차 시트, 내장재, NVH 부품 등에 사용되는 연질 PU 폼 수요와 연계된다.</t>
  </si>
  <si>
    <t>자동차 생산 연동</t>
  </si>
  <si>
    <t>침대, 소파, 가구용 쿠션재 시장의 핵심 소재이다.</t>
  </si>
  <si>
    <t>Refrigeration Insulation</t>
  </si>
  <si>
    <t>냉장고·냉동고 단열재용 PU 폼 생산에 사용된다.</t>
  </si>
  <si>
    <t>가전산업 연계</t>
  </si>
  <si>
    <t>Rubber Processing Chemicals</t>
  </si>
  <si>
    <t>타이어 및 고무첨가제 제조용 중간체로 사용된다. 비-MDI 용도 중 가장 큰 시장 중 하나이다.</t>
  </si>
  <si>
    <t>타이어 산업 연계</t>
  </si>
  <si>
    <t>Agriculture</t>
  </si>
  <si>
    <t>제초제 및 농약 원료로 사용된다.</t>
  </si>
  <si>
    <t>농업 수요 연계</t>
  </si>
  <si>
    <t>염료·안료 원료로 사용되며 섬유·잉크 산업에 적용된다.</t>
  </si>
  <si>
    <t>Specialty niche 시장</t>
  </si>
  <si>
    <t>Healthcare &amp; Life Sciences</t>
  </si>
  <si>
    <t>의약 중간체 제조에 사용된다. 규모는 작지만 부가가치가 높다.</t>
  </si>
  <si>
    <t>고부가 스페셜티</t>
  </si>
  <si>
    <t>Specialty Organic Fibers</t>
  </si>
  <si>
    <t>특수 유기섬유 및 기능성 화학제품 제조에 사용된다.</t>
  </si>
  <si>
    <t>Appliance Components</t>
  </si>
  <si>
    <t>PU 단열재를 사용하는 가전제품 생산과 직결된다.</t>
  </si>
  <si>
    <t>가전시장 경기 민감</t>
  </si>
  <si>
    <t>MDI Value Chain Feedstock</t>
  </si>
  <si>
    <t>Nitrobenzene → Aniline → MDI → Polyurethane 체인의 핵심 중간체 역할을 수행한다. 대부분 생산자가 통합 생산체계를 구축하고 있다.</t>
  </si>
  <si>
    <t>통합체인 경쟁력 핵심</t>
  </si>
  <si>
    <t>M093</t>
  </si>
  <si>
    <t>Polyester Chain (PX/PTA Derivatives)</t>
  </si>
  <si>
    <t>Polyethylene Terephthalate (PET)</t>
  </si>
  <si>
    <t>PET는 MEG(Monoethylene Glycol)와 PTA(Purified Terephthalic Acid)의 축합중합으로 제조되는 열가소성 폴리에스터 수지이다. 병(Bottle), 시트, 트레이, 포장재 및 섬유 등에 사용된다.</t>
  </si>
  <si>
    <t>PTA 또는 DMT와 EG의 중축합 → Melt-phase PET → Solid State Polymerization(SSP) → Bottle-grade PET 생산. 최근에는 Melt-to-Resin(MTR), Direct-to-Preform(DTP) 기술 확대.</t>
  </si>
  <si>
    <t>Beverage Bottles, Water Bottles, Food Packaging, Thermoform Sheets &amp; Trays, Films, Polyester Fiber</t>
  </si>
  <si>
    <t>Food &amp; Beverage, Consumer Packaging, Retail, Textile &amp; Apparel, Industrial Packaging</t>
  </si>
  <si>
    <t>Low-Medium</t>
  </si>
  <si>
    <t>롯데케미칼, SK케미칼(rPET 포함), 삼양사 등</t>
  </si>
  <si>
    <t>Net Export (동북아 기준)</t>
  </si>
  <si>
    <t>Uhde Inventa-Fischer, Zimmer, IntegRex(Alfa), MTR Technology 등</t>
  </si>
  <si>
    <t>Very High (PX → PTA → PET)</t>
  </si>
  <si>
    <t>No</t>
  </si>
  <si>
    <t>PET 시장은 글로벌 공급과잉 구조가 심화되고 있으며 중국이 전 세계 PET 병급 수지 생산능력의 약 44%, 동아시아 전체는 약 50%를 차지한다. 지속적인 중국 증설로 글로벌 가동률은 2020년 77%에서 2025년 70%까지 하락하였다.</t>
  </si>
  <si>
    <t>S&amp;P Global CEH – Polyethylene Terephthalate (PET) Bottle-Grade Resins (March 2026)</t>
  </si>
  <si>
    <t>S&amp;P Global CEH</t>
  </si>
  <si>
    <t>PET는 MEG(Monoethylene Glycol)와 PTA(Purified Terephthalic Acid)의 축합중합으로 제조되는 열가소성 폴리에스터 수지이다. 병(Bottle), 시트, 트레이, 포장재 및 섬유 등에 사용된다.</t>
    <phoneticPr fontId="1" type="noConversion"/>
  </si>
  <si>
    <t>PTA 또는 DMT와 EG의 중축합 → Melt-phase PET → Solid State Polymerization(SSP) → Bottle-grade PET 생산. 최근에는 Melt-to-Resin(MTR), Direct-to-Preform(DTP) 기술 확대.</t>
    <phoneticPr fontId="1" type="noConversion"/>
  </si>
  <si>
    <t>n-Butyraldehyde</t>
    <phoneticPr fontId="1" type="noConversion"/>
  </si>
  <si>
    <t>035_n-Butyraldehyde</t>
    <phoneticPr fontId="1" type="noConversion"/>
  </si>
  <si>
    <t>1-Butene은 C4 선형 알파올레핀으로, 폴리에틸렌 공단량체와 polybutene-1, 화학중간체 원료로 사용되는 기초 석유화학 제품이다.</t>
  </si>
  <si>
    <t>주로 스팀크래커 및 FCC 유래 C4 유분의 raffinate 분리·정제를 통해 생산되며, 일부는 에틸렌 기반 on-purpose 부텐-1 공정을 통해 제조된다.</t>
  </si>
  <si>
    <t>Polyethylene comonomer, Polybutene-1, Sec-butyl alcohol/MEK intermediates, Chemical intermediates</t>
  </si>
  <si>
    <t>Construction &amp; Infrastructure (PE pipe), Consumer &amp; Personal Care (packaging), Industrial Manufacturing (polyolefin resins)</t>
  </si>
  <si>
    <t>PE 공단량체 수요가 최대 시장이며 중국 중심의 LAO 증설 확대 영향이 큰 범용 올레핀 계열 제품.</t>
  </si>
  <si>
    <t>CEH Butylenes (May 2024); CEH Linear Alpha-Olefins (May 2026)</t>
  </si>
  <si>
    <t>M076</t>
  </si>
  <si>
    <t>1-Hexene</t>
  </si>
  <si>
    <t>1-Hexene은 C6 선형 알파올레핀으로 주로 고성능 폴리에틸렌용 공단량체로 사용되는 핵심 LAO 제품이다.</t>
  </si>
  <si>
    <t>에틸렌 올리고머화 또는 선택적 on-purpose hexene 공정을 통해 생산되며, 최근에는 PE 공단량체 수요 대응을 위한 전용 설비 증설이 확대되고 있다.</t>
  </si>
  <si>
    <t>HDPE comonomer, LLDPE comonomer, Plastomer, Elastomer, Specialty polyolefins</t>
  </si>
  <si>
    <t>Construction &amp; Infrastructure (pipe), Renewable Energy (POE-related materials), Automotive &amp; Future Mobility (polyolefin elastomers), Consumer &amp; Personal Care (packaging film)</t>
  </si>
  <si>
    <t>Chevron Phillips, Shell SHOP, INEOS Modified Ziegler, Exxon oligomerization process (대표 LAO 기술 계열)</t>
  </si>
  <si>
    <t>PE 공단량체 및 POE 성장에 직접 연계되는 전략적 LAO 제품이며 중국 중심의 신규 on-purpose 및 full-range LAO 증설이 진행 중이다.</t>
  </si>
  <si>
    <t>CEH Linear Alpha-Olefins (May 2026)</t>
  </si>
  <si>
    <t>고순도 이소부틸렌(HPIB)과 소량의 이소프렌을 저온 양이온 공중합하여 생산;</t>
    <phoneticPr fontId="1" type="noConversion"/>
  </si>
  <si>
    <t>이소부틸렌과 소량의 이소프렌을 공중합한 합성고무; 매우 우수한 기체 차단성·내열노화성·내약품성을 보유하여 타이어 및 특수 고무제품에 사용;</t>
    <phoneticPr fontId="1" type="noConversion"/>
  </si>
  <si>
    <t>여천NCC(65), SK지오센트릭(42), LG화학(40), 롯데케미칼(30), 대한유화(6)</t>
    <phoneticPr fontId="1" type="noConversion"/>
  </si>
  <si>
    <t>주로 스팀크래커 및 FCC 유래 C4 유분의 raffinate 분리·정제를 통해 생산(메인); 에틸렌 기반 on-purpose 부텐-1 공정을 통해 제조(보조);</t>
    <phoneticPr fontId="1" type="noConversion"/>
  </si>
  <si>
    <t>이소부틸렌 또는 고순도 이소부틸렌(HPIB)을 양이온 중합(cationic polymerization)하여 생산; 분자량에 따라 저분자(HR-PIB), 중분자 및 고분자 PIB 제품으로 구분;</t>
    <phoneticPr fontId="1" type="noConversion"/>
  </si>
  <si>
    <t>우수한 기밀성·점착성·내수성·화학안정성을 바탕으로 윤활유 첨가제, 연료첨가제, 접착제, 실란트 및 고무 응용 분야에 사용;</t>
    <phoneticPr fontId="1" type="noConversion"/>
  </si>
  <si>
    <t>MTBE·고순도 이소부틸렌(HPIB)·폴리이소부틸렌·부틸고무 등의 핵심 원료로 사용;</t>
    <phoneticPr fontId="1" type="noConversion"/>
  </si>
  <si>
    <t>주로 정유 FCC C4 스트림 및 스팀크래커 C4 부산물에서 회수(메인); 이소부탄 탈수소화(Oleflex, CATOFIN 등) 또는 TBA 탈수 공정을 통해 온퍼포즈 생산도 가능(보조)</t>
    <phoneticPr fontId="1" type="noConversion"/>
  </si>
  <si>
    <t>폴리에틸렌 공단량체와 polybutene-1, 화학중간체 원료로 사용되는 기초 석유화학 제품;</t>
    <phoneticPr fontId="1" type="noConversion"/>
  </si>
  <si>
    <t>M052</t>
    <phoneticPr fontId="1" type="noConversion"/>
  </si>
  <si>
    <t>1-Butene</t>
    <phoneticPr fontId="1" type="noConversion"/>
  </si>
  <si>
    <t>에틸렌 올리고머화 또는 선택적 on-purpose hexene 공정을 통해 생산; 최근에는 PE 공단량체 수요 대응을 위한 전용 설비 증설이 확대;</t>
    <phoneticPr fontId="1" type="noConversion"/>
  </si>
  <si>
    <t>1-Hexene은 C6 선형 알파올레핀으로 주로 고성능 폴리에틸렌용 공단량체로 사용되는 핵심 LAO 제품;</t>
    <phoneticPr fontId="1" type="noConversion"/>
  </si>
  <si>
    <t>IPA(Isopropyl Alcohol)는 휘발성과 용해성이 우수한 알코올계 용제; 전자세정·의약·코팅·소독용 등에 널리 사용되는 무색 액체;</t>
    <phoneticPr fontId="1" type="noConversion"/>
  </si>
  <si>
    <t>M075</t>
  </si>
  <si>
    <t>Linear Alpha-Olefins (LAO)</t>
  </si>
  <si>
    <t>LAO는 에틸렌 올리고머화로 생산되는 선형 알파올레핀 계열 제품군으로, PE 공단량체·PAO·계면활성제·세제알코올 등의 핵심 원료이다.</t>
  </si>
  <si>
    <t>주로 에틸렌 올리고머화(Ziegler, SHOP 등) 공정을 통해 C4~C30+ 범위의 선형 알파올레핀을 생산한다.</t>
  </si>
  <si>
    <t>Polyethylene comonomers, PAO, Detergent alcohols, Surfactants, Lubricant additives</t>
  </si>
  <si>
    <t>Consumer &amp; Personal Care (detergents), Construction &amp; Infrastructure (PE pipe), Automotive &amp; Future Mobility (lubricants), Renewable Energy (wind turbine lubricants)</t>
  </si>
  <si>
    <t>Chevron Phillips Ziegler Process; Shell SHOP; INEOS Modified Ziegler</t>
  </si>
  <si>
    <t>PE 공단량체와 PAO 중심의 대형 시장이나 중국 중심 대규모 증설 진행 중.</t>
  </si>
  <si>
    <t>Linear Alpha-Olefins (LAO)</t>
    <phoneticPr fontId="1" type="noConversion"/>
  </si>
  <si>
    <t>LAO는 에틸렌 올리고머화로 생산되는 선형 알파올레핀 계열 제품군; PE 공단량체·PAO·계면활성제·세제알코올 등의 핵심 원료;</t>
    <phoneticPr fontId="1" type="noConversion"/>
  </si>
  <si>
    <t>주로 에틸렌 올리고머화(Ziegler, SHOP 등) 공정을 통해 C4~C30+ 범위의 선형 알파올레핀을 생산;</t>
    <phoneticPr fontId="1" type="noConversion"/>
  </si>
  <si>
    <t>PE Comonomers (HDPE/LLDPE)</t>
  </si>
  <si>
    <t>C4·C6·C8 LAO는 HDPE 및 LLDPE 공단량체로 사용되어 파이프, 산업용 용기 및 필름의 강도와 내충격성을 향상시킨다.</t>
  </si>
  <si>
    <t>인프라 수요 연계</t>
  </si>
  <si>
    <t>Packaging Film Resins</t>
  </si>
  <si>
    <t>LAO 기반 LLDPE는 식품 및 생활소비재 포장 필름에 사용되며 가공성·인장강도·밀봉성을 개선한다.</t>
  </si>
  <si>
    <t>Polyalphaolefin Feedstock</t>
  </si>
  <si>
    <t>Decene-1, Octene-1, Dodecene-1은 PAO 제조 원료로 사용되며 고성능 윤활유 가치사슬의 핵심 중간체이다.</t>
  </si>
  <si>
    <t>고부가 specialty</t>
  </si>
  <si>
    <t>Detergent Alcohols</t>
  </si>
  <si>
    <t>C10~C14 LAO는 세제알코올 원료로 사용되며 가정용 세제와 산업용 세정제의 계면활성제 생산에 활용된다.</t>
  </si>
  <si>
    <t>Alpha Olefin Sulfonates (AOS)</t>
  </si>
  <si>
    <t>C14~C16 LAO는 고성능 음이온 계면활성제인 AOS 제조에 사용되며 세정력과 생분해성이 우수하다.</t>
  </si>
  <si>
    <t>친환경 계면활성제</t>
  </si>
  <si>
    <t>Lubricant Additives</t>
  </si>
  <si>
    <t>황화 LAO, 알킬나프탈렌 등은 엔진오일·기어오일 첨가제로 사용되어 마모방지 및 극압 특성을 제공한다.</t>
  </si>
  <si>
    <t>OEM 승인 중요</t>
  </si>
  <si>
    <t>Catalyst Precursors</t>
  </si>
  <si>
    <t>C6~C8 LAO는 알루미늄 알킬 제조에 사용되며 폴리올레핀 촉매 체계의 핵심 원료 역할을 수행한다.</t>
  </si>
  <si>
    <t>고부가 촉매 소재</t>
  </si>
  <si>
    <t>Oilfield Drilling Fluids</t>
  </si>
  <si>
    <t>C14~C18 LAO는 시추유체용 윤활제 및 cuttings 제거용 베이스 유체로 사용된다.</t>
  </si>
  <si>
    <t>에너지 개발 연계</t>
  </si>
  <si>
    <t>Industrial Surfactants</t>
  </si>
  <si>
    <t>LAO 유도체는 세정제, 습윤제 및 분산제로 사용되며 산업용 수처리 및 세정 시장에 적용된다.</t>
  </si>
  <si>
    <t>환경 규제 수혜</t>
  </si>
  <si>
    <t>M077</t>
  </si>
  <si>
    <t>Polyalphaolefin (PAO)</t>
  </si>
  <si>
    <t>PAO는 선형 알파올레핀을 올리고머화하여 제조하는 고성능 합성윤활유 기유(Group IV)로 자동차·산업용 윤활유의 핵심 소재이다.</t>
  </si>
  <si>
    <t>Decene-1 중심의 LAO를 BF3 촉매로 올리고머화한 후 수소첨가하여 제조한다. 일부 제품은 Octene·Dodecene 기반 또는 메탈로센 기반 mPAO 기술을 사용한다.</t>
  </si>
  <si>
    <t>Synthetic engine oil, Gear oil, Industrial lubricants, Wind turbine lubricants, Heat-transfer fluids</t>
  </si>
  <si>
    <t>Automotive &amp; Future Mobility (engine oil, transmission fluid), Renewable Energy (wind turbine lubricants), Industrial Manufacturing (industrial gear oil), Power &amp; Electrical Infrastructure (transformer fluids)</t>
  </si>
  <si>
    <t>N</t>
  </si>
  <si>
    <t>OEM 승인, 윤활성능 검증 및 고객 qualification이 중요한 고부가 합성윤활유 기유 시장.</t>
  </si>
  <si>
    <t>PAO(Polyalphaolefin)</t>
    <phoneticPr fontId="1" type="noConversion"/>
  </si>
  <si>
    <t>PAO는 선형 알파올레핀을 올리고머화하여 제조하는 고성능 합성윤활유 기유(Group IV); 자동차·산업용 윤활유의 핵심 소재;</t>
    <phoneticPr fontId="1" type="noConversion"/>
  </si>
  <si>
    <t>Decene-1 중심의 LAO를 BF3 촉매로 올리고머화한 후 수소첨가하여 제조(메인); 일부 제품은 Octene·Dodecene 기반 또는 메탈로센 기반 mPAO 기술을 사용(보조);</t>
    <phoneticPr fontId="1" type="noConversion"/>
  </si>
  <si>
    <t>Automotive Engine Oils</t>
  </si>
  <si>
    <t>PAO는 높은 점도지수와 우수한 산화안정성을 바탕으로 고급 승용차 엔진오일에 사용되며 연비 향상과 장수명을 제공한다.</t>
  </si>
  <si>
    <t>EV·고효율차 수혜</t>
  </si>
  <si>
    <t>Transmission Fluids</t>
  </si>
  <si>
    <t>자동변속기유 및 드라이브라인 윤활유에 사용되어 고온·고토크 조건에서도 안정적인 윤활 성능을 제공한다.</t>
  </si>
  <si>
    <t>Heavy-duty Gear Oils</t>
  </si>
  <si>
    <t>산업용 기어박스 및 중장비용 윤활유에 사용되며 긴 교환주기와 높은 장비 신뢰성을 제공한다.</t>
  </si>
  <si>
    <t>고부가 유지보수</t>
  </si>
  <si>
    <t>Wind Turbine Gear Lubricants</t>
  </si>
  <si>
    <t>풍력발전기 기어박스 윤활유에 사용되며 극한 온도와 고하중 환경에서 긴 수명을 제공한다.</t>
  </si>
  <si>
    <t>Hydraulic Fluids</t>
  </si>
  <si>
    <t>산업설비 및 건설장비용 유압유에 사용되며 우수한 저온유동성과 산화안정성을 제공한다.</t>
  </si>
  <si>
    <t>산업자동화 연계</t>
  </si>
  <si>
    <t>Aviation Lubricants</t>
  </si>
  <si>
    <t>항공기 엔진 및 항공장비 윤활유에 사용되며 극저온·고온 환경에서도 안정적인 성능을 유지한다.</t>
  </si>
  <si>
    <t>항공 인증 진입장벽</t>
  </si>
  <si>
    <t>Heat-transfer Fluids</t>
  </si>
  <si>
    <t>우수한 열안정성을 바탕으로 열전달유 및 특수 냉각유로 사용된다.</t>
  </si>
  <si>
    <t>데이터센터 확장 가능</t>
  </si>
  <si>
    <t>Transformer Dielectric Fluids</t>
  </si>
  <si>
    <t>절연성과 산화안정성이 우수하여 특수 변압기 절연유 및 전력설비용 유체로 사용된다.</t>
  </si>
  <si>
    <t>EV Thermal Fluids</t>
  </si>
  <si>
    <t>Battery &amp; Energy Storage</t>
  </si>
  <si>
    <t>EV 배터리 냉각유 및 드라이브라인 유체용 고성능 베이스오일로 활용 가능하며 에너지 효율 향상에 기여한다.</t>
  </si>
  <si>
    <t>EV 성장 직접 수혜</t>
  </si>
  <si>
    <t>Specialty Greases</t>
  </si>
  <si>
    <t>고온 베어링 및 장수명 산업용 그리스의 기유로 사용되며 유지보수 비용 절감 효과가 크다.</t>
  </si>
  <si>
    <t>074_Caprolactam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</si>
</sst>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맑은 고딕"/>
      <family val="2"/>
      <scheme val="minor"/>
    </font>
    <font>
      <sz val="8"/>
      <name val="맑은 고딕"/>
      <family val="3"/>
      <charset val="129"/>
      <scheme val="minor"/>
    </font>
    <font>
      <b/>
      <sz val="11"/>
      <color theme="0"/>
      <name val="맑은 고딕"/>
      <family val="2"/>
      <scheme val="minor"/>
    </font>
    <font>
      <u/>
      <sz val="11"/>
      <color theme="10"/>
      <name val="맑은 고딕"/>
      <family val="2"/>
      <scheme val="minor"/>
    </font>
    <font>
      <b/>
      <sz val="11"/>
      <color theme="0"/>
      <name val="맑은 고딕"/>
      <family val="3"/>
      <charset val="129"/>
      <scheme val="minor"/>
    </font>
    <font>
      <b/>
      <sz val="11"/>
      <color theme="1"/>
      <name val="맑은 고딕"/>
      <family val="3"/>
      <charset val="129"/>
      <scheme val="minor"/>
    </font>
    <font>
      <sz val="11"/>
      <color theme="1"/>
      <name val="맑은 고딕"/>
      <family val="3"/>
      <charset val="129"/>
      <scheme val="minor"/>
    </font>
    <font>
      <sz val="11"/>
      <color theme="1"/>
      <name val="맑은 고딕"/>
      <family val="2"/>
      <scheme val="minor"/>
    </font>
    <font>
      <sz val="11"/>
      <name val="맑은 고딕"/>
      <family val="2"/>
      <scheme val="minor"/>
    </font>
    <font>
      <sz val="11"/>
      <name val="맑은 고딕"/>
      <family val="3"/>
      <charset val="129"/>
      <scheme val="minor"/>
    </font>
    <font>
      <sz val="11"/>
      <color theme="1"/>
      <name val="맑은 고딕"/>
      <family val="3"/>
      <charset val="129"/>
    </font>
    <font>
      <sz val="11"/>
      <color theme="1"/>
      <name val="Calibri"/>
      <family val="2"/>
      <charset val="161"/>
    </font>
    <font>
      <sz val="11"/>
      <color theme="2"/>
      <name val="맑은 고딕"/>
      <family val="3"/>
      <charset val="129"/>
      <scheme val="minor"/>
    </font>
    <font>
      <b/>
      <sz val="11"/>
      <name val="맑은 고딕"/>
      <family val="2"/>
      <scheme val="minor"/>
    </font>
    <font>
      <b/>
      <sz val="11"/>
      <name val="맑은 고딕"/>
      <family val="3"/>
      <charset val="129"/>
      <scheme val="minor"/>
    </font>
  </fonts>
  <fills count="13">
    <fill>
      <patternFill patternType="none"/>
    </fill>
    <fill>
      <patternFill patternType="gray125"/>
    </fill>
    <fill>
      <patternFill patternType="solid">
        <fgColor theme="1"/>
        <bgColor theme="1"/>
      </patternFill>
    </fill>
    <fill>
      <patternFill patternType="solid">
        <fgColor theme="8"/>
        <bgColor theme="1"/>
      </patternFill>
    </fill>
    <fill>
      <patternFill patternType="solid">
        <fgColor rgb="FFFFFF00"/>
        <bgColor indexed="64"/>
      </patternFill>
    </fill>
    <fill>
      <patternFill patternType="solid">
        <fgColor theme="2"/>
        <bgColor indexed="64"/>
      </patternFill>
    </fill>
    <fill>
      <patternFill patternType="solid">
        <fgColor theme="4"/>
        <bgColor indexed="64"/>
      </patternFill>
    </fill>
    <fill>
      <patternFill patternType="solid">
        <fgColor theme="3"/>
        <bgColor indexed="64"/>
      </patternFill>
    </fill>
    <fill>
      <patternFill patternType="solid">
        <fgColor theme="5"/>
        <bgColor indexed="64"/>
      </patternFill>
    </fill>
    <fill>
      <patternFill patternType="solid">
        <fgColor theme="7"/>
        <bgColor indexed="64"/>
      </patternFill>
    </fill>
    <fill>
      <patternFill patternType="solid">
        <fgColor theme="6"/>
        <bgColor indexed="64"/>
      </patternFill>
    </fill>
    <fill>
      <patternFill patternType="solid">
        <fgColor theme="8"/>
        <bgColor indexed="64"/>
      </patternFill>
    </fill>
    <fill>
      <patternFill patternType="solid">
        <fgColor rgb="FFFFFF00"/>
        <bgColor theme="1"/>
      </patternFill>
    </fill>
  </fills>
  <borders count="5">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9" fontId="7" fillId="0" borderId="0" applyFont="0" applyFill="0" applyBorder="0" applyAlignment="0" applyProtection="0">
      <alignment vertical="center"/>
    </xf>
  </cellStyleXfs>
  <cellXfs count="58">
    <xf numFmtId="0" fontId="0" fillId="0" borderId="0" xfId="0"/>
    <xf numFmtId="0" fontId="0" fillId="0" borderId="0" xfId="0" applyAlignment="1">
      <alignment vertical="center" wrapText="1"/>
    </xf>
    <xf numFmtId="0" fontId="2" fillId="2" borderId="2" xfId="0" applyFont="1" applyFill="1" applyBorder="1"/>
    <xf numFmtId="0" fontId="2" fillId="2" borderId="1" xfId="0" applyFont="1" applyFill="1" applyBorder="1"/>
    <xf numFmtId="0" fontId="2" fillId="3" borderId="1" xfId="0" applyFont="1" applyFill="1" applyBorder="1"/>
    <xf numFmtId="0" fontId="2" fillId="2" borderId="1" xfId="0" applyFont="1" applyFill="1" applyBorder="1" applyAlignment="1">
      <alignment vertical="top"/>
    </xf>
    <xf numFmtId="0" fontId="0" fillId="0" borderId="2" xfId="0" applyBorder="1" applyAlignment="1">
      <alignment vertical="top" wrapText="1"/>
    </xf>
    <xf numFmtId="0" fontId="2" fillId="2" borderId="2" xfId="0" applyFont="1" applyFill="1" applyBorder="1" applyAlignment="1">
      <alignment vertical="top"/>
    </xf>
    <xf numFmtId="0" fontId="2" fillId="2" borderId="3" xfId="0" applyFont="1" applyFill="1" applyBorder="1" applyAlignment="1">
      <alignment vertical="top"/>
    </xf>
    <xf numFmtId="0" fontId="4" fillId="2" borderId="2" xfId="0" applyFont="1" applyFill="1" applyBorder="1" applyAlignment="1">
      <alignment vertical="top"/>
    </xf>
    <xf numFmtId="0" fontId="0" fillId="0" borderId="0" xfId="0" applyAlignment="1">
      <alignment vertical="top" wrapText="1"/>
    </xf>
    <xf numFmtId="0" fontId="0" fillId="0" borderId="2"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3" fillId="0" borderId="0" xfId="1" applyAlignment="1">
      <alignment vertical="center" wrapText="1"/>
    </xf>
    <xf numFmtId="0" fontId="0" fillId="0" borderId="0" xfId="0" applyAlignment="1">
      <alignment horizontal="left"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0" fillId="4" borderId="0" xfId="0" applyFill="1" applyAlignment="1">
      <alignment vertical="center" wrapText="1"/>
    </xf>
    <xf numFmtId="0" fontId="0" fillId="0" borderId="0" xfId="0" applyAlignment="1">
      <alignment vertical="center"/>
    </xf>
    <xf numFmtId="0" fontId="8" fillId="0" borderId="0" xfId="0" applyFont="1" applyAlignment="1">
      <alignment vertical="center" wrapText="1"/>
    </xf>
    <xf numFmtId="0" fontId="9"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2" applyFont="1" applyAlignment="1"/>
    <xf numFmtId="0" fontId="0" fillId="5" borderId="0" xfId="0" applyFill="1" applyAlignment="1">
      <alignment horizontal="center"/>
    </xf>
    <xf numFmtId="0" fontId="0" fillId="6" borderId="0" xfId="0" applyFill="1"/>
    <xf numFmtId="0" fontId="0" fillId="7" borderId="0" xfId="0" applyFill="1"/>
    <xf numFmtId="0" fontId="0" fillId="8" borderId="0" xfId="0" applyFill="1"/>
    <xf numFmtId="0" fontId="0" fillId="9" borderId="0" xfId="0" applyFill="1" applyAlignment="1">
      <alignment vertical="center" wrapText="1"/>
    </xf>
    <xf numFmtId="0" fontId="0" fillId="9" borderId="0" xfId="0" applyFill="1"/>
    <xf numFmtId="0" fontId="0" fillId="10" borderId="0" xfId="0" applyFill="1" applyAlignment="1">
      <alignment vertical="center" wrapText="1"/>
    </xf>
    <xf numFmtId="0" fontId="0" fillId="10" borderId="0" xfId="0" applyFill="1"/>
    <xf numFmtId="0" fontId="0" fillId="11" borderId="0" xfId="0" applyFill="1" applyAlignment="1">
      <alignment vertical="center" wrapText="1"/>
    </xf>
    <xf numFmtId="0" fontId="8" fillId="9" borderId="0" xfId="0" applyFont="1" applyFill="1" applyAlignment="1">
      <alignment vertical="center" wrapText="1"/>
    </xf>
    <xf numFmtId="0" fontId="0" fillId="9" borderId="2" xfId="0" applyFill="1" applyBorder="1" applyAlignment="1">
      <alignment horizontal="left" vertical="top" wrapText="1"/>
    </xf>
    <xf numFmtId="0" fontId="0" fillId="9" borderId="2" xfId="0" applyFill="1" applyBorder="1" applyAlignment="1">
      <alignment vertical="top" wrapText="1"/>
    </xf>
    <xf numFmtId="0" fontId="0" fillId="9" borderId="0" xfId="0" applyFill="1" applyAlignment="1">
      <alignment horizontal="left" vertical="center" wrapText="1"/>
    </xf>
    <xf numFmtId="0" fontId="6" fillId="9" borderId="0" xfId="0" applyFont="1" applyFill="1" applyAlignment="1">
      <alignment vertical="center" wrapText="1"/>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8" fillId="0" borderId="0" xfId="0" applyFont="1" applyAlignment="1">
      <alignment horizontal="left" vertical="top" wrapText="1"/>
    </xf>
    <xf numFmtId="0" fontId="2" fillId="2" borderId="3" xfId="0" applyFont="1" applyFill="1" applyBorder="1" applyAlignment="1">
      <alignment horizontal="left" vertical="top"/>
    </xf>
    <xf numFmtId="0" fontId="4" fillId="2" borderId="2" xfId="0" applyFont="1" applyFill="1" applyBorder="1" applyAlignment="1">
      <alignment horizontal="left" vertical="top"/>
    </xf>
    <xf numFmtId="0" fontId="5" fillId="0" borderId="0" xfId="0" applyFont="1"/>
    <xf numFmtId="0" fontId="2" fillId="2" borderId="2" xfId="0" applyFont="1" applyFill="1" applyBorder="1" applyAlignment="1">
      <alignment horizontal="left" vertical="top" wrapText="1"/>
    </xf>
    <xf numFmtId="0" fontId="6" fillId="0" borderId="0" xfId="0" applyFont="1" applyAlignment="1">
      <alignment horizontal="center" vertical="center" wrapText="1"/>
    </xf>
    <xf numFmtId="0" fontId="0" fillId="9" borderId="3" xfId="0" applyFill="1" applyBorder="1" applyAlignment="1">
      <alignment vertical="center" wrapText="1"/>
    </xf>
    <xf numFmtId="0" fontId="12" fillId="0" borderId="0" xfId="0" applyFont="1"/>
    <xf numFmtId="0" fontId="5" fillId="0" borderId="4" xfId="0" applyFont="1" applyBorder="1" applyAlignment="1">
      <alignment horizontal="center"/>
    </xf>
    <xf numFmtId="0" fontId="0" fillId="0" borderId="4" xfId="0" applyBorder="1"/>
    <xf numFmtId="0" fontId="0" fillId="0" borderId="4" xfId="0" applyBorder="1" applyAlignment="1">
      <alignment horizontal="center"/>
    </xf>
    <xf numFmtId="0" fontId="2" fillId="2" borderId="4" xfId="0" applyFont="1" applyFill="1" applyBorder="1"/>
    <xf numFmtId="0" fontId="2" fillId="2" borderId="4" xfId="0" applyFont="1" applyFill="1" applyBorder="1" applyAlignment="1">
      <alignment vertical="top"/>
    </xf>
    <xf numFmtId="0" fontId="13" fillId="12" borderId="4" xfId="0" applyFont="1" applyFill="1" applyBorder="1" applyAlignment="1">
      <alignment vertical="top"/>
    </xf>
    <xf numFmtId="0" fontId="14" fillId="12" borderId="4" xfId="0" applyFont="1" applyFill="1" applyBorder="1" applyAlignment="1">
      <alignment vertical="top"/>
    </xf>
    <xf numFmtId="0" fontId="0" fillId="0" borderId="4" xfId="0" applyBorder="1" applyAlignment="1">
      <alignment horizontal="left" vertical="top" wrapText="1"/>
    </xf>
  </cellXfs>
  <cellStyles count="3">
    <cellStyle name="백분율" xfId="2" builtinId="5"/>
    <cellStyle name="표준" xfId="0" builtinId="0"/>
    <cellStyle name="하이퍼링크" xfId="1" builtinId="8"/>
  </cellStyles>
  <dxfs count="424">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indent="0" justifyLastLine="0" shrinkToFit="0" readingOrder="0"/>
      <border diagonalUp="0" diagonalDown="0" outline="0">
        <left/>
        <right/>
        <top style="thin">
          <color theme="1"/>
        </top>
        <bottom/>
      </border>
    </dxf>
    <dxf>
      <alignment horizontal="left"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numFmt numFmtId="0" formatCode="General"/>
    </dxf>
    <dxf>
      <font>
        <b/>
        <i val="0"/>
        <strike val="0"/>
        <condense val="0"/>
        <extend val="0"/>
        <outline val="0"/>
        <shadow val="0"/>
        <u val="none"/>
        <vertAlign val="baseline"/>
        <sz val="11"/>
        <color theme="0"/>
        <name val="맑은 고딕"/>
        <family val="2"/>
        <scheme val="minor"/>
      </font>
      <fill>
        <patternFill patternType="solid">
          <fgColor theme="1"/>
          <bgColor theme="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0"/>
        <name val="맑은 고딕"/>
        <family val="2"/>
        <scheme val="minor"/>
      </font>
      <fill>
        <patternFill patternType="solid">
          <fgColor theme="1"/>
          <bgColor theme="1"/>
        </patternFill>
      </fill>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pivotCacheDefinition" Target="pivotCache/pivotCacheDefinition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externalLink" Target="externalLinks/externalLink1.xml"/><Relationship Id="rId9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2</xdr:row>
      <xdr:rowOff>0</xdr:rowOff>
    </xdr:from>
    <xdr:to>
      <xdr:col>13</xdr:col>
      <xdr:colOff>656886</xdr:colOff>
      <xdr:row>17</xdr:row>
      <xdr:rowOff>94845</xdr:rowOff>
    </xdr:to>
    <xdr:pic>
      <xdr:nvPicPr>
        <xdr:cNvPr id="2" name="그림 1">
          <a:extLst>
            <a:ext uri="{FF2B5EF4-FFF2-40B4-BE49-F238E27FC236}">
              <a16:creationId xmlns:a16="http://schemas.microsoft.com/office/drawing/2014/main" id="{99E5D6E4-8CCA-4353-881B-5A52FB756783}"/>
            </a:ext>
          </a:extLst>
        </xdr:cNvPr>
        <xdr:cNvPicPr>
          <a:picLocks noChangeAspect="1"/>
        </xdr:cNvPicPr>
      </xdr:nvPicPr>
      <xdr:blipFill>
        <a:blip xmlns:r="http://schemas.openxmlformats.org/officeDocument/2006/relationships" r:embed="rId1"/>
        <a:stretch>
          <a:fillRect/>
        </a:stretch>
      </xdr:blipFill>
      <xdr:spPr>
        <a:xfrm>
          <a:off x="11487150" y="419100"/>
          <a:ext cx="2714286" cy="3238095"/>
        </a:xfrm>
        <a:prstGeom prst="rect">
          <a:avLst/>
        </a:prstGeom>
      </xdr:spPr>
    </xdr:pic>
    <xdr:clientData/>
  </xdr:twoCellAnchor>
  <xdr:twoCellAnchor editAs="oneCell">
    <xdr:from>
      <xdr:col>10</xdr:col>
      <xdr:colOff>0</xdr:colOff>
      <xdr:row>18</xdr:row>
      <xdr:rowOff>0</xdr:rowOff>
    </xdr:from>
    <xdr:to>
      <xdr:col>13</xdr:col>
      <xdr:colOff>409267</xdr:colOff>
      <xdr:row>32</xdr:row>
      <xdr:rowOff>94871</xdr:rowOff>
    </xdr:to>
    <xdr:pic>
      <xdr:nvPicPr>
        <xdr:cNvPr id="3" name="그림 2">
          <a:extLst>
            <a:ext uri="{FF2B5EF4-FFF2-40B4-BE49-F238E27FC236}">
              <a16:creationId xmlns:a16="http://schemas.microsoft.com/office/drawing/2014/main" id="{CC5C584B-B869-4072-A803-99702755774F}"/>
            </a:ext>
          </a:extLst>
        </xdr:cNvPr>
        <xdr:cNvPicPr>
          <a:picLocks noChangeAspect="1"/>
        </xdr:cNvPicPr>
      </xdr:nvPicPr>
      <xdr:blipFill>
        <a:blip xmlns:r="http://schemas.openxmlformats.org/officeDocument/2006/relationships" r:embed="rId2"/>
        <a:stretch>
          <a:fillRect/>
        </a:stretch>
      </xdr:blipFill>
      <xdr:spPr>
        <a:xfrm>
          <a:off x="11487150" y="3771900"/>
          <a:ext cx="2466667" cy="3028571"/>
        </a:xfrm>
        <a:prstGeom prst="rect">
          <a:avLst/>
        </a:prstGeom>
      </xdr:spPr>
    </xdr:pic>
    <xdr:clientData/>
  </xdr:twoCellAnchor>
  <xdr:twoCellAnchor editAs="oneCell">
    <xdr:from>
      <xdr:col>10</xdr:col>
      <xdr:colOff>47625</xdr:colOff>
      <xdr:row>64</xdr:row>
      <xdr:rowOff>38100</xdr:rowOff>
    </xdr:from>
    <xdr:to>
      <xdr:col>14</xdr:col>
      <xdr:colOff>1904</xdr:colOff>
      <xdr:row>79</xdr:row>
      <xdr:rowOff>104374</xdr:rowOff>
    </xdr:to>
    <xdr:pic>
      <xdr:nvPicPr>
        <xdr:cNvPr id="4" name="그림 3">
          <a:extLst>
            <a:ext uri="{FF2B5EF4-FFF2-40B4-BE49-F238E27FC236}">
              <a16:creationId xmlns:a16="http://schemas.microsoft.com/office/drawing/2014/main" id="{2A90FBC0-770F-496A-943F-0B6F68194A74}"/>
            </a:ext>
          </a:extLst>
        </xdr:cNvPr>
        <xdr:cNvPicPr>
          <a:picLocks noChangeAspect="1"/>
        </xdr:cNvPicPr>
      </xdr:nvPicPr>
      <xdr:blipFill>
        <a:blip xmlns:r="http://schemas.openxmlformats.org/officeDocument/2006/relationships" r:embed="rId3"/>
        <a:stretch>
          <a:fillRect/>
        </a:stretch>
      </xdr:blipFill>
      <xdr:spPr>
        <a:xfrm>
          <a:off x="11534775" y="13449300"/>
          <a:ext cx="2697479" cy="3209524"/>
        </a:xfrm>
        <a:prstGeom prst="rect">
          <a:avLst/>
        </a:prstGeom>
      </xdr:spPr>
    </xdr:pic>
    <xdr:clientData/>
  </xdr:twoCellAnchor>
  <xdr:twoCellAnchor editAs="oneCell">
    <xdr:from>
      <xdr:col>10</xdr:col>
      <xdr:colOff>47625</xdr:colOff>
      <xdr:row>80</xdr:row>
      <xdr:rowOff>38100</xdr:rowOff>
    </xdr:from>
    <xdr:to>
      <xdr:col>13</xdr:col>
      <xdr:colOff>456892</xdr:colOff>
      <xdr:row>86</xdr:row>
      <xdr:rowOff>76038</xdr:rowOff>
    </xdr:to>
    <xdr:pic>
      <xdr:nvPicPr>
        <xdr:cNvPr id="5" name="그림 4">
          <a:extLst>
            <a:ext uri="{FF2B5EF4-FFF2-40B4-BE49-F238E27FC236}">
              <a16:creationId xmlns:a16="http://schemas.microsoft.com/office/drawing/2014/main" id="{C8C4E156-9897-42C0-BF8F-0F58E0778BE9}"/>
            </a:ext>
          </a:extLst>
        </xdr:cNvPr>
        <xdr:cNvPicPr>
          <a:picLocks noChangeAspect="1"/>
        </xdr:cNvPicPr>
      </xdr:nvPicPr>
      <xdr:blipFill>
        <a:blip xmlns:r="http://schemas.openxmlformats.org/officeDocument/2006/relationships" r:embed="rId4"/>
        <a:stretch>
          <a:fillRect/>
        </a:stretch>
      </xdr:blipFill>
      <xdr:spPr>
        <a:xfrm>
          <a:off x="11534775" y="16802100"/>
          <a:ext cx="2466667" cy="12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12</xdr:col>
      <xdr:colOff>656886</xdr:colOff>
      <xdr:row>17</xdr:row>
      <xdr:rowOff>94845</xdr:rowOff>
    </xdr:to>
    <xdr:pic>
      <xdr:nvPicPr>
        <xdr:cNvPr id="2" name="그림 1">
          <a:extLst>
            <a:ext uri="{FF2B5EF4-FFF2-40B4-BE49-F238E27FC236}">
              <a16:creationId xmlns:a16="http://schemas.microsoft.com/office/drawing/2014/main" id="{5B4F8268-36ED-CA27-4264-87724B218D81}"/>
            </a:ext>
          </a:extLst>
        </xdr:cNvPr>
        <xdr:cNvPicPr>
          <a:picLocks noChangeAspect="1"/>
        </xdr:cNvPicPr>
      </xdr:nvPicPr>
      <xdr:blipFill>
        <a:blip xmlns:r="http://schemas.openxmlformats.org/officeDocument/2006/relationships" r:embed="rId1"/>
        <a:stretch>
          <a:fillRect/>
        </a:stretch>
      </xdr:blipFill>
      <xdr:spPr>
        <a:xfrm>
          <a:off x="9344025" y="419100"/>
          <a:ext cx="2714286" cy="3238095"/>
        </a:xfrm>
        <a:prstGeom prst="rect">
          <a:avLst/>
        </a:prstGeom>
      </xdr:spPr>
    </xdr:pic>
    <xdr:clientData/>
  </xdr:twoCellAnchor>
  <xdr:twoCellAnchor editAs="oneCell">
    <xdr:from>
      <xdr:col>9</xdr:col>
      <xdr:colOff>0</xdr:colOff>
      <xdr:row>18</xdr:row>
      <xdr:rowOff>0</xdr:rowOff>
    </xdr:from>
    <xdr:to>
      <xdr:col>12</xdr:col>
      <xdr:colOff>409267</xdr:colOff>
      <xdr:row>32</xdr:row>
      <xdr:rowOff>94871</xdr:rowOff>
    </xdr:to>
    <xdr:pic>
      <xdr:nvPicPr>
        <xdr:cNvPr id="3" name="그림 2">
          <a:extLst>
            <a:ext uri="{FF2B5EF4-FFF2-40B4-BE49-F238E27FC236}">
              <a16:creationId xmlns:a16="http://schemas.microsoft.com/office/drawing/2014/main" id="{8FC991BE-163D-7720-B124-7FCF0AF35C8C}"/>
            </a:ext>
          </a:extLst>
        </xdr:cNvPr>
        <xdr:cNvPicPr>
          <a:picLocks noChangeAspect="1"/>
        </xdr:cNvPicPr>
      </xdr:nvPicPr>
      <xdr:blipFill>
        <a:blip xmlns:r="http://schemas.openxmlformats.org/officeDocument/2006/relationships" r:embed="rId2"/>
        <a:stretch>
          <a:fillRect/>
        </a:stretch>
      </xdr:blipFill>
      <xdr:spPr>
        <a:xfrm>
          <a:off x="9344025" y="3771900"/>
          <a:ext cx="2466667" cy="3028571"/>
        </a:xfrm>
        <a:prstGeom prst="rect">
          <a:avLst/>
        </a:prstGeom>
      </xdr:spPr>
    </xdr:pic>
    <xdr:clientData/>
  </xdr:twoCellAnchor>
  <xdr:twoCellAnchor editAs="oneCell">
    <xdr:from>
      <xdr:col>9</xdr:col>
      <xdr:colOff>47625</xdr:colOff>
      <xdr:row>64</xdr:row>
      <xdr:rowOff>38100</xdr:rowOff>
    </xdr:from>
    <xdr:to>
      <xdr:col>13</xdr:col>
      <xdr:colOff>1905</xdr:colOff>
      <xdr:row>79</xdr:row>
      <xdr:rowOff>104374</xdr:rowOff>
    </xdr:to>
    <xdr:pic>
      <xdr:nvPicPr>
        <xdr:cNvPr id="4" name="그림 3">
          <a:extLst>
            <a:ext uri="{FF2B5EF4-FFF2-40B4-BE49-F238E27FC236}">
              <a16:creationId xmlns:a16="http://schemas.microsoft.com/office/drawing/2014/main" id="{EF696905-36AD-F689-ECAA-FE9D3F9D34A5}"/>
            </a:ext>
          </a:extLst>
        </xdr:cNvPr>
        <xdr:cNvPicPr>
          <a:picLocks noChangeAspect="1"/>
        </xdr:cNvPicPr>
      </xdr:nvPicPr>
      <xdr:blipFill>
        <a:blip xmlns:r="http://schemas.openxmlformats.org/officeDocument/2006/relationships" r:embed="rId3"/>
        <a:stretch>
          <a:fillRect/>
        </a:stretch>
      </xdr:blipFill>
      <xdr:spPr>
        <a:xfrm>
          <a:off x="10610850" y="13449300"/>
          <a:ext cx="2695238" cy="3209524"/>
        </a:xfrm>
        <a:prstGeom prst="rect">
          <a:avLst/>
        </a:prstGeom>
      </xdr:spPr>
    </xdr:pic>
    <xdr:clientData/>
  </xdr:twoCellAnchor>
  <xdr:twoCellAnchor editAs="oneCell">
    <xdr:from>
      <xdr:col>9</xdr:col>
      <xdr:colOff>47625</xdr:colOff>
      <xdr:row>80</xdr:row>
      <xdr:rowOff>38100</xdr:rowOff>
    </xdr:from>
    <xdr:to>
      <xdr:col>12</xdr:col>
      <xdr:colOff>456892</xdr:colOff>
      <xdr:row>86</xdr:row>
      <xdr:rowOff>76038</xdr:rowOff>
    </xdr:to>
    <xdr:pic>
      <xdr:nvPicPr>
        <xdr:cNvPr id="5" name="그림 4">
          <a:extLst>
            <a:ext uri="{FF2B5EF4-FFF2-40B4-BE49-F238E27FC236}">
              <a16:creationId xmlns:a16="http://schemas.microsoft.com/office/drawing/2014/main" id="{35DE6C51-1271-34D9-9B14-008FE303041F}"/>
            </a:ext>
          </a:extLst>
        </xdr:cNvPr>
        <xdr:cNvPicPr>
          <a:picLocks noChangeAspect="1"/>
        </xdr:cNvPicPr>
      </xdr:nvPicPr>
      <xdr:blipFill>
        <a:blip xmlns:r="http://schemas.openxmlformats.org/officeDocument/2006/relationships" r:embed="rId4"/>
        <a:stretch>
          <a:fillRect/>
        </a:stretch>
      </xdr:blipFill>
      <xdr:spPr>
        <a:xfrm>
          <a:off x="10610850" y="16802100"/>
          <a:ext cx="2466667" cy="1295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2</xdr:col>
      <xdr:colOff>2019300</xdr:colOff>
      <xdr:row>42</xdr:row>
      <xdr:rowOff>16353</xdr:rowOff>
    </xdr:to>
    <xdr:pic>
      <xdr:nvPicPr>
        <xdr:cNvPr id="3" name="그림 2">
          <a:extLst>
            <a:ext uri="{FF2B5EF4-FFF2-40B4-BE49-F238E27FC236}">
              <a16:creationId xmlns:a16="http://schemas.microsoft.com/office/drawing/2014/main" id="{448FC7FD-8678-47A3-B3A4-41AD4799E729}"/>
            </a:ext>
          </a:extLst>
        </xdr:cNvPr>
        <xdr:cNvPicPr>
          <a:picLocks noChangeAspect="1"/>
        </xdr:cNvPicPr>
      </xdr:nvPicPr>
      <xdr:blipFill>
        <a:blip xmlns:r="http://schemas.openxmlformats.org/officeDocument/2006/relationships" r:embed="rId1"/>
        <a:stretch>
          <a:fillRect/>
        </a:stretch>
      </xdr:blipFill>
      <xdr:spPr>
        <a:xfrm>
          <a:off x="0" y="8382000"/>
          <a:ext cx="7820025" cy="39978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S\Petro_DB\deploy_db_0616.xlsx" TargetMode="External"/><Relationship Id="rId1" Type="http://schemas.openxmlformats.org/officeDocument/2006/relationships/externalLinkPath" Target="deploy_db_06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reen_master"/>
      <sheetName val="material_strategy_master"/>
      <sheetName val="Progress"/>
      <sheetName val="Overivew"/>
      <sheetName val="001_Ethylene"/>
      <sheetName val="002_HDPE"/>
      <sheetName val="003_LDPE"/>
      <sheetName val="004_LLDPE"/>
      <sheetName val="005_EDC"/>
      <sheetName val="006_VCM"/>
      <sheetName val="007_PVC"/>
      <sheetName val="008_Ethanol"/>
      <sheetName val="010_Ethyl Acetate"/>
      <sheetName val="012_EO"/>
      <sheetName val="014_MEA"/>
      <sheetName val="015_DEA"/>
      <sheetName val="016_TEA"/>
      <sheetName val="017_MEG"/>
      <sheetName val="018_Acetaldehyde"/>
      <sheetName val="019_VAM"/>
      <sheetName val="020_Propylene"/>
      <sheetName val="021_AN"/>
      <sheetName val="022_ABS"/>
      <sheetName val="023_SAN"/>
      <sheetName val="024_NBR"/>
      <sheetName val="025_PP"/>
      <sheetName val="026_PO"/>
      <sheetName val="027_PG"/>
      <sheetName val="028_PPG"/>
      <sheetName val="029_Polyols"/>
      <sheetName val="030_PU"/>
      <sheetName val="031_Acrylic acid"/>
      <sheetName val="033_Acrylate"/>
      <sheetName val="034_SAP"/>
      <sheetName val="035_n-Butyraldehyde"/>
      <sheetName val="036_2-Ethylhexanol"/>
      <sheetName val="037_n-Butanol"/>
      <sheetName val="038_n-Butyl acetate"/>
      <sheetName val="039_Isobutanol"/>
      <sheetName val="040_Isobutyl acetate"/>
      <sheetName val="041_IPA"/>
      <sheetName val="042_Isopropyl acetate"/>
      <sheetName val="043_Butadiene"/>
      <sheetName val="044_BR"/>
      <sheetName val="045_SBR"/>
      <sheetName val="046_Isobutylene"/>
      <sheetName val="047_PIB"/>
      <sheetName val="048_PB-1"/>
      <sheetName val="049_MTBE"/>
      <sheetName val="050_Butyl Rubber"/>
      <sheetName val="054_Benzene"/>
      <sheetName val="055_Ethylbenzene"/>
      <sheetName val="056_Styrene"/>
      <sheetName val="057_PS"/>
      <sheetName val="058_Cumene"/>
      <sheetName val="059_Phenol"/>
      <sheetName val="060_Acetone"/>
      <sheetName val="061_BPA"/>
      <sheetName val="062_PC"/>
      <sheetName val="063_Epoxy resin"/>
      <sheetName val="064_Cyclohexane"/>
      <sheetName val="065_Aniline"/>
      <sheetName val="066_LAB"/>
      <sheetName val="068_MA"/>
      <sheetName val="071_Toluene"/>
      <sheetName val="072_Xylene"/>
      <sheetName val="073_PA"/>
      <sheetName val="074_Caporlactam"/>
      <sheetName val="083_PVOH"/>
      <sheetName val="084_EVA"/>
      <sheetName val="085_MDI"/>
      <sheetName val="086_TDI"/>
      <sheetName val="087_o-Xylene"/>
      <sheetName val="091_TPA"/>
      <sheetName val="088_m-Xylene"/>
      <sheetName val="089_p-Xylene"/>
      <sheetName val="090_PIA"/>
      <sheetName val="093_PET"/>
      <sheetName val="097_EDPM"/>
      <sheetName val="98_ECH"/>
      <sheetName val="107_iso-Butyraldehyde"/>
      <sheetName val="114_Chlorobenzene"/>
    </sheetNames>
    <sheetDataSet>
      <sheetData sheetId="0"/>
      <sheetData sheetId="1"/>
      <sheetData sheetId="2"/>
      <sheetData sheetId="3">
        <row r="1">
          <cell r="B1" t="str">
            <v>Ethylene</v>
          </cell>
          <cell r="C1" t="str">
            <v>Propylene</v>
          </cell>
          <cell r="D1" t="str">
            <v>C4</v>
          </cell>
          <cell r="E1" t="str">
            <v>C5</v>
          </cell>
          <cell r="F1" t="str">
            <v>Aromatics</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IL" refreshedDate="46195.631245138888" createdVersion="8" refreshedVersion="8" minRefreshableVersion="3" recordCount="108" xr:uid="{7B8B5841-F42B-4133-A93F-6225D7BC2542}">
  <cacheSource type="worksheet">
    <worksheetSource name="표10"/>
  </cacheSource>
  <cacheFields count="8">
    <cacheField name="material_id" numFmtId="0">
      <sharedItems/>
    </cacheField>
    <cacheField name="material_name" numFmtId="0">
      <sharedItems/>
    </cacheField>
    <cacheField name="material_group" numFmtId="0">
      <sharedItems count="9">
        <s v="Ethylene"/>
        <s v="Propylene"/>
        <s v="C4"/>
        <s v="Aromatics"/>
        <s v="Methanol"/>
        <s v="C5"/>
        <s v="Benzene" u="1"/>
        <s v="Toluene" u="1"/>
        <s v="Xylene" u="1"/>
      </sharedItems>
    </cacheField>
    <cacheField name="PIC" numFmtId="0">
      <sharedItems/>
    </cacheField>
    <cacheField name="has_supplier" numFmtId="0">
      <sharedItems count="3">
        <s v="O"/>
        <s v="X"/>
        <s v="TBU"/>
      </sharedItems>
    </cacheField>
    <cacheField name="sheet_name" numFmtId="0">
      <sharedItems/>
    </cacheField>
    <cacheField name="has_page" numFmtId="0">
      <sharedItems/>
    </cacheField>
    <cacheField name="Progres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s v="M001"/>
    <s v="Ethylene"/>
    <x v="0"/>
    <s v="이원일"/>
    <x v="0"/>
    <s v="001_Ethylene"/>
    <s v="O"/>
    <s v="초안"/>
  </r>
  <r>
    <s v="M002"/>
    <s v="HDPE"/>
    <x v="0"/>
    <s v="이원일"/>
    <x v="0"/>
    <s v="002_HDPE"/>
    <s v="O"/>
    <s v="초안"/>
  </r>
  <r>
    <s v="M003"/>
    <s v="LDPE"/>
    <x v="0"/>
    <s v="이원일"/>
    <x v="0"/>
    <s v="003_LDPE"/>
    <s v="O"/>
    <s v="초안"/>
  </r>
  <r>
    <s v="M004"/>
    <s v="LLDPE"/>
    <x v="0"/>
    <s v="이원일"/>
    <x v="0"/>
    <s v="004_LLDPE"/>
    <s v="O"/>
    <s v="초안"/>
  </r>
  <r>
    <s v="M005"/>
    <s v="EDC"/>
    <x v="0"/>
    <s v="이원일"/>
    <x v="0"/>
    <s v="005_EDC"/>
    <s v="O"/>
    <s v="초안"/>
  </r>
  <r>
    <s v="M006"/>
    <s v="VCM"/>
    <x v="0"/>
    <s v="이원일"/>
    <x v="0"/>
    <s v="006_VCM"/>
    <s v="O"/>
    <s v="초안"/>
  </r>
  <r>
    <s v="M007"/>
    <s v="PVC"/>
    <x v="0"/>
    <s v="이원일"/>
    <x v="0"/>
    <s v="007_PVC"/>
    <s v="O"/>
    <s v="초안"/>
  </r>
  <r>
    <s v="M008"/>
    <s v="Ethanol"/>
    <x v="0"/>
    <s v="이원일"/>
    <x v="0"/>
    <s v="008_Ethanol"/>
    <s v="O"/>
    <s v="초안"/>
  </r>
  <r>
    <s v="M010"/>
    <s v="Ethyl acetate"/>
    <x v="0"/>
    <s v="이원일"/>
    <x v="0"/>
    <s v="010_Ethyl acetate"/>
    <s v="O"/>
    <s v="초안"/>
  </r>
  <r>
    <s v="M012"/>
    <s v="EO"/>
    <x v="0"/>
    <s v="이원일"/>
    <x v="1"/>
    <s v="012_EO"/>
    <s v="O"/>
    <s v="초안"/>
  </r>
  <r>
    <s v="M014"/>
    <s v="MEA"/>
    <x v="0"/>
    <s v="이원일"/>
    <x v="1"/>
    <s v="014_MEA"/>
    <s v="O"/>
    <s v="초안"/>
  </r>
  <r>
    <s v="M015"/>
    <s v="DEA"/>
    <x v="0"/>
    <s v="이원일"/>
    <x v="1"/>
    <s v="015_DEA"/>
    <s v="O"/>
    <s v="초안"/>
  </r>
  <r>
    <s v="M016"/>
    <s v="TEA"/>
    <x v="0"/>
    <s v="이원일"/>
    <x v="1"/>
    <s v="016_TEA"/>
    <s v="O"/>
    <s v="초안"/>
  </r>
  <r>
    <s v="M017"/>
    <s v="MEG"/>
    <x v="0"/>
    <s v="이원일"/>
    <x v="0"/>
    <s v="017_MEG"/>
    <s v="O"/>
    <s v="초안"/>
  </r>
  <r>
    <s v="M018"/>
    <s v="Acetaldehyde"/>
    <x v="0"/>
    <s v="이원일"/>
    <x v="1"/>
    <s v="018_Acetaldehyde"/>
    <s v="O"/>
    <s v="초안"/>
  </r>
  <r>
    <s v="M019"/>
    <s v="VAM"/>
    <x v="0"/>
    <s v="이원일"/>
    <x v="0"/>
    <s v="019_VAM"/>
    <s v="O"/>
    <s v="초안"/>
  </r>
  <r>
    <s v="M020"/>
    <s v="Propylene"/>
    <x v="1"/>
    <s v="이기민"/>
    <x v="0"/>
    <s v="020_Propylene"/>
    <s v="O"/>
    <s v="초안"/>
  </r>
  <r>
    <s v="M021"/>
    <s v="AN"/>
    <x v="1"/>
    <s v="이기민"/>
    <x v="0"/>
    <s v="021_AN"/>
    <s v="O"/>
    <s v="초안"/>
  </r>
  <r>
    <s v="M022"/>
    <s v="ABS"/>
    <x v="1"/>
    <s v="이기민"/>
    <x v="0"/>
    <s v="022_ABS"/>
    <s v="O"/>
    <s v="초안"/>
  </r>
  <r>
    <s v="M023"/>
    <s v="SAN"/>
    <x v="1"/>
    <s v="이기민"/>
    <x v="1"/>
    <s v="023_SAN"/>
    <s v="O"/>
    <s v="초안"/>
  </r>
  <r>
    <s v="M024"/>
    <s v="NBR"/>
    <x v="1"/>
    <s v="이기민"/>
    <x v="0"/>
    <s v="024_NBR"/>
    <s v="O"/>
    <s v="초안"/>
  </r>
  <r>
    <s v="M025"/>
    <s v="PP"/>
    <x v="1"/>
    <s v="이기민"/>
    <x v="0"/>
    <s v="025_PP"/>
    <s v="O"/>
    <s v="초안"/>
  </r>
  <r>
    <s v="M026"/>
    <s v="PO"/>
    <x v="1"/>
    <s v="이기민"/>
    <x v="0"/>
    <s v="026_PO"/>
    <s v="O"/>
    <s v="초안"/>
  </r>
  <r>
    <s v="M027"/>
    <s v="PG"/>
    <x v="1"/>
    <s v="이기민"/>
    <x v="0"/>
    <s v="027_PG"/>
    <s v="O"/>
    <s v="초안"/>
  </r>
  <r>
    <s v="M028"/>
    <s v="PPG"/>
    <x v="1"/>
    <s v="이기민"/>
    <x v="0"/>
    <s v="028_PPG"/>
    <s v="O"/>
    <s v="초안"/>
  </r>
  <r>
    <s v="M029"/>
    <s v="Polyols"/>
    <x v="1"/>
    <s v="이기민"/>
    <x v="1"/>
    <s v="029_Polyols"/>
    <s v="O"/>
    <s v="초안"/>
  </r>
  <r>
    <s v="M030"/>
    <s v="PU"/>
    <x v="1"/>
    <s v="이기민"/>
    <x v="1"/>
    <s v="030_PU"/>
    <s v="O"/>
    <s v="초안"/>
  </r>
  <r>
    <s v="M031"/>
    <s v="Acrylic acid"/>
    <x v="1"/>
    <s v="이기민"/>
    <x v="0"/>
    <s v="031_Acrylic acid"/>
    <s v="O"/>
    <s v="초안"/>
  </r>
  <r>
    <s v="M033"/>
    <s v="Acrylate"/>
    <x v="1"/>
    <s v="이기민"/>
    <x v="1"/>
    <s v="033_Acrylate"/>
    <s v="O"/>
    <s v="초안"/>
  </r>
  <r>
    <s v="M034"/>
    <s v="SAP"/>
    <x v="1"/>
    <s v="이기민"/>
    <x v="0"/>
    <s v="034_SAP"/>
    <s v="O"/>
    <s v="초안"/>
  </r>
  <r>
    <s v="M035"/>
    <s v="n-Butyraldehyde"/>
    <x v="1"/>
    <s v="이기민"/>
    <x v="1"/>
    <s v="035_n-Butyraldehyde"/>
    <s v="O"/>
    <s v="초안"/>
  </r>
  <r>
    <s v="M036"/>
    <s v="2-Ethylhexanol"/>
    <x v="1"/>
    <s v="이기민"/>
    <x v="0"/>
    <s v="036_2-Ethylhexanol"/>
    <s v="O"/>
    <s v="초안"/>
  </r>
  <r>
    <s v="M037"/>
    <s v="n-Butanol"/>
    <x v="1"/>
    <s v="이기민"/>
    <x v="0"/>
    <s v="037_n-Butanol"/>
    <s v="O"/>
    <s v="초안"/>
  </r>
  <r>
    <s v="M038"/>
    <s v="n-Butyl acetate"/>
    <x v="1"/>
    <s v="이기민"/>
    <x v="1"/>
    <s v="038_n-Butyl acetate"/>
    <s v="O"/>
    <s v="초안"/>
  </r>
  <r>
    <s v="M039"/>
    <s v="Isobutanol"/>
    <x v="1"/>
    <s v="이기민"/>
    <x v="1"/>
    <s v="039_Isobutanol"/>
    <s v="O"/>
    <s v="초안"/>
  </r>
  <r>
    <s v="M040"/>
    <s v="Isobutyl acetate"/>
    <x v="1"/>
    <s v="이기민"/>
    <x v="1"/>
    <s v="040_Isobutyl acetate"/>
    <s v="O"/>
    <s v="초안"/>
  </r>
  <r>
    <s v="M041"/>
    <s v="IPA"/>
    <x v="1"/>
    <s v="이기민"/>
    <x v="0"/>
    <s v="041_IPA"/>
    <s v="O"/>
    <s v="초안"/>
  </r>
  <r>
    <s v="M042"/>
    <s v="Isopropyl acetate"/>
    <x v="1"/>
    <s v="이기민"/>
    <x v="1"/>
    <s v="042_Isopropyl acetate"/>
    <s v="O"/>
    <s v="초안"/>
  </r>
  <r>
    <s v="M043"/>
    <s v="Butadiene"/>
    <x v="2"/>
    <s v="이원일"/>
    <x v="0"/>
    <s v="043_Butadiene"/>
    <s v="O"/>
    <s v="초안"/>
  </r>
  <r>
    <s v="M044"/>
    <s v="BR"/>
    <x v="2"/>
    <s v="이원일"/>
    <x v="0"/>
    <s v="044_BR"/>
    <s v="O"/>
    <s v="초안"/>
  </r>
  <r>
    <s v="M045"/>
    <s v="SBR"/>
    <x v="2"/>
    <s v="이원일"/>
    <x v="0"/>
    <s v="045_SBR"/>
    <s v="O"/>
    <s v="초안"/>
  </r>
  <r>
    <s v="M046"/>
    <s v="Isobutylene"/>
    <x v="2"/>
    <s v="이석균"/>
    <x v="1"/>
    <s v="046_Isobutylene"/>
    <s v="X"/>
    <m/>
  </r>
  <r>
    <s v="M047"/>
    <s v="PIB"/>
    <x v="2"/>
    <s v="이원일"/>
    <x v="0"/>
    <s v="047_PIB"/>
    <s v="O"/>
    <m/>
  </r>
  <r>
    <s v="M048"/>
    <s v="PB-1"/>
    <x v="2"/>
    <s v="이원일"/>
    <x v="0"/>
    <s v="048_PB-1"/>
    <s v="O"/>
    <s v="초안"/>
  </r>
  <r>
    <s v="M049"/>
    <s v="MTBE"/>
    <x v="2"/>
    <s v="이원일"/>
    <x v="0"/>
    <s v="049_MTBE"/>
    <s v="O"/>
    <s v="초안"/>
  </r>
  <r>
    <s v="M050"/>
    <s v="Butyl rubber"/>
    <x v="2"/>
    <s v="이석균"/>
    <x v="1"/>
    <s v="050_Butyl rubber"/>
    <s v="X"/>
    <m/>
  </r>
  <r>
    <s v="M052"/>
    <s v="1-Butene"/>
    <x v="2"/>
    <s v="이석균"/>
    <x v="1"/>
    <s v="052_1-Butene"/>
    <s v="X"/>
    <m/>
  </r>
  <r>
    <s v="M054"/>
    <s v="Benzene"/>
    <x v="3"/>
    <s v="이원일"/>
    <x v="0"/>
    <s v="054_Benzene"/>
    <s v="O"/>
    <s v="초안"/>
  </r>
  <r>
    <s v="M055"/>
    <s v="Ethylbenzene"/>
    <x v="3"/>
    <s v="이원일"/>
    <x v="0"/>
    <s v="055_Ethylbenzene"/>
    <s v="O"/>
    <s v="초안"/>
  </r>
  <r>
    <s v="M056"/>
    <s v="Styrene"/>
    <x v="3"/>
    <s v="이원일"/>
    <x v="0"/>
    <s v="056_Styrene"/>
    <s v="O"/>
    <s v="초안"/>
  </r>
  <r>
    <s v="M057"/>
    <s v="PS"/>
    <x v="3"/>
    <s v="이원일"/>
    <x v="0"/>
    <s v="057_PS"/>
    <s v="O"/>
    <s v="초안"/>
  </r>
  <r>
    <s v="M058"/>
    <s v="Cumene"/>
    <x v="3"/>
    <s v="이원일"/>
    <x v="0"/>
    <s v="058_Cumene"/>
    <s v="O"/>
    <s v="초안"/>
  </r>
  <r>
    <s v="M059"/>
    <s v="Phenol"/>
    <x v="3"/>
    <s v="이원일"/>
    <x v="0"/>
    <s v="059_Phenol"/>
    <s v="O"/>
    <s v="초안"/>
  </r>
  <r>
    <s v="M060"/>
    <s v="Acetone"/>
    <x v="3"/>
    <s v="이원일"/>
    <x v="0"/>
    <s v="060_Acetone"/>
    <s v="O"/>
    <s v="초안"/>
  </r>
  <r>
    <s v="M061"/>
    <s v="BPA"/>
    <x v="3"/>
    <s v="이원일"/>
    <x v="0"/>
    <s v="061_BPA"/>
    <s v="O"/>
    <s v="초안"/>
  </r>
  <r>
    <s v="M062"/>
    <s v="PC"/>
    <x v="3"/>
    <s v="이원일"/>
    <x v="0"/>
    <s v="062_PC"/>
    <s v="O"/>
    <s v="초안"/>
  </r>
  <r>
    <s v="M063"/>
    <s v="Epoxy resin"/>
    <x v="3"/>
    <s v="이원일"/>
    <x v="0"/>
    <s v="063_Epoxy resin"/>
    <s v="O"/>
    <s v="초안"/>
  </r>
  <r>
    <s v="M064"/>
    <s v="Cyclohexane"/>
    <x v="3"/>
    <s v="이원일"/>
    <x v="0"/>
    <s v="064_Cyclohexane"/>
    <s v="O"/>
    <s v="초안"/>
  </r>
  <r>
    <s v="M065"/>
    <s v="Aniline"/>
    <x v="3"/>
    <s v="이원일"/>
    <x v="0"/>
    <s v="065_Aniline"/>
    <s v="O"/>
    <s v="초안"/>
  </r>
  <r>
    <s v="M066"/>
    <s v="LAB"/>
    <x v="3"/>
    <s v="이원일"/>
    <x v="0"/>
    <s v="066_LAB"/>
    <s v="O"/>
    <s v="초안"/>
  </r>
  <r>
    <s v="M067"/>
    <s v="Cyclohexanone"/>
    <x v="3"/>
    <s v="이석균"/>
    <x v="1"/>
    <s v="067_Cyclohexanone"/>
    <s v="X"/>
    <m/>
  </r>
  <r>
    <s v="M068"/>
    <s v="MA"/>
    <x v="2"/>
    <s v="이원일"/>
    <x v="0"/>
    <s v="068_MA"/>
    <s v="O"/>
    <s v="초안"/>
  </r>
  <r>
    <s v="M069"/>
    <s v="Methanol"/>
    <x v="4"/>
    <s v="TBU"/>
    <x v="1"/>
    <s v="069_Methanol"/>
    <s v="X"/>
    <m/>
  </r>
  <r>
    <s v="M070"/>
    <s v="Acetic acid"/>
    <x v="4"/>
    <s v="TBU"/>
    <x v="0"/>
    <s v="070_Acetic acid"/>
    <s v="X"/>
    <m/>
  </r>
  <r>
    <s v="M071"/>
    <s v="Toluene"/>
    <x v="3"/>
    <s v="이원일"/>
    <x v="0"/>
    <s v="071_Toluene"/>
    <s v="O"/>
    <s v="초안"/>
  </r>
  <r>
    <s v="M072"/>
    <s v="Xylene"/>
    <x v="3"/>
    <s v="이기민"/>
    <x v="0"/>
    <s v="072_Xylene"/>
    <s v="O"/>
    <s v="초안"/>
  </r>
  <r>
    <s v="M073"/>
    <s v="PA"/>
    <x v="3"/>
    <s v="이기민"/>
    <x v="0"/>
    <s v="073_PA"/>
    <s v="O"/>
    <s v="초안"/>
  </r>
  <r>
    <s v="M074"/>
    <s v="Caprolactam"/>
    <x v="3"/>
    <s v="이원일"/>
    <x v="0"/>
    <s v="074_Caprolactam"/>
    <s v="O"/>
    <s v="초안"/>
  </r>
  <r>
    <s v="M075"/>
    <s v="LAO"/>
    <x v="0"/>
    <s v="이원일"/>
    <x v="1"/>
    <s v="075_LAO"/>
    <s v="X"/>
    <m/>
  </r>
  <r>
    <s v="M076"/>
    <s v="1-Hexene"/>
    <x v="0"/>
    <s v="이원일"/>
    <x v="1"/>
    <s v="076_1-Hexene"/>
    <s v="X"/>
    <m/>
  </r>
  <r>
    <s v="M077"/>
    <s v="PAO"/>
    <x v="0"/>
    <s v="이원일"/>
    <x v="1"/>
    <s v="077_PAO"/>
    <s v="X"/>
    <m/>
  </r>
  <r>
    <s v="M078"/>
    <s v="MMA"/>
    <x v="4"/>
    <s v="TBU"/>
    <x v="0"/>
    <s v="078_MMA"/>
    <s v="X"/>
    <m/>
  </r>
  <r>
    <s v="M079"/>
    <s v="PMMA"/>
    <x v="4"/>
    <s v="TBU"/>
    <x v="0"/>
    <s v="079_PMMA"/>
    <s v="X"/>
    <m/>
  </r>
  <r>
    <s v="M080"/>
    <s v="Formaldehyde"/>
    <x v="4"/>
    <s v="TBU"/>
    <x v="1"/>
    <s v="080_Formaldehyde"/>
    <s v="X"/>
    <m/>
  </r>
  <r>
    <s v="M081"/>
    <s v="EC"/>
    <x v="0"/>
    <s v="이원일"/>
    <x v="1"/>
    <s v="081_EC"/>
    <s v="X"/>
    <m/>
  </r>
  <r>
    <s v="M082"/>
    <s v="DMC"/>
    <x v="0"/>
    <s v="이원일"/>
    <x v="1"/>
    <s v="082_DMC"/>
    <s v="X"/>
    <m/>
  </r>
  <r>
    <s v="M083"/>
    <s v="PVOH"/>
    <x v="0"/>
    <s v="이원일"/>
    <x v="1"/>
    <s v="083_PVOH"/>
    <s v="O"/>
    <s v="초안"/>
  </r>
  <r>
    <s v="M084"/>
    <s v="EVA"/>
    <x v="0"/>
    <s v="이원일"/>
    <x v="0"/>
    <s v="084_EVA"/>
    <s v="O"/>
    <s v="초안"/>
  </r>
  <r>
    <s v="M085"/>
    <s v="MDI"/>
    <x v="3"/>
    <s v="이원일"/>
    <x v="0"/>
    <s v="085_MDI"/>
    <s v="O"/>
    <s v="초안"/>
  </r>
  <r>
    <s v="M086"/>
    <s v="TDI"/>
    <x v="3"/>
    <s v="이원일"/>
    <x v="0"/>
    <s v="086_TDI"/>
    <s v="O"/>
    <s v="초안"/>
  </r>
  <r>
    <s v="M087"/>
    <s v="o-Xylene"/>
    <x v="3"/>
    <s v="이기민"/>
    <x v="1"/>
    <s v="087_o-Xylene"/>
    <s v="O"/>
    <s v="초안"/>
  </r>
  <r>
    <s v="M088"/>
    <s v="m-Xylene"/>
    <x v="3"/>
    <s v="이기민"/>
    <x v="1"/>
    <s v="088_m-Xylene"/>
    <s v="O"/>
    <s v="초안"/>
  </r>
  <r>
    <s v="M089"/>
    <s v="p-Xylene"/>
    <x v="3"/>
    <s v="이기민"/>
    <x v="0"/>
    <s v="089_p-Xylene"/>
    <s v="O"/>
    <s v="초안"/>
  </r>
  <r>
    <s v="M090"/>
    <s v="PIA"/>
    <x v="3"/>
    <s v="이기민"/>
    <x v="1"/>
    <s v="090_PIA"/>
    <s v="O"/>
    <s v="초안"/>
  </r>
  <r>
    <s v="M091"/>
    <s v="TPA"/>
    <x v="3"/>
    <s v="이원일"/>
    <x v="0"/>
    <s v="091_TPA"/>
    <s v="O"/>
    <s v="초안"/>
  </r>
  <r>
    <s v="M092"/>
    <s v="DMT"/>
    <x v="3"/>
    <s v="이기민"/>
    <x v="1"/>
    <s v="092_DMT"/>
    <s v="X"/>
    <m/>
  </r>
  <r>
    <s v="M093"/>
    <s v="PET"/>
    <x v="3"/>
    <s v="이기민"/>
    <x v="1"/>
    <s v="093_PET"/>
    <s v="X"/>
    <m/>
  </r>
  <r>
    <s v="M094"/>
    <s v="PU"/>
    <x v="1"/>
    <s v="이기민"/>
    <x v="1"/>
    <s v="094_PU"/>
    <s v="X"/>
    <m/>
  </r>
  <r>
    <s v="M095"/>
    <s v="1-Octene"/>
    <x v="2"/>
    <s v="이석균"/>
    <x v="1"/>
    <s v="095_1-Octene"/>
    <s v="X"/>
    <m/>
  </r>
  <r>
    <s v="M096"/>
    <s v="1-Hexene"/>
    <x v="2"/>
    <s v="이석균"/>
    <x v="1"/>
    <s v="096_1-Hexene"/>
    <s v="X"/>
    <m/>
  </r>
  <r>
    <s v="M097"/>
    <s v="EPDM"/>
    <x v="0"/>
    <s v="이원일"/>
    <x v="0"/>
    <s v="097_EPDM"/>
    <s v="O"/>
    <s v="초안"/>
  </r>
  <r>
    <s v="M098"/>
    <s v="ECH"/>
    <x v="1"/>
    <s v="이원일"/>
    <x v="1"/>
    <s v="098_ECH"/>
    <s v="O"/>
    <s v="초안"/>
  </r>
  <r>
    <s v="M099"/>
    <s v="Ethoxylate"/>
    <x v="0"/>
    <s v="이원일"/>
    <x v="1"/>
    <s v="099_Ethoxylate"/>
    <s v="X"/>
    <m/>
  </r>
  <r>
    <s v="M100"/>
    <s v="Adipic Acid"/>
    <x v="3"/>
    <s v="이석균"/>
    <x v="1"/>
    <s v="100_Adipic Acid"/>
    <s v="X"/>
    <m/>
  </r>
  <r>
    <s v="M101"/>
    <s v="n-Butane"/>
    <x v="2"/>
    <s v="이석균"/>
    <x v="1"/>
    <s v="101_n-Butane"/>
    <s v="X"/>
    <m/>
  </r>
  <r>
    <s v="M102"/>
    <s v="Isoprene"/>
    <x v="5"/>
    <s v="이원일"/>
    <x v="2"/>
    <s v="102_Isoprene"/>
    <s v="X"/>
    <m/>
  </r>
  <r>
    <s v="M103"/>
    <s v="Piperylene"/>
    <x v="5"/>
    <s v="이원일"/>
    <x v="2"/>
    <s v="103_Piperylene"/>
    <s v="X"/>
    <m/>
  </r>
  <r>
    <s v="M104"/>
    <s v="DCPD"/>
    <x v="5"/>
    <s v="이원일"/>
    <x v="2"/>
    <s v="104_DCPD"/>
    <s v="X"/>
    <m/>
  </r>
  <r>
    <s v="M105"/>
    <s v="IR"/>
    <x v="5"/>
    <s v="이원일"/>
    <x v="2"/>
    <s v="105_IR"/>
    <s v="X"/>
    <m/>
  </r>
  <r>
    <s v="M106"/>
    <s v="SIS"/>
    <x v="5"/>
    <s v="이원일"/>
    <x v="2"/>
    <s v="106_SIS"/>
    <s v="X"/>
    <m/>
  </r>
  <r>
    <s v="M107"/>
    <s v="iso-Butyraldehyde"/>
    <x v="1"/>
    <s v="이원일"/>
    <x v="0"/>
    <s v="107_iso-Butyraldehyde"/>
    <s v="O"/>
    <s v="초안"/>
  </r>
  <r>
    <s v="M108"/>
    <s v="DCPD Resin"/>
    <x v="5"/>
    <s v="이원일"/>
    <x v="2"/>
    <s v="108_DCPD Resin"/>
    <s v="X"/>
    <m/>
  </r>
  <r>
    <s v="M109"/>
    <s v="UPR"/>
    <x v="5"/>
    <s v="이원일"/>
    <x v="2"/>
    <s v="109_UPR"/>
    <s v="X"/>
    <m/>
  </r>
  <r>
    <s v="M110"/>
    <s v="ENB"/>
    <x v="5"/>
    <s v="이원일"/>
    <x v="2"/>
    <s v="110_ENB"/>
    <s v="X"/>
    <m/>
  </r>
  <r>
    <s v="M111"/>
    <s v="PolyDCPD"/>
    <x v="5"/>
    <s v="이원일"/>
    <x v="2"/>
    <s v="111_PolyDCPD"/>
    <s v="X"/>
    <m/>
  </r>
  <r>
    <s v="M112"/>
    <s v="COP"/>
    <x v="5"/>
    <s v="이원일"/>
    <x v="2"/>
    <s v="112_COP"/>
    <s v="X"/>
    <m/>
  </r>
  <r>
    <s v="M113"/>
    <s v="C5 Resin"/>
    <x v="5"/>
    <s v="이원일"/>
    <x v="2"/>
    <s v="113_C5 Resin"/>
    <s v="X"/>
    <m/>
  </r>
  <r>
    <s v="M114"/>
    <s v="Chlorobenzene"/>
    <x v="3"/>
    <s v="이원일"/>
    <x v="0"/>
    <s v="114_Chlorobenzene"/>
    <s v="O"/>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97E71F-BB51-4F3D-8D44-EB1B34CFD034}" name="피벗 테이블1" cacheId="3"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C18" firstHeaderRow="0" firstDataRow="1" firstDataCol="1"/>
  <pivotFields count="8">
    <pivotField dataField="1" showAll="0"/>
    <pivotField showAll="0"/>
    <pivotField axis="axisRow" showAll="0">
      <items count="10">
        <item x="0"/>
        <item x="1"/>
        <item x="2"/>
        <item m="1" x="6"/>
        <item m="1" x="7"/>
        <item m="1" x="8"/>
        <item x="5"/>
        <item x="4"/>
        <item x="3"/>
        <item t="default"/>
      </items>
    </pivotField>
    <pivotField showAll="0"/>
    <pivotField axis="axisRow" showAll="0">
      <items count="4">
        <item x="0"/>
        <item x="2"/>
        <item x="1"/>
        <item t="default"/>
      </items>
    </pivotField>
    <pivotField showAll="0"/>
    <pivotField showAll="0"/>
    <pivotField dataField="1" showAll="0"/>
  </pivotFields>
  <rowFields count="2">
    <field x="4"/>
    <field x="2"/>
  </rowFields>
  <rowItems count="15">
    <i>
      <x/>
    </i>
    <i r="1">
      <x/>
    </i>
    <i r="1">
      <x v="1"/>
    </i>
    <i r="1">
      <x v="2"/>
    </i>
    <i r="1">
      <x v="7"/>
    </i>
    <i r="1">
      <x v="8"/>
    </i>
    <i>
      <x v="1"/>
    </i>
    <i r="1">
      <x v="6"/>
    </i>
    <i>
      <x v="2"/>
    </i>
    <i r="1">
      <x/>
    </i>
    <i r="1">
      <x v="1"/>
    </i>
    <i r="1">
      <x v="2"/>
    </i>
    <i r="1">
      <x v="7"/>
    </i>
    <i r="1">
      <x v="8"/>
    </i>
    <i t="grand">
      <x/>
    </i>
  </rowItems>
  <colFields count="1">
    <field x="-2"/>
  </colFields>
  <colItems count="2">
    <i>
      <x/>
    </i>
    <i i="1">
      <x v="1"/>
    </i>
  </colItems>
  <dataFields count="2">
    <dataField name="개수 : material_id" fld="0" subtotal="count" baseField="0" baseItem="0"/>
    <dataField name="개수 : Progres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2719BDCD-B5C0-4AFB-998E-82CF4FE0B12B}" name="표10_81" displayName="표10_81" ref="A1:J109" totalsRowShown="0" headerRowDxfId="418">
  <autoFilter ref="A1:J109" xr:uid="{B487A43C-3055-4AC0-A08F-798370AD85DF}"/>
  <tableColumns count="10">
    <tableColumn id="1" xr3:uid="{87E7F80A-83F9-4186-916F-25CBFC8A69AC}" name="material_id"/>
    <tableColumn id="2" xr3:uid="{A3E2913C-6331-4CF4-AB50-DD5F40109BAE}" name="material_name"/>
    <tableColumn id="12" xr3:uid="{B08AF08C-EA7C-476E-B2D9-ABB33EDD14F2}" name="sheet_name"/>
    <tableColumn id="3" xr3:uid="{9ECF7D19-C498-4D51-9DA6-340A0C21E3E7}" name="material_group"/>
    <tableColumn id="4" xr3:uid="{483541E7-7FC2-41F5-A4D3-55309055D6DC}" name="product_overview" dataDxfId="417">
      <calculatedColumnFormula array="1">INDIRECT("'"&amp;C2&amp;"'!"&amp;"D5")</calculatedColumnFormula>
    </tableColumn>
    <tableColumn id="7" xr3:uid="{70C11917-8230-4FD8-8C23-DE2590748D39}" name="production_process" dataDxfId="416">
      <calculatedColumnFormula array="1">INDIRECT("'"&amp;C2&amp;"'!"&amp;"D6")</calculatedColumnFormula>
    </tableColumn>
    <tableColumn id="6" xr3:uid="{88570304-5C7D-4572-8DCB-E8E1A473BB2A}" name="domestic_supplier" dataDxfId="415">
      <calculatedColumnFormula array="1">INDIRECT("'"&amp;C2&amp;"'!"&amp;"D10")</calculatedColumnFormula>
    </tableColumn>
    <tableColumn id="8" xr3:uid="{10936F62-A5A3-440F-9DF5-DC1535E83792}" name="domestic_supplier_names" dataDxfId="414">
      <calculatedColumnFormula array="1">INDIRECT("'"&amp;C2&amp;"'!"&amp;"D11")</calculatedColumnFormula>
    </tableColumn>
    <tableColumn id="5" xr3:uid="{CB3696CE-9606-4EC2-AF26-844B3358C840}" name="hsk10" dataDxfId="413">
      <calculatedColumnFormula array="1">INDIRECT("'"&amp;C2&amp;"'!"&amp;"D12")</calculatedColumnFormula>
    </tableColumn>
    <tableColumn id="9" xr3:uid="{63CCC5EE-CC72-4E9D-9A1F-4EFF0C50EB1C}" name="trade_status" dataDxfId="412">
      <calculatedColumnFormula array="1">INDIRECT("'"&amp;C2&amp;"'!"&amp;"D13")</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487A43C-3055-4AC0-A08F-798370AD85DF}" name="표10" displayName="표10" ref="A1:H109" totalsRowShown="0" headerRowDxfId="411">
  <autoFilter ref="A1:H109" xr:uid="{B487A43C-3055-4AC0-A08F-798370AD85DF}"/>
  <tableColumns count="8">
    <tableColumn id="1" xr3:uid="{E5DDB05C-6113-455A-916A-C18D31376DC3}" name="material_id"/>
    <tableColumn id="2" xr3:uid="{5113D883-F9CD-4C39-BBC7-B633B92CBA1B}" name="material_name"/>
    <tableColumn id="3" xr3:uid="{B9E9BD54-592B-418F-9DEC-B9DE89F73BEF}" name="material_group"/>
    <tableColumn id="4" xr3:uid="{98629312-A0B3-40B3-9085-D362A0A0726C}" name="PIC"/>
    <tableColumn id="7" xr3:uid="{D475DE27-253A-4565-8E82-5DD36A91E7AD}" name="has_supplier"/>
    <tableColumn id="6" xr3:uid="{96E5F941-D9C8-4147-B9FC-A8AC5BFE2AC1}" name="sheet_name" dataDxfId="410"/>
    <tableColumn id="8" xr3:uid="{A3366ABA-2C13-4050-80C3-4CB2A30897A1}" name="has_page"/>
    <tableColumn id="5" xr3:uid="{E917E604-1A89-4309-9680-DCCF3429E29E}" name="Progres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74411DDC-AD73-42C3-866F-EF629529B583}" name="표11_70" displayName="표11_70" ref="A1:D22" totalsRowShown="0" dataDxfId="409">
  <autoFilter ref="A1:D22" xr:uid="{72CD6A84-F234-4156-A582-90EAD73FC1A3}"/>
  <tableColumns count="4">
    <tableColumn id="1" xr3:uid="{EAB8E4A1-BD18-4DFD-9C4E-C1891D928C0B}" name="Category" dataDxfId="408"/>
    <tableColumn id="4" xr3:uid="{E4C7D500-8A70-47E4-B9FC-42683A13B88F}" name="Description" dataDxfId="407"/>
    <tableColumn id="2" xr3:uid="{D08693F5-1FFF-4C8D-B911-6956DA81F6AE}" name="Raw" dataDxfId="406"/>
    <tableColumn id="3" xr3:uid="{BBFF5368-285C-407E-A1F9-FF072DA629B3}" name="Short" dataDxfId="405"/>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2CD6A84-F234-4156-A582-90EAD73FC1A3}" name="표11" displayName="표11" ref="A1:D22" totalsRowShown="0" dataDxfId="404">
  <autoFilter ref="A1:D22" xr:uid="{72CD6A84-F234-4156-A582-90EAD73FC1A3}"/>
  <tableColumns count="4">
    <tableColumn id="1" xr3:uid="{A6FD6DFE-2C0C-403C-AC2E-C4BE17787927}" name="Category" dataDxfId="403"/>
    <tableColumn id="4" xr3:uid="{1BD37EF5-8E1E-40AF-B3B2-44492B9BA3B0}" name="Description" dataDxfId="402"/>
    <tableColumn id="2" xr3:uid="{BD6286E3-7C4C-4F11-96F4-7C1C24A4559F}" name="Raw" dataDxfId="401"/>
    <tableColumn id="3" xr3:uid="{F58CEB5B-D8C3-4A2B-98E2-F8454969A673}" name="Short" dataDxfId="400"/>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04C472-BA77-47EF-A7EC-AD5B9495E5DF}" name="표11_13" displayName="표11_13" ref="A1:D22" totalsRowShown="0" dataDxfId="399">
  <autoFilter ref="A1:D22" xr:uid="{72CD6A84-F234-4156-A582-90EAD73FC1A3}"/>
  <tableColumns count="4">
    <tableColumn id="1" xr3:uid="{1BB0B49F-DACF-42E9-9A9D-8A8B3E7E8CD8}" name="Category" dataDxfId="398"/>
    <tableColumn id="4" xr3:uid="{5C4C8A40-5FF9-49E3-8FEB-DB200C343AD2}" name="Description" dataDxfId="397"/>
    <tableColumn id="2" xr3:uid="{EC122DE8-695A-4BAA-ADB7-C8AF40F06A66}" name="Raw" dataDxfId="396"/>
    <tableColumn id="3" xr3:uid="{22B2628F-9509-4F2E-B540-AD50B031A087}" name="Short" dataDxfId="39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AE7A4CC-2B3B-499B-A1F6-49104B750616}" name="표11_1314" displayName="표11_1314" ref="A1:D22" totalsRowShown="0" dataDxfId="394">
  <autoFilter ref="A1:D22" xr:uid="{72CD6A84-F234-4156-A582-90EAD73FC1A3}"/>
  <tableColumns count="4">
    <tableColumn id="1" xr3:uid="{077DD4E1-291A-4C1D-83FF-4E1C491DD105}" name="Category" dataDxfId="393"/>
    <tableColumn id="4" xr3:uid="{BD02060B-7B4C-45EF-9E09-1A7053EC1657}" name="Description" dataDxfId="392"/>
    <tableColumn id="2" xr3:uid="{3FD4CE24-BEDD-4543-AB87-CCECF501BCFE}" name="Raw" dataDxfId="391"/>
    <tableColumn id="3" xr3:uid="{84B06B17-0C21-4173-9D45-120D13C0704C}" name="Short" dataDxfId="390"/>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264F00-7C07-46FD-8447-5CA49B99F65F}" name="표11_13142" displayName="표11_13142" ref="A1:D22" totalsRowShown="0" dataDxfId="389">
  <autoFilter ref="A1:D22" xr:uid="{72CD6A84-F234-4156-A582-90EAD73FC1A3}"/>
  <tableColumns count="4">
    <tableColumn id="1" xr3:uid="{D287EC92-9841-440F-9E44-C99EAE5EFAD6}" name="Category" dataDxfId="388"/>
    <tableColumn id="4" xr3:uid="{1106D007-67F5-4944-A072-EEE561D4545E}" name="Description" dataDxfId="387"/>
    <tableColumn id="2" xr3:uid="{BE7858A6-B630-429A-BBAB-12AFC7A7B1D8}" name="Raw" dataDxfId="386"/>
    <tableColumn id="3" xr3:uid="{FE5AEC01-78F5-4E9B-90FE-180EBEC8476C}" name="Short" dataDxfId="385"/>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BFAF1D-ADC1-4760-99E6-F5A23904AEDA}" name="표11_131423" displayName="표11_131423" ref="A1:D22" totalsRowShown="0" dataDxfId="384">
  <autoFilter ref="A1:D22" xr:uid="{72CD6A84-F234-4156-A582-90EAD73FC1A3}"/>
  <tableColumns count="4">
    <tableColumn id="1" xr3:uid="{D42FC95A-5C2F-4806-BD1D-2AD92C23DF1C}" name="Category" dataDxfId="383"/>
    <tableColumn id="4" xr3:uid="{F4E0F4E9-FD29-4B2E-B342-011BDDBEE7B3}" name="Description" dataDxfId="382"/>
    <tableColumn id="2" xr3:uid="{C6E0EDA6-8448-49FC-AC43-E42CFD6CD77D}" name="Raw" dataDxfId="381"/>
    <tableColumn id="3" xr3:uid="{AB3FFD21-C6D6-46D0-9BE9-FE9A1B5A60A0}" name="Short" dataDxfId="380"/>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AAC050-316B-423D-96B9-F956484B42E2}" name="표11_1314234" displayName="표11_1314234" ref="A1:D22" totalsRowShown="0" dataDxfId="379">
  <autoFilter ref="A1:D22" xr:uid="{72CD6A84-F234-4156-A582-90EAD73FC1A3}"/>
  <tableColumns count="4">
    <tableColumn id="1" xr3:uid="{4AF35178-1300-437D-81AB-C8293992EC8B}" name="Category" dataDxfId="378"/>
    <tableColumn id="4" xr3:uid="{617F06B3-1BAD-4FAD-9AF2-6D785FC8CCEA}" name="Description" dataDxfId="377"/>
    <tableColumn id="2" xr3:uid="{C207A213-B686-4391-A7B2-4DAB2D55A5A5}" name="Raw" dataDxfId="376"/>
    <tableColumn id="3" xr3:uid="{D18A639F-A426-4611-A22E-699A96107A20}" name="Short" dataDxfId="375"/>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A3EAEC-3E60-4538-88CD-70BEB59EC769}" name="표11_13142345" displayName="표11_13142345" ref="A1:D22" totalsRowShown="0" dataDxfId="374">
  <autoFilter ref="A1:D22" xr:uid="{72CD6A84-F234-4156-A582-90EAD73FC1A3}"/>
  <tableColumns count="4">
    <tableColumn id="1" xr3:uid="{97E26799-9DFB-4B2A-B970-D510F8D7A474}" name="Category" dataDxfId="373"/>
    <tableColumn id="4" xr3:uid="{578EF475-0306-4A0A-AE94-FDE97AD37C73}" name="Description" dataDxfId="372"/>
    <tableColumn id="2" xr3:uid="{8A9C5688-982C-4E1D-9A11-E2122B859B38}" name="Raw" dataDxfId="371"/>
    <tableColumn id="3" xr3:uid="{14669D86-B8A0-41DB-8F5A-CC62391ABB21}" name="Short" dataDxfId="370"/>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AC112BD-9460-4D96-A24B-DB97A998402C}" name="표11_1314234567" displayName="표11_1314234567" ref="A1:D22" totalsRowShown="0" dataDxfId="369">
  <autoFilter ref="A1:D22" xr:uid="{72CD6A84-F234-4156-A582-90EAD73FC1A3}"/>
  <tableColumns count="4">
    <tableColumn id="1" xr3:uid="{D5DC3647-EB28-4277-9718-F0D39BDBDF41}" name="Category" dataDxfId="368"/>
    <tableColumn id="4" xr3:uid="{5C1148CB-9E32-4916-84F0-2625F3BA1A91}" name="Description" dataDxfId="367"/>
    <tableColumn id="2" xr3:uid="{22A694C6-5F4D-4664-B007-D63375BEDA2C}" name="Raw" dataDxfId="366"/>
    <tableColumn id="3" xr3:uid="{C82F9397-8692-41A1-B40E-D35BD18DEE18}" name="Short" dataDxfId="365"/>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521249-8FCD-464B-B9DC-7E0E3801AD06}" name="표11_13142345678" displayName="표11_13142345678" ref="A1:D22" totalsRowShown="0" dataDxfId="364">
  <autoFilter ref="A1:D22" xr:uid="{72CD6A84-F234-4156-A582-90EAD73FC1A3}"/>
  <tableColumns count="4">
    <tableColumn id="1" xr3:uid="{69607F7C-2E08-460A-B778-84C7FAEE4469}" name="Category" dataDxfId="363"/>
    <tableColumn id="4" xr3:uid="{F4273FD7-EEF0-4CCB-BAAE-DDDDC3F171C9}" name="Description" dataDxfId="362"/>
    <tableColumn id="2" xr3:uid="{8669D4F4-2682-4831-AA44-42730295863D}" name="Raw" dataDxfId="361"/>
    <tableColumn id="3" xr3:uid="{E79D589F-1632-4437-B028-303B6F902709}" name="Short" dataDxfId="360"/>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7032B5-583F-40F8-9E4B-F08B067EE61D}" name="표11_131423456789" displayName="표11_131423456789" ref="A1:D22" totalsRowShown="0" dataDxfId="359">
  <autoFilter ref="A1:D22" xr:uid="{72CD6A84-F234-4156-A582-90EAD73FC1A3}"/>
  <tableColumns count="4">
    <tableColumn id="1" xr3:uid="{0B64FFAE-91F9-424F-AFF9-A1C0BAC22783}" name="Category" dataDxfId="358"/>
    <tableColumn id="4" xr3:uid="{8B01CF5B-D4AA-478A-B738-82E25D163C80}" name="Description" dataDxfId="357"/>
    <tableColumn id="2" xr3:uid="{D44064AF-74E1-4EF3-A06E-35B13CE17C49}" name="Raw" dataDxfId="356"/>
    <tableColumn id="3" xr3:uid="{FFD5F753-B6A0-4B9A-B281-491171E05E2A}" name="Short" dataDxfId="355"/>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63F9816-99C2-4DEF-9F73-79822F35FAD8}" name="표11_13142345678910" displayName="표11_13142345678910" ref="A1:D22" totalsRowShown="0" dataDxfId="354">
  <autoFilter ref="A1:D22" xr:uid="{72CD6A84-F234-4156-A582-90EAD73FC1A3}"/>
  <tableColumns count="4">
    <tableColumn id="1" xr3:uid="{F9643966-EA36-4B0B-B457-67F3CC54B67E}" name="Category" dataDxfId="353"/>
    <tableColumn id="4" xr3:uid="{BDBD9ABA-6758-4CE6-AA6B-BC02ED115990}" name="Description" dataDxfId="352"/>
    <tableColumn id="2" xr3:uid="{751E5054-2D88-4B4A-9D68-6EF7A0AB1BB4}" name="Raw" dataDxfId="351"/>
    <tableColumn id="3" xr3:uid="{03BE2B8D-D4CF-4A23-850E-AE2076309B76}" name="Short" dataDxfId="350"/>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B7AAD22-BA1D-40CF-AABC-D6D1E4F7AF54}" name="표11_1314234567891015" displayName="표11_1314234567891015" ref="A1:D22" totalsRowShown="0" dataDxfId="349">
  <autoFilter ref="A1:D22" xr:uid="{72CD6A84-F234-4156-A582-90EAD73FC1A3}"/>
  <tableColumns count="4">
    <tableColumn id="1" xr3:uid="{52125B9F-50FD-45BB-9AB1-32DF99D91C9C}" name="Category" dataDxfId="348"/>
    <tableColumn id="4" xr3:uid="{F3E57A06-C6D4-4C8B-8B30-2E82082CE044}" name="Description" dataDxfId="347"/>
    <tableColumn id="2" xr3:uid="{330FFBCC-B776-4EC5-BB68-E6EA7A3536C6}" name="Raw" dataDxfId="346"/>
    <tableColumn id="3" xr3:uid="{14BEDEF8-B7F4-4615-B401-67FE9E778BBA}" name="Short" dataDxfId="345"/>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7B8C8F7-9EF9-4A5B-9872-0350A533854F}" name="표11_131423456789101516" displayName="표11_131423456789101516" ref="A1:D22" totalsRowShown="0" dataDxfId="344">
  <autoFilter ref="A1:D22" xr:uid="{72CD6A84-F234-4156-A582-90EAD73FC1A3}"/>
  <tableColumns count="4">
    <tableColumn id="1" xr3:uid="{57819CAB-6988-4211-B0E7-195EEF7FACA9}" name="Category" dataDxfId="343"/>
    <tableColumn id="4" xr3:uid="{ABCA4C92-3A3F-44F1-AC0A-AD6670368CB7}" name="Description" dataDxfId="342"/>
    <tableColumn id="2" xr3:uid="{4C2E69A2-4608-4B1F-8C44-CD0D7C5CAB72}" name="Raw" dataDxfId="341"/>
    <tableColumn id="3" xr3:uid="{449574C7-6222-4330-95F9-C32AEC9F6C52}" name="Short" dataDxfId="340"/>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0764128-3101-4726-B72F-AEBC23671769}" name="표11_131423456789101516171819" displayName="표11_131423456789101516171819" ref="A1:D22" totalsRowShown="0" dataDxfId="339">
  <autoFilter ref="A1:D22" xr:uid="{72CD6A84-F234-4156-A582-90EAD73FC1A3}"/>
  <tableColumns count="4">
    <tableColumn id="1" xr3:uid="{A63152BF-5349-4A9B-B58E-5EDA3FC43A9F}" name="Category" dataDxfId="338"/>
    <tableColumn id="4" xr3:uid="{CD61F772-FB71-467B-964C-3EF0A988DF62}" name="Description" dataDxfId="337"/>
    <tableColumn id="2" xr3:uid="{99B3826B-37E6-49AC-ADF3-3C71204FCCB1}" name="Raw" dataDxfId="336"/>
    <tableColumn id="3" xr3:uid="{7A0A34AC-6AED-4974-8374-9E05A988BDA6}" name="Short" dataDxfId="335"/>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394F44C-9B85-4D39-8DAD-14406A89BCC3}" name="표11_13142345678910151617" displayName="표11_13142345678910151617" ref="A1:D22" totalsRowShown="0" dataDxfId="334">
  <autoFilter ref="A1:D22" xr:uid="{72CD6A84-F234-4156-A582-90EAD73FC1A3}"/>
  <tableColumns count="4">
    <tableColumn id="1" xr3:uid="{BF02ACA9-B257-4034-B9D6-CE1CB3E80445}" name="Category" dataDxfId="333"/>
    <tableColumn id="4" xr3:uid="{C9C4D98E-0DC0-4F84-BE6A-C15A73F8D871}" name="Description" dataDxfId="332"/>
    <tableColumn id="2" xr3:uid="{08E08C3B-CAEB-41D6-9984-E704848870B7}" name="Raw" dataDxfId="331"/>
    <tableColumn id="3" xr3:uid="{385C9093-560A-43B5-A7C8-EF9FB7522F85}" name="Short" dataDxfId="330"/>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1923702-D9F1-499F-BA4D-5689F0AFD82F}" name="표11_1314222" displayName="표11_1314222" ref="A1:D22" totalsRowShown="0" dataDxfId="329">
  <autoFilter ref="A1:D22" xr:uid="{72CD6A84-F234-4156-A582-90EAD73FC1A3}"/>
  <tableColumns count="4">
    <tableColumn id="1" xr3:uid="{7E777214-04CA-419F-9B4E-5411D16E7D67}" name="Category" dataDxfId="328"/>
    <tableColumn id="4" xr3:uid="{58ACDA2B-25D2-476C-A088-650D90E26C6C}" name="Description" dataDxfId="327"/>
    <tableColumn id="2" xr3:uid="{F8F34E1A-B423-412D-9754-ACF149D0D154}" name="Raw" dataDxfId="326"/>
    <tableColumn id="3" xr3:uid="{955C3B42-218B-43DB-ADBB-96E000F299DA}" name="Short" dataDxfId="325"/>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EDC4ED3-59F3-447D-8D5C-73433F7872C2}" name="표11_13142323" displayName="표11_13142323" ref="A1:D22" totalsRowShown="0" dataDxfId="324">
  <autoFilter ref="A1:D22" xr:uid="{72CD6A84-F234-4156-A582-90EAD73FC1A3}"/>
  <tableColumns count="4">
    <tableColumn id="1" xr3:uid="{9EF618D1-8DD5-4E5F-AF01-251E86FE47B9}" name="Category" dataDxfId="323"/>
    <tableColumn id="4" xr3:uid="{2BE48622-1366-47E5-AA17-887EAB14D361}" name="Description" dataDxfId="322"/>
    <tableColumn id="2" xr3:uid="{3AB5C8A2-2AAA-48DD-BECB-1BF5799CB202}" name="Raw" dataDxfId="321"/>
    <tableColumn id="3" xr3:uid="{7A017A1B-E577-49F9-8E6E-9E9D48BFF076}" name="Short" dataDxfId="320"/>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23A6FA2-2DF0-4AE7-8115-47E2FA9CCC41}" name="표11_131423424" displayName="표11_131423424" ref="A1:D22" totalsRowShown="0" dataDxfId="319">
  <autoFilter ref="A1:D22" xr:uid="{72CD6A84-F234-4156-A582-90EAD73FC1A3}"/>
  <tableColumns count="4">
    <tableColumn id="1" xr3:uid="{76DD92EF-BB1B-461D-9F93-595047F51DF2}" name="Category" dataDxfId="318"/>
    <tableColumn id="4" xr3:uid="{DFDFA015-5608-4354-A462-62526396E56B}" name="Description" dataDxfId="317"/>
    <tableColumn id="2" xr3:uid="{05E7E8B6-65C3-4FD1-8231-5F18406294B9}" name="Raw" dataDxfId="316"/>
    <tableColumn id="3" xr3:uid="{B10574AB-C92B-43A5-8881-5E94B3412D1D}" name="Short" dataDxfId="315"/>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C637ADB-B3E8-4E78-879B-D2A89A0D8CF0}" name="표11_1314234525" displayName="표11_1314234525" ref="A1:D22" totalsRowShown="0" dataDxfId="314">
  <autoFilter ref="A1:D22" xr:uid="{72CD6A84-F234-4156-A582-90EAD73FC1A3}"/>
  <tableColumns count="4">
    <tableColumn id="1" xr3:uid="{11835E67-A8EE-47E9-B1DF-6515224A4724}" name="Category" dataDxfId="313"/>
    <tableColumn id="4" xr3:uid="{640BB209-90A5-400B-A906-EE0EAB2EB175}" name="Description" dataDxfId="312"/>
    <tableColumn id="2" xr3:uid="{C3E9C790-F8AF-430E-8161-8B190FB85DCB}" name="Raw" dataDxfId="311"/>
    <tableColumn id="3" xr3:uid="{64F4EC5E-9B01-432B-96FE-295B2E73B2D1}" name="Short" dataDxfId="310"/>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9F76D86-8261-41A8-8440-0D5833E5F2F0}" name="표11_13142345626" displayName="표11_13142345626" ref="A1:D22" totalsRowShown="0" dataDxfId="309">
  <autoFilter ref="A1:D22" xr:uid="{72CD6A84-F234-4156-A582-90EAD73FC1A3}"/>
  <tableColumns count="4">
    <tableColumn id="1" xr3:uid="{A632BC54-9E02-4802-9CA7-245C57505176}" name="Category" dataDxfId="308"/>
    <tableColumn id="4" xr3:uid="{1A08453C-17F9-4076-954A-D1FF6291D553}" name="Description" dataDxfId="307"/>
    <tableColumn id="2" xr3:uid="{5E6CAACB-578D-421F-842D-0769E6E4C654}" name="Raw" dataDxfId="306"/>
    <tableColumn id="3" xr3:uid="{CD68B9F9-E41E-4D88-A9E4-4FEFFF607063}" name="Short" dataDxfId="305"/>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DD2248F-538E-4FF1-9E78-6770CD8B32AD}" name="표11_131423456731" displayName="표11_131423456731" ref="A1:D22" totalsRowShown="0" dataDxfId="304">
  <autoFilter ref="A1:D22" xr:uid="{72CD6A84-F234-4156-A582-90EAD73FC1A3}"/>
  <tableColumns count="4">
    <tableColumn id="1" xr3:uid="{4AA5398C-39BC-47C0-8012-3506866350EB}" name="Category" dataDxfId="303"/>
    <tableColumn id="4" xr3:uid="{F7DE38D2-F242-43B6-BB06-96469694F753}" name="Description" dataDxfId="302"/>
    <tableColumn id="2" xr3:uid="{0F1CDCB3-9EE2-45C9-8F48-153750EDE7E0}" name="Raw" dataDxfId="301"/>
    <tableColumn id="3" xr3:uid="{17E4C6B0-35B3-4A7F-89DC-524902045D66}" name="Short" dataDxfId="300"/>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785AA31-9810-41C9-8A51-716AF3304AD3}" name="표11_1314234567827" displayName="표11_1314234567827" ref="A1:D22" totalsRowShown="0" dataDxfId="299">
  <autoFilter ref="A1:D22" xr:uid="{72CD6A84-F234-4156-A582-90EAD73FC1A3}"/>
  <tableColumns count="4">
    <tableColumn id="1" xr3:uid="{E610A4BC-2836-4673-8696-C0604AC6D57B}" name="Category" dataDxfId="298"/>
    <tableColumn id="4" xr3:uid="{2F221C24-EC15-4547-BD0C-4652E018E13B}" name="Description" dataDxfId="297"/>
    <tableColumn id="2" xr3:uid="{92BFB016-BBC3-40D7-917E-1AFE7CCE5AA3}" name="Raw" dataDxfId="296"/>
    <tableColumn id="3" xr3:uid="{2F279A80-C9CD-473F-A752-608E70981692}" name="Short" dataDxfId="295"/>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FC44D83-7089-4B00-B4AB-CC84E77D9903}" name="표11_13142345678928" displayName="표11_13142345678928" ref="A1:D22" totalsRowShown="0" dataDxfId="294">
  <autoFilter ref="A1:D22" xr:uid="{72CD6A84-F234-4156-A582-90EAD73FC1A3}"/>
  <tableColumns count="4">
    <tableColumn id="1" xr3:uid="{738CD6D2-D242-4B7A-A7A5-1888B14EEAC0}" name="Category" dataDxfId="293"/>
    <tableColumn id="4" xr3:uid="{9E3750EC-2509-4C3B-B103-D91745D063BB}" name="Description" dataDxfId="292"/>
    <tableColumn id="2" xr3:uid="{41BCABE9-65FA-4FD4-8F53-5C338E00A101}" name="Raw" dataDxfId="291"/>
    <tableColumn id="3" xr3:uid="{6CD4264B-E4B2-40B4-975D-D16F1FEE2502}" name="Short" dataDxfId="290"/>
  </tableColumns>
  <tableStyleInfo name="TableStyleLight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9FDB149-7BC7-412E-A7F4-3592A396B02C}" name="표11_1314234567891029" displayName="표11_1314234567891029" ref="A1:D22" totalsRowShown="0" dataDxfId="289">
  <autoFilter ref="A1:D22" xr:uid="{72CD6A84-F234-4156-A582-90EAD73FC1A3}"/>
  <tableColumns count="4">
    <tableColumn id="1" xr3:uid="{E8D536A4-9983-4EDB-8B90-EE14FA9CBFE3}" name="Category" dataDxfId="288"/>
    <tableColumn id="4" xr3:uid="{6CA1E152-AF79-4140-8282-DC48FAC7948B}" name="Description" dataDxfId="287"/>
    <tableColumn id="2" xr3:uid="{589E4765-565F-4B32-B95D-39C475BEACE7}" name="Raw" dataDxfId="286"/>
    <tableColumn id="3" xr3:uid="{4BBA1CC7-8CD9-4C3C-A66E-75D54520B161}" name="Short" dataDxfId="285"/>
  </tableColumns>
  <tableStyleInfo name="TableStyleLight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5A6DAF2-5C67-415C-A28C-1993BCAB62E6}" name="표11_131423456789101530" displayName="표11_131423456789101530" ref="A1:D22" totalsRowShown="0" dataDxfId="284">
  <autoFilter ref="A1:D22" xr:uid="{72CD6A84-F234-4156-A582-90EAD73FC1A3}"/>
  <tableColumns count="4">
    <tableColumn id="1" xr3:uid="{B778E882-B2AE-478B-AED2-21901D6685B7}" name="Category" dataDxfId="283"/>
    <tableColumn id="4" xr3:uid="{EE1B93EB-DC75-451B-9C8C-D6620109E299}" name="Description" dataDxfId="282"/>
    <tableColumn id="2" xr3:uid="{8F92F8F2-3BD0-40F7-9B4B-BE9B4F4473BD}" name="Raw" dataDxfId="281"/>
    <tableColumn id="3" xr3:uid="{35C31664-CB69-47BE-B26C-DFE6B7DEF071}" name="Short" dataDxfId="280"/>
  </tableColumns>
  <tableStyleInfo name="TableStyleLight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0EB6024-5CEC-4338-883A-D7B3E1DC3DDE}" name="표11_13142345678910151632" displayName="표11_13142345678910151632" ref="A1:D22" totalsRowShown="0" dataDxfId="279">
  <autoFilter ref="A1:D22" xr:uid="{72CD6A84-F234-4156-A582-90EAD73FC1A3}"/>
  <tableColumns count="4">
    <tableColumn id="1" xr3:uid="{C9E06AFD-3C60-4E8E-AE90-BBBD56BE53E2}" name="Category" dataDxfId="278"/>
    <tableColumn id="4" xr3:uid="{AFC5D74C-81B0-4B74-9E4B-CF335E41F3E8}" name="Description" dataDxfId="277"/>
    <tableColumn id="2" xr3:uid="{993A5954-35EB-468F-9EBE-D28331F2F807}" name="Raw" dataDxfId="276"/>
    <tableColumn id="3" xr3:uid="{F56D2417-53B6-4626-8569-5C9DE331B2BA}" name="Short" dataDxfId="275"/>
  </tableColumns>
  <tableStyleInfo name="TableStyleLight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64A854E-1FE6-4B6D-8390-1FBE6802B908}" name="표11_1314234567891015161733" displayName="표11_1314234567891015161733" ref="A1:D22" totalsRowShown="0" dataDxfId="274">
  <autoFilter ref="A1:D22" xr:uid="{72CD6A84-F234-4156-A582-90EAD73FC1A3}"/>
  <tableColumns count="4">
    <tableColumn id="1" xr3:uid="{0B378FD0-BCBA-4A09-BB62-24D0F00984BC}" name="Category" dataDxfId="273"/>
    <tableColumn id="4" xr3:uid="{8930E9B2-7828-4EB8-8C66-2A296908D040}" name="Description" dataDxfId="272"/>
    <tableColumn id="2" xr3:uid="{5091160E-3F24-4544-876E-B1C0779B0D75}" name="Raw" dataDxfId="271"/>
    <tableColumn id="3" xr3:uid="{E04B1AB5-13D6-46B9-A962-F77CEEB85A70}" name="Short" dataDxfId="270"/>
  </tableColumns>
  <tableStyleInfo name="TableStyleLight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E4C14C6-B302-41DD-B2AE-84701BA95410}" name="표11_13142345678910151617181935" displayName="표11_13142345678910151617181935" ref="A1:D22" totalsRowShown="0" dataDxfId="269">
  <autoFilter ref="A1:D22" xr:uid="{72CD6A84-F234-4156-A582-90EAD73FC1A3}"/>
  <tableColumns count="4">
    <tableColumn id="1" xr3:uid="{26254EC0-261C-4A67-BACE-A6A778DB2403}" name="Category" dataDxfId="268"/>
    <tableColumn id="4" xr3:uid="{AE34D175-A634-4186-BBFF-8251D6D237F7}" name="Description" dataDxfId="267"/>
    <tableColumn id="2" xr3:uid="{7EA409DC-1C0B-47F6-8B1A-D0D655B1F300}" name="Raw" dataDxfId="266"/>
    <tableColumn id="3" xr3:uid="{DC542ADA-0B7F-43C9-9548-0D592CD59EE2}" name="Short" dataDxfId="265"/>
  </tableColumns>
  <tableStyleInfo name="TableStyleLight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34122DB-E37C-4F46-875E-86F456D14592}" name="표11_13142345678910151617181920" displayName="표11_13142345678910151617181920" ref="A1:D22" totalsRowShown="0" dataDxfId="264">
  <autoFilter ref="A1:D22" xr:uid="{72CD6A84-F234-4156-A582-90EAD73FC1A3}"/>
  <tableColumns count="4">
    <tableColumn id="1" xr3:uid="{5384F5FC-A662-4821-A6E4-457B89A59F0B}" name="Category" dataDxfId="263"/>
    <tableColumn id="4" xr3:uid="{F87E8DDA-7AA3-4488-893B-C2093E948807}" name="Description" dataDxfId="262"/>
    <tableColumn id="2" xr3:uid="{4B7ED54E-29CD-4018-B1B1-BABD378937EC}" name="Raw" dataDxfId="261"/>
    <tableColumn id="3" xr3:uid="{7F19196F-EA80-4464-8E78-2E56464A8272}" name="Short" dataDxfId="260"/>
  </tableColumns>
  <tableStyleInfo name="TableStyleLight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68C3428-1B62-4B9B-A30B-335365217C97}" name="표11_1314234567891015161718192021" displayName="표11_1314234567891015161718192021" ref="A1:D22" totalsRowShown="0" dataDxfId="259">
  <autoFilter ref="A1:D22" xr:uid="{72CD6A84-F234-4156-A582-90EAD73FC1A3}"/>
  <tableColumns count="4">
    <tableColumn id="1" xr3:uid="{B0462A3C-4C14-4262-82FD-A26E61D72274}" name="Category" dataDxfId="258"/>
    <tableColumn id="4" xr3:uid="{C7E8970A-647B-4CB3-995A-871916184692}" name="Description" dataDxfId="257"/>
    <tableColumn id="2" xr3:uid="{6A7ED1EB-B30D-42F8-ABE2-634A961E9130}" name="Raw" dataDxfId="256"/>
    <tableColumn id="3" xr3:uid="{43252D56-15B4-43F0-B797-51B97612F32B}" name="Short" dataDxfId="255"/>
  </tableColumns>
  <tableStyleInfo name="TableStyleLight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9D450CC-E2B1-4C87-A261-D18AD2AC3220}" name="표11_131423456789101516171819202122" displayName="표11_131423456789101516171819202122" ref="A1:D23" totalsRowShown="0" dataDxfId="254">
  <autoFilter ref="A1:D23" xr:uid="{72CD6A84-F234-4156-A582-90EAD73FC1A3}"/>
  <tableColumns count="4">
    <tableColumn id="1" xr3:uid="{3843F980-8651-4D89-B0A0-0B019A9CB6A1}" name="Category" dataDxfId="253"/>
    <tableColumn id="4" xr3:uid="{2DAA7F6D-255C-45AB-8591-F1DD192398CD}" name="Description" dataDxfId="252"/>
    <tableColumn id="2" xr3:uid="{1DC4AF44-10D3-424D-B87A-C590229A09C5}" name="Raw" dataDxfId="251"/>
    <tableColumn id="3" xr3:uid="{36FE06A3-FD96-4357-A5E3-9A75BB1D5521}" name="Short" dataDxfId="250"/>
  </tableColumns>
  <tableStyleInfo name="TableStyleLight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586381F-40D2-42DA-90DC-8D2A222CE382}" name="표11_13142345678910151617181920212223" displayName="표11_13142345678910151617181920212223" ref="A1:D22" totalsRowShown="0" dataDxfId="249">
  <autoFilter ref="A1:D22" xr:uid="{72CD6A84-F234-4156-A582-90EAD73FC1A3}"/>
  <tableColumns count="4">
    <tableColumn id="1" xr3:uid="{69890CAE-8F48-4EF7-B8D8-5B409293ADC3}" name="Category" dataDxfId="248"/>
    <tableColumn id="4" xr3:uid="{5D03CF09-E013-4C68-994A-065162284D0D}" name="Description" dataDxfId="247"/>
    <tableColumn id="2" xr3:uid="{A80DB4CE-DA87-4632-A8DA-14DB24856799}" name="Raw" dataDxfId="246"/>
    <tableColumn id="3" xr3:uid="{08018FEA-0C48-4558-ADA1-4E221DB9EF61}" name="Short" dataDxfId="245"/>
  </tableColumns>
  <tableStyleInfo name="TableStyleLight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196E8C4-1A82-4F3A-A9A3-425B8F5C958C}" name="표11_1314234567891015161718192021222324" displayName="표11_1314234567891015161718192021222324" ref="A1:D22" totalsRowShown="0" dataDxfId="244">
  <autoFilter ref="A1:D22" xr:uid="{72CD6A84-F234-4156-A582-90EAD73FC1A3}"/>
  <tableColumns count="4">
    <tableColumn id="1" xr3:uid="{0899FFD2-D657-4CF1-B463-6CF3DCB75A00}" name="Category" dataDxfId="243"/>
    <tableColumn id="4" xr3:uid="{1BC7544F-9D62-4CA0-A0FA-3FAD5F443ECD}" name="Description" dataDxfId="242"/>
    <tableColumn id="2" xr3:uid="{A2BBBCFD-D893-4490-8FCF-17186AA2C7BC}" name="Raw" dataDxfId="241"/>
    <tableColumn id="3" xr3:uid="{AEAAC5A9-9DFF-4929-AA2B-5BB6DB205AB7}" name="Short" dataDxfId="240"/>
  </tableColumns>
  <tableStyleInfo name="TableStyleLight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87C7025-8E92-4B4B-80C7-2A76D0B990A9}" name="표11_131423456789101516171819202122232425" displayName="표11_131423456789101516171819202122232425" ref="A1:D22" totalsRowShown="0" dataDxfId="239">
  <autoFilter ref="A1:D22" xr:uid="{72CD6A84-F234-4156-A582-90EAD73FC1A3}"/>
  <tableColumns count="4">
    <tableColumn id="1" xr3:uid="{5C9EF114-3620-467B-9862-010D95B6287A}" name="Category" dataDxfId="238"/>
    <tableColumn id="4" xr3:uid="{F387EA55-0EEF-46A0-B1C4-D5A33F445749}" name="Description" dataDxfId="237"/>
    <tableColumn id="2" xr3:uid="{A5820D97-29CA-4CEC-86B2-8970CB217C66}" name="Raw" dataDxfId="236"/>
    <tableColumn id="3" xr3:uid="{EA5F5E85-DE32-4BD1-A279-1E784310DA28}" name="Short" dataDxfId="235"/>
  </tableColumns>
  <tableStyleInfo name="TableStyleLight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C8EB2A-6802-4BE2-8F03-D347454F6468}" name="표11_13142345678910151617181920212223242526" displayName="표11_13142345678910151617181920212223242526" ref="A1:D22" totalsRowShown="0" dataDxfId="234">
  <autoFilter ref="A1:D22" xr:uid="{72CD6A84-F234-4156-A582-90EAD73FC1A3}"/>
  <tableColumns count="4">
    <tableColumn id="1" xr3:uid="{17E5EAAF-5140-4678-B9C2-FE5099EF224F}" name="Category" dataDxfId="233"/>
    <tableColumn id="4" xr3:uid="{6A7EAAB9-B523-4E76-89C1-EA43BC465A26}" name="Description" dataDxfId="232"/>
    <tableColumn id="2" xr3:uid="{B238ECAD-7B4D-47A1-86A4-E10143F13DCD}" name="Raw" dataDxfId="231"/>
    <tableColumn id="3" xr3:uid="{F6AF40F9-4AEE-42EF-BF57-3364A4AFEEE6}" name="Short" dataDxfId="230"/>
  </tableColumns>
  <tableStyleInfo name="TableStyleLight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4E92EB9-A98C-4460-BDD2-9D727D108059}" name="표11_1314234567891015161718192021222324252627" displayName="표11_1314234567891015161718192021222324252627" ref="A1:D22" totalsRowShown="0" dataDxfId="229">
  <autoFilter ref="A1:D22" xr:uid="{72CD6A84-F234-4156-A582-90EAD73FC1A3}"/>
  <tableColumns count="4">
    <tableColumn id="1" xr3:uid="{20356396-4858-4B68-AA7B-3AA9FAD68AC6}" name="Category" dataDxfId="228"/>
    <tableColumn id="4" xr3:uid="{05798B5A-845D-4421-9C7A-7DE511644E90}" name="Description" dataDxfId="227"/>
    <tableColumn id="2" xr3:uid="{4BC9126E-868F-4456-B830-581A25D62B13}" name="Raw" dataDxfId="226"/>
    <tableColumn id="3" xr3:uid="{2FA5D744-DCC3-4922-91F9-8C7D8BBA4FBE}" name="Short" dataDxfId="225"/>
  </tableColumns>
  <tableStyleInfo name="TableStyleLight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AE90761-E7C1-4861-A669-E2C5E8CDF5B7}" name="표11_131423456789101516171819202122232425262728" displayName="표11_131423456789101516171819202122232425262728" ref="A1:D22" totalsRowShown="0" dataDxfId="224">
  <autoFilter ref="A1:D22" xr:uid="{72CD6A84-F234-4156-A582-90EAD73FC1A3}"/>
  <tableColumns count="4">
    <tableColumn id="1" xr3:uid="{B7E3B1CC-7A62-4C9C-AB1A-77F117C4890C}" name="Category" dataDxfId="223"/>
    <tableColumn id="4" xr3:uid="{E29826FF-3CFD-4D19-926E-A5BAF8F121FA}" name="Description" dataDxfId="222"/>
    <tableColumn id="2" xr3:uid="{0609EED1-5DAC-4F8D-BCD3-B5B0441E911F}" name="Raw" dataDxfId="221"/>
    <tableColumn id="3" xr3:uid="{73A6689B-5AB9-499A-82F4-7E5F8CE90BB4}" name="Short" dataDxfId="220"/>
  </tableColumns>
  <tableStyleInfo name="TableStyleLight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CE1B1D-006D-4AC5-9771-E2AFD6086F87}" name="표11_6" displayName="표11_6" ref="A1:D22" totalsRowShown="0" dataDxfId="219">
  <autoFilter ref="A1:D22" xr:uid="{72CD6A84-F234-4156-A582-90EAD73FC1A3}"/>
  <tableColumns count="4">
    <tableColumn id="1" xr3:uid="{18168065-18FC-4CBF-B50E-D07B5D9AF430}" name="Category" dataDxfId="218"/>
    <tableColumn id="4" xr3:uid="{4B46FD4B-FC3E-4586-BA1C-7AFE4F8787B7}" name="Description" dataDxfId="217"/>
    <tableColumn id="2" xr3:uid="{F4B26CD6-CAF1-454B-BAF4-CC10A9FB1AC8}" name="Raw" dataDxfId="216"/>
    <tableColumn id="3" xr3:uid="{D4AE0C87-45AA-46E2-9A8F-EFC3DB2E95AD}" name="Short" dataDxfId="215"/>
  </tableColumns>
  <tableStyleInfo name="TableStyleLight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415F7A0D-2A0F-4672-B477-0B73B9EDF28C}" name="표11_651" displayName="표11_651" ref="A1:D22" totalsRowShown="0" dataDxfId="214">
  <autoFilter ref="A1:D22" xr:uid="{72CD6A84-F234-4156-A582-90EAD73FC1A3}"/>
  <tableColumns count="4">
    <tableColumn id="1" xr3:uid="{BB4489B9-74AA-4282-A979-D2ABAE953306}" name="Category" dataDxfId="213"/>
    <tableColumn id="4" xr3:uid="{C80A3A3B-681C-4C03-9219-DEB3D0A9A6AD}" name="Description" dataDxfId="212"/>
    <tableColumn id="2" xr3:uid="{266E393F-04EE-4435-8093-F8B62A3787EA}" name="Raw" dataDxfId="211"/>
    <tableColumn id="3" xr3:uid="{4C1496B7-1D94-4DD0-BBAF-93DA2491A189}" name="Short" dataDxfId="210"/>
  </tableColumns>
  <tableStyleInfo name="TableStyleLight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1CE73A7B-A481-4B87-A20C-9CB05BB43509}" name="표11_65152" displayName="표11_65152" ref="A1:D22" totalsRowShown="0" dataDxfId="209">
  <autoFilter ref="A1:D22" xr:uid="{72CD6A84-F234-4156-A582-90EAD73FC1A3}"/>
  <tableColumns count="4">
    <tableColumn id="1" xr3:uid="{7A9A8F3B-94E7-41B4-A7BF-F8CB9BB4338F}" name="Category" dataDxfId="208"/>
    <tableColumn id="4" xr3:uid="{AD54ABB9-F5F7-48DE-B62C-DC90CEBACB32}" name="Description" dataDxfId="207"/>
    <tableColumn id="2" xr3:uid="{88B539AB-5E67-4271-A1E4-206329517429}" name="Raw" dataDxfId="206"/>
    <tableColumn id="3" xr3:uid="{CBF1D608-56D9-4E0C-9BD2-9B551D3616EA}" name="Short" dataDxfId="205"/>
  </tableColumns>
  <tableStyleInfo name="TableStyleLight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35BD3EA-8C01-4F40-A1A1-E1DDD73F3538}" name="표11_6515274" displayName="표11_6515274" ref="A1:D22" totalsRowShown="0" dataDxfId="204">
  <autoFilter ref="A1:D22" xr:uid="{72CD6A84-F234-4156-A582-90EAD73FC1A3}"/>
  <tableColumns count="4">
    <tableColumn id="1" xr3:uid="{ED436D8F-78EA-4C1C-9A45-312989CA499B}" name="Category" dataDxfId="203"/>
    <tableColumn id="4" xr3:uid="{1B7CCF53-7DA3-4547-A1AF-72D11FFBE900}" name="Description" dataDxfId="202"/>
    <tableColumn id="2" xr3:uid="{1B338E7B-336E-450D-B57F-4D83ABB17B52}" name="Raw" dataDxfId="201"/>
    <tableColumn id="3" xr3:uid="{48085048-5EED-4477-874E-E1B29F60D611}" name="Short" dataDxfId="200"/>
  </tableColumns>
  <tableStyleInfo name="TableStyleLight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924E827E-5D32-4FBD-A284-9BA3349E379F}" name="표11_651527476" displayName="표11_651527476" ref="A1:D22" totalsRowShown="0" dataDxfId="199">
  <autoFilter ref="A1:D22" xr:uid="{72CD6A84-F234-4156-A582-90EAD73FC1A3}"/>
  <tableColumns count="4">
    <tableColumn id="1" xr3:uid="{C5DA1FA1-1096-4724-94ED-EC8F86FFBBAC}" name="Category" dataDxfId="198"/>
    <tableColumn id="4" xr3:uid="{8410364A-366C-4D27-9669-9458870DC137}" name="Description" dataDxfId="197"/>
    <tableColumn id="2" xr3:uid="{98BCDFB5-7CDC-40AC-BDC5-DA58CB073AA3}" name="Raw" dataDxfId="196"/>
    <tableColumn id="3" xr3:uid="{70FCAD00-D87F-4957-B801-0C13396FAD7A}" name="Short" dataDxfId="195"/>
  </tableColumns>
  <tableStyleInfo name="TableStyleLight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494F240-A16A-4552-A9CF-BB533BD9347D}" name="표11_6515253" displayName="표11_6515253" ref="A1:D22" totalsRowShown="0" dataDxfId="194">
  <autoFilter ref="A1:D22" xr:uid="{72CD6A84-F234-4156-A582-90EAD73FC1A3}"/>
  <tableColumns count="4">
    <tableColumn id="1" xr3:uid="{BAD93FAB-D05F-4A81-B698-88365A0B5381}" name="Category" dataDxfId="193"/>
    <tableColumn id="4" xr3:uid="{73FADA2D-F3D7-4D2B-9F04-9A339721EB51}" name="Description" dataDxfId="192"/>
    <tableColumn id="2" xr3:uid="{CE83264E-52A1-4BB2-BF51-ADD60A143EB6}" name="Raw" dataDxfId="191"/>
    <tableColumn id="3" xr3:uid="{E567C173-E639-4DF1-A5D0-81DA37BD7E78}" name="Short" dataDxfId="190"/>
  </tableColumns>
  <tableStyleInfo name="TableStyleLight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EA75CE31-3187-4CAF-8CB6-9CBFED5DB9B1}" name="표11_6515254" displayName="표11_6515254" ref="A1:D22" totalsRowShown="0" dataDxfId="189">
  <autoFilter ref="A1:D22" xr:uid="{72CD6A84-F234-4156-A582-90EAD73FC1A3}"/>
  <tableColumns count="4">
    <tableColumn id="1" xr3:uid="{EDAF036F-7C6C-49B8-8037-F2358C7E11C7}" name="Category" dataDxfId="188"/>
    <tableColumn id="4" xr3:uid="{DAD13A9D-CF32-48F3-9655-CD850F7F85C8}" name="Description" dataDxfId="187"/>
    <tableColumn id="2" xr3:uid="{58A8738E-5130-46FD-8666-4718F147AE5E}" name="Raw" dataDxfId="186"/>
    <tableColumn id="3" xr3:uid="{03A84219-EC56-4364-A919-D87BA6621AE0}" name="Short" dataDxfId="185"/>
  </tableColumns>
  <tableStyleInfo name="TableStyleLight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7679D461-3042-406E-B53C-C88BA4BB2AA2}" name="표11_651525477" displayName="표11_651525477" ref="A1:D22" totalsRowShown="0" dataDxfId="184">
  <autoFilter ref="A1:D22" xr:uid="{72CD6A84-F234-4156-A582-90EAD73FC1A3}"/>
  <tableColumns count="4">
    <tableColumn id="1" xr3:uid="{899DB36F-5D3A-4E45-8557-09C106CB3D3A}" name="Category" dataDxfId="183"/>
    <tableColumn id="4" xr3:uid="{F785B396-D024-49B9-85D7-81A420360DFE}" name="Description" dataDxfId="182"/>
    <tableColumn id="2" xr3:uid="{EAEFCA37-D05B-46C0-AB1A-9251ABFFA12D}" name="Raw" dataDxfId="181"/>
    <tableColumn id="3" xr3:uid="{8DD9CC3C-8909-40A2-B784-3EBA8BC54A3F}" name="Short" dataDxfId="180"/>
  </tableColumns>
  <tableStyleInfo name="TableStyleLight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8F993AF-3150-4148-A05E-76C7F87F23C6}" name="표11_65152547782" displayName="표11_65152547782" ref="A1:D22" totalsRowShown="0" dataDxfId="179">
  <autoFilter ref="A1:D22" xr:uid="{72CD6A84-F234-4156-A582-90EAD73FC1A3}"/>
  <tableColumns count="4">
    <tableColumn id="1" xr3:uid="{1437E14C-27F4-4075-AAA9-6B2526DC8FF8}" name="Category" dataDxfId="178"/>
    <tableColumn id="4" xr3:uid="{520B9B31-7B75-40DA-8877-08B34EE90BC9}" name="Description" dataDxfId="177"/>
    <tableColumn id="2" xr3:uid="{F8127572-1C30-431E-A017-D2C1DF2311E6}" name="Raw" dataDxfId="176"/>
    <tableColumn id="3" xr3:uid="{E236E42C-9A96-4018-B162-9AC0907442D4}" name="Short" dataDxfId="175"/>
  </tableColumns>
  <tableStyleInfo name="TableStyleLight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5B6A7F1F-03B4-48E5-A47C-AFC7026A8266}" name="표11_13142345678910151617181920212223242526272829303132333455" displayName="표11_13142345678910151617181920212223242526272829303132333455" ref="A1:D22" totalsRowShown="0" dataDxfId="174">
  <autoFilter ref="A1:D22" xr:uid="{72CD6A84-F234-4156-A582-90EAD73FC1A3}"/>
  <tableColumns count="4">
    <tableColumn id="1" xr3:uid="{B33A2A3A-1C5A-4B28-82CE-502C9BB0AE5C}" name="Category" dataDxfId="173"/>
    <tableColumn id="4" xr3:uid="{3EA3AFFA-CE24-427D-9E61-88DC4AB263EF}" name="Description" dataDxfId="172"/>
    <tableColumn id="2" xr3:uid="{21A905E4-A5AC-456D-9FFA-B1356D1DF3B5}" name="Raw" dataDxfId="171"/>
    <tableColumn id="3" xr3:uid="{A24868AF-2428-47FB-A82D-FA287A9E0B43}" name="Short" dataDxfId="170"/>
  </tableColumns>
  <tableStyleInfo name="TableStyleLight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7CEAAE25-7AB1-4DAF-A8A2-4A1EFB3474C5}" name="표11_1314234567891015161718192021222324252627282930313233345578" displayName="표11_1314234567891015161718192021222324252627282930313233345578" ref="A1:D22" totalsRowShown="0" dataDxfId="169">
  <autoFilter ref="A1:D22" xr:uid="{72CD6A84-F234-4156-A582-90EAD73FC1A3}"/>
  <tableColumns count="4">
    <tableColumn id="1" xr3:uid="{77C4412E-DFBF-4E9F-8171-3088AF04CB68}" name="Category" dataDxfId="168"/>
    <tableColumn id="4" xr3:uid="{E3C1D2A1-00F1-48E5-9750-14B7CBC790DC}" name="Description" dataDxfId="167"/>
    <tableColumn id="2" xr3:uid="{DB4B4A41-EE4E-4D71-A4AA-131C64C16EFC}" name="Raw" dataDxfId="166"/>
    <tableColumn id="3" xr3:uid="{8A467852-ADFD-4255-9574-2B524B36E701}" name="Short" dataDxfId="165"/>
  </tableColumns>
  <tableStyleInfo name="TableStyleLight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80AF2E-2657-4EA7-A437-3143504E7160}" name="표11_1314234567891015161718192021222324252627282930313233345556" displayName="표11_1314234567891015161718192021222324252627282930313233345556" ref="A1:D22" totalsRowShown="0" dataDxfId="164">
  <autoFilter ref="A1:D22" xr:uid="{72CD6A84-F234-4156-A582-90EAD73FC1A3}"/>
  <tableColumns count="4">
    <tableColumn id="1" xr3:uid="{26283B3D-9C74-4FC3-9271-0FDE802CBEBD}" name="Category" dataDxfId="163"/>
    <tableColumn id="4" xr3:uid="{56D31FF0-6296-4959-8393-2E5D053863C2}" name="Description" dataDxfId="162"/>
    <tableColumn id="2" xr3:uid="{3DB2ED9E-E007-40B2-8AF0-3A4FF9ECD575}" name="Raw" dataDxfId="161"/>
    <tableColumn id="3" xr3:uid="{2BF91B72-9015-4B8E-9A4E-81C0A79966C0}" name="Short" dataDxfId="160"/>
  </tableColumns>
  <tableStyleInfo name="TableStyleLight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410321F8-CCD2-4456-9AA9-549A1A2050C2}" name="표11_131423456789101516171819202122232425262728293031323334555657" displayName="표11_131423456789101516171819202122232425262728293031323334555657" ref="A1:D22" totalsRowShown="0" dataDxfId="159">
  <autoFilter ref="A1:D22" xr:uid="{72CD6A84-F234-4156-A582-90EAD73FC1A3}"/>
  <tableColumns count="4">
    <tableColumn id="1" xr3:uid="{9F184986-6E5F-442A-9AA0-B97A7CEBDB53}" name="Category" dataDxfId="158"/>
    <tableColumn id="4" xr3:uid="{6F9CDBB7-6ACC-453F-934E-8F778D72F061}" name="Description" dataDxfId="157"/>
    <tableColumn id="2" xr3:uid="{DD5D4850-AE38-499F-9129-C9F0EE686566}" name="Raw" dataDxfId="156"/>
    <tableColumn id="3" xr3:uid="{60A5765C-D918-4A51-94F0-5355F84297F2}" name="Short" dataDxfId="155"/>
  </tableColumns>
  <tableStyleInfo name="TableStyleLight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935DD862-566B-4619-A3C1-8B327B8559EC}" name="표11_13142345678910151617181920212223242526272829303132333455565771" displayName="표11_13142345678910151617181920212223242526272829303132333455565771" ref="A1:D22" totalsRowShown="0" dataDxfId="154">
  <autoFilter ref="A1:D22" xr:uid="{72CD6A84-F234-4156-A582-90EAD73FC1A3}"/>
  <tableColumns count="4">
    <tableColumn id="1" xr3:uid="{A8AC808B-E76E-407D-BA81-549CC7DC0197}" name="Category" dataDxfId="153"/>
    <tableColumn id="4" xr3:uid="{C7E09ADA-6C6E-4CE4-A4D6-C0DD504C5C77}" name="Description" dataDxfId="152"/>
    <tableColumn id="2" xr3:uid="{759C0D03-FD73-426F-A779-8D4B80A2C7F0}" name="Raw" dataDxfId="151"/>
    <tableColumn id="3" xr3:uid="{6408B2CF-ADF4-422B-A5C1-1C665B0378E8}" name="Short" dataDxfId="150"/>
  </tableColumns>
  <tableStyleInfo name="TableStyleLight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897C1B9A-1AB2-4DC3-8052-E70DA927D1D4}" name="표11_13142345678910151617181920212223242526272829303132333455565758" displayName="표11_13142345678910151617181920212223242526272829303132333455565758" ref="A1:D22" totalsRowShown="0" dataDxfId="149">
  <autoFilter ref="A1:D22" xr:uid="{72CD6A84-F234-4156-A582-90EAD73FC1A3}"/>
  <tableColumns count="4">
    <tableColumn id="1" xr3:uid="{3EBBDDF7-162D-4568-ACEA-CDDF083585CD}" name="Category" dataDxfId="148"/>
    <tableColumn id="4" xr3:uid="{D365B09E-8C1B-494D-916B-738DF082FD33}" name="Description" dataDxfId="147"/>
    <tableColumn id="2" xr3:uid="{3CAA02C5-6B90-4ADE-8D69-F392F2CBC9D4}" name="Raw" dataDxfId="146"/>
    <tableColumn id="3" xr3:uid="{C3E27AA4-5C65-4C47-B134-0D9ED0D81070}" name="Short" dataDxfId="145"/>
  </tableColumns>
  <tableStyleInfo name="TableStyleLight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1A06BE79-3E03-4BD4-B187-859B57AC862A}" name="표11_1314234567891015161718192021222324252627282930313233345556575859" displayName="표11_1314234567891015161718192021222324252627282930313233345556575859" ref="A1:D22" totalsRowShown="0" dataDxfId="144">
  <autoFilter ref="A1:D22" xr:uid="{72CD6A84-F234-4156-A582-90EAD73FC1A3}"/>
  <tableColumns count="4">
    <tableColumn id="1" xr3:uid="{79BEDD80-4B4E-4106-BD12-241F41F552AA}" name="Category" dataDxfId="143"/>
    <tableColumn id="4" xr3:uid="{2AE0724C-8A98-4B23-87DA-BFDC2D4F7D4A}" name="Description" dataDxfId="142"/>
    <tableColumn id="2" xr3:uid="{0C876D4B-8D8D-4BF1-A54E-AECAF878466F}" name="Raw" dataDxfId="141"/>
    <tableColumn id="3" xr3:uid="{708B9A44-FF11-474C-A7A5-BEE79DB742FD}" name="Short" dataDxfId="140"/>
  </tableColumns>
  <tableStyleInfo name="TableStyleLight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D08788AD-9323-4570-9789-DD292948B5E6}" name="표11_131423456789101516171819202122232425262728293031323334555657585960" displayName="표11_131423456789101516171819202122232425262728293031323334555657585960" ref="A1:D22" totalsRowShown="0" dataDxfId="139">
  <autoFilter ref="A1:D22" xr:uid="{72CD6A84-F234-4156-A582-90EAD73FC1A3}"/>
  <tableColumns count="4">
    <tableColumn id="1" xr3:uid="{B13FC371-C8B7-41F8-8014-ED105B78DA73}" name="Category" dataDxfId="138"/>
    <tableColumn id="4" xr3:uid="{B9855DA5-7117-4FE2-B329-381D19BE1AF2}" name="Description" dataDxfId="137"/>
    <tableColumn id="2" xr3:uid="{69789B17-EC91-4F60-8B48-AC59A543486B}" name="Raw" dataDxfId="136"/>
    <tableColumn id="3" xr3:uid="{73A1F77E-E3BF-472A-9F95-4ABDF0B297FF}" name="Short" dataDxfId="135"/>
  </tableColumns>
  <tableStyleInfo name="TableStyleLight8"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7BB05686-8162-4D8C-8D36-E1D4D73A933C}" name="표11_13142345678910151617181920212223242526272829303132333455565758596061" displayName="표11_13142345678910151617181920212223242526272829303132333455565758596061" ref="A1:D22" totalsRowShown="0" dataDxfId="134">
  <autoFilter ref="A1:D22" xr:uid="{72CD6A84-F234-4156-A582-90EAD73FC1A3}"/>
  <tableColumns count="4">
    <tableColumn id="1" xr3:uid="{CF4BB383-6F49-4557-9964-3D1DD61E5EDD}" name="Category" dataDxfId="133"/>
    <tableColumn id="4" xr3:uid="{E21329BD-D23B-4442-88A7-BA06A5546A76}" name="Description" dataDxfId="132"/>
    <tableColumn id="2" xr3:uid="{E8C29C6B-B0AE-4DA0-B280-E97B413182FA}" name="Raw" dataDxfId="131"/>
    <tableColumn id="3" xr3:uid="{999D3329-B9D6-46C2-A091-8028739F280A}" name="Short" dataDxfId="130"/>
  </tableColumns>
  <tableStyleInfo name="TableStyleLight8"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5304557-9EB0-408F-8103-CEDF10091D10}" name="표11_1314234567891015161718192021222324252627282930313233345556575859606162" displayName="표11_1314234567891015161718192021222324252627282930313233345556575859606162" ref="A1:D22" totalsRowShown="0" dataDxfId="129">
  <autoFilter ref="A1:D22" xr:uid="{72CD6A84-F234-4156-A582-90EAD73FC1A3}"/>
  <tableColumns count="4">
    <tableColumn id="1" xr3:uid="{2DC12FAF-CF6C-4842-9875-C2240E33A853}" name="Category" dataDxfId="128"/>
    <tableColumn id="4" xr3:uid="{2CBEFC38-9EA5-4C98-BAC2-39D4911D9002}" name="Description" dataDxfId="127"/>
    <tableColumn id="2" xr3:uid="{2C278DB0-0CD2-4BD9-B02A-C8B37709FC0C}" name="Raw" dataDxfId="126"/>
    <tableColumn id="3" xr3:uid="{450F1CA4-69EF-46C6-8DD4-254DEC274118}" name="Short" dataDxfId="125"/>
  </tableColumns>
  <tableStyleInfo name="TableStyleLight8"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E3ACD33F-C48A-4E8D-A9AA-3AAC4C06AE6D}" name="표11_131423456789101516171819202122232425262728293031323334555657585960616263" displayName="표11_131423456789101516171819202122232425262728293031323334555657585960616263" ref="A1:D22" totalsRowShown="0" dataDxfId="124">
  <autoFilter ref="A1:D22" xr:uid="{72CD6A84-F234-4156-A582-90EAD73FC1A3}"/>
  <tableColumns count="4">
    <tableColumn id="1" xr3:uid="{79FE5494-48D1-4F44-AF66-6F1035AC91C0}" name="Category" dataDxfId="123"/>
    <tableColumn id="4" xr3:uid="{FEA04278-C07E-4364-A4D5-E7D3CB767FED}" name="Description" dataDxfId="122"/>
    <tableColumn id="2" xr3:uid="{C0A3F166-2DEE-48AC-A7C0-71CC4F345885}" name="Raw" dataDxfId="121"/>
    <tableColumn id="3" xr3:uid="{AAFA2C37-3C78-41A2-B141-B4B626582B30}" name="Short" dataDxfId="120"/>
  </tableColumns>
  <tableStyleInfo name="TableStyleLight8"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894B1FC-4781-46B2-8BC4-B12E69B2E097}" name="표11_13142345678910151617181920212223242526272829303132333455565758596061626379" displayName="표11_13142345678910151617181920212223242526272829303132333455565758596061626379" ref="A1:D22" totalsRowShown="0" dataDxfId="119">
  <autoFilter ref="A1:D22" xr:uid="{72CD6A84-F234-4156-A582-90EAD73FC1A3}"/>
  <tableColumns count="4">
    <tableColumn id="1" xr3:uid="{ADA3364E-50C6-44FB-97DA-E6E4AAA8638B}" name="Category" dataDxfId="118"/>
    <tableColumn id="4" xr3:uid="{BB2A92BB-985F-4F23-9CCE-423A2EC00E4C}" name="Description" dataDxfId="117"/>
    <tableColumn id="2" xr3:uid="{3D185D93-DCAF-4C75-96EE-4BC82C655FA8}" name="Raw" dataDxfId="116"/>
    <tableColumn id="3" xr3:uid="{9B2DBDD3-AC19-48CE-A04A-4CF68986A3A8}" name="Short" dataDxfId="115"/>
  </tableColumns>
  <tableStyleInfo name="TableStyleLight8"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B941EA4D-B3C4-4F21-A957-0CCE90EAC11B}" name="표11_13142345678910151617181920212223242526272829303132333455565758596061626386" displayName="표11_13142345678910151617181920212223242526272829303132333455565758596061626386" ref="A1:D22" totalsRowShown="0" dataDxfId="4">
  <autoFilter ref="A1:D22" xr:uid="{72CD6A84-F234-4156-A582-90EAD73FC1A3}"/>
  <tableColumns count="4">
    <tableColumn id="1" xr3:uid="{5B3F445C-86EB-485F-82CA-D91ACEF83D6F}" name="Category" dataDxfId="3"/>
    <tableColumn id="4" xr3:uid="{32157057-5C5B-4179-8A2F-91BBFAE3F312}" name="Description" dataDxfId="2"/>
    <tableColumn id="2" xr3:uid="{DEC65E30-64FE-44BF-A6EA-4BB1706F9590}" name="Raw" dataDxfId="1"/>
    <tableColumn id="3" xr3:uid="{9C6F3473-C29B-4AE7-880D-BF7D6E7D30F4}" name="Short" dataDxfId="0"/>
  </tableColumns>
  <tableStyleInfo name="TableStyleLight8"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1545A21-2B22-42E0-9A19-005F663F929C}" name="표11_13142345678910151617181920212223242526272829303132333455565758596061626364" displayName="표11_13142345678910151617181920212223242526272829303132333455565758596061626364" ref="A1:D22" totalsRowShown="0" dataDxfId="114">
  <autoFilter ref="A1:D22" xr:uid="{72CD6A84-F234-4156-A582-90EAD73FC1A3}"/>
  <tableColumns count="4">
    <tableColumn id="1" xr3:uid="{98375D09-A207-46B5-9F1E-E518BD4D5CD3}" name="Category" dataDxfId="113"/>
    <tableColumn id="4" xr3:uid="{101C33B9-CAFD-4B13-9431-4B1E90188D9D}" name="Description" dataDxfId="112"/>
    <tableColumn id="2" xr3:uid="{20AD9704-2593-4DED-AB3E-AA7119E687B5}" name="Raw" dataDxfId="111"/>
    <tableColumn id="3" xr3:uid="{5843ED59-F798-4181-BCF7-98FCEFDFDD49}" name="Short" dataDxfId="110"/>
  </tableColumns>
  <tableStyleInfo name="TableStyleLight8"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75A0BD52-7B42-4E60-8B39-7E1F40110C72}" name="표11_1314234567891015161718192021222324252627282930313233345556575859606162636465" displayName="표11_1314234567891015161718192021222324252627282930313233345556575859606162636465" ref="A1:D22" totalsRowShown="0" dataDxfId="109">
  <autoFilter ref="A1:D22" xr:uid="{72CD6A84-F234-4156-A582-90EAD73FC1A3}"/>
  <tableColumns count="4">
    <tableColumn id="1" xr3:uid="{FA2DC5E9-72AB-423A-9F90-45E825336381}" name="Category" dataDxfId="108"/>
    <tableColumn id="4" xr3:uid="{E42B79BA-AF0F-4F96-84C0-6C69DC51430B}" name="Description" dataDxfId="107"/>
    <tableColumn id="2" xr3:uid="{7368DBF3-6EC0-472B-8CDE-5E2D8E953D39}" name="Raw" dataDxfId="106"/>
    <tableColumn id="3" xr3:uid="{B80A9437-4B20-497F-ABD7-7D8E263F3801}" name="Short" dataDxfId="105"/>
  </tableColumns>
  <tableStyleInfo name="TableStyleLight8"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550FDD0-B3C3-4D33-8DE9-3207421E56B2}" name="표11_131423456789101516171819202122232425262728293031323334555657585960616263646566" displayName="표11_131423456789101516171819202122232425262728293031323334555657585960616263646566" ref="A1:D22" totalsRowShown="0" dataDxfId="104">
  <autoFilter ref="A1:D22" xr:uid="{72CD6A84-F234-4156-A582-90EAD73FC1A3}"/>
  <tableColumns count="4">
    <tableColumn id="1" xr3:uid="{50EF7540-DE4B-48EF-A74C-5B51996BAEE3}" name="Category" dataDxfId="103"/>
    <tableColumn id="4" xr3:uid="{BC1BD1B0-BE17-4E8B-BA63-4844EA562FFE}" name="Description" dataDxfId="102"/>
    <tableColumn id="2" xr3:uid="{2AC26019-20FA-42FE-BD91-BCA9E724FFC9}" name="Raw" dataDxfId="101"/>
    <tableColumn id="3" xr3:uid="{45E3E5D7-93F6-4C89-AB8B-0C6DDCE3E8CF}" name="Short" dataDxfId="100"/>
  </tableColumns>
  <tableStyleInfo name="TableStyleLight8"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9A1937C-6E13-434F-86D3-F9C0651EFD6C}" name="표11_13142345678910151617181920212223242526272829" displayName="표11_13142345678910151617181920212223242526272829" ref="A1:D22" totalsRowShown="0" dataDxfId="99">
  <autoFilter ref="A1:D22" xr:uid="{72CD6A84-F234-4156-A582-90EAD73FC1A3}"/>
  <tableColumns count="4">
    <tableColumn id="1" xr3:uid="{CD4EA224-41BA-4FDB-9498-261E6FB5C42C}" name="Category" dataDxfId="98"/>
    <tableColumn id="4" xr3:uid="{DE8AFB39-5646-42D2-A122-E4DAEC9335EF}" name="Description" dataDxfId="97"/>
    <tableColumn id="2" xr3:uid="{A7018F1C-9846-4142-BC0D-F799A75C81CE}" name="Raw" dataDxfId="96"/>
    <tableColumn id="3" xr3:uid="{CEF7AAF5-2A73-4124-B4D4-49D82E6ED184}" name="Short" dataDxfId="95"/>
  </tableColumns>
  <tableStyleInfo name="TableStyleLight8"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7A28025-F982-4749-B314-185162F34027}" name="표11_1314234567891015161718192021222324252627282930" displayName="표11_1314234567891015161718192021222324252627282930" ref="A1:D22" totalsRowShown="0" dataDxfId="94">
  <autoFilter ref="A1:D22" xr:uid="{72CD6A84-F234-4156-A582-90EAD73FC1A3}"/>
  <tableColumns count="4">
    <tableColumn id="1" xr3:uid="{471778DB-B16B-4B07-8CF8-5327F4B1C281}" name="Category" dataDxfId="93"/>
    <tableColumn id="4" xr3:uid="{624A2DE8-45EB-4E96-A798-0EA3EF244F42}" name="Description" dataDxfId="92"/>
    <tableColumn id="2" xr3:uid="{37E7D47A-AF33-480E-BC59-2E5320D39047}" name="Raw" dataDxfId="91"/>
    <tableColumn id="3" xr3:uid="{772DD52C-A8FB-4B0A-BF7C-AAB3EF81CE30}" name="Short" dataDxfId="90"/>
  </tableColumns>
  <tableStyleInfo name="TableStyleLight8"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6C90ECF8-B08E-4A0E-AB5B-AC2815AD7DE3}" name="표11_13142345678910151617181920212223242526272829303132333455565758596061626364656667" displayName="표11_13142345678910151617181920212223242526272829303132333455565758596061626364656667" ref="A1:D22" totalsRowShown="0" dataDxfId="89">
  <autoFilter ref="A1:D22" xr:uid="{72CD6A84-F234-4156-A582-90EAD73FC1A3}"/>
  <tableColumns count="4">
    <tableColumn id="1" xr3:uid="{DC116E76-27EF-4170-994E-02B46DD07E43}" name="Category" dataDxfId="88"/>
    <tableColumn id="4" xr3:uid="{61926DA5-AD81-41C8-B3F4-CC6829DFA9CA}" name="Description" dataDxfId="87"/>
    <tableColumn id="2" xr3:uid="{9EAFC77C-2432-4F2C-8B78-5AF66CD10B81}" name="Raw" dataDxfId="86"/>
    <tableColumn id="3" xr3:uid="{73FB0AC7-E255-42D8-8640-250A93652977}" name="Short" dataDxfId="85"/>
  </tableColumns>
  <tableStyleInfo name="TableStyleLight8"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337766E9-4283-4948-9864-F55AD788A624}" name="표11_651525477828384" displayName="표11_651525477828384" ref="A1:D22" totalsRowShown="0" dataDxfId="423">
  <autoFilter ref="A1:D22" xr:uid="{72CD6A84-F234-4156-A582-90EAD73FC1A3}"/>
  <tableColumns count="4">
    <tableColumn id="1" xr3:uid="{0E59D75D-1170-4314-BDF2-B4145444DCC9}" name="Category" dataDxfId="422"/>
    <tableColumn id="4" xr3:uid="{BFC44F44-AF75-401B-A929-208C1F240B32}" name="Description" dataDxfId="421"/>
    <tableColumn id="2" xr3:uid="{3D80E712-54EE-4336-BE46-DAA0246FDE23}" name="Raw" dataDxfId="420"/>
    <tableColumn id="3" xr3:uid="{C507D92E-E695-4C97-AFFE-1C3D69EB98C5}" name="Short" dataDxfId="419"/>
  </tableColumns>
  <tableStyleInfo name="TableStyleLight8"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5703B190-7A3A-4B13-A044-DF7CD3BF868B}" name="표11_65152547782838485" displayName="표11_65152547782838485" ref="A1:D22" totalsRowShown="0" dataDxfId="84">
  <autoFilter ref="A1:D22" xr:uid="{72CD6A84-F234-4156-A582-90EAD73FC1A3}"/>
  <tableColumns count="4">
    <tableColumn id="1" xr3:uid="{A1FA6207-5F5D-4752-A215-CDF29F6B7F01}" name="Category" dataDxfId="83"/>
    <tableColumn id="4" xr3:uid="{C957F3AB-C548-4B3D-A34D-817C78BD3FF6}" name="Description" dataDxfId="82"/>
    <tableColumn id="2" xr3:uid="{9A8276B3-AFCE-4782-BE77-7498C469CA15}" name="Raw" dataDxfId="81"/>
    <tableColumn id="3" xr3:uid="{A95E1876-B796-40F4-9D31-A8486F310596}" name="Short" dataDxfId="80"/>
  </tableColumns>
  <tableStyleInfo name="TableStyleLight8"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57EB5A62-2D31-40BD-B015-A798E1ACC1FE}" name="표11_6515254778283" displayName="표11_6515254778283" ref="A1:D22" totalsRowShown="0" dataDxfId="79">
  <autoFilter ref="A1:D22" xr:uid="{72CD6A84-F234-4156-A582-90EAD73FC1A3}"/>
  <tableColumns count="4">
    <tableColumn id="1" xr3:uid="{AD227A12-2B90-4BE6-9F8F-6D78EE1E2685}" name="Category" dataDxfId="78"/>
    <tableColumn id="4" xr3:uid="{2AE9B588-60D9-4648-ADA4-CF9266B4FF4E}" name="Description" dataDxfId="77"/>
    <tableColumn id="2" xr3:uid="{725266ED-C93B-4547-8BAA-3A95705CE99D}" name="Raw" dataDxfId="5"/>
    <tableColumn id="3" xr3:uid="{7B3AFFF2-F9A4-4683-B7C9-9023E2AE64A0}" name="Short" dataDxfId="76"/>
  </tableColumns>
  <tableStyleInfo name="TableStyleLight8"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A8457281-CD1E-44E8-9BD5-4C5130CE4475}" name="표11_131423456789101516171873" displayName="표11_131423456789101516171873" ref="A1:D22" totalsRowShown="0" dataDxfId="75">
  <autoFilter ref="A1:D22" xr:uid="{72CD6A84-F234-4156-A582-90EAD73FC1A3}"/>
  <tableColumns count="4">
    <tableColumn id="1" xr3:uid="{B2595F15-640D-4FDA-A92A-2CBCD996753A}" name="Category" dataDxfId="74"/>
    <tableColumn id="4" xr3:uid="{98ACB767-E834-45F0-A04B-C967C87A1C82}" name="Description" dataDxfId="73"/>
    <tableColumn id="2" xr3:uid="{75F15376-7C10-4019-9E0F-D24213640911}" name="Raw" dataDxfId="72"/>
    <tableColumn id="3" xr3:uid="{F07E8F6A-050D-4D1D-B3DD-1AFD04178AFF}" name="Short" dataDxfId="71"/>
  </tableColumns>
  <tableStyleInfo name="TableStyleLight8"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DE0C77D-8B70-4901-9B07-563A0A553335}" name="표11_1314234567891015161718" displayName="표11_1314234567891015161718" ref="A1:D22" totalsRowShown="0" dataDxfId="70">
  <autoFilter ref="A1:D22" xr:uid="{72CD6A84-F234-4156-A582-90EAD73FC1A3}"/>
  <tableColumns count="4">
    <tableColumn id="1" xr3:uid="{1F4E6EE2-0F6D-445D-904A-3B6888B7D0D9}" name="Category" dataDxfId="69"/>
    <tableColumn id="4" xr3:uid="{77202037-DC7C-4438-A440-90E3D9F35843}" name="Description" dataDxfId="68"/>
    <tableColumn id="2" xr3:uid="{1C384C20-87FF-4CF6-AF0C-AB0C86014A30}" name="Raw" dataDxfId="67"/>
    <tableColumn id="3" xr3:uid="{8AA55591-F6D1-42D1-BF8D-C3B43DCE7CD8}" name="Short" dataDxfId="66"/>
  </tableColumns>
  <tableStyleInfo name="TableStyleLight8"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DD96654-A93F-4033-BC26-5E66F8E1A563}" name="표11_1314234567891015161718192021222324252627282930313233345556575859606162636465666768" displayName="표11_1314234567891015161718192021222324252627282930313233345556575859606162636465666768" ref="A1:D22" totalsRowShown="0" dataDxfId="65">
  <autoFilter ref="A1:D22" xr:uid="{72CD6A84-F234-4156-A582-90EAD73FC1A3}"/>
  <tableColumns count="4">
    <tableColumn id="1" xr3:uid="{1FC812F9-268A-4D52-8C53-C1932B2F9F43}" name="Category" dataDxfId="64"/>
    <tableColumn id="4" xr3:uid="{3CBAB8FA-44E0-4B70-80CB-759D3295D163}" name="Description" dataDxfId="63"/>
    <tableColumn id="2" xr3:uid="{36CA4F98-47FF-42E1-AB25-768E590D5621}" name="Raw" dataDxfId="62"/>
    <tableColumn id="3" xr3:uid="{10FC0D5B-D3BA-4788-A08E-00BCEDD8EA2C}" name="Short" dataDxfId="61"/>
  </tableColumns>
  <tableStyleInfo name="TableStyleLight8"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BDBCBB-2E62-4C22-BE9B-6D5B25BF88FF}" name="표11_13142345678910151617182021" displayName="표11_13142345678910151617182021" ref="A1:D22" totalsRowShown="0" dataDxfId="60">
  <autoFilter ref="A1:D22" xr:uid="{72CD6A84-F234-4156-A582-90EAD73FC1A3}"/>
  <tableColumns count="4">
    <tableColumn id="1" xr3:uid="{2DDE0B8E-E18D-4C9A-B623-ED9C6A1EE91B}" name="Category" dataDxfId="59"/>
    <tableColumn id="4" xr3:uid="{762EC98D-BE4F-4F43-816C-7B5F72F0A450}" name="Description" dataDxfId="58"/>
    <tableColumn id="2" xr3:uid="{3349395E-5364-4EC6-B4C0-E60DE0DE3D01}" name="Raw" dataDxfId="57"/>
    <tableColumn id="3" xr3:uid="{8092EE7A-59D7-4F85-BC09-078CDD72D3B1}" name="Short" dataDxfId="56"/>
  </tableColumns>
  <tableStyleInfo name="TableStyleLight8"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E51A031-93B3-4926-ABE4-31F2D49A725F}" name="표11_131423456789101516171819202122232425262728293031" displayName="표11_131423456789101516171819202122232425262728293031" ref="A1:D22" totalsRowShown="0" dataDxfId="55">
  <autoFilter ref="A1:D22" xr:uid="{72CD6A84-F234-4156-A582-90EAD73FC1A3}"/>
  <tableColumns count="4">
    <tableColumn id="1" xr3:uid="{44BA3309-53AA-496F-B2A8-96D63F72DA10}" name="Category" dataDxfId="54"/>
    <tableColumn id="4" xr3:uid="{EEAE4CE3-6873-4BC9-86AC-545BDBF58B26}" name="Description" dataDxfId="53"/>
    <tableColumn id="2" xr3:uid="{3E3F19F0-0836-40C5-9F97-61583D2D3863}" name="Raw" dataDxfId="52"/>
    <tableColumn id="3" xr3:uid="{B06382C6-D7D1-40FE-9D4C-90F255FD95A9}" name="Short" dataDxfId="51"/>
  </tableColumns>
  <tableStyleInfo name="TableStyleLight8"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F709117-715C-4CDF-9E74-27B6837ADF6E}" name="표11_131423456789101516171819202122232425262728293031323334555657585960616263646566676869" displayName="표11_131423456789101516171819202122232425262728293031323334555657585960616263646566676869" ref="A1:D22" totalsRowShown="0" dataDxfId="50">
  <autoFilter ref="A1:D22" xr:uid="{72CD6A84-F234-4156-A582-90EAD73FC1A3}"/>
  <tableColumns count="4">
    <tableColumn id="1" xr3:uid="{A8FF950C-B1A2-44DB-A345-56DC654543ED}" name="Category" dataDxfId="49"/>
    <tableColumn id="4" xr3:uid="{A65FC746-5BBB-4BF5-88B8-4C5025D18C8C}" name="Description" dataDxfId="48"/>
    <tableColumn id="2" xr3:uid="{0D9D6B09-AC5F-4AE5-9D47-3C6826D941A1}" name="Raw" dataDxfId="47"/>
    <tableColumn id="3" xr3:uid="{EE3FF71C-E2BB-4CEE-9273-6D3DE8DDDA6E}" name="Short" dataDxfId="46"/>
  </tableColumns>
  <tableStyleInfo name="TableStyleLight8"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601D67B-64BC-4E47-B215-C41BE5145CAB}" name="표11_13142345678910151617181920212223242526272829303132" displayName="표11_13142345678910151617181920212223242526272829303132" ref="A1:D22" totalsRowShown="0" dataDxfId="45">
  <autoFilter ref="A1:D22" xr:uid="{72CD6A84-F234-4156-A582-90EAD73FC1A3}"/>
  <tableColumns count="4">
    <tableColumn id="1" xr3:uid="{94E26CDD-B7D1-4B15-9B42-460EEB85A430}" name="Category" dataDxfId="44"/>
    <tableColumn id="4" xr3:uid="{31C7AC17-3A40-4050-9C93-4FDAC930CEEB}" name="Description" dataDxfId="43"/>
    <tableColumn id="2" xr3:uid="{186AD614-DA73-4C59-AFE8-76E19E9AFE51}" name="Raw" dataDxfId="42"/>
    <tableColumn id="3" xr3:uid="{5B0B99C0-1350-4188-AE8D-6BEF88AC698F}" name="Short" dataDxfId="41"/>
  </tableColumns>
  <tableStyleInfo name="TableStyleLight8"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1665EC5-AADD-4767-96E7-EE2E845BFA55}" name="표11_1314234567891015161718192021222324252627282930313233" displayName="표11_1314234567891015161718192021222324252627282930313233" ref="A1:D22" totalsRowShown="0" dataDxfId="40">
  <autoFilter ref="A1:D22" xr:uid="{72CD6A84-F234-4156-A582-90EAD73FC1A3}"/>
  <tableColumns count="4">
    <tableColumn id="1" xr3:uid="{C07F9A2C-81F9-40C7-A1DB-23DBC355BECA}" name="Category" dataDxfId="39"/>
    <tableColumn id="4" xr3:uid="{755CA40C-5828-4B34-BE49-5240C8ECC1AA}" name="Description" dataDxfId="38"/>
    <tableColumn id="2" xr3:uid="{87E578D4-6470-4317-BA8C-CE0B118F42D5}" name="Raw" dataDxfId="37"/>
    <tableColumn id="3" xr3:uid="{699EDE23-300F-4A1B-979B-973E123C31AC}" name="Short" dataDxfId="36"/>
  </tableColumns>
  <tableStyleInfo name="TableStyleLight8"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10E5E2-8DE3-4934-B0F4-1A0F50D34C81}" name="표11_131423456789101516171819202122232425262728293031323334" displayName="표11_131423456789101516171819202122232425262728293031323334" ref="A1:D22" totalsRowShown="0" dataDxfId="35">
  <autoFilter ref="A1:D22" xr:uid="{72CD6A84-F234-4156-A582-90EAD73FC1A3}"/>
  <tableColumns count="4">
    <tableColumn id="1" xr3:uid="{506929CD-31D5-48D0-8E77-83680675693A}" name="Category" dataDxfId="34"/>
    <tableColumn id="4" xr3:uid="{F036F7BE-BACB-4476-B3EB-08496441C6D0}" name="Description" dataDxfId="33"/>
    <tableColumn id="2" xr3:uid="{8080C39B-0E04-4892-A6B8-308DC9CA9BE6}" name="Raw" dataDxfId="32"/>
    <tableColumn id="3" xr3:uid="{303951F6-903A-44F2-B82B-815A9DCE9898}" name="Short" dataDxfId="31"/>
  </tableColumns>
  <tableStyleInfo name="TableStyleLight8"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89CC0ED2-F373-4640-A77D-01BB25B6F46F}" name="표11_13142345678910151617181920212223242526272829303132333480" displayName="표11_13142345678910151617181920212223242526272829303132333480" ref="A1:D22" totalsRowShown="0" dataDxfId="30">
  <autoFilter ref="A1:D22" xr:uid="{72CD6A84-F234-4156-A582-90EAD73FC1A3}"/>
  <tableColumns count="4">
    <tableColumn id="1" xr3:uid="{69ED54F8-93B3-4353-9895-F913C9BE2C2F}" name="Category" dataDxfId="29"/>
    <tableColumn id="4" xr3:uid="{CD71F0D8-F244-4C63-BE5B-E805E5EBC333}" name="Description" dataDxfId="28"/>
    <tableColumn id="2" xr3:uid="{97641750-2B51-481B-B12B-6030F0939C3A}" name="Raw" dataDxfId="27"/>
    <tableColumn id="3" xr3:uid="{69228FAD-5324-432F-A2E1-433875696849}" name="Short" dataDxfId="26"/>
  </tableColumns>
  <tableStyleInfo name="TableStyleLight8"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28DE963-9B75-47A6-9775-1624FD37CD47}" name="표11_131423456789101516171820" displayName="표11_131423456789101516171820" ref="A1:D22" totalsRowShown="0" dataDxfId="25">
  <autoFilter ref="A1:D22" xr:uid="{72CD6A84-F234-4156-A582-90EAD73FC1A3}"/>
  <tableColumns count="4">
    <tableColumn id="1" xr3:uid="{CC8CF056-FD57-4E57-B080-B4A9EC9B0873}" name="Category" dataDxfId="24"/>
    <tableColumn id="4" xr3:uid="{C845BC2C-BE3C-449F-A566-4B3C2BCE107D}" name="Description" dataDxfId="23"/>
    <tableColumn id="2" xr3:uid="{DFC1F2DC-CCFF-4D53-ACF8-D835FE7F23D8}" name="Raw" dataDxfId="22"/>
    <tableColumn id="3" xr3:uid="{F94E80D5-5EFF-4F70-A1C6-67BD598E8D02}" name="Short" dataDxfId="21"/>
  </tableColumns>
  <tableStyleInfo name="TableStyleLight8"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D148BD34-D3F6-4200-AD49-6F7382865D75}" name="표11_13142345678910151617181920213472" displayName="표11_13142345678910151617181920213472" ref="A1:D22" totalsRowShown="0" dataDxfId="20">
  <autoFilter ref="A1:D22" xr:uid="{72CD6A84-F234-4156-A582-90EAD73FC1A3}"/>
  <tableColumns count="4">
    <tableColumn id="1" xr3:uid="{0BD7F1BB-A5B6-4C3D-93E0-444D1F4052C2}" name="Category" dataDxfId="19"/>
    <tableColumn id="4" xr3:uid="{7A9E051D-9EB1-42FD-8E39-D437D15BB67E}" name="Description" dataDxfId="18"/>
    <tableColumn id="2" xr3:uid="{D4DF46DC-3BAD-4242-8268-7EB9F7EC6E1F}" name="Raw" dataDxfId="17"/>
    <tableColumn id="3" xr3:uid="{2725CBBF-525D-413C-9845-272DD67737E4}" name="Short" dataDxfId="16"/>
  </tableColumns>
  <tableStyleInfo name="TableStyleLight8"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7C5DA2-A0AF-497A-97C0-F510E43F3326}" name="표11_131423456789101516171819202134" displayName="표11_131423456789101516171819202134" ref="A1:D22" totalsRowShown="0" dataDxfId="15">
  <autoFilter ref="A1:D22" xr:uid="{72CD6A84-F234-4156-A582-90EAD73FC1A3}"/>
  <tableColumns count="4">
    <tableColumn id="1" xr3:uid="{F4A1A2D6-CE0D-4D18-9C40-3CEBD7070525}" name="Category" dataDxfId="14"/>
    <tableColumn id="4" xr3:uid="{6467DCC3-F7F1-47DB-A2F9-A52B6EB8172E}" name="Description" dataDxfId="13"/>
    <tableColumn id="2" xr3:uid="{BCD614D9-66AC-4576-9A5D-3598084D8D0A}" name="Raw" dataDxfId="12"/>
    <tableColumn id="3" xr3:uid="{336B3401-AC3B-41CB-ABCE-170D26B09F08}" name="Short" dataDxfId="11"/>
  </tableColumns>
  <tableStyleInfo name="TableStyleLight8"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35339E6-4340-439C-AC46-B44D4EBDFB24}" name="표11_13142345678910151617181920212223242526272829303132333475" displayName="표11_13142345678910151617181920212223242526272829303132333475" ref="A1:D22" totalsRowShown="0" dataDxfId="10">
  <autoFilter ref="A1:D22" xr:uid="{72CD6A84-F234-4156-A582-90EAD73FC1A3}"/>
  <tableColumns count="4">
    <tableColumn id="1" xr3:uid="{5448CDDB-D1E1-44A6-BC78-3F1574ED370E}" name="Category" dataDxfId="9"/>
    <tableColumn id="4" xr3:uid="{68585FF9-1358-469F-8EE4-9D5D4C38CE28}" name="Description" dataDxfId="8"/>
    <tableColumn id="2" xr3:uid="{8E4CDA6D-0C34-4195-BDA7-CD91CF428536}" name="Raw" dataDxfId="7"/>
    <tableColumn id="3" xr3:uid="{398C4D07-8884-4C6C-B2B4-D4D976FC8933}" name="Short" dataDxfId="6"/>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OIL">
      <a:dk1>
        <a:sysClr val="windowText" lastClr="000000"/>
      </a:dk1>
      <a:lt1>
        <a:sysClr val="window" lastClr="FFFFFF"/>
      </a:lt1>
      <a:dk2>
        <a:srgbClr val="44546A"/>
      </a:dk2>
      <a:lt2>
        <a:srgbClr val="E7E6E6"/>
      </a:lt2>
      <a:accent1>
        <a:srgbClr val="127B40"/>
      </a:accent1>
      <a:accent2>
        <a:srgbClr val="4DBD25"/>
      </a:accent2>
      <a:accent3>
        <a:srgbClr val="A9D18E"/>
      </a:accent3>
      <a:accent4>
        <a:srgbClr val="E2F0D9"/>
      </a:accent4>
      <a:accent5>
        <a:srgbClr val="EDAF1B"/>
      </a:accent5>
      <a:accent6>
        <a:srgbClr val="ED7D31"/>
      </a:accent6>
      <a:hlink>
        <a:srgbClr val="1F99CF"/>
      </a:hlink>
      <a:folHlink>
        <a:srgbClr val="00A99D"/>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spglobal.com/commodityinsights"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hyperlink" Target="https://www.lgchem.com/product-detail/lldpe?lang=en_US&amp;utm_source=chatgpt.com"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www.spglobal.com/energy/en/news-research/latest-news/chemicals/072925-chemicals-h2-2025-pvc-makers-rethink-trade-flows-amid-excess-capacity-regulatory-changes;"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hyperlink" Target="https://www.scidesign.com/products/technology-licensing/" TargetMode="External"/></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hyperlink" Target="https://www.celanese.com/products/vinyl-acetate;"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59.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hyperlink" Target="https://www.kpb.co.kr/eng/product/bpa" TargetMode="External"/></Relationships>
</file>

<file path=xl/worksheets/_rels/sheet60.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61.xml.rels><?xml version="1.0" encoding="UTF-8" standalone="yes"?>
<Relationships xmlns="http://schemas.openxmlformats.org/package/2006/relationships"><Relationship Id="rId2" Type="http://schemas.openxmlformats.org/officeDocument/2006/relationships/table" Target="../tables/table59.xml"/><Relationship Id="rId1" Type="http://schemas.openxmlformats.org/officeDocument/2006/relationships/hyperlink" Target="https://www.spglobal.com/commodityinsights" TargetMode="External"/></Relationships>
</file>

<file path=xl/worksheets/_rels/sheet62.xml.rels><?xml version="1.0" encoding="UTF-8" standalone="yes"?>
<Relationships xmlns="http://schemas.openxmlformats.org/package/2006/relationships"><Relationship Id="rId1" Type="http://schemas.openxmlformats.org/officeDocument/2006/relationships/table" Target="../tables/table60.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61.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62.xml"/></Relationships>
</file>

<file path=xl/worksheets/_rels/sheet65.xml.rels><?xml version="1.0" encoding="UTF-8" standalone="yes"?>
<Relationships xmlns="http://schemas.openxmlformats.org/package/2006/relationships"><Relationship Id="rId1" Type="http://schemas.openxmlformats.org/officeDocument/2006/relationships/table" Target="../tables/table63.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65.xml"/></Relationships>
</file>

<file path=xl/worksheets/_rels/sheet68.xml.rels><?xml version="1.0" encoding="UTF-8" standalone="yes"?>
<Relationships xmlns="http://schemas.openxmlformats.org/package/2006/relationships"><Relationship Id="rId1" Type="http://schemas.openxmlformats.org/officeDocument/2006/relationships/table" Target="../tables/table66.xml"/></Relationships>
</file>

<file path=xl/worksheets/_rels/sheet69.xml.rels><?xml version="1.0" encoding="UTF-8" standalone="yes"?>
<Relationships xmlns="http://schemas.openxmlformats.org/package/2006/relationships"><Relationship Id="rId1" Type="http://schemas.openxmlformats.org/officeDocument/2006/relationships/table" Target="../tables/table67.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68.xml"/></Relationships>
</file>

<file path=xl/worksheets/_rels/sheet71.xml.rels><?xml version="1.0" encoding="UTF-8" standalone="yes"?>
<Relationships xmlns="http://schemas.openxmlformats.org/package/2006/relationships"><Relationship Id="rId1" Type="http://schemas.openxmlformats.org/officeDocument/2006/relationships/table" Target="../tables/table69.xml"/></Relationships>
</file>

<file path=xl/worksheets/_rels/sheet72.xml.rels><?xml version="1.0" encoding="UTF-8" standalone="yes"?>
<Relationships xmlns="http://schemas.openxmlformats.org/package/2006/relationships"><Relationship Id="rId1" Type="http://schemas.openxmlformats.org/officeDocument/2006/relationships/table" Target="../tables/table70.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71.xml"/></Relationships>
</file>

<file path=xl/worksheets/_rels/sheet74.xml.rels><?xml version="1.0" encoding="UTF-8" standalone="yes"?>
<Relationships xmlns="http://schemas.openxmlformats.org/package/2006/relationships"><Relationship Id="rId1" Type="http://schemas.openxmlformats.org/officeDocument/2006/relationships/table" Target="../tables/table72.xml"/></Relationships>
</file>

<file path=xl/worksheets/_rels/sheet75.xml.rels><?xml version="1.0" encoding="UTF-8" standalone="yes"?>
<Relationships xmlns="http://schemas.openxmlformats.org/package/2006/relationships"><Relationship Id="rId1" Type="http://schemas.openxmlformats.org/officeDocument/2006/relationships/table" Target="../tables/table73.xml"/></Relationships>
</file>

<file path=xl/worksheets/_rels/sheet76.xml.rels><?xml version="1.0" encoding="UTF-8" standalone="yes"?>
<Relationships xmlns="http://schemas.openxmlformats.org/package/2006/relationships"><Relationship Id="rId1" Type="http://schemas.openxmlformats.org/officeDocument/2006/relationships/table" Target="../tables/table74.xml"/></Relationships>
</file>

<file path=xl/worksheets/_rels/sheet77.xml.rels><?xml version="1.0" encoding="UTF-8" standalone="yes"?>
<Relationships xmlns="http://schemas.openxmlformats.org/package/2006/relationships"><Relationship Id="rId1" Type="http://schemas.openxmlformats.org/officeDocument/2006/relationships/table" Target="../tables/table75.xml"/></Relationships>
</file>

<file path=xl/worksheets/_rels/sheet78.xml.rels><?xml version="1.0" encoding="UTF-8" standalone="yes"?>
<Relationships xmlns="http://schemas.openxmlformats.org/package/2006/relationships"><Relationship Id="rId1" Type="http://schemas.openxmlformats.org/officeDocument/2006/relationships/table" Target="../tables/table76.xml"/></Relationships>
</file>

<file path=xl/worksheets/_rels/sheet79.xml.rels><?xml version="1.0" encoding="UTF-8" standalone="yes"?>
<Relationships xmlns="http://schemas.openxmlformats.org/package/2006/relationships"><Relationship Id="rId2" Type="http://schemas.openxmlformats.org/officeDocument/2006/relationships/table" Target="../tables/table77.xml"/><Relationship Id="rId1" Type="http://schemas.openxmlformats.org/officeDocument/2006/relationships/hyperlink" Target="https://www.spglobal.com/commodityinsights" TargetMode="External"/></Relationships>
</file>

<file path=xl/worksheets/_rels/sheet80.xml.rels><?xml version="1.0" encoding="UTF-8" standalone="yes"?>
<Relationships xmlns="http://schemas.openxmlformats.org/package/2006/relationships"><Relationship Id="rId1" Type="http://schemas.openxmlformats.org/officeDocument/2006/relationships/table" Target="../tables/table78.xml"/></Relationships>
</file>

<file path=xl/worksheets/_rels/sheet81.xml.rels><?xml version="1.0" encoding="UTF-8" standalone="yes"?>
<Relationships xmlns="http://schemas.openxmlformats.org/package/2006/relationships"><Relationship Id="rId1" Type="http://schemas.openxmlformats.org/officeDocument/2006/relationships/table" Target="../tables/table79.xml"/></Relationships>
</file>

<file path=xl/worksheets/_rels/sheet82.xml.rels><?xml version="1.0" encoding="UTF-8" standalone="yes"?>
<Relationships xmlns="http://schemas.openxmlformats.org/package/2006/relationships"><Relationship Id="rId1" Type="http://schemas.openxmlformats.org/officeDocument/2006/relationships/table" Target="../tables/table80.xml"/></Relationships>
</file>

<file path=xl/worksheets/_rels/sheet83.xml.rels><?xml version="1.0" encoding="UTF-8" standalone="yes"?>
<Relationships xmlns="http://schemas.openxmlformats.org/package/2006/relationships"><Relationship Id="rId1" Type="http://schemas.openxmlformats.org/officeDocument/2006/relationships/table" Target="../tables/table81.xml"/></Relationships>
</file>

<file path=xl/worksheets/_rels/sheet84.xml.rels><?xml version="1.0" encoding="UTF-8" standalone="yes"?>
<Relationships xmlns="http://schemas.openxmlformats.org/package/2006/relationships"><Relationship Id="rId1" Type="http://schemas.openxmlformats.org/officeDocument/2006/relationships/table" Target="../tables/table82.xml"/></Relationships>
</file>

<file path=xl/worksheets/_rels/sheet85.xml.rels><?xml version="1.0" encoding="UTF-8" standalone="yes"?>
<Relationships xmlns="http://schemas.openxmlformats.org/package/2006/relationships"><Relationship Id="rId1" Type="http://schemas.openxmlformats.org/officeDocument/2006/relationships/table" Target="../tables/table83.xml"/></Relationships>
</file>

<file path=xl/worksheets/_rels/sheet86.xml.rels><?xml version="1.0" encoding="UTF-8" standalone="yes"?>
<Relationships xmlns="http://schemas.openxmlformats.org/package/2006/relationships"><Relationship Id="rId1" Type="http://schemas.openxmlformats.org/officeDocument/2006/relationships/table" Target="../tables/table84.xml"/></Relationships>
</file>

<file path=xl/worksheets/_rels/sheet87.xml.rels><?xml version="1.0" encoding="UTF-8" standalone="yes"?>
<Relationships xmlns="http://schemas.openxmlformats.org/package/2006/relationships"><Relationship Id="rId1" Type="http://schemas.openxmlformats.org/officeDocument/2006/relationships/table" Target="../tables/table8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C7FFD-98B7-4200-9984-3338D36B2292}">
  <dimension ref="A1:X109"/>
  <sheetViews>
    <sheetView topLeftCell="A46" zoomScale="85" zoomScaleNormal="85" workbookViewId="0">
      <selection activeCell="F67" sqref="F67"/>
    </sheetView>
  </sheetViews>
  <sheetFormatPr defaultRowHeight="16.5"/>
  <cols>
    <col min="1" max="1" width="13.5" bestFit="1" customWidth="1"/>
    <col min="2" max="2" width="17.125" bestFit="1" customWidth="1"/>
    <col min="3" max="3" width="17.5" bestFit="1" customWidth="1"/>
    <col min="4" max="4" width="16" bestFit="1" customWidth="1"/>
    <col min="5" max="7" width="16" customWidth="1"/>
    <col min="8" max="8" width="17.5" customWidth="1"/>
    <col min="9" max="9" width="12.125" bestFit="1" customWidth="1"/>
    <col min="15" max="15" width="11.5" bestFit="1" customWidth="1"/>
    <col min="16" max="16" width="15.5" bestFit="1" customWidth="1"/>
    <col min="17" max="17" width="15.125" bestFit="1" customWidth="1"/>
    <col min="18" max="18" width="18" bestFit="1" customWidth="1"/>
    <col min="19" max="19" width="19.625" bestFit="1" customWidth="1"/>
    <col min="20" max="20" width="18.25" bestFit="1" customWidth="1"/>
    <col min="21" max="21" width="25.5" bestFit="1" customWidth="1"/>
    <col min="22" max="22" width="7" bestFit="1" customWidth="1"/>
    <col min="23" max="23" width="12.75" bestFit="1" customWidth="1"/>
  </cols>
  <sheetData>
    <row r="1" spans="1:24">
      <c r="A1" s="2" t="s">
        <v>1</v>
      </c>
      <c r="B1" s="2" t="s">
        <v>2</v>
      </c>
      <c r="C1" s="2" t="s">
        <v>2379</v>
      </c>
      <c r="D1" s="2" t="s">
        <v>3</v>
      </c>
      <c r="E1" s="54" t="s">
        <v>241</v>
      </c>
      <c r="F1" s="54" t="s">
        <v>242</v>
      </c>
      <c r="G1" s="54" t="s">
        <v>199</v>
      </c>
      <c r="H1" s="54" t="s">
        <v>200</v>
      </c>
      <c r="I1" s="54" t="s">
        <v>180</v>
      </c>
      <c r="J1" s="54" t="s">
        <v>201</v>
      </c>
    </row>
    <row r="2" spans="1:24">
      <c r="A2" t="s">
        <v>4</v>
      </c>
      <c r="B2" t="s">
        <v>5</v>
      </c>
      <c r="C2" t="s">
        <v>2380</v>
      </c>
      <c r="D2" s="27" t="s">
        <v>147</v>
      </c>
      <c r="E2" t="str" cm="1">
        <f t="array" aca="1" ref="E2" ca="1">INDIRECT("'"&amp;C2&amp;"'!"&amp;"D5")</f>
        <v>Steam Cracking 기반으로 생산; 세계 최대 규모의 기초 석유화학 원료;</v>
      </c>
      <c r="F2" t="str" cm="1">
        <f t="array" aca="1" ref="F2" ca="1">INDIRECT("'"&amp;C2&amp;"'!"&amp;"D6")</f>
        <v>Hydrocarbon Steam Cracking(메인); CTO/MTO 혹은 COTC 등(보조)</v>
      </c>
      <c r="G2" t="str" cm="1">
        <f t="array" aca="1" ref="G2" ca="1">INDIRECT("'"&amp;C2&amp;"'!"&amp;"D10")</f>
        <v>Y</v>
      </c>
      <c r="H2" t="str" cm="1">
        <f t="array" aca="1" ref="H2" ca="1">INDIRECT("'"&amp;C2&amp;"'!"&amp;"D11")</f>
        <v>LG화학(3380), 롯데케미칼(2330), 여천NCC(2285), 한화토탈에너지스(1525), 대한유화(900), GS칼텍스(900), HD현대케미칼(850), SK지오센트릭(660), S-OIL(182)</v>
      </c>
      <c r="I2" cm="1">
        <f t="array" aca="1" ref="I2" ca="1">INDIRECT("'"&amp;C2&amp;"'!"&amp;"D12")</f>
        <v>2901210000</v>
      </c>
      <c r="J2" t="str" cm="1">
        <f t="array" aca="1" ref="J2" ca="1">INDIRECT("'"&amp;C2&amp;"'!"&amp;"D13")</f>
        <v>Net Export</v>
      </c>
    </row>
    <row r="3" spans="1:24">
      <c r="A3" t="s">
        <v>34</v>
      </c>
      <c r="B3" t="s">
        <v>22</v>
      </c>
      <c r="C3" t="s">
        <v>2381</v>
      </c>
      <c r="D3" s="27" t="s">
        <v>5</v>
      </c>
      <c r="E3" t="str" cm="1">
        <f t="array" aca="1" ref="E3" ca="1">INDIRECT("'"&amp;C3&amp;"'!"&amp;"D5")</f>
        <v>높은 밀도와 결정성을 가지는 범용 폴리에틸렌 수지; 포장재, 파이프, 용기, 자동차 부품 등에 사용되는 열가소성 수지;</v>
      </c>
      <c r="F3" t="str" cm="1">
        <f t="array" aca="1" ref="F3" ca="1">INDIRECT("'"&amp;C3&amp;"'!"&amp;"D6")</f>
        <v>Slurry Loop/Tank, Gas Phase, Solution 공정으로 에틸렌을 중합;</v>
      </c>
      <c r="G3" t="str" cm="1">
        <f t="array" aca="1" ref="G3" ca="1">INDIRECT("'"&amp;C3&amp;"'!"&amp;"D10")</f>
        <v>Y</v>
      </c>
      <c r="H3" t="str" cm="1">
        <f t="array" aca="1" ref="H3" ca="1">INDIRECT("'"&amp;C3&amp;"'!"&amp;"D11")</f>
        <v>DL케미칼(180), GS칼텍스(500), HD현대케미칼(550), LG화학(360), SK지오센트릭(210), 대한유화(650), 롯데케미칼(630), 한화토탈에너지스(575)</v>
      </c>
      <c r="I3" cm="1">
        <f t="array" aca="1" ref="I3" ca="1">INDIRECT("'"&amp;C3&amp;"'!"&amp;"D12")</f>
        <v>3910120000</v>
      </c>
      <c r="J3" t="str" cm="1">
        <f t="array" aca="1" ref="J3" ca="1">INDIRECT("'"&amp;C3&amp;"'!"&amp;"D13")</f>
        <v>Net Export</v>
      </c>
      <c r="P3" s="54" t="s">
        <v>1</v>
      </c>
      <c r="Q3" s="54" t="s">
        <v>3</v>
      </c>
      <c r="R3" s="54" t="s">
        <v>2</v>
      </c>
      <c r="S3" s="54" t="s">
        <v>241</v>
      </c>
      <c r="T3" s="54" t="s">
        <v>242</v>
      </c>
      <c r="U3" s="54" t="s">
        <v>199</v>
      </c>
      <c r="V3" s="54" t="s">
        <v>200</v>
      </c>
      <c r="W3" s="54" t="s">
        <v>180</v>
      </c>
      <c r="X3" s="54" t="s">
        <v>201</v>
      </c>
    </row>
    <row r="4" spans="1:24">
      <c r="A4" t="s">
        <v>7</v>
      </c>
      <c r="B4" t="s">
        <v>23</v>
      </c>
      <c r="C4" t="s">
        <v>2382</v>
      </c>
      <c r="D4" s="27" t="s">
        <v>5</v>
      </c>
      <c r="E4" t="str" cm="1">
        <f t="array" aca="1" ref="E4" ca="1">INDIRECT("'"&amp;C4&amp;"'!"&amp;"D5")</f>
        <v>저밀도 범용 폴리에틸렌 수지; 포장필름·코팅·전선용 소재 등에 사용;</v>
      </c>
      <c r="F4" t="str" cm="1">
        <f t="array" aca="1" ref="F4" ca="1">INDIRECT("'"&amp;C4&amp;"'!"&amp;"D6")</f>
        <v>고압 자유라디탈 중합 공정 (Tubular 및 Autoclave)</v>
      </c>
      <c r="G4" t="str" cm="1">
        <f t="array" aca="1" ref="G4" ca="1">INDIRECT("'"&amp;C4&amp;"'!"&amp;"D10")</f>
        <v>Y</v>
      </c>
      <c r="H4" t="str" cm="1">
        <f t="array" aca="1" ref="H4" ca="1">INDIRECT("'"&amp;C4&amp;"'!"&amp;"D11")</f>
        <v>HD현대케미칼(300), LG화학(460), 롯데케미칼(135), 한화솔루션(457), 한화토탈에너지스(435)</v>
      </c>
      <c r="I4" cm="1">
        <f t="array" aca="1" ref="I4" ca="1">INDIRECT("'"&amp;C4&amp;"'!"&amp;"D12")</f>
        <v>3901109000</v>
      </c>
      <c r="J4" t="str" cm="1">
        <f t="array" aca="1" ref="J4" ca="1">INDIRECT("'"&amp;C4&amp;"'!"&amp;"D13")</f>
        <v>Net Export</v>
      </c>
    </row>
    <row r="5" spans="1:24">
      <c r="A5" t="s">
        <v>9</v>
      </c>
      <c r="B5" t="s">
        <v>24</v>
      </c>
      <c r="C5" t="s">
        <v>2383</v>
      </c>
      <c r="D5" s="27" t="s">
        <v>5</v>
      </c>
      <c r="E5" t="str" cm="1">
        <f t="array" aca="1" ref="E5" ca="1">INDIRECT("'"&amp;C5&amp;"'!"&amp;"D5")</f>
        <v>선형구조에 짧은 가지를 가진 폴리에틸렌 수지; 유연성·인장강도·충격 및 천공 저항성이 우수하여 필름 중심으로 사용;</v>
      </c>
      <c r="F5" t="str" cm="1">
        <f t="array" aca="1" ref="F5" ca="1">INDIRECT("'"&amp;C5&amp;"'!"&amp;"D6")</f>
        <v>에틸렌과 α-올레핀의 저압 공중합 공정 (gas-phase 및 solution)</v>
      </c>
      <c r="G5" t="str" cm="1">
        <f t="array" aca="1" ref="G5" ca="1">INDIRECT("'"&amp;C5&amp;"'!"&amp;"D10")</f>
        <v>Y</v>
      </c>
      <c r="H5" t="str" cm="1">
        <f t="array" aca="1" ref="H5" ca="1">INDIRECT("'"&amp;C5&amp;"'!"&amp;"D11")</f>
        <v>LG화학(1100), DL케미칼(530), 한화솔루션(425), 롯데케미칼(310), SSNC(288), SK지오센트릭(180), 한화토탈에너지스(125)</v>
      </c>
      <c r="I5" cm="1">
        <f t="array" aca="1" ref="I5" ca="1">INDIRECT("'"&amp;C5&amp;"'!"&amp;"D12")</f>
        <v>3901101000</v>
      </c>
      <c r="J5" t="str" cm="1">
        <f t="array" aca="1" ref="J5" ca="1">INDIRECT("'"&amp;C5&amp;"'!"&amp;"D13")</f>
        <v>Net Export</v>
      </c>
    </row>
    <row r="6" spans="1:24">
      <c r="A6" t="s">
        <v>10</v>
      </c>
      <c r="B6" t="s">
        <v>119</v>
      </c>
      <c r="C6" t="s">
        <v>2384</v>
      </c>
      <c r="D6" s="27" t="s">
        <v>5</v>
      </c>
      <c r="E6" t="str" cm="1">
        <f t="array" aca="1" ref="E6" ca="1">INDIRECT("'"&amp;C6&amp;"'!"&amp;"D5")</f>
        <v>염소와 에틸렌 기반의 중간체; VCM 및 PVC 생산에 사용;</v>
      </c>
      <c r="F6" t="str" cm="1">
        <f t="array" aca="1" ref="F6" ca="1">INDIRECT("'"&amp;C6&amp;"'!"&amp;"D6")</f>
        <v>Ethylene Direct Chlorination 및 Oxychlorination 공정; 일반적으로 Chlor-Alkali 및 VCM 설비와 통합운영;</v>
      </c>
      <c r="G6" t="str" cm="1">
        <f t="array" aca="1" ref="G6" ca="1">INDIRECT("'"&amp;C6&amp;"'!"&amp;"D10")</f>
        <v>Y</v>
      </c>
      <c r="H6" t="str" cm="1">
        <f t="array" aca="1" ref="H6" ca="1">INDIRECT("'"&amp;C6&amp;"'!"&amp;"D11")</f>
        <v>한화솔루션(1971), LG화학(810)</v>
      </c>
      <c r="I6" cm="1">
        <f t="array" aca="1" ref="I6" ca="1">INDIRECT("'"&amp;C6&amp;"'!"&amp;"D12")</f>
        <v>2903150000</v>
      </c>
      <c r="J6" t="str" cm="1">
        <f t="array" aca="1" ref="J6" ca="1">INDIRECT("'"&amp;C6&amp;"'!"&amp;"D13")</f>
        <v>Net Export</v>
      </c>
    </row>
    <row r="7" spans="1:24">
      <c r="A7" t="s">
        <v>11</v>
      </c>
      <c r="B7" t="s">
        <v>32</v>
      </c>
      <c r="C7" t="s">
        <v>2385</v>
      </c>
      <c r="D7" s="27" t="s">
        <v>5</v>
      </c>
      <c r="E7" t="str" cm="1">
        <f t="array" aca="1" ref="E7" ca="1">INDIRECT("'"&amp;C7&amp;"'!"&amp;"D5")</f>
        <v>EDC의 열분해로 제조; PVC 수지 생산에 사용;</v>
      </c>
      <c r="F7" t="str" cm="1">
        <f t="array" aca="1" ref="F7" ca="1">INDIRECT("'"&amp;C7&amp;"'!"&amp;"D6")</f>
        <v>EDC Thermal Pryolysis (메인); Coal/Carbide 기반 Acetylene-HCL route(중국, 보조);</v>
      </c>
      <c r="G7" t="str" cm="1">
        <f t="array" aca="1" ref="G7" ca="1">INDIRECT("'"&amp;C7&amp;"'!"&amp;"D10")</f>
        <v>Y</v>
      </c>
      <c r="H7" t="str" cm="1">
        <f t="array" aca="1" ref="H7" ca="1">INDIRECT("'"&amp;C7&amp;"'!"&amp;"D11")</f>
        <v>LG화학(950), 한화솔루션(847)</v>
      </c>
      <c r="I7" cm="1">
        <f t="array" aca="1" ref="I7" ca="1">INDIRECT("'"&amp;C7&amp;"'!"&amp;"D12")</f>
        <v>2903210000</v>
      </c>
      <c r="J7" t="str" cm="1">
        <f t="array" aca="1" ref="J7" ca="1">INDIRECT("'"&amp;C7&amp;"'!"&amp;"D13")</f>
        <v>Net Export</v>
      </c>
    </row>
    <row r="8" spans="1:24">
      <c r="A8" t="s">
        <v>13</v>
      </c>
      <c r="B8" t="s">
        <v>25</v>
      </c>
      <c r="C8" t="s">
        <v>2386</v>
      </c>
      <c r="D8" s="27" t="s">
        <v>5</v>
      </c>
      <c r="E8" t="str" cm="1">
        <f t="array" aca="1" ref="E8" ca="1">INDIRECT("'"&amp;C8&amp;"'!"&amp;"D5")</f>
        <v>VCM을 중합하여 제조하는 범용 열가소성 수지; 파이프·피팅·창호·전선피복·필름·시트·바닥재 등에 사용</v>
      </c>
      <c r="F8" t="str" cm="1">
        <f t="array" aca="1" ref="F8" ca="1">INDIRECT("'"&amp;C8&amp;"'!"&amp;"D6")</f>
        <v>VCM을 중합;</v>
      </c>
      <c r="G8" t="str" cm="1">
        <f t="array" aca="1" ref="G8" ca="1">INDIRECT("'"&amp;C8&amp;"'!"&amp;"D10")</f>
        <v>Y</v>
      </c>
      <c r="H8" t="str" cm="1">
        <f t="array" aca="1" ref="H8" ca="1">INDIRECT("'"&amp;C8&amp;"'!"&amp;"D11")</f>
        <v>한화솔루션(810), LG화학(690)</v>
      </c>
      <c r="I8" cm="1">
        <f t="array" aca="1" ref="I8" ca="1">INDIRECT("'"&amp;C8&amp;"'!"&amp;"D12")</f>
        <v>3904100000</v>
      </c>
      <c r="J8" t="str" cm="1">
        <f t="array" aca="1" ref="J8" ca="1">INDIRECT("'"&amp;C8&amp;"'!"&amp;"D13")</f>
        <v>Net Export</v>
      </c>
    </row>
    <row r="9" spans="1:24">
      <c r="A9" t="s">
        <v>15</v>
      </c>
      <c r="B9" t="s">
        <v>28</v>
      </c>
      <c r="C9" t="s">
        <v>2387</v>
      </c>
      <c r="D9" s="27" t="s">
        <v>5</v>
      </c>
      <c r="E9" t="str" cm="1">
        <f t="array" aca="1" ref="E9" ca="1">INDIRECT("'"&amp;C9&amp;"'!"&amp;"D5")</f>
        <v>휘발성·가연성의 무색 액체 알코올; 용제·소독제·연료첨가제·화학 원료로 사용;</v>
      </c>
      <c r="F9" t="str" cm="1">
        <f t="array" aca="1" ref="F9" ca="1">INDIRECT("'"&amp;C9&amp;"'!"&amp;"D6")</f>
        <v>탄수화물 발효(97%), 합성공정기반(2%); 석탄유래(중국);</v>
      </c>
      <c r="G9" t="str" cm="1">
        <f t="array" aca="1" ref="G9" ca="1">INDIRECT("'"&amp;C9&amp;"'!"&amp;"D10")</f>
        <v>Y</v>
      </c>
      <c r="H9" t="str" cm="1">
        <f t="array" aca="1" ref="H9" ca="1">INDIRECT("'"&amp;C9&amp;"'!"&amp;"D11")</f>
        <v>한국알콜산업(70)</v>
      </c>
      <c r="I9" t="str" cm="1">
        <f t="array" aca="1" ref="I9" ca="1">INDIRECT("'"&amp;C9&amp;"'!"&amp;"D12")</f>
        <v>Unknown</v>
      </c>
      <c r="J9" t="str" cm="1">
        <f t="array" aca="1" ref="J9" ca="1">INDIRECT("'"&amp;C9&amp;"'!"&amp;"D13")</f>
        <v>Unknown</v>
      </c>
    </row>
    <row r="10" spans="1:24">
      <c r="A10" t="s">
        <v>17</v>
      </c>
      <c r="B10" t="s">
        <v>26</v>
      </c>
      <c r="C10" t="s">
        <v>2388</v>
      </c>
      <c r="D10" s="27" t="s">
        <v>5</v>
      </c>
      <c r="E10" t="str" cm="1">
        <f t="array" aca="1" ref="E10" ca="1">INDIRECT("'"&amp;C10&amp;"'!"&amp;"D5")</f>
        <v>무색·휘발성의 에스터계 용제; 빠른 증발성과 용해성을 가져 도료·잉크·접착제 등에 널리 사용;</v>
      </c>
      <c r="F10" t="str" cm="1">
        <f t="array" aca="1" ref="F10" ca="1">INDIRECT("'"&amp;C10&amp;"'!"&amp;"D6")</f>
        <v>에탄올과 초산의 산촉매 에스터화 및 정제 공정(메인); 반응증류 공정, 에틸렌과 초산의 직접 부가, 아세트알데히드 Tishchenko 반응(보조)</v>
      </c>
      <c r="G10" t="str" cm="1">
        <f t="array" aca="1" ref="G10" ca="1">INDIRECT("'"&amp;C10&amp;"'!"&amp;"D10")</f>
        <v>Y</v>
      </c>
      <c r="H10" t="str" cm="1">
        <f t="array" aca="1" ref="H10" ca="1">INDIRECT("'"&amp;C10&amp;"'!"&amp;"D11")</f>
        <v>한국알콜산업(123)</v>
      </c>
      <c r="I10" cm="1">
        <f t="array" aca="1" ref="I10" ca="1">INDIRECT("'"&amp;C10&amp;"'!"&amp;"D12")</f>
        <v>2915310000</v>
      </c>
      <c r="J10" t="str" cm="1">
        <f t="array" aca="1" ref="J10" ca="1">INDIRECT("'"&amp;C10&amp;"'!"&amp;"D13")</f>
        <v>Net Import</v>
      </c>
    </row>
    <row r="11" spans="1:24">
      <c r="A11" t="s">
        <v>35</v>
      </c>
      <c r="B11" t="s">
        <v>127</v>
      </c>
      <c r="C11" t="s">
        <v>2389</v>
      </c>
      <c r="D11" s="27" t="s">
        <v>5</v>
      </c>
      <c r="E11" t="str" cm="1">
        <f t="array" aca="1" ref="E11" ca="1">INDIRECT("'"&amp;C11&amp;"'!"&amp;"D5")</f>
        <v>반응성이 높은 고리형 에폭사이드; 주로 EG·계면활성제·EOA 등 에틸렌계 유도품의 중간체로 사용;</v>
      </c>
      <c r="F11" t="str" cm="1">
        <f t="array" aca="1" ref="F11" ca="1">INDIRECT("'"&amp;C11&amp;"'!"&amp;"D6")</f>
        <v>에틸렌을 산소로 은 촉매하에 직접 부분산화; EO/EG 통합생산(75%), 고순도 EO생산(25%);</v>
      </c>
      <c r="G11" t="str" cm="1">
        <f t="array" aca="1" ref="G11" ca="1">INDIRECT("'"&amp;C11&amp;"'!"&amp;"D10")</f>
        <v>Y</v>
      </c>
      <c r="H11" t="str" cm="1">
        <f t="array" aca="1" ref="H11" ca="1">INDIRECT("'"&amp;C11&amp;"'!"&amp;"D11")</f>
        <v>롯데케미칼(922), 대한유화(250), 한화토탈에너지스(120), LG화학(60)</v>
      </c>
      <c r="I11" cm="1">
        <f t="array" aca="1" ref="I11" ca="1">INDIRECT("'"&amp;C11&amp;"'!"&amp;"D12")</f>
        <v>2910100000</v>
      </c>
      <c r="J11" t="str" cm="1">
        <f t="array" aca="1" ref="J11" ca="1">INDIRECT("'"&amp;C11&amp;"'!"&amp;"D13")</f>
        <v>Balanced</v>
      </c>
    </row>
    <row r="12" spans="1:24">
      <c r="A12" t="s">
        <v>36</v>
      </c>
      <c r="B12" t="s">
        <v>29</v>
      </c>
      <c r="C12" t="s">
        <v>2390</v>
      </c>
      <c r="D12" s="27" t="s">
        <v>5</v>
      </c>
      <c r="E12" t="str" cm="1">
        <f t="array" aca="1" ref="E12" ca="1">INDIRECT("'"&amp;C12&amp;"'!"&amp;"D5")</f>
        <v>아민기와 알코올기를 모두 가진 에탄올아민류의 대표 제품; 산성가스 제거·계면활성제·에틸렌아민 중간체로 사용;</v>
      </c>
      <c r="F12" t="str" cm="1">
        <f t="array" aca="1" ref="F12" ca="1">INDIRECT("'"&amp;C12&amp;"'!"&amp;"D6")</f>
        <v>EO와 암모니아를 반응시켜 생산; 반응 조건 조절을 통해 MEA·DEA·TEA 제품 분포를 조절;</v>
      </c>
      <c r="G12" t="str" cm="1">
        <f t="array" aca="1" ref="G12" ca="1">INDIRECT("'"&amp;C12&amp;"'!"&amp;"D10")</f>
        <v>Y</v>
      </c>
      <c r="H12" t="str" cm="1">
        <f t="array" aca="1" ref="H12" ca="1">INDIRECT("'"&amp;C12&amp;"'!"&amp;"D11")</f>
        <v>KPX Green Chemical(18KTA) - Ethanolamine</v>
      </c>
      <c r="I12" cm="1">
        <f t="array" aca="1" ref="I12" ca="1">INDIRECT("'"&amp;C12&amp;"'!"&amp;"D12")</f>
        <v>2922111000</v>
      </c>
      <c r="J12" t="str" cm="1">
        <f t="array" aca="1" ref="J12" ca="1">INDIRECT("'"&amp;C12&amp;"'!"&amp;"D13")</f>
        <v>Net Import</v>
      </c>
    </row>
    <row r="13" spans="1:24">
      <c r="A13" t="s">
        <v>37</v>
      </c>
      <c r="B13" t="s">
        <v>30</v>
      </c>
      <c r="C13" t="s">
        <v>2391</v>
      </c>
      <c r="D13" s="27" t="s">
        <v>5</v>
      </c>
      <c r="E13" t="str" cm="1">
        <f t="array" aca="1" ref="E13" ca="1">INDIRECT("'"&amp;C13&amp;"'!"&amp;"D5")</f>
        <v>아민기와 알코올기를 모두 가진 에탄올아민류 중간체; 글리포세이트·DEIPA·계면활성제·가스처리에 사용;</v>
      </c>
      <c r="F13" t="str" cm="1">
        <f t="array" aca="1" ref="F13" ca="1">INDIRECT("'"&amp;C13&amp;"'!"&amp;"D6")</f>
        <v>EO와 암모니아를 반응시켜 생산; 반응 조건 조절을 통해 MEA·DEA·TEA 제품 분포를 조절;</v>
      </c>
      <c r="G13" t="str" cm="1">
        <f t="array" aca="1" ref="G13" ca="1">INDIRECT("'"&amp;C13&amp;"'!"&amp;"D10")</f>
        <v>Y</v>
      </c>
      <c r="H13" t="str" cm="1">
        <f t="array" aca="1" ref="H13" ca="1">INDIRECT("'"&amp;C13&amp;"'!"&amp;"D11")</f>
        <v>KPX Green Chemical(18KTA) - Ethanolamine</v>
      </c>
      <c r="I13" cm="1">
        <f t="array" aca="1" ref="I13" ca="1">INDIRECT("'"&amp;C13&amp;"'!"&amp;"D12")</f>
        <v>2922121000</v>
      </c>
      <c r="J13" t="str" cm="1">
        <f t="array" aca="1" ref="J13" ca="1">INDIRECT("'"&amp;C13&amp;"'!"&amp;"D13")</f>
        <v>Net Import</v>
      </c>
    </row>
    <row r="14" spans="1:24">
      <c r="A14" t="s">
        <v>38</v>
      </c>
      <c r="B14" t="s">
        <v>31</v>
      </c>
      <c r="C14" t="s">
        <v>2392</v>
      </c>
      <c r="D14" s="27" t="s">
        <v>5</v>
      </c>
      <c r="E14" t="str" cm="1">
        <f t="array" aca="1" ref="E14" ca="1">INDIRECT("'"&amp;C14&amp;"'!"&amp;"D5")</f>
        <v>아민기와 알코올기를 모두 가진 에탄올아민류 제품; 시멘트 첨가제·계면활성제·금속가공유 등에 사용;</v>
      </c>
      <c r="F14" t="str" cm="1">
        <f t="array" aca="1" ref="F14" ca="1">INDIRECT("'"&amp;C14&amp;"'!"&amp;"D6")</f>
        <v>EO와 암모니아를 반응시켜 생산; 반응 조건 조절을 통해 MEA·DEA·TEA 제품 분포를 조절;</v>
      </c>
      <c r="G14" t="str" cm="1">
        <f t="array" aca="1" ref="G14" ca="1">INDIRECT("'"&amp;C14&amp;"'!"&amp;"D10")</f>
        <v>Y</v>
      </c>
      <c r="H14" t="str" cm="1">
        <f t="array" aca="1" ref="H14" ca="1">INDIRECT("'"&amp;C14&amp;"'!"&amp;"D11")</f>
        <v>KPX Green Chemical(18KTA) - Ethanolamine</v>
      </c>
      <c r="I14" cm="1">
        <f t="array" aca="1" ref="I14" ca="1">INDIRECT("'"&amp;C14&amp;"'!"&amp;"D12")</f>
        <v>2922150000</v>
      </c>
      <c r="J14" t="str" cm="1">
        <f t="array" aca="1" ref="J14" ca="1">INDIRECT("'"&amp;C14&amp;"'!"&amp;"D13")</f>
        <v>Net Import</v>
      </c>
    </row>
    <row r="15" spans="1:24">
      <c r="A15" t="s">
        <v>39</v>
      </c>
      <c r="B15" t="s">
        <v>128</v>
      </c>
      <c r="C15" t="s">
        <v>2393</v>
      </c>
      <c r="D15" s="27" t="s">
        <v>5</v>
      </c>
      <c r="E15" t="str" cm="1">
        <f t="array" aca="1" ref="E15" ca="1">INDIRECT("'"&amp;C15&amp;"'!"&amp;"D5")</f>
        <v>EO hydration으로 생산되는 가장 대표적인 EO downstream 제품; 주로 PET 수지·폴리에스터 섬유·부동액용으로 사용;</v>
      </c>
      <c r="F15" t="str" cm="1">
        <f t="array" aca="1" ref="F15" ca="1">INDIRECT("'"&amp;C15&amp;"'!"&amp;"D6")</f>
        <v>EO의 비촉매 수화반응으로 생산(메인); Selective hydration 기술(MEG수율 개선); Coal-to-MEG 공정(중국)</v>
      </c>
      <c r="G15" t="str" cm="1">
        <f t="array" aca="1" ref="G15" ca="1">INDIRECT("'"&amp;C15&amp;"'!"&amp;"D10")</f>
        <v>Y</v>
      </c>
      <c r="H15" t="str" cm="1">
        <f t="array" aca="1" ref="H15" ca="1">INDIRECT("'"&amp;C15&amp;"'!"&amp;"D11")</f>
        <v>롯데케미칼(1130), 한화토탈에너지스(218), 대한유화(200)</v>
      </c>
      <c r="I15" cm="1">
        <f t="array" aca="1" ref="I15" ca="1">INDIRECT("'"&amp;C15&amp;"'!"&amp;"D12")</f>
        <v>2905310000</v>
      </c>
      <c r="J15" t="str" cm="1">
        <f t="array" aca="1" ref="J15" ca="1">INDIRECT("'"&amp;C15&amp;"'!"&amp;"D13")</f>
        <v>Net Import (Export → Import, 2020)</v>
      </c>
    </row>
    <row r="16" spans="1:24">
      <c r="A16" t="s">
        <v>40</v>
      </c>
      <c r="B16" t="s">
        <v>27</v>
      </c>
      <c r="C16" t="s">
        <v>2394</v>
      </c>
      <c r="D16" s="27" t="s">
        <v>5</v>
      </c>
      <c r="E16" t="str" cm="1">
        <f t="array" aca="1" ref="E16" ca="1">INDIRECT("'"&amp;C16&amp;"'!"&amp;"D5")</f>
        <v>Pyridines·Pentaerythritol·Acetate esters 등의 원료로 사용되는 중간체; 글롭러 시장은 장기적으로 구조적 축소 추세</v>
      </c>
      <c r="F16" t="str" cm="1">
        <f t="array" aca="1" ref="F16" ca="1">INDIRECT("'"&amp;C16&amp;"'!"&amp;"D6")</f>
        <v>Ethylene liquid-phase oxidation(Wacker process, 메인); Ethanol dehydrogenation/partial oxidation(메인); Acetylene hydration(보조);</v>
      </c>
      <c r="G16" t="str" cm="1">
        <f t="array" aca="1" ref="G16" ca="1">INDIRECT("'"&amp;C16&amp;"'!"&amp;"D10")</f>
        <v>N</v>
      </c>
      <c r="H16" cm="1">
        <f t="array" aca="1" ref="H16" ca="1">INDIRECT("'"&amp;C16&amp;"'!"&amp;"D11")</f>
        <v>0</v>
      </c>
      <c r="I16" cm="1">
        <f t="array" aca="1" ref="I16" ca="1">INDIRECT("'"&amp;C16&amp;"'!"&amp;"D12")</f>
        <v>2912120000</v>
      </c>
      <c r="J16" t="str" cm="1">
        <f t="array" aca="1" ref="J16" ca="1">INDIRECT("'"&amp;C16&amp;"'!"&amp;"D13")</f>
        <v>Balanced</v>
      </c>
    </row>
    <row r="17" spans="1:10">
      <c r="A17" t="s">
        <v>41</v>
      </c>
      <c r="B17" t="s">
        <v>33</v>
      </c>
      <c r="C17" t="s">
        <v>2395</v>
      </c>
      <c r="D17" s="27" t="s">
        <v>5</v>
      </c>
      <c r="E17" t="str" cm="1">
        <f t="array" aca="1" ref="E17" ca="1">INDIRECT("'"&amp;C17&amp;"'!"&amp;"D5")</f>
        <v>EVA·PVA·PVAc·EVOH 등의 핵심 중간체;</v>
      </c>
      <c r="F17" t="str" cm="1">
        <f t="array" aca="1" ref="F17" ca="1">INDIRECT("'"&amp;C17&amp;"'!"&amp;"D6")</f>
        <v>에틸렌·초산·산소를 Pd 촉매 하에서 기상 산화;</v>
      </c>
      <c r="G17" t="str" cm="1">
        <f t="array" aca="1" ref="G17" ca="1">INDIRECT("'"&amp;C17&amp;"'!"&amp;"D10")</f>
        <v>Y</v>
      </c>
      <c r="H17" t="str" cm="1">
        <f t="array" aca="1" ref="H17" ca="1">INDIRECT("'"&amp;C17&amp;"'!"&amp;"D11")</f>
        <v>롯데이네오스화학(460)</v>
      </c>
      <c r="I17" cm="1">
        <f t="array" aca="1" ref="I17" ca="1">INDIRECT("'"&amp;C17&amp;"'!"&amp;"D12")</f>
        <v>2915320000</v>
      </c>
      <c r="J17" t="str" cm="1">
        <f t="array" aca="1" ref="J17" ca="1">INDIRECT("'"&amp;C17&amp;"'!"&amp;"D13")</f>
        <v>Net Export (Import → Export, 2021)</v>
      </c>
    </row>
    <row r="18" spans="1:10">
      <c r="A18" t="s">
        <v>42</v>
      </c>
      <c r="B18" t="s">
        <v>6</v>
      </c>
      <c r="C18" t="s">
        <v>2396</v>
      </c>
      <c r="D18" s="29" t="s">
        <v>6</v>
      </c>
      <c r="E18" t="str" cm="1">
        <f t="array" aca="1" ref="E18" ca="1">INDIRECT("'"&amp;C18&amp;"'!"&amp;"D5")</f>
        <v xml:space="preserve">에틸렌 다음으로 큰 기초 석유화학 원료; </v>
      </c>
      <c r="F18" t="str" cm="1">
        <f t="array" aca="1" ref="F18" ca="1">INDIRECT("'"&amp;C18&amp;"'!"&amp;"D6")</f>
        <v>SC/FCC에서 주로 생산; PDH, metathesis, MTO/MTP, CTO/CTP, HS-FCC 등 on-purpose 공정 비중이 확대;</v>
      </c>
      <c r="G18" t="str" cm="1">
        <f t="array" aca="1" ref="G18" ca="1">INDIRECT("'"&amp;C18&amp;"'!"&amp;"D10")</f>
        <v>Y</v>
      </c>
      <c r="H18" t="str" cm="1">
        <f t="array" aca="1" ref="H18" ca="1">INDIRECT("'"&amp;C18&amp;"'!"&amp;"D11")</f>
        <v>LG화학(1980), 여천NCC(1289), 롯데케미칼(1191), 한화토탈에너지스(1064), GS칼텍스(970), S-OIL(840), SK에너지(620), SK어드밴스드(600), 대한유화(560), 효성화학(500), HD현대케미칼(451), HD현대오일뱅크(420), SK지오센트릭(380), 태광산업(300)</v>
      </c>
      <c r="I18" cm="1">
        <f t="array" aca="1" ref="I18" ca="1">INDIRECT("'"&amp;C18&amp;"'!"&amp;"D12")</f>
        <v>2901220000</v>
      </c>
      <c r="J18" t="str" cm="1">
        <f t="array" aca="1" ref="J18" ca="1">INDIRECT("'"&amp;C18&amp;"'!"&amp;"D13")</f>
        <v>Net Export</v>
      </c>
    </row>
    <row r="19" spans="1:10">
      <c r="A19" t="s">
        <v>43</v>
      </c>
      <c r="B19" t="s">
        <v>120</v>
      </c>
      <c r="C19" t="s">
        <v>2397</v>
      </c>
      <c r="D19" s="29" t="s">
        <v>6</v>
      </c>
      <c r="E19" t="str" cm="1">
        <f t="array" aca="1" ref="E19" ca="1">INDIRECT("'"&amp;C19&amp;"'!"&amp;"D5")</f>
        <v>프로필렌과 암모니아를 원료로 산화 반응을 통해 생산; 우수한 내화학성·기계적 강도를 바탕으로 ABS, Acrylic Fiber, NBR 등의 핵심 중간체;</v>
      </c>
      <c r="F19" t="str" cm="1">
        <f t="array" aca="1" ref="F19" ca="1">INDIRECT("'"&amp;C19&amp;"'!"&amp;"D6")</f>
        <v xml:space="preserve">프로필렌, 암모니아, 공기를 이용한 SOHIO ammoxidation 공정; </v>
      </c>
      <c r="G19" t="str" cm="1">
        <f t="array" aca="1" ref="G19" ca="1">INDIRECT("'"&amp;C19&amp;"'!"&amp;"D10")</f>
        <v>Y</v>
      </c>
      <c r="H19" t="str" cm="1">
        <f t="array" aca="1" ref="H19" ca="1">INDIRECT("'"&amp;C19&amp;"'!"&amp;"D11")</f>
        <v>동서석유화학(602), 태광산업(290)</v>
      </c>
      <c r="I19" cm="1">
        <f t="array" aca="1" ref="I19" ca="1">INDIRECT("'"&amp;C19&amp;"'!"&amp;"D12")</f>
        <v>2926100000</v>
      </c>
      <c r="J19" t="str" cm="1">
        <f t="array" aca="1" ref="J19" ca="1">INDIRECT("'"&amp;C19&amp;"'!"&amp;"D13")</f>
        <v>Balanced</v>
      </c>
    </row>
    <row r="20" spans="1:10">
      <c r="A20" t="s">
        <v>44</v>
      </c>
      <c r="B20" t="s">
        <v>81</v>
      </c>
      <c r="C20" t="s">
        <v>2398</v>
      </c>
      <c r="D20" s="29" t="s">
        <v>6</v>
      </c>
      <c r="E20" t="str" cm="1">
        <f t="array" aca="1" ref="E20" ca="1">INDIRECT("'"&amp;C20&amp;"'!"&amp;"D5")</f>
        <v>아크릴로니트릴·부타디엔·스티렌을 중합해 제조하는 엔지니어링 플라스틱; 충격강도·가공성·외관 특성이 우수;</v>
      </c>
      <c r="F20" t="str" cm="1">
        <f t="array" aca="1" ref="F20" ca="1">INDIRECT("'"&amp;C20&amp;"'!"&amp;"D6")</f>
        <v>SAN 수지와 부타디엔 고무를 graft 중합하는 방식으로 생산(Emulsion 및 Mass);</v>
      </c>
      <c r="G20" t="str" cm="1">
        <f t="array" aca="1" ref="G20" ca="1">INDIRECT("'"&amp;C20&amp;"'!"&amp;"D10")</f>
        <v>Y</v>
      </c>
      <c r="H20" t="str" cm="1">
        <f t="array" aca="1" ref="H20" ca="1">INDIRECT("'"&amp;C20&amp;"'!"&amp;"D11")</f>
        <v>LG화학(1030), 롯데케미칼(757), 금호석유화학(290), 한국이네오스스티롤루션(276)</v>
      </c>
      <c r="I20" cm="1">
        <f t="array" aca="1" ref="I20" ca="1">INDIRECT("'"&amp;C20&amp;"'!"&amp;"D12")</f>
        <v>3903300000</v>
      </c>
      <c r="J20" t="str" cm="1">
        <f t="array" aca="1" ref="J20" ca="1">INDIRECT("'"&amp;C20&amp;"'!"&amp;"D13")</f>
        <v>Net Export</v>
      </c>
    </row>
    <row r="21" spans="1:10">
      <c r="A21" t="s">
        <v>45</v>
      </c>
      <c r="B21" t="s">
        <v>82</v>
      </c>
      <c r="C21" t="s">
        <v>2399</v>
      </c>
      <c r="D21" s="29" t="s">
        <v>6</v>
      </c>
      <c r="E21" t="str" cm="1">
        <f t="array" aca="1" ref="E21" ca="1">INDIRECT("'"&amp;C21&amp;"'!"&amp;"D5")</f>
        <v>스티렌과 아크릴로니트릴을 공중합한 투명 열가소성 수지; 내열성·내화학성·강성이 우수;</v>
      </c>
      <c r="F21" t="str" cm="1">
        <f t="array" aca="1" ref="F21" ca="1">INDIRECT("'"&amp;C21&amp;"'!"&amp;"D6")</f>
        <v>스티렌과 아크릴로니트릴을 연속 공중합(Bulk 혹은 Solution);</v>
      </c>
      <c r="G21" t="str" cm="1">
        <f t="array" aca="1" ref="G21" ca="1">INDIRECT("'"&amp;C21&amp;"'!"&amp;"D10")</f>
        <v>Y</v>
      </c>
      <c r="H21" t="str" cm="1">
        <f t="array" aca="1" ref="H21" ca="1">INDIRECT("'"&amp;C21&amp;"'!"&amp;"D11")</f>
        <v>LG화학(70), 금호석유화학(50), 롯데케미칼(40)</v>
      </c>
      <c r="I21" cm="1">
        <f t="array" aca="1" ref="I21" ca="1">INDIRECT("'"&amp;C21&amp;"'!"&amp;"D12")</f>
        <v>3903200000</v>
      </c>
      <c r="J21" t="str" cm="1">
        <f t="array" aca="1" ref="J21" ca="1">INDIRECT("'"&amp;C21&amp;"'!"&amp;"D13")</f>
        <v>Net Export</v>
      </c>
    </row>
    <row r="22" spans="1:10">
      <c r="A22" t="s">
        <v>46</v>
      </c>
      <c r="B22" t="s">
        <v>74</v>
      </c>
      <c r="C22" t="s">
        <v>2400</v>
      </c>
      <c r="D22" s="29" t="s">
        <v>6</v>
      </c>
      <c r="E22" t="str" cm="1">
        <f t="array" aca="1" ref="E22" ca="1">INDIRECT("'"&amp;C22&amp;"'!"&amp;"D5")</f>
        <v>부타디엔과 아크릴로니트릴을 공중합한 합성고무; 내유성·내마모성·내화학성이 우수;</v>
      </c>
      <c r="F22" t="str" cm="1">
        <f t="array" aca="1" ref="F22" ca="1">INDIRECT("'"&amp;C22&amp;"'!"&amp;"D6")</f>
        <v>부타디엔과 아크릴로니트릴을 유화중합(emulsion polymerization) 방식으로 생산; 고무 라텍스 및 solid rubber 형태로 제조;</v>
      </c>
      <c r="G22" t="str" cm="1">
        <f t="array" aca="1" ref="G22" ca="1">INDIRECT("'"&amp;C22&amp;"'!"&amp;"D10")</f>
        <v>Y</v>
      </c>
      <c r="H22" t="str" cm="1">
        <f t="array" aca="1" ref="H22" ca="1">INDIRECT("'"&amp;C22&amp;"'!"&amp;"D11")</f>
        <v>금호석유화학(92), LG화학(65)</v>
      </c>
      <c r="I22" cm="1">
        <f t="array" aca="1" ref="I22" ca="1">INDIRECT("'"&amp;C22&amp;"'!"&amp;"D12")</f>
        <v>4002590000</v>
      </c>
      <c r="J22" t="str" cm="1">
        <f t="array" aca="1" ref="J22" ca="1">INDIRECT("'"&amp;C22&amp;"'!"&amp;"D13")</f>
        <v>Net Export</v>
      </c>
    </row>
    <row r="23" spans="1:10">
      <c r="A23" t="s">
        <v>47</v>
      </c>
      <c r="B23" t="s">
        <v>111</v>
      </c>
      <c r="C23" t="s">
        <v>2401</v>
      </c>
      <c r="D23" s="29" t="s">
        <v>6</v>
      </c>
      <c r="E23" t="str" cm="1">
        <f t="array" aca="1" ref="E23" ca="1">INDIRECT("'"&amp;C23&amp;"'!"&amp;"D5")</f>
        <v>프로필렌을 중합해 생산하는 범용 열가소성 수지; 경량성·내화학성·가공성이 우수;</v>
      </c>
      <c r="F23" t="str" cm="1">
        <f t="array" aca="1" ref="F23" ca="1">INDIRECT("'"&amp;C23&amp;"'!"&amp;"D6")</f>
        <v>PP는 Ziegler-Natta 또는 metallocene 촉매를 이용한 slurry, bulk, gas phase 중합 공정;</v>
      </c>
      <c r="G23" t="str" cm="1">
        <f t="array" aca="1" ref="G23" ca="1">INDIRECT("'"&amp;C23&amp;"'!"&amp;"D10")</f>
        <v>Y</v>
      </c>
      <c r="H23" t="str" cm="1">
        <f t="array" aca="1" ref="H23" ca="1">INDIRECT("'"&amp;C23&amp;"'!"&amp;"D11")</f>
        <v>한화토탈에너지스(1117), 롯데케미칼(1090), 폴리미래(730), 효성화학(600), 대한유화(550), HD현대케미칼(500), SK지오센트릭(432), S-OIL(405), 울산피피(400), LG화학(380), GS칼텍스(180)</v>
      </c>
      <c r="I23" cm="1">
        <f t="array" aca="1" ref="I23" ca="1">INDIRECT("'"&amp;C23&amp;"'!"&amp;"D12")</f>
        <v>3902100000</v>
      </c>
      <c r="J23" t="str" cm="1">
        <f t="array" aca="1" ref="J23" ca="1">INDIRECT("'"&amp;C23&amp;"'!"&amp;"D13")</f>
        <v>Net Export</v>
      </c>
    </row>
    <row r="24" spans="1:10">
      <c r="A24" t="s">
        <v>48</v>
      </c>
      <c r="B24" t="s">
        <v>110</v>
      </c>
      <c r="C24" t="s">
        <v>2402</v>
      </c>
      <c r="D24" s="29" t="s">
        <v>6</v>
      </c>
      <c r="E24" t="str" cm="1">
        <f t="array" aca="1" ref="E24" ca="1">INDIRECT("'"&amp;C24&amp;"'!"&amp;"D5")</f>
        <v>프로필렌 Downstream의 주요 중간체; 폴리우레탄 원료인 폴리올 및 프로필렌글리콜 생산에 사용;</v>
      </c>
      <c r="F24" t="str" cm="1">
        <f t="array" aca="1" ref="F24" ca="1">INDIRECT("'"&amp;C24&amp;"'!"&amp;"D6")</f>
        <v>Chlorohydrin, PO/SM(Styrene Monomer co-product), HPPO(Hydrogen Peroxide to Propylene Oxide) 등의 공정;</v>
      </c>
      <c r="G24" t="str" cm="1">
        <f t="array" aca="1" ref="G24" ca="1">INDIRECT("'"&amp;C24&amp;"'!"&amp;"D10")</f>
        <v>Y</v>
      </c>
      <c r="H24" t="str" cm="1">
        <f t="array" aca="1" ref="H24" ca="1">INDIRECT("'"&amp;C24&amp;"'!"&amp;"D11")</f>
        <v>SK picglobal(310), S-OIL(300)</v>
      </c>
      <c r="I24" cm="1">
        <f t="array" aca="1" ref="I24" ca="1">INDIRECT("'"&amp;C24&amp;"'!"&amp;"D12")</f>
        <v>2910200000</v>
      </c>
      <c r="J24" t="str" cm="1">
        <f t="array" aca="1" ref="J24" ca="1">INDIRECT("'"&amp;C24&amp;"'!"&amp;"D13")</f>
        <v>Balanced</v>
      </c>
    </row>
    <row r="25" spans="1:10">
      <c r="A25" t="s">
        <v>49</v>
      </c>
      <c r="B25" t="s">
        <v>108</v>
      </c>
      <c r="C25" t="s">
        <v>2403</v>
      </c>
      <c r="D25" s="29" t="s">
        <v>6</v>
      </c>
      <c r="E25" t="str" cm="1">
        <f t="array" aca="1" ref="E25" ca="1">INDIRECT("'"&amp;C25&amp;"'!"&amp;"D5")</f>
        <v>프로필렌옥사이드 기반의 무색·무취 액상 화학제품; 보습성·용해성·저독성이 우수;</v>
      </c>
      <c r="F25" t="str" cm="1">
        <f t="array" aca="1" ref="F25" ca="1">INDIRECT("'"&amp;C25&amp;"'!"&amp;"D6")</f>
        <v>프로필렌옥사이드의 가수분해 공정(메인); 바이오 기반 글리세린 공정(보조);</v>
      </c>
      <c r="G25" t="str" cm="1">
        <f t="array" aca="1" ref="G25" ca="1">INDIRECT("'"&amp;C25&amp;"'!"&amp;"D10")</f>
        <v>Y</v>
      </c>
      <c r="H25" t="str" cm="1">
        <f t="array" aca="1" ref="H25" ca="1">INDIRECT("'"&amp;C25&amp;"'!"&amp;"D11")</f>
        <v>SK picglobal(180)</v>
      </c>
      <c r="I25" cm="1">
        <f t="array" aca="1" ref="I25" ca="1">INDIRECT("'"&amp;C25&amp;"'!"&amp;"D12")</f>
        <v>2905320000</v>
      </c>
      <c r="J25" t="str" cm="1">
        <f t="array" aca="1" ref="J25" ca="1">INDIRECT("'"&amp;C25&amp;"'!"&amp;"D13")</f>
        <v>Net Export</v>
      </c>
    </row>
    <row r="26" spans="1:10">
      <c r="A26" t="s">
        <v>50</v>
      </c>
      <c r="B26" t="s">
        <v>109</v>
      </c>
      <c r="C26" t="s">
        <v>2404</v>
      </c>
      <c r="D26" s="29" t="s">
        <v>6</v>
      </c>
      <c r="E26" t="str" cm="1">
        <f t="array" aca="1" ref="E26" ca="1">INDIRECT("'"&amp;C26&amp;"'!"&amp;"D5")</f>
        <v>PPG(Polypropylene Glycol)는 프로필렌옥사이드를 중합해 제조하는 폴리에테르 폴리올 계열 제품으로, 점도와 분자량 조절이 가능하다.</v>
      </c>
      <c r="F26" t="str" cm="1">
        <f t="array" aca="1" ref="F26" ca="1">INDIRECT("'"&amp;C26&amp;"'!"&amp;"D6")</f>
        <v>PPG는 프로필렌옥사이드(PO)를 개시제와 함께 음이온 중합하는 방식으로 생산되며, 분자량 및 기능기에 따라 다양한 grade가 제조된다.</v>
      </c>
      <c r="G26" t="str" cm="1">
        <f t="array" aca="1" ref="G26" ca="1">INDIRECT("'"&amp;C26&amp;"'!"&amp;"D10")</f>
        <v>Y</v>
      </c>
      <c r="H26" t="str" cm="1">
        <f t="array" aca="1" ref="H26" ca="1">INDIRECT("'"&amp;C26&amp;"'!"&amp;"D11")</f>
        <v>KPX케미칼(298), SK picglobal(220), 금호석유화학(152), 한국바스프(119)</v>
      </c>
      <c r="I26" cm="1">
        <f t="array" aca="1" ref="I26" ca="1">INDIRECT("'"&amp;C26&amp;"'!"&amp;"D12")</f>
        <v>3907202000</v>
      </c>
      <c r="J26" t="str" cm="1">
        <f t="array" aca="1" ref="J26" ca="1">INDIRECT("'"&amp;C26&amp;"'!"&amp;"D13")</f>
        <v>Net Export(2022년이후 통계 X)</v>
      </c>
    </row>
    <row r="27" spans="1:10">
      <c r="A27" t="s">
        <v>51</v>
      </c>
      <c r="B27" t="s">
        <v>75</v>
      </c>
      <c r="C27" t="s">
        <v>2405</v>
      </c>
      <c r="D27" s="29" t="s">
        <v>6</v>
      </c>
      <c r="E27" t="str" cm="1">
        <f t="array" aca="1" ref="E27" ca="1">INDIRECT("'"&amp;C27&amp;"'!"&amp;"D5")</f>
        <v>Isocyanate와 반응해 Polyurethane을 만드는 핵심 원료; Flexible Foam·Rigid Foam 등 다양한 Downstream 제품의 성능을 결정하는 중간소재;</v>
      </c>
      <c r="F27" t="str" cm="1">
        <f t="array" aca="1" ref="F27" ca="1">INDIRECT("'"&amp;C27&amp;"'!"&amp;"D6")</f>
        <v>Polyether polyol - PO 및 EO를 starter molecule에 부가중: Polyester polyol - Diol과 Dicarboxylic acid/ester의 축합 반응(PO Downstream 아님);</v>
      </c>
      <c r="G27" t="str" cm="1">
        <f t="array" aca="1" ref="G27" ca="1">INDIRECT("'"&amp;C27&amp;"'!"&amp;"D10")</f>
        <v>Y</v>
      </c>
      <c r="H27" t="str" cm="1">
        <f t="array" aca="1" ref="H27" ca="1">INDIRECT("'"&amp;C27&amp;"'!"&amp;"D11")</f>
        <v>금호석유화학, 한국바스프, 피유코어, KPX케미컬(자료없음)</v>
      </c>
      <c r="I27" t="str" cm="1">
        <f t="array" aca="1" ref="I27" ca="1">INDIRECT("'"&amp;C27&amp;"'!"&amp;"D12")</f>
        <v>Unknown</v>
      </c>
      <c r="J27" t="str" cm="1">
        <f t="array" aca="1" ref="J27" ca="1">INDIRECT("'"&amp;C27&amp;"'!"&amp;"D13")</f>
        <v>Unknown</v>
      </c>
    </row>
    <row r="28" spans="1:10">
      <c r="A28" t="s">
        <v>52</v>
      </c>
      <c r="B28" t="s">
        <v>112</v>
      </c>
      <c r="C28" t="s">
        <v>2406</v>
      </c>
      <c r="D28" s="29" t="s">
        <v>6</v>
      </c>
      <c r="E28" t="str" cm="1">
        <f t="array" aca="1" ref="E28" ca="1">INDIRECT("'"&amp;C28&amp;"'!"&amp;"D5")</f>
        <v>폴리올과 이소시아네이트의 반응으로 제조되는 고분자 소재; 유연성·단열성·내마모성이 우수;</v>
      </c>
      <c r="F28" t="str" cm="1">
        <f t="array" aca="1" ref="F28" ca="1">INDIRECT("'"&amp;C28&amp;"'!"&amp;"D6")</f>
        <v>폴리올과 MDI/TDI 계열 이소시아네이트를 반응시켜 제조;  slabstock, molded foam, spray, elastomer 등 다양한 가공 공정이 사용;</v>
      </c>
      <c r="G28" t="str" cm="1">
        <f t="array" aca="1" ref="G28" ca="1">INDIRECT("'"&amp;C28&amp;"'!"&amp;"D10")</f>
        <v>Y</v>
      </c>
      <c r="H28" t="str" cm="1">
        <f t="array" aca="1" ref="H28" ca="1">INDIRECT("'"&amp;C28&amp;"'!"&amp;"D11")</f>
        <v>진양폴리우레탄, 대동우레탄, 한국우레탄, 세림TTC, 세원케미컬 등 중소·중견 가공사(자료없음)</v>
      </c>
      <c r="I28" cm="1">
        <f t="array" aca="1" ref="I28" ca="1">INDIRECT("'"&amp;C28&amp;"'!"&amp;"D12")</f>
        <v>3909500000</v>
      </c>
      <c r="J28" t="str" cm="1">
        <f t="array" aca="1" ref="J28" ca="1">INDIRECT("'"&amp;C28&amp;"'!"&amp;"D13")</f>
        <v>Net Export</v>
      </c>
    </row>
    <row r="29" spans="1:10">
      <c r="A29" t="s">
        <v>53</v>
      </c>
      <c r="B29" t="s">
        <v>78</v>
      </c>
      <c r="C29" t="s">
        <v>2407</v>
      </c>
      <c r="D29" s="29" t="s">
        <v>6</v>
      </c>
      <c r="E29" t="str" cm="1">
        <f t="array" aca="1" ref="E29" ca="1">INDIRECT("'"&amp;C29&amp;"'!"&amp;"D5")</f>
        <v>프로필렌 산화 기반으로 생산되는 핵심 아크릴계 모노머; 아크릴레이트 에스터·SAP(고흡수성수지)·수처리용 폴리머 등의 원료로 사용;</v>
      </c>
      <c r="F29" t="str" cm="1">
        <f t="array" aca="1" ref="F29" ca="1">INDIRECT("'"&amp;C29&amp;"'!"&amp;"D6")</f>
        <v>프로필렌의 2단계 기상 산화 공정을 통해 상업 생산; 50%는 Acrylate Ester로 전환되며, 나머지는 98%+순도의 GAA(Glacical Acrylic Acid)로 정제;</v>
      </c>
      <c r="G29" t="str" cm="1">
        <f t="array" aca="1" ref="G29" ca="1">INDIRECT("'"&amp;C29&amp;"'!"&amp;"D10")</f>
        <v>Y</v>
      </c>
      <c r="H29" t="str" cm="1">
        <f t="array" aca="1" ref="H29" ca="1">INDIRECT("'"&amp;C29&amp;"'!"&amp;"D11")</f>
        <v>LG화학(649)</v>
      </c>
      <c r="I29" cm="1">
        <f t="array" aca="1" ref="I29" ca="1">INDIRECT("'"&amp;C29&amp;"'!"&amp;"D12")</f>
        <v>2916111000</v>
      </c>
      <c r="J29" t="str" cm="1">
        <f t="array" aca="1" ref="J29" ca="1">INDIRECT("'"&amp;C29&amp;"'!"&amp;"D13")</f>
        <v>Balance</v>
      </c>
    </row>
    <row r="30" spans="1:10">
      <c r="A30" t="s">
        <v>54</v>
      </c>
      <c r="B30" t="s">
        <v>113</v>
      </c>
      <c r="C30" t="s">
        <v>2408</v>
      </c>
      <c r="D30" s="29" t="s">
        <v>6</v>
      </c>
      <c r="E30" t="str" cm="1">
        <f t="array" aca="1" ref="E30" ca="1">INDIRECT("'"&amp;C30&amp;"'!"&amp;"D5")</f>
        <v>Acrylic Acid와 알코올의 esterification으로 생산되는 아크릴계 모노머군; 코팅·접착제·점착제·섬유·플라스틱 개질용 폴리머 원료로 사용;</v>
      </c>
      <c r="F30" t="str" cm="1">
        <f t="array" aca="1" ref="F30" ca="1">INDIRECT("'"&amp;C30&amp;"'!"&amp;"D6")</f>
        <v>Acrylic Acid와 n-butanol, 2-EH, ethanol, methanol 등의 알코올을 esterification하여 생산; Acrylic acid와 통합 운영되는 경우가 많음;</v>
      </c>
      <c r="G30" t="str" cm="1">
        <f t="array" aca="1" ref="G30" ca="1">INDIRECT("'"&amp;C30&amp;"'!"&amp;"D10")</f>
        <v>Y</v>
      </c>
      <c r="H30" t="str" cm="1">
        <f t="array" aca="1" ref="H30" ca="1">INDIRECT("'"&amp;C30&amp;"'!"&amp;"D11")</f>
        <v>LG화학(200)</v>
      </c>
      <c r="I30" t="str" cm="1">
        <f t="array" aca="1" ref="I30" ca="1">INDIRECT("'"&amp;C30&amp;"'!"&amp;"D12")</f>
        <v>Unknown</v>
      </c>
      <c r="J30" t="str" cm="1">
        <f t="array" aca="1" ref="J30" ca="1">INDIRECT("'"&amp;C30&amp;"'!"&amp;"D13")</f>
        <v>Unknown</v>
      </c>
    </row>
    <row r="31" spans="1:10">
      <c r="A31" t="s">
        <v>55</v>
      </c>
      <c r="B31" t="s">
        <v>79</v>
      </c>
      <c r="C31" t="s">
        <v>2409</v>
      </c>
      <c r="D31" s="29" t="s">
        <v>6</v>
      </c>
      <c r="E31" t="str" cm="1">
        <f t="array" aca="1" ref="E31" ca="1">INDIRECT("'"&amp;C31&amp;"'!"&amp;"D5")</f>
        <v>Acrylic acid 기반의 lightly cross-linked polyacrylic acid polymer로, 자기 무게의 수백 배에 달하는 액체를 흡수·보유할 수 있는 고흡수성 고분자;</v>
      </c>
      <c r="F31" t="str" cm="1">
        <f t="array" aca="1" ref="F31" ca="1">INDIRECT("'"&amp;C31&amp;"'!"&amp;"D6")</f>
        <v>Glacial Acrylic Acid(GAA)를 부분 중화 후 cross-linking 및 중합; Sodium polyacrylate 기반 연속 polymerization 공정(메인);</v>
      </c>
      <c r="G31" t="str" cm="1">
        <f t="array" aca="1" ref="G31" ca="1">INDIRECT("'"&amp;C31&amp;"'!"&amp;"D10")</f>
        <v>Y</v>
      </c>
      <c r="H31" t="str" cm="1">
        <f t="array" aca="1" ref="H31" ca="1">INDIRECT("'"&amp;C31&amp;"'!"&amp;"D11")</f>
        <v>LG화학(280)</v>
      </c>
      <c r="I31" t="str" cm="1">
        <f t="array" aca="1" ref="I31" ca="1">INDIRECT("'"&amp;C31&amp;"'!"&amp;"D12")</f>
        <v>Unknown</v>
      </c>
      <c r="J31" t="str" cm="1">
        <f t="array" aca="1" ref="J31" ca="1">INDIRECT("'"&amp;C31&amp;"'!"&amp;"D13")</f>
        <v>Unknown</v>
      </c>
    </row>
    <row r="32" spans="1:10">
      <c r="A32" t="s">
        <v>56</v>
      </c>
      <c r="B32" t="s">
        <v>2810</v>
      </c>
      <c r="C32" t="s">
        <v>2811</v>
      </c>
      <c r="D32" s="29" t="s">
        <v>6</v>
      </c>
      <c r="E32" t="str" cm="1">
        <f t="array" aca="1" ref="E32" ca="1">INDIRECT("'"&amp;C32&amp;"'!"&amp;"D5")</f>
        <v>프로필렌과 syngas의 oxo/hydroformylation으로 생산되는 C4 aldehyde; 대부분 2-ethylhexanol과 n-butanol로 전환되는 propylene downstream 핵심 중간체;</v>
      </c>
      <c r="F32" t="str" cm="1">
        <f t="array" aca="1" ref="F32" ca="1">INDIRECT("'"&amp;C32&amp;"'!"&amp;"D6")</f>
        <v>프로필렌과 syngas를 hydroformylation하여 n-butyraldehyde와 isobutyraldehyde를 생산; 상업 공정은 rhodium 또는 cobalt catalyst 기반이며, rhodium catalyst는 높은 n/iso 비율을 구현;</v>
      </c>
      <c r="G32" t="str" cm="1">
        <f t="array" aca="1" ref="G32" ca="1">INDIRECT("'"&amp;C32&amp;"'!"&amp;"D10")</f>
        <v>Y</v>
      </c>
      <c r="H32" t="str" cm="1">
        <f t="array" aca="1" ref="H32" ca="1">INDIRECT("'"&amp;C32&amp;"'!"&amp;"D11")</f>
        <v>LG화학(350), 한화솔루션(210)</v>
      </c>
      <c r="I32" cm="1">
        <f t="array" aca="1" ref="I32" ca="1">INDIRECT("'"&amp;C32&amp;"'!"&amp;"D12")</f>
        <v>2912193000</v>
      </c>
      <c r="J32" t="str" cm="1">
        <f t="array" aca="1" ref="J32" ca="1">INDIRECT("'"&amp;C32&amp;"'!"&amp;"D13")</f>
        <v>Balanced</v>
      </c>
    </row>
    <row r="33" spans="1:10">
      <c r="A33" t="s">
        <v>57</v>
      </c>
      <c r="B33" t="s">
        <v>193</v>
      </c>
      <c r="C33" t="s">
        <v>2410</v>
      </c>
      <c r="D33" s="29" t="s">
        <v>6</v>
      </c>
      <c r="E33" t="str" cm="1">
        <f t="array" aca="1" ref="E33" ca="1">INDIRECT("'"&amp;C33&amp;"'!"&amp;"D5")</f>
        <v xml:space="preserve">n-butyraldehyde를 거쳐 생산되는 C8 oxo alcohol; Plasticizer, 2-Ethylhexyl acrylate, Solvent/Additive 원료로 사용되는 대형 프로필렌 downstream 제품; </v>
      </c>
      <c r="F33" t="str" cm="1">
        <f t="array" aca="1" ref="F33" ca="1">INDIRECT("'"&amp;C33&amp;"'!"&amp;"D6")</f>
        <v>Aldol condensation 및 hydrogenation을 통해 2-EH를 제조; Oxo unit과 butyraldehyde downstream이 통합 운영되는 경우가 많음;</v>
      </c>
      <c r="G33" t="str" cm="1">
        <f t="array" aca="1" ref="G33" ca="1">INDIRECT("'"&amp;C33&amp;"'!"&amp;"D10")</f>
        <v>Y</v>
      </c>
      <c r="H33" t="str" cm="1">
        <f t="array" aca="1" ref="H33" ca="1">INDIRECT("'"&amp;C33&amp;"'!"&amp;"D11")</f>
        <v>LG화학(125), 한화솔루션(152)</v>
      </c>
      <c r="I33" cm="1">
        <f t="array" aca="1" ref="I33" ca="1">INDIRECT("'"&amp;C33&amp;"'!"&amp;"D12")</f>
        <v>2905161000</v>
      </c>
      <c r="J33" t="str" cm="1">
        <f t="array" aca="1" ref="J33" ca="1">INDIRECT("'"&amp;C33&amp;"'!"&amp;"D13")</f>
        <v>Balanced</v>
      </c>
    </row>
    <row r="34" spans="1:10">
      <c r="A34" t="s">
        <v>58</v>
      </c>
      <c r="B34" t="s">
        <v>183</v>
      </c>
      <c r="C34" t="s">
        <v>2411</v>
      </c>
      <c r="D34" s="29" t="s">
        <v>6</v>
      </c>
      <c r="E34" t="str" cm="1">
        <f t="array" aca="1" ref="E34" ca="1">INDIRECT("'"&amp;C34&amp;"'!"&amp;"D5")</f>
        <v>n-butyraldehyde를 hydrogenation하여 생산되는 C4 oxo alcohol; Oxo process 기반이며 2-EH와 함께 n-butyraldehyde의 핵심 downstream; butyl acrylate, acetate solvent, glycol ether, plasticizer 등의 원료로 사용;</v>
      </c>
      <c r="F34" t="str" cm="1">
        <f t="array" aca="1" ref="F34" ca="1">INDIRECT("'"&amp;C34&amp;"'!"&amp;"D6")</f>
        <v xml:space="preserve">n-butyraldehyde를 hydrogenation하여 생산; </v>
      </c>
      <c r="G34" t="str" cm="1">
        <f t="array" aca="1" ref="G34" ca="1">INDIRECT("'"&amp;C34&amp;"'!"&amp;"D10")</f>
        <v>Y</v>
      </c>
      <c r="H34" t="str" cm="1">
        <f t="array" aca="1" ref="H34" ca="1">INDIRECT("'"&amp;C34&amp;"'!"&amp;"D11")</f>
        <v>한화솔루션(12)</v>
      </c>
      <c r="I34" cm="1">
        <f t="array" aca="1" ref="I34" ca="1">INDIRECT("'"&amp;C34&amp;"'!"&amp;"D12")</f>
        <v>2905130000</v>
      </c>
      <c r="J34" t="str" cm="1">
        <f t="array" aca="1" ref="J34" ca="1">INDIRECT("'"&amp;C34&amp;"'!"&amp;"D13")</f>
        <v>Net Import</v>
      </c>
    </row>
    <row r="35" spans="1:10">
      <c r="A35" t="s">
        <v>59</v>
      </c>
      <c r="B35" t="s">
        <v>83</v>
      </c>
      <c r="C35" t="s">
        <v>2412</v>
      </c>
      <c r="D35" s="29" t="s">
        <v>6</v>
      </c>
      <c r="E35" t="str" cm="1">
        <f t="array" aca="1" ref="E35" ca="1">INDIRECT("'"&amp;C35&amp;"'!"&amp;"D5")</f>
        <v>n-butanol과 acetic acid로 생산되는 acetate ester 용제; 도료·잉크·접착제에서 용해력과 증발속도 조절 기능을 제공하는 대표 coating solvent;</v>
      </c>
      <c r="F35" t="str" cm="1">
        <f t="array" aca="1" ref="F35" ca="1">INDIRECT("'"&amp;C35&amp;"'!"&amp;"D6")</f>
        <v>n-butanol을 acetic acid와 esterification하여 n-butyl acetate를 제조;.</v>
      </c>
      <c r="G35" t="str" cm="1">
        <f t="array" aca="1" ref="G35" ca="1">INDIRECT("'"&amp;C35&amp;"'!"&amp;"D10")</f>
        <v>Unknown</v>
      </c>
      <c r="H35" t="str" cm="1">
        <f t="array" aca="1" ref="H35" ca="1">INDIRECT("'"&amp;C35&amp;"'!"&amp;"D11")</f>
        <v>Unknown</v>
      </c>
      <c r="I35" t="str" cm="1">
        <f t="array" aca="1" ref="I35" ca="1">INDIRECT("'"&amp;C35&amp;"'!"&amp;"D12")</f>
        <v>Unknown</v>
      </c>
      <c r="J35" t="str" cm="1">
        <f t="array" aca="1" ref="J35" ca="1">INDIRECT("'"&amp;C35&amp;"'!"&amp;"D13")</f>
        <v>Unknown</v>
      </c>
    </row>
    <row r="36" spans="1:10">
      <c r="A36" t="s">
        <v>60</v>
      </c>
      <c r="B36" t="s">
        <v>80</v>
      </c>
      <c r="C36" t="s">
        <v>2413</v>
      </c>
      <c r="D36" s="29" t="s">
        <v>6</v>
      </c>
      <c r="E36" t="str" cm="1">
        <f t="array" aca="1" ref="E36" ca="1">INDIRECT("'"&amp;C36&amp;"'!"&amp;"D5")</f>
        <v>isobutyraldehyde를 Hydrogenation하여 생산되는 C4 Alcohol; Solvent 및 Acetate·Acrylate·Chemical Intermediate 용도로 사용;</v>
      </c>
      <c r="F36" t="str" cm="1">
        <f t="array" aca="1" ref="F36" ca="1">INDIRECT("'"&amp;C36&amp;"'!"&amp;"D6")</f>
        <v>isobutyraldehyde를 Hydrogenation하여 isobutanol을 제조;  상업 공정은 rhodium 또는 cobalt catalyst 기반 oxo process 중심;</v>
      </c>
      <c r="G36" t="str" cm="1">
        <f t="array" aca="1" ref="G36" ca="1">INDIRECT("'"&amp;C36&amp;"'!"&amp;"D10")</f>
        <v>Unknown</v>
      </c>
      <c r="H36" t="str" cm="1">
        <f t="array" aca="1" ref="H36" ca="1">INDIRECT("'"&amp;C36&amp;"'!"&amp;"D11")</f>
        <v>Unknown</v>
      </c>
      <c r="I36" t="str" cm="1">
        <f t="array" aca="1" ref="I36" ca="1">INDIRECT("'"&amp;C36&amp;"'!"&amp;"D12")</f>
        <v>Unknown</v>
      </c>
      <c r="J36" t="str" cm="1">
        <f t="array" aca="1" ref="J36" ca="1">INDIRECT("'"&amp;C36&amp;"'!"&amp;"D13")</f>
        <v>Unknown</v>
      </c>
    </row>
    <row r="37" spans="1:10">
      <c r="A37" t="s">
        <v>61</v>
      </c>
      <c r="B37" t="s">
        <v>84</v>
      </c>
      <c r="C37" t="s">
        <v>2414</v>
      </c>
      <c r="D37" s="29" t="s">
        <v>6</v>
      </c>
      <c r="E37" t="str" cm="1">
        <f t="array" aca="1" ref="E37" ca="1">INDIRECT("'"&amp;C37&amp;"'!"&amp;"D5")</f>
        <v>isobutanol 또는 isobutyraldehyde 유래 acetate ester 용제; 도료·잉크·접착제에서 빠른 건조성과 용해력을 제공하는 C4 acetate solvent;</v>
      </c>
      <c r="F37" t="str" cm="1">
        <f t="array" aca="1" ref="F37" ca="1">INDIRECT("'"&amp;C37&amp;"'!"&amp;"D6")</f>
        <v>isobutanol을 acetic acid와 esterification하여 isobutyl acetate를 제조;</v>
      </c>
      <c r="G37" t="str" cm="1">
        <f t="array" aca="1" ref="G37" ca="1">INDIRECT("'"&amp;C37&amp;"'!"&amp;"D10")</f>
        <v>Unknown</v>
      </c>
      <c r="H37" t="str" cm="1">
        <f t="array" aca="1" ref="H37" ca="1">INDIRECT("'"&amp;C37&amp;"'!"&amp;"D11")</f>
        <v>Unknown</v>
      </c>
      <c r="I37" t="str" cm="1">
        <f t="array" aca="1" ref="I37" ca="1">INDIRECT("'"&amp;C37&amp;"'!"&amp;"D12")</f>
        <v>Unknown</v>
      </c>
      <c r="J37" t="str" cm="1">
        <f t="array" aca="1" ref="J37" ca="1">INDIRECT("'"&amp;C37&amp;"'!"&amp;"D13")</f>
        <v>Unknown</v>
      </c>
    </row>
    <row r="38" spans="1:10">
      <c r="A38" t="s">
        <v>62</v>
      </c>
      <c r="B38" t="s">
        <v>121</v>
      </c>
      <c r="C38" t="s">
        <v>2415</v>
      </c>
      <c r="D38" s="29" t="s">
        <v>6</v>
      </c>
      <c r="E38" t="str" cm="1">
        <f t="array" aca="1" ref="E38" ca="1">INDIRECT("'"&amp;C38&amp;"'!"&amp;"D5")</f>
        <v>IPA(Isopropyl Alcohol)는 휘발성과 용해성이 우수한 알코올계 용제; 전자세정·의약·코팅·소독용 등에 널리 사용되는 무색 액체;</v>
      </c>
      <c r="F38" t="str" cm="1">
        <f t="array" aca="1" ref="F38" ca="1">INDIRECT("'"&amp;C38&amp;"'!"&amp;"D6")</f>
        <v>Propylene direct/indirect hydration(메인, 60%); Acetone Hydrogenation(보조, 40%)</v>
      </c>
      <c r="G38" t="str" cm="1">
        <f t="array" aca="1" ref="G38" ca="1">INDIRECT("'"&amp;C38&amp;"'!"&amp;"D10")</f>
        <v>Y</v>
      </c>
      <c r="H38" t="str" cm="1">
        <f t="array" aca="1" ref="H38" ca="1">INDIRECT("'"&amp;C38&amp;"'!"&amp;"D11")</f>
        <v>LG화학(205), 이수화학(60)</v>
      </c>
      <c r="I38" cm="1">
        <f t="array" aca="1" ref="I38" ca="1">INDIRECT("'"&amp;C38&amp;"'!"&amp;"D12")</f>
        <v>29051220</v>
      </c>
      <c r="J38" t="str" cm="1">
        <f t="array" aca="1" ref="J38" ca="1">INDIRECT("'"&amp;C38&amp;"'!"&amp;"D13")</f>
        <v>Unknown</v>
      </c>
    </row>
    <row r="39" spans="1:10">
      <c r="A39" t="s">
        <v>63</v>
      </c>
      <c r="B39" t="s">
        <v>85</v>
      </c>
      <c r="C39" t="s">
        <v>2416</v>
      </c>
      <c r="D39" s="29" t="s">
        <v>6</v>
      </c>
      <c r="E39" t="str" cm="1">
        <f t="array" aca="1" ref="E39" ca="1">INDIRECT("'"&amp;C39&amp;"'!"&amp;"D5")</f>
        <v>IPA와 acetic acid의 esterification으로 생산되는 acetate ester 용제; 도료·잉크·접착제에서 빠른 건조성과 용해력을 제공;</v>
      </c>
      <c r="F39" t="str" cm="1">
        <f t="array" aca="1" ref="F39" ca="1">INDIRECT("'"&amp;C39&amp;"'!"&amp;"D6")</f>
        <v>IPA를 acetic acid와 esterification;</v>
      </c>
      <c r="G39" t="str" cm="1">
        <f t="array" aca="1" ref="G39" ca="1">INDIRECT("'"&amp;C39&amp;"'!"&amp;"D10")</f>
        <v>Unknown</v>
      </c>
      <c r="H39" t="str" cm="1">
        <f t="array" aca="1" ref="H39" ca="1">INDIRECT("'"&amp;C39&amp;"'!"&amp;"D11")</f>
        <v>Unknown</v>
      </c>
      <c r="I39" t="str" cm="1">
        <f t="array" aca="1" ref="I39" ca="1">INDIRECT("'"&amp;C39&amp;"'!"&amp;"D12")</f>
        <v>Unknown</v>
      </c>
      <c r="J39" t="str" cm="1">
        <f t="array" aca="1" ref="J39" ca="1">INDIRECT("'"&amp;C39&amp;"'!"&amp;"D13")</f>
        <v>Unknown</v>
      </c>
    </row>
    <row r="40" spans="1:10">
      <c r="A40" t="s">
        <v>64</v>
      </c>
      <c r="B40" s="1" t="s">
        <v>19</v>
      </c>
      <c r="C40" t="s">
        <v>2417</v>
      </c>
      <c r="D40" s="32" t="s">
        <v>12</v>
      </c>
      <c r="E40" t="str" cm="1">
        <f t="array" aca="1" ref="E40" ca="1">INDIRECT("'"&amp;C40&amp;"'!"&amp;"D5")</f>
        <v>SC/FCC의 C4 Stream에서 추출되는 C4 Oleifn; 대표적인 Elastomer Chain 중간체;</v>
      </c>
      <c r="F40" t="str" cm="1">
        <f t="array" aca="1" ref="F40" ca="1">INDIRECT("'"&amp;C40&amp;"'!"&amp;"D6")</f>
        <v>C4 Stream에서 Extraction(메인); Butane Dehydrogenation 등On-purpose(보조)</v>
      </c>
      <c r="G40" t="str" cm="1">
        <f t="array" aca="1" ref="G40" ca="1">INDIRECT("'"&amp;C40&amp;"'!"&amp;"D10")</f>
        <v>Y</v>
      </c>
      <c r="H40" t="str" cm="1">
        <f t="array" aca="1" ref="H40" ca="1">INDIRECT("'"&amp;C40&amp;"'!"&amp;"D11")</f>
        <v>LG화학(506), 여천NCC(378), 롯데케미칼(350), 금호석유화학(237), HD현대케미칼(163), 한화토탈에너지스(150), 대한유화(146), SK지오센트릭(130), 롯데GS화학(130)</v>
      </c>
      <c r="I40" cm="1">
        <f t="array" aca="1" ref="I40" ca="1">INDIRECT("'"&amp;C40&amp;"'!"&amp;"D12")</f>
        <v>2901241000</v>
      </c>
      <c r="J40" t="str" cm="1">
        <f t="array" aca="1" ref="J40" ca="1">INDIRECT("'"&amp;C40&amp;"'!"&amp;"D13")</f>
        <v>Net Import</v>
      </c>
    </row>
    <row r="41" spans="1:10">
      <c r="A41" t="s">
        <v>65</v>
      </c>
      <c r="B41" s="1" t="s">
        <v>86</v>
      </c>
      <c r="C41" t="s">
        <v>2418</v>
      </c>
      <c r="D41" s="32" t="s">
        <v>12</v>
      </c>
      <c r="E41" t="str" cm="1">
        <f t="array" aca="1" ref="E41" ca="1">INDIRECT("'"&amp;C41&amp;"'!"&amp;"D5")</f>
        <v xml:space="preserve">Butadiene을 중합하여 생산되는 대표적인 합성고무; Nd-BR은 rolling resistance를 낮춰 green tire와 EV tire에 적합; </v>
      </c>
      <c r="F41" t="str" cm="1">
        <f t="array" aca="1" ref="F41" ca="1">INDIRECT("'"&amp;C41&amp;"'!"&amp;"D6")</f>
        <v>Solution Polymerization(메인)</v>
      </c>
      <c r="G41" t="str" cm="1">
        <f t="array" aca="1" ref="G41" ca="1">INDIRECT("'"&amp;C41&amp;"'!"&amp;"D10")</f>
        <v>Y</v>
      </c>
      <c r="H41" t="str" cm="1">
        <f t="array" aca="1" ref="H41" ca="1">INDIRECT("'"&amp;C41&amp;"'!"&amp;"D11")</f>
        <v>금호석유화학(275), LG화학(220)</v>
      </c>
      <c r="I41" t="str" cm="1">
        <f t="array" aca="1" ref="I41" ca="1">INDIRECT("'"&amp;C41&amp;"'!"&amp;"D12")</f>
        <v>Unknown</v>
      </c>
      <c r="J41" t="str" cm="1">
        <f t="array" aca="1" ref="J41" ca="1">INDIRECT("'"&amp;C41&amp;"'!"&amp;"D13")</f>
        <v>Unknown</v>
      </c>
    </row>
    <row r="42" spans="1:10">
      <c r="A42" t="s">
        <v>66</v>
      </c>
      <c r="B42" s="1" t="s">
        <v>87</v>
      </c>
      <c r="C42" t="s">
        <v>2419</v>
      </c>
      <c r="D42" s="32" t="s">
        <v>12</v>
      </c>
      <c r="E42" t="str" cm="1">
        <f t="array" aca="1" ref="E42" ca="1">INDIRECT("'"&amp;C42&amp;"'!"&amp;"D5")</f>
        <v>Styrene과 Butadiene을 공중합하여 생산되는 합성고무; S-SBR은 저연비·고성능 타이어 소재;</v>
      </c>
      <c r="F42" t="str" cm="1">
        <f t="array" aca="1" ref="F42" ca="1">INDIRECT("'"&amp;C42&amp;"'!"&amp;"D6")</f>
        <v>Emulsion Polymerizaiton(E-SBR); Solution Polyermization(S-SBR)</v>
      </c>
      <c r="G42" t="str" cm="1">
        <f t="array" aca="1" ref="G42" ca="1">INDIRECT("'"&amp;C42&amp;"'!"&amp;"D10")</f>
        <v>Y</v>
      </c>
      <c r="H42" t="str" cm="1">
        <f t="array" aca="1" ref="H42" ca="1">INDIRECT("'"&amp;C42&amp;"'!"&amp;"D11")</f>
        <v>금호석유화학(386), 롯데베르살리스엘라스토머스(100), LG화학(80)</v>
      </c>
      <c r="I42" cm="1">
        <f t="array" aca="1" ref="I42" ca="1">INDIRECT("'"&amp;C42&amp;"'!"&amp;"D12")</f>
        <v>3903901000</v>
      </c>
      <c r="J42" t="str" cm="1">
        <f t="array" aca="1" ref="J42" ca="1">INDIRECT("'"&amp;C42&amp;"'!"&amp;"D13")</f>
        <v>Net Export</v>
      </c>
    </row>
    <row r="43" spans="1:10">
      <c r="A43" t="s">
        <v>67</v>
      </c>
      <c r="B43" s="1" t="s">
        <v>20</v>
      </c>
      <c r="C43" t="s">
        <v>2420</v>
      </c>
      <c r="D43" s="32" t="s">
        <v>12</v>
      </c>
      <c r="E43" t="str" cm="1">
        <f t="array" aca="1" ref="E43" ca="1">INDIRECT("'"&amp;C43&amp;"'!"&amp;"D5")</f>
        <v>MTBE·고순도 이소부틸렌(HPIB)·폴리이소부틸렌·부틸고무 등의 핵심 원료로 사용;</v>
      </c>
      <c r="F43" t="str" cm="1">
        <f t="array" aca="1" ref="F43" ca="1">INDIRECT("'"&amp;C43&amp;"'!"&amp;"D6")</f>
        <v>주로 정유 FCC C4 스트림 및 스팀크래커 C4 부산물에서 회수(메인); 이소부탄 탈수소화(Oleflex, CATOFIN 등) 또는 TBA 탈수 공정을 통해 온퍼포즈 생산도 가능(보조)</v>
      </c>
      <c r="G43" t="str" cm="1">
        <f t="array" aca="1" ref="G43" ca="1">INDIRECT("'"&amp;C43&amp;"'!"&amp;"D10")</f>
        <v>Y</v>
      </c>
      <c r="H43" cm="1">
        <f t="array" aca="1" ref="H43" ca="1">INDIRECT("'"&amp;C43&amp;"'!"&amp;"D11")</f>
        <v>0</v>
      </c>
      <c r="I43" t="str" cm="1">
        <f t="array" aca="1" ref="I43" ca="1">INDIRECT("'"&amp;C43&amp;"'!"&amp;"D12")</f>
        <v>Unknown</v>
      </c>
      <c r="J43" t="str" cm="1">
        <f t="array" aca="1" ref="J43" ca="1">INDIRECT("'"&amp;C43&amp;"'!"&amp;"D13")</f>
        <v>Unknown</v>
      </c>
    </row>
    <row r="44" spans="1:10">
      <c r="A44" t="s">
        <v>68</v>
      </c>
      <c r="B44" s="1" t="s">
        <v>88</v>
      </c>
      <c r="C44" t="s">
        <v>2421</v>
      </c>
      <c r="D44" s="32" t="s">
        <v>12</v>
      </c>
      <c r="E44" t="str" cm="1">
        <f t="array" aca="1" ref="E44" ca="1">INDIRECT("'"&amp;C44&amp;"'!"&amp;"D5")</f>
        <v>우수한 기밀성·점착성·내수성·화학안정성을 바탕으로 윤활유 첨가제, 연료첨가제, 접착제, 실란트 및 고무 응용 분야에 사용;</v>
      </c>
      <c r="F44" t="str" cm="1">
        <f t="array" aca="1" ref="F44" ca="1">INDIRECT("'"&amp;C44&amp;"'!"&amp;"D6")</f>
        <v>이소부틸렌 또는 고순도 이소부틸렌(HPIB)을 양이온 중합(cationic polymerization)하여 생산; 분자량에 따라 저분자(HR-PIB), 중분자 및 고분자 PIB 제품으로 구분;</v>
      </c>
      <c r="G44" t="str" cm="1">
        <f t="array" aca="1" ref="G44" ca="1">INDIRECT("'"&amp;C44&amp;"'!"&amp;"D10")</f>
        <v>Y</v>
      </c>
      <c r="H44" t="str" cm="1">
        <f t="array" aca="1" ref="H44" ca="1">INDIRECT("'"&amp;C44&amp;"'!"&amp;"D11")</f>
        <v>DL케미칼(220)</v>
      </c>
      <c r="I44" cm="1">
        <f t="array" aca="1" ref="I44" ca="1">INDIRECT("'"&amp;C44&amp;"'!"&amp;"D12")</f>
        <v>3902200000</v>
      </c>
      <c r="J44" t="str" cm="1">
        <f t="array" aca="1" ref="J44" ca="1">INDIRECT("'"&amp;C44&amp;"'!"&amp;"D13")</f>
        <v>Net Export</v>
      </c>
    </row>
    <row r="45" spans="1:10">
      <c r="A45" t="s">
        <v>69</v>
      </c>
      <c r="B45" s="1" t="s">
        <v>91</v>
      </c>
      <c r="C45" t="s">
        <v>2422</v>
      </c>
      <c r="D45" s="32" t="s">
        <v>12</v>
      </c>
      <c r="E45" t="str" cm="1">
        <f t="array" aca="1" ref="E45" ca="1">INDIRECT("'"&amp;C45&amp;"'!"&amp;"D5")</f>
        <v>1-Butene을 중합해 생산하는 Polyolefin; 고온·고압에 적합하여 급탕/난방용 배관에 사용;</v>
      </c>
      <c r="F45" t="str" cm="1">
        <f t="array" aca="1" ref="F45" ca="1">INDIRECT("'"&amp;C45&amp;"'!"&amp;"D6")</f>
        <v>Catalyst Polymerizaiton (LyondellBasell 라이선스)</v>
      </c>
      <c r="G45" t="str" cm="1">
        <f t="array" aca="1" ref="G45" ca="1">INDIRECT("'"&amp;C45&amp;"'!"&amp;"D10")</f>
        <v>Y</v>
      </c>
      <c r="H45" t="str" cm="1">
        <f t="array" aca="1" ref="H45" ca="1">INDIRECT("'"&amp;C45&amp;"'!"&amp;"D11")</f>
        <v>TKG일렘(13)</v>
      </c>
      <c r="I45" t="str" cm="1">
        <f t="array" aca="1" ref="I45" ca="1">INDIRECT("'"&amp;C45&amp;"'!"&amp;"D12")</f>
        <v>Unknown</v>
      </c>
      <c r="J45" t="str" cm="1">
        <f t="array" aca="1" ref="J45" ca="1">INDIRECT("'"&amp;C45&amp;"'!"&amp;"D13")</f>
        <v>Unknown</v>
      </c>
    </row>
    <row r="46" spans="1:10">
      <c r="A46" t="s">
        <v>70</v>
      </c>
      <c r="B46" s="1" t="s">
        <v>89</v>
      </c>
      <c r="C46" t="s">
        <v>2423</v>
      </c>
      <c r="D46" s="32" t="s">
        <v>12</v>
      </c>
      <c r="E46" t="str" cm="1">
        <f t="array" aca="1" ref="E46" ca="1">INDIRECT("'"&amp;C46&amp;"'!"&amp;"D5")</f>
        <v>Isobutylene과 Methanol을 반응시켜 생산; 가솔린 블랜딩 Component로 사용;</v>
      </c>
      <c r="F46" t="str" cm="1">
        <f t="array" aca="1" ref="F46" ca="1">INDIRECT("'"&amp;C46&amp;"'!"&amp;"D6")</f>
        <v xml:space="preserve">Isobutylene과 Methanol을 산 촉매하에서 반응; </v>
      </c>
      <c r="G46" t="str" cm="1">
        <f t="array" aca="1" ref="G46" ca="1">INDIRECT("'"&amp;C46&amp;"'!"&amp;"D10")</f>
        <v>Y</v>
      </c>
      <c r="H46" t="str" cm="1">
        <f t="array" aca="1" ref="H46" ca="1">INDIRECT("'"&amp;C46&amp;"'!"&amp;"D11")</f>
        <v>S-OIL(460), LX MMA(275), LG화학(220), HD현대오일뱅크(200), SK지오센트릭(178), 여천NCC(170), GS칼텍스(150), 롯데케미칼(20)</v>
      </c>
      <c r="I46" cm="1">
        <f t="array" aca="1" ref="I46" ca="1">INDIRECT("'"&amp;C46&amp;"'!"&amp;"D12")</f>
        <v>2909192000</v>
      </c>
      <c r="J46" t="str" cm="1">
        <f t="array" aca="1" ref="J46" ca="1">INDIRECT("'"&amp;C46&amp;"'!"&amp;"D13")</f>
        <v>Mixed</v>
      </c>
    </row>
    <row r="47" spans="1:10">
      <c r="A47" t="s">
        <v>71</v>
      </c>
      <c r="B47" s="1" t="s">
        <v>90</v>
      </c>
      <c r="C47" t="s">
        <v>2424</v>
      </c>
      <c r="D47" s="32" t="s">
        <v>12</v>
      </c>
      <c r="E47" t="str" cm="1">
        <f t="array" aca="1" ref="E47" ca="1">INDIRECT("'"&amp;C47&amp;"'!"&amp;"D5")</f>
        <v>이소부틸렌과 소량의 이소프렌을 공중합한 합성고무; 매우 우수한 기체 차단성·내열노화성·내약품성을 보유하여 타이어 및 특수 고무제품에 사용;</v>
      </c>
      <c r="F47" t="str" cm="1">
        <f t="array" aca="1" ref="F47" ca="1">INDIRECT("'"&amp;C47&amp;"'!"&amp;"D6")</f>
        <v>고순도 이소부틸렌(HPIB)과 소량의 이소프렌을 저온 양이온 공중합하여 생산;</v>
      </c>
      <c r="G47" t="str" cm="1">
        <f t="array" aca="1" ref="G47" ca="1">INDIRECT("'"&amp;C47&amp;"'!"&amp;"D10")</f>
        <v>X</v>
      </c>
      <c r="H47" t="str" cm="1">
        <f t="array" aca="1" ref="H47" ca="1">INDIRECT("'"&amp;C47&amp;"'!"&amp;"D11")</f>
        <v>X</v>
      </c>
      <c r="I47" cm="1">
        <f t="array" aca="1" ref="I47" ca="1">INDIRECT("'"&amp;C47&amp;"'!"&amp;"D12")</f>
        <v>4002319000</v>
      </c>
      <c r="J47" t="str" cm="1">
        <f t="array" aca="1" ref="J47" ca="1">INDIRECT("'"&amp;C47&amp;"'!"&amp;"D13")</f>
        <v>Net Import</v>
      </c>
    </row>
    <row r="48" spans="1:10">
      <c r="A48" t="s">
        <v>72</v>
      </c>
      <c r="B48" s="1" t="s">
        <v>14</v>
      </c>
      <c r="C48" t="s">
        <v>2425</v>
      </c>
      <c r="D48" s="32" t="s">
        <v>12</v>
      </c>
      <c r="E48" t="str" cm="1">
        <f t="array" aca="1" ref="E48" ca="1">INDIRECT("'"&amp;C48&amp;"'!"&amp;"D5")</f>
        <v>폴리에틸렌 공단량체와 polybutene-1, 화학중간체 원료로 사용되는 기초 석유화학 제품;</v>
      </c>
      <c r="F48" t="str" cm="1">
        <f t="array" aca="1" ref="F48" ca="1">INDIRECT("'"&amp;C48&amp;"'!"&amp;"D6")</f>
        <v>주로 스팀크래커 및 FCC 유래 C4 유분의 raffinate 분리·정제를 통해 생산(메인); 에틸렌 기반 on-purpose 부텐-1 공정을 통해 제조(보조);</v>
      </c>
      <c r="G48" t="str" cm="1">
        <f t="array" aca="1" ref="G48" ca="1">INDIRECT("'"&amp;C48&amp;"'!"&amp;"D10")</f>
        <v>Y</v>
      </c>
      <c r="H48" t="str" cm="1">
        <f t="array" aca="1" ref="H48" ca="1">INDIRECT("'"&amp;C48&amp;"'!"&amp;"D11")</f>
        <v>여천NCC(65), SK지오센트릭(42), LG화학(40), 롯데케미칼(30), 대한유화(6)</v>
      </c>
      <c r="I48" t="str" cm="1">
        <f t="array" aca="1" ref="I48" ca="1">INDIRECT("'"&amp;C48&amp;"'!"&amp;"D12")</f>
        <v>Unknown</v>
      </c>
      <c r="J48" t="str" cm="1">
        <f t="array" aca="1" ref="J48" ca="1">INDIRECT("'"&amp;C48&amp;"'!"&amp;"D13")</f>
        <v>Unknown</v>
      </c>
    </row>
    <row r="49" spans="1:10">
      <c r="A49" t="s">
        <v>73</v>
      </c>
      <c r="B49" s="1" t="s">
        <v>8</v>
      </c>
      <c r="C49" t="s">
        <v>2426</v>
      </c>
      <c r="D49" s="34" t="s">
        <v>2306</v>
      </c>
      <c r="E49" t="str" cm="1">
        <f t="array" aca="1" ref="E49" ca="1">INDIRECT("'"&amp;C49&amp;"'!"&amp;"D5")</f>
        <v>BTX/aromatics chain의 핵심 기초유분으로 다양한 downstream value chain의 출발 물질; 직접 용도는 발암성 이슈로 제한적이며 대부분 중간체로 사용;</v>
      </c>
      <c r="F49" t="str" cm="1">
        <f t="array" aca="1" ref="F49" ca="1">INDIRECT("'"&amp;C49&amp;"'!"&amp;"D6")</f>
        <v>주로 catalytic reformate, pyrolysis gasoline, aromatics conversion(TDP/STDP/TA/HDA), coke-oven light oil에서 회수;</v>
      </c>
      <c r="G49" t="str" cm="1">
        <f t="array" aca="1" ref="G49" ca="1">INDIRECT("'"&amp;C49&amp;"'!"&amp;"D10")</f>
        <v>Y</v>
      </c>
      <c r="H49" t="str" cm="1">
        <f t="array" aca="1" ref="H49" ca="1">INDIRECT("'"&amp;C49&amp;"'!"&amp;"D11")</f>
        <v>한화토탈에너지스(1267), GS칼텍스(930), LG화학(900), S-OIL(672), SK지오센트릭(603), 울산아로마틱스(600), SK인천석유화학(600), 롯데케미칼(585), 여천NCC(457), HD현대케미칼(410), HD현대오일뱅크(338), 대한유화(210), OCI(200)</v>
      </c>
      <c r="I49" cm="1">
        <f t="array" aca="1" ref="I49" ca="1">INDIRECT("'"&amp;C49&amp;"'!"&amp;"D12")</f>
        <v>2902200000</v>
      </c>
      <c r="J49" t="str" cm="1">
        <f t="array" aca="1" ref="J49" ca="1">INDIRECT("'"&amp;C49&amp;"'!"&amp;"D13")</f>
        <v>Net Export</v>
      </c>
    </row>
    <row r="50" spans="1:10">
      <c r="A50" t="s">
        <v>92</v>
      </c>
      <c r="B50" s="1" t="s">
        <v>16</v>
      </c>
      <c r="C50" t="s">
        <v>2427</v>
      </c>
      <c r="D50" s="34" t="s">
        <v>2306</v>
      </c>
      <c r="E50" t="str" cm="1">
        <f t="array" aca="1" ref="E50" ca="1">INDIRECT("'"&amp;C50&amp;"'!"&amp;"D5")</f>
        <v>에틸벤젠(EB)은 벤젠과 에틸렌을 원료로 생산되는 방향족 화합물로, 전 세계 생산량의 대부분이 스티렌 모노머(SM) 제조 원료로 사용된다.</v>
      </c>
      <c r="F50" t="str" cm="1">
        <f t="array" aca="1" ref="F50" ca="1">INDIRECT("'"&amp;C50&amp;"'!"&amp;"D6")</f>
        <v>상업 생산의 99% 이상은 벤젠과 에틸렌의 Friedel-Crafts 알킬화 반응을 통해 제조된다. 액상 AlCl3 공정과 기상 제올라이트 공정이 사용되며, 최근 신설 설비는 대부분 제올라이트 기반 공정을 채택한다.</v>
      </c>
      <c r="G50" t="str" cm="1">
        <f t="array" aca="1" ref="G50" ca="1">INDIRECT("'"&amp;C50&amp;"'!"&amp;"D10")</f>
        <v>Y</v>
      </c>
      <c r="H50" t="str" cm="1">
        <f t="array" aca="1" ref="H50" ca="1">INDIRECT("'"&amp;C50&amp;"'!"&amp;"D11")</f>
        <v>한화토탈에너지스(1155), 롯데케미칼(673), SK picglobal(438),여천NCC(370)</v>
      </c>
      <c r="I50" cm="1">
        <f t="array" aca="1" ref="I50" ca="1">INDIRECT("'"&amp;C50&amp;"'!"&amp;"D12")</f>
        <v>2902600000</v>
      </c>
      <c r="J50" t="str" cm="1">
        <f t="array" aca="1" ref="J50" ca="1">INDIRECT("'"&amp;C50&amp;"'!"&amp;"D13")</f>
        <v>Balanced</v>
      </c>
    </row>
    <row r="51" spans="1:10">
      <c r="A51" t="s">
        <v>93</v>
      </c>
      <c r="B51" s="1" t="s">
        <v>18</v>
      </c>
      <c r="C51" t="s">
        <v>2428</v>
      </c>
      <c r="D51" s="34" t="s">
        <v>2306</v>
      </c>
      <c r="E51" t="str" cm="1">
        <f t="array" aca="1" ref="E51" ca="1">INDIRECT("'"&amp;C51&amp;"'!"&amp;"D5")</f>
        <v>Benzene과 에틸렌에서 유래한 ethylbenzene을 탈수소화해 생산하는 방향족 모노머; PS, EPS, ABS, UPR, SBR/SBL 등 styrenics·rubber·resin chain의 핵심 원료;</v>
      </c>
      <c r="F51" t="str" cm="1">
        <f t="array" aca="1" ref="F51" ca="1">INDIRECT("'"&amp;C51&amp;"'!"&amp;"D6")</f>
        <v>대부분 ethylbenzene dehydrogenation으로 생산(메인), 일부는 POSM 공정에서 propylene oxide와 병산(보조), pygas에서 styrene을 추출하는 STEX route(소규모)</v>
      </c>
      <c r="G51" t="str" cm="1">
        <f t="array" aca="1" ref="G51" ca="1">INDIRECT("'"&amp;C51&amp;"'!"&amp;"D10")</f>
        <v>Y</v>
      </c>
      <c r="H51" t="str" cm="1">
        <f t="array" aca="1" ref="H51" ca="1">INDIRECT("'"&amp;C51&amp;"'!"&amp;"D11")</f>
        <v>한화토탈에너지스(1071), 롯데케미칼(577), SK picglobal(400), 여천NCC(351)</v>
      </c>
      <c r="I51" cm="1">
        <f t="array" aca="1" ref="I51" ca="1">INDIRECT("'"&amp;C51&amp;"'!"&amp;"D12")</f>
        <v>2902500000</v>
      </c>
      <c r="J51" t="str" cm="1">
        <f t="array" aca="1" ref="J51" ca="1">INDIRECT("'"&amp;C51&amp;"'!"&amp;"D13")</f>
        <v>Net Import (Export → Import, 2023)</v>
      </c>
    </row>
    <row r="52" spans="1:10">
      <c r="A52" t="s">
        <v>97</v>
      </c>
      <c r="B52" s="1" t="s">
        <v>124</v>
      </c>
      <c r="C52" t="s">
        <v>2429</v>
      </c>
      <c r="D52" s="34" t="s">
        <v>2306</v>
      </c>
      <c r="E52" t="str" cm="1">
        <f t="array" aca="1" ref="E52" ca="1">INDIRECT("'"&amp;C52&amp;"'!"&amp;"D5")</f>
        <v>Styrene monomer를 중합해 생산하는 범용 thermoplastic resin; GPPS는 투명·강성, HIPS는 PBR 개질로 충격강도가 우수; 포장재, 가전·전자, 소비재, 건축용 XPS 등에 사용;</v>
      </c>
      <c r="F52" t="str" cm="1">
        <f t="array" aca="1" ref="F52" ca="1">INDIRECT("'"&amp;C52&amp;"'!"&amp;"D6")</f>
        <v>Styrene의 continuous mass/solution polymerization으로 생산; HIPS는 styrene에 polybutadiene rubber를 용해·graft/phase inversion시켜 충격강도를 부여;</v>
      </c>
      <c r="G52" t="str" cm="1">
        <f t="array" aca="1" ref="G52" ca="1">INDIRECT("'"&amp;C52&amp;"'!"&amp;"D10")</f>
        <v>Y</v>
      </c>
      <c r="H52" t="str" cm="1">
        <f t="array" aca="1" ref="H52" ca="1">INDIRECT("'"&amp;C52&amp;"'!"&amp;"D11")</f>
        <v>금호석유화학(345), 한국이네오스스티롤루션(266), HDC현대EP(228), SH에너지화학(100), LG화학(90), 한국바스프(85)</v>
      </c>
      <c r="I52" t="str" cm="1">
        <f t="array" aca="1" ref="I52" ca="1">INDIRECT("'"&amp;C52&amp;"'!"&amp;"D12")</f>
        <v>Unknown</v>
      </c>
      <c r="J52" t="str" cm="1">
        <f t="array" aca="1" ref="J52" ca="1">INDIRECT("'"&amp;C52&amp;"'!"&amp;"D13")</f>
        <v>Unknown</v>
      </c>
    </row>
    <row r="53" spans="1:10">
      <c r="A53" t="s">
        <v>98</v>
      </c>
      <c r="B53" s="1" t="s">
        <v>21</v>
      </c>
      <c r="C53" t="s">
        <v>2430</v>
      </c>
      <c r="D53" s="34" t="s">
        <v>2306</v>
      </c>
      <c r="E53" t="str" cm="1">
        <f t="array" aca="1" ref="E53" ca="1">INDIRECT("'"&amp;C53&amp;"'!"&amp;"D5")</f>
        <v>벤젠과 프로필렌으로 생산되는 방향족 중간체; 대부분 phenol과 acetone 제조에 소비;</v>
      </c>
      <c r="F53" t="str" cm="1">
        <f t="array" aca="1" ref="F53" ca="1">INDIRECT("'"&amp;C53&amp;"'!"&amp;"D6")</f>
        <v>Cumene은 benzene과 propylene의 alkylation으로 생산된다. 상업 공정은 과거 SPA 촉매 기반에서 zeolite 촉매 기반으로 전환되었으며, Badger/UOP/CDTech 등이 주요 기술로 언급된다.</v>
      </c>
      <c r="G53" t="str" cm="1">
        <f t="array" aca="1" ref="G53" ca="1">INDIRECT("'"&amp;C53&amp;"'!"&amp;"D10")</f>
        <v>Y</v>
      </c>
      <c r="H53" t="str" cm="1">
        <f t="array" aca="1" ref="H53" ca="1">INDIRECT("'"&amp;C53&amp;"'!"&amp;"D11")</f>
        <v>LG화학(900), 금호피앤비화학(900), 롯데GS화학(475)</v>
      </c>
      <c r="I53" cm="1">
        <f t="array" aca="1" ref="I53" ca="1">INDIRECT("'"&amp;C53&amp;"'!"&amp;"D12")</f>
        <v>2902700000</v>
      </c>
      <c r="J53" t="str" cm="1">
        <f t="array" aca="1" ref="J53" ca="1">INDIRECT("'"&amp;C53&amp;"'!"&amp;"D13")</f>
        <v>Net Export (Import → Export, 2020)</v>
      </c>
    </row>
    <row r="54" spans="1:10">
      <c r="A54" t="s">
        <v>99</v>
      </c>
      <c r="B54" s="1" t="s">
        <v>76</v>
      </c>
      <c r="C54" t="s">
        <v>2431</v>
      </c>
      <c r="D54" s="34" t="s">
        <v>2306</v>
      </c>
      <c r="E54" t="str" cm="1">
        <f t="array" aca="1" ref="E54" ca="1">INDIRECT("'"&amp;C54&amp;"'!"&amp;"D5")</f>
        <v>벤젠 유래 방향족 화합물; BPA·페놀수지·카프로락탐 등 다양한 화학제품 중간체;</v>
      </c>
      <c r="F54" t="str" cm="1">
        <f t="array" aca="1" ref="F54" ca="1">INDIRECT("'"&amp;C54&amp;"'!"&amp;"D6")</f>
        <v>상업 생산은 대부분 큐멘 공정 기반이며, 벤젠과 프로필렌으로 큐멘을 만든 뒤 산화·분해하여 페놀과 아세톤을 병산;</v>
      </c>
      <c r="G54" t="str" cm="1">
        <f t="array" aca="1" ref="G54" ca="1">INDIRECT("'"&amp;C54&amp;"'!"&amp;"D10")</f>
        <v>Y</v>
      </c>
      <c r="H54" t="str" cm="1">
        <f t="array" aca="1" ref="H54" ca="1">INDIRECT("'"&amp;C54&amp;"'!"&amp;"D11")</f>
        <v>LG화학(710), 금호피앤비화학(680)</v>
      </c>
      <c r="I54" cm="1">
        <f t="array" aca="1" ref="I54" ca="1">INDIRECT("'"&amp;C54&amp;"'!"&amp;"D12")</f>
        <v>2907110000</v>
      </c>
      <c r="J54" t="str" cm="1">
        <f t="array" aca="1" ref="J54" ca="1">INDIRECT("'"&amp;C54&amp;"'!"&amp;"D13")</f>
        <v>Net Export</v>
      </c>
    </row>
    <row r="55" spans="1:10">
      <c r="A55" t="s">
        <v>100</v>
      </c>
      <c r="B55" s="1" t="s">
        <v>77</v>
      </c>
      <c r="C55" t="s">
        <v>2432</v>
      </c>
      <c r="D55" s="34" t="s">
        <v>2306</v>
      </c>
      <c r="E55" t="str" cm="1">
        <f t="array" aca="1" ref="E55" ca="1">INDIRECT("'"&amp;C55&amp;"'!"&amp;"D5")</f>
        <v>무색·휘발성 케톤계 용제; 페놀 생산 시 병산되며 MMA·BPA·IPA 및 용제 시장에 사용되는 대량 기초화학 제품;</v>
      </c>
      <c r="F55" t="str" cm="1">
        <f t="array" aca="1" ref="F55" ca="1">INDIRECT("'"&amp;C55&amp;"'!"&amp;"D6")</f>
        <v>전 세계 생산의 97% 이상이 큐멘 공정에서 페놀과 함께 병산; 일부는 IPA 탈수소화 및 기타 비페놀 공정으로 생산;</v>
      </c>
      <c r="G55" t="str" cm="1">
        <f t="array" aca="1" ref="G55" ca="1">INDIRECT("'"&amp;C55&amp;"'!"&amp;"D10")</f>
        <v>Y</v>
      </c>
      <c r="H55" t="str" cm="1">
        <f t="array" aca="1" ref="H55" ca="1">INDIRECT("'"&amp;C55&amp;"'!"&amp;"D11")</f>
        <v>LG화학(435), 금호피앤비화학(420)</v>
      </c>
      <c r="I55" cm="1">
        <f t="array" aca="1" ref="I55" ca="1">INDIRECT("'"&amp;C55&amp;"'!"&amp;"D12")</f>
        <v>2914110000</v>
      </c>
      <c r="J55" t="str" cm="1">
        <f t="array" aca="1" ref="J55" ca="1">INDIRECT("'"&amp;C55&amp;"'!"&amp;"D13")</f>
        <v>Net Export</v>
      </c>
    </row>
    <row r="56" spans="1:10">
      <c r="A56" t="s">
        <v>101</v>
      </c>
      <c r="B56" s="1" t="s">
        <v>125</v>
      </c>
      <c r="C56" t="s">
        <v>2433</v>
      </c>
      <c r="D56" s="34" t="s">
        <v>2306</v>
      </c>
      <c r="E56" t="str" cm="1">
        <f t="array" aca="1" ref="E56" ca="1">INDIRECT("'"&amp;C56&amp;"'!"&amp;"D5")</f>
        <v>페놀과 아세톤으로 생산되는 백색 고체 중간체; 폴리카보네이트와 에폭시수지의 원료로 사용;</v>
      </c>
      <c r="F56" t="str" cm="1">
        <f t="array" aca="1" ref="F56" ca="1">INDIRECT("'"&amp;C56&amp;"'!"&amp;"D6")</f>
        <v>페놀과 아세톤을 산 촉매 또는 이온교환수지 촉매 하에서 축합 반응;</v>
      </c>
      <c r="G56" t="str" cm="1">
        <f t="array" aca="1" ref="G56" ca="1">INDIRECT("'"&amp;C56&amp;"'!"&amp;"D10")</f>
        <v>Y</v>
      </c>
      <c r="H56" t="str" cm="1">
        <f t="array" aca="1" ref="H56" ca="1">INDIRECT("'"&amp;C56&amp;"'!"&amp;"D11")</f>
        <v>LG화학(495), 금호피앤비화학(450), 삼양이노켐(180)</v>
      </c>
      <c r="I56" cm="1">
        <f t="array" aca="1" ref="I56" ca="1">INDIRECT("'"&amp;C56&amp;"'!"&amp;"D12")</f>
        <v>2907231000</v>
      </c>
      <c r="J56" t="str" cm="1">
        <f t="array" aca="1" ref="J56" ca="1">INDIRECT("'"&amp;C56&amp;"'!"&amp;"D13")</f>
        <v>Net Export</v>
      </c>
    </row>
    <row r="57" spans="1:10">
      <c r="A57" t="s">
        <v>102</v>
      </c>
      <c r="B57" s="1" t="s">
        <v>126</v>
      </c>
      <c r="C57" t="s">
        <v>2434</v>
      </c>
      <c r="D57" s="34" t="s">
        <v>2306</v>
      </c>
      <c r="E57" t="str" cm="1">
        <f t="array" aca="1" ref="E57" ca="1">INDIRECT("'"&amp;C57&amp;"'!"&amp;"D5")</f>
        <v>투명성·내충격성·내열성·전기절연성이 우수한 고성능 엔지니어링 플라스틱; 전자·자동차·건축·소비재에 폭넓게 사용;</v>
      </c>
      <c r="F57" t="str" cm="1">
        <f t="array" aca="1" ref="F57" ca="1">INDIRECT("'"&amp;C57&amp;"'!"&amp;"D6")</f>
        <v>BPA와 phosgene을 반응시키는 interfacial phosgenation 공정(메인); BPA와 diphenyl carbonate를 이용한 melt/non-phosgene 공정(보조);</v>
      </c>
      <c r="G57" t="str" cm="1">
        <f t="array" aca="1" ref="G57" ca="1">INDIRECT("'"&amp;C57&amp;"'!"&amp;"D10")</f>
        <v>Y</v>
      </c>
      <c r="H57" t="str" cm="1">
        <f t="array" aca="1" ref="H57" ca="1">INDIRECT("'"&amp;C57&amp;"'!"&amp;"D11")</f>
        <v>롯데케미칼(480), LG화학(170), 삼양화성(120)</v>
      </c>
      <c r="I57" cm="1">
        <f t="array" aca="1" ref="I57" ca="1">INDIRECT("'"&amp;C57&amp;"'!"&amp;"D12")</f>
        <v>3907400000</v>
      </c>
      <c r="J57" t="str" cm="1">
        <f t="array" aca="1" ref="J57" ca="1">INDIRECT("'"&amp;C57&amp;"'!"&amp;"D13")</f>
        <v>Net Export</v>
      </c>
    </row>
    <row r="58" spans="1:10">
      <c r="A58" t="s">
        <v>103</v>
      </c>
      <c r="B58" s="1" t="s">
        <v>96</v>
      </c>
      <c r="C58" t="s">
        <v>2435</v>
      </c>
      <c r="D58" s="34" t="s">
        <v>2306</v>
      </c>
      <c r="E58" t="str" cm="1">
        <f t="array" aca="1" ref="E58" ca="1">INDIRECT("'"&amp;C58&amp;"'!"&amp;"D5")</f>
        <v>BPA와 ECH(epichlorohydrin)를 기반으로 생산되는 대표 열경화성 수지; 우수한 접착성·내식성·전기절연성·기계적 강도를 바탕으로 코팅·전자재료·복합재·접착제 등에 사용;</v>
      </c>
      <c r="F58" t="str" cm="1">
        <f t="array" aca="1" ref="F58" ca="1">INDIRECT("'"&amp;C58&amp;"'!"&amp;"D6")</f>
        <v>BPA와 epichlorohydrin(ECH)을 반응시켜 DGEBPA(diglycidyl ether of bisphenol A) 기반 액상 에폭시를 제조; 이후 advancement/fusion 공정을 통해 고분자 solid epoxy 및 specialty epoxy로 전환;</v>
      </c>
      <c r="G58" t="str" cm="1">
        <f t="array" aca="1" ref="G58" ca="1">INDIRECT("'"&amp;C58&amp;"'!"&amp;"D10")</f>
        <v>Y</v>
      </c>
      <c r="H58" t="str" cm="1">
        <f t="array" aca="1" ref="H58" ca="1">INDIRECT("'"&amp;C58&amp;"'!"&amp;"D11")</f>
        <v>국도화학(530), 금호피앤비화학(338), 코오롱인더스트리(52)</v>
      </c>
      <c r="I58" t="str" cm="1">
        <f t="array" aca="1" ref="I58" ca="1">INDIRECT("'"&amp;C58&amp;"'!"&amp;"D12")</f>
        <v>Unknown</v>
      </c>
      <c r="J58" t="str" cm="1">
        <f t="array" aca="1" ref="J58" ca="1">INDIRECT("'"&amp;C58&amp;"'!"&amp;"D13")</f>
        <v>Unknown</v>
      </c>
    </row>
    <row r="59" spans="1:10">
      <c r="A59" t="s">
        <v>104</v>
      </c>
      <c r="B59" s="1" t="s">
        <v>95</v>
      </c>
      <c r="C59" t="s">
        <v>2436</v>
      </c>
      <c r="D59" s="34" t="s">
        <v>2306</v>
      </c>
      <c r="E59" t="str" cm="1">
        <f t="array" aca="1" ref="E59" ca="1">INDIRECT("'"&amp;C59&amp;"'!"&amp;"D5")</f>
        <v>벤젠 유래 고리형 탄화수소로, 주로 KA oil·cyclohexanone·adipic acid를 거쳐 나일론 6 및 나일론 66 체인에 사용되는 중간체;</v>
      </c>
      <c r="F59" t="str" cm="1">
        <f t="array" aca="1" ref="F59" ca="1">INDIRECT("'"&amp;C59&amp;"'!"&amp;"D6")</f>
        <v>벤젠의 직접 수소화로 고순도 cyclohexane을 생산(메인);벤젠 부분수소화로 cyclohexene을 만들 때 부산물로 생산(보조, 일본&amp;중국)</v>
      </c>
      <c r="G59" t="str" cm="1">
        <f t="array" aca="1" ref="G59" ca="1">INDIRECT("'"&amp;C59&amp;"'!"&amp;"D10")</f>
        <v>Y</v>
      </c>
      <c r="H59" t="str" cm="1">
        <f t="array" aca="1" ref="H59" ca="1">INDIRECT("'"&amp;C59&amp;"'!"&amp;"D11")</f>
        <v>카프로(190), SK지오센트릭(160)</v>
      </c>
      <c r="I59" cm="1">
        <f t="array" aca="1" ref="I59" ca="1">INDIRECT("'"&amp;C59&amp;"'!"&amp;"D12")</f>
        <v>2902110000</v>
      </c>
      <c r="J59" t="str" cm="1">
        <f t="array" aca="1" ref="J59" ca="1">INDIRECT("'"&amp;C59&amp;"'!"&amp;"D13")</f>
        <v>Net Import</v>
      </c>
    </row>
    <row r="60" spans="1:10">
      <c r="A60" t="s">
        <v>105</v>
      </c>
      <c r="B60" s="1" t="s">
        <v>94</v>
      </c>
      <c r="C60" t="s">
        <v>2437</v>
      </c>
      <c r="D60" s="34" t="s">
        <v>2306</v>
      </c>
      <c r="E60" t="str" cm="1">
        <f t="array" aca="1" ref="E60" ca="1">INDIRECT("'"&amp;C60&amp;"'!"&amp;"D5")</f>
        <v>아닐린(C₆H₅NH₂)은 무색의 유상 액체로, 주로 MDI(Methylene Diphenyl Diisocyanate) 생산용 핵심 원료이다. 전 세계 아닐린 수요의 약 85%가 MDI 제조에 사용되며, MDI는 폴리우레탄(PU) 폼 생산에 사용된다.</v>
      </c>
      <c r="F60" t="str" cm="1">
        <f t="array" aca="1" ref="F60" ca="1">INDIRECT("'"&amp;C60&amp;"'!"&amp;"D6")</f>
        <v>상업 생산의 대부분은 니트로벤젠(Nitrobenzene)의 수소화(Hydrogenation) 공정으로 제조된다. 구리·니켈·귀금속 촉매를 사용하며 수율은 99% 이상이다.</v>
      </c>
      <c r="G60" t="str" cm="1">
        <f t="array" aca="1" ref="G60" ca="1">INDIRECT("'"&amp;C60&amp;"'!"&amp;"D10")</f>
        <v>Y</v>
      </c>
      <c r="H60" t="str" cm="1">
        <f t="array" aca="1" ref="H60" ca="1">INDIRECT("'"&amp;C60&amp;"'!"&amp;"D11")</f>
        <v>금호미쓰이화학(320), 한국바스프(155)</v>
      </c>
      <c r="I60" cm="1">
        <f t="array" aca="1" ref="I60" ca="1">INDIRECT("'"&amp;C60&amp;"'!"&amp;"D12")</f>
        <v>2921411000</v>
      </c>
      <c r="J60" t="str" cm="1">
        <f t="array" aca="1" ref="J60" ca="1">INDIRECT("'"&amp;C60&amp;"'!"&amp;"D13")</f>
        <v>Net Import</v>
      </c>
    </row>
    <row r="61" spans="1:10">
      <c r="A61" t="s">
        <v>106</v>
      </c>
      <c r="B61" s="1" t="s">
        <v>115</v>
      </c>
      <c r="C61" t="s">
        <v>2438</v>
      </c>
      <c r="D61" s="34" t="s">
        <v>2306</v>
      </c>
      <c r="E61" t="str" cm="1">
        <f t="array" aca="1" ref="E61" ca="1">INDIRECT("'"&amp;C61&amp;"'!"&amp;"D5")</f>
        <v>벤젠에 C10–C13 선형 알킬기를 도입해 생산하는 세제용 방향족 중간체; 대부분 LAS 계면활성제 원료로 사용;</v>
      </c>
      <c r="F61" t="str" cm="1">
        <f t="array" aca="1" ref="F61" ca="1">INDIRECT("'"&amp;C61&amp;"'!"&amp;"D6")</f>
        <v>n-paraffin 유래 internal olefin 또는 linear alpha-olefin과 벤젠을 알킬화하여 생산; 상업 공정은 HF 촉매 공정과 고체 촉매 기반 Detal 공정이 대표적;</v>
      </c>
      <c r="G61" t="str" cm="1">
        <f t="array" aca="1" ref="G61" ca="1">INDIRECT("'"&amp;C61&amp;"'!"&amp;"D10")</f>
        <v>Y</v>
      </c>
      <c r="H61" t="str" cm="1">
        <f t="array" aca="1" ref="H61" ca="1">INDIRECT("'"&amp;C61&amp;"'!"&amp;"D11")</f>
        <v>이수화학(180)</v>
      </c>
      <c r="I61" t="str" cm="1">
        <f t="array" aca="1" ref="I61" ca="1">INDIRECT("'"&amp;C61&amp;"'!"&amp;"D12")</f>
        <v>Unknown</v>
      </c>
      <c r="J61" t="str" cm="1">
        <f t="array" aca="1" ref="J61" ca="1">INDIRECT("'"&amp;C61&amp;"'!"&amp;"D13")</f>
        <v>Unknown</v>
      </c>
    </row>
    <row r="62" spans="1:10">
      <c r="A62" t="s">
        <v>116</v>
      </c>
      <c r="B62" s="1" t="s">
        <v>114</v>
      </c>
      <c r="C62" t="s">
        <v>2439</v>
      </c>
      <c r="D62" s="34" t="s">
        <v>2306</v>
      </c>
      <c r="E62" t="e" cm="1">
        <f t="array" aca="1" ref="E62" ca="1">INDIRECT("'"&amp;C62&amp;"'!"&amp;"D5")</f>
        <v>#REF!</v>
      </c>
      <c r="F62" t="e" cm="1">
        <f t="array" aca="1" ref="F62" ca="1">INDIRECT("'"&amp;C62&amp;"'!"&amp;"D6")</f>
        <v>#REF!</v>
      </c>
      <c r="G62" t="e" cm="1">
        <f t="array" aca="1" ref="G62" ca="1">INDIRECT("'"&amp;C62&amp;"'!"&amp;"D10")</f>
        <v>#REF!</v>
      </c>
      <c r="H62" t="e" cm="1">
        <f t="array" aca="1" ref="H62" ca="1">INDIRECT("'"&amp;C62&amp;"'!"&amp;"D11")</f>
        <v>#REF!</v>
      </c>
      <c r="I62" t="e" cm="1">
        <f t="array" aca="1" ref="I62" ca="1">INDIRECT("'"&amp;C62&amp;"'!"&amp;"D12")</f>
        <v>#REF!</v>
      </c>
      <c r="J62" t="e" cm="1">
        <f t="array" aca="1" ref="J62" ca="1">INDIRECT("'"&amp;C62&amp;"'!"&amp;"D13")</f>
        <v>#REF!</v>
      </c>
    </row>
    <row r="63" spans="1:10">
      <c r="A63" t="s">
        <v>123</v>
      </c>
      <c r="B63" t="s">
        <v>117</v>
      </c>
      <c r="C63" t="s">
        <v>2440</v>
      </c>
      <c r="D63" s="33" t="s">
        <v>184</v>
      </c>
      <c r="E63" t="str" cm="1">
        <f t="array" aca="1" ref="E63" ca="1">INDIRECT("'"&amp;C63&amp;"'!"&amp;"D5")</f>
        <v>n-butane 또는 benzene 산화로 생산되는 C4계 산무수물; UPR·fumaric acid·malic acid·lubricating oil additives·copolymer 등 다양한 수지·첨가제 중간체로 사용;</v>
      </c>
      <c r="F63" t="str" cm="1">
        <f t="array" aca="1" ref="F63" ca="1">INDIRECT("'"&amp;C63&amp;"'!"&amp;"D6")</f>
        <v>n-butane의 촉매 기상 산화(메인); benzene 산화 공정(보조, 축소추세); phthalic anhydride 생산 부산물(보조)</v>
      </c>
      <c r="G63" t="str" cm="1">
        <f t="array" aca="1" ref="G63" ca="1">INDIRECT("'"&amp;C63&amp;"'!"&amp;"D10")</f>
        <v>Y</v>
      </c>
      <c r="H63" t="str" cm="1">
        <f t="array" aca="1" ref="H63" ca="1">INDIRECT("'"&amp;C63&amp;"'!"&amp;"D11")</f>
        <v>용산케미칼(38), 코리아피티지(30), 애경케미칼(8)</v>
      </c>
      <c r="I63" cm="1">
        <f t="array" aca="1" ref="I63" ca="1">INDIRECT("'"&amp;C63&amp;"'!"&amp;"D12")</f>
        <v>2917140000</v>
      </c>
      <c r="J63" t="str" cm="1">
        <f t="array" aca="1" ref="J63" ca="1">INDIRECT("'"&amp;C63&amp;"'!"&amp;"D13")</f>
        <v>Net Export</v>
      </c>
    </row>
    <row r="64" spans="1:10">
      <c r="A64" t="s">
        <v>129</v>
      </c>
      <c r="B64" t="s">
        <v>118</v>
      </c>
      <c r="C64" t="s">
        <v>2441</v>
      </c>
      <c r="D64" s="28" t="s">
        <v>118</v>
      </c>
      <c r="E64" t="e" cm="1">
        <f t="array" aca="1" ref="E64" ca="1">INDIRECT("'"&amp;C64&amp;"'!"&amp;"D5")</f>
        <v>#REF!</v>
      </c>
      <c r="F64" t="e" cm="1">
        <f t="array" aca="1" ref="F64" ca="1">INDIRECT("'"&amp;C64&amp;"'!"&amp;"D6")</f>
        <v>#REF!</v>
      </c>
      <c r="G64" t="e" cm="1">
        <f t="array" aca="1" ref="G64" ca="1">INDIRECT("'"&amp;C64&amp;"'!"&amp;"D10")</f>
        <v>#REF!</v>
      </c>
      <c r="H64" t="e" cm="1">
        <f t="array" aca="1" ref="H64" ca="1">INDIRECT("'"&amp;C64&amp;"'!"&amp;"D11")</f>
        <v>#REF!</v>
      </c>
      <c r="I64" t="e" cm="1">
        <f t="array" aca="1" ref="I64" ca="1">INDIRECT("'"&amp;C64&amp;"'!"&amp;"D12")</f>
        <v>#REF!</v>
      </c>
      <c r="J64" t="e" cm="1">
        <f t="array" aca="1" ref="J64" ca="1">INDIRECT("'"&amp;C64&amp;"'!"&amp;"D13")</f>
        <v>#REF!</v>
      </c>
    </row>
    <row r="65" spans="1:10">
      <c r="A65" t="s">
        <v>130</v>
      </c>
      <c r="B65" t="s">
        <v>122</v>
      </c>
      <c r="C65" t="s">
        <v>2442</v>
      </c>
      <c r="D65" s="28" t="s">
        <v>118</v>
      </c>
      <c r="E65" t="e" cm="1">
        <f t="array" aca="1" ref="E65" ca="1">INDIRECT("'"&amp;C65&amp;"'!"&amp;"D5")</f>
        <v>#REF!</v>
      </c>
      <c r="F65" t="e" cm="1">
        <f t="array" aca="1" ref="F65" ca="1">INDIRECT("'"&amp;C65&amp;"'!"&amp;"D6")</f>
        <v>#REF!</v>
      </c>
      <c r="G65" t="e" cm="1">
        <f t="array" aca="1" ref="G65" ca="1">INDIRECT("'"&amp;C65&amp;"'!"&amp;"D10")</f>
        <v>#REF!</v>
      </c>
      <c r="H65" t="e" cm="1">
        <f t="array" aca="1" ref="H65" ca="1">INDIRECT("'"&amp;C65&amp;"'!"&amp;"D11")</f>
        <v>#REF!</v>
      </c>
      <c r="I65" t="e" cm="1">
        <f t="array" aca="1" ref="I65" ca="1">INDIRECT("'"&amp;C65&amp;"'!"&amp;"D12")</f>
        <v>#REF!</v>
      </c>
      <c r="J65" t="e" cm="1">
        <f t="array" aca="1" ref="J65" ca="1">INDIRECT("'"&amp;C65&amp;"'!"&amp;"D13")</f>
        <v>#REF!</v>
      </c>
    </row>
    <row r="66" spans="1:10">
      <c r="A66" t="s">
        <v>131</v>
      </c>
      <c r="B66" t="s">
        <v>132</v>
      </c>
      <c r="C66" t="s">
        <v>2443</v>
      </c>
      <c r="D66" s="34" t="s">
        <v>2306</v>
      </c>
      <c r="E66" t="str" cm="1">
        <f t="array" aca="1" ref="E66" ca="1">INDIRECT("'"&amp;C66&amp;"'!"&amp;"D5")</f>
        <v>톨루엔은 정유·스팀크래커의 BTX stream에서 주로 회수되는 대량 방향족 제품; gasoline blending, benzene/xylene 전환, TDI, benzoic acid, solvent 등에 사용;</v>
      </c>
      <c r="F66" t="str" cm="1">
        <f t="array" aca="1" ref="F66" ca="1">INDIRECT("'"&amp;C66&amp;"'!"&amp;"D6")</f>
        <v>주로 refinery catalytic reformate와 steam cracker pyrolysis gasoline에서 BTX를 추출·분리하여 생산(메인); coke-oven light oil 및 styrene 제조 부산물로 생산(보조)</v>
      </c>
      <c r="G66" t="str" cm="1">
        <f t="array" aca="1" ref="G66" ca="1">INDIRECT("'"&amp;C66&amp;"'!"&amp;"D10")</f>
        <v>Y</v>
      </c>
      <c r="H66" t="str" cm="1">
        <f t="array" aca="1" ref="H66" ca="1">INDIRECT("'"&amp;C66&amp;"'!"&amp;"D11")</f>
        <v>SK지오센트릭(1506), S-OIL(300), 여천NCC(282), GS칼텍스(170), 롯데케미칼(232), LG화학(210), 대한유화(78), OCI(40)</v>
      </c>
      <c r="I66" cm="1">
        <f t="array" aca="1" ref="I66" ca="1">INDIRECT("'"&amp;C66&amp;"'!"&amp;"D12")</f>
        <v>2902300000</v>
      </c>
      <c r="J66" t="str" cm="1">
        <f t="array" aca="1" ref="J66" ca="1">INDIRECT("'"&amp;C66&amp;"'!"&amp;"D13")</f>
        <v>Mixed</v>
      </c>
    </row>
    <row r="67" spans="1:10">
      <c r="A67" t="s">
        <v>133</v>
      </c>
      <c r="B67" t="s">
        <v>134</v>
      </c>
      <c r="C67" t="s">
        <v>2444</v>
      </c>
      <c r="D67" s="34" t="s">
        <v>2306</v>
      </c>
      <c r="E67" t="str" cm="1">
        <f t="array" aca="1" ref="E67" ca="1">INDIRECT("'"&amp;C67&amp;"'!"&amp;"D5")</f>
        <v>벤젠 고리에 두 개의 메틸기가 결합된 방향족 탄화수소 혼합물; PX·OX 생산 및 용제 용도로 사용;</v>
      </c>
      <c r="F67" t="str" cm="1">
        <f t="array" aca="1" ref="F67" ca="1">INDIRECT("'"&amp;C67&amp;"'!"&amp;"D6")</f>
        <v>납사 개질(reforming) 공정에서 생성된 reformate로부터 추출; 분리·이성화·흡착 공정을 통해 paraxylene, orthoxylene 등을 생산;</v>
      </c>
      <c r="G67" t="str" cm="1">
        <f t="array" aca="1" ref="G67" ca="1">INDIRECT("'"&amp;C67&amp;"'!"&amp;"D10")</f>
        <v>Y</v>
      </c>
      <c r="H67" t="str" cm="1">
        <f t="array" aca="1" ref="H67" ca="1">INDIRECT("'"&amp;C67&amp;"'!"&amp;"D11")</f>
        <v>HD현대케미칼(1350), SK지오센트릭(894), S-OIL(450), GS칼텍스(350), 여천NCC(204), 롯데케미칼(139), LG화학(60), 대한유화(47)</v>
      </c>
      <c r="I67" cm="1">
        <f t="array" aca="1" ref="I67" ca="1">INDIRECT("'"&amp;C67&amp;"'!"&amp;"D12")</f>
        <v>2902440000</v>
      </c>
      <c r="J67" t="str" cm="1">
        <f t="array" aca="1" ref="J67" ca="1">INDIRECT("'"&amp;C67&amp;"'!"&amp;"D13")</f>
        <v>Mixed</v>
      </c>
    </row>
    <row r="68" spans="1:10">
      <c r="A68" t="s">
        <v>135</v>
      </c>
      <c r="B68" t="s">
        <v>136</v>
      </c>
      <c r="C68" t="s">
        <v>2445</v>
      </c>
      <c r="D68" s="34" t="s">
        <v>2306</v>
      </c>
      <c r="E68" t="str" cm="1">
        <f t="array" aca="1" ref="E68" ca="1">INDIRECT("'"&amp;C68&amp;"'!"&amp;"D5")</f>
        <v>무수프탈산 계열의 방향족 화학제품; 주로 가소제·불포화폴리에스터수지·도료 원료로 사용;</v>
      </c>
      <c r="F68" t="str" cm="1">
        <f t="array" aca="1" ref="F68" ca="1">INDIRECT("'"&amp;C68&amp;"'!"&amp;"D6")</f>
        <v>o-xylene 또는 naphthalene의 기상 산화 반응을 통해 생산; 바나듐계 촉매 기반 고정층 반응 공정;</v>
      </c>
      <c r="G68" t="str" cm="1">
        <f t="array" aca="1" ref="G68" ca="1">INDIRECT("'"&amp;C68&amp;"'!"&amp;"D10")</f>
        <v>Y</v>
      </c>
      <c r="H68" t="str" cm="1">
        <f t="array" aca="1" ref="H68" ca="1">INDIRECT("'"&amp;C68&amp;"'!"&amp;"D11")</f>
        <v>한화임팩트(1300), 태광산업(1000), 롯데케미칼(840), 효성화학(420), 애경케미칼(210), SK케미칼(160), OCI(60)</v>
      </c>
      <c r="I68" cm="1">
        <f t="array" aca="1" ref="I68" ca="1">INDIRECT("'"&amp;C68&amp;"'!"&amp;"D12")</f>
        <v>2917350000</v>
      </c>
      <c r="J68" t="str" cm="1">
        <f t="array" aca="1" ref="J68" ca="1">INDIRECT("'"&amp;C68&amp;"'!"&amp;"D13")</f>
        <v>Net Export</v>
      </c>
    </row>
    <row r="69" spans="1:10">
      <c r="A69" t="s">
        <v>140</v>
      </c>
      <c r="B69" t="s">
        <v>141</v>
      </c>
      <c r="C69" t="s">
        <v>2915</v>
      </c>
      <c r="D69" s="34" t="s">
        <v>2306</v>
      </c>
      <c r="E69" t="str" cm="1">
        <f t="array" aca="1" ref="E69" ca="1">INDIRECT("'"&amp;C69&amp;"'!"&amp;"D5")</f>
        <v>Polyamide 6(PA6) 생산에 사용되는 핵심 중간체로, 대부분 cyclohexane/cyclohexene 기반 공정을 통해 생산;</v>
      </c>
      <c r="F69" t="str" cm="1">
        <f t="array" aca="1" ref="F69" ca="1">INDIRECT("'"&amp;C69&amp;"'!"&amp;"D6")</f>
        <v>Cyclohexanone oxime을 Beckmann rearrangement하여 caprolactam을 생산;</v>
      </c>
      <c r="G69" t="str" cm="1">
        <f t="array" aca="1" ref="G69" ca="1">INDIRECT("'"&amp;C69&amp;"'!"&amp;"D10")</f>
        <v>Y</v>
      </c>
      <c r="H69" t="str" cm="1">
        <f t="array" aca="1" ref="H69" ca="1">INDIRECT("'"&amp;C69&amp;"'!"&amp;"D11")</f>
        <v>카프로(270)</v>
      </c>
      <c r="I69" cm="1">
        <f t="array" aca="1" ref="I69" ca="1">INDIRECT("'"&amp;C69&amp;"'!"&amp;"D12")</f>
        <v>2933710000</v>
      </c>
      <c r="J69" t="str" cm="1">
        <f t="array" aca="1" ref="J69" ca="1">INDIRECT("'"&amp;C69&amp;"'!"&amp;"D13")</f>
        <v>Net Import(Export → Import, 2023)</v>
      </c>
    </row>
    <row r="70" spans="1:10">
      <c r="A70" t="s">
        <v>142</v>
      </c>
      <c r="B70" t="s">
        <v>145</v>
      </c>
      <c r="C70" t="s">
        <v>2447</v>
      </c>
      <c r="D70" s="27" t="s">
        <v>147</v>
      </c>
      <c r="E70" t="str" cm="1">
        <f t="array" aca="1" ref="E70" ca="1">INDIRECT("'"&amp;C70&amp;"'!"&amp;"D5")</f>
        <v>LAO는 에틸렌 올리고머화로 생산되는 선형 알파올레핀 계열 제품군; PE 공단량체·PAO·계면활성제·세제알코올 등의 핵심 원료;</v>
      </c>
      <c r="F70" t="str" cm="1">
        <f t="array" aca="1" ref="F70" ca="1">INDIRECT("'"&amp;C70&amp;"'!"&amp;"D6")</f>
        <v>주로 에틸렌 올리고머화(Ziegler, SHOP 등) 공정을 통해 C4~C30+ 범위의 선형 알파올레핀을 생산;</v>
      </c>
      <c r="G70" t="str" cm="1">
        <f t="array" aca="1" ref="G70" ca="1">INDIRECT("'"&amp;C70&amp;"'!"&amp;"D10")</f>
        <v>X</v>
      </c>
      <c r="H70" t="str" cm="1">
        <f t="array" aca="1" ref="H70" ca="1">INDIRECT("'"&amp;C70&amp;"'!"&amp;"D11")</f>
        <v>X</v>
      </c>
      <c r="I70" t="str" cm="1">
        <f t="array" aca="1" ref="I70" ca="1">INDIRECT("'"&amp;C70&amp;"'!"&amp;"D12")</f>
        <v>Unknown</v>
      </c>
      <c r="J70" t="str" cm="1">
        <f t="array" aca="1" ref="J70" ca="1">INDIRECT("'"&amp;C70&amp;"'!"&amp;"D13")</f>
        <v>Unknown</v>
      </c>
    </row>
    <row r="71" spans="1:10">
      <c r="A71" t="s">
        <v>143</v>
      </c>
      <c r="B71" t="s">
        <v>146</v>
      </c>
      <c r="C71" t="s">
        <v>2448</v>
      </c>
      <c r="D71" s="27" t="s">
        <v>147</v>
      </c>
      <c r="E71" t="str" cm="1">
        <f t="array" aca="1" ref="E71" ca="1">INDIRECT("'"&amp;C71&amp;"'!"&amp;"D5")</f>
        <v>1-Hexene은 C6 선형 알파올레핀으로 주로 고성능 폴리에틸렌용 공단량체로 사용되는 핵심 LAO 제품;</v>
      </c>
      <c r="F71" t="str" cm="1">
        <f t="array" aca="1" ref="F71" ca="1">INDIRECT("'"&amp;C71&amp;"'!"&amp;"D6")</f>
        <v>에틸렌 올리고머화 또는 선택적 on-purpose hexene 공정을 통해 생산; 최근에는 PE 공단량체 수요 대응을 위한 전용 설비 증설이 확대;</v>
      </c>
      <c r="G71" t="str" cm="1">
        <f t="array" aca="1" ref="G71" ca="1">INDIRECT("'"&amp;C71&amp;"'!"&amp;"D10")</f>
        <v>X</v>
      </c>
      <c r="H71" t="str" cm="1">
        <f t="array" aca="1" ref="H71" ca="1">INDIRECT("'"&amp;C71&amp;"'!"&amp;"D11")</f>
        <v>X</v>
      </c>
      <c r="I71" t="str" cm="1">
        <f t="array" aca="1" ref="I71" ca="1">INDIRECT("'"&amp;C71&amp;"'!"&amp;"D12")</f>
        <v>Unknown</v>
      </c>
      <c r="J71" t="str" cm="1">
        <f t="array" aca="1" ref="J71" ca="1">INDIRECT("'"&amp;C71&amp;"'!"&amp;"D13")</f>
        <v>Unknown</v>
      </c>
    </row>
    <row r="72" spans="1:10">
      <c r="A72" t="s">
        <v>144</v>
      </c>
      <c r="B72" t="s">
        <v>148</v>
      </c>
      <c r="C72" t="s">
        <v>2449</v>
      </c>
      <c r="D72" s="27" t="s">
        <v>147</v>
      </c>
      <c r="E72" t="str" cm="1">
        <f t="array" aca="1" ref="E72" ca="1">INDIRECT("'"&amp;C72&amp;"'!"&amp;"D5")</f>
        <v>PAO는 선형 알파올레핀을 올리고머화하여 제조하는 고성능 합성윤활유 기유(Group IV); 자동차·산업용 윤활유의 핵심 소재;</v>
      </c>
      <c r="F72" t="str" cm="1">
        <f t="array" aca="1" ref="F72" ca="1">INDIRECT("'"&amp;C72&amp;"'!"&amp;"D6")</f>
        <v>Decene-1 중심의 LAO를 BF3 촉매로 올리고머화한 후 수소첨가하여 제조(메인); 일부 제품은 Octene·Dodecene 기반 또는 메탈로센 기반 mPAO 기술을 사용(보조);</v>
      </c>
      <c r="G72" t="str" cm="1">
        <f t="array" aca="1" ref="G72" ca="1">INDIRECT("'"&amp;C72&amp;"'!"&amp;"D10")</f>
        <v>X</v>
      </c>
      <c r="H72" t="str" cm="1">
        <f t="array" aca="1" ref="H72" ca="1">INDIRECT("'"&amp;C72&amp;"'!"&amp;"D11")</f>
        <v>X</v>
      </c>
      <c r="I72" t="str" cm="1">
        <f t="array" aca="1" ref="I72" ca="1">INDIRECT("'"&amp;C72&amp;"'!"&amp;"D12")</f>
        <v>Unknown</v>
      </c>
      <c r="J72" t="str" cm="1">
        <f t="array" aca="1" ref="J72" ca="1">INDIRECT("'"&amp;C72&amp;"'!"&amp;"D13")</f>
        <v>Unknown</v>
      </c>
    </row>
    <row r="73" spans="1:10">
      <c r="A73" t="s">
        <v>149</v>
      </c>
      <c r="B73" t="s">
        <v>151</v>
      </c>
      <c r="C73" t="s">
        <v>2450</v>
      </c>
      <c r="D73" s="28" t="s">
        <v>118</v>
      </c>
      <c r="E73" t="e" cm="1">
        <f t="array" aca="1" ref="E73" ca="1">INDIRECT("'"&amp;C73&amp;"'!"&amp;"D5")</f>
        <v>#REF!</v>
      </c>
      <c r="F73" t="e" cm="1">
        <f t="array" aca="1" ref="F73" ca="1">INDIRECT("'"&amp;C73&amp;"'!"&amp;"D6")</f>
        <v>#REF!</v>
      </c>
      <c r="G73" t="e" cm="1">
        <f t="array" aca="1" ref="G73" ca="1">INDIRECT("'"&amp;C73&amp;"'!"&amp;"D10")</f>
        <v>#REF!</v>
      </c>
      <c r="H73" t="e" cm="1">
        <f t="array" aca="1" ref="H73" ca="1">INDIRECT("'"&amp;C73&amp;"'!"&amp;"D11")</f>
        <v>#REF!</v>
      </c>
      <c r="I73" t="e" cm="1">
        <f t="array" aca="1" ref="I73" ca="1">INDIRECT("'"&amp;C73&amp;"'!"&amp;"D12")</f>
        <v>#REF!</v>
      </c>
      <c r="J73" t="e" cm="1">
        <f t="array" aca="1" ref="J73" ca="1">INDIRECT("'"&amp;C73&amp;"'!"&amp;"D13")</f>
        <v>#REF!</v>
      </c>
    </row>
    <row r="74" spans="1:10">
      <c r="A74" t="s">
        <v>150</v>
      </c>
      <c r="B74" t="s">
        <v>152</v>
      </c>
      <c r="C74" t="s">
        <v>2451</v>
      </c>
      <c r="D74" s="28" t="s">
        <v>118</v>
      </c>
      <c r="E74" t="e" cm="1">
        <f t="array" aca="1" ref="E74" ca="1">INDIRECT("'"&amp;C74&amp;"'!"&amp;"D5")</f>
        <v>#REF!</v>
      </c>
      <c r="F74" t="e" cm="1">
        <f t="array" aca="1" ref="F74" ca="1">INDIRECT("'"&amp;C74&amp;"'!"&amp;"D6")</f>
        <v>#REF!</v>
      </c>
      <c r="G74" t="e" cm="1">
        <f t="array" aca="1" ref="G74" ca="1">INDIRECT("'"&amp;C74&amp;"'!"&amp;"D10")</f>
        <v>#REF!</v>
      </c>
      <c r="H74" t="e" cm="1">
        <f t="array" aca="1" ref="H74" ca="1">INDIRECT("'"&amp;C74&amp;"'!"&amp;"D11")</f>
        <v>#REF!</v>
      </c>
      <c r="I74" t="e" cm="1">
        <f t="array" aca="1" ref="I74" ca="1">INDIRECT("'"&amp;C74&amp;"'!"&amp;"D12")</f>
        <v>#REF!</v>
      </c>
      <c r="J74" t="e" cm="1">
        <f t="array" aca="1" ref="J74" ca="1">INDIRECT("'"&amp;C74&amp;"'!"&amp;"D13")</f>
        <v>#REF!</v>
      </c>
    </row>
    <row r="75" spans="1:10">
      <c r="A75" t="s">
        <v>153</v>
      </c>
      <c r="B75" t="s">
        <v>154</v>
      </c>
      <c r="C75" t="s">
        <v>2452</v>
      </c>
      <c r="D75" s="28" t="s">
        <v>118</v>
      </c>
      <c r="E75" t="e" cm="1">
        <f t="array" aca="1" ref="E75" ca="1">INDIRECT("'"&amp;C75&amp;"'!"&amp;"D5")</f>
        <v>#REF!</v>
      </c>
      <c r="F75" t="e" cm="1">
        <f t="array" aca="1" ref="F75" ca="1">INDIRECT("'"&amp;C75&amp;"'!"&amp;"D6")</f>
        <v>#REF!</v>
      </c>
      <c r="G75" t="e" cm="1">
        <f t="array" aca="1" ref="G75" ca="1">INDIRECT("'"&amp;C75&amp;"'!"&amp;"D10")</f>
        <v>#REF!</v>
      </c>
      <c r="H75" t="e" cm="1">
        <f t="array" aca="1" ref="H75" ca="1">INDIRECT("'"&amp;C75&amp;"'!"&amp;"D11")</f>
        <v>#REF!</v>
      </c>
      <c r="I75" t="e" cm="1">
        <f t="array" aca="1" ref="I75" ca="1">INDIRECT("'"&amp;C75&amp;"'!"&amp;"D12")</f>
        <v>#REF!</v>
      </c>
      <c r="J75" t="e" cm="1">
        <f t="array" aca="1" ref="J75" ca="1">INDIRECT("'"&amp;C75&amp;"'!"&amp;"D13")</f>
        <v>#REF!</v>
      </c>
    </row>
    <row r="76" spans="1:10">
      <c r="A76" t="s">
        <v>155</v>
      </c>
      <c r="B76" t="s">
        <v>157</v>
      </c>
      <c r="C76" t="s">
        <v>2453</v>
      </c>
      <c r="D76" s="27" t="s">
        <v>147</v>
      </c>
      <c r="E76" t="e" cm="1">
        <f t="array" aca="1" ref="E76" ca="1">INDIRECT("'"&amp;C76&amp;"'!"&amp;"D5")</f>
        <v>#REF!</v>
      </c>
      <c r="F76" t="e" cm="1">
        <f t="array" aca="1" ref="F76" ca="1">INDIRECT("'"&amp;C76&amp;"'!"&amp;"D6")</f>
        <v>#REF!</v>
      </c>
      <c r="G76" t="e" cm="1">
        <f t="array" aca="1" ref="G76" ca="1">INDIRECT("'"&amp;C76&amp;"'!"&amp;"D10")</f>
        <v>#REF!</v>
      </c>
      <c r="H76" t="e" cm="1">
        <f t="array" aca="1" ref="H76" ca="1">INDIRECT("'"&amp;C76&amp;"'!"&amp;"D11")</f>
        <v>#REF!</v>
      </c>
      <c r="I76" t="e" cm="1">
        <f t="array" aca="1" ref="I76" ca="1">INDIRECT("'"&amp;C76&amp;"'!"&amp;"D12")</f>
        <v>#REF!</v>
      </c>
      <c r="J76" t="e" cm="1">
        <f t="array" aca="1" ref="J76" ca="1">INDIRECT("'"&amp;C76&amp;"'!"&amp;"D13")</f>
        <v>#REF!</v>
      </c>
    </row>
    <row r="77" spans="1:10">
      <c r="A77" t="s">
        <v>156</v>
      </c>
      <c r="B77" t="s">
        <v>158</v>
      </c>
      <c r="C77" t="s">
        <v>2454</v>
      </c>
      <c r="D77" s="27" t="s">
        <v>147</v>
      </c>
      <c r="E77" t="e" cm="1">
        <f t="array" aca="1" ref="E77" ca="1">INDIRECT("'"&amp;C77&amp;"'!"&amp;"D5")</f>
        <v>#REF!</v>
      </c>
      <c r="F77" t="e" cm="1">
        <f t="array" aca="1" ref="F77" ca="1">INDIRECT("'"&amp;C77&amp;"'!"&amp;"D6")</f>
        <v>#REF!</v>
      </c>
      <c r="G77" t="e" cm="1">
        <f t="array" aca="1" ref="G77" ca="1">INDIRECT("'"&amp;C77&amp;"'!"&amp;"D10")</f>
        <v>#REF!</v>
      </c>
      <c r="H77" t="e" cm="1">
        <f t="array" aca="1" ref="H77" ca="1">INDIRECT("'"&amp;C77&amp;"'!"&amp;"D11")</f>
        <v>#REF!</v>
      </c>
      <c r="I77" t="e" cm="1">
        <f t="array" aca="1" ref="I77" ca="1">INDIRECT("'"&amp;C77&amp;"'!"&amp;"D12")</f>
        <v>#REF!</v>
      </c>
      <c r="J77" t="e" cm="1">
        <f t="array" aca="1" ref="J77" ca="1">INDIRECT("'"&amp;C77&amp;"'!"&amp;"D13")</f>
        <v>#REF!</v>
      </c>
    </row>
    <row r="78" spans="1:10">
      <c r="A78" t="s">
        <v>159</v>
      </c>
      <c r="B78" t="s">
        <v>2556</v>
      </c>
      <c r="C78" t="s">
        <v>2557</v>
      </c>
      <c r="D78" s="27" t="s">
        <v>147</v>
      </c>
      <c r="E78" t="str" cm="1">
        <f t="array" aca="1" ref="E78" ca="1">INDIRECT("'"&amp;C78&amp;"'!"&amp;"D5")</f>
        <v>VAM 유래 PVAc를 가수분해해 생산되는 수용성 고분자; 접착·필름형성·보호콜로이드 기능을 기반으로 다양한 산업에 사용;</v>
      </c>
      <c r="F78" t="str" cm="1">
        <f t="array" aca="1" ref="F78" ca="1">INDIRECT("'"&amp;C78&amp;"'!"&amp;"D6")</f>
        <v>VAM을 중합해 PVAc를 만들고, 이를 methanol 존재하에 가수분해 또는 alcoholysis하여 PVOH를 생산;</v>
      </c>
      <c r="G78" t="str" cm="1">
        <f t="array" aca="1" ref="G78" ca="1">INDIRECT("'"&amp;C78&amp;"'!"&amp;"D10")</f>
        <v>Unknown</v>
      </c>
      <c r="H78" t="str" cm="1">
        <f t="array" aca="1" ref="H78" ca="1">INDIRECT("'"&amp;C78&amp;"'!"&amp;"D11")</f>
        <v>Unknown</v>
      </c>
      <c r="I78" cm="1">
        <f t="array" aca="1" ref="I78" ca="1">INDIRECT("'"&amp;C78&amp;"'!"&amp;"D12")</f>
        <v>3905300000</v>
      </c>
      <c r="J78" t="str" cm="1">
        <f t="array" aca="1" ref="J78" ca="1">INDIRECT("'"&amp;C78&amp;"'!"&amp;"D13")</f>
        <v>Net Import</v>
      </c>
    </row>
    <row r="79" spans="1:10">
      <c r="A79" t="s">
        <v>160</v>
      </c>
      <c r="B79" t="s">
        <v>161</v>
      </c>
      <c r="C79" t="s">
        <v>2455</v>
      </c>
      <c r="D79" s="27" t="s">
        <v>147</v>
      </c>
      <c r="E79" t="str" cm="1">
        <f t="array" aca="1" ref="E79" ca="1">INDIRECT("'"&amp;C79&amp;"'!"&amp;"D5")</f>
        <v>에틸렌과 VAM의 공중합체; VAM 함량에 따라 필름·폼·접착제·전선용 compound·태양광 encapsulant 등 다양한 물성을 구현;</v>
      </c>
      <c r="F79" t="str" cm="1">
        <f t="array" aca="1" ref="F79" ca="1">INDIRECT("'"&amp;C79&amp;"'!"&amp;"D6")</f>
        <v>에틸렌과 VAM을 자유라디칼 공중합(고압 Tubular 혹은 Autoclave);</v>
      </c>
      <c r="G79" t="str" cm="1">
        <f t="array" aca="1" ref="G79" ca="1">INDIRECT("'"&amp;C79&amp;"'!"&amp;"D10")</f>
        <v>Y</v>
      </c>
      <c r="H79" t="str" cm="1">
        <f t="array" aca="1" ref="H79" ca="1">INDIRECT("'"&amp;C79&amp;"'!"&amp;"D11")</f>
        <v>한화솔루션(363), LG화학(275)</v>
      </c>
      <c r="I79" t="str" cm="1">
        <f t="array" aca="1" ref="I79" ca="1">INDIRECT("'"&amp;C79&amp;"'!"&amp;"D12")</f>
        <v>Unknown</v>
      </c>
      <c r="J79" t="str" cm="1">
        <f t="array" aca="1" ref="J79" ca="1">INDIRECT("'"&amp;C79&amp;"'!"&amp;"D13")</f>
        <v>Unknown</v>
      </c>
    </row>
    <row r="80" spans="1:10">
      <c r="A80" t="s">
        <v>162</v>
      </c>
      <c r="B80" t="s">
        <v>164</v>
      </c>
      <c r="C80" t="s">
        <v>2456</v>
      </c>
      <c r="D80" s="34" t="s">
        <v>2306</v>
      </c>
      <c r="E80" t="str" cm="1">
        <f t="array" aca="1" ref="E80" ca="1">INDIRECT("'"&amp;C80&amp;"'!"&amp;"D5")</f>
        <v xml:space="preserve">Aniline 기반 방향족 diisocyanate로, polyol과 반응해 polyurethane을 만드는 핵심 원료; </v>
      </c>
      <c r="F80" t="str" cm="1">
        <f t="array" aca="1" ref="F80" ca="1">INDIRECT("'"&amp;C80&amp;"'!"&amp;"D6")</f>
        <v>Aniline과 formaldehyde를 축합해 MDA를 만들고, 이를 phosgene과 반응시켜 MDI/PMDI를 생산;</v>
      </c>
      <c r="G80" t="str" cm="1">
        <f t="array" aca="1" ref="G80" ca="1">INDIRECT("'"&amp;C80&amp;"'!"&amp;"D10")</f>
        <v>Y</v>
      </c>
      <c r="H80" t="str" cm="1">
        <f t="array" aca="1" ref="H80" ca="1">INDIRECT("'"&amp;C80&amp;"'!"&amp;"D11")</f>
        <v>금호미쓰이화학(610), 한국바스프(250), 구다우케미칼(30)</v>
      </c>
      <c r="I80" cm="1">
        <f t="array" aca="1" ref="I80" ca="1">INDIRECT("'"&amp;C80&amp;"'!"&amp;"D12")</f>
        <v>2929102000</v>
      </c>
      <c r="J80" t="str" cm="1">
        <f t="array" aca="1" ref="J80" ca="1">INDIRECT("'"&amp;C80&amp;"'!"&amp;"D13")</f>
        <v>Net Export</v>
      </c>
    </row>
    <row r="81" spans="1:10">
      <c r="A81" t="s">
        <v>163</v>
      </c>
      <c r="B81" t="s">
        <v>165</v>
      </c>
      <c r="C81" t="s">
        <v>2457</v>
      </c>
      <c r="D81" s="34" t="s">
        <v>2306</v>
      </c>
      <c r="E81" t="str" cm="1">
        <f t="array" aca="1" ref="E81" ca="1">INDIRECT("'"&amp;C81&amp;"'!"&amp;"D5")</f>
        <v>Toluene 기반 aromatic diisocyanate로 polyol과 반응해 polyurethane를 형성하는 핵심 원료; 주로 flexible PU foam에 사용;</v>
      </c>
      <c r="F81" t="str" cm="1">
        <f t="array" aca="1" ref="F81" ca="1">INDIRECT("'"&amp;C81&amp;"'!"&amp;"D6")</f>
        <v>Toluene을 질산 혼산으로 nitration하여 DNT를 만든 뒤 hydrogenation으로 TDA를 생산하고, 이를 phosgene과 반응시켜 TDI를 제조;</v>
      </c>
      <c r="G81" t="str" cm="1">
        <f t="array" aca="1" ref="G81" ca="1">INDIRECT("'"&amp;C81&amp;"'!"&amp;"D10")</f>
        <v>Y</v>
      </c>
      <c r="H81" t="str" cm="1">
        <f t="array" aca="1" ref="H81" ca="1">INDIRECT("'"&amp;C81&amp;"'!"&amp;"D11")</f>
        <v>한국바스프(160), 한화솔루션(150), OCI(50)</v>
      </c>
      <c r="I81" cm="1">
        <f t="array" aca="1" ref="I81" ca="1">INDIRECT("'"&amp;C81&amp;"'!"&amp;"D12")</f>
        <v>2929101000</v>
      </c>
      <c r="J81" t="str" cm="1">
        <f t="array" aca="1" ref="J81" ca="1">INDIRECT("'"&amp;C81&amp;"'!"&amp;"D13")</f>
        <v>Net Export</v>
      </c>
    </row>
    <row r="82" spans="1:10">
      <c r="A82" t="s">
        <v>166</v>
      </c>
      <c r="B82" t="s">
        <v>169</v>
      </c>
      <c r="C82" t="s">
        <v>2458</v>
      </c>
      <c r="D82" s="34" t="s">
        <v>2306</v>
      </c>
      <c r="E82" t="str" cm="1">
        <f t="array" aca="1" ref="E82" ca="1">INDIRECT("'"&amp;C82&amp;"'!"&amp;"D5")</f>
        <v>벤젠 고리에 두 개의 메틸기가 인접 위치에 결합된 방향족 탄화수소; 주로 무수프탈산(PA) 생산 원료로 사용;</v>
      </c>
      <c r="F82" t="str" cm="1">
        <f t="array" aca="1" ref="F82" ca="1">INDIRECT("'"&amp;C82&amp;"'!"&amp;"D6")</f>
        <v>Mixed xylene으로부터 증류 및 분리 공정을 통해 생산;</v>
      </c>
      <c r="G82" t="str" cm="1">
        <f t="array" aca="1" ref="G82" ca="1">INDIRECT("'"&amp;C82&amp;"'!"&amp;"D10")</f>
        <v>Y</v>
      </c>
      <c r="H82" t="str" cm="1">
        <f t="array" aca="1" ref="H82" ca="1">INDIRECT("'"&amp;C82&amp;"'!"&amp;"D11")</f>
        <v>롯데케미칼(210), SK지오센트릭(200)</v>
      </c>
      <c r="I82" cm="1">
        <f t="array" aca="1" ref="I82" ca="1">INDIRECT("'"&amp;C82&amp;"'!"&amp;"D12")</f>
        <v>2902410000</v>
      </c>
      <c r="J82" t="str" cm="1">
        <f t="array" aca="1" ref="J82" ca="1">INDIRECT("'"&amp;C82&amp;"'!"&amp;"D13")</f>
        <v>Net Export</v>
      </c>
    </row>
    <row r="83" spans="1:10">
      <c r="A83" t="s">
        <v>167</v>
      </c>
      <c r="B83" t="s">
        <v>170</v>
      </c>
      <c r="C83" t="s">
        <v>2459</v>
      </c>
      <c r="D83" s="34" t="s">
        <v>2306</v>
      </c>
      <c r="E83" t="str" cm="1">
        <f t="array" aca="1" ref="E83" ca="1">INDIRECT("'"&amp;C83&amp;"'!"&amp;"D5")</f>
        <v>벤젠 고리에 두 개의 메틸기가 메타 위치에 결합된 방향족 탄화수소; 주로 isophthalic acid(IPA) 및 specialty chemical 원료로 사용;</v>
      </c>
      <c r="F83" t="str" cm="1">
        <f t="array" aca="1" ref="F83" ca="1">INDIRECT("'"&amp;C83&amp;"'!"&amp;"D6")</f>
        <v>Mixed xylene으로부터 분리 및 정제 공정을 통해 생산;</v>
      </c>
      <c r="G83" t="str" cm="1">
        <f t="array" aca="1" ref="G83" ca="1">INDIRECT("'"&amp;C83&amp;"'!"&amp;"D10")</f>
        <v>Y</v>
      </c>
      <c r="H83" t="str" cm="1">
        <f t="array" aca="1" ref="H83" ca="1">INDIRECT("'"&amp;C83&amp;"'!"&amp;"D11")</f>
        <v>롯데케미칼(360)</v>
      </c>
      <c r="I83" cm="1">
        <f t="array" aca="1" ref="I83" ca="1">INDIRECT("'"&amp;C83&amp;"'!"&amp;"D12")</f>
        <v>2902420000</v>
      </c>
      <c r="J83" t="str" cm="1">
        <f t="array" aca="1" ref="J83" ca="1">INDIRECT("'"&amp;C83&amp;"'!"&amp;"D13")</f>
        <v>Balanced</v>
      </c>
    </row>
    <row r="84" spans="1:10">
      <c r="A84" t="s">
        <v>168</v>
      </c>
      <c r="B84" t="s">
        <v>171</v>
      </c>
      <c r="C84" t="s">
        <v>2460</v>
      </c>
      <c r="D84" s="34" t="s">
        <v>2306</v>
      </c>
      <c r="E84" t="str" cm="1">
        <f t="array" aca="1" ref="E84" ca="1">INDIRECT("'"&amp;C84&amp;"'!"&amp;"D5")</f>
        <v>벤젠 고리에 두 개의 메틸기가 파라 위치에 결합된 방향족 탄화수소; PTA 및 PET 생산의 핵심 원료로 사용;</v>
      </c>
      <c r="F84" t="str" cm="1">
        <f t="array" aca="1" ref="F84" ca="1">INDIRECT("'"&amp;C84&amp;"'!"&amp;"D6")</f>
        <v>Mixed xylene으로부터 흡착 분리 및 이성화 공정을 통해 생산;</v>
      </c>
      <c r="G84" cm="1">
        <f t="array" aca="1" ref="G84" ca="1">INDIRECT("'"&amp;C84&amp;"'!"&amp;"D10")</f>
        <v>0</v>
      </c>
      <c r="H84" t="str" cm="1">
        <f t="array" aca="1" ref="H84" ca="1">INDIRECT("'"&amp;C84&amp;"'!"&amp;"D11")</f>
        <v>한화토탈에너지스(2000), S-OIL(1900), SK인천석유화학(1500), HD현대오일뱅크(1460), GS칼텍스(1350), 울산아로마틱스(1000), 롯데케미칼(750)</v>
      </c>
      <c r="I84" cm="1">
        <f t="array" aca="1" ref="I84" ca="1">INDIRECT("'"&amp;C84&amp;"'!"&amp;"D12")</f>
        <v>2902430000</v>
      </c>
      <c r="J84" t="str" cm="1">
        <f t="array" aca="1" ref="J84" ca="1">INDIRECT("'"&amp;C84&amp;"'!"&amp;"D13")</f>
        <v>Net Export</v>
      </c>
    </row>
    <row r="85" spans="1:10">
      <c r="A85" t="s">
        <v>172</v>
      </c>
      <c r="B85" t="s">
        <v>137</v>
      </c>
      <c r="C85" t="s">
        <v>2461</v>
      </c>
      <c r="D85" s="34" t="s">
        <v>2306</v>
      </c>
      <c r="E85" t="str" cm="1">
        <f t="array" aca="1" ref="E85" ca="1">INDIRECT("'"&amp;C85&amp;"'!"&amp;"D5")</f>
        <v>m-xylene 산화로 생산되는 고순도 방향족 dicarboxylic acid; PET bottle resin 개질제, UPR, 고내구 coating resin 등에 사용;</v>
      </c>
      <c r="F85" t="str" cm="1">
        <f t="array" aca="1" ref="F85" ca="1">INDIRECT("'"&amp;C85&amp;"'!"&amp;"D6")</f>
        <v>m-Xylene을 acetic acid 용매와 Co/Mn/Br 계 촉매 조건에서 산화하여 isophthalic acid를 생산; 고순도 m-xylene feed가 PIA 품질을 좌우하며, 대부분 생산자는 m-xylene과 통합;</v>
      </c>
      <c r="G85" t="str" cm="1">
        <f t="array" aca="1" ref="G85" ca="1">INDIRECT("'"&amp;C85&amp;"'!"&amp;"D10")</f>
        <v>Y</v>
      </c>
      <c r="H85" t="str" cm="1">
        <f t="array" aca="1" ref="H85" ca="1">INDIRECT("'"&amp;C85&amp;"'!"&amp;"D11")</f>
        <v>롯데케미칼(840)</v>
      </c>
      <c r="I85" t="str" cm="1">
        <f t="array" aca="1" ref="I85" ca="1">INDIRECT("'"&amp;C85&amp;"'!"&amp;"D12")</f>
        <v>Unknown</v>
      </c>
      <c r="J85" t="str" cm="1">
        <f t="array" aca="1" ref="J85" ca="1">INDIRECT("'"&amp;C85&amp;"'!"&amp;"D13")</f>
        <v>Unknown</v>
      </c>
    </row>
    <row r="86" spans="1:10">
      <c r="A86" t="s">
        <v>173</v>
      </c>
      <c r="B86" t="s">
        <v>138</v>
      </c>
      <c r="C86" t="s">
        <v>2462</v>
      </c>
      <c r="D86" s="34" t="s">
        <v>2306</v>
      </c>
      <c r="E86" t="str" cm="1">
        <f t="array" aca="1" ref="E86" ca="1">INDIRECT("'"&amp;C86&amp;"'!"&amp;"D5")</f>
        <v>p-xylene(PX) 산화로 생산되는 핵심 방향족 중간체; 대부분 PET(polyethylene terephthalate) 및 polyester chain 생산에 사용;</v>
      </c>
      <c r="F86" t="str" cm="1">
        <f t="array" aca="1" ref="F86" ca="1">INDIRECT("'"&amp;C86&amp;"'!"&amp;"D6")</f>
        <v>Amoco liquid-phase oxidation 공정(메인); p-xylene을 acetic acid 용매 내에서 Co/Mn/Bromide catalyst로 산화하여 crude TPA를 만들고 hydrogenation purification을 거쳐 PTA를 생산;</v>
      </c>
      <c r="G86" t="str" cm="1">
        <f t="array" aca="1" ref="G86" ca="1">INDIRECT("'"&amp;C86&amp;"'!"&amp;"D10")</f>
        <v>Y</v>
      </c>
      <c r="H86" t="str" cm="1">
        <f t="array" aca="1" ref="H86" ca="1">INDIRECT("'"&amp;C86&amp;"'!"&amp;"D11")</f>
        <v>삼남석유화학(1500), 한화임팩트(700)</v>
      </c>
      <c r="I86" cm="1">
        <f t="array" aca="1" ref="I86" ca="1">INDIRECT("'"&amp;C86&amp;"'!"&amp;"D12")</f>
        <v>2917360000</v>
      </c>
      <c r="J86" t="str" cm="1">
        <f t="array" aca="1" ref="J86" ca="1">INDIRECT("'"&amp;C86&amp;"'!"&amp;"D13")</f>
        <v>Net Export</v>
      </c>
    </row>
    <row r="87" spans="1:10">
      <c r="A87" t="s">
        <v>174</v>
      </c>
      <c r="B87" t="s">
        <v>139</v>
      </c>
      <c r="C87" t="s">
        <v>2463</v>
      </c>
      <c r="D87" s="34" t="s">
        <v>2306</v>
      </c>
      <c r="E87" t="e" cm="1">
        <f t="array" aca="1" ref="E87" ca="1">INDIRECT("'"&amp;C87&amp;"'!"&amp;"D5")</f>
        <v>#REF!</v>
      </c>
      <c r="F87" t="e" cm="1">
        <f t="array" aca="1" ref="F87" ca="1">INDIRECT("'"&amp;C87&amp;"'!"&amp;"D6")</f>
        <v>#REF!</v>
      </c>
      <c r="G87" t="e" cm="1">
        <f t="array" aca="1" ref="G87" ca="1">INDIRECT("'"&amp;C87&amp;"'!"&amp;"D10")</f>
        <v>#REF!</v>
      </c>
      <c r="H87" t="e" cm="1">
        <f t="array" aca="1" ref="H87" ca="1">INDIRECT("'"&amp;C87&amp;"'!"&amp;"D11")</f>
        <v>#REF!</v>
      </c>
      <c r="I87" t="e" cm="1">
        <f t="array" aca="1" ref="I87" ca="1">INDIRECT("'"&amp;C87&amp;"'!"&amp;"D12")</f>
        <v>#REF!</v>
      </c>
      <c r="J87" t="e" cm="1">
        <f t="array" aca="1" ref="J87" ca="1">INDIRECT("'"&amp;C87&amp;"'!"&amp;"D13")</f>
        <v>#REF!</v>
      </c>
    </row>
    <row r="88" spans="1:10">
      <c r="A88" t="s">
        <v>175</v>
      </c>
      <c r="B88" t="s">
        <v>176</v>
      </c>
      <c r="C88" t="s">
        <v>2464</v>
      </c>
      <c r="D88" s="34" t="s">
        <v>2306</v>
      </c>
      <c r="E88" t="str" cm="1">
        <f t="array" aca="1" ref="E88" ca="1">INDIRECT("'"&amp;C88&amp;"'!"&amp;"D5")</f>
        <v>PET는 MEG(Monoethylene Glycol)와 PTA(Purified Terephthalic Acid)의 축합중합으로 제조되는 열가소성 폴리에스터 수지이다. 병(Bottle), 시트, 트레이, 포장재 및 섬유 등에 사용된다.</v>
      </c>
      <c r="F88" t="str" cm="1">
        <f t="array" aca="1" ref="F88" ca="1">INDIRECT("'"&amp;C88&amp;"'!"&amp;"D6")</f>
        <v>PTA 또는 DMT와 EG의 중축합 → Melt-phase PET → Solid State Polymerization(SSP) → Bottle-grade PET 생산. 최근에는 Melt-to-Resin(MTR), Direct-to-Preform(DTP) 기술 확대.</v>
      </c>
      <c r="G88" t="str" cm="1">
        <f t="array" aca="1" ref="G88" ca="1">INDIRECT("'"&amp;C88&amp;"'!"&amp;"D10")</f>
        <v>Y</v>
      </c>
      <c r="H88" t="str" cm="1">
        <f t="array" aca="1" ref="H88" ca="1">INDIRECT("'"&amp;C88&amp;"'!"&amp;"D11")</f>
        <v>롯데케미칼(840)</v>
      </c>
      <c r="I88" t="str" cm="1">
        <f t="array" aca="1" ref="I88" ca="1">INDIRECT("'"&amp;C88&amp;"'!"&amp;"D12")</f>
        <v>Unknown</v>
      </c>
      <c r="J88" t="str" cm="1">
        <f t="array" aca="1" ref="J88" ca="1">INDIRECT("'"&amp;C88&amp;"'!"&amp;"D13")</f>
        <v>Unknown</v>
      </c>
    </row>
    <row r="89" spans="1:10">
      <c r="A89" t="s">
        <v>177</v>
      </c>
      <c r="B89" t="s">
        <v>112</v>
      </c>
      <c r="C89" t="s">
        <v>2465</v>
      </c>
      <c r="D89" s="29" t="s">
        <v>6</v>
      </c>
      <c r="E89" t="e" cm="1">
        <f t="array" aca="1" ref="E89" ca="1">INDIRECT("'"&amp;C89&amp;"'!"&amp;"D5")</f>
        <v>#REF!</v>
      </c>
      <c r="F89" t="e" cm="1">
        <f t="array" aca="1" ref="F89" ca="1">INDIRECT("'"&amp;C89&amp;"'!"&amp;"D6")</f>
        <v>#REF!</v>
      </c>
      <c r="G89" t="e" cm="1">
        <f t="array" aca="1" ref="G89" ca="1">INDIRECT("'"&amp;C89&amp;"'!"&amp;"D10")</f>
        <v>#REF!</v>
      </c>
      <c r="H89" t="e" cm="1">
        <f t="array" aca="1" ref="H89" ca="1">INDIRECT("'"&amp;C89&amp;"'!"&amp;"D11")</f>
        <v>#REF!</v>
      </c>
      <c r="I89" t="e" cm="1">
        <f t="array" aca="1" ref="I89" ca="1">INDIRECT("'"&amp;C89&amp;"'!"&amp;"D12")</f>
        <v>#REF!</v>
      </c>
      <c r="J89" t="e" cm="1">
        <f t="array" aca="1" ref="J89" ca="1">INDIRECT("'"&amp;C89&amp;"'!"&amp;"D13")</f>
        <v>#REF!</v>
      </c>
    </row>
    <row r="90" spans="1:10">
      <c r="A90" t="s">
        <v>179</v>
      </c>
      <c r="B90" t="s">
        <v>178</v>
      </c>
      <c r="C90" t="s">
        <v>2466</v>
      </c>
      <c r="D90" s="33" t="s">
        <v>184</v>
      </c>
      <c r="E90" t="e" cm="1">
        <f t="array" aca="1" ref="E90" ca="1">INDIRECT("'"&amp;C90&amp;"'!"&amp;"D5")</f>
        <v>#REF!</v>
      </c>
      <c r="F90" t="e" cm="1">
        <f t="array" aca="1" ref="F90" ca="1">INDIRECT("'"&amp;C90&amp;"'!"&amp;"D6")</f>
        <v>#REF!</v>
      </c>
      <c r="G90" t="e" cm="1">
        <f t="array" aca="1" ref="G90" ca="1">INDIRECT("'"&amp;C90&amp;"'!"&amp;"D10")</f>
        <v>#REF!</v>
      </c>
      <c r="H90" t="e" cm="1">
        <f t="array" aca="1" ref="H90" ca="1">INDIRECT("'"&amp;C90&amp;"'!"&amp;"D11")</f>
        <v>#REF!</v>
      </c>
      <c r="I90" t="e" cm="1">
        <f t="array" aca="1" ref="I90" ca="1">INDIRECT("'"&amp;C90&amp;"'!"&amp;"D12")</f>
        <v>#REF!</v>
      </c>
      <c r="J90" t="e" cm="1">
        <f t="array" aca="1" ref="J90" ca="1">INDIRECT("'"&amp;C90&amp;"'!"&amp;"D13")</f>
        <v>#REF!</v>
      </c>
    </row>
    <row r="91" spans="1:10">
      <c r="A91" t="s">
        <v>182</v>
      </c>
      <c r="B91" t="s">
        <v>146</v>
      </c>
      <c r="C91" t="s">
        <v>2467</v>
      </c>
      <c r="D91" s="33" t="s">
        <v>184</v>
      </c>
      <c r="E91" t="e" cm="1">
        <f t="array" aca="1" ref="E91" ca="1">INDIRECT("'"&amp;C91&amp;"'!"&amp;"D5")</f>
        <v>#REF!</v>
      </c>
      <c r="F91" t="e" cm="1">
        <f t="array" aca="1" ref="F91" ca="1">INDIRECT("'"&amp;C91&amp;"'!"&amp;"D6")</f>
        <v>#REF!</v>
      </c>
      <c r="G91" t="e" cm="1">
        <f t="array" aca="1" ref="G91" ca="1">INDIRECT("'"&amp;C91&amp;"'!"&amp;"D10")</f>
        <v>#REF!</v>
      </c>
      <c r="H91" t="e" cm="1">
        <f t="array" aca="1" ref="H91" ca="1">INDIRECT("'"&amp;C91&amp;"'!"&amp;"D11")</f>
        <v>#REF!</v>
      </c>
      <c r="I91" t="e" cm="1">
        <f t="array" aca="1" ref="I91" ca="1">INDIRECT("'"&amp;C91&amp;"'!"&amp;"D12")</f>
        <v>#REF!</v>
      </c>
      <c r="J91" t="e" cm="1">
        <f t="array" aca="1" ref="J91" ca="1">INDIRECT("'"&amp;C91&amp;"'!"&amp;"D13")</f>
        <v>#REF!</v>
      </c>
    </row>
    <row r="92" spans="1:10">
      <c r="A92" t="s">
        <v>185</v>
      </c>
      <c r="B92" t="s">
        <v>181</v>
      </c>
      <c r="C92" t="s">
        <v>2468</v>
      </c>
      <c r="D92" s="27" t="s">
        <v>147</v>
      </c>
      <c r="E92" t="e" cm="1">
        <f t="array" aca="1" ref="E92" ca="1">INDIRECT("'"&amp;C92&amp;"'!"&amp;"D5")</f>
        <v>#REF!</v>
      </c>
      <c r="F92" t="e" cm="1">
        <f t="array" aca="1" ref="F92" ca="1">INDIRECT("'"&amp;C92&amp;"'!"&amp;"D6")</f>
        <v>#REF!</v>
      </c>
      <c r="G92" t="e" cm="1">
        <f t="array" aca="1" ref="G92" ca="1">INDIRECT("'"&amp;C92&amp;"'!"&amp;"D10")</f>
        <v>#REF!</v>
      </c>
      <c r="H92" t="e" cm="1">
        <f t="array" aca="1" ref="H92" ca="1">INDIRECT("'"&amp;C92&amp;"'!"&amp;"D11")</f>
        <v>#REF!</v>
      </c>
      <c r="I92" t="e" cm="1">
        <f t="array" aca="1" ref="I92" ca="1">INDIRECT("'"&amp;C92&amp;"'!"&amp;"D12")</f>
        <v>#REF!</v>
      </c>
      <c r="J92" t="e" cm="1">
        <f t="array" aca="1" ref="J92" ca="1">INDIRECT("'"&amp;C92&amp;"'!"&amp;"D13")</f>
        <v>#REF!</v>
      </c>
    </row>
    <row r="93" spans="1:10">
      <c r="A93" t="s">
        <v>186</v>
      </c>
      <c r="B93" t="s">
        <v>187</v>
      </c>
      <c r="C93" t="s">
        <v>2469</v>
      </c>
      <c r="D93" s="29" t="s">
        <v>188</v>
      </c>
      <c r="E93" t="e" cm="1">
        <f t="array" aca="1" ref="E93" ca="1">INDIRECT("'"&amp;C93&amp;"'!"&amp;"D5")</f>
        <v>#REF!</v>
      </c>
      <c r="F93" t="e" cm="1">
        <f t="array" aca="1" ref="F93" ca="1">INDIRECT("'"&amp;C93&amp;"'!"&amp;"D6")</f>
        <v>#REF!</v>
      </c>
      <c r="G93" t="e" cm="1">
        <f t="array" aca="1" ref="G93" ca="1">INDIRECT("'"&amp;C93&amp;"'!"&amp;"D10")</f>
        <v>#REF!</v>
      </c>
      <c r="H93" t="e" cm="1">
        <f t="array" aca="1" ref="H93" ca="1">INDIRECT("'"&amp;C93&amp;"'!"&amp;"D11")</f>
        <v>#REF!</v>
      </c>
      <c r="I93" t="e" cm="1">
        <f t="array" aca="1" ref="I93" ca="1">INDIRECT("'"&amp;C93&amp;"'!"&amp;"D12")</f>
        <v>#REF!</v>
      </c>
      <c r="J93" t="e" cm="1">
        <f t="array" aca="1" ref="J93" ca="1">INDIRECT("'"&amp;C93&amp;"'!"&amp;"D13")</f>
        <v>#REF!</v>
      </c>
    </row>
    <row r="94" spans="1:10">
      <c r="A94" t="s">
        <v>189</v>
      </c>
      <c r="B94" t="s">
        <v>190</v>
      </c>
      <c r="C94" t="s">
        <v>2470</v>
      </c>
      <c r="D94" s="27" t="s">
        <v>147</v>
      </c>
      <c r="E94" t="e" cm="1">
        <f t="array" aca="1" ref="E94" ca="1">INDIRECT("'"&amp;C94&amp;"'!"&amp;"D5")</f>
        <v>#REF!</v>
      </c>
      <c r="F94" t="e" cm="1">
        <f t="array" aca="1" ref="F94" ca="1">INDIRECT("'"&amp;C94&amp;"'!"&amp;"D6")</f>
        <v>#REF!</v>
      </c>
      <c r="G94" t="e" cm="1">
        <f t="array" aca="1" ref="G94" ca="1">INDIRECT("'"&amp;C94&amp;"'!"&amp;"D10")</f>
        <v>#REF!</v>
      </c>
      <c r="H94" t="e" cm="1">
        <f t="array" aca="1" ref="H94" ca="1">INDIRECT("'"&amp;C94&amp;"'!"&amp;"D11")</f>
        <v>#REF!</v>
      </c>
      <c r="I94" t="e" cm="1">
        <f t="array" aca="1" ref="I94" ca="1">INDIRECT("'"&amp;C94&amp;"'!"&amp;"D12")</f>
        <v>#REF!</v>
      </c>
      <c r="J94" t="e" cm="1">
        <f t="array" aca="1" ref="J94" ca="1">INDIRECT("'"&amp;C94&amp;"'!"&amp;"D13")</f>
        <v>#REF!</v>
      </c>
    </row>
    <row r="95" spans="1:10">
      <c r="A95" t="s">
        <v>192</v>
      </c>
      <c r="B95" t="s">
        <v>191</v>
      </c>
      <c r="C95" t="s">
        <v>2471</v>
      </c>
      <c r="D95" s="34" t="s">
        <v>2306</v>
      </c>
      <c r="E95" t="e" cm="1">
        <f t="array" aca="1" ref="E95" ca="1">INDIRECT("'"&amp;C95&amp;"'!"&amp;"D5")</f>
        <v>#REF!</v>
      </c>
      <c r="F95" t="e" cm="1">
        <f t="array" aca="1" ref="F95" ca="1">INDIRECT("'"&amp;C95&amp;"'!"&amp;"D6")</f>
        <v>#REF!</v>
      </c>
      <c r="G95" t="e" cm="1">
        <f t="array" aca="1" ref="G95" ca="1">INDIRECT("'"&amp;C95&amp;"'!"&amp;"D10")</f>
        <v>#REF!</v>
      </c>
      <c r="H95" t="e" cm="1">
        <f t="array" aca="1" ref="H95" ca="1">INDIRECT("'"&amp;C95&amp;"'!"&amp;"D11")</f>
        <v>#REF!</v>
      </c>
      <c r="I95" t="e" cm="1">
        <f t="array" aca="1" ref="I95" ca="1">INDIRECT("'"&amp;C95&amp;"'!"&amp;"D12")</f>
        <v>#REF!</v>
      </c>
      <c r="J95" t="e" cm="1">
        <f t="array" aca="1" ref="J95" ca="1">INDIRECT("'"&amp;C95&amp;"'!"&amp;"D13")</f>
        <v>#REF!</v>
      </c>
    </row>
    <row r="96" spans="1:10">
      <c r="A96" t="s">
        <v>194</v>
      </c>
      <c r="B96" s="1" t="s">
        <v>195</v>
      </c>
      <c r="C96" t="s">
        <v>2472</v>
      </c>
      <c r="D96" s="32" t="s">
        <v>12</v>
      </c>
      <c r="E96" t="e" cm="1">
        <f t="array" aca="1" ref="E96" ca="1">INDIRECT("'"&amp;C96&amp;"'!"&amp;"D5")</f>
        <v>#REF!</v>
      </c>
      <c r="F96" t="e" cm="1">
        <f t="array" aca="1" ref="F96" ca="1">INDIRECT("'"&amp;C96&amp;"'!"&amp;"D6")</f>
        <v>#REF!</v>
      </c>
      <c r="G96" t="e" cm="1">
        <f t="array" aca="1" ref="G96" ca="1">INDIRECT("'"&amp;C96&amp;"'!"&amp;"D10")</f>
        <v>#REF!</v>
      </c>
      <c r="H96" t="e" cm="1">
        <f t="array" aca="1" ref="H96" ca="1">INDIRECT("'"&amp;C96&amp;"'!"&amp;"D11")</f>
        <v>#REF!</v>
      </c>
      <c r="I96" t="e" cm="1">
        <f t="array" aca="1" ref="I96" ca="1">INDIRECT("'"&amp;C96&amp;"'!"&amp;"D12")</f>
        <v>#REF!</v>
      </c>
      <c r="J96" t="e" cm="1">
        <f t="array" aca="1" ref="J96" ca="1">INDIRECT("'"&amp;C96&amp;"'!"&amp;"D13")</f>
        <v>#REF!</v>
      </c>
    </row>
    <row r="97" spans="1:10">
      <c r="A97" t="s">
        <v>732</v>
      </c>
      <c r="B97" s="1" t="s">
        <v>738</v>
      </c>
      <c r="C97" t="s">
        <v>2473</v>
      </c>
      <c r="D97" s="30" t="s">
        <v>737</v>
      </c>
      <c r="E97" t="e" cm="1">
        <f t="array" aca="1" ref="E97" ca="1">INDIRECT("'"&amp;C97&amp;"'!"&amp;"D5")</f>
        <v>#REF!</v>
      </c>
      <c r="F97" t="e" cm="1">
        <f t="array" aca="1" ref="F97" ca="1">INDIRECT("'"&amp;C97&amp;"'!"&amp;"D6")</f>
        <v>#REF!</v>
      </c>
      <c r="G97" t="e" cm="1">
        <f t="array" aca="1" ref="G97" ca="1">INDIRECT("'"&amp;C97&amp;"'!"&amp;"D10")</f>
        <v>#REF!</v>
      </c>
      <c r="H97" t="e" cm="1">
        <f t="array" aca="1" ref="H97" ca="1">INDIRECT("'"&amp;C97&amp;"'!"&amp;"D11")</f>
        <v>#REF!</v>
      </c>
      <c r="I97" t="e" cm="1">
        <f t="array" aca="1" ref="I97" ca="1">INDIRECT("'"&amp;C97&amp;"'!"&amp;"D12")</f>
        <v>#REF!</v>
      </c>
      <c r="J97" t="e" cm="1">
        <f t="array" aca="1" ref="J97" ca="1">INDIRECT("'"&amp;C97&amp;"'!"&amp;"D13")</f>
        <v>#REF!</v>
      </c>
    </row>
    <row r="98" spans="1:10">
      <c r="A98" t="s">
        <v>733</v>
      </c>
      <c r="B98" t="s">
        <v>739</v>
      </c>
      <c r="C98" t="s">
        <v>2474</v>
      </c>
      <c r="D98" s="30" t="s">
        <v>737</v>
      </c>
      <c r="E98" t="e" cm="1">
        <f t="array" aca="1" ref="E98" ca="1">INDIRECT("'"&amp;C98&amp;"'!"&amp;"D5")</f>
        <v>#REF!</v>
      </c>
      <c r="F98" t="e" cm="1">
        <f t="array" aca="1" ref="F98" ca="1">INDIRECT("'"&amp;C98&amp;"'!"&amp;"D6")</f>
        <v>#REF!</v>
      </c>
      <c r="G98" t="e" cm="1">
        <f t="array" aca="1" ref="G98" ca="1">INDIRECT("'"&amp;C98&amp;"'!"&amp;"D10")</f>
        <v>#REF!</v>
      </c>
      <c r="H98" t="e" cm="1">
        <f t="array" aca="1" ref="H98" ca="1">INDIRECT("'"&amp;C98&amp;"'!"&amp;"D11")</f>
        <v>#REF!</v>
      </c>
      <c r="I98" t="e" cm="1">
        <f t="array" aca="1" ref="I98" ca="1">INDIRECT("'"&amp;C98&amp;"'!"&amp;"D12")</f>
        <v>#REF!</v>
      </c>
      <c r="J98" t="e" cm="1">
        <f t="array" aca="1" ref="J98" ca="1">INDIRECT("'"&amp;C98&amp;"'!"&amp;"D13")</f>
        <v>#REF!</v>
      </c>
    </row>
    <row r="99" spans="1:10">
      <c r="A99" t="s">
        <v>734</v>
      </c>
      <c r="B99" t="s">
        <v>740</v>
      </c>
      <c r="C99" t="s">
        <v>2475</v>
      </c>
      <c r="D99" s="30" t="s">
        <v>737</v>
      </c>
      <c r="E99" t="e" cm="1">
        <f t="array" aca="1" ref="E99" ca="1">INDIRECT("'"&amp;C99&amp;"'!"&amp;"D5")</f>
        <v>#REF!</v>
      </c>
      <c r="F99" t="e" cm="1">
        <f t="array" aca="1" ref="F99" ca="1">INDIRECT("'"&amp;C99&amp;"'!"&amp;"D6")</f>
        <v>#REF!</v>
      </c>
      <c r="G99" t="e" cm="1">
        <f t="array" aca="1" ref="G99" ca="1">INDIRECT("'"&amp;C99&amp;"'!"&amp;"D10")</f>
        <v>#REF!</v>
      </c>
      <c r="H99" t="e" cm="1">
        <f t="array" aca="1" ref="H99" ca="1">INDIRECT("'"&amp;C99&amp;"'!"&amp;"D11")</f>
        <v>#REF!</v>
      </c>
      <c r="I99" t="e" cm="1">
        <f t="array" aca="1" ref="I99" ca="1">INDIRECT("'"&amp;C99&amp;"'!"&amp;"D12")</f>
        <v>#REF!</v>
      </c>
      <c r="J99" t="e" cm="1">
        <f t="array" aca="1" ref="J99" ca="1">INDIRECT("'"&amp;C99&amp;"'!"&amp;"D13")</f>
        <v>#REF!</v>
      </c>
    </row>
    <row r="100" spans="1:10">
      <c r="A100" t="s">
        <v>735</v>
      </c>
      <c r="B100" t="s">
        <v>741</v>
      </c>
      <c r="C100" t="s">
        <v>2476</v>
      </c>
      <c r="D100" s="30" t="s">
        <v>737</v>
      </c>
      <c r="E100" t="e" cm="1">
        <f t="array" aca="1" ref="E100" ca="1">INDIRECT("'"&amp;C100&amp;"'!"&amp;"D5")</f>
        <v>#REF!</v>
      </c>
      <c r="F100" t="e" cm="1">
        <f t="array" aca="1" ref="F100" ca="1">INDIRECT("'"&amp;C100&amp;"'!"&amp;"D6")</f>
        <v>#REF!</v>
      </c>
      <c r="G100" t="e" cm="1">
        <f t="array" aca="1" ref="G100" ca="1">INDIRECT("'"&amp;C100&amp;"'!"&amp;"D10")</f>
        <v>#REF!</v>
      </c>
      <c r="H100" t="e" cm="1">
        <f t="array" aca="1" ref="H100" ca="1">INDIRECT("'"&amp;C100&amp;"'!"&amp;"D11")</f>
        <v>#REF!</v>
      </c>
      <c r="I100" t="e" cm="1">
        <f t="array" aca="1" ref="I100" ca="1">INDIRECT("'"&amp;C100&amp;"'!"&amp;"D12")</f>
        <v>#REF!</v>
      </c>
      <c r="J100" t="e" cm="1">
        <f t="array" aca="1" ref="J100" ca="1">INDIRECT("'"&amp;C100&amp;"'!"&amp;"D13")</f>
        <v>#REF!</v>
      </c>
    </row>
    <row r="101" spans="1:10">
      <c r="A101" t="s">
        <v>736</v>
      </c>
      <c r="B101" t="s">
        <v>742</v>
      </c>
      <c r="C101" t="s">
        <v>2477</v>
      </c>
      <c r="D101" s="30" t="s">
        <v>737</v>
      </c>
      <c r="E101" t="e" cm="1">
        <f t="array" aca="1" ref="E101" ca="1">INDIRECT("'"&amp;C101&amp;"'!"&amp;"D5")</f>
        <v>#REF!</v>
      </c>
      <c r="F101" t="e" cm="1">
        <f t="array" aca="1" ref="F101" ca="1">INDIRECT("'"&amp;C101&amp;"'!"&amp;"D6")</f>
        <v>#REF!</v>
      </c>
      <c r="G101" t="e" cm="1">
        <f t="array" aca="1" ref="G101" ca="1">INDIRECT("'"&amp;C101&amp;"'!"&amp;"D10")</f>
        <v>#REF!</v>
      </c>
      <c r="H101" t="e" cm="1">
        <f t="array" aca="1" ref="H101" ca="1">INDIRECT("'"&amp;C101&amp;"'!"&amp;"D11")</f>
        <v>#REF!</v>
      </c>
      <c r="I101" t="e" cm="1">
        <f t="array" aca="1" ref="I101" ca="1">INDIRECT("'"&amp;C101&amp;"'!"&amp;"D12")</f>
        <v>#REF!</v>
      </c>
      <c r="J101" t="e" cm="1">
        <f t="array" aca="1" ref="J101" ca="1">INDIRECT("'"&amp;C101&amp;"'!"&amp;"D13")</f>
        <v>#REF!</v>
      </c>
    </row>
    <row r="102" spans="1:10">
      <c r="A102" t="s">
        <v>2481</v>
      </c>
      <c r="B102" t="s">
        <v>2482</v>
      </c>
      <c r="C102" t="s">
        <v>2483</v>
      </c>
      <c r="D102" s="29" t="s">
        <v>188</v>
      </c>
      <c r="E102" t="str" cm="1">
        <f t="array" aca="1" ref="E102" ca="1">INDIRECT("'"&amp;C102&amp;"'!"&amp;"D5")</f>
        <v>프로필렌과 syngas의 oxo/hydroformylation으로 생산되는 C4 aldehyde; isobutanol, neopentyl glycol, isobutyric acid 등 specialty derivative의 원료로 사용;</v>
      </c>
      <c r="F102" t="str" cm="1">
        <f t="array" aca="1" ref="F102" ca="1">INDIRECT("'"&amp;C102&amp;"'!"&amp;"D6")</f>
        <v>프로필렌과 syngas를 hydroformylation하여 n-butyraldehyde와 isobutyraldehyde를 생산; 상업 공정은 rhodium 또는 cobalt catalyst 기반이며, rhodium catalyst는 높은 n/iso 비율을 구현;</v>
      </c>
      <c r="G102" t="str" cm="1">
        <f t="array" aca="1" ref="G102" ca="1">INDIRECT("'"&amp;C102&amp;"'!"&amp;"D10")</f>
        <v>Y</v>
      </c>
      <c r="H102" t="str" cm="1">
        <f t="array" aca="1" ref="H102" ca="1">INDIRECT("'"&amp;C102&amp;"'!"&amp;"D11")</f>
        <v>LG화학(125), 한화솔루션(10)</v>
      </c>
      <c r="I102" t="str" cm="1">
        <f t="array" aca="1" ref="I102" ca="1">INDIRECT("'"&amp;C102&amp;"'!"&amp;"D12")</f>
        <v>Unknown</v>
      </c>
      <c r="J102" t="str" cm="1">
        <f t="array" aca="1" ref="J102" ca="1">INDIRECT("'"&amp;C102&amp;"'!"&amp;"D13")</f>
        <v>Unknown</v>
      </c>
    </row>
    <row r="103" spans="1:10">
      <c r="A103" t="s">
        <v>2538</v>
      </c>
      <c r="B103" t="s">
        <v>2549</v>
      </c>
      <c r="C103" t="s">
        <v>2550</v>
      </c>
      <c r="D103" s="30" t="s">
        <v>737</v>
      </c>
      <c r="E103" t="e" cm="1">
        <f t="array" aca="1" ref="E103" ca="1">INDIRECT("'"&amp;C103&amp;"'!"&amp;"D5")</f>
        <v>#REF!</v>
      </c>
      <c r="F103" t="e" cm="1">
        <f t="array" aca="1" ref="F103" ca="1">INDIRECT("'"&amp;C103&amp;"'!"&amp;"D6")</f>
        <v>#REF!</v>
      </c>
      <c r="G103" t="e" cm="1">
        <f t="array" aca="1" ref="G103" ca="1">INDIRECT("'"&amp;C103&amp;"'!"&amp;"D10")</f>
        <v>#REF!</v>
      </c>
      <c r="H103" t="e" cm="1">
        <f t="array" aca="1" ref="H103" ca="1">INDIRECT("'"&amp;C103&amp;"'!"&amp;"D11")</f>
        <v>#REF!</v>
      </c>
      <c r="I103" t="e" cm="1">
        <f t="array" aca="1" ref="I103" ca="1">INDIRECT("'"&amp;C103&amp;"'!"&amp;"D12")</f>
        <v>#REF!</v>
      </c>
      <c r="J103" t="e" cm="1">
        <f t="array" aca="1" ref="J103" ca="1">INDIRECT("'"&amp;C103&amp;"'!"&amp;"D13")</f>
        <v>#REF!</v>
      </c>
    </row>
    <row r="104" spans="1:10">
      <c r="A104" t="s">
        <v>2539</v>
      </c>
      <c r="B104" t="s">
        <v>2544</v>
      </c>
      <c r="C104" t="s">
        <v>2551</v>
      </c>
      <c r="D104" s="30" t="s">
        <v>737</v>
      </c>
      <c r="E104" t="e" cm="1">
        <f t="array" aca="1" ref="E104" ca="1">INDIRECT("'"&amp;C104&amp;"'!"&amp;"D5")</f>
        <v>#REF!</v>
      </c>
      <c r="F104" t="e" cm="1">
        <f t="array" aca="1" ref="F104" ca="1">INDIRECT("'"&amp;C104&amp;"'!"&amp;"D6")</f>
        <v>#REF!</v>
      </c>
      <c r="G104" t="e" cm="1">
        <f t="array" aca="1" ref="G104" ca="1">INDIRECT("'"&amp;C104&amp;"'!"&amp;"D10")</f>
        <v>#REF!</v>
      </c>
      <c r="H104" t="e" cm="1">
        <f t="array" aca="1" ref="H104" ca="1">INDIRECT("'"&amp;C104&amp;"'!"&amp;"D11")</f>
        <v>#REF!</v>
      </c>
      <c r="I104" t="e" cm="1">
        <f t="array" aca="1" ref="I104" ca="1">INDIRECT("'"&amp;C104&amp;"'!"&amp;"D12")</f>
        <v>#REF!</v>
      </c>
      <c r="J104" t="e" cm="1">
        <f t="array" aca="1" ref="J104" ca="1">INDIRECT("'"&amp;C104&amp;"'!"&amp;"D13")</f>
        <v>#REF!</v>
      </c>
    </row>
    <row r="105" spans="1:10">
      <c r="A105" t="s">
        <v>2540</v>
      </c>
      <c r="B105" t="s">
        <v>2545</v>
      </c>
      <c r="C105" t="s">
        <v>2552</v>
      </c>
      <c r="D105" s="30" t="s">
        <v>737</v>
      </c>
      <c r="E105" t="e" cm="1">
        <f t="array" aca="1" ref="E105" ca="1">INDIRECT("'"&amp;C105&amp;"'!"&amp;"D5")</f>
        <v>#REF!</v>
      </c>
      <c r="F105" t="e" cm="1">
        <f t="array" aca="1" ref="F105" ca="1">INDIRECT("'"&amp;C105&amp;"'!"&amp;"D6")</f>
        <v>#REF!</v>
      </c>
      <c r="G105" t="e" cm="1">
        <f t="array" aca="1" ref="G105" ca="1">INDIRECT("'"&amp;C105&amp;"'!"&amp;"D10")</f>
        <v>#REF!</v>
      </c>
      <c r="H105" t="e" cm="1">
        <f t="array" aca="1" ref="H105" ca="1">INDIRECT("'"&amp;C105&amp;"'!"&amp;"D11")</f>
        <v>#REF!</v>
      </c>
      <c r="I105" t="e" cm="1">
        <f t="array" aca="1" ref="I105" ca="1">INDIRECT("'"&amp;C105&amp;"'!"&amp;"D12")</f>
        <v>#REF!</v>
      </c>
      <c r="J105" t="e" cm="1">
        <f t="array" aca="1" ref="J105" ca="1">INDIRECT("'"&amp;C105&amp;"'!"&amp;"D13")</f>
        <v>#REF!</v>
      </c>
    </row>
    <row r="106" spans="1:10">
      <c r="A106" t="s">
        <v>2541</v>
      </c>
      <c r="B106" t="s">
        <v>2546</v>
      </c>
      <c r="C106" t="s">
        <v>2553</v>
      </c>
      <c r="D106" s="30" t="s">
        <v>737</v>
      </c>
      <c r="E106" t="e" cm="1">
        <f t="array" aca="1" ref="E106" ca="1">INDIRECT("'"&amp;C106&amp;"'!"&amp;"D5")</f>
        <v>#REF!</v>
      </c>
      <c r="F106" t="e" cm="1">
        <f t="array" aca="1" ref="F106" ca="1">INDIRECT("'"&amp;C106&amp;"'!"&amp;"D6")</f>
        <v>#REF!</v>
      </c>
      <c r="G106" t="e" cm="1">
        <f t="array" aca="1" ref="G106" ca="1">INDIRECT("'"&amp;C106&amp;"'!"&amp;"D10")</f>
        <v>#REF!</v>
      </c>
      <c r="H106" t="e" cm="1">
        <f t="array" aca="1" ref="H106" ca="1">INDIRECT("'"&amp;C106&amp;"'!"&amp;"D11")</f>
        <v>#REF!</v>
      </c>
      <c r="I106" t="e" cm="1">
        <f t="array" aca="1" ref="I106" ca="1">INDIRECT("'"&amp;C106&amp;"'!"&amp;"D12")</f>
        <v>#REF!</v>
      </c>
      <c r="J106" t="e" cm="1">
        <f t="array" aca="1" ref="J106" ca="1">INDIRECT("'"&amp;C106&amp;"'!"&amp;"D13")</f>
        <v>#REF!</v>
      </c>
    </row>
    <row r="107" spans="1:10">
      <c r="A107" t="s">
        <v>2542</v>
      </c>
      <c r="B107" t="s">
        <v>2547</v>
      </c>
      <c r="C107" t="s">
        <v>2554</v>
      </c>
      <c r="D107" s="30" t="s">
        <v>737</v>
      </c>
      <c r="E107" t="e" cm="1">
        <f t="array" aca="1" ref="E107" ca="1">INDIRECT("'"&amp;C107&amp;"'!"&amp;"D5")</f>
        <v>#REF!</v>
      </c>
      <c r="F107" t="e" cm="1">
        <f t="array" aca="1" ref="F107" ca="1">INDIRECT("'"&amp;C107&amp;"'!"&amp;"D6")</f>
        <v>#REF!</v>
      </c>
      <c r="G107" t="e" cm="1">
        <f t="array" aca="1" ref="G107" ca="1">INDIRECT("'"&amp;C107&amp;"'!"&amp;"D10")</f>
        <v>#REF!</v>
      </c>
      <c r="H107" t="e" cm="1">
        <f t="array" aca="1" ref="H107" ca="1">INDIRECT("'"&amp;C107&amp;"'!"&amp;"D11")</f>
        <v>#REF!</v>
      </c>
      <c r="I107" t="e" cm="1">
        <f t="array" aca="1" ref="I107" ca="1">INDIRECT("'"&amp;C107&amp;"'!"&amp;"D12")</f>
        <v>#REF!</v>
      </c>
      <c r="J107" t="e" cm="1">
        <f t="array" aca="1" ref="J107" ca="1">INDIRECT("'"&amp;C107&amp;"'!"&amp;"D13")</f>
        <v>#REF!</v>
      </c>
    </row>
    <row r="108" spans="1:10">
      <c r="A108" t="s">
        <v>2543</v>
      </c>
      <c r="B108" t="s">
        <v>2548</v>
      </c>
      <c r="C108" t="s">
        <v>2555</v>
      </c>
      <c r="D108" s="30" t="s">
        <v>737</v>
      </c>
      <c r="E108" t="e" cm="1">
        <f t="array" aca="1" ref="E108" ca="1">INDIRECT("'"&amp;C108&amp;"'!"&amp;"D5")</f>
        <v>#REF!</v>
      </c>
      <c r="F108" t="e" cm="1">
        <f t="array" aca="1" ref="F108" ca="1">INDIRECT("'"&amp;C108&amp;"'!"&amp;"D6")</f>
        <v>#REF!</v>
      </c>
      <c r="G108" t="e" cm="1">
        <f t="array" aca="1" ref="G108" ca="1">INDIRECT("'"&amp;C108&amp;"'!"&amp;"D10")</f>
        <v>#REF!</v>
      </c>
      <c r="H108" t="e" cm="1">
        <f t="array" aca="1" ref="H108" ca="1">INDIRECT("'"&amp;C108&amp;"'!"&amp;"D11")</f>
        <v>#REF!</v>
      </c>
      <c r="I108" t="e" cm="1">
        <f t="array" aca="1" ref="I108" ca="1">INDIRECT("'"&amp;C108&amp;"'!"&amp;"D12")</f>
        <v>#REF!</v>
      </c>
      <c r="J108" t="e" cm="1">
        <f t="array" aca="1" ref="J108" ca="1">INDIRECT("'"&amp;C108&amp;"'!"&amp;"D13")</f>
        <v>#REF!</v>
      </c>
    </row>
    <row r="109" spans="1:10">
      <c r="A109" t="s">
        <v>2633</v>
      </c>
      <c r="B109" t="s">
        <v>2674</v>
      </c>
      <c r="C109" t="s">
        <v>2675</v>
      </c>
      <c r="D109" s="34" t="s">
        <v>2306</v>
      </c>
      <c r="E109" t="str" cm="1">
        <f t="array" aca="1" ref="E109" ca="1">INDIRECT("'"&amp;C109&amp;"'!"&amp;"D5")</f>
        <v>Chlorobenzenes는 벤젠의 염소화로 생산되는 방향족 염소화합물군으로, 상업적으로는 Monochlorobenzene(MCB), o-Dichlorobenzene(o-DCB), p-Dichlorobenzene(p-DCB)가 대부분의 시장을 구성하며 다양한 화학중간체 및 기능성 소재 원료로 사용된다.</v>
      </c>
      <c r="F109" t="str" cm="1">
        <f t="array" aca="1" ref="F109" ca="1">INDIRECT("'"&amp;C109&amp;"'!"&amp;"D6")</f>
        <v>벤젠을 염소와 반응시켜 Lewis acid 촉매 존재하에 염소화하는 공정이 상업적으로 사용되며, 생성된 혼합물을 증류·결정화하여 MCB, o-DCB, p-DCB를 분리한다.</v>
      </c>
      <c r="G109" t="str" cm="1">
        <f t="array" aca="1" ref="G109" ca="1">INDIRECT("'"&amp;C109&amp;"'!"&amp;"D10")</f>
        <v>Y</v>
      </c>
      <c r="H109" t="str" cm="1">
        <f t="array" aca="1" ref="H109" ca="1">INDIRECT("'"&amp;C109&amp;"'!"&amp;"D11")</f>
        <v>도레이첨단소재(14)</v>
      </c>
      <c r="I109" cm="1">
        <f t="array" aca="1" ref="I109" ca="1">INDIRECT("'"&amp;C109&amp;"'!"&amp;"D12")</f>
        <v>2903911000</v>
      </c>
      <c r="J109" t="str" cm="1">
        <f t="array" aca="1" ref="J109" ca="1">INDIRECT("'"&amp;C109&amp;"'!"&amp;"D13")</f>
        <v>Net Import</v>
      </c>
    </row>
  </sheetData>
  <phoneticPr fontId="1" type="noConversion"/>
  <pageMargins left="0.7" right="0.7" top="0.75" bottom="0.75" header="0.3" footer="0.3"/>
  <pageSetup paperSize="9" orientation="portrait" verticalDpi="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866A-5634-4FF5-8879-B014DDFF6593}">
  <dimension ref="A3:D35"/>
  <sheetViews>
    <sheetView workbookViewId="0">
      <selection activeCell="E29" sqref="E29"/>
    </sheetView>
  </sheetViews>
  <sheetFormatPr defaultRowHeight="16.5"/>
  <cols>
    <col min="1" max="1" width="14.625" bestFit="1" customWidth="1"/>
    <col min="2" max="2" width="17.625" bestFit="1" customWidth="1"/>
    <col min="3" max="3" width="15.375" bestFit="1" customWidth="1"/>
    <col min="4" max="4" width="17.625" bestFit="1" customWidth="1"/>
    <col min="5" max="5" width="15.375" bestFit="1" customWidth="1"/>
    <col min="6" max="6" width="17.625" bestFit="1" customWidth="1"/>
    <col min="7" max="7" width="15.375" bestFit="1" customWidth="1"/>
    <col min="8" max="8" width="17.625" bestFit="1" customWidth="1"/>
    <col min="9" max="9" width="15.375" bestFit="1" customWidth="1"/>
    <col min="10" max="10" width="22.5" bestFit="1" customWidth="1"/>
    <col min="11" max="11" width="20.25" bestFit="1" customWidth="1"/>
  </cols>
  <sheetData>
    <row r="3" spans="1:3">
      <c r="A3" s="22" t="s">
        <v>744</v>
      </c>
      <c r="B3" t="s">
        <v>748</v>
      </c>
      <c r="C3" t="s">
        <v>749</v>
      </c>
    </row>
    <row r="4" spans="1:3">
      <c r="A4" s="23" t="s">
        <v>729</v>
      </c>
      <c r="B4">
        <v>59</v>
      </c>
      <c r="C4">
        <v>54</v>
      </c>
    </row>
    <row r="5" spans="1:3">
      <c r="A5" s="24" t="s">
        <v>5</v>
      </c>
      <c r="B5">
        <v>13</v>
      </c>
      <c r="C5">
        <v>13</v>
      </c>
    </row>
    <row r="6" spans="1:3">
      <c r="A6" s="24" t="s">
        <v>6</v>
      </c>
      <c r="B6">
        <v>14</v>
      </c>
      <c r="C6">
        <v>14</v>
      </c>
    </row>
    <row r="7" spans="1:3">
      <c r="A7" s="24" t="s">
        <v>12</v>
      </c>
      <c r="B7">
        <v>7</v>
      </c>
      <c r="C7">
        <v>6</v>
      </c>
    </row>
    <row r="8" spans="1:3">
      <c r="A8" s="24" t="s">
        <v>746</v>
      </c>
      <c r="B8">
        <v>3</v>
      </c>
    </row>
    <row r="9" spans="1:3">
      <c r="A9" s="24" t="s">
        <v>2305</v>
      </c>
      <c r="B9">
        <v>22</v>
      </c>
      <c r="C9">
        <v>21</v>
      </c>
    </row>
    <row r="10" spans="1:3">
      <c r="A10" s="23" t="s">
        <v>212</v>
      </c>
      <c r="B10">
        <v>11</v>
      </c>
    </row>
    <row r="11" spans="1:3">
      <c r="A11" s="24" t="s">
        <v>743</v>
      </c>
      <c r="B11">
        <v>11</v>
      </c>
    </row>
    <row r="12" spans="1:3">
      <c r="A12" s="23" t="s">
        <v>730</v>
      </c>
      <c r="B12">
        <v>38</v>
      </c>
      <c r="C12">
        <v>19</v>
      </c>
    </row>
    <row r="13" spans="1:3">
      <c r="A13" s="24" t="s">
        <v>5</v>
      </c>
      <c r="B13">
        <v>12</v>
      </c>
      <c r="C13">
        <v>6</v>
      </c>
    </row>
    <row r="14" spans="1:3">
      <c r="A14" s="24" t="s">
        <v>6</v>
      </c>
      <c r="B14">
        <v>11</v>
      </c>
      <c r="C14">
        <v>10</v>
      </c>
    </row>
    <row r="15" spans="1:3">
      <c r="A15" s="24" t="s">
        <v>12</v>
      </c>
      <c r="B15">
        <v>6</v>
      </c>
    </row>
    <row r="16" spans="1:3">
      <c r="A16" s="24" t="s">
        <v>746</v>
      </c>
      <c r="B16">
        <v>2</v>
      </c>
    </row>
    <row r="17" spans="1:4">
      <c r="A17" s="24" t="s">
        <v>2305</v>
      </c>
      <c r="B17">
        <v>7</v>
      </c>
      <c r="C17">
        <v>3</v>
      </c>
    </row>
    <row r="18" spans="1:4">
      <c r="A18" s="23" t="s">
        <v>747</v>
      </c>
      <c r="B18">
        <v>108</v>
      </c>
      <c r="C18">
        <v>73</v>
      </c>
    </row>
    <row r="21" spans="1:4">
      <c r="A21" s="26" t="s">
        <v>2500</v>
      </c>
      <c r="B21" s="26" t="s">
        <v>751</v>
      </c>
      <c r="C21" s="26" t="s">
        <v>752</v>
      </c>
      <c r="D21" s="26" t="s">
        <v>750</v>
      </c>
    </row>
    <row r="22" spans="1:4">
      <c r="A22" s="24" t="s">
        <v>746</v>
      </c>
      <c r="B22">
        <v>3</v>
      </c>
      <c r="D22" s="25">
        <f>C22/B22</f>
        <v>0</v>
      </c>
    </row>
    <row r="23" spans="1:4">
      <c r="A23" s="24" t="s">
        <v>5</v>
      </c>
      <c r="B23">
        <v>13</v>
      </c>
      <c r="C23">
        <v>13</v>
      </c>
      <c r="D23" s="25">
        <f>C23/B23</f>
        <v>1</v>
      </c>
    </row>
    <row r="24" spans="1:4">
      <c r="A24" s="24" t="s">
        <v>6</v>
      </c>
      <c r="B24">
        <v>14</v>
      </c>
      <c r="C24">
        <v>14</v>
      </c>
      <c r="D24" s="25">
        <f>C24/B24</f>
        <v>1</v>
      </c>
    </row>
    <row r="25" spans="1:4">
      <c r="A25" s="24" t="s">
        <v>12</v>
      </c>
      <c r="B25">
        <v>6</v>
      </c>
      <c r="C25">
        <v>6</v>
      </c>
      <c r="D25" s="25">
        <f t="shared" ref="D25:D27" si="0">C25/B25</f>
        <v>1</v>
      </c>
    </row>
    <row r="26" spans="1:4">
      <c r="A26" s="24" t="s">
        <v>2306</v>
      </c>
      <c r="B26">
        <v>18</v>
      </c>
      <c r="C26">
        <v>18</v>
      </c>
      <c r="D26" s="25">
        <f t="shared" si="0"/>
        <v>1</v>
      </c>
    </row>
    <row r="27" spans="1:4">
      <c r="A27" s="24" t="s">
        <v>753</v>
      </c>
      <c r="B27">
        <f>SUM(B22:B26)</f>
        <v>54</v>
      </c>
      <c r="C27">
        <f>SUM(C22:C26)</f>
        <v>51</v>
      </c>
      <c r="D27" s="25">
        <f t="shared" si="0"/>
        <v>0.94444444444444442</v>
      </c>
    </row>
    <row r="29" spans="1:4">
      <c r="A29" s="26" t="s">
        <v>2501</v>
      </c>
      <c r="B29" s="26" t="s">
        <v>751</v>
      </c>
      <c r="C29" s="26" t="s">
        <v>752</v>
      </c>
      <c r="D29" s="26" t="s">
        <v>750</v>
      </c>
    </row>
    <row r="30" spans="1:4">
      <c r="A30" s="24" t="s">
        <v>746</v>
      </c>
      <c r="B30">
        <v>2</v>
      </c>
      <c r="D30" s="25">
        <f>C30/B30</f>
        <v>0</v>
      </c>
    </row>
    <row r="31" spans="1:4">
      <c r="A31" s="24" t="s">
        <v>5</v>
      </c>
      <c r="B31">
        <v>14</v>
      </c>
      <c r="C31">
        <v>5</v>
      </c>
      <c r="D31" s="25">
        <f t="shared" ref="D31:D35" si="1">C31/B31</f>
        <v>0.35714285714285715</v>
      </c>
    </row>
    <row r="32" spans="1:4">
      <c r="A32" s="24" t="s">
        <v>6</v>
      </c>
      <c r="B32">
        <v>11</v>
      </c>
      <c r="C32">
        <v>9</v>
      </c>
      <c r="D32" s="25">
        <f t="shared" si="1"/>
        <v>0.81818181818181823</v>
      </c>
    </row>
    <row r="33" spans="1:4">
      <c r="A33" s="24" t="s">
        <v>12</v>
      </c>
      <c r="B33">
        <v>9</v>
      </c>
      <c r="D33" s="25">
        <f t="shared" si="1"/>
        <v>0</v>
      </c>
    </row>
    <row r="34" spans="1:4">
      <c r="A34" s="24" t="s">
        <v>2306</v>
      </c>
      <c r="B34">
        <v>10</v>
      </c>
      <c r="C34">
        <v>3</v>
      </c>
      <c r="D34" s="25">
        <f t="shared" si="1"/>
        <v>0.3</v>
      </c>
    </row>
    <row r="35" spans="1:4">
      <c r="A35" s="24" t="s">
        <v>753</v>
      </c>
      <c r="B35">
        <f>SUM(B30:B34)</f>
        <v>46</v>
      </c>
      <c r="C35">
        <f>SUM(C30:C34)</f>
        <v>17</v>
      </c>
      <c r="D35" s="25">
        <f t="shared" si="1"/>
        <v>0.36956521739130432</v>
      </c>
    </row>
  </sheetData>
  <phoneticPr fontId="1" type="noConversion"/>
  <pageMargins left="0.7" right="0.7" top="0.75" bottom="0.75" header="0.3" footer="0.3"/>
  <pageSetup paperSize="9" orientation="portrait"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040AF-BF55-48D9-9143-5547EC901D1D}">
  <dimension ref="A1:H109"/>
  <sheetViews>
    <sheetView topLeftCell="A43" zoomScale="85" zoomScaleNormal="85" workbookViewId="0">
      <selection activeCell="F69" sqref="F69"/>
    </sheetView>
  </sheetViews>
  <sheetFormatPr defaultRowHeight="16.5"/>
  <cols>
    <col min="1" max="1" width="13.5" bestFit="1" customWidth="1"/>
    <col min="2" max="2" width="17.125" bestFit="1" customWidth="1"/>
    <col min="3" max="3" width="17.5" bestFit="1" customWidth="1"/>
    <col min="4" max="4" width="16" bestFit="1" customWidth="1"/>
    <col min="5" max="7" width="16" customWidth="1"/>
    <col min="8" max="8" width="17.5" customWidth="1"/>
  </cols>
  <sheetData>
    <row r="1" spans="1:8">
      <c r="A1" s="2" t="s">
        <v>1</v>
      </c>
      <c r="B1" s="2" t="s">
        <v>2</v>
      </c>
      <c r="C1" s="2" t="s">
        <v>3</v>
      </c>
      <c r="D1" s="2" t="s">
        <v>723</v>
      </c>
      <c r="E1" s="2" t="s">
        <v>731</v>
      </c>
      <c r="F1" s="2" t="s">
        <v>2379</v>
      </c>
      <c r="G1" s="2" t="s">
        <v>2478</v>
      </c>
      <c r="H1" s="2" t="s">
        <v>724</v>
      </c>
    </row>
    <row r="2" spans="1:8">
      <c r="A2" t="s">
        <v>4</v>
      </c>
      <c r="B2" t="s">
        <v>5</v>
      </c>
      <c r="C2" s="27" t="s">
        <v>147</v>
      </c>
      <c r="D2" t="s">
        <v>725</v>
      </c>
      <c r="E2" t="s">
        <v>729</v>
      </c>
      <c r="F2" t="s">
        <v>2380</v>
      </c>
      <c r="G2" t="s">
        <v>2479</v>
      </c>
      <c r="H2" t="s">
        <v>728</v>
      </c>
    </row>
    <row r="3" spans="1:8">
      <c r="A3" t="s">
        <v>34</v>
      </c>
      <c r="B3" t="s">
        <v>22</v>
      </c>
      <c r="C3" s="27" t="s">
        <v>5</v>
      </c>
      <c r="D3" t="s">
        <v>725</v>
      </c>
      <c r="E3" t="s">
        <v>729</v>
      </c>
      <c r="F3" t="s">
        <v>2381</v>
      </c>
      <c r="G3" t="s">
        <v>2479</v>
      </c>
      <c r="H3" t="s">
        <v>728</v>
      </c>
    </row>
    <row r="4" spans="1:8">
      <c r="A4" t="s">
        <v>7</v>
      </c>
      <c r="B4" t="s">
        <v>23</v>
      </c>
      <c r="C4" s="27" t="s">
        <v>5</v>
      </c>
      <c r="D4" t="s">
        <v>725</v>
      </c>
      <c r="E4" t="s">
        <v>729</v>
      </c>
      <c r="F4" t="s">
        <v>2382</v>
      </c>
      <c r="G4" t="s">
        <v>2479</v>
      </c>
      <c r="H4" t="s">
        <v>728</v>
      </c>
    </row>
    <row r="5" spans="1:8">
      <c r="A5" t="s">
        <v>9</v>
      </c>
      <c r="B5" t="s">
        <v>24</v>
      </c>
      <c r="C5" s="27" t="s">
        <v>5</v>
      </c>
      <c r="D5" t="s">
        <v>725</v>
      </c>
      <c r="E5" t="s">
        <v>729</v>
      </c>
      <c r="F5" t="s">
        <v>2383</v>
      </c>
      <c r="G5" t="s">
        <v>2479</v>
      </c>
      <c r="H5" t="s">
        <v>728</v>
      </c>
    </row>
    <row r="6" spans="1:8">
      <c r="A6" t="s">
        <v>10</v>
      </c>
      <c r="B6" t="s">
        <v>119</v>
      </c>
      <c r="C6" s="27" t="s">
        <v>5</v>
      </c>
      <c r="D6" t="s">
        <v>725</v>
      </c>
      <c r="E6" t="s">
        <v>729</v>
      </c>
      <c r="F6" t="s">
        <v>2384</v>
      </c>
      <c r="G6" t="s">
        <v>2479</v>
      </c>
      <c r="H6" t="s">
        <v>728</v>
      </c>
    </row>
    <row r="7" spans="1:8">
      <c r="A7" t="s">
        <v>11</v>
      </c>
      <c r="B7" t="s">
        <v>32</v>
      </c>
      <c r="C7" s="27" t="s">
        <v>5</v>
      </c>
      <c r="D7" t="s">
        <v>725</v>
      </c>
      <c r="E7" t="s">
        <v>729</v>
      </c>
      <c r="F7" t="s">
        <v>2385</v>
      </c>
      <c r="G7" t="s">
        <v>2479</v>
      </c>
      <c r="H7" t="s">
        <v>728</v>
      </c>
    </row>
    <row r="8" spans="1:8">
      <c r="A8" t="s">
        <v>13</v>
      </c>
      <c r="B8" t="s">
        <v>25</v>
      </c>
      <c r="C8" s="27" t="s">
        <v>5</v>
      </c>
      <c r="D8" t="s">
        <v>725</v>
      </c>
      <c r="E8" t="s">
        <v>729</v>
      </c>
      <c r="F8" t="s">
        <v>2386</v>
      </c>
      <c r="G8" t="s">
        <v>2479</v>
      </c>
      <c r="H8" t="s">
        <v>728</v>
      </c>
    </row>
    <row r="9" spans="1:8">
      <c r="A9" t="s">
        <v>15</v>
      </c>
      <c r="B9" t="s">
        <v>28</v>
      </c>
      <c r="C9" s="27" t="s">
        <v>5</v>
      </c>
      <c r="D9" t="s">
        <v>725</v>
      </c>
      <c r="E9" t="s">
        <v>729</v>
      </c>
      <c r="F9" t="s">
        <v>2387</v>
      </c>
      <c r="G9" t="s">
        <v>2479</v>
      </c>
      <c r="H9" t="s">
        <v>728</v>
      </c>
    </row>
    <row r="10" spans="1:8">
      <c r="A10" t="s">
        <v>17</v>
      </c>
      <c r="B10" t="s">
        <v>26</v>
      </c>
      <c r="C10" s="27" t="s">
        <v>5</v>
      </c>
      <c r="D10" t="s">
        <v>725</v>
      </c>
      <c r="E10" t="s">
        <v>729</v>
      </c>
      <c r="F10" t="s">
        <v>2388</v>
      </c>
      <c r="G10" t="s">
        <v>2479</v>
      </c>
      <c r="H10" t="s">
        <v>728</v>
      </c>
    </row>
    <row r="11" spans="1:8">
      <c r="A11" t="s">
        <v>35</v>
      </c>
      <c r="B11" t="s">
        <v>127</v>
      </c>
      <c r="C11" s="27" t="s">
        <v>5</v>
      </c>
      <c r="D11" t="s">
        <v>725</v>
      </c>
      <c r="E11" t="s">
        <v>730</v>
      </c>
      <c r="F11" t="s">
        <v>2389</v>
      </c>
      <c r="G11" t="s">
        <v>2479</v>
      </c>
      <c r="H11" t="s">
        <v>728</v>
      </c>
    </row>
    <row r="12" spans="1:8">
      <c r="A12" t="s">
        <v>36</v>
      </c>
      <c r="B12" t="s">
        <v>29</v>
      </c>
      <c r="C12" s="27" t="s">
        <v>5</v>
      </c>
      <c r="D12" t="s">
        <v>725</v>
      </c>
      <c r="E12" t="s">
        <v>730</v>
      </c>
      <c r="F12" t="s">
        <v>2390</v>
      </c>
      <c r="G12" t="s">
        <v>2479</v>
      </c>
      <c r="H12" t="s">
        <v>728</v>
      </c>
    </row>
    <row r="13" spans="1:8">
      <c r="A13" t="s">
        <v>37</v>
      </c>
      <c r="B13" t="s">
        <v>30</v>
      </c>
      <c r="C13" s="27" t="s">
        <v>5</v>
      </c>
      <c r="D13" t="s">
        <v>725</v>
      </c>
      <c r="E13" t="s">
        <v>730</v>
      </c>
      <c r="F13" t="s">
        <v>2391</v>
      </c>
      <c r="G13" t="s">
        <v>2479</v>
      </c>
      <c r="H13" t="s">
        <v>728</v>
      </c>
    </row>
    <row r="14" spans="1:8">
      <c r="A14" t="s">
        <v>38</v>
      </c>
      <c r="B14" t="s">
        <v>31</v>
      </c>
      <c r="C14" s="27" t="s">
        <v>5</v>
      </c>
      <c r="D14" t="s">
        <v>725</v>
      </c>
      <c r="E14" t="s">
        <v>730</v>
      </c>
      <c r="F14" t="s">
        <v>2392</v>
      </c>
      <c r="G14" t="s">
        <v>2479</v>
      </c>
      <c r="H14" t="s">
        <v>728</v>
      </c>
    </row>
    <row r="15" spans="1:8">
      <c r="A15" t="s">
        <v>39</v>
      </c>
      <c r="B15" t="s">
        <v>128</v>
      </c>
      <c r="C15" s="27" t="s">
        <v>5</v>
      </c>
      <c r="D15" t="s">
        <v>725</v>
      </c>
      <c r="E15" t="s">
        <v>729</v>
      </c>
      <c r="F15" t="s">
        <v>2393</v>
      </c>
      <c r="G15" t="s">
        <v>2479</v>
      </c>
      <c r="H15" t="s">
        <v>728</v>
      </c>
    </row>
    <row r="16" spans="1:8">
      <c r="A16" t="s">
        <v>40</v>
      </c>
      <c r="B16" t="s">
        <v>27</v>
      </c>
      <c r="C16" s="27" t="s">
        <v>5</v>
      </c>
      <c r="D16" t="s">
        <v>725</v>
      </c>
      <c r="E16" t="s">
        <v>730</v>
      </c>
      <c r="F16" t="s">
        <v>2394</v>
      </c>
      <c r="G16" t="s">
        <v>2479</v>
      </c>
      <c r="H16" t="s">
        <v>728</v>
      </c>
    </row>
    <row r="17" spans="1:8">
      <c r="A17" t="s">
        <v>41</v>
      </c>
      <c r="B17" t="s">
        <v>33</v>
      </c>
      <c r="C17" s="27" t="s">
        <v>5</v>
      </c>
      <c r="D17" t="s">
        <v>725</v>
      </c>
      <c r="E17" t="s">
        <v>729</v>
      </c>
      <c r="F17" t="s">
        <v>2395</v>
      </c>
      <c r="G17" t="s">
        <v>2479</v>
      </c>
      <c r="H17" t="s">
        <v>728</v>
      </c>
    </row>
    <row r="18" spans="1:8">
      <c r="A18" t="s">
        <v>42</v>
      </c>
      <c r="B18" t="s">
        <v>6</v>
      </c>
      <c r="C18" s="29" t="s">
        <v>6</v>
      </c>
      <c r="D18" t="s">
        <v>726</v>
      </c>
      <c r="E18" t="s">
        <v>729</v>
      </c>
      <c r="F18" t="s">
        <v>2396</v>
      </c>
      <c r="G18" t="s">
        <v>2479</v>
      </c>
      <c r="H18" t="s">
        <v>728</v>
      </c>
    </row>
    <row r="19" spans="1:8">
      <c r="A19" t="s">
        <v>43</v>
      </c>
      <c r="B19" t="s">
        <v>120</v>
      </c>
      <c r="C19" s="29" t="s">
        <v>6</v>
      </c>
      <c r="D19" t="s">
        <v>726</v>
      </c>
      <c r="E19" t="s">
        <v>729</v>
      </c>
      <c r="F19" t="s">
        <v>2397</v>
      </c>
      <c r="G19" t="s">
        <v>2479</v>
      </c>
      <c r="H19" t="s">
        <v>728</v>
      </c>
    </row>
    <row r="20" spans="1:8">
      <c r="A20" t="s">
        <v>44</v>
      </c>
      <c r="B20" t="s">
        <v>81</v>
      </c>
      <c r="C20" s="29" t="s">
        <v>6</v>
      </c>
      <c r="D20" t="s">
        <v>726</v>
      </c>
      <c r="E20" t="s">
        <v>729</v>
      </c>
      <c r="F20" t="s">
        <v>2398</v>
      </c>
      <c r="G20" t="s">
        <v>2479</v>
      </c>
      <c r="H20" t="s">
        <v>728</v>
      </c>
    </row>
    <row r="21" spans="1:8">
      <c r="A21" t="s">
        <v>45</v>
      </c>
      <c r="B21" t="s">
        <v>82</v>
      </c>
      <c r="C21" s="29" t="s">
        <v>6</v>
      </c>
      <c r="D21" t="s">
        <v>726</v>
      </c>
      <c r="E21" t="s">
        <v>730</v>
      </c>
      <c r="F21" t="s">
        <v>2399</v>
      </c>
      <c r="G21" t="s">
        <v>2479</v>
      </c>
      <c r="H21" t="s">
        <v>728</v>
      </c>
    </row>
    <row r="22" spans="1:8">
      <c r="A22" t="s">
        <v>46</v>
      </c>
      <c r="B22" t="s">
        <v>74</v>
      </c>
      <c r="C22" s="29" t="s">
        <v>6</v>
      </c>
      <c r="D22" t="s">
        <v>726</v>
      </c>
      <c r="E22" t="s">
        <v>729</v>
      </c>
      <c r="F22" t="s">
        <v>2400</v>
      </c>
      <c r="G22" t="s">
        <v>2479</v>
      </c>
      <c r="H22" t="s">
        <v>728</v>
      </c>
    </row>
    <row r="23" spans="1:8">
      <c r="A23" t="s">
        <v>47</v>
      </c>
      <c r="B23" t="s">
        <v>111</v>
      </c>
      <c r="C23" s="29" t="s">
        <v>6</v>
      </c>
      <c r="D23" t="s">
        <v>726</v>
      </c>
      <c r="E23" t="s">
        <v>729</v>
      </c>
      <c r="F23" t="s">
        <v>2401</v>
      </c>
      <c r="G23" t="s">
        <v>2479</v>
      </c>
      <c r="H23" t="s">
        <v>728</v>
      </c>
    </row>
    <row r="24" spans="1:8">
      <c r="A24" t="s">
        <v>48</v>
      </c>
      <c r="B24" t="s">
        <v>110</v>
      </c>
      <c r="C24" s="29" t="s">
        <v>6</v>
      </c>
      <c r="D24" t="s">
        <v>726</v>
      </c>
      <c r="E24" t="s">
        <v>729</v>
      </c>
      <c r="F24" t="s">
        <v>2402</v>
      </c>
      <c r="G24" t="s">
        <v>2479</v>
      </c>
      <c r="H24" t="s">
        <v>728</v>
      </c>
    </row>
    <row r="25" spans="1:8">
      <c r="A25" t="s">
        <v>49</v>
      </c>
      <c r="B25" t="s">
        <v>108</v>
      </c>
      <c r="C25" s="29" t="s">
        <v>6</v>
      </c>
      <c r="D25" t="s">
        <v>726</v>
      </c>
      <c r="E25" t="s">
        <v>729</v>
      </c>
      <c r="F25" t="s">
        <v>2403</v>
      </c>
      <c r="G25" t="s">
        <v>2479</v>
      </c>
      <c r="H25" t="s">
        <v>728</v>
      </c>
    </row>
    <row r="26" spans="1:8">
      <c r="A26" t="s">
        <v>50</v>
      </c>
      <c r="B26" t="s">
        <v>109</v>
      </c>
      <c r="C26" s="29" t="s">
        <v>6</v>
      </c>
      <c r="D26" t="s">
        <v>726</v>
      </c>
      <c r="E26" t="s">
        <v>729</v>
      </c>
      <c r="F26" t="s">
        <v>2404</v>
      </c>
      <c r="G26" t="s">
        <v>2479</v>
      </c>
      <c r="H26" t="s">
        <v>728</v>
      </c>
    </row>
    <row r="27" spans="1:8">
      <c r="A27" t="s">
        <v>51</v>
      </c>
      <c r="B27" t="s">
        <v>75</v>
      </c>
      <c r="C27" s="29" t="s">
        <v>6</v>
      </c>
      <c r="D27" t="s">
        <v>726</v>
      </c>
      <c r="E27" t="s">
        <v>730</v>
      </c>
      <c r="F27" t="s">
        <v>2405</v>
      </c>
      <c r="G27" t="s">
        <v>2479</v>
      </c>
      <c r="H27" t="s">
        <v>728</v>
      </c>
    </row>
    <row r="28" spans="1:8">
      <c r="A28" t="s">
        <v>52</v>
      </c>
      <c r="B28" t="s">
        <v>112</v>
      </c>
      <c r="C28" s="29" t="s">
        <v>6</v>
      </c>
      <c r="D28" t="s">
        <v>726</v>
      </c>
      <c r="E28" t="s">
        <v>730</v>
      </c>
      <c r="F28" t="s">
        <v>2406</v>
      </c>
      <c r="G28" t="s">
        <v>2479</v>
      </c>
      <c r="H28" t="s">
        <v>728</v>
      </c>
    </row>
    <row r="29" spans="1:8">
      <c r="A29" t="s">
        <v>53</v>
      </c>
      <c r="B29" t="s">
        <v>78</v>
      </c>
      <c r="C29" s="29" t="s">
        <v>6</v>
      </c>
      <c r="D29" t="s">
        <v>726</v>
      </c>
      <c r="E29" t="s">
        <v>729</v>
      </c>
      <c r="F29" t="s">
        <v>2407</v>
      </c>
      <c r="G29" t="s">
        <v>2479</v>
      </c>
      <c r="H29" t="s">
        <v>728</v>
      </c>
    </row>
    <row r="30" spans="1:8">
      <c r="A30" t="s">
        <v>54</v>
      </c>
      <c r="B30" t="s">
        <v>113</v>
      </c>
      <c r="C30" s="29" t="s">
        <v>6</v>
      </c>
      <c r="D30" t="s">
        <v>726</v>
      </c>
      <c r="E30" t="s">
        <v>730</v>
      </c>
      <c r="F30" t="s">
        <v>2408</v>
      </c>
      <c r="G30" t="s">
        <v>2479</v>
      </c>
      <c r="H30" t="s">
        <v>728</v>
      </c>
    </row>
    <row r="31" spans="1:8">
      <c r="A31" t="s">
        <v>55</v>
      </c>
      <c r="B31" t="s">
        <v>79</v>
      </c>
      <c r="C31" s="29" t="s">
        <v>6</v>
      </c>
      <c r="D31" t="s">
        <v>726</v>
      </c>
      <c r="E31" t="s">
        <v>729</v>
      </c>
      <c r="F31" t="s">
        <v>2409</v>
      </c>
      <c r="G31" t="s">
        <v>2479</v>
      </c>
      <c r="H31" t="s">
        <v>728</v>
      </c>
    </row>
    <row r="32" spans="1:8">
      <c r="A32" t="s">
        <v>56</v>
      </c>
      <c r="B32" t="s">
        <v>2810</v>
      </c>
      <c r="C32" s="29" t="s">
        <v>6</v>
      </c>
      <c r="D32" t="s">
        <v>726</v>
      </c>
      <c r="E32" t="s">
        <v>730</v>
      </c>
      <c r="F32" t="s">
        <v>2811</v>
      </c>
      <c r="G32" t="s">
        <v>2479</v>
      </c>
      <c r="H32" t="s">
        <v>728</v>
      </c>
    </row>
    <row r="33" spans="1:8">
      <c r="A33" t="s">
        <v>57</v>
      </c>
      <c r="B33" t="s">
        <v>193</v>
      </c>
      <c r="C33" s="29" t="s">
        <v>6</v>
      </c>
      <c r="D33" t="s">
        <v>726</v>
      </c>
      <c r="E33" t="s">
        <v>729</v>
      </c>
      <c r="F33" t="s">
        <v>2410</v>
      </c>
      <c r="G33" t="s">
        <v>2479</v>
      </c>
      <c r="H33" t="s">
        <v>728</v>
      </c>
    </row>
    <row r="34" spans="1:8">
      <c r="A34" t="s">
        <v>58</v>
      </c>
      <c r="B34" t="s">
        <v>183</v>
      </c>
      <c r="C34" s="29" t="s">
        <v>6</v>
      </c>
      <c r="D34" t="s">
        <v>726</v>
      </c>
      <c r="E34" t="s">
        <v>729</v>
      </c>
      <c r="F34" t="s">
        <v>2411</v>
      </c>
      <c r="G34" t="s">
        <v>2479</v>
      </c>
      <c r="H34" t="s">
        <v>728</v>
      </c>
    </row>
    <row r="35" spans="1:8">
      <c r="A35" t="s">
        <v>59</v>
      </c>
      <c r="B35" t="s">
        <v>83</v>
      </c>
      <c r="C35" s="29" t="s">
        <v>6</v>
      </c>
      <c r="D35" t="s">
        <v>726</v>
      </c>
      <c r="E35" t="s">
        <v>730</v>
      </c>
      <c r="F35" t="s">
        <v>2412</v>
      </c>
      <c r="G35" t="s">
        <v>2479</v>
      </c>
      <c r="H35" t="s">
        <v>728</v>
      </c>
    </row>
    <row r="36" spans="1:8">
      <c r="A36" t="s">
        <v>60</v>
      </c>
      <c r="B36" t="s">
        <v>80</v>
      </c>
      <c r="C36" s="29" t="s">
        <v>6</v>
      </c>
      <c r="D36" t="s">
        <v>726</v>
      </c>
      <c r="E36" t="s">
        <v>730</v>
      </c>
      <c r="F36" t="s">
        <v>2413</v>
      </c>
      <c r="G36" t="s">
        <v>2479</v>
      </c>
      <c r="H36" t="s">
        <v>728</v>
      </c>
    </row>
    <row r="37" spans="1:8">
      <c r="A37" t="s">
        <v>61</v>
      </c>
      <c r="B37" t="s">
        <v>84</v>
      </c>
      <c r="C37" s="29" t="s">
        <v>6</v>
      </c>
      <c r="D37" t="s">
        <v>726</v>
      </c>
      <c r="E37" t="s">
        <v>730</v>
      </c>
      <c r="F37" t="s">
        <v>2414</v>
      </c>
      <c r="G37" t="s">
        <v>2479</v>
      </c>
      <c r="H37" t="s">
        <v>728</v>
      </c>
    </row>
    <row r="38" spans="1:8">
      <c r="A38" t="s">
        <v>62</v>
      </c>
      <c r="B38" t="s">
        <v>121</v>
      </c>
      <c r="C38" s="29" t="s">
        <v>6</v>
      </c>
      <c r="D38" t="s">
        <v>726</v>
      </c>
      <c r="E38" t="s">
        <v>729</v>
      </c>
      <c r="F38" t="s">
        <v>2415</v>
      </c>
      <c r="G38" t="s">
        <v>2479</v>
      </c>
      <c r="H38" t="s">
        <v>728</v>
      </c>
    </row>
    <row r="39" spans="1:8">
      <c r="A39" t="s">
        <v>63</v>
      </c>
      <c r="B39" t="s">
        <v>85</v>
      </c>
      <c r="C39" s="29" t="s">
        <v>6</v>
      </c>
      <c r="D39" t="s">
        <v>726</v>
      </c>
      <c r="E39" t="s">
        <v>730</v>
      </c>
      <c r="F39" t="s">
        <v>2416</v>
      </c>
      <c r="G39" t="s">
        <v>2479</v>
      </c>
      <c r="H39" t="s">
        <v>728</v>
      </c>
    </row>
    <row r="40" spans="1:8">
      <c r="A40" t="s">
        <v>64</v>
      </c>
      <c r="B40" s="1" t="s">
        <v>19</v>
      </c>
      <c r="C40" s="32" t="s">
        <v>12</v>
      </c>
      <c r="D40" t="s">
        <v>725</v>
      </c>
      <c r="E40" t="s">
        <v>729</v>
      </c>
      <c r="F40" t="s">
        <v>2417</v>
      </c>
      <c r="G40" t="s">
        <v>2479</v>
      </c>
      <c r="H40" t="s">
        <v>728</v>
      </c>
    </row>
    <row r="41" spans="1:8">
      <c r="A41" t="s">
        <v>65</v>
      </c>
      <c r="B41" s="1" t="s">
        <v>86</v>
      </c>
      <c r="C41" s="32" t="s">
        <v>12</v>
      </c>
      <c r="D41" t="s">
        <v>725</v>
      </c>
      <c r="E41" t="s">
        <v>729</v>
      </c>
      <c r="F41" t="s">
        <v>2418</v>
      </c>
      <c r="G41" t="s">
        <v>2479</v>
      </c>
      <c r="H41" t="s">
        <v>728</v>
      </c>
    </row>
    <row r="42" spans="1:8">
      <c r="A42" t="s">
        <v>66</v>
      </c>
      <c r="B42" s="1" t="s">
        <v>87</v>
      </c>
      <c r="C42" s="32" t="s">
        <v>12</v>
      </c>
      <c r="D42" t="s">
        <v>725</v>
      </c>
      <c r="E42" t="s">
        <v>729</v>
      </c>
      <c r="F42" t="s">
        <v>2419</v>
      </c>
      <c r="G42" t="s">
        <v>2479</v>
      </c>
      <c r="H42" t="s">
        <v>728</v>
      </c>
    </row>
    <row r="43" spans="1:8">
      <c r="A43" t="s">
        <v>67</v>
      </c>
      <c r="B43" s="1" t="s">
        <v>20</v>
      </c>
      <c r="C43" s="32" t="s">
        <v>12</v>
      </c>
      <c r="D43" t="s">
        <v>725</v>
      </c>
      <c r="E43" t="s">
        <v>2479</v>
      </c>
      <c r="F43" t="s">
        <v>2420</v>
      </c>
      <c r="G43" t="s">
        <v>2479</v>
      </c>
      <c r="H43" t="s">
        <v>728</v>
      </c>
    </row>
    <row r="44" spans="1:8">
      <c r="A44" t="s">
        <v>68</v>
      </c>
      <c r="B44" s="1" t="s">
        <v>88</v>
      </c>
      <c r="C44" s="32" t="s">
        <v>12</v>
      </c>
      <c r="D44" t="s">
        <v>725</v>
      </c>
      <c r="E44" t="s">
        <v>2479</v>
      </c>
      <c r="F44" t="s">
        <v>2421</v>
      </c>
      <c r="G44" t="s">
        <v>2479</v>
      </c>
      <c r="H44" t="s">
        <v>728</v>
      </c>
    </row>
    <row r="45" spans="1:8">
      <c r="A45" t="s">
        <v>69</v>
      </c>
      <c r="B45" s="1" t="s">
        <v>91</v>
      </c>
      <c r="C45" s="32" t="s">
        <v>12</v>
      </c>
      <c r="D45" t="s">
        <v>725</v>
      </c>
      <c r="E45" t="s">
        <v>729</v>
      </c>
      <c r="F45" t="s">
        <v>2422</v>
      </c>
      <c r="G45" t="s">
        <v>2479</v>
      </c>
      <c r="H45" t="s">
        <v>728</v>
      </c>
    </row>
    <row r="46" spans="1:8">
      <c r="A46" t="s">
        <v>70</v>
      </c>
      <c r="B46" s="1" t="s">
        <v>89</v>
      </c>
      <c r="C46" s="32" t="s">
        <v>12</v>
      </c>
      <c r="D46" t="s">
        <v>725</v>
      </c>
      <c r="E46" t="s">
        <v>729</v>
      </c>
      <c r="F46" t="s">
        <v>2423</v>
      </c>
      <c r="G46" t="s">
        <v>2479</v>
      </c>
      <c r="H46" t="s">
        <v>728</v>
      </c>
    </row>
    <row r="47" spans="1:8">
      <c r="A47" t="s">
        <v>71</v>
      </c>
      <c r="B47" s="1" t="s">
        <v>90</v>
      </c>
      <c r="C47" s="32" t="s">
        <v>12</v>
      </c>
      <c r="D47" t="s">
        <v>725</v>
      </c>
      <c r="E47" t="s">
        <v>729</v>
      </c>
      <c r="F47" t="s">
        <v>2424</v>
      </c>
      <c r="G47" t="s">
        <v>2479</v>
      </c>
      <c r="H47" t="s">
        <v>728</v>
      </c>
    </row>
    <row r="48" spans="1:8">
      <c r="A48" t="s">
        <v>72</v>
      </c>
      <c r="B48" s="1" t="s">
        <v>14</v>
      </c>
      <c r="C48" s="32" t="s">
        <v>12</v>
      </c>
      <c r="D48" t="s">
        <v>727</v>
      </c>
      <c r="E48" t="s">
        <v>730</v>
      </c>
      <c r="F48" t="s">
        <v>2425</v>
      </c>
      <c r="G48" t="s">
        <v>2480</v>
      </c>
    </row>
    <row r="49" spans="1:8">
      <c r="A49" t="s">
        <v>73</v>
      </c>
      <c r="B49" s="1" t="s">
        <v>8</v>
      </c>
      <c r="C49" s="34" t="s">
        <v>2306</v>
      </c>
      <c r="D49" t="s">
        <v>725</v>
      </c>
      <c r="E49" t="s">
        <v>729</v>
      </c>
      <c r="F49" t="s">
        <v>2426</v>
      </c>
      <c r="G49" t="s">
        <v>2479</v>
      </c>
      <c r="H49" t="s">
        <v>728</v>
      </c>
    </row>
    <row r="50" spans="1:8">
      <c r="A50" t="s">
        <v>92</v>
      </c>
      <c r="B50" s="1" t="s">
        <v>16</v>
      </c>
      <c r="C50" s="34" t="s">
        <v>2306</v>
      </c>
      <c r="D50" t="s">
        <v>725</v>
      </c>
      <c r="E50" t="s">
        <v>2479</v>
      </c>
      <c r="F50" t="s">
        <v>2427</v>
      </c>
      <c r="G50" t="s">
        <v>2479</v>
      </c>
      <c r="H50" t="s">
        <v>728</v>
      </c>
    </row>
    <row r="51" spans="1:8">
      <c r="A51" t="s">
        <v>93</v>
      </c>
      <c r="B51" s="1" t="s">
        <v>18</v>
      </c>
      <c r="C51" s="34" t="s">
        <v>2306</v>
      </c>
      <c r="D51" t="s">
        <v>725</v>
      </c>
      <c r="E51" t="s">
        <v>729</v>
      </c>
      <c r="F51" t="s">
        <v>2428</v>
      </c>
      <c r="G51" t="s">
        <v>2479</v>
      </c>
      <c r="H51" t="s">
        <v>728</v>
      </c>
    </row>
    <row r="52" spans="1:8">
      <c r="A52" t="s">
        <v>97</v>
      </c>
      <c r="B52" s="1" t="s">
        <v>124</v>
      </c>
      <c r="C52" s="34" t="s">
        <v>2306</v>
      </c>
      <c r="D52" t="s">
        <v>725</v>
      </c>
      <c r="E52" t="s">
        <v>729</v>
      </c>
      <c r="F52" t="s">
        <v>2429</v>
      </c>
      <c r="G52" t="s">
        <v>2479</v>
      </c>
      <c r="H52" t="s">
        <v>728</v>
      </c>
    </row>
    <row r="53" spans="1:8">
      <c r="A53" t="s">
        <v>98</v>
      </c>
      <c r="B53" s="1" t="s">
        <v>21</v>
      </c>
      <c r="C53" s="34" t="s">
        <v>2306</v>
      </c>
      <c r="D53" t="s">
        <v>725</v>
      </c>
      <c r="E53" t="s">
        <v>729</v>
      </c>
      <c r="F53" t="s">
        <v>2430</v>
      </c>
      <c r="G53" t="s">
        <v>2479</v>
      </c>
      <c r="H53" t="s">
        <v>728</v>
      </c>
    </row>
    <row r="54" spans="1:8">
      <c r="A54" t="s">
        <v>99</v>
      </c>
      <c r="B54" s="1" t="s">
        <v>76</v>
      </c>
      <c r="C54" s="34" t="s">
        <v>2306</v>
      </c>
      <c r="D54" t="s">
        <v>725</v>
      </c>
      <c r="E54" t="s">
        <v>729</v>
      </c>
      <c r="F54" t="s">
        <v>2431</v>
      </c>
      <c r="G54" t="s">
        <v>2479</v>
      </c>
      <c r="H54" t="s">
        <v>728</v>
      </c>
    </row>
    <row r="55" spans="1:8">
      <c r="A55" t="s">
        <v>100</v>
      </c>
      <c r="B55" s="1" t="s">
        <v>77</v>
      </c>
      <c r="C55" s="34" t="s">
        <v>2306</v>
      </c>
      <c r="D55" t="s">
        <v>725</v>
      </c>
      <c r="E55" t="s">
        <v>729</v>
      </c>
      <c r="F55" t="s">
        <v>2432</v>
      </c>
      <c r="G55" t="s">
        <v>2479</v>
      </c>
      <c r="H55" t="s">
        <v>728</v>
      </c>
    </row>
    <row r="56" spans="1:8">
      <c r="A56" t="s">
        <v>101</v>
      </c>
      <c r="B56" s="1" t="s">
        <v>125</v>
      </c>
      <c r="C56" s="34" t="s">
        <v>2306</v>
      </c>
      <c r="D56" t="s">
        <v>725</v>
      </c>
      <c r="E56" t="s">
        <v>729</v>
      </c>
      <c r="F56" t="s">
        <v>2433</v>
      </c>
      <c r="G56" t="s">
        <v>2479</v>
      </c>
      <c r="H56" t="s">
        <v>728</v>
      </c>
    </row>
    <row r="57" spans="1:8">
      <c r="A57" t="s">
        <v>102</v>
      </c>
      <c r="B57" s="1" t="s">
        <v>126</v>
      </c>
      <c r="C57" s="34" t="s">
        <v>2306</v>
      </c>
      <c r="D57" t="s">
        <v>725</v>
      </c>
      <c r="E57" t="s">
        <v>729</v>
      </c>
      <c r="F57" t="s">
        <v>2434</v>
      </c>
      <c r="G57" t="s">
        <v>2479</v>
      </c>
      <c r="H57" t="s">
        <v>728</v>
      </c>
    </row>
    <row r="58" spans="1:8">
      <c r="A58" t="s">
        <v>103</v>
      </c>
      <c r="B58" s="1" t="s">
        <v>96</v>
      </c>
      <c r="C58" s="34" t="s">
        <v>2306</v>
      </c>
      <c r="D58" t="s">
        <v>725</v>
      </c>
      <c r="E58" t="s">
        <v>729</v>
      </c>
      <c r="F58" t="s">
        <v>2435</v>
      </c>
      <c r="G58" t="s">
        <v>2479</v>
      </c>
      <c r="H58" t="s">
        <v>728</v>
      </c>
    </row>
    <row r="59" spans="1:8">
      <c r="A59" t="s">
        <v>104</v>
      </c>
      <c r="B59" s="1" t="s">
        <v>95</v>
      </c>
      <c r="C59" s="34" t="s">
        <v>2306</v>
      </c>
      <c r="D59" t="s">
        <v>725</v>
      </c>
      <c r="E59" t="s">
        <v>729</v>
      </c>
      <c r="F59" t="s">
        <v>2436</v>
      </c>
      <c r="G59" t="s">
        <v>2479</v>
      </c>
      <c r="H59" t="s">
        <v>728</v>
      </c>
    </row>
    <row r="60" spans="1:8">
      <c r="A60" t="s">
        <v>105</v>
      </c>
      <c r="B60" s="1" t="s">
        <v>94</v>
      </c>
      <c r="C60" s="34" t="s">
        <v>2306</v>
      </c>
      <c r="D60" t="s">
        <v>725</v>
      </c>
      <c r="E60" t="s">
        <v>2479</v>
      </c>
      <c r="F60" t="s">
        <v>2437</v>
      </c>
      <c r="G60" t="s">
        <v>2479</v>
      </c>
      <c r="H60" t="s">
        <v>728</v>
      </c>
    </row>
    <row r="61" spans="1:8">
      <c r="A61" t="s">
        <v>106</v>
      </c>
      <c r="B61" s="1" t="s">
        <v>115</v>
      </c>
      <c r="C61" s="34" t="s">
        <v>2306</v>
      </c>
      <c r="D61" t="s">
        <v>725</v>
      </c>
      <c r="E61" t="s">
        <v>729</v>
      </c>
      <c r="F61" t="s">
        <v>2438</v>
      </c>
      <c r="G61" t="s">
        <v>2479</v>
      </c>
      <c r="H61" t="s">
        <v>728</v>
      </c>
    </row>
    <row r="62" spans="1:8">
      <c r="A62" t="s">
        <v>116</v>
      </c>
      <c r="B62" s="1" t="s">
        <v>114</v>
      </c>
      <c r="C62" s="34" t="s">
        <v>2306</v>
      </c>
      <c r="D62" t="s">
        <v>727</v>
      </c>
      <c r="E62" t="s">
        <v>730</v>
      </c>
      <c r="F62" t="s">
        <v>2439</v>
      </c>
      <c r="G62" t="s">
        <v>2480</v>
      </c>
    </row>
    <row r="63" spans="1:8">
      <c r="A63" t="s">
        <v>123</v>
      </c>
      <c r="B63" t="s">
        <v>117</v>
      </c>
      <c r="C63" s="33" t="s">
        <v>184</v>
      </c>
      <c r="D63" t="s">
        <v>725</v>
      </c>
      <c r="E63" t="s">
        <v>729</v>
      </c>
      <c r="F63" t="s">
        <v>2440</v>
      </c>
      <c r="G63" t="s">
        <v>2479</v>
      </c>
      <c r="H63" t="s">
        <v>728</v>
      </c>
    </row>
    <row r="64" spans="1:8">
      <c r="A64" t="s">
        <v>129</v>
      </c>
      <c r="B64" t="s">
        <v>118</v>
      </c>
      <c r="C64" s="28" t="s">
        <v>118</v>
      </c>
      <c r="D64" t="s">
        <v>292</v>
      </c>
      <c r="E64" t="s">
        <v>730</v>
      </c>
      <c r="F64" t="s">
        <v>2441</v>
      </c>
      <c r="G64" t="s">
        <v>2480</v>
      </c>
    </row>
    <row r="65" spans="1:8">
      <c r="A65" t="s">
        <v>130</v>
      </c>
      <c r="B65" t="s">
        <v>122</v>
      </c>
      <c r="C65" s="28" t="s">
        <v>118</v>
      </c>
      <c r="D65" t="s">
        <v>292</v>
      </c>
      <c r="E65" t="s">
        <v>729</v>
      </c>
      <c r="F65" t="s">
        <v>2442</v>
      </c>
      <c r="G65" t="s">
        <v>2480</v>
      </c>
    </row>
    <row r="66" spans="1:8">
      <c r="A66" t="s">
        <v>131</v>
      </c>
      <c r="B66" t="s">
        <v>132</v>
      </c>
      <c r="C66" s="34" t="s">
        <v>2306</v>
      </c>
      <c r="D66" t="s">
        <v>725</v>
      </c>
      <c r="E66" t="s">
        <v>729</v>
      </c>
      <c r="F66" t="s">
        <v>2443</v>
      </c>
      <c r="G66" t="s">
        <v>2479</v>
      </c>
      <c r="H66" t="s">
        <v>728</v>
      </c>
    </row>
    <row r="67" spans="1:8">
      <c r="A67" t="s">
        <v>133</v>
      </c>
      <c r="B67" t="s">
        <v>134</v>
      </c>
      <c r="C67" s="34" t="s">
        <v>2306</v>
      </c>
      <c r="D67" t="s">
        <v>726</v>
      </c>
      <c r="E67" t="s">
        <v>729</v>
      </c>
      <c r="F67" t="s">
        <v>2444</v>
      </c>
      <c r="G67" t="s">
        <v>2479</v>
      </c>
      <c r="H67" t="s">
        <v>728</v>
      </c>
    </row>
    <row r="68" spans="1:8">
      <c r="A68" t="s">
        <v>135</v>
      </c>
      <c r="B68" t="s">
        <v>136</v>
      </c>
      <c r="C68" s="34" t="s">
        <v>2306</v>
      </c>
      <c r="D68" t="s">
        <v>726</v>
      </c>
      <c r="E68" t="s">
        <v>729</v>
      </c>
      <c r="F68" t="s">
        <v>2445</v>
      </c>
      <c r="G68" t="s">
        <v>2479</v>
      </c>
      <c r="H68" t="s">
        <v>728</v>
      </c>
    </row>
    <row r="69" spans="1:8">
      <c r="A69" t="s">
        <v>140</v>
      </c>
      <c r="B69" t="s">
        <v>141</v>
      </c>
      <c r="C69" s="34" t="s">
        <v>2306</v>
      </c>
      <c r="D69" t="s">
        <v>725</v>
      </c>
      <c r="E69" t="s">
        <v>729</v>
      </c>
      <c r="F69" t="s">
        <v>2446</v>
      </c>
      <c r="G69" t="s">
        <v>2479</v>
      </c>
      <c r="H69" t="s">
        <v>728</v>
      </c>
    </row>
    <row r="70" spans="1:8">
      <c r="A70" t="s">
        <v>142</v>
      </c>
      <c r="B70" t="s">
        <v>145</v>
      </c>
      <c r="C70" s="27" t="s">
        <v>147</v>
      </c>
      <c r="D70" t="s">
        <v>725</v>
      </c>
      <c r="E70" t="s">
        <v>730</v>
      </c>
      <c r="F70" t="s">
        <v>2447</v>
      </c>
      <c r="G70" t="s">
        <v>2479</v>
      </c>
      <c r="H70" t="s">
        <v>728</v>
      </c>
    </row>
    <row r="71" spans="1:8">
      <c r="A71" t="s">
        <v>143</v>
      </c>
      <c r="B71" t="s">
        <v>146</v>
      </c>
      <c r="C71" s="27" t="s">
        <v>147</v>
      </c>
      <c r="D71" t="s">
        <v>725</v>
      </c>
      <c r="E71" t="s">
        <v>730</v>
      </c>
      <c r="F71" t="s">
        <v>2448</v>
      </c>
      <c r="G71" t="s">
        <v>2479</v>
      </c>
      <c r="H71" t="s">
        <v>728</v>
      </c>
    </row>
    <row r="72" spans="1:8">
      <c r="A72" t="s">
        <v>144</v>
      </c>
      <c r="B72" t="s">
        <v>148</v>
      </c>
      <c r="C72" s="27" t="s">
        <v>147</v>
      </c>
      <c r="D72" t="s">
        <v>725</v>
      </c>
      <c r="E72" t="s">
        <v>730</v>
      </c>
      <c r="F72" t="s">
        <v>2449</v>
      </c>
      <c r="G72" t="s">
        <v>2479</v>
      </c>
      <c r="H72" t="s">
        <v>728</v>
      </c>
    </row>
    <row r="73" spans="1:8">
      <c r="A73" t="s">
        <v>149</v>
      </c>
      <c r="B73" t="s">
        <v>151</v>
      </c>
      <c r="C73" s="28" t="s">
        <v>118</v>
      </c>
      <c r="D73" t="s">
        <v>292</v>
      </c>
      <c r="E73" t="s">
        <v>729</v>
      </c>
      <c r="F73" t="s">
        <v>2450</v>
      </c>
      <c r="G73" t="s">
        <v>2480</v>
      </c>
    </row>
    <row r="74" spans="1:8">
      <c r="A74" t="s">
        <v>150</v>
      </c>
      <c r="B74" t="s">
        <v>152</v>
      </c>
      <c r="C74" s="28" t="s">
        <v>118</v>
      </c>
      <c r="D74" t="s">
        <v>292</v>
      </c>
      <c r="E74" t="s">
        <v>729</v>
      </c>
      <c r="F74" t="s">
        <v>2451</v>
      </c>
      <c r="G74" t="s">
        <v>2480</v>
      </c>
    </row>
    <row r="75" spans="1:8">
      <c r="A75" t="s">
        <v>153</v>
      </c>
      <c r="B75" t="s">
        <v>154</v>
      </c>
      <c r="C75" s="28" t="s">
        <v>118</v>
      </c>
      <c r="D75" t="s">
        <v>292</v>
      </c>
      <c r="E75" t="s">
        <v>730</v>
      </c>
      <c r="F75" t="s">
        <v>2452</v>
      </c>
      <c r="G75" t="s">
        <v>2480</v>
      </c>
    </row>
    <row r="76" spans="1:8">
      <c r="A76" t="s">
        <v>155</v>
      </c>
      <c r="B76" t="s">
        <v>157</v>
      </c>
      <c r="C76" s="27" t="s">
        <v>147</v>
      </c>
      <c r="D76" t="s">
        <v>725</v>
      </c>
      <c r="E76" t="s">
        <v>730</v>
      </c>
      <c r="F76" t="s">
        <v>2453</v>
      </c>
      <c r="G76" t="s">
        <v>2480</v>
      </c>
    </row>
    <row r="77" spans="1:8">
      <c r="A77" t="s">
        <v>156</v>
      </c>
      <c r="B77" t="s">
        <v>158</v>
      </c>
      <c r="C77" s="27" t="s">
        <v>147</v>
      </c>
      <c r="D77" t="s">
        <v>725</v>
      </c>
      <c r="E77" t="s">
        <v>730</v>
      </c>
      <c r="F77" t="s">
        <v>2454</v>
      </c>
      <c r="G77" t="s">
        <v>2480</v>
      </c>
    </row>
    <row r="78" spans="1:8">
      <c r="A78" t="s">
        <v>159</v>
      </c>
      <c r="B78" t="s">
        <v>2556</v>
      </c>
      <c r="C78" s="27" t="s">
        <v>147</v>
      </c>
      <c r="D78" t="s">
        <v>725</v>
      </c>
      <c r="E78" t="s">
        <v>2480</v>
      </c>
      <c r="F78" t="s">
        <v>2557</v>
      </c>
      <c r="G78" t="s">
        <v>2479</v>
      </c>
      <c r="H78" t="s">
        <v>728</v>
      </c>
    </row>
    <row r="79" spans="1:8">
      <c r="A79" t="s">
        <v>160</v>
      </c>
      <c r="B79" t="s">
        <v>161</v>
      </c>
      <c r="C79" s="27" t="s">
        <v>147</v>
      </c>
      <c r="D79" t="s">
        <v>725</v>
      </c>
      <c r="E79" t="s">
        <v>729</v>
      </c>
      <c r="F79" t="s">
        <v>2455</v>
      </c>
      <c r="G79" t="s">
        <v>2479</v>
      </c>
      <c r="H79" t="s">
        <v>728</v>
      </c>
    </row>
    <row r="80" spans="1:8">
      <c r="A80" t="s">
        <v>162</v>
      </c>
      <c r="B80" t="s">
        <v>164</v>
      </c>
      <c r="C80" s="34" t="s">
        <v>2306</v>
      </c>
      <c r="D80" t="s">
        <v>725</v>
      </c>
      <c r="E80" t="s">
        <v>729</v>
      </c>
      <c r="F80" t="s">
        <v>2456</v>
      </c>
      <c r="G80" t="s">
        <v>2479</v>
      </c>
      <c r="H80" t="s">
        <v>728</v>
      </c>
    </row>
    <row r="81" spans="1:8">
      <c r="A81" t="s">
        <v>163</v>
      </c>
      <c r="B81" t="s">
        <v>165</v>
      </c>
      <c r="C81" s="34" t="s">
        <v>2306</v>
      </c>
      <c r="D81" t="s">
        <v>725</v>
      </c>
      <c r="E81" t="s">
        <v>729</v>
      </c>
      <c r="F81" t="s">
        <v>2457</v>
      </c>
      <c r="G81" t="s">
        <v>2479</v>
      </c>
      <c r="H81" t="s">
        <v>728</v>
      </c>
    </row>
    <row r="82" spans="1:8">
      <c r="A82" t="s">
        <v>166</v>
      </c>
      <c r="B82" t="s">
        <v>169</v>
      </c>
      <c r="C82" s="34" t="s">
        <v>2306</v>
      </c>
      <c r="D82" t="s">
        <v>726</v>
      </c>
      <c r="E82" t="s">
        <v>730</v>
      </c>
      <c r="F82" t="s">
        <v>2458</v>
      </c>
      <c r="G82" t="s">
        <v>2479</v>
      </c>
      <c r="H82" t="s">
        <v>728</v>
      </c>
    </row>
    <row r="83" spans="1:8">
      <c r="A83" t="s">
        <v>167</v>
      </c>
      <c r="B83" t="s">
        <v>170</v>
      </c>
      <c r="C83" s="34" t="s">
        <v>2306</v>
      </c>
      <c r="D83" t="s">
        <v>726</v>
      </c>
      <c r="E83" t="s">
        <v>730</v>
      </c>
      <c r="F83" t="s">
        <v>2459</v>
      </c>
      <c r="G83" t="s">
        <v>2479</v>
      </c>
      <c r="H83" t="s">
        <v>728</v>
      </c>
    </row>
    <row r="84" spans="1:8">
      <c r="A84" t="s">
        <v>168</v>
      </c>
      <c r="B84" t="s">
        <v>171</v>
      </c>
      <c r="C84" s="34" t="s">
        <v>2306</v>
      </c>
      <c r="D84" t="s">
        <v>726</v>
      </c>
      <c r="E84" t="s">
        <v>729</v>
      </c>
      <c r="F84" t="s">
        <v>2460</v>
      </c>
      <c r="G84" t="s">
        <v>2479</v>
      </c>
      <c r="H84" t="s">
        <v>728</v>
      </c>
    </row>
    <row r="85" spans="1:8">
      <c r="A85" t="s">
        <v>172</v>
      </c>
      <c r="B85" t="s">
        <v>137</v>
      </c>
      <c r="C85" s="34" t="s">
        <v>2306</v>
      </c>
      <c r="D85" t="s">
        <v>726</v>
      </c>
      <c r="E85" t="s">
        <v>730</v>
      </c>
      <c r="F85" t="s">
        <v>2461</v>
      </c>
      <c r="G85" t="s">
        <v>2479</v>
      </c>
      <c r="H85" t="s">
        <v>728</v>
      </c>
    </row>
    <row r="86" spans="1:8">
      <c r="A86" t="s">
        <v>173</v>
      </c>
      <c r="B86" t="s">
        <v>138</v>
      </c>
      <c r="C86" s="34" t="s">
        <v>2306</v>
      </c>
      <c r="D86" t="s">
        <v>725</v>
      </c>
      <c r="E86" t="s">
        <v>729</v>
      </c>
      <c r="F86" t="s">
        <v>2462</v>
      </c>
      <c r="G86" t="s">
        <v>2479</v>
      </c>
      <c r="H86" t="s">
        <v>728</v>
      </c>
    </row>
    <row r="87" spans="1:8">
      <c r="A87" t="s">
        <v>174</v>
      </c>
      <c r="B87" t="s">
        <v>139</v>
      </c>
      <c r="C87" s="34" t="s">
        <v>2306</v>
      </c>
      <c r="D87" t="s">
        <v>726</v>
      </c>
      <c r="E87" t="s">
        <v>730</v>
      </c>
      <c r="F87" t="s">
        <v>2463</v>
      </c>
      <c r="G87" t="s">
        <v>2480</v>
      </c>
    </row>
    <row r="88" spans="1:8">
      <c r="A88" t="s">
        <v>175</v>
      </c>
      <c r="B88" t="s">
        <v>176</v>
      </c>
      <c r="C88" s="34" t="s">
        <v>2306</v>
      </c>
      <c r="D88" t="s">
        <v>726</v>
      </c>
      <c r="E88" t="s">
        <v>730</v>
      </c>
      <c r="F88" t="s">
        <v>2464</v>
      </c>
      <c r="G88" t="s">
        <v>2480</v>
      </c>
    </row>
    <row r="89" spans="1:8">
      <c r="A89" t="s">
        <v>177</v>
      </c>
      <c r="B89" t="s">
        <v>112</v>
      </c>
      <c r="C89" s="29" t="s">
        <v>6</v>
      </c>
      <c r="D89" t="s">
        <v>726</v>
      </c>
      <c r="E89" t="s">
        <v>730</v>
      </c>
      <c r="F89" t="s">
        <v>2465</v>
      </c>
      <c r="G89" t="s">
        <v>2480</v>
      </c>
    </row>
    <row r="90" spans="1:8">
      <c r="A90" t="s">
        <v>179</v>
      </c>
      <c r="B90" t="s">
        <v>178</v>
      </c>
      <c r="C90" s="33" t="s">
        <v>184</v>
      </c>
      <c r="D90" t="s">
        <v>727</v>
      </c>
      <c r="E90" t="s">
        <v>730</v>
      </c>
      <c r="F90" t="s">
        <v>2466</v>
      </c>
      <c r="G90" t="s">
        <v>2480</v>
      </c>
    </row>
    <row r="91" spans="1:8">
      <c r="A91" t="s">
        <v>182</v>
      </c>
      <c r="B91" t="s">
        <v>146</v>
      </c>
      <c r="C91" s="33" t="s">
        <v>184</v>
      </c>
      <c r="D91" t="s">
        <v>727</v>
      </c>
      <c r="E91" t="s">
        <v>730</v>
      </c>
      <c r="F91" t="s">
        <v>2467</v>
      </c>
      <c r="G91" t="s">
        <v>2480</v>
      </c>
    </row>
    <row r="92" spans="1:8">
      <c r="A92" t="s">
        <v>185</v>
      </c>
      <c r="B92" t="s">
        <v>181</v>
      </c>
      <c r="C92" s="27" t="s">
        <v>147</v>
      </c>
      <c r="D92" t="s">
        <v>725</v>
      </c>
      <c r="E92" t="s">
        <v>729</v>
      </c>
      <c r="F92" t="s">
        <v>2468</v>
      </c>
      <c r="G92" t="s">
        <v>2479</v>
      </c>
      <c r="H92" t="s">
        <v>728</v>
      </c>
    </row>
    <row r="93" spans="1:8">
      <c r="A93" t="s">
        <v>186</v>
      </c>
      <c r="B93" t="s">
        <v>187</v>
      </c>
      <c r="C93" s="29" t="s">
        <v>188</v>
      </c>
      <c r="D93" t="s">
        <v>725</v>
      </c>
      <c r="E93" t="s">
        <v>730</v>
      </c>
      <c r="F93" t="s">
        <v>2469</v>
      </c>
      <c r="G93" t="s">
        <v>2479</v>
      </c>
      <c r="H93" t="s">
        <v>728</v>
      </c>
    </row>
    <row r="94" spans="1:8">
      <c r="A94" t="s">
        <v>189</v>
      </c>
      <c r="B94" t="s">
        <v>190</v>
      </c>
      <c r="C94" s="27" t="s">
        <v>147</v>
      </c>
      <c r="D94" t="s">
        <v>725</v>
      </c>
      <c r="E94" t="s">
        <v>730</v>
      </c>
      <c r="F94" t="s">
        <v>2470</v>
      </c>
      <c r="G94" t="s">
        <v>2480</v>
      </c>
    </row>
    <row r="95" spans="1:8">
      <c r="A95" t="s">
        <v>192</v>
      </c>
      <c r="B95" t="s">
        <v>191</v>
      </c>
      <c r="C95" s="34" t="s">
        <v>2306</v>
      </c>
      <c r="D95" t="s">
        <v>727</v>
      </c>
      <c r="E95" t="s">
        <v>730</v>
      </c>
      <c r="F95" t="s">
        <v>2471</v>
      </c>
      <c r="G95" t="s">
        <v>2480</v>
      </c>
    </row>
    <row r="96" spans="1:8">
      <c r="A96" t="s">
        <v>194</v>
      </c>
      <c r="B96" s="1" t="s">
        <v>195</v>
      </c>
      <c r="C96" s="32" t="s">
        <v>12</v>
      </c>
      <c r="D96" t="s">
        <v>727</v>
      </c>
      <c r="E96" t="s">
        <v>730</v>
      </c>
      <c r="F96" t="s">
        <v>2472</v>
      </c>
      <c r="G96" t="s">
        <v>2480</v>
      </c>
    </row>
    <row r="97" spans="1:8">
      <c r="A97" t="s">
        <v>732</v>
      </c>
      <c r="B97" s="1" t="s">
        <v>738</v>
      </c>
      <c r="C97" s="30" t="s">
        <v>737</v>
      </c>
      <c r="D97" t="s">
        <v>725</v>
      </c>
      <c r="E97" t="s">
        <v>292</v>
      </c>
      <c r="F97" t="s">
        <v>2473</v>
      </c>
      <c r="G97" t="s">
        <v>2480</v>
      </c>
    </row>
    <row r="98" spans="1:8">
      <c r="A98" t="s">
        <v>733</v>
      </c>
      <c r="B98" t="s">
        <v>739</v>
      </c>
      <c r="C98" s="30" t="s">
        <v>737</v>
      </c>
      <c r="D98" t="s">
        <v>725</v>
      </c>
      <c r="E98" t="s">
        <v>292</v>
      </c>
      <c r="F98" t="s">
        <v>2474</v>
      </c>
      <c r="G98" t="s">
        <v>2480</v>
      </c>
    </row>
    <row r="99" spans="1:8">
      <c r="A99" t="s">
        <v>734</v>
      </c>
      <c r="B99" t="s">
        <v>740</v>
      </c>
      <c r="C99" s="30" t="s">
        <v>737</v>
      </c>
      <c r="D99" t="s">
        <v>725</v>
      </c>
      <c r="E99" t="s">
        <v>292</v>
      </c>
      <c r="F99" t="s">
        <v>2475</v>
      </c>
      <c r="G99" t="s">
        <v>2480</v>
      </c>
    </row>
    <row r="100" spans="1:8">
      <c r="A100" t="s">
        <v>735</v>
      </c>
      <c r="B100" t="s">
        <v>741</v>
      </c>
      <c r="C100" s="30" t="s">
        <v>737</v>
      </c>
      <c r="D100" t="s">
        <v>725</v>
      </c>
      <c r="E100" t="s">
        <v>292</v>
      </c>
      <c r="F100" t="s">
        <v>2476</v>
      </c>
      <c r="G100" t="s">
        <v>2480</v>
      </c>
    </row>
    <row r="101" spans="1:8">
      <c r="A101" t="s">
        <v>736</v>
      </c>
      <c r="B101" t="s">
        <v>742</v>
      </c>
      <c r="C101" s="30" t="s">
        <v>737</v>
      </c>
      <c r="D101" t="s">
        <v>725</v>
      </c>
      <c r="E101" t="s">
        <v>292</v>
      </c>
      <c r="F101" t="s">
        <v>2477</v>
      </c>
      <c r="G101" t="s">
        <v>2480</v>
      </c>
    </row>
    <row r="102" spans="1:8">
      <c r="A102" t="s">
        <v>2481</v>
      </c>
      <c r="B102" t="s">
        <v>2482</v>
      </c>
      <c r="C102" s="29" t="s">
        <v>188</v>
      </c>
      <c r="D102" t="s">
        <v>725</v>
      </c>
      <c r="E102" t="s">
        <v>2479</v>
      </c>
      <c r="F102" t="s">
        <v>2483</v>
      </c>
      <c r="G102" t="s">
        <v>2479</v>
      </c>
      <c r="H102" t="s">
        <v>728</v>
      </c>
    </row>
    <row r="103" spans="1:8">
      <c r="A103" t="s">
        <v>2538</v>
      </c>
      <c r="B103" t="s">
        <v>2549</v>
      </c>
      <c r="C103" s="30" t="s">
        <v>737</v>
      </c>
      <c r="D103" t="s">
        <v>725</v>
      </c>
      <c r="E103" t="s">
        <v>292</v>
      </c>
      <c r="F103" t="s">
        <v>2550</v>
      </c>
      <c r="G103" t="s">
        <v>2480</v>
      </c>
    </row>
    <row r="104" spans="1:8">
      <c r="A104" t="s">
        <v>2539</v>
      </c>
      <c r="B104" t="s">
        <v>2544</v>
      </c>
      <c r="C104" s="30" t="s">
        <v>737</v>
      </c>
      <c r="D104" t="s">
        <v>725</v>
      </c>
      <c r="E104" t="s">
        <v>292</v>
      </c>
      <c r="F104" t="s">
        <v>2551</v>
      </c>
      <c r="G104" t="s">
        <v>2480</v>
      </c>
    </row>
    <row r="105" spans="1:8">
      <c r="A105" t="s">
        <v>2540</v>
      </c>
      <c r="B105" t="s">
        <v>2545</v>
      </c>
      <c r="C105" s="30" t="s">
        <v>737</v>
      </c>
      <c r="D105" t="s">
        <v>725</v>
      </c>
      <c r="E105" t="s">
        <v>292</v>
      </c>
      <c r="F105" t="s">
        <v>2552</v>
      </c>
      <c r="G105" t="s">
        <v>2480</v>
      </c>
    </row>
    <row r="106" spans="1:8">
      <c r="A106" t="s">
        <v>2541</v>
      </c>
      <c r="B106" t="s">
        <v>2546</v>
      </c>
      <c r="C106" s="30" t="s">
        <v>737</v>
      </c>
      <c r="D106" t="s">
        <v>725</v>
      </c>
      <c r="E106" t="s">
        <v>292</v>
      </c>
      <c r="F106" t="s">
        <v>2553</v>
      </c>
      <c r="G106" t="s">
        <v>2480</v>
      </c>
    </row>
    <row r="107" spans="1:8">
      <c r="A107" t="s">
        <v>2542</v>
      </c>
      <c r="B107" t="s">
        <v>2547</v>
      </c>
      <c r="C107" s="30" t="s">
        <v>737</v>
      </c>
      <c r="D107" t="s">
        <v>725</v>
      </c>
      <c r="E107" t="s">
        <v>292</v>
      </c>
      <c r="F107" t="s">
        <v>2554</v>
      </c>
      <c r="G107" t="s">
        <v>2480</v>
      </c>
    </row>
    <row r="108" spans="1:8">
      <c r="A108" t="s">
        <v>2543</v>
      </c>
      <c r="B108" t="s">
        <v>2548</v>
      </c>
      <c r="C108" s="30" t="s">
        <v>737</v>
      </c>
      <c r="D108" t="s">
        <v>725</v>
      </c>
      <c r="E108" t="s">
        <v>292</v>
      </c>
      <c r="F108" t="s">
        <v>2555</v>
      </c>
      <c r="G108" t="s">
        <v>2480</v>
      </c>
    </row>
    <row r="109" spans="1:8">
      <c r="A109" t="s">
        <v>2633</v>
      </c>
      <c r="B109" t="s">
        <v>2674</v>
      </c>
      <c r="C109" s="34" t="s">
        <v>2306</v>
      </c>
      <c r="D109" t="s">
        <v>725</v>
      </c>
      <c r="E109" t="s">
        <v>2479</v>
      </c>
      <c r="F109" t="s">
        <v>2675</v>
      </c>
      <c r="G109" t="s">
        <v>2479</v>
      </c>
    </row>
  </sheetData>
  <phoneticPr fontId="1" type="noConversion"/>
  <pageMargins left="0.7" right="0.7" top="0.75" bottom="0.75" header="0.3" footer="0.3"/>
  <pageSetup paperSize="9" orientation="portrait" verticalDpi="0"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ABD3-9FF0-4A67-A67F-AC454F303E3A}">
  <sheetPr>
    <tabColor rgb="FF00B0F0"/>
  </sheetPr>
  <dimension ref="A1:G34"/>
  <sheetViews>
    <sheetView zoomScale="85" zoomScaleNormal="85" workbookViewId="0">
      <selection activeCell="F6" sqref="F6"/>
    </sheetView>
  </sheetViews>
  <sheetFormatPr defaultRowHeight="16.5"/>
  <cols>
    <col min="1" max="1" width="14.375" bestFit="1" customWidth="1"/>
    <col min="2" max="3" width="8.625" customWidth="1"/>
    <col min="5" max="5" width="25.5" bestFit="1" customWidth="1"/>
    <col min="6" max="6" width="60.625" customWidth="1"/>
  </cols>
  <sheetData>
    <row r="1" spans="1:7">
      <c r="A1" s="45" t="s">
        <v>2378</v>
      </c>
      <c r="B1" s="49" t="s">
        <v>147</v>
      </c>
      <c r="C1" s="49" t="s">
        <v>188</v>
      </c>
      <c r="D1" s="49" t="s">
        <v>184</v>
      </c>
      <c r="E1" s="49" t="s">
        <v>737</v>
      </c>
      <c r="F1" s="49" t="s">
        <v>2306</v>
      </c>
    </row>
    <row r="3" spans="1:7">
      <c r="A3" s="45" t="s">
        <v>213</v>
      </c>
      <c r="B3" s="31" t="s">
        <v>12</v>
      </c>
      <c r="E3" s="45" t="s">
        <v>2487</v>
      </c>
      <c r="F3" s="31" t="s">
        <v>20</v>
      </c>
      <c r="G3" s="49" t="str">
        <f>_xlfn.XLOOKUP(F3,표10[material_name],표10[sheet_name])</f>
        <v>046_Isobutylene</v>
      </c>
    </row>
    <row r="4" spans="1:7">
      <c r="A4" s="50" t="s">
        <v>2484</v>
      </c>
      <c r="B4" s="50" t="s">
        <v>2486</v>
      </c>
      <c r="C4" s="50" t="s">
        <v>2485</v>
      </c>
      <c r="E4" s="53" t="s">
        <v>213</v>
      </c>
      <c r="F4" s="53" t="s">
        <v>2488</v>
      </c>
    </row>
    <row r="5" spans="1:7">
      <c r="A5" s="51" t="str" cm="1">
        <f t="array" ref="A5:A17">_xlfn._xlws.FILTER(표10[material_name],표10[material_group]=$B$3)</f>
        <v>Butadiene</v>
      </c>
      <c r="B5" s="52" t="str" cm="1">
        <f t="array" ref="B5:B17">_xlfn._xlws.FILTER(표10[has_supplier],표10[material_group]=$B$3)</f>
        <v>O</v>
      </c>
      <c r="C5" s="52" t="str" cm="1">
        <f t="array" ref="C5:C17">_xlfn._xlws.FILTER(표10[has_page],표10[material_group]=$B$3)</f>
        <v>O</v>
      </c>
      <c r="E5" s="54" t="s">
        <v>1</v>
      </c>
      <c r="F5" s="57" t="str" cm="1">
        <f t="array" aca="1" ref="F5" ca="1">INDIRECT("'"&amp;$G$3&amp;"'!"&amp;G5)</f>
        <v>M046</v>
      </c>
      <c r="G5" s="49" t="s">
        <v>2489</v>
      </c>
    </row>
    <row r="6" spans="1:7">
      <c r="A6" s="51" t="str">
        <v>BR</v>
      </c>
      <c r="B6" s="52" t="str">
        <v>O</v>
      </c>
      <c r="C6" s="52" t="str">
        <v>O</v>
      </c>
      <c r="E6" s="54" t="s">
        <v>3</v>
      </c>
      <c r="F6" s="57" t="str" cm="1">
        <f t="array" aca="1" ref="F6" ca="1">INDIRECT("'"&amp;$G$3&amp;"'!"&amp;G6)</f>
        <v>C4</v>
      </c>
      <c r="G6" s="49" t="s">
        <v>2490</v>
      </c>
    </row>
    <row r="7" spans="1:7">
      <c r="A7" s="51" t="str">
        <v>SBR</v>
      </c>
      <c r="B7" s="52" t="str">
        <v>O</v>
      </c>
      <c r="C7" s="52" t="str">
        <v>O</v>
      </c>
      <c r="E7" s="54" t="s">
        <v>2</v>
      </c>
      <c r="F7" s="57" t="str" cm="1">
        <f t="array" aca="1" ref="F7" ca="1">INDIRECT("'"&amp;$G$3&amp;"'!"&amp;G7)</f>
        <v>Isobutylene</v>
      </c>
      <c r="G7" s="49" t="s">
        <v>2491</v>
      </c>
    </row>
    <row r="8" spans="1:7" ht="50.1" customHeight="1">
      <c r="A8" s="51" t="str">
        <v>Isobutylene</v>
      </c>
      <c r="B8" s="52" t="str">
        <v>O</v>
      </c>
      <c r="C8" s="52" t="str">
        <v>O</v>
      </c>
      <c r="E8" s="54" t="s">
        <v>241</v>
      </c>
      <c r="F8" s="57" t="str" cm="1">
        <f t="array" aca="1" ref="F8" ca="1">INDIRECT("'"&amp;$G$3&amp;"'!"&amp;G8)</f>
        <v>MTBE·고순도 이소부틸렌(HPIB)·폴리이소부틸렌·부틸고무 등의 핵심 원료로 사용;</v>
      </c>
      <c r="G8" s="49" t="s">
        <v>2492</v>
      </c>
    </row>
    <row r="9" spans="1:7" ht="50.1" customHeight="1">
      <c r="A9" s="51" t="str">
        <v>PIB</v>
      </c>
      <c r="B9" s="52" t="str">
        <v>O</v>
      </c>
      <c r="C9" s="52" t="str">
        <v>O</v>
      </c>
      <c r="E9" s="54" t="s">
        <v>242</v>
      </c>
      <c r="F9" s="57" t="str" cm="1">
        <f t="array" aca="1" ref="F9" ca="1">INDIRECT("'"&amp;$G$3&amp;"'!"&amp;G9)</f>
        <v>주로 정유 FCC C4 스트림 및 스팀크래커 C4 부산물에서 회수(메인); 이소부탄 탈수소화(Oleflex, CATOFIN 등) 또는 TBA 탈수 공정을 통해 온퍼포즈 생산도 가능(보조)</v>
      </c>
      <c r="G9" s="49" t="s">
        <v>2493</v>
      </c>
    </row>
    <row r="10" spans="1:7">
      <c r="A10" s="51" t="str">
        <v>PB-1</v>
      </c>
      <c r="B10" s="52" t="str">
        <v>O</v>
      </c>
      <c r="C10" s="52" t="str">
        <v>O</v>
      </c>
      <c r="E10" s="54" t="s">
        <v>199</v>
      </c>
      <c r="F10" s="57" t="str" cm="1">
        <f t="array" aca="1" ref="F10" ca="1">INDIRECT("'"&amp;$G$3&amp;"'!"&amp;G10)</f>
        <v>Y</v>
      </c>
      <c r="G10" s="49" t="s">
        <v>2494</v>
      </c>
    </row>
    <row r="11" spans="1:7" ht="50.1" customHeight="1">
      <c r="A11" s="51" t="str">
        <v>MTBE</v>
      </c>
      <c r="B11" s="52" t="str">
        <v>O</v>
      </c>
      <c r="C11" s="52" t="str">
        <v>O</v>
      </c>
      <c r="E11" s="54" t="s">
        <v>200</v>
      </c>
      <c r="F11" s="57" cm="1">
        <f t="array" aca="1" ref="F11" ca="1">INDIRECT("'"&amp;$G$3&amp;"'!"&amp;G11)</f>
        <v>0</v>
      </c>
      <c r="G11" s="49" t="s">
        <v>2495</v>
      </c>
    </row>
    <row r="12" spans="1:7">
      <c r="A12" s="51" t="str">
        <v>Butyl rubber</v>
      </c>
      <c r="B12" s="52" t="str">
        <v>O</v>
      </c>
      <c r="C12" s="52" t="str">
        <v>O</v>
      </c>
      <c r="E12" s="54" t="s">
        <v>180</v>
      </c>
      <c r="F12" s="57" t="str" cm="1">
        <f t="array" aca="1" ref="F12" ca="1">INDIRECT("'"&amp;$G$3&amp;"'!"&amp;G12)</f>
        <v>Unknown</v>
      </c>
      <c r="G12" s="49" t="s">
        <v>2496</v>
      </c>
    </row>
    <row r="13" spans="1:7">
      <c r="A13" s="51" t="str">
        <v>1-Butene</v>
      </c>
      <c r="B13" s="52" t="str">
        <v>X</v>
      </c>
      <c r="C13" s="52" t="str">
        <v>X</v>
      </c>
      <c r="E13" s="54" t="s">
        <v>201</v>
      </c>
      <c r="F13" s="57" t="str" cm="1">
        <f t="array" aca="1" ref="F13" ca="1">INDIRECT("'"&amp;$G$3&amp;"'!"&amp;G13)</f>
        <v>Unknown</v>
      </c>
      <c r="G13" s="49" t="s">
        <v>2497</v>
      </c>
    </row>
    <row r="14" spans="1:7">
      <c r="A14" s="51" t="str">
        <v>MA</v>
      </c>
      <c r="B14" s="52" t="str">
        <v>O</v>
      </c>
      <c r="C14" s="52" t="str">
        <v>O</v>
      </c>
      <c r="E14" s="55" t="s">
        <v>196</v>
      </c>
      <c r="F14" s="57" cm="1">
        <f t="array" aca="1" ref="F14" ca="1">INDIRECT("'"&amp;$G$3&amp;"'!"&amp;G14)</f>
        <v>0</v>
      </c>
      <c r="G14" s="49" t="s">
        <v>2498</v>
      </c>
    </row>
    <row r="15" spans="1:7">
      <c r="A15" s="51" t="str">
        <v>1-Octene</v>
      </c>
      <c r="B15" s="52" t="str">
        <v>X</v>
      </c>
      <c r="C15" s="52" t="str">
        <v>X</v>
      </c>
      <c r="E15" s="56" t="s">
        <v>197</v>
      </c>
      <c r="F15" s="57" cm="1">
        <f t="array" aca="1" ref="F15" ca="1">INDIRECT("'"&amp;$G$3&amp;"'!"&amp;G15)</f>
        <v>0</v>
      </c>
      <c r="G15" s="49" t="s">
        <v>2499</v>
      </c>
    </row>
    <row r="16" spans="1:7">
      <c r="A16" s="51" t="str">
        <v>1-Hexene</v>
      </c>
      <c r="B16" s="52" t="str">
        <v>X</v>
      </c>
      <c r="C16" s="52" t="str">
        <v>X</v>
      </c>
    </row>
    <row r="17" spans="1:3">
      <c r="A17" s="51" t="str">
        <v>n-Butane</v>
      </c>
      <c r="B17" s="52" t="str">
        <v>X</v>
      </c>
      <c r="C17" s="52" t="str">
        <v>X</v>
      </c>
    </row>
    <row r="18" spans="1:3">
      <c r="A18" s="51"/>
      <c r="B18" s="52"/>
      <c r="C18" s="52"/>
    </row>
    <row r="19" spans="1:3">
      <c r="A19" s="51"/>
      <c r="B19" s="52"/>
      <c r="C19" s="52"/>
    </row>
    <row r="20" spans="1:3">
      <c r="A20" s="51"/>
      <c r="B20" s="52"/>
      <c r="C20" s="52"/>
    </row>
    <row r="21" spans="1:3">
      <c r="A21" s="51"/>
      <c r="B21" s="52"/>
      <c r="C21" s="52"/>
    </row>
    <row r="22" spans="1:3">
      <c r="A22" s="51"/>
      <c r="B22" s="52"/>
      <c r="C22" s="52"/>
    </row>
    <row r="23" spans="1:3">
      <c r="A23" s="51"/>
      <c r="B23" s="52"/>
      <c r="C23" s="52"/>
    </row>
    <row r="24" spans="1:3">
      <c r="A24" s="51"/>
      <c r="B24" s="52"/>
      <c r="C24" s="52"/>
    </row>
    <row r="25" spans="1:3">
      <c r="A25" s="51"/>
      <c r="B25" s="52"/>
      <c r="C25" s="52"/>
    </row>
    <row r="26" spans="1:3">
      <c r="A26" s="51"/>
      <c r="B26" s="52"/>
      <c r="C26" s="52"/>
    </row>
    <row r="27" spans="1:3">
      <c r="A27" s="51"/>
      <c r="B27" s="52"/>
      <c r="C27" s="52"/>
    </row>
    <row r="28" spans="1:3">
      <c r="A28" s="51"/>
      <c r="B28" s="52"/>
      <c r="C28" s="52"/>
    </row>
    <row r="29" spans="1:3">
      <c r="A29" s="51"/>
      <c r="B29" s="52"/>
      <c r="C29" s="52"/>
    </row>
    <row r="30" spans="1:3">
      <c r="A30" s="51"/>
      <c r="B30" s="52"/>
      <c r="C30" s="52"/>
    </row>
    <row r="31" spans="1:3">
      <c r="A31" s="51"/>
      <c r="B31" s="52"/>
      <c r="C31" s="52"/>
    </row>
    <row r="32" spans="1:3">
      <c r="A32" s="51"/>
      <c r="B32" s="52"/>
      <c r="C32" s="52"/>
    </row>
    <row r="33" spans="1:3">
      <c r="A33" s="51"/>
      <c r="B33" s="52"/>
      <c r="C33" s="52"/>
    </row>
    <row r="34" spans="1:3">
      <c r="A34" s="51"/>
      <c r="B34" s="52"/>
      <c r="C34" s="52"/>
    </row>
  </sheetData>
  <phoneticPr fontId="1" type="noConversion"/>
  <dataValidations count="2">
    <dataValidation type="list" allowBlank="1" showInputMessage="1" showErrorMessage="1" sqref="B3" xr:uid="{91068A92-E104-41C4-8A60-6DE592AECE5D}">
      <formula1>category_list</formula1>
    </dataValidation>
    <dataValidation type="list" allowBlank="1" showInputMessage="1" showErrorMessage="1" sqref="F3" xr:uid="{DD50FB90-7063-4285-9F86-B883EF5418E0}">
      <formula1>_xlfn.ANCHORARRAY(A5)</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21877-A48E-42EF-A684-53842EC0D7A5}">
  <sheetPr>
    <tabColor theme="4"/>
  </sheetPr>
  <dimension ref="A1:D39"/>
  <sheetViews>
    <sheetView topLeftCell="A5"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4</v>
      </c>
      <c r="D2" s="30" t="s">
        <v>4</v>
      </c>
    </row>
    <row r="3" spans="1:4">
      <c r="A3" s="7" t="s">
        <v>3</v>
      </c>
      <c r="B3" s="11" t="s">
        <v>216</v>
      </c>
      <c r="C3" s="1" t="s">
        <v>147</v>
      </c>
      <c r="D3" s="30" t="s">
        <v>147</v>
      </c>
    </row>
    <row r="4" spans="1:4">
      <c r="A4" s="7" t="s">
        <v>2</v>
      </c>
      <c r="B4" s="11" t="s">
        <v>217</v>
      </c>
      <c r="C4" s="1" t="s">
        <v>5</v>
      </c>
      <c r="D4" s="30" t="s">
        <v>5</v>
      </c>
    </row>
    <row r="5" spans="1:4" ht="82.5">
      <c r="A5" s="7" t="s">
        <v>241</v>
      </c>
      <c r="B5" s="13" t="s">
        <v>243</v>
      </c>
      <c r="C5" s="1" t="s">
        <v>1583</v>
      </c>
      <c r="D5" s="37" t="s">
        <v>1664</v>
      </c>
    </row>
    <row r="6" spans="1:4" ht="99">
      <c r="A6" s="7" t="s">
        <v>242</v>
      </c>
      <c r="B6" s="13" t="s">
        <v>244</v>
      </c>
      <c r="C6" s="1" t="s">
        <v>1584</v>
      </c>
      <c r="D6" s="37" t="s">
        <v>1665</v>
      </c>
    </row>
    <row r="7" spans="1:4" ht="33">
      <c r="A7" s="7" t="s">
        <v>196</v>
      </c>
      <c r="B7" s="12" t="s">
        <v>218</v>
      </c>
      <c r="C7" s="1" t="s">
        <v>1585</v>
      </c>
      <c r="D7" s="6"/>
    </row>
    <row r="8" spans="1:4" ht="198">
      <c r="A8" s="7" t="s">
        <v>197</v>
      </c>
      <c r="B8" s="13" t="s">
        <v>232</v>
      </c>
      <c r="C8" s="1" t="s">
        <v>1586</v>
      </c>
      <c r="D8" s="6"/>
    </row>
    <row r="9" spans="1:4" ht="33">
      <c r="A9" s="7" t="s">
        <v>198</v>
      </c>
      <c r="B9" s="13" t="s">
        <v>230</v>
      </c>
      <c r="C9" s="1" t="s">
        <v>226</v>
      </c>
      <c r="D9" s="1" t="s">
        <v>226</v>
      </c>
    </row>
    <row r="10" spans="1:4" ht="33">
      <c r="A10" s="7" t="s">
        <v>199</v>
      </c>
      <c r="B10" s="11" t="s">
        <v>228</v>
      </c>
      <c r="C10" s="1" t="s">
        <v>210</v>
      </c>
      <c r="D10" s="37" t="s">
        <v>288</v>
      </c>
    </row>
    <row r="11" spans="1:4" ht="49.5">
      <c r="A11" s="7" t="s">
        <v>200</v>
      </c>
      <c r="B11" s="11" t="s">
        <v>239</v>
      </c>
      <c r="C11" s="6" t="s">
        <v>1666</v>
      </c>
      <c r="D11" s="37" t="s">
        <v>1666</v>
      </c>
    </row>
    <row r="12" spans="1:4">
      <c r="A12" s="7" t="s">
        <v>180</v>
      </c>
      <c r="B12" s="11" t="s">
        <v>219</v>
      </c>
      <c r="C12" s="1">
        <v>2901210000</v>
      </c>
      <c r="D12" s="30">
        <v>2901210000</v>
      </c>
    </row>
    <row r="13" spans="1:4" ht="33">
      <c r="A13" s="7" t="s">
        <v>201</v>
      </c>
      <c r="B13" s="11" t="s">
        <v>229</v>
      </c>
      <c r="C13" s="1" t="s">
        <v>247</v>
      </c>
      <c r="D13" s="30" t="s">
        <v>247</v>
      </c>
    </row>
    <row r="14" spans="1:4" ht="33">
      <c r="A14" s="7" t="s">
        <v>202</v>
      </c>
      <c r="B14" s="11" t="s">
        <v>235</v>
      </c>
      <c r="C14" s="1" t="s">
        <v>210</v>
      </c>
      <c r="D14" s="1" t="s">
        <v>210</v>
      </c>
    </row>
    <row r="15" spans="1:4">
      <c r="A15" s="7" t="s">
        <v>203</v>
      </c>
      <c r="B15" s="11" t="s">
        <v>220</v>
      </c>
      <c r="C15" s="1" t="s">
        <v>1587</v>
      </c>
      <c r="D15" s="1" t="s">
        <v>1587</v>
      </c>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221</v>
      </c>
      <c r="D18" s="6"/>
    </row>
    <row r="19" spans="1:4" ht="33">
      <c r="A19" s="7" t="s">
        <v>207</v>
      </c>
      <c r="B19" s="11" t="s">
        <v>236</v>
      </c>
      <c r="C19" s="1" t="s">
        <v>1588</v>
      </c>
      <c r="D19" s="6"/>
    </row>
    <row r="20" spans="1:4" ht="115.5">
      <c r="A20" s="8" t="s">
        <v>0</v>
      </c>
      <c r="B20" s="11" t="s">
        <v>223</v>
      </c>
      <c r="C20" s="1" t="s">
        <v>1640</v>
      </c>
      <c r="D20" s="6"/>
    </row>
    <row r="21" spans="1:4">
      <c r="A21" s="7" t="s">
        <v>224</v>
      </c>
      <c r="B21" s="11"/>
      <c r="C21" s="1" t="s">
        <v>1589</v>
      </c>
      <c r="D21" s="6"/>
    </row>
    <row r="22" spans="1:4">
      <c r="A22" s="9" t="s">
        <v>225</v>
      </c>
      <c r="B22" s="11"/>
      <c r="C22" s="14" t="s">
        <v>1141</v>
      </c>
      <c r="D22" s="10"/>
    </row>
    <row r="25" spans="1:4">
      <c r="A25" s="16" t="s">
        <v>327</v>
      </c>
      <c r="B25" s="16" t="s">
        <v>984</v>
      </c>
      <c r="C25" s="16" t="s">
        <v>328</v>
      </c>
      <c r="D25" s="16" t="s">
        <v>329</v>
      </c>
    </row>
    <row r="26" spans="1:4" ht="82.5">
      <c r="A26" s="1" t="s">
        <v>1590</v>
      </c>
      <c r="B26" s="1" t="s">
        <v>1591</v>
      </c>
      <c r="C26" s="1" t="s">
        <v>1592</v>
      </c>
      <c r="D26" s="1" t="s">
        <v>1593</v>
      </c>
    </row>
    <row r="27" spans="1:4" ht="49.5">
      <c r="A27" s="1" t="s">
        <v>22</v>
      </c>
      <c r="B27" s="1" t="s">
        <v>1594</v>
      </c>
      <c r="C27" s="1" t="s">
        <v>1595</v>
      </c>
      <c r="D27" s="1" t="s">
        <v>1596</v>
      </c>
    </row>
    <row r="28" spans="1:4" ht="49.5">
      <c r="A28" s="1" t="s">
        <v>24</v>
      </c>
      <c r="B28" s="1" t="s">
        <v>1597</v>
      </c>
      <c r="C28" s="1" t="s">
        <v>1598</v>
      </c>
      <c r="D28" s="1" t="s">
        <v>1599</v>
      </c>
    </row>
    <row r="29" spans="1:4" ht="49.5">
      <c r="A29" s="1" t="s">
        <v>23</v>
      </c>
      <c r="B29" s="1" t="s">
        <v>1600</v>
      </c>
      <c r="C29" s="1" t="s">
        <v>1601</v>
      </c>
      <c r="D29" s="1" t="s">
        <v>1602</v>
      </c>
    </row>
    <row r="30" spans="1:4" ht="49.5">
      <c r="A30" s="1" t="s">
        <v>1603</v>
      </c>
      <c r="B30" s="1" t="s">
        <v>1604</v>
      </c>
      <c r="C30" s="1" t="s">
        <v>1605</v>
      </c>
      <c r="D30" s="1" t="s">
        <v>1606</v>
      </c>
    </row>
    <row r="31" spans="1:4" ht="49.5">
      <c r="A31" s="1" t="s">
        <v>1607</v>
      </c>
      <c r="B31" s="1" t="s">
        <v>1608</v>
      </c>
      <c r="C31" s="1" t="s">
        <v>1609</v>
      </c>
      <c r="D31" s="1" t="s">
        <v>1610</v>
      </c>
    </row>
    <row r="32" spans="1:4" ht="49.5">
      <c r="A32" s="1" t="s">
        <v>1611</v>
      </c>
      <c r="B32" s="1" t="s">
        <v>1612</v>
      </c>
      <c r="C32" s="1" t="s">
        <v>1613</v>
      </c>
      <c r="D32" s="1" t="s">
        <v>1614</v>
      </c>
    </row>
    <row r="33" spans="1:4" ht="49.5">
      <c r="A33" s="1" t="s">
        <v>1615</v>
      </c>
      <c r="B33" s="1" t="s">
        <v>1616</v>
      </c>
      <c r="C33" s="1" t="s">
        <v>1617</v>
      </c>
      <c r="D33" s="1" t="s">
        <v>1618</v>
      </c>
    </row>
    <row r="34" spans="1:4" ht="33">
      <c r="A34" s="1" t="s">
        <v>1619</v>
      </c>
      <c r="B34" s="1" t="s">
        <v>1620</v>
      </c>
      <c r="C34" s="1" t="s">
        <v>1621</v>
      </c>
      <c r="D34" s="1" t="s">
        <v>1622</v>
      </c>
    </row>
    <row r="35" spans="1:4" ht="33">
      <c r="A35" s="1" t="s">
        <v>1623</v>
      </c>
      <c r="B35" s="1" t="s">
        <v>1624</v>
      </c>
      <c r="C35" s="1" t="s">
        <v>1625</v>
      </c>
      <c r="D35" s="1" t="s">
        <v>1626</v>
      </c>
    </row>
    <row r="36" spans="1:4">
      <c r="A36" s="1" t="s">
        <v>1627</v>
      </c>
      <c r="B36" s="1" t="s">
        <v>406</v>
      </c>
      <c r="C36" s="1" t="s">
        <v>1628</v>
      </c>
      <c r="D36" s="1" t="s">
        <v>1629</v>
      </c>
    </row>
    <row r="37" spans="1:4" ht="33">
      <c r="A37" s="1" t="s">
        <v>1630</v>
      </c>
      <c r="B37" s="1" t="s">
        <v>340</v>
      </c>
      <c r="C37" s="1" t="s">
        <v>1631</v>
      </c>
      <c r="D37" s="1" t="s">
        <v>1632</v>
      </c>
    </row>
    <row r="38" spans="1:4" ht="33">
      <c r="A38" s="1" t="s">
        <v>1633</v>
      </c>
      <c r="B38" s="1" t="s">
        <v>1634</v>
      </c>
      <c r="C38" s="1" t="s">
        <v>1635</v>
      </c>
      <c r="D38" s="1" t="s">
        <v>1636</v>
      </c>
    </row>
    <row r="39" spans="1:4" ht="33">
      <c r="A39" s="1" t="s">
        <v>1637</v>
      </c>
      <c r="B39" s="1" t="s">
        <v>1549</v>
      </c>
      <c r="C39" s="1" t="s">
        <v>1638</v>
      </c>
      <c r="D39" s="1" t="s">
        <v>1639</v>
      </c>
    </row>
  </sheetData>
  <phoneticPr fontId="1" type="noConversion"/>
  <hyperlinks>
    <hyperlink ref="C22" r:id="rId1" xr:uid="{8A254887-48E7-46E8-9B83-DB8BDF9F4F9D}"/>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FB29C-9E3A-4BEB-9305-01A8AB4FA970}">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107</v>
      </c>
      <c r="D2" s="36" t="s">
        <v>107</v>
      </c>
    </row>
    <row r="3" spans="1:4">
      <c r="A3" s="7" t="s">
        <v>3</v>
      </c>
      <c r="B3" s="11" t="s">
        <v>216</v>
      </c>
      <c r="C3" s="11" t="s">
        <v>5</v>
      </c>
      <c r="D3" s="36" t="s">
        <v>5</v>
      </c>
    </row>
    <row r="4" spans="1:4">
      <c r="A4" s="7" t="s">
        <v>2</v>
      </c>
      <c r="B4" s="11" t="s">
        <v>217</v>
      </c>
      <c r="C4" s="11" t="s">
        <v>22</v>
      </c>
      <c r="D4" s="36" t="s">
        <v>22</v>
      </c>
    </row>
    <row r="5" spans="1:4" ht="49.5">
      <c r="A5" s="7" t="s">
        <v>241</v>
      </c>
      <c r="B5" s="13" t="s">
        <v>243</v>
      </c>
      <c r="C5" s="11" t="s">
        <v>245</v>
      </c>
      <c r="D5" s="36" t="s">
        <v>1769</v>
      </c>
    </row>
    <row r="6" spans="1:4" ht="66">
      <c r="A6" s="7" t="s">
        <v>242</v>
      </c>
      <c r="B6" s="13" t="s">
        <v>244</v>
      </c>
      <c r="C6" s="11" t="s">
        <v>246</v>
      </c>
      <c r="D6" s="37" t="s">
        <v>1667</v>
      </c>
    </row>
    <row r="7" spans="1:4" ht="33">
      <c r="A7" s="7" t="s">
        <v>196</v>
      </c>
      <c r="B7" s="12" t="s">
        <v>218</v>
      </c>
      <c r="C7" s="11" t="s">
        <v>1669</v>
      </c>
      <c r="D7" s="6"/>
    </row>
    <row r="8" spans="1:4" ht="148.5">
      <c r="A8" s="7" t="s">
        <v>197</v>
      </c>
      <c r="B8" s="13" t="s">
        <v>232</v>
      </c>
      <c r="C8" s="11" t="s">
        <v>1668</v>
      </c>
      <c r="D8" s="6"/>
    </row>
    <row r="9" spans="1:4" ht="33">
      <c r="A9" s="7" t="s">
        <v>198</v>
      </c>
      <c r="B9" s="13" t="s">
        <v>230</v>
      </c>
      <c r="C9" s="11" t="s">
        <v>226</v>
      </c>
      <c r="D9" s="11" t="s">
        <v>252</v>
      </c>
    </row>
    <row r="10" spans="1:4" ht="33">
      <c r="A10" s="7" t="s">
        <v>199</v>
      </c>
      <c r="B10" s="11" t="s">
        <v>228</v>
      </c>
      <c r="C10" s="11" t="s">
        <v>210</v>
      </c>
      <c r="D10" s="36" t="s">
        <v>210</v>
      </c>
    </row>
    <row r="11" spans="1:4" ht="49.5">
      <c r="A11" s="7" t="s">
        <v>200</v>
      </c>
      <c r="B11" s="11" t="s">
        <v>239</v>
      </c>
      <c r="C11" s="11" t="s">
        <v>250</v>
      </c>
      <c r="D11" s="36" t="s">
        <v>250</v>
      </c>
    </row>
    <row r="12" spans="1:4">
      <c r="A12" s="7" t="s">
        <v>180</v>
      </c>
      <c r="B12" s="11" t="s">
        <v>219</v>
      </c>
      <c r="C12" s="11">
        <v>3910120000</v>
      </c>
      <c r="D12" s="36">
        <v>3910120000</v>
      </c>
    </row>
    <row r="13" spans="1:4" ht="33">
      <c r="A13" s="7" t="s">
        <v>201</v>
      </c>
      <c r="B13" s="11" t="s">
        <v>229</v>
      </c>
      <c r="C13" s="11" t="s">
        <v>247</v>
      </c>
      <c r="D13" s="36" t="s">
        <v>247</v>
      </c>
    </row>
    <row r="14" spans="1:4" ht="33">
      <c r="A14" s="7" t="s">
        <v>202</v>
      </c>
      <c r="B14" s="11" t="s">
        <v>235</v>
      </c>
      <c r="C14" s="11" t="s">
        <v>210</v>
      </c>
      <c r="D14" s="11" t="s">
        <v>210</v>
      </c>
    </row>
    <row r="15" spans="1:4" ht="33">
      <c r="A15" s="7" t="s">
        <v>203</v>
      </c>
      <c r="B15" s="11" t="s">
        <v>220</v>
      </c>
      <c r="C15" s="11" t="s">
        <v>227</v>
      </c>
      <c r="D15" s="11" t="s">
        <v>227</v>
      </c>
    </row>
    <row r="16" spans="1:4" ht="33">
      <c r="A16" s="7" t="s">
        <v>204</v>
      </c>
      <c r="B16" s="11" t="s">
        <v>233</v>
      </c>
      <c r="C16" s="11" t="s">
        <v>221</v>
      </c>
      <c r="D16" s="6"/>
    </row>
    <row r="17" spans="1:4" ht="33">
      <c r="A17" s="7" t="s">
        <v>205</v>
      </c>
      <c r="B17" s="11" t="s">
        <v>231</v>
      </c>
      <c r="C17" s="11" t="s">
        <v>221</v>
      </c>
      <c r="D17" s="6"/>
    </row>
    <row r="18" spans="1:4" ht="33">
      <c r="A18" s="7" t="s">
        <v>206</v>
      </c>
      <c r="B18" s="11" t="s">
        <v>234</v>
      </c>
      <c r="C18" s="11" t="s">
        <v>226</v>
      </c>
      <c r="D18" s="6"/>
    </row>
    <row r="19" spans="1:4" ht="33">
      <c r="A19" s="7" t="s">
        <v>207</v>
      </c>
      <c r="B19" s="11" t="s">
        <v>236</v>
      </c>
      <c r="C19" s="11" t="s">
        <v>212</v>
      </c>
      <c r="D19" s="6"/>
    </row>
    <row r="20" spans="1:4" ht="49.5">
      <c r="A20" s="8" t="s">
        <v>0</v>
      </c>
      <c r="B20" s="11" t="s">
        <v>223</v>
      </c>
      <c r="C20" s="11" t="s">
        <v>248</v>
      </c>
      <c r="D20" s="6"/>
    </row>
    <row r="21" spans="1:4" ht="33">
      <c r="A21" s="7" t="s">
        <v>224</v>
      </c>
      <c r="B21" s="11"/>
      <c r="C21" s="11" t="s">
        <v>249</v>
      </c>
      <c r="D21" s="6"/>
    </row>
    <row r="22" spans="1:4">
      <c r="A22" s="9" t="s">
        <v>225</v>
      </c>
      <c r="B22" s="11"/>
      <c r="C22" s="13"/>
      <c r="D22" s="10"/>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03BE-8B18-4ED5-8C6C-C1A7EC4280FE}">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237</v>
      </c>
      <c r="D2" s="36" t="s">
        <v>237</v>
      </c>
    </row>
    <row r="3" spans="1:4">
      <c r="A3" s="7" t="s">
        <v>3</v>
      </c>
      <c r="B3" s="11" t="s">
        <v>216</v>
      </c>
      <c r="C3" s="11" t="s">
        <v>5</v>
      </c>
      <c r="D3" s="36" t="s">
        <v>5</v>
      </c>
    </row>
    <row r="4" spans="1:4">
      <c r="A4" s="7" t="s">
        <v>2</v>
      </c>
      <c r="B4" s="11" t="s">
        <v>217</v>
      </c>
      <c r="C4" s="11" t="s">
        <v>238</v>
      </c>
      <c r="D4" s="36" t="s">
        <v>238</v>
      </c>
    </row>
    <row r="5" spans="1:4" ht="33">
      <c r="A5" s="7" t="s">
        <v>241</v>
      </c>
      <c r="B5" s="13" t="s">
        <v>243</v>
      </c>
      <c r="C5" s="1" t="s">
        <v>1674</v>
      </c>
      <c r="D5" s="36" t="s">
        <v>1770</v>
      </c>
    </row>
    <row r="6" spans="1:4" ht="66">
      <c r="A6" s="7" t="s">
        <v>242</v>
      </c>
      <c r="B6" s="13" t="s">
        <v>244</v>
      </c>
      <c r="C6" s="1" t="s">
        <v>1670</v>
      </c>
      <c r="D6" s="37" t="s">
        <v>1673</v>
      </c>
    </row>
    <row r="7" spans="1:4" ht="33">
      <c r="A7" s="7" t="s">
        <v>196</v>
      </c>
      <c r="B7" s="12" t="s">
        <v>218</v>
      </c>
      <c r="C7" s="1" t="s">
        <v>1671</v>
      </c>
      <c r="D7" s="6"/>
    </row>
    <row r="8" spans="1:4" ht="82.5">
      <c r="A8" s="7" t="s">
        <v>197</v>
      </c>
      <c r="B8" s="13" t="s">
        <v>232</v>
      </c>
      <c r="C8" s="1" t="s">
        <v>1672</v>
      </c>
      <c r="D8" s="6"/>
    </row>
    <row r="9" spans="1:4" ht="33">
      <c r="A9" s="7" t="s">
        <v>198</v>
      </c>
      <c r="B9" s="13" t="s">
        <v>230</v>
      </c>
      <c r="C9" s="11" t="s">
        <v>226</v>
      </c>
      <c r="D9" s="6"/>
    </row>
    <row r="10" spans="1:4" ht="33">
      <c r="A10" s="7" t="s">
        <v>199</v>
      </c>
      <c r="B10" s="11" t="s">
        <v>228</v>
      </c>
      <c r="C10" s="11" t="s">
        <v>210</v>
      </c>
      <c r="D10" s="36" t="s">
        <v>210</v>
      </c>
    </row>
    <row r="11" spans="1:4" ht="33">
      <c r="A11" s="7" t="s">
        <v>200</v>
      </c>
      <c r="B11" s="11" t="s">
        <v>239</v>
      </c>
      <c r="C11" s="11" t="s">
        <v>240</v>
      </c>
      <c r="D11" s="36" t="s">
        <v>240</v>
      </c>
    </row>
    <row r="12" spans="1:4">
      <c r="A12" s="7" t="s">
        <v>180</v>
      </c>
      <c r="B12" s="11" t="s">
        <v>219</v>
      </c>
      <c r="C12" s="1">
        <v>3901109000</v>
      </c>
      <c r="D12" s="30">
        <v>3901109000</v>
      </c>
    </row>
    <row r="13" spans="1:4" ht="33">
      <c r="A13" s="7" t="s">
        <v>201</v>
      </c>
      <c r="B13" s="11" t="s">
        <v>229</v>
      </c>
      <c r="C13" s="1" t="s">
        <v>247</v>
      </c>
      <c r="D13" s="30" t="s">
        <v>247</v>
      </c>
    </row>
    <row r="14" spans="1:4" ht="33">
      <c r="A14" s="7" t="s">
        <v>202</v>
      </c>
      <c r="B14" s="11" t="s">
        <v>235</v>
      </c>
      <c r="C14" s="11" t="s">
        <v>210</v>
      </c>
      <c r="D14" s="11" t="s">
        <v>210</v>
      </c>
    </row>
    <row r="15" spans="1:4">
      <c r="A15" s="7" t="s">
        <v>203</v>
      </c>
      <c r="B15" s="11" t="s">
        <v>220</v>
      </c>
      <c r="C15" t="s">
        <v>251</v>
      </c>
      <c r="D15" t="s">
        <v>251</v>
      </c>
    </row>
    <row r="16" spans="1:4" ht="33">
      <c r="A16" s="7" t="s">
        <v>204</v>
      </c>
      <c r="B16" s="11" t="s">
        <v>233</v>
      </c>
      <c r="C16" s="11" t="s">
        <v>222</v>
      </c>
      <c r="D16" s="6"/>
    </row>
    <row r="17" spans="1:4" ht="33">
      <c r="A17" s="7" t="s">
        <v>205</v>
      </c>
      <c r="B17" s="11" t="s">
        <v>231</v>
      </c>
      <c r="C17" s="11" t="s">
        <v>221</v>
      </c>
      <c r="D17" s="6"/>
    </row>
    <row r="18" spans="1:4" ht="33">
      <c r="A18" s="7" t="s">
        <v>206</v>
      </c>
      <c r="B18" s="11" t="s">
        <v>234</v>
      </c>
      <c r="C18" s="11" t="s">
        <v>252</v>
      </c>
      <c r="D18" s="6"/>
    </row>
    <row r="19" spans="1:4" ht="33">
      <c r="A19" s="7" t="s">
        <v>207</v>
      </c>
      <c r="B19" s="11" t="s">
        <v>236</v>
      </c>
      <c r="C19" s="11" t="s">
        <v>212</v>
      </c>
      <c r="D19" s="6"/>
    </row>
    <row r="20" spans="1:4" ht="66">
      <c r="A20" s="8" t="s">
        <v>0</v>
      </c>
      <c r="B20" s="11" t="s">
        <v>223</v>
      </c>
      <c r="C20" s="11" t="s">
        <v>253</v>
      </c>
      <c r="D20" s="6"/>
    </row>
    <row r="21" spans="1:4" ht="33">
      <c r="A21" s="7" t="s">
        <v>224</v>
      </c>
      <c r="B21" s="11"/>
      <c r="C21" s="11" t="s">
        <v>254</v>
      </c>
      <c r="D21" s="6"/>
    </row>
    <row r="22" spans="1:4">
      <c r="A22" s="9" t="s">
        <v>225</v>
      </c>
      <c r="B22" s="11"/>
      <c r="C22" s="13"/>
      <c r="D22" s="10"/>
    </row>
    <row r="24" spans="1:4">
      <c r="A24" s="16" t="s">
        <v>327</v>
      </c>
      <c r="B24" s="16" t="s">
        <v>984</v>
      </c>
      <c r="C24" s="16" t="s">
        <v>328</v>
      </c>
      <c r="D24" s="16" t="s">
        <v>329</v>
      </c>
    </row>
    <row r="25" spans="1:4" ht="66">
      <c r="A25" s="1" t="s">
        <v>1675</v>
      </c>
      <c r="B25" s="1" t="s">
        <v>960</v>
      </c>
      <c r="C25" s="1" t="s">
        <v>1676</v>
      </c>
      <c r="D25" s="1" t="s">
        <v>1677</v>
      </c>
    </row>
    <row r="26" spans="1:4" ht="49.5">
      <c r="A26" s="1" t="s">
        <v>1678</v>
      </c>
      <c r="B26" s="1" t="s">
        <v>457</v>
      </c>
      <c r="C26" s="1" t="s">
        <v>1679</v>
      </c>
      <c r="D26" s="1" t="s">
        <v>1680</v>
      </c>
    </row>
    <row r="27" spans="1:4" ht="49.5">
      <c r="A27" s="1" t="s">
        <v>1681</v>
      </c>
      <c r="B27" s="1" t="s">
        <v>508</v>
      </c>
      <c r="C27" s="1" t="s">
        <v>1682</v>
      </c>
      <c r="D27" s="1" t="s">
        <v>1683</v>
      </c>
    </row>
    <row r="28" spans="1:4" ht="49.5">
      <c r="A28" s="1" t="s">
        <v>848</v>
      </c>
      <c r="B28" s="1" t="s">
        <v>469</v>
      </c>
      <c r="C28" s="1" t="s">
        <v>1684</v>
      </c>
      <c r="D28" s="1" t="s">
        <v>1685</v>
      </c>
    </row>
    <row r="29" spans="1:4" ht="49.5">
      <c r="A29" s="1" t="s">
        <v>1686</v>
      </c>
      <c r="B29" s="1" t="s">
        <v>348</v>
      </c>
      <c r="C29" s="1" t="s">
        <v>1687</v>
      </c>
      <c r="D29" s="1" t="s">
        <v>1688</v>
      </c>
    </row>
    <row r="30" spans="1:4" ht="49.5">
      <c r="A30" s="1" t="s">
        <v>1689</v>
      </c>
      <c r="B30" s="1" t="s">
        <v>340</v>
      </c>
      <c r="C30" s="1" t="s">
        <v>1690</v>
      </c>
      <c r="D30" s="1" t="s">
        <v>1691</v>
      </c>
    </row>
    <row r="31" spans="1:4" ht="49.5">
      <c r="A31" s="1" t="s">
        <v>1692</v>
      </c>
      <c r="B31" s="1" t="s">
        <v>776</v>
      </c>
      <c r="C31" s="1" t="s">
        <v>1693</v>
      </c>
      <c r="D31" s="1" t="s">
        <v>1694</v>
      </c>
    </row>
    <row r="32" spans="1:4" ht="49.5">
      <c r="A32" s="1" t="s">
        <v>1695</v>
      </c>
      <c r="B32" s="1" t="s">
        <v>398</v>
      </c>
      <c r="C32" s="1" t="s">
        <v>1696</v>
      </c>
      <c r="D32" s="1" t="s">
        <v>1697</v>
      </c>
    </row>
    <row r="33" spans="1:4" ht="49.5">
      <c r="A33" s="1" t="s">
        <v>1698</v>
      </c>
      <c r="B33" s="1" t="s">
        <v>1549</v>
      </c>
      <c r="C33" s="1" t="s">
        <v>1699</v>
      </c>
      <c r="D33" s="1" t="s">
        <v>1700</v>
      </c>
    </row>
    <row r="34" spans="1:4" ht="49.5">
      <c r="A34" s="1" t="s">
        <v>1701</v>
      </c>
      <c r="B34" s="1" t="s">
        <v>956</v>
      </c>
      <c r="C34" s="1" t="s">
        <v>1702</v>
      </c>
      <c r="D34" s="1" t="s">
        <v>1703</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851E6-F954-4708-9F35-59FA725E4894}">
  <sheetPr>
    <tabColor theme="4"/>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256</v>
      </c>
      <c r="D2" s="36" t="s">
        <v>256</v>
      </c>
    </row>
    <row r="3" spans="1:4">
      <c r="A3" s="7" t="s">
        <v>3</v>
      </c>
      <c r="B3" s="11" t="s">
        <v>216</v>
      </c>
      <c r="C3" s="11" t="s">
        <v>5</v>
      </c>
      <c r="D3" s="36" t="s">
        <v>5</v>
      </c>
    </row>
    <row r="4" spans="1:4">
      <c r="A4" s="7" t="s">
        <v>2</v>
      </c>
      <c r="B4" s="11" t="s">
        <v>217</v>
      </c>
      <c r="C4" s="11" t="s">
        <v>255</v>
      </c>
      <c r="D4" s="36" t="s">
        <v>255</v>
      </c>
    </row>
    <row r="5" spans="1:4" ht="49.5">
      <c r="A5" s="7" t="s">
        <v>241</v>
      </c>
      <c r="B5" s="13" t="s">
        <v>243</v>
      </c>
      <c r="C5" s="1" t="s">
        <v>1705</v>
      </c>
      <c r="D5" s="37" t="s">
        <v>1771</v>
      </c>
    </row>
    <row r="6" spans="1:4" ht="49.5">
      <c r="A6" s="7" t="s">
        <v>242</v>
      </c>
      <c r="B6" s="13" t="s">
        <v>244</v>
      </c>
      <c r="C6" s="1" t="s">
        <v>1710</v>
      </c>
      <c r="D6" s="37" t="s">
        <v>1711</v>
      </c>
    </row>
    <row r="7" spans="1:4" ht="33">
      <c r="A7" s="7" t="s">
        <v>196</v>
      </c>
      <c r="B7" s="12" t="s">
        <v>218</v>
      </c>
      <c r="C7" s="1" t="s">
        <v>1706</v>
      </c>
      <c r="D7" s="6"/>
    </row>
    <row r="8" spans="1:4" ht="99">
      <c r="A8" s="7" t="s">
        <v>197</v>
      </c>
      <c r="B8" s="13" t="s">
        <v>232</v>
      </c>
      <c r="C8" s="1" t="s">
        <v>1707</v>
      </c>
      <c r="D8" s="6"/>
    </row>
    <row r="9" spans="1:4" ht="33">
      <c r="A9" s="7" t="s">
        <v>198</v>
      </c>
      <c r="B9" s="13" t="s">
        <v>230</v>
      </c>
      <c r="C9" s="1" t="s">
        <v>226</v>
      </c>
      <c r="D9" s="6"/>
    </row>
    <row r="10" spans="1:4" ht="33">
      <c r="A10" s="7" t="s">
        <v>199</v>
      </c>
      <c r="B10" s="11" t="s">
        <v>228</v>
      </c>
      <c r="C10" s="1" t="s">
        <v>210</v>
      </c>
      <c r="D10" s="30" t="s">
        <v>210</v>
      </c>
    </row>
    <row r="11" spans="1:4" ht="49.5">
      <c r="A11" s="7" t="s">
        <v>200</v>
      </c>
      <c r="B11" s="11" t="s">
        <v>239</v>
      </c>
      <c r="C11" s="1" t="s">
        <v>258</v>
      </c>
      <c r="D11" s="30" t="s">
        <v>258</v>
      </c>
    </row>
    <row r="12" spans="1:4">
      <c r="A12" s="7" t="s">
        <v>180</v>
      </c>
      <c r="B12" s="11" t="s">
        <v>219</v>
      </c>
      <c r="C12" s="15">
        <v>3901101000</v>
      </c>
      <c r="D12" s="38">
        <v>3901101000</v>
      </c>
    </row>
    <row r="13" spans="1:4" ht="33">
      <c r="A13" s="7" t="s">
        <v>201</v>
      </c>
      <c r="B13" s="11" t="s">
        <v>229</v>
      </c>
      <c r="C13" s="1" t="s">
        <v>247</v>
      </c>
      <c r="D13" s="30" t="s">
        <v>247</v>
      </c>
    </row>
    <row r="14" spans="1:4" ht="33">
      <c r="A14" s="7" t="s">
        <v>202</v>
      </c>
      <c r="B14" s="11" t="s">
        <v>235</v>
      </c>
      <c r="C14" s="1" t="s">
        <v>210</v>
      </c>
      <c r="D14" s="1" t="s">
        <v>210</v>
      </c>
    </row>
    <row r="15" spans="1:4" ht="33">
      <c r="A15" s="7" t="s">
        <v>203</v>
      </c>
      <c r="B15" s="11" t="s">
        <v>220</v>
      </c>
      <c r="C15" s="1" t="s">
        <v>1704</v>
      </c>
      <c r="D15" s="1" t="s">
        <v>1704</v>
      </c>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212</v>
      </c>
      <c r="D19" s="6"/>
    </row>
    <row r="20" spans="1:4" ht="66">
      <c r="A20" s="8" t="s">
        <v>0</v>
      </c>
      <c r="B20" s="11" t="s">
        <v>223</v>
      </c>
      <c r="C20" s="1" t="s">
        <v>259</v>
      </c>
      <c r="D20" s="6"/>
    </row>
    <row r="21" spans="1:4" ht="49.5">
      <c r="A21" s="7" t="s">
        <v>224</v>
      </c>
      <c r="B21" s="11"/>
      <c r="C21" s="14" t="s">
        <v>1708</v>
      </c>
      <c r="D21" s="6"/>
    </row>
    <row r="22" spans="1:4" ht="33">
      <c r="A22" s="9" t="s">
        <v>225</v>
      </c>
      <c r="B22" s="11"/>
      <c r="C22" s="1" t="s">
        <v>1709</v>
      </c>
      <c r="D22" s="10"/>
    </row>
    <row r="25" spans="1:4">
      <c r="A25" s="16" t="s">
        <v>327</v>
      </c>
      <c r="B25" s="16" t="s">
        <v>984</v>
      </c>
      <c r="C25" s="16" t="s">
        <v>328</v>
      </c>
      <c r="D25" s="16" t="s">
        <v>329</v>
      </c>
    </row>
    <row r="26" spans="1:4" ht="66">
      <c r="A26" s="1" t="s">
        <v>1675</v>
      </c>
      <c r="B26" s="1" t="s">
        <v>960</v>
      </c>
      <c r="C26" s="1" t="s">
        <v>1712</v>
      </c>
      <c r="D26" s="1" t="s">
        <v>1713</v>
      </c>
    </row>
    <row r="27" spans="1:4" ht="49.5">
      <c r="A27" s="1" t="s">
        <v>1714</v>
      </c>
      <c r="B27" s="1" t="s">
        <v>348</v>
      </c>
      <c r="C27" s="1" t="s">
        <v>1715</v>
      </c>
      <c r="D27" s="1" t="s">
        <v>1716</v>
      </c>
    </row>
    <row r="28" spans="1:4" ht="49.5">
      <c r="A28" s="1" t="s">
        <v>1717</v>
      </c>
      <c r="B28" s="1" t="s">
        <v>332</v>
      </c>
      <c r="C28" s="1" t="s">
        <v>1718</v>
      </c>
      <c r="D28" s="1" t="s">
        <v>1719</v>
      </c>
    </row>
    <row r="29" spans="1:4" ht="49.5">
      <c r="A29" s="1" t="s">
        <v>1720</v>
      </c>
      <c r="B29" s="1" t="s">
        <v>348</v>
      </c>
      <c r="C29" s="1" t="s">
        <v>1721</v>
      </c>
      <c r="D29" s="1" t="s">
        <v>1722</v>
      </c>
    </row>
    <row r="30" spans="1:4" ht="49.5">
      <c r="A30" s="1" t="s">
        <v>1723</v>
      </c>
      <c r="B30" s="1" t="s">
        <v>340</v>
      </c>
      <c r="C30" s="1" t="s">
        <v>1724</v>
      </c>
      <c r="D30" s="1" t="s">
        <v>1725</v>
      </c>
    </row>
    <row r="31" spans="1:4" ht="49.5">
      <c r="A31" s="1" t="s">
        <v>1726</v>
      </c>
      <c r="B31" s="1" t="s">
        <v>960</v>
      </c>
      <c r="C31" s="1" t="s">
        <v>1727</v>
      </c>
      <c r="D31" s="1" t="s">
        <v>1728</v>
      </c>
    </row>
    <row r="32" spans="1:4" ht="49.5">
      <c r="A32" s="1" t="s">
        <v>467</v>
      </c>
      <c r="B32" s="1" t="s">
        <v>469</v>
      </c>
      <c r="C32" s="1" t="s">
        <v>1729</v>
      </c>
      <c r="D32" s="1" t="s">
        <v>1685</v>
      </c>
    </row>
    <row r="33" spans="1:4" ht="66">
      <c r="A33" s="1" t="s">
        <v>1730</v>
      </c>
      <c r="B33" s="1" t="s">
        <v>371</v>
      </c>
      <c r="C33" s="1" t="s">
        <v>1731</v>
      </c>
      <c r="D33" s="1" t="s">
        <v>1732</v>
      </c>
    </row>
  </sheetData>
  <phoneticPr fontId="1" type="noConversion"/>
  <hyperlinks>
    <hyperlink ref="C21" r:id="rId1" tooltip="LLDPE | Petrochemicals | Product" display="https://www.lgchem.com/product-detail/lldpe?lang=en_US&amp;utm_source=chatgpt.com" xr:uid="{F2377825-068D-4223-A3F0-5BA674AC5B7C}"/>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DCE06-43B7-431F-A17D-B5EE9F59C861}">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10</v>
      </c>
      <c r="D2" s="36" t="s">
        <v>10</v>
      </c>
    </row>
    <row r="3" spans="1:4">
      <c r="A3" s="7" t="s">
        <v>3</v>
      </c>
      <c r="B3" s="11" t="s">
        <v>216</v>
      </c>
      <c r="C3" s="11" t="s">
        <v>5</v>
      </c>
      <c r="D3" s="36" t="s">
        <v>5</v>
      </c>
    </row>
    <row r="4" spans="1:4">
      <c r="A4" s="7" t="s">
        <v>2</v>
      </c>
      <c r="B4" s="11" t="s">
        <v>217</v>
      </c>
      <c r="C4" s="11" t="s">
        <v>260</v>
      </c>
      <c r="D4" s="36" t="s">
        <v>119</v>
      </c>
    </row>
    <row r="5" spans="1:4" ht="33">
      <c r="A5" s="7" t="s">
        <v>241</v>
      </c>
      <c r="B5" s="13" t="s">
        <v>243</v>
      </c>
      <c r="C5" s="1" t="s">
        <v>1733</v>
      </c>
      <c r="D5" s="37" t="s">
        <v>1772</v>
      </c>
    </row>
    <row r="6" spans="1:4" ht="66">
      <c r="A6" s="7" t="s">
        <v>242</v>
      </c>
      <c r="B6" s="13" t="s">
        <v>244</v>
      </c>
      <c r="C6" s="1" t="s">
        <v>1734</v>
      </c>
      <c r="D6" s="37" t="s">
        <v>1773</v>
      </c>
    </row>
    <row r="7" spans="1:4" ht="33">
      <c r="A7" s="7" t="s">
        <v>196</v>
      </c>
      <c r="B7" s="12" t="s">
        <v>218</v>
      </c>
      <c r="C7" s="1" t="s">
        <v>1735</v>
      </c>
      <c r="D7" s="6"/>
    </row>
    <row r="8" spans="1:4" ht="99">
      <c r="A8" s="7" t="s">
        <v>197</v>
      </c>
      <c r="B8" s="13" t="s">
        <v>232</v>
      </c>
      <c r="C8" s="1" t="s">
        <v>1736</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262</v>
      </c>
      <c r="D11" s="30" t="s">
        <v>262</v>
      </c>
    </row>
    <row r="12" spans="1:4">
      <c r="A12" s="7" t="s">
        <v>180</v>
      </c>
      <c r="B12" s="11" t="s">
        <v>219</v>
      </c>
      <c r="C12">
        <v>2903150000</v>
      </c>
      <c r="D12" s="31">
        <v>2903150000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1737</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1738</v>
      </c>
      <c r="D20" s="6"/>
    </row>
    <row r="21" spans="1:4" ht="33">
      <c r="A21" s="7" t="s">
        <v>224</v>
      </c>
      <c r="B21" s="11"/>
      <c r="C21" s="1" t="s">
        <v>1739</v>
      </c>
      <c r="D21" s="6"/>
    </row>
    <row r="22" spans="1:4" ht="33">
      <c r="A22" s="9" t="s">
        <v>225</v>
      </c>
      <c r="B22" s="11"/>
      <c r="C22" s="1" t="s">
        <v>1740</v>
      </c>
      <c r="D22" s="10"/>
    </row>
    <row r="24" spans="1:4">
      <c r="A24" s="16" t="s">
        <v>327</v>
      </c>
      <c r="B24" s="16" t="s">
        <v>984</v>
      </c>
      <c r="C24" s="16" t="s">
        <v>328</v>
      </c>
      <c r="D24" s="16" t="s">
        <v>329</v>
      </c>
    </row>
    <row r="25" spans="1:4" ht="49.5">
      <c r="A25" s="1" t="s">
        <v>1741</v>
      </c>
      <c r="B25" s="1" t="s">
        <v>336</v>
      </c>
      <c r="C25" s="1" t="s">
        <v>1742</v>
      </c>
      <c r="D25" s="1" t="s">
        <v>1743</v>
      </c>
    </row>
    <row r="26" spans="1:4" ht="49.5">
      <c r="A26" s="1" t="s">
        <v>848</v>
      </c>
      <c r="B26" s="1" t="s">
        <v>469</v>
      </c>
      <c r="C26" s="1" t="s">
        <v>1744</v>
      </c>
      <c r="D26" s="1" t="s">
        <v>1745</v>
      </c>
    </row>
    <row r="27" spans="1:4" ht="49.5">
      <c r="A27" s="1" t="s">
        <v>1746</v>
      </c>
      <c r="B27" s="1" t="s">
        <v>336</v>
      </c>
      <c r="C27" s="1" t="s">
        <v>1747</v>
      </c>
      <c r="D27" s="1" t="s">
        <v>1748</v>
      </c>
    </row>
    <row r="28" spans="1:4" ht="49.5">
      <c r="A28" s="1" t="s">
        <v>1749</v>
      </c>
      <c r="B28" s="1" t="s">
        <v>332</v>
      </c>
      <c r="C28" s="1" t="s">
        <v>1750</v>
      </c>
      <c r="D28" s="1" t="s">
        <v>1751</v>
      </c>
    </row>
    <row r="29" spans="1:4" ht="49.5">
      <c r="A29" s="1" t="s">
        <v>1752</v>
      </c>
      <c r="B29" s="1" t="s">
        <v>956</v>
      </c>
      <c r="C29" s="1" t="s">
        <v>1753</v>
      </c>
      <c r="D29" s="1" t="s">
        <v>1754</v>
      </c>
    </row>
    <row r="30" spans="1:4" ht="49.5">
      <c r="A30" s="1" t="s">
        <v>1755</v>
      </c>
      <c r="B30" s="1" t="s">
        <v>348</v>
      </c>
      <c r="C30" s="1" t="s">
        <v>1756</v>
      </c>
      <c r="D30" s="1" t="s">
        <v>1757</v>
      </c>
    </row>
    <row r="31" spans="1:4" ht="49.5">
      <c r="A31" s="1" t="s">
        <v>1758</v>
      </c>
      <c r="B31" s="1" t="s">
        <v>960</v>
      </c>
      <c r="C31" s="1" t="s">
        <v>1759</v>
      </c>
      <c r="D31" s="1" t="s">
        <v>1760</v>
      </c>
    </row>
    <row r="32" spans="1:4" ht="49.5">
      <c r="A32" s="1" t="s">
        <v>1761</v>
      </c>
      <c r="B32" s="1" t="s">
        <v>348</v>
      </c>
      <c r="C32" s="1" t="s">
        <v>1762</v>
      </c>
      <c r="D32" s="1" t="s">
        <v>1763</v>
      </c>
    </row>
    <row r="33" spans="1:4" ht="49.5">
      <c r="A33" s="1" t="s">
        <v>1764</v>
      </c>
      <c r="B33" s="1" t="s">
        <v>348</v>
      </c>
      <c r="C33" s="1" t="s">
        <v>1765</v>
      </c>
      <c r="D33" s="1" t="s">
        <v>1766</v>
      </c>
    </row>
    <row r="34" spans="1:4" ht="49.5">
      <c r="A34" s="1" t="s">
        <v>1767</v>
      </c>
      <c r="B34" s="1" t="s">
        <v>394</v>
      </c>
      <c r="C34" s="1" t="s">
        <v>1768</v>
      </c>
      <c r="D34" s="1" t="s">
        <v>1725</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F3D0B-524B-4FF6-B799-2C435CFCC246}">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11</v>
      </c>
      <c r="D2" s="30" t="s">
        <v>11</v>
      </c>
    </row>
    <row r="3" spans="1:4">
      <c r="A3" s="7" t="s">
        <v>3</v>
      </c>
      <c r="B3" s="11" t="s">
        <v>216</v>
      </c>
      <c r="C3" s="1" t="s">
        <v>5</v>
      </c>
      <c r="D3" s="30" t="s">
        <v>5</v>
      </c>
    </row>
    <row r="4" spans="1:4">
      <c r="A4" s="7" t="s">
        <v>2</v>
      </c>
      <c r="B4" s="11" t="s">
        <v>217</v>
      </c>
      <c r="C4" s="1" t="s">
        <v>264</v>
      </c>
      <c r="D4" s="30" t="s">
        <v>264</v>
      </c>
    </row>
    <row r="5" spans="1:4" ht="33">
      <c r="A5" s="7" t="s">
        <v>241</v>
      </c>
      <c r="B5" s="13" t="s">
        <v>243</v>
      </c>
      <c r="C5" s="1" t="s">
        <v>265</v>
      </c>
      <c r="D5" s="37" t="s">
        <v>1774</v>
      </c>
    </row>
    <row r="6" spans="1:4" ht="82.5">
      <c r="A6" s="7" t="s">
        <v>242</v>
      </c>
      <c r="B6" s="13" t="s">
        <v>244</v>
      </c>
      <c r="C6" s="1" t="s">
        <v>1775</v>
      </c>
      <c r="D6" s="37" t="s">
        <v>1776</v>
      </c>
    </row>
    <row r="7" spans="1:4">
      <c r="A7" s="7" t="s">
        <v>196</v>
      </c>
      <c r="B7" s="12" t="s">
        <v>218</v>
      </c>
      <c r="C7" s="1" t="s">
        <v>266</v>
      </c>
      <c r="D7" s="6"/>
    </row>
    <row r="8" spans="1:4">
      <c r="A8" s="7" t="s">
        <v>197</v>
      </c>
      <c r="B8" s="13" t="s">
        <v>232</v>
      </c>
      <c r="C8" s="1" t="s">
        <v>263</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269</v>
      </c>
      <c r="D11" s="30" t="s">
        <v>269</v>
      </c>
    </row>
    <row r="12" spans="1:4">
      <c r="A12" s="7" t="s">
        <v>180</v>
      </c>
      <c r="B12" s="11" t="s">
        <v>219</v>
      </c>
      <c r="C12">
        <v>2903210000</v>
      </c>
      <c r="D12" s="31">
        <v>2903210000</v>
      </c>
    </row>
    <row r="13" spans="1:4" ht="33">
      <c r="A13" s="7" t="s">
        <v>201</v>
      </c>
      <c r="B13" s="11" t="s">
        <v>229</v>
      </c>
      <c r="C13" s="1" t="s">
        <v>247</v>
      </c>
      <c r="D13" s="30" t="s">
        <v>247</v>
      </c>
    </row>
    <row r="14" spans="1:4" ht="33">
      <c r="A14" s="7" t="s">
        <v>202</v>
      </c>
      <c r="B14" s="11" t="s">
        <v>235</v>
      </c>
      <c r="C14" s="1" t="s">
        <v>211</v>
      </c>
      <c r="D14" s="6"/>
    </row>
    <row r="15" spans="1:4">
      <c r="A15" s="7" t="s">
        <v>203</v>
      </c>
      <c r="B15" s="11" t="s">
        <v>220</v>
      </c>
      <c r="C15" t="s">
        <v>1777</v>
      </c>
      <c r="D15" s="6"/>
    </row>
    <row r="16" spans="1:4" ht="33">
      <c r="A16" s="7" t="s">
        <v>204</v>
      </c>
      <c r="B16" s="11" t="s">
        <v>233</v>
      </c>
      <c r="C16" s="1" t="s">
        <v>211</v>
      </c>
      <c r="D16" s="6"/>
    </row>
    <row r="17" spans="1:4" ht="33">
      <c r="A17" s="7" t="s">
        <v>205</v>
      </c>
      <c r="B17" s="11" t="s">
        <v>231</v>
      </c>
      <c r="C17" s="1" t="s">
        <v>221</v>
      </c>
      <c r="D17" s="6"/>
    </row>
    <row r="18" spans="1:4" ht="33">
      <c r="A18" s="7" t="s">
        <v>206</v>
      </c>
      <c r="B18" s="11" t="s">
        <v>234</v>
      </c>
      <c r="C18" s="1" t="s">
        <v>211</v>
      </c>
      <c r="D18" s="6"/>
    </row>
    <row r="19" spans="1:4" ht="33">
      <c r="A19" s="7" t="s">
        <v>207</v>
      </c>
      <c r="B19" s="11" t="s">
        <v>236</v>
      </c>
      <c r="C19" s="1" t="s">
        <v>212</v>
      </c>
      <c r="D19" s="6"/>
    </row>
    <row r="20" spans="1:4" ht="66">
      <c r="A20" s="8" t="s">
        <v>0</v>
      </c>
      <c r="B20" s="11" t="s">
        <v>223</v>
      </c>
      <c r="C20" s="1" t="s">
        <v>1805</v>
      </c>
      <c r="D20" s="6"/>
    </row>
    <row r="21" spans="1:4" ht="66">
      <c r="A21" s="7" t="s">
        <v>224</v>
      </c>
      <c r="B21" s="11"/>
      <c r="C21" s="1" t="s">
        <v>267</v>
      </c>
      <c r="D21" s="6"/>
    </row>
    <row r="22" spans="1:4" ht="66">
      <c r="A22" s="9" t="s">
        <v>225</v>
      </c>
      <c r="B22" s="11"/>
      <c r="C22" s="1" t="s">
        <v>268</v>
      </c>
      <c r="D22" s="10"/>
    </row>
    <row r="24" spans="1:4">
      <c r="A24" s="16" t="s">
        <v>327</v>
      </c>
      <c r="B24" s="16" t="s">
        <v>984</v>
      </c>
      <c r="C24" s="16" t="s">
        <v>328</v>
      </c>
      <c r="D24" s="16" t="s">
        <v>329</v>
      </c>
    </row>
    <row r="25" spans="1:4" ht="49.5">
      <c r="A25" s="1" t="s">
        <v>1741</v>
      </c>
      <c r="B25" s="1" t="s">
        <v>336</v>
      </c>
      <c r="C25" s="1" t="s">
        <v>1778</v>
      </c>
      <c r="D25" s="1" t="s">
        <v>1779</v>
      </c>
    </row>
    <row r="26" spans="1:4" ht="33">
      <c r="A26" s="1" t="s">
        <v>1780</v>
      </c>
      <c r="B26" s="1" t="s">
        <v>336</v>
      </c>
      <c r="C26" s="1" t="s">
        <v>1781</v>
      </c>
      <c r="D26" s="1" t="s">
        <v>1782</v>
      </c>
    </row>
    <row r="27" spans="1:4" ht="33">
      <c r="A27" s="1" t="s">
        <v>848</v>
      </c>
      <c r="B27" s="1" t="s">
        <v>469</v>
      </c>
      <c r="C27" s="1" t="s">
        <v>1783</v>
      </c>
      <c r="D27" s="1" t="s">
        <v>1784</v>
      </c>
    </row>
    <row r="28" spans="1:4" ht="33">
      <c r="A28" s="1" t="s">
        <v>1785</v>
      </c>
      <c r="B28" s="1" t="s">
        <v>336</v>
      </c>
      <c r="C28" s="1" t="s">
        <v>1786</v>
      </c>
      <c r="D28" s="1" t="s">
        <v>1787</v>
      </c>
    </row>
    <row r="29" spans="1:4" ht="33">
      <c r="A29" s="1" t="s">
        <v>1788</v>
      </c>
      <c r="B29" s="1" t="s">
        <v>332</v>
      </c>
      <c r="C29" s="1" t="s">
        <v>1789</v>
      </c>
      <c r="D29" s="1" t="s">
        <v>1790</v>
      </c>
    </row>
    <row r="30" spans="1:4" ht="33">
      <c r="A30" s="1" t="s">
        <v>1791</v>
      </c>
      <c r="B30" s="1" t="s">
        <v>956</v>
      </c>
      <c r="C30" s="1" t="s">
        <v>1792</v>
      </c>
      <c r="D30" s="1" t="s">
        <v>1754</v>
      </c>
    </row>
    <row r="31" spans="1:4" ht="49.5">
      <c r="A31" s="1" t="s">
        <v>1767</v>
      </c>
      <c r="B31" s="1" t="s">
        <v>1793</v>
      </c>
      <c r="C31" s="1" t="s">
        <v>1794</v>
      </c>
      <c r="D31" s="1" t="s">
        <v>1795</v>
      </c>
    </row>
    <row r="32" spans="1:4" ht="33">
      <c r="A32" s="1" t="s">
        <v>1796</v>
      </c>
      <c r="B32" s="1" t="s">
        <v>348</v>
      </c>
      <c r="C32" s="1" t="s">
        <v>1797</v>
      </c>
      <c r="D32" s="1" t="s">
        <v>1798</v>
      </c>
    </row>
    <row r="33" spans="1:4" ht="33">
      <c r="A33" s="1" t="s">
        <v>1799</v>
      </c>
      <c r="B33" s="1" t="s">
        <v>1800</v>
      </c>
      <c r="C33" s="1" t="s">
        <v>1801</v>
      </c>
      <c r="D33" s="1" t="s">
        <v>1760</v>
      </c>
    </row>
    <row r="34" spans="1:4" ht="49.5">
      <c r="A34" s="1" t="s">
        <v>1802</v>
      </c>
      <c r="B34" s="1" t="s">
        <v>348</v>
      </c>
      <c r="C34" s="1" t="s">
        <v>1803</v>
      </c>
      <c r="D34" s="1" t="s">
        <v>1804</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23ED-0557-4FDA-9ABB-CE36EA6B4BFA}">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13</v>
      </c>
      <c r="D2" s="30" t="s">
        <v>13</v>
      </c>
    </row>
    <row r="3" spans="1:4">
      <c r="A3" s="7" t="s">
        <v>3</v>
      </c>
      <c r="B3" s="11" t="s">
        <v>216</v>
      </c>
      <c r="C3" s="1" t="s">
        <v>5</v>
      </c>
      <c r="D3" s="30" t="s">
        <v>5</v>
      </c>
    </row>
    <row r="4" spans="1:4">
      <c r="A4" s="7" t="s">
        <v>2</v>
      </c>
      <c r="B4" s="11" t="s">
        <v>217</v>
      </c>
      <c r="C4" s="1" t="s">
        <v>25</v>
      </c>
      <c r="D4" s="30" t="s">
        <v>25</v>
      </c>
    </row>
    <row r="5" spans="1:4" ht="33">
      <c r="A5" s="7" t="s">
        <v>241</v>
      </c>
      <c r="B5" s="13" t="s">
        <v>243</v>
      </c>
      <c r="C5" s="1" t="s">
        <v>1806</v>
      </c>
      <c r="D5" s="37" t="s">
        <v>1807</v>
      </c>
    </row>
    <row r="6" spans="1:4" ht="66">
      <c r="A6" s="7" t="s">
        <v>242</v>
      </c>
      <c r="B6" s="13" t="s">
        <v>244</v>
      </c>
      <c r="C6" s="1" t="s">
        <v>271</v>
      </c>
      <c r="D6" s="37" t="s">
        <v>1808</v>
      </c>
    </row>
    <row r="7" spans="1:4" ht="33">
      <c r="A7" s="7" t="s">
        <v>196</v>
      </c>
      <c r="B7" s="12" t="s">
        <v>218</v>
      </c>
      <c r="C7" s="1" t="s">
        <v>272</v>
      </c>
      <c r="D7" s="6"/>
    </row>
    <row r="8" spans="1:4" ht="99">
      <c r="A8" s="7" t="s">
        <v>197</v>
      </c>
      <c r="B8" s="13" t="s">
        <v>232</v>
      </c>
      <c r="C8" s="1" t="s">
        <v>1809</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274</v>
      </c>
      <c r="D11" s="30" t="s">
        <v>274</v>
      </c>
    </row>
    <row r="12" spans="1:4">
      <c r="A12" s="7" t="s">
        <v>180</v>
      </c>
      <c r="B12" s="11" t="s">
        <v>219</v>
      </c>
      <c r="C12">
        <v>3904100000</v>
      </c>
      <c r="D12" s="31">
        <v>3904100000</v>
      </c>
    </row>
    <row r="13" spans="1:4" ht="33">
      <c r="A13" s="7" t="s">
        <v>201</v>
      </c>
      <c r="B13" s="11" t="s">
        <v>229</v>
      </c>
      <c r="C13" s="1" t="s">
        <v>247</v>
      </c>
      <c r="D13" s="30" t="s">
        <v>247</v>
      </c>
    </row>
    <row r="14" spans="1:4" ht="33">
      <c r="A14" s="7" t="s">
        <v>202</v>
      </c>
      <c r="B14" s="11" t="s">
        <v>235</v>
      </c>
      <c r="C14" s="1" t="s">
        <v>211</v>
      </c>
      <c r="D14" s="1"/>
    </row>
    <row r="15" spans="1:4">
      <c r="A15" s="7" t="s">
        <v>203</v>
      </c>
      <c r="B15" s="11" t="s">
        <v>220</v>
      </c>
      <c r="C15" s="1" t="s">
        <v>211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276</v>
      </c>
      <c r="D20" s="6"/>
    </row>
    <row r="21" spans="1:4" ht="66">
      <c r="A21" s="7" t="s">
        <v>224</v>
      </c>
      <c r="B21" s="11"/>
      <c r="C21" s="1" t="s">
        <v>273</v>
      </c>
      <c r="D21" s="6"/>
    </row>
    <row r="22" spans="1:4" ht="66">
      <c r="A22" s="9" t="s">
        <v>225</v>
      </c>
      <c r="B22" s="11"/>
      <c r="C22" s="14" t="s">
        <v>275</v>
      </c>
      <c r="D22" s="10"/>
    </row>
    <row r="24" spans="1:4">
      <c r="A24" s="16" t="s">
        <v>327</v>
      </c>
      <c r="B24" s="16" t="s">
        <v>984</v>
      </c>
      <c r="C24" s="16" t="s">
        <v>328</v>
      </c>
      <c r="D24" s="16" t="s">
        <v>329</v>
      </c>
    </row>
    <row r="25" spans="1:4" ht="49.5">
      <c r="A25" s="1" t="s">
        <v>1810</v>
      </c>
      <c r="B25" s="1" t="s">
        <v>336</v>
      </c>
      <c r="C25" s="1" t="s">
        <v>1811</v>
      </c>
      <c r="D25" s="1" t="s">
        <v>1812</v>
      </c>
    </row>
    <row r="26" spans="1:4" ht="49.5">
      <c r="A26" s="1" t="s">
        <v>1813</v>
      </c>
      <c r="B26" s="1" t="s">
        <v>336</v>
      </c>
      <c r="C26" s="1" t="s">
        <v>1814</v>
      </c>
      <c r="D26" s="1" t="s">
        <v>1815</v>
      </c>
    </row>
    <row r="27" spans="1:4" ht="49.5">
      <c r="A27" s="1" t="s">
        <v>848</v>
      </c>
      <c r="B27" s="1" t="s">
        <v>469</v>
      </c>
      <c r="C27" s="1" t="s">
        <v>1816</v>
      </c>
      <c r="D27" s="1" t="s">
        <v>1685</v>
      </c>
    </row>
    <row r="28" spans="1:4" ht="49.5">
      <c r="A28" s="1" t="s">
        <v>1817</v>
      </c>
      <c r="B28" s="1" t="s">
        <v>336</v>
      </c>
      <c r="C28" s="1" t="s">
        <v>1818</v>
      </c>
      <c r="D28" s="1" t="s">
        <v>1819</v>
      </c>
    </row>
    <row r="29" spans="1:4" ht="49.5">
      <c r="A29" s="1" t="s">
        <v>1820</v>
      </c>
      <c r="B29" s="1" t="s">
        <v>332</v>
      </c>
      <c r="C29" s="1" t="s">
        <v>1821</v>
      </c>
      <c r="D29" s="1" t="s">
        <v>1751</v>
      </c>
    </row>
    <row r="30" spans="1:4" ht="49.5">
      <c r="A30" s="1" t="s">
        <v>1822</v>
      </c>
      <c r="B30" s="1" t="s">
        <v>956</v>
      </c>
      <c r="C30" s="1" t="s">
        <v>1823</v>
      </c>
      <c r="D30" s="1" t="s">
        <v>1754</v>
      </c>
    </row>
    <row r="31" spans="1:4" ht="49.5">
      <c r="A31" s="1" t="s">
        <v>1824</v>
      </c>
      <c r="B31" s="1" t="s">
        <v>340</v>
      </c>
      <c r="C31" s="1" t="s">
        <v>1825</v>
      </c>
      <c r="D31" s="1" t="s">
        <v>1725</v>
      </c>
    </row>
    <row r="32" spans="1:4" ht="49.5">
      <c r="A32" s="1" t="s">
        <v>1826</v>
      </c>
      <c r="B32" s="1" t="s">
        <v>348</v>
      </c>
      <c r="C32" s="1" t="s">
        <v>1827</v>
      </c>
      <c r="D32" s="1" t="s">
        <v>1828</v>
      </c>
    </row>
    <row r="33" spans="1:4" ht="49.5">
      <c r="A33" s="1" t="s">
        <v>1829</v>
      </c>
      <c r="B33" s="1" t="s">
        <v>336</v>
      </c>
      <c r="C33" s="1" t="s">
        <v>1830</v>
      </c>
      <c r="D33" s="1" t="s">
        <v>1831</v>
      </c>
    </row>
    <row r="34" spans="1:4" ht="49.5">
      <c r="A34" s="1" t="s">
        <v>1832</v>
      </c>
      <c r="B34" s="1" t="s">
        <v>340</v>
      </c>
      <c r="C34" s="1" t="s">
        <v>1833</v>
      </c>
      <c r="D34" s="1" t="s">
        <v>1834</v>
      </c>
    </row>
  </sheetData>
  <phoneticPr fontId="1" type="noConversion"/>
  <hyperlinks>
    <hyperlink ref="C22" r:id="rId1" xr:uid="{AD96A3D6-0C4C-490A-BB37-8BE175A8972A}"/>
  </hyperlinks>
  <pageMargins left="0.7" right="0.7" top="0.75" bottom="0.75" header="0.3" footer="0.3"/>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19DFB-7AB5-4299-8B73-EFB62058FEF3}">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15</v>
      </c>
      <c r="D2" s="30" t="s">
        <v>15</v>
      </c>
    </row>
    <row r="3" spans="1:4">
      <c r="A3" s="7" t="s">
        <v>3</v>
      </c>
      <c r="B3" s="11" t="s">
        <v>216</v>
      </c>
      <c r="C3" s="1" t="s">
        <v>5</v>
      </c>
      <c r="D3" s="30" t="s">
        <v>5</v>
      </c>
    </row>
    <row r="4" spans="1:4">
      <c r="A4" s="7" t="s">
        <v>2</v>
      </c>
      <c r="B4" s="11" t="s">
        <v>217</v>
      </c>
      <c r="C4" s="1" t="s">
        <v>28</v>
      </c>
      <c r="D4" s="30" t="s">
        <v>28</v>
      </c>
    </row>
    <row r="5" spans="1:4" ht="33">
      <c r="A5" s="7" t="s">
        <v>241</v>
      </c>
      <c r="B5" s="13" t="s">
        <v>243</v>
      </c>
      <c r="C5" s="1" t="s">
        <v>1836</v>
      </c>
      <c r="D5" s="37" t="s">
        <v>1837</v>
      </c>
    </row>
    <row r="6" spans="1:4" ht="82.5">
      <c r="A6" s="7" t="s">
        <v>242</v>
      </c>
      <c r="B6" s="13" t="s">
        <v>244</v>
      </c>
      <c r="C6" s="1" t="s">
        <v>280</v>
      </c>
      <c r="D6" s="37" t="s">
        <v>1838</v>
      </c>
    </row>
    <row r="7" spans="1:4" ht="33">
      <c r="A7" s="7" t="s">
        <v>196</v>
      </c>
      <c r="B7" s="12" t="s">
        <v>218</v>
      </c>
      <c r="C7" s="1" t="s">
        <v>281</v>
      </c>
      <c r="D7" s="6"/>
    </row>
    <row r="8" spans="1:4">
      <c r="A8" s="7" t="s">
        <v>197</v>
      </c>
      <c r="B8" s="13" t="s">
        <v>232</v>
      </c>
      <c r="C8" s="1" t="s">
        <v>277</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283</v>
      </c>
      <c r="D11" s="30" t="s">
        <v>283</v>
      </c>
    </row>
    <row r="12" spans="1:4">
      <c r="A12" s="7" t="s">
        <v>180</v>
      </c>
      <c r="B12" s="11" t="s">
        <v>219</v>
      </c>
      <c r="C12" s="1" t="s">
        <v>270</v>
      </c>
      <c r="D12" s="30" t="s">
        <v>270</v>
      </c>
    </row>
    <row r="13" spans="1:4" ht="33">
      <c r="A13" s="7" t="s">
        <v>201</v>
      </c>
      <c r="B13" s="11" t="s">
        <v>229</v>
      </c>
      <c r="C13" s="1" t="s">
        <v>211</v>
      </c>
      <c r="D13" s="30" t="s">
        <v>211</v>
      </c>
    </row>
    <row r="14" spans="1:4" ht="33">
      <c r="A14" s="7" t="s">
        <v>202</v>
      </c>
      <c r="B14" s="11" t="s">
        <v>235</v>
      </c>
      <c r="C14" s="1" t="s">
        <v>211</v>
      </c>
      <c r="D14" s="6"/>
    </row>
    <row r="15" spans="1:4">
      <c r="A15" s="7" t="s">
        <v>203</v>
      </c>
      <c r="B15" s="11" t="s">
        <v>220</v>
      </c>
      <c r="C15" s="1" t="s">
        <v>211</v>
      </c>
      <c r="D15" s="6"/>
    </row>
    <row r="16" spans="1:4" ht="33">
      <c r="A16" s="7" t="s">
        <v>204</v>
      </c>
      <c r="B16" s="11" t="s">
        <v>233</v>
      </c>
      <c r="C16" s="1" t="s">
        <v>211</v>
      </c>
      <c r="D16" s="6"/>
    </row>
    <row r="17" spans="1:4" ht="33">
      <c r="A17" s="7" t="s">
        <v>205</v>
      </c>
      <c r="B17" s="11" t="s">
        <v>231</v>
      </c>
      <c r="C17" s="1" t="s">
        <v>211</v>
      </c>
      <c r="D17" s="6"/>
    </row>
    <row r="18" spans="1:4" ht="33">
      <c r="A18" s="7" t="s">
        <v>206</v>
      </c>
      <c r="B18" s="11" t="s">
        <v>234</v>
      </c>
      <c r="C18" s="1" t="s">
        <v>211</v>
      </c>
      <c r="D18" s="6"/>
    </row>
    <row r="19" spans="1:4" ht="33">
      <c r="A19" s="7" t="s">
        <v>207</v>
      </c>
      <c r="B19" s="11" t="s">
        <v>236</v>
      </c>
      <c r="C19" s="1" t="s">
        <v>212</v>
      </c>
      <c r="D19" s="6"/>
    </row>
    <row r="20" spans="1:4" ht="66">
      <c r="A20" s="8" t="s">
        <v>0</v>
      </c>
      <c r="B20" s="11" t="s">
        <v>223</v>
      </c>
      <c r="C20" s="1" t="s">
        <v>282</v>
      </c>
      <c r="D20" s="6"/>
    </row>
    <row r="21" spans="1:4" ht="49.5">
      <c r="A21" s="7" t="s">
        <v>224</v>
      </c>
      <c r="B21" s="11"/>
      <c r="C21" s="1" t="s">
        <v>278</v>
      </c>
      <c r="D21" s="6"/>
    </row>
    <row r="22" spans="1:4" ht="66">
      <c r="A22" s="9" t="s">
        <v>225</v>
      </c>
      <c r="B22" s="11"/>
      <c r="C22" s="1" t="s">
        <v>279</v>
      </c>
      <c r="D22" s="10"/>
    </row>
  </sheetData>
  <phoneticPr fontId="1"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3F89-830D-4166-B38E-2B019C29EE9C}">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284</v>
      </c>
      <c r="D2" s="30" t="s">
        <v>284</v>
      </c>
    </row>
    <row r="3" spans="1:4">
      <c r="A3" s="7" t="s">
        <v>3</v>
      </c>
      <c r="B3" s="11" t="s">
        <v>216</v>
      </c>
      <c r="C3" s="1" t="s">
        <v>147</v>
      </c>
      <c r="D3" s="30" t="s">
        <v>147</v>
      </c>
    </row>
    <row r="4" spans="1:4">
      <c r="A4" s="7" t="s">
        <v>2</v>
      </c>
      <c r="B4" s="11" t="s">
        <v>217</v>
      </c>
      <c r="C4" s="1" t="s">
        <v>285</v>
      </c>
      <c r="D4" s="30" t="s">
        <v>285</v>
      </c>
    </row>
    <row r="5" spans="1:4" ht="66">
      <c r="A5" s="7" t="s">
        <v>241</v>
      </c>
      <c r="B5" s="13" t="s">
        <v>243</v>
      </c>
      <c r="C5" s="1" t="s">
        <v>286</v>
      </c>
      <c r="D5" s="30" t="s">
        <v>1839</v>
      </c>
    </row>
    <row r="6" spans="1:4" ht="66">
      <c r="A6" s="7" t="s">
        <v>242</v>
      </c>
      <c r="B6" s="13" t="s">
        <v>244</v>
      </c>
      <c r="C6" s="1" t="s">
        <v>287</v>
      </c>
      <c r="D6" s="30" t="s">
        <v>1840</v>
      </c>
    </row>
    <row r="7" spans="1:4">
      <c r="A7" s="7" t="s">
        <v>196</v>
      </c>
      <c r="B7" s="12" t="s">
        <v>218</v>
      </c>
      <c r="C7" s="1" t="s">
        <v>295</v>
      </c>
      <c r="D7" s="6"/>
    </row>
    <row r="8" spans="1:4">
      <c r="A8" s="7" t="s">
        <v>197</v>
      </c>
      <c r="B8" s="13" t="s">
        <v>232</v>
      </c>
      <c r="C8" s="1" t="s">
        <v>293</v>
      </c>
      <c r="D8" s="6"/>
    </row>
    <row r="9" spans="1:4" ht="33">
      <c r="A9" s="7" t="s">
        <v>198</v>
      </c>
      <c r="B9" s="13" t="s">
        <v>230</v>
      </c>
      <c r="C9" s="1"/>
      <c r="D9" s="6"/>
    </row>
    <row r="10" spans="1:4" ht="33">
      <c r="A10" s="7" t="s">
        <v>199</v>
      </c>
      <c r="B10" s="11" t="s">
        <v>228</v>
      </c>
      <c r="C10" s="1" t="s">
        <v>288</v>
      </c>
      <c r="D10" s="30" t="s">
        <v>288</v>
      </c>
    </row>
    <row r="11" spans="1:4">
      <c r="A11" s="7" t="s">
        <v>200</v>
      </c>
      <c r="B11" s="11" t="s">
        <v>239</v>
      </c>
      <c r="C11" s="1" t="s">
        <v>289</v>
      </c>
      <c r="D11" s="30" t="s">
        <v>289</v>
      </c>
    </row>
    <row r="12" spans="1:4">
      <c r="A12" s="7" t="s">
        <v>180</v>
      </c>
      <c r="B12" s="11" t="s">
        <v>219</v>
      </c>
      <c r="C12">
        <v>2915310000</v>
      </c>
      <c r="D12" s="31">
        <v>2915310000</v>
      </c>
    </row>
    <row r="13" spans="1:4" ht="33">
      <c r="A13" s="7" t="s">
        <v>201</v>
      </c>
      <c r="B13" s="11" t="s">
        <v>229</v>
      </c>
      <c r="C13" s="1" t="s">
        <v>290</v>
      </c>
      <c r="D13" s="30" t="s">
        <v>290</v>
      </c>
    </row>
    <row r="14" spans="1:4" ht="33">
      <c r="A14" s="7" t="s">
        <v>202</v>
      </c>
      <c r="B14" s="11" t="s">
        <v>235</v>
      </c>
      <c r="C14" s="1" t="s">
        <v>210</v>
      </c>
      <c r="D14" s="6"/>
    </row>
    <row r="15" spans="1:4">
      <c r="A15" s="7" t="s">
        <v>203</v>
      </c>
      <c r="B15" s="11" t="s">
        <v>220</v>
      </c>
      <c r="C15" s="1" t="s">
        <v>299</v>
      </c>
      <c r="D15" s="6"/>
    </row>
    <row r="16" spans="1:4" ht="33">
      <c r="A16" s="7" t="s">
        <v>204</v>
      </c>
      <c r="B16" s="11" t="s">
        <v>233</v>
      </c>
      <c r="C16" s="1" t="s">
        <v>222</v>
      </c>
      <c r="D16" s="6"/>
    </row>
    <row r="17" spans="1:4" ht="33">
      <c r="A17" s="7" t="s">
        <v>205</v>
      </c>
      <c r="B17" s="11" t="s">
        <v>231</v>
      </c>
      <c r="C17" s="1" t="s">
        <v>291</v>
      </c>
      <c r="D17" s="6"/>
    </row>
    <row r="18" spans="1:4" ht="33">
      <c r="A18" s="7" t="s">
        <v>206</v>
      </c>
      <c r="B18" s="11" t="s">
        <v>234</v>
      </c>
      <c r="C18" s="1" t="s">
        <v>270</v>
      </c>
      <c r="D18" s="6"/>
    </row>
    <row r="19" spans="1:4" ht="33">
      <c r="A19" s="7" t="s">
        <v>207</v>
      </c>
      <c r="B19" s="11" t="s">
        <v>236</v>
      </c>
      <c r="C19" s="1" t="s">
        <v>292</v>
      </c>
      <c r="D19" s="6"/>
    </row>
    <row r="20" spans="1:4" ht="33">
      <c r="A20" s="8" t="s">
        <v>0</v>
      </c>
      <c r="B20" s="11" t="s">
        <v>223</v>
      </c>
      <c r="C20" s="1" t="s">
        <v>294</v>
      </c>
      <c r="D20" s="6"/>
    </row>
    <row r="21" spans="1:4" ht="82.5">
      <c r="A21" s="7" t="s">
        <v>224</v>
      </c>
      <c r="B21" s="11"/>
      <c r="C21" s="1" t="s">
        <v>300</v>
      </c>
      <c r="D21" s="6"/>
    </row>
    <row r="22" spans="1:4" ht="148.5">
      <c r="A22" s="9" t="s">
        <v>225</v>
      </c>
      <c r="B22" s="11"/>
      <c r="C22" s="1" t="s">
        <v>301</v>
      </c>
      <c r="D22" s="10"/>
    </row>
  </sheetData>
  <phoneticPr fontId="1" type="noConversion"/>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2A9D-F64A-4FAC-AFF6-3DEA7660F8EB}">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308</v>
      </c>
      <c r="D2" s="30" t="s">
        <v>308</v>
      </c>
    </row>
    <row r="3" spans="1:4">
      <c r="A3" s="7" t="s">
        <v>3</v>
      </c>
      <c r="B3" s="11" t="s">
        <v>216</v>
      </c>
      <c r="C3" s="1" t="s">
        <v>147</v>
      </c>
      <c r="D3" s="30" t="s">
        <v>147</v>
      </c>
    </row>
    <row r="4" spans="1:4">
      <c r="A4" s="7" t="s">
        <v>2</v>
      </c>
      <c r="B4" s="11" t="s">
        <v>217</v>
      </c>
      <c r="C4" s="1" t="s">
        <v>127</v>
      </c>
      <c r="D4" s="30" t="s">
        <v>127</v>
      </c>
    </row>
    <row r="5" spans="1:4" ht="33">
      <c r="A5" s="7" t="s">
        <v>241</v>
      </c>
      <c r="B5" s="13" t="s">
        <v>243</v>
      </c>
      <c r="C5" s="1" t="s">
        <v>303</v>
      </c>
      <c r="D5" s="30" t="s">
        <v>1841</v>
      </c>
    </row>
    <row r="6" spans="1:4" ht="49.5">
      <c r="A6" s="7" t="s">
        <v>242</v>
      </c>
      <c r="B6" s="13" t="s">
        <v>244</v>
      </c>
      <c r="C6" s="1" t="s">
        <v>304</v>
      </c>
      <c r="D6" s="30" t="s">
        <v>1842</v>
      </c>
    </row>
    <row r="7" spans="1:4">
      <c r="A7" s="7" t="s">
        <v>196</v>
      </c>
      <c r="B7" s="12" t="s">
        <v>218</v>
      </c>
      <c r="C7" s="1" t="s">
        <v>302</v>
      </c>
      <c r="D7" s="6"/>
    </row>
    <row r="8" spans="1:4" ht="99">
      <c r="A8" s="7" t="s">
        <v>197</v>
      </c>
      <c r="B8" s="13" t="s">
        <v>232</v>
      </c>
      <c r="C8" s="1" t="s">
        <v>316</v>
      </c>
      <c r="D8" s="6"/>
    </row>
    <row r="9" spans="1:4" ht="33">
      <c r="A9" s="7" t="s">
        <v>198</v>
      </c>
      <c r="B9" s="13" t="s">
        <v>230</v>
      </c>
      <c r="C9" s="1"/>
      <c r="D9" s="6"/>
    </row>
    <row r="10" spans="1:4" ht="33">
      <c r="A10" s="7" t="s">
        <v>199</v>
      </c>
      <c r="B10" s="11" t="s">
        <v>228</v>
      </c>
      <c r="C10" s="1" t="s">
        <v>288</v>
      </c>
      <c r="D10" s="30" t="s">
        <v>288</v>
      </c>
    </row>
    <row r="11" spans="1:4" ht="33">
      <c r="A11" s="7" t="s">
        <v>200</v>
      </c>
      <c r="B11" s="11" t="s">
        <v>239</v>
      </c>
      <c r="C11" s="17" t="s">
        <v>1843</v>
      </c>
      <c r="D11" s="39" t="s">
        <v>1843</v>
      </c>
    </row>
    <row r="12" spans="1:4">
      <c r="A12" s="7" t="s">
        <v>180</v>
      </c>
      <c r="B12" s="11" t="s">
        <v>219</v>
      </c>
      <c r="C12">
        <v>2910100000</v>
      </c>
      <c r="D12" s="31">
        <v>2910100000</v>
      </c>
    </row>
    <row r="13" spans="1:4" ht="33">
      <c r="A13" s="7" t="s">
        <v>201</v>
      </c>
      <c r="B13" s="11" t="s">
        <v>229</v>
      </c>
      <c r="C13" s="1" t="s">
        <v>296</v>
      </c>
      <c r="D13" s="30" t="s">
        <v>296</v>
      </c>
    </row>
    <row r="14" spans="1:4" ht="33">
      <c r="A14" s="7" t="s">
        <v>202</v>
      </c>
      <c r="B14" s="11" t="s">
        <v>235</v>
      </c>
      <c r="C14" s="1" t="s">
        <v>288</v>
      </c>
      <c r="D14" s="6"/>
    </row>
    <row r="15" spans="1:4">
      <c r="A15" s="7" t="s">
        <v>203</v>
      </c>
      <c r="B15" s="11" t="s">
        <v>220</v>
      </c>
      <c r="C15" s="1" t="s">
        <v>297</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221</v>
      </c>
      <c r="D18" s="6"/>
    </row>
    <row r="19" spans="1:4" ht="33">
      <c r="A19" s="7" t="s">
        <v>207</v>
      </c>
      <c r="B19" s="11" t="s">
        <v>236</v>
      </c>
      <c r="C19" s="1" t="s">
        <v>292</v>
      </c>
      <c r="D19" s="6"/>
    </row>
    <row r="20" spans="1:4" ht="66">
      <c r="A20" s="8" t="s">
        <v>0</v>
      </c>
      <c r="B20" s="11" t="s">
        <v>223</v>
      </c>
      <c r="C20" s="1" t="s">
        <v>307</v>
      </c>
      <c r="D20" s="6"/>
    </row>
    <row r="21" spans="1:4" ht="82.5">
      <c r="A21" s="7" t="s">
        <v>224</v>
      </c>
      <c r="B21" s="11"/>
      <c r="C21" s="1" t="s">
        <v>305</v>
      </c>
      <c r="D21" s="6"/>
    </row>
    <row r="22" spans="1:4" ht="214.5">
      <c r="A22" s="9" t="s">
        <v>225</v>
      </c>
      <c r="B22" s="11"/>
      <c r="C22" s="1" t="s">
        <v>306</v>
      </c>
      <c r="D22" s="10"/>
    </row>
  </sheetData>
  <phoneticPr fontId="1"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CC6A-C884-4CAE-BF8B-7879176FFB8F}">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309</v>
      </c>
      <c r="D2" s="30" t="s">
        <v>309</v>
      </c>
    </row>
    <row r="3" spans="1:4">
      <c r="A3" s="7" t="s">
        <v>3</v>
      </c>
      <c r="B3" s="11" t="s">
        <v>216</v>
      </c>
      <c r="C3" s="1" t="s">
        <v>147</v>
      </c>
      <c r="D3" s="30" t="s">
        <v>147</v>
      </c>
    </row>
    <row r="4" spans="1:4">
      <c r="A4" s="7" t="s">
        <v>2</v>
      </c>
      <c r="B4" s="11" t="s">
        <v>217</v>
      </c>
      <c r="C4" s="1" t="s">
        <v>310</v>
      </c>
      <c r="D4" s="30" t="s">
        <v>310</v>
      </c>
    </row>
    <row r="5" spans="1:4" ht="49.5">
      <c r="A5" s="7" t="s">
        <v>241</v>
      </c>
      <c r="B5" s="13" t="s">
        <v>243</v>
      </c>
      <c r="C5" s="1" t="s">
        <v>317</v>
      </c>
      <c r="D5" s="30" t="s">
        <v>1844</v>
      </c>
    </row>
    <row r="6" spans="1:4" ht="49.5">
      <c r="A6" s="7" t="s">
        <v>242</v>
      </c>
      <c r="B6" s="13" t="s">
        <v>244</v>
      </c>
      <c r="C6" s="1" t="s">
        <v>325</v>
      </c>
      <c r="D6" s="30" t="s">
        <v>1845</v>
      </c>
    </row>
    <row r="7" spans="1:4" ht="33">
      <c r="A7" s="7" t="s">
        <v>196</v>
      </c>
      <c r="B7" s="12" t="s">
        <v>218</v>
      </c>
      <c r="C7" s="1" t="s">
        <v>311</v>
      </c>
      <c r="D7" s="6"/>
    </row>
    <row r="8" spans="1:4" ht="99">
      <c r="A8" s="7" t="s">
        <v>197</v>
      </c>
      <c r="B8" s="13" t="s">
        <v>232</v>
      </c>
      <c r="C8" s="1" t="s">
        <v>318</v>
      </c>
      <c r="D8" s="6"/>
    </row>
    <row r="9" spans="1:4" ht="33">
      <c r="A9" s="7" t="s">
        <v>198</v>
      </c>
      <c r="B9" s="13" t="s">
        <v>230</v>
      </c>
      <c r="C9" s="1"/>
      <c r="D9" s="6"/>
    </row>
    <row r="10" spans="1:4" ht="33">
      <c r="A10" s="7" t="s">
        <v>199</v>
      </c>
      <c r="B10" s="11" t="s">
        <v>228</v>
      </c>
      <c r="C10" s="1" t="s">
        <v>288</v>
      </c>
      <c r="D10" s="30" t="s">
        <v>288</v>
      </c>
    </row>
    <row r="11" spans="1:4">
      <c r="A11" s="7" t="s">
        <v>200</v>
      </c>
      <c r="B11" s="11" t="s">
        <v>239</v>
      </c>
      <c r="C11" s="1" t="s">
        <v>320</v>
      </c>
      <c r="D11" s="30" t="s">
        <v>320</v>
      </c>
    </row>
    <row r="12" spans="1:4">
      <c r="A12" s="7" t="s">
        <v>180</v>
      </c>
      <c r="B12" s="11" t="s">
        <v>219</v>
      </c>
      <c r="C12">
        <v>2922111000</v>
      </c>
      <c r="D12" s="31">
        <v>2922111000</v>
      </c>
    </row>
    <row r="13" spans="1:4" ht="33">
      <c r="A13" s="7" t="s">
        <v>201</v>
      </c>
      <c r="B13" s="11" t="s">
        <v>229</v>
      </c>
      <c r="C13" s="1" t="s">
        <v>290</v>
      </c>
      <c r="D13" s="30" t="s">
        <v>290</v>
      </c>
    </row>
    <row r="14" spans="1:4" ht="33">
      <c r="A14" s="7" t="s">
        <v>202</v>
      </c>
      <c r="B14" s="11" t="s">
        <v>235</v>
      </c>
      <c r="C14" s="1" t="s">
        <v>288</v>
      </c>
      <c r="D14" s="6"/>
    </row>
    <row r="15" spans="1:4">
      <c r="A15" s="7" t="s">
        <v>203</v>
      </c>
      <c r="B15" s="11" t="s">
        <v>220</v>
      </c>
      <c r="C15" s="1"/>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221</v>
      </c>
      <c r="D18" s="6"/>
    </row>
    <row r="19" spans="1:4" ht="33">
      <c r="A19" s="7" t="s">
        <v>207</v>
      </c>
      <c r="B19" s="11" t="s">
        <v>236</v>
      </c>
      <c r="C19" s="1" t="s">
        <v>292</v>
      </c>
      <c r="D19" s="6"/>
    </row>
    <row r="20" spans="1:4" ht="66">
      <c r="A20" s="8" t="s">
        <v>0</v>
      </c>
      <c r="B20" s="11" t="s">
        <v>223</v>
      </c>
      <c r="C20" s="1" t="s">
        <v>307</v>
      </c>
      <c r="D20" s="6"/>
    </row>
    <row r="21" spans="1:4" ht="82.5">
      <c r="A21" s="7" t="s">
        <v>224</v>
      </c>
      <c r="B21" s="11"/>
      <c r="C21" s="1" t="s">
        <v>305</v>
      </c>
      <c r="D21" s="6"/>
    </row>
    <row r="22" spans="1:4" ht="214.5">
      <c r="A22" s="9" t="s">
        <v>225</v>
      </c>
      <c r="B22" s="11"/>
      <c r="C22" s="1" t="s">
        <v>306</v>
      </c>
      <c r="D22" s="10"/>
    </row>
  </sheetData>
  <phoneticPr fontId="1" type="noConversion"/>
  <pageMargins left="0.7" right="0.7" top="0.75" bottom="0.75" header="0.3" footer="0.3"/>
  <pageSetup paperSize="9" orientation="portrait" verticalDpi="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10A0-3205-4B45-8B9A-10CEAB9BB0E4}">
  <sheetPr>
    <tabColor theme="4"/>
  </sheetPr>
  <dimension ref="A1:D30"/>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314</v>
      </c>
      <c r="D2" s="30" t="s">
        <v>314</v>
      </c>
    </row>
    <row r="3" spans="1:4">
      <c r="A3" s="7" t="s">
        <v>3</v>
      </c>
      <c r="B3" s="11" t="s">
        <v>216</v>
      </c>
      <c r="C3" s="1" t="s">
        <v>147</v>
      </c>
      <c r="D3" s="30" t="s">
        <v>147</v>
      </c>
    </row>
    <row r="4" spans="1:4">
      <c r="A4" s="7" t="s">
        <v>2</v>
      </c>
      <c r="B4" s="11" t="s">
        <v>217</v>
      </c>
      <c r="C4" s="1" t="s">
        <v>312</v>
      </c>
      <c r="D4" s="30" t="s">
        <v>312</v>
      </c>
    </row>
    <row r="5" spans="1:4" ht="49.5">
      <c r="A5" s="7" t="s">
        <v>241</v>
      </c>
      <c r="B5" s="13" t="s">
        <v>243</v>
      </c>
      <c r="C5" s="1" t="s">
        <v>321</v>
      </c>
      <c r="D5" s="30" t="s">
        <v>1846</v>
      </c>
    </row>
    <row r="6" spans="1:4" ht="49.5">
      <c r="A6" s="7" t="s">
        <v>242</v>
      </c>
      <c r="B6" s="13" t="s">
        <v>244</v>
      </c>
      <c r="C6" s="1" t="s">
        <v>326</v>
      </c>
      <c r="D6" s="30" t="s">
        <v>1845</v>
      </c>
    </row>
    <row r="7" spans="1:4" ht="33">
      <c r="A7" s="7" t="s">
        <v>196</v>
      </c>
      <c r="B7" s="12" t="s">
        <v>218</v>
      </c>
      <c r="C7" s="1" t="s">
        <v>322</v>
      </c>
      <c r="D7" s="6"/>
    </row>
    <row r="8" spans="1:4" ht="82.5">
      <c r="A8" s="7" t="s">
        <v>197</v>
      </c>
      <c r="B8" s="13" t="s">
        <v>232</v>
      </c>
      <c r="C8" s="1" t="s">
        <v>323</v>
      </c>
      <c r="D8" s="6"/>
    </row>
    <row r="9" spans="1:4" ht="33">
      <c r="A9" s="7" t="s">
        <v>198</v>
      </c>
      <c r="B9" s="13" t="s">
        <v>230</v>
      </c>
      <c r="C9" s="1"/>
      <c r="D9" s="6"/>
    </row>
    <row r="10" spans="1:4" ht="33">
      <c r="A10" s="7" t="s">
        <v>199</v>
      </c>
      <c r="B10" s="11" t="s">
        <v>228</v>
      </c>
      <c r="C10" s="1" t="s">
        <v>288</v>
      </c>
      <c r="D10" s="30" t="s">
        <v>288</v>
      </c>
    </row>
    <row r="11" spans="1:4">
      <c r="A11" s="7" t="s">
        <v>200</v>
      </c>
      <c r="B11" s="11" t="s">
        <v>239</v>
      </c>
      <c r="C11" s="1" t="s">
        <v>320</v>
      </c>
      <c r="D11" s="30" t="s">
        <v>320</v>
      </c>
    </row>
    <row r="12" spans="1:4">
      <c r="A12" s="7" t="s">
        <v>180</v>
      </c>
      <c r="B12" s="11" t="s">
        <v>219</v>
      </c>
      <c r="C12">
        <v>2922121000</v>
      </c>
      <c r="D12" s="31">
        <v>2922121000</v>
      </c>
    </row>
    <row r="13" spans="1:4" ht="33">
      <c r="A13" s="7" t="s">
        <v>201</v>
      </c>
      <c r="B13" s="11" t="s">
        <v>229</v>
      </c>
      <c r="C13" s="1" t="s">
        <v>290</v>
      </c>
      <c r="D13" s="30" t="s">
        <v>290</v>
      </c>
    </row>
    <row r="14" spans="1:4" ht="33">
      <c r="A14" s="7" t="s">
        <v>202</v>
      </c>
      <c r="B14" s="11" t="s">
        <v>235</v>
      </c>
      <c r="C14" s="1" t="s">
        <v>211</v>
      </c>
      <c r="D14" s="6"/>
    </row>
    <row r="15" spans="1:4">
      <c r="A15" s="7" t="s">
        <v>203</v>
      </c>
      <c r="B15" s="11" t="s">
        <v>220</v>
      </c>
      <c r="C15" s="1" t="s">
        <v>211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324</v>
      </c>
      <c r="D20" s="6"/>
    </row>
    <row r="21" spans="1:4">
      <c r="A21" s="7" t="s">
        <v>224</v>
      </c>
      <c r="B21" s="11"/>
      <c r="C21" s="1" t="s">
        <v>319</v>
      </c>
      <c r="D21" s="6"/>
    </row>
    <row r="22" spans="1:4">
      <c r="A22" s="9" t="s">
        <v>225</v>
      </c>
      <c r="B22" s="11"/>
      <c r="C22" s="1" t="s">
        <v>211</v>
      </c>
      <c r="D22" s="10"/>
    </row>
    <row r="24" spans="1:4">
      <c r="A24" t="s">
        <v>350</v>
      </c>
    </row>
    <row r="25" spans="1:4">
      <c r="A25" s="16" t="s">
        <v>327</v>
      </c>
      <c r="B25" s="16" t="s">
        <v>298</v>
      </c>
      <c r="C25" s="16" t="s">
        <v>328</v>
      </c>
      <c r="D25" s="16" t="s">
        <v>329</v>
      </c>
    </row>
    <row r="26" spans="1:4" ht="49.5">
      <c r="A26" s="1" t="s">
        <v>330</v>
      </c>
      <c r="B26" s="1" t="s">
        <v>332</v>
      </c>
      <c r="C26" s="1" t="s">
        <v>331</v>
      </c>
      <c r="D26" s="1" t="s">
        <v>333</v>
      </c>
    </row>
    <row r="27" spans="1:4" ht="49.5">
      <c r="A27" s="1" t="s">
        <v>334</v>
      </c>
      <c r="B27" s="1" t="s">
        <v>336</v>
      </c>
      <c r="C27" s="1" t="s">
        <v>335</v>
      </c>
      <c r="D27" s="1" t="s">
        <v>337</v>
      </c>
    </row>
    <row r="28" spans="1:4" ht="66">
      <c r="A28" s="1" t="s">
        <v>338</v>
      </c>
      <c r="B28" s="1" t="s">
        <v>340</v>
      </c>
      <c r="C28" s="1" t="s">
        <v>339</v>
      </c>
      <c r="D28" s="1" t="s">
        <v>341</v>
      </c>
    </row>
    <row r="29" spans="1:4" ht="49.5">
      <c r="A29" s="1" t="s">
        <v>342</v>
      </c>
      <c r="B29" s="1" t="s">
        <v>344</v>
      </c>
      <c r="C29" s="1" t="s">
        <v>343</v>
      </c>
      <c r="D29" s="1" t="s">
        <v>345</v>
      </c>
    </row>
    <row r="30" spans="1:4" ht="49.5">
      <c r="A30" s="1" t="s">
        <v>346</v>
      </c>
      <c r="B30" s="1" t="s">
        <v>348</v>
      </c>
      <c r="C30" s="1" t="s">
        <v>347</v>
      </c>
      <c r="D30" s="1" t="s">
        <v>349</v>
      </c>
    </row>
  </sheetData>
  <phoneticPr fontId="1"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D2A69-9C1F-4E27-895A-ADD99ACFC1EF}">
  <sheetPr>
    <tabColor theme="4"/>
  </sheetPr>
  <dimension ref="A1:D3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315</v>
      </c>
      <c r="D2" s="30" t="s">
        <v>315</v>
      </c>
    </row>
    <row r="3" spans="1:4">
      <c r="A3" s="7" t="s">
        <v>3</v>
      </c>
      <c r="B3" s="11" t="s">
        <v>216</v>
      </c>
      <c r="C3" s="1" t="s">
        <v>147</v>
      </c>
      <c r="D3" s="30" t="s">
        <v>147</v>
      </c>
    </row>
    <row r="4" spans="1:4">
      <c r="A4" s="7" t="s">
        <v>2</v>
      </c>
      <c r="B4" s="11" t="s">
        <v>217</v>
      </c>
      <c r="C4" s="1" t="s">
        <v>313</v>
      </c>
      <c r="D4" s="30" t="s">
        <v>313</v>
      </c>
    </row>
    <row r="5" spans="1:4" ht="49.5">
      <c r="A5" s="7" t="s">
        <v>241</v>
      </c>
      <c r="B5" s="13" t="s">
        <v>243</v>
      </c>
      <c r="C5" s="1" t="s">
        <v>351</v>
      </c>
      <c r="D5" s="30" t="s">
        <v>1847</v>
      </c>
    </row>
    <row r="6" spans="1:4" ht="49.5">
      <c r="A6" s="7" t="s">
        <v>242</v>
      </c>
      <c r="B6" s="13" t="s">
        <v>244</v>
      </c>
      <c r="C6" s="1" t="s">
        <v>352</v>
      </c>
      <c r="D6" s="30" t="s">
        <v>1845</v>
      </c>
    </row>
    <row r="7" spans="1:4" ht="49.5">
      <c r="A7" s="7" t="s">
        <v>196</v>
      </c>
      <c r="B7" s="12" t="s">
        <v>218</v>
      </c>
      <c r="C7" s="1" t="s">
        <v>353</v>
      </c>
      <c r="D7" s="6"/>
    </row>
    <row r="8" spans="1:4" ht="82.5">
      <c r="A8" s="7" t="s">
        <v>197</v>
      </c>
      <c r="B8" s="13" t="s">
        <v>232</v>
      </c>
      <c r="C8" s="1" t="s">
        <v>376</v>
      </c>
      <c r="D8" s="6" t="s">
        <v>377</v>
      </c>
    </row>
    <row r="9" spans="1:4" ht="33">
      <c r="A9" s="7" t="s">
        <v>198</v>
      </c>
      <c r="B9" s="13" t="s">
        <v>230</v>
      </c>
      <c r="C9" s="1"/>
      <c r="D9" s="6"/>
    </row>
    <row r="10" spans="1:4" ht="33">
      <c r="A10" s="7" t="s">
        <v>199</v>
      </c>
      <c r="B10" s="11" t="s">
        <v>228</v>
      </c>
      <c r="C10" s="1" t="s">
        <v>288</v>
      </c>
      <c r="D10" s="30" t="s">
        <v>288</v>
      </c>
    </row>
    <row r="11" spans="1:4">
      <c r="A11" s="7" t="s">
        <v>200</v>
      </c>
      <c r="B11" s="11" t="s">
        <v>239</v>
      </c>
      <c r="C11" s="1" t="s">
        <v>320</v>
      </c>
      <c r="D11" s="30" t="s">
        <v>320</v>
      </c>
    </row>
    <row r="12" spans="1:4">
      <c r="A12" s="7" t="s">
        <v>180</v>
      </c>
      <c r="B12" s="11" t="s">
        <v>219</v>
      </c>
      <c r="C12">
        <v>2922150000</v>
      </c>
      <c r="D12" s="31">
        <v>2922150000</v>
      </c>
    </row>
    <row r="13" spans="1:4" ht="33">
      <c r="A13" s="7" t="s">
        <v>201</v>
      </c>
      <c r="B13" s="11" t="s">
        <v>229</v>
      </c>
      <c r="C13" s="1" t="s">
        <v>290</v>
      </c>
      <c r="D13" s="30" t="s">
        <v>290</v>
      </c>
    </row>
    <row r="14" spans="1:4" ht="33">
      <c r="A14" s="7" t="s">
        <v>202</v>
      </c>
      <c r="B14" s="11" t="s">
        <v>235</v>
      </c>
      <c r="C14" s="1" t="s">
        <v>211</v>
      </c>
      <c r="D14" s="6"/>
    </row>
    <row r="15" spans="1:4">
      <c r="A15" s="7" t="s">
        <v>203</v>
      </c>
      <c r="B15" s="11" t="s">
        <v>220</v>
      </c>
      <c r="C15" s="1" t="s">
        <v>211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354</v>
      </c>
      <c r="D20" s="6"/>
    </row>
    <row r="21" spans="1:4">
      <c r="A21" s="7" t="s">
        <v>224</v>
      </c>
      <c r="B21" s="11"/>
      <c r="C21" s="1" t="s">
        <v>319</v>
      </c>
      <c r="D21" s="6"/>
    </row>
    <row r="22" spans="1:4">
      <c r="A22" s="9" t="s">
        <v>225</v>
      </c>
      <c r="B22" s="11"/>
      <c r="C22" s="1" t="s">
        <v>211</v>
      </c>
      <c r="D22" s="10"/>
    </row>
    <row r="24" spans="1:4">
      <c r="A24" t="s">
        <v>350</v>
      </c>
    </row>
    <row r="25" spans="1:4">
      <c r="A25" s="16" t="s">
        <v>327</v>
      </c>
      <c r="B25" s="16" t="s">
        <v>298</v>
      </c>
      <c r="C25" s="16" t="s">
        <v>328</v>
      </c>
      <c r="D25" s="16" t="s">
        <v>329</v>
      </c>
    </row>
    <row r="26" spans="1:4" ht="66">
      <c r="A26" s="18" t="s">
        <v>355</v>
      </c>
      <c r="B26" s="18" t="s">
        <v>336</v>
      </c>
      <c r="C26" s="18" t="s">
        <v>356</v>
      </c>
      <c r="D26" s="18" t="s">
        <v>357</v>
      </c>
    </row>
    <row r="27" spans="1:4" ht="49.5">
      <c r="A27" s="18" t="s">
        <v>358</v>
      </c>
      <c r="B27" s="18" t="s">
        <v>340</v>
      </c>
      <c r="C27" s="18" t="s">
        <v>359</v>
      </c>
      <c r="D27" s="18" t="s">
        <v>417</v>
      </c>
    </row>
    <row r="28" spans="1:4" ht="49.5">
      <c r="A28" s="1" t="s">
        <v>360</v>
      </c>
      <c r="B28" s="1" t="s">
        <v>340</v>
      </c>
      <c r="C28" s="1" t="s">
        <v>361</v>
      </c>
      <c r="D28" s="1" t="s">
        <v>362</v>
      </c>
    </row>
    <row r="29" spans="1:4" ht="49.5">
      <c r="A29" s="1" t="s">
        <v>363</v>
      </c>
      <c r="B29" s="1" t="s">
        <v>340</v>
      </c>
      <c r="C29" s="1" t="s">
        <v>364</v>
      </c>
      <c r="D29" s="1" t="s">
        <v>365</v>
      </c>
    </row>
    <row r="30" spans="1:4" ht="49.5">
      <c r="A30" s="1" t="s">
        <v>366</v>
      </c>
      <c r="B30" s="1" t="s">
        <v>348</v>
      </c>
      <c r="C30" s="1" t="s">
        <v>367</v>
      </c>
      <c r="D30" s="1" t="s">
        <v>368</v>
      </c>
    </row>
    <row r="31" spans="1:4" ht="33">
      <c r="A31" s="1" t="s">
        <v>369</v>
      </c>
      <c r="B31" s="1" t="s">
        <v>371</v>
      </c>
      <c r="C31" s="1" t="s">
        <v>370</v>
      </c>
      <c r="D31" s="1" t="s">
        <v>372</v>
      </c>
    </row>
    <row r="32" spans="1:4" ht="33">
      <c r="A32" s="1" t="s">
        <v>342</v>
      </c>
      <c r="B32" s="1" t="s">
        <v>374</v>
      </c>
      <c r="C32" s="1" t="s">
        <v>373</v>
      </c>
      <c r="D32" s="1" t="s">
        <v>375</v>
      </c>
    </row>
  </sheetData>
  <phoneticPr fontId="1"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883-6F8F-4E01-AF4A-B30B5B214FF8}">
  <sheetPr>
    <tabColor theme="4"/>
  </sheetPr>
  <dimension ref="A1:D31"/>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39</v>
      </c>
      <c r="D2" s="30" t="s">
        <v>39</v>
      </c>
    </row>
    <row r="3" spans="1:4">
      <c r="A3" s="7" t="s">
        <v>3</v>
      </c>
      <c r="B3" s="11" t="s">
        <v>216</v>
      </c>
      <c r="C3" s="1" t="s">
        <v>5</v>
      </c>
      <c r="D3" s="30" t="s">
        <v>5</v>
      </c>
    </row>
    <row r="4" spans="1:4">
      <c r="A4" s="7" t="s">
        <v>2</v>
      </c>
      <c r="B4" s="11" t="s">
        <v>217</v>
      </c>
      <c r="C4" s="1" t="s">
        <v>378</v>
      </c>
      <c r="D4" s="30" t="s">
        <v>128</v>
      </c>
    </row>
    <row r="5" spans="1:4" ht="49.5">
      <c r="A5" s="7" t="s">
        <v>241</v>
      </c>
      <c r="B5" s="13" t="s">
        <v>243</v>
      </c>
      <c r="C5" s="1" t="s">
        <v>379</v>
      </c>
      <c r="D5" s="30" t="s">
        <v>1848</v>
      </c>
    </row>
    <row r="6" spans="1:4" ht="66">
      <c r="A6" s="7" t="s">
        <v>242</v>
      </c>
      <c r="B6" s="13" t="s">
        <v>244</v>
      </c>
      <c r="C6" s="1" t="s">
        <v>380</v>
      </c>
      <c r="D6" s="30" t="s">
        <v>1849</v>
      </c>
    </row>
    <row r="7" spans="1:4" ht="33">
      <c r="A7" s="7" t="s">
        <v>196</v>
      </c>
      <c r="B7" s="12" t="s">
        <v>218</v>
      </c>
      <c r="C7" s="1" t="s">
        <v>381</v>
      </c>
      <c r="D7" s="6"/>
    </row>
    <row r="8" spans="1:4" ht="82.5">
      <c r="A8" s="7" t="s">
        <v>197</v>
      </c>
      <c r="B8" s="13" t="s">
        <v>232</v>
      </c>
      <c r="C8" s="1" t="s">
        <v>390</v>
      </c>
      <c r="D8" s="6" t="s">
        <v>391</v>
      </c>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387</v>
      </c>
      <c r="D11" s="30" t="s">
        <v>387</v>
      </c>
    </row>
    <row r="12" spans="1:4">
      <c r="A12" s="7" t="s">
        <v>180</v>
      </c>
      <c r="B12" s="11" t="s">
        <v>219</v>
      </c>
      <c r="C12">
        <v>2905310000</v>
      </c>
      <c r="D12" s="31">
        <v>2905310000</v>
      </c>
    </row>
    <row r="13" spans="1:4" ht="33">
      <c r="A13" s="7" t="s">
        <v>201</v>
      </c>
      <c r="B13" s="11" t="s">
        <v>229</v>
      </c>
      <c r="C13" s="1" t="s">
        <v>388</v>
      </c>
      <c r="D13" s="30" t="s">
        <v>388</v>
      </c>
    </row>
    <row r="14" spans="1:4" ht="33">
      <c r="A14" s="7" t="s">
        <v>202</v>
      </c>
      <c r="B14" s="11" t="s">
        <v>235</v>
      </c>
      <c r="C14" s="1" t="s">
        <v>210</v>
      </c>
      <c r="D14" s="6"/>
    </row>
    <row r="15" spans="1:4">
      <c r="A15" s="7" t="s">
        <v>203</v>
      </c>
      <c r="B15" s="11" t="s">
        <v>220</v>
      </c>
      <c r="C15" s="1" t="s">
        <v>389</v>
      </c>
      <c r="D15" s="6"/>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292</v>
      </c>
      <c r="D19" s="6"/>
    </row>
    <row r="20" spans="1:4" ht="115.5">
      <c r="A20" s="8" t="s">
        <v>0</v>
      </c>
      <c r="B20" s="11" t="s">
        <v>223</v>
      </c>
      <c r="C20" s="1" t="s">
        <v>385</v>
      </c>
      <c r="D20" s="6"/>
    </row>
    <row r="21" spans="1:4">
      <c r="A21" s="7" t="s">
        <v>224</v>
      </c>
      <c r="B21" s="11"/>
      <c r="C21" s="1" t="s">
        <v>386</v>
      </c>
      <c r="D21" s="6"/>
    </row>
    <row r="22" spans="1:4">
      <c r="A22" s="9" t="s">
        <v>225</v>
      </c>
      <c r="B22" s="11"/>
      <c r="C22" s="14" t="s">
        <v>418</v>
      </c>
      <c r="D22" s="10"/>
    </row>
    <row r="24" spans="1:4">
      <c r="A24" s="16" t="s">
        <v>327</v>
      </c>
      <c r="B24" s="16" t="s">
        <v>298</v>
      </c>
      <c r="C24" s="16" t="s">
        <v>328</v>
      </c>
      <c r="D24" s="16" t="s">
        <v>329</v>
      </c>
    </row>
    <row r="25" spans="1:4" ht="33">
      <c r="A25" s="18" t="s">
        <v>392</v>
      </c>
      <c r="B25" s="18" t="s">
        <v>394</v>
      </c>
      <c r="C25" s="18" t="s">
        <v>393</v>
      </c>
      <c r="D25" s="18" t="s">
        <v>395</v>
      </c>
    </row>
    <row r="26" spans="1:4" ht="33">
      <c r="A26" s="18" t="s">
        <v>396</v>
      </c>
      <c r="B26" s="18" t="s">
        <v>398</v>
      </c>
      <c r="C26" s="18" t="s">
        <v>397</v>
      </c>
      <c r="D26" s="18" t="s">
        <v>399</v>
      </c>
    </row>
    <row r="27" spans="1:4" ht="33">
      <c r="A27" s="1" t="s">
        <v>400</v>
      </c>
      <c r="B27" s="1" t="s">
        <v>402</v>
      </c>
      <c r="C27" s="1" t="s">
        <v>401</v>
      </c>
      <c r="D27" s="1" t="s">
        <v>403</v>
      </c>
    </row>
    <row r="28" spans="1:4" ht="33">
      <c r="A28" s="1" t="s">
        <v>404</v>
      </c>
      <c r="B28" s="1" t="s">
        <v>406</v>
      </c>
      <c r="C28" s="1" t="s">
        <v>405</v>
      </c>
      <c r="D28" s="1" t="s">
        <v>407</v>
      </c>
    </row>
    <row r="29" spans="1:4">
      <c r="A29" s="1" t="s">
        <v>408</v>
      </c>
      <c r="B29" s="1" t="s">
        <v>348</v>
      </c>
      <c r="C29" s="1" t="s">
        <v>409</v>
      </c>
      <c r="D29" s="1" t="s">
        <v>410</v>
      </c>
    </row>
    <row r="30" spans="1:4" ht="33">
      <c r="A30" s="1" t="s">
        <v>411</v>
      </c>
      <c r="B30" s="1" t="s">
        <v>336</v>
      </c>
      <c r="C30" s="1" t="s">
        <v>412</v>
      </c>
      <c r="D30" s="1" t="s">
        <v>413</v>
      </c>
    </row>
    <row r="31" spans="1:4" ht="33">
      <c r="A31" s="1" t="s">
        <v>414</v>
      </c>
      <c r="B31" s="1" t="s">
        <v>348</v>
      </c>
      <c r="C31" s="1" t="s">
        <v>415</v>
      </c>
      <c r="D31" s="1" t="s">
        <v>416</v>
      </c>
    </row>
  </sheetData>
  <phoneticPr fontId="1" type="noConversion"/>
  <hyperlinks>
    <hyperlink ref="C22" r:id="rId1" xr:uid="{56411AFE-5235-4BF3-A551-F0FFD6CEE79E}"/>
  </hyperlinks>
  <pageMargins left="0.7" right="0.7" top="0.75" bottom="0.75" header="0.3" footer="0.3"/>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CD2DB-F039-497F-9854-4CC0CB79831E}">
  <sheetPr>
    <tabColor theme="4"/>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40</v>
      </c>
      <c r="D2" s="30" t="s">
        <v>40</v>
      </c>
    </row>
    <row r="3" spans="1:4">
      <c r="A3" s="7" t="s">
        <v>3</v>
      </c>
      <c r="B3" s="11" t="s">
        <v>216</v>
      </c>
      <c r="C3" s="1" t="s">
        <v>5</v>
      </c>
      <c r="D3" s="30" t="s">
        <v>5</v>
      </c>
    </row>
    <row r="4" spans="1:4">
      <c r="A4" s="7" t="s">
        <v>2</v>
      </c>
      <c r="B4" s="11" t="s">
        <v>217</v>
      </c>
      <c r="C4" s="1" t="s">
        <v>27</v>
      </c>
      <c r="D4" s="30" t="s">
        <v>27</v>
      </c>
    </row>
    <row r="5" spans="1:4" ht="66">
      <c r="A5" s="7" t="s">
        <v>241</v>
      </c>
      <c r="B5" s="13" t="s">
        <v>243</v>
      </c>
      <c r="C5" s="1" t="s">
        <v>487</v>
      </c>
      <c r="D5" s="30" t="s">
        <v>1850</v>
      </c>
    </row>
    <row r="6" spans="1:4" ht="66">
      <c r="A6" s="7" t="s">
        <v>242</v>
      </c>
      <c r="B6" s="13" t="s">
        <v>244</v>
      </c>
      <c r="C6" s="1" t="s">
        <v>488</v>
      </c>
      <c r="D6" s="30" t="s">
        <v>1851</v>
      </c>
    </row>
    <row r="7" spans="1:4" ht="33">
      <c r="A7" s="7" t="s">
        <v>196</v>
      </c>
      <c r="B7" s="12" t="s">
        <v>218</v>
      </c>
      <c r="C7" s="1" t="s">
        <v>489</v>
      </c>
      <c r="D7" s="6"/>
    </row>
    <row r="8" spans="1:4" ht="115.5">
      <c r="A8" s="7" t="s">
        <v>197</v>
      </c>
      <c r="B8" s="13" t="s">
        <v>232</v>
      </c>
      <c r="C8" s="1" t="s">
        <v>490</v>
      </c>
      <c r="D8" s="6"/>
    </row>
    <row r="9" spans="1:4" ht="33">
      <c r="A9" s="7" t="s">
        <v>198</v>
      </c>
      <c r="B9" s="13" t="s">
        <v>230</v>
      </c>
      <c r="C9" s="1" t="s">
        <v>226</v>
      </c>
      <c r="D9" s="1"/>
    </row>
    <row r="10" spans="1:4" ht="33">
      <c r="A10" s="7" t="s">
        <v>199</v>
      </c>
      <c r="B10" s="11" t="s">
        <v>228</v>
      </c>
      <c r="C10" s="1" t="s">
        <v>673</v>
      </c>
      <c r="D10" s="30" t="s">
        <v>673</v>
      </c>
    </row>
    <row r="11" spans="1:4">
      <c r="A11" s="7" t="s">
        <v>200</v>
      </c>
      <c r="B11" s="11" t="s">
        <v>239</v>
      </c>
      <c r="C11" s="1"/>
      <c r="D11" s="30"/>
    </row>
    <row r="12" spans="1:4">
      <c r="A12" s="7" t="s">
        <v>180</v>
      </c>
      <c r="B12" s="11" t="s">
        <v>219</v>
      </c>
      <c r="C12">
        <v>2912120000</v>
      </c>
      <c r="D12" s="31">
        <v>2912120000</v>
      </c>
    </row>
    <row r="13" spans="1:4" ht="33">
      <c r="A13" s="7" t="s">
        <v>201</v>
      </c>
      <c r="B13" s="11" t="s">
        <v>229</v>
      </c>
      <c r="C13" s="1" t="s">
        <v>296</v>
      </c>
      <c r="D13" s="30" t="s">
        <v>296</v>
      </c>
    </row>
    <row r="14" spans="1:4" ht="33">
      <c r="A14" s="7" t="s">
        <v>202</v>
      </c>
      <c r="B14" s="11" t="s">
        <v>235</v>
      </c>
      <c r="C14" s="1" t="s">
        <v>210</v>
      </c>
      <c r="D14" s="6"/>
    </row>
    <row r="15" spans="1:4" ht="33">
      <c r="A15" s="7" t="s">
        <v>203</v>
      </c>
      <c r="B15" s="11" t="s">
        <v>220</v>
      </c>
      <c r="C15" s="1" t="s">
        <v>491</v>
      </c>
      <c r="D15" s="6"/>
    </row>
    <row r="16" spans="1:4" ht="33">
      <c r="A16" s="7" t="s">
        <v>204</v>
      </c>
      <c r="B16" s="11" t="s">
        <v>233</v>
      </c>
      <c r="C16" s="1" t="s">
        <v>261</v>
      </c>
      <c r="D16" s="6"/>
    </row>
    <row r="17" spans="1:4" ht="33">
      <c r="A17" s="7" t="s">
        <v>205</v>
      </c>
      <c r="B17" s="11" t="s">
        <v>231</v>
      </c>
      <c r="C17" s="1" t="s">
        <v>261</v>
      </c>
      <c r="D17" s="6"/>
    </row>
    <row r="18" spans="1:4" ht="33">
      <c r="A18" s="7" t="s">
        <v>206</v>
      </c>
      <c r="B18" s="11" t="s">
        <v>234</v>
      </c>
      <c r="C18" s="1" t="s">
        <v>226</v>
      </c>
      <c r="D18" s="6"/>
    </row>
    <row r="19" spans="1:4" ht="33">
      <c r="A19" s="7" t="s">
        <v>207</v>
      </c>
      <c r="B19" s="11" t="s">
        <v>236</v>
      </c>
      <c r="C19" s="1" t="s">
        <v>384</v>
      </c>
      <c r="D19" s="6"/>
    </row>
    <row r="20" spans="1:4" ht="181.5">
      <c r="A20" s="8" t="s">
        <v>0</v>
      </c>
      <c r="B20" s="11" t="s">
        <v>223</v>
      </c>
      <c r="C20" s="1" t="s">
        <v>516</v>
      </c>
      <c r="D20" s="6"/>
    </row>
    <row r="21" spans="1:4">
      <c r="A21" s="7" t="s">
        <v>224</v>
      </c>
      <c r="B21" s="11"/>
      <c r="C21" s="1" t="s">
        <v>492</v>
      </c>
      <c r="D21" s="6"/>
    </row>
    <row r="22" spans="1:4">
      <c r="A22" s="9" t="s">
        <v>225</v>
      </c>
      <c r="B22" s="11"/>
      <c r="C22" s="1" t="s">
        <v>211</v>
      </c>
      <c r="D22" s="10"/>
    </row>
    <row r="24" spans="1:4">
      <c r="A24" t="s">
        <v>350</v>
      </c>
    </row>
    <row r="25" spans="1:4">
      <c r="A25" s="16" t="s">
        <v>327</v>
      </c>
      <c r="B25" s="16" t="s">
        <v>298</v>
      </c>
      <c r="C25" s="16" t="s">
        <v>328</v>
      </c>
      <c r="D25" s="16" t="s">
        <v>329</v>
      </c>
    </row>
    <row r="26" spans="1:4" ht="49.5">
      <c r="A26" s="1" t="s">
        <v>493</v>
      </c>
      <c r="B26" s="1" t="s">
        <v>495</v>
      </c>
      <c r="C26" s="1" t="s">
        <v>494</v>
      </c>
      <c r="D26" s="1" t="s">
        <v>496</v>
      </c>
    </row>
    <row r="27" spans="1:4" ht="49.5">
      <c r="A27" s="1" t="s">
        <v>497</v>
      </c>
      <c r="B27" s="1" t="s">
        <v>473</v>
      </c>
      <c r="C27" s="1" t="s">
        <v>498</v>
      </c>
      <c r="D27" s="1" t="s">
        <v>499</v>
      </c>
    </row>
    <row r="28" spans="1:4" ht="33">
      <c r="A28" s="1" t="s">
        <v>500</v>
      </c>
      <c r="B28" s="1" t="s">
        <v>398</v>
      </c>
      <c r="C28" s="1" t="s">
        <v>501</v>
      </c>
      <c r="D28" s="1" t="s">
        <v>502</v>
      </c>
    </row>
    <row r="29" spans="1:4" ht="33">
      <c r="A29" s="1" t="s">
        <v>503</v>
      </c>
      <c r="B29" s="1" t="s">
        <v>340</v>
      </c>
      <c r="C29" s="1" t="s">
        <v>504</v>
      </c>
      <c r="D29" s="1" t="s">
        <v>505</v>
      </c>
    </row>
    <row r="30" spans="1:4" ht="33">
      <c r="A30" s="1" t="s">
        <v>506</v>
      </c>
      <c r="B30" s="1" t="s">
        <v>508</v>
      </c>
      <c r="C30" s="1" t="s">
        <v>507</v>
      </c>
      <c r="D30" s="1" t="s">
        <v>509</v>
      </c>
    </row>
    <row r="31" spans="1:4" ht="33">
      <c r="A31" s="1" t="s">
        <v>510</v>
      </c>
      <c r="B31" s="1" t="s">
        <v>348</v>
      </c>
      <c r="C31" s="1" t="s">
        <v>511</v>
      </c>
      <c r="D31" s="1" t="s">
        <v>512</v>
      </c>
    </row>
    <row r="32" spans="1:4" ht="33">
      <c r="A32" s="1" t="s">
        <v>513</v>
      </c>
      <c r="B32" s="1" t="s">
        <v>348</v>
      </c>
      <c r="C32" s="1" t="s">
        <v>514</v>
      </c>
      <c r="D32" s="1" t="s">
        <v>515</v>
      </c>
    </row>
    <row r="33" spans="1:1">
      <c r="A33" s="19"/>
    </row>
  </sheetData>
  <phoneticPr fontId="1" type="noConversion"/>
  <pageMargins left="0.7" right="0.7" top="0.75" bottom="0.75" header="0.3" footer="0.3"/>
  <pageSetup paperSize="9" orientation="portrait" verticalDpi="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FA1C5-3CA6-432C-8BD9-7647118C2941}">
  <sheetPr>
    <tabColor theme="4"/>
  </sheetPr>
  <dimension ref="A1:D31"/>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41</v>
      </c>
      <c r="D2" s="30" t="s">
        <v>41</v>
      </c>
    </row>
    <row r="3" spans="1:4">
      <c r="A3" s="7" t="s">
        <v>3</v>
      </c>
      <c r="B3" s="11" t="s">
        <v>216</v>
      </c>
      <c r="C3" s="1" t="s">
        <v>5</v>
      </c>
      <c r="D3" s="30" t="s">
        <v>5</v>
      </c>
    </row>
    <row r="4" spans="1:4">
      <c r="A4" s="7" t="s">
        <v>2</v>
      </c>
      <c r="B4" s="11" t="s">
        <v>217</v>
      </c>
      <c r="C4" s="1" t="s">
        <v>33</v>
      </c>
      <c r="D4" s="30" t="s">
        <v>33</v>
      </c>
    </row>
    <row r="5" spans="1:4" ht="49.5">
      <c r="A5" s="7" t="s">
        <v>241</v>
      </c>
      <c r="B5" s="13" t="s">
        <v>243</v>
      </c>
      <c r="C5" s="1" t="s">
        <v>419</v>
      </c>
      <c r="D5" s="30" t="s">
        <v>1852</v>
      </c>
    </row>
    <row r="6" spans="1:4" ht="49.5">
      <c r="A6" s="7" t="s">
        <v>242</v>
      </c>
      <c r="B6" s="13" t="s">
        <v>244</v>
      </c>
      <c r="C6" s="1" t="s">
        <v>420</v>
      </c>
      <c r="D6" s="30" t="s">
        <v>1853</v>
      </c>
    </row>
    <row r="7" spans="1:4" ht="33">
      <c r="A7" s="7" t="s">
        <v>196</v>
      </c>
      <c r="B7" s="12" t="s">
        <v>218</v>
      </c>
      <c r="C7" s="1" t="s">
        <v>421</v>
      </c>
      <c r="D7" s="6"/>
    </row>
    <row r="8" spans="1:4" ht="115.5">
      <c r="A8" s="7" t="s">
        <v>197</v>
      </c>
      <c r="B8" s="13" t="s">
        <v>232</v>
      </c>
      <c r="C8" s="1" t="s">
        <v>456</v>
      </c>
      <c r="D8" s="6" t="s">
        <v>458</v>
      </c>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447</v>
      </c>
      <c r="D11" s="30" t="s">
        <v>447</v>
      </c>
    </row>
    <row r="12" spans="1:4">
      <c r="A12" s="7" t="s">
        <v>180</v>
      </c>
      <c r="B12" s="11" t="s">
        <v>219</v>
      </c>
      <c r="C12">
        <v>2915320000</v>
      </c>
      <c r="D12" s="31">
        <v>2915320000</v>
      </c>
    </row>
    <row r="13" spans="1:4" ht="33">
      <c r="A13" s="7" t="s">
        <v>201</v>
      </c>
      <c r="B13" s="11" t="s">
        <v>229</v>
      </c>
      <c r="C13" s="1" t="s">
        <v>448</v>
      </c>
      <c r="D13" s="30" t="s">
        <v>448</v>
      </c>
    </row>
    <row r="14" spans="1:4" ht="33">
      <c r="A14" s="7" t="s">
        <v>202</v>
      </c>
      <c r="B14" s="11" t="s">
        <v>235</v>
      </c>
      <c r="C14" s="1" t="s">
        <v>288</v>
      </c>
      <c r="D14" s="6"/>
    </row>
    <row r="15" spans="1:4">
      <c r="A15" s="7" t="s">
        <v>203</v>
      </c>
      <c r="B15" s="11" t="s">
        <v>220</v>
      </c>
      <c r="C15" s="1" t="s">
        <v>449</v>
      </c>
      <c r="D15" s="6"/>
    </row>
    <row r="16" spans="1:4" ht="33">
      <c r="A16" s="7" t="s">
        <v>204</v>
      </c>
      <c r="B16" s="11" t="s">
        <v>233</v>
      </c>
      <c r="C16" s="1" t="s">
        <v>222</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422</v>
      </c>
      <c r="D20" s="6"/>
    </row>
    <row r="21" spans="1:4">
      <c r="A21" s="7" t="s">
        <v>224</v>
      </c>
      <c r="B21" s="11"/>
      <c r="C21" s="1" t="s">
        <v>423</v>
      </c>
      <c r="D21" s="6"/>
    </row>
    <row r="22" spans="1:4">
      <c r="A22" s="9" t="s">
        <v>225</v>
      </c>
      <c r="B22" s="11"/>
      <c r="C22" s="14" t="s">
        <v>450</v>
      </c>
      <c r="D22" s="10"/>
    </row>
    <row r="24" spans="1:4">
      <c r="A24" t="s">
        <v>350</v>
      </c>
    </row>
    <row r="25" spans="1:4">
      <c r="A25" s="16" t="s">
        <v>327</v>
      </c>
      <c r="B25" s="16" t="s">
        <v>298</v>
      </c>
      <c r="C25" s="16" t="s">
        <v>328</v>
      </c>
      <c r="D25" s="16" t="s">
        <v>329</v>
      </c>
    </row>
    <row r="26" spans="1:4" ht="66">
      <c r="A26" s="18" t="s">
        <v>424</v>
      </c>
      <c r="B26" s="18" t="s">
        <v>426</v>
      </c>
      <c r="C26" s="18" t="s">
        <v>425</v>
      </c>
      <c r="D26" s="18" t="s">
        <v>427</v>
      </c>
    </row>
    <row r="27" spans="1:4" ht="33">
      <c r="A27" s="1" t="s">
        <v>428</v>
      </c>
      <c r="B27" s="1" t="s">
        <v>430</v>
      </c>
      <c r="C27" s="1" t="s">
        <v>429</v>
      </c>
      <c r="D27" s="1" t="s">
        <v>431</v>
      </c>
    </row>
    <row r="28" spans="1:4" ht="33">
      <c r="A28" s="1" t="s">
        <v>432</v>
      </c>
      <c r="B28" s="1" t="s">
        <v>434</v>
      </c>
      <c r="C28" s="1" t="s">
        <v>433</v>
      </c>
      <c r="D28" s="1" t="s">
        <v>435</v>
      </c>
    </row>
    <row r="29" spans="1:4" ht="49.5">
      <c r="A29" s="1" t="s">
        <v>436</v>
      </c>
      <c r="B29" s="1" t="s">
        <v>438</v>
      </c>
      <c r="C29" s="1" t="s">
        <v>437</v>
      </c>
      <c r="D29" s="1" t="s">
        <v>439</v>
      </c>
    </row>
    <row r="30" spans="1:4" ht="33">
      <c r="A30" s="1" t="s">
        <v>440</v>
      </c>
      <c r="B30" s="1" t="s">
        <v>442</v>
      </c>
      <c r="C30" s="1" t="s">
        <v>441</v>
      </c>
      <c r="D30" s="1" t="s">
        <v>443</v>
      </c>
    </row>
    <row r="31" spans="1:4" ht="33">
      <c r="A31" s="1" t="s">
        <v>444</v>
      </c>
      <c r="B31" s="1" t="s">
        <v>430</v>
      </c>
      <c r="C31" s="1" t="s">
        <v>445</v>
      </c>
      <c r="D31" s="1" t="s">
        <v>446</v>
      </c>
    </row>
  </sheetData>
  <phoneticPr fontId="1" type="noConversion"/>
  <hyperlinks>
    <hyperlink ref="C22" r:id="rId1" xr:uid="{46008AB5-2AE1-4697-820F-A1F2E3D1283B}"/>
  </hyperlinks>
  <pageMargins left="0.7" right="0.7" top="0.75" bottom="0.75" header="0.3" footer="0.3"/>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744BA-6FB2-4336-9D34-0FC8127E117E}">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40" t="s">
        <v>1</v>
      </c>
      <c r="B2" s="11" t="s">
        <v>215</v>
      </c>
      <c r="C2" s="11" t="s">
        <v>577</v>
      </c>
      <c r="D2" s="36" t="s">
        <v>577</v>
      </c>
    </row>
    <row r="3" spans="1:4">
      <c r="A3" s="41" t="s">
        <v>3</v>
      </c>
      <c r="B3" s="11" t="s">
        <v>216</v>
      </c>
      <c r="C3" s="11" t="s">
        <v>188</v>
      </c>
      <c r="D3" s="36" t="s">
        <v>188</v>
      </c>
    </row>
    <row r="4" spans="1:4">
      <c r="A4" s="41" t="s">
        <v>2</v>
      </c>
      <c r="B4" s="11" t="s">
        <v>217</v>
      </c>
      <c r="C4" s="11" t="s">
        <v>188</v>
      </c>
      <c r="D4" s="36" t="s">
        <v>188</v>
      </c>
    </row>
    <row r="5" spans="1:4" ht="49.5">
      <c r="A5" s="41" t="s">
        <v>241</v>
      </c>
      <c r="B5" s="13" t="s">
        <v>243</v>
      </c>
      <c r="C5" s="13" t="s">
        <v>1858</v>
      </c>
      <c r="D5" s="36" t="s">
        <v>1865</v>
      </c>
    </row>
    <row r="6" spans="1:4" ht="66">
      <c r="A6" s="41" t="s">
        <v>242</v>
      </c>
      <c r="B6" s="13" t="s">
        <v>244</v>
      </c>
      <c r="C6" s="13" t="s">
        <v>1859</v>
      </c>
      <c r="D6" s="36" t="s">
        <v>1866</v>
      </c>
    </row>
    <row r="7" spans="1:4" ht="33">
      <c r="A7" s="41" t="s">
        <v>196</v>
      </c>
      <c r="B7" s="12" t="s">
        <v>218</v>
      </c>
      <c r="C7" s="13" t="s">
        <v>1860</v>
      </c>
      <c r="D7" s="11"/>
    </row>
    <row r="8" spans="1:4" ht="115.5">
      <c r="A8" s="41" t="s">
        <v>197</v>
      </c>
      <c r="B8" s="13" t="s">
        <v>232</v>
      </c>
      <c r="C8" s="13" t="s">
        <v>1861</v>
      </c>
      <c r="D8" s="11"/>
    </row>
    <row r="9" spans="1:4" ht="33">
      <c r="A9" s="41" t="s">
        <v>198</v>
      </c>
      <c r="B9" s="13" t="s">
        <v>230</v>
      </c>
      <c r="C9" s="13" t="s">
        <v>291</v>
      </c>
      <c r="D9" s="11"/>
    </row>
    <row r="10" spans="1:4" ht="33">
      <c r="A10" s="41" t="s">
        <v>199</v>
      </c>
      <c r="B10" s="11" t="s">
        <v>228</v>
      </c>
      <c r="C10" s="13" t="s">
        <v>210</v>
      </c>
      <c r="D10" s="36" t="s">
        <v>288</v>
      </c>
    </row>
    <row r="11" spans="1:4" ht="82.5">
      <c r="A11" s="41" t="s">
        <v>200</v>
      </c>
      <c r="B11" s="11" t="s">
        <v>239</v>
      </c>
      <c r="C11" s="42" t="s">
        <v>1835</v>
      </c>
      <c r="D11" s="36" t="s">
        <v>1835</v>
      </c>
    </row>
    <row r="12" spans="1:4">
      <c r="A12" s="41" t="s">
        <v>180</v>
      </c>
      <c r="B12" s="11" t="s">
        <v>219</v>
      </c>
      <c r="C12" s="12">
        <v>2901220000</v>
      </c>
      <c r="D12" s="36">
        <v>2901220000</v>
      </c>
    </row>
    <row r="13" spans="1:4" ht="33">
      <c r="A13" s="41" t="s">
        <v>201</v>
      </c>
      <c r="B13" s="11" t="s">
        <v>229</v>
      </c>
      <c r="C13" s="13" t="s">
        <v>247</v>
      </c>
      <c r="D13" s="36" t="s">
        <v>247</v>
      </c>
    </row>
    <row r="14" spans="1:4" ht="33">
      <c r="A14" s="41" t="s">
        <v>202</v>
      </c>
      <c r="B14" s="11" t="s">
        <v>235</v>
      </c>
      <c r="C14" s="13" t="s">
        <v>210</v>
      </c>
      <c r="D14" s="11"/>
    </row>
    <row r="15" spans="1:4">
      <c r="A15" s="41" t="s">
        <v>203</v>
      </c>
      <c r="B15" s="11" t="s">
        <v>220</v>
      </c>
      <c r="C15" s="13" t="s">
        <v>578</v>
      </c>
      <c r="D15" s="11"/>
    </row>
    <row r="16" spans="1:4" ht="33">
      <c r="A16" s="41" t="s">
        <v>204</v>
      </c>
      <c r="B16" s="11" t="s">
        <v>233</v>
      </c>
      <c r="C16" s="13" t="s">
        <v>221</v>
      </c>
      <c r="D16" s="11"/>
    </row>
    <row r="17" spans="1:4" ht="33">
      <c r="A17" s="41" t="s">
        <v>205</v>
      </c>
      <c r="B17" s="11" t="s">
        <v>231</v>
      </c>
      <c r="C17" s="13" t="s">
        <v>221</v>
      </c>
      <c r="D17" s="11"/>
    </row>
    <row r="18" spans="1:4" ht="33">
      <c r="A18" s="41" t="s">
        <v>206</v>
      </c>
      <c r="B18" s="11" t="s">
        <v>234</v>
      </c>
      <c r="C18" s="13" t="s">
        <v>226</v>
      </c>
      <c r="D18" s="11"/>
    </row>
    <row r="19" spans="1:4" ht="33">
      <c r="A19" s="41" t="s">
        <v>207</v>
      </c>
      <c r="B19" s="11" t="s">
        <v>236</v>
      </c>
      <c r="C19" s="13" t="s">
        <v>212</v>
      </c>
      <c r="D19" s="11"/>
    </row>
    <row r="20" spans="1:4" ht="49.5">
      <c r="A20" s="43" t="s">
        <v>0</v>
      </c>
      <c r="B20" s="11" t="s">
        <v>223</v>
      </c>
      <c r="C20" s="1" t="s">
        <v>1862</v>
      </c>
      <c r="D20" s="11"/>
    </row>
    <row r="21" spans="1:4">
      <c r="A21" s="41" t="s">
        <v>224</v>
      </c>
      <c r="B21" s="11"/>
      <c r="C21" s="1" t="s">
        <v>1863</v>
      </c>
      <c r="D21" s="11"/>
    </row>
    <row r="22" spans="1:4">
      <c r="A22" s="44" t="s">
        <v>225</v>
      </c>
      <c r="B22" s="11"/>
      <c r="C22" s="1" t="s">
        <v>1864</v>
      </c>
      <c r="D22" s="13"/>
    </row>
    <row r="24" spans="1:4">
      <c r="A24" s="16" t="s">
        <v>327</v>
      </c>
      <c r="B24" s="16" t="s">
        <v>984</v>
      </c>
      <c r="C24" s="16" t="s">
        <v>328</v>
      </c>
      <c r="D24" s="16" t="s">
        <v>329</v>
      </c>
    </row>
    <row r="25" spans="1:4" ht="49.5">
      <c r="A25" s="1" t="s">
        <v>1867</v>
      </c>
      <c r="B25" s="1" t="s">
        <v>340</v>
      </c>
      <c r="C25" s="1" t="s">
        <v>1868</v>
      </c>
      <c r="D25" s="1" t="s">
        <v>1869</v>
      </c>
    </row>
    <row r="26" spans="1:4" ht="49.5">
      <c r="A26" s="1" t="s">
        <v>1870</v>
      </c>
      <c r="B26" s="1" t="s">
        <v>406</v>
      </c>
      <c r="C26" s="1" t="s">
        <v>1871</v>
      </c>
      <c r="D26" s="1" t="s">
        <v>1872</v>
      </c>
    </row>
    <row r="27" spans="1:4" ht="49.5">
      <c r="A27" s="1" t="s">
        <v>1873</v>
      </c>
      <c r="B27" s="1" t="s">
        <v>336</v>
      </c>
      <c r="C27" s="1" t="s">
        <v>1874</v>
      </c>
      <c r="D27" s="1" t="s">
        <v>1875</v>
      </c>
    </row>
    <row r="28" spans="1:4" ht="66">
      <c r="A28" s="1" t="s">
        <v>1876</v>
      </c>
      <c r="B28" s="1" t="s">
        <v>348</v>
      </c>
      <c r="C28" s="1" t="s">
        <v>1877</v>
      </c>
      <c r="D28" s="1" t="s">
        <v>1878</v>
      </c>
    </row>
    <row r="29" spans="1:4" ht="49.5">
      <c r="A29" s="1" t="s">
        <v>1879</v>
      </c>
      <c r="B29" s="1" t="s">
        <v>336</v>
      </c>
      <c r="C29" s="1" t="s">
        <v>1880</v>
      </c>
      <c r="D29" s="1" t="s">
        <v>1881</v>
      </c>
    </row>
    <row r="30" spans="1:4" ht="49.5">
      <c r="A30" s="1" t="s">
        <v>1882</v>
      </c>
      <c r="B30" s="1" t="s">
        <v>348</v>
      </c>
      <c r="C30" s="1" t="s">
        <v>1883</v>
      </c>
      <c r="D30" s="1" t="s">
        <v>1884</v>
      </c>
    </row>
    <row r="31" spans="1:4" ht="49.5">
      <c r="A31" s="1" t="s">
        <v>1885</v>
      </c>
      <c r="B31" s="1" t="s">
        <v>348</v>
      </c>
      <c r="C31" s="1" t="s">
        <v>1886</v>
      </c>
      <c r="D31" s="1" t="s">
        <v>1887</v>
      </c>
    </row>
    <row r="32" spans="1:4" ht="49.5">
      <c r="A32" s="1" t="s">
        <v>1888</v>
      </c>
      <c r="B32" s="1" t="s">
        <v>956</v>
      </c>
      <c r="C32" s="1" t="s">
        <v>1889</v>
      </c>
      <c r="D32" s="1" t="s">
        <v>1890</v>
      </c>
    </row>
    <row r="33" spans="1:4" ht="49.5">
      <c r="A33" s="1" t="s">
        <v>1891</v>
      </c>
      <c r="B33" s="1" t="s">
        <v>956</v>
      </c>
      <c r="C33" s="1" t="s">
        <v>1892</v>
      </c>
      <c r="D33" s="1" t="s">
        <v>1893</v>
      </c>
    </row>
    <row r="34" spans="1:4" ht="49.5">
      <c r="A34" s="1" t="s">
        <v>1894</v>
      </c>
      <c r="B34" s="1" t="s">
        <v>348</v>
      </c>
      <c r="C34" s="1" t="s">
        <v>1895</v>
      </c>
      <c r="D34" s="1" t="s">
        <v>1896</v>
      </c>
    </row>
  </sheetData>
  <phoneticPr fontId="1" type="noConversion"/>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0D23-0490-4D3B-9512-2AF6BF10C84A}">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588</v>
      </c>
      <c r="D2" s="36" t="s">
        <v>588</v>
      </c>
    </row>
    <row r="3" spans="1:4">
      <c r="A3" s="7" t="s">
        <v>3</v>
      </c>
      <c r="B3" s="11" t="s">
        <v>216</v>
      </c>
      <c r="C3" s="11" t="s">
        <v>188</v>
      </c>
      <c r="D3" s="36" t="s">
        <v>188</v>
      </c>
    </row>
    <row r="4" spans="1:4">
      <c r="A4" s="7" t="s">
        <v>2</v>
      </c>
      <c r="B4" s="11" t="s">
        <v>217</v>
      </c>
      <c r="C4" s="11" t="s">
        <v>587</v>
      </c>
      <c r="D4" s="36" t="s">
        <v>587</v>
      </c>
    </row>
    <row r="5" spans="1:4" ht="66">
      <c r="A5" s="7" t="s">
        <v>241</v>
      </c>
      <c r="B5" s="13" t="s">
        <v>243</v>
      </c>
      <c r="C5" s="1" t="s">
        <v>586</v>
      </c>
      <c r="D5" s="30" t="s">
        <v>1898</v>
      </c>
    </row>
    <row r="6" spans="1:4" ht="49.5">
      <c r="A6" s="7" t="s">
        <v>242</v>
      </c>
      <c r="B6" s="13" t="s">
        <v>244</v>
      </c>
      <c r="C6" s="1" t="s">
        <v>585</v>
      </c>
      <c r="D6" s="30" t="s">
        <v>1899</v>
      </c>
    </row>
    <row r="7" spans="1:4" ht="33">
      <c r="A7" s="7" t="s">
        <v>196</v>
      </c>
      <c r="B7" s="12" t="s">
        <v>218</v>
      </c>
      <c r="C7" s="1" t="s">
        <v>584</v>
      </c>
      <c r="D7" s="6"/>
    </row>
    <row r="8" spans="1:4">
      <c r="A8" s="7" t="s">
        <v>197</v>
      </c>
      <c r="B8" s="13" t="s">
        <v>232</v>
      </c>
      <c r="C8" s="1" t="s">
        <v>583</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20" t="s">
        <v>1897</v>
      </c>
      <c r="D11" s="35" t="s">
        <v>1897</v>
      </c>
    </row>
    <row r="12" spans="1:4">
      <c r="A12" s="7" t="s">
        <v>180</v>
      </c>
      <c r="B12" s="11" t="s">
        <v>219</v>
      </c>
      <c r="C12" s="1">
        <v>2926100000</v>
      </c>
      <c r="D12" s="30">
        <v>2926100000</v>
      </c>
    </row>
    <row r="13" spans="1:4" ht="33">
      <c r="A13" s="7" t="s">
        <v>201</v>
      </c>
      <c r="B13" s="11" t="s">
        <v>229</v>
      </c>
      <c r="C13" s="1" t="s">
        <v>296</v>
      </c>
      <c r="D13" s="30" t="s">
        <v>296</v>
      </c>
    </row>
    <row r="14" spans="1:4" ht="33">
      <c r="A14" s="7" t="s">
        <v>202</v>
      </c>
      <c r="B14" s="11" t="s">
        <v>235</v>
      </c>
      <c r="C14" s="1" t="s">
        <v>210</v>
      </c>
      <c r="D14" s="6"/>
    </row>
    <row r="15" spans="1:4">
      <c r="A15" s="7" t="s">
        <v>203</v>
      </c>
      <c r="B15" s="11" t="s">
        <v>220</v>
      </c>
      <c r="C15" s="1" t="s">
        <v>582</v>
      </c>
      <c r="D15" s="6"/>
    </row>
    <row r="16" spans="1:4" ht="33">
      <c r="A16" s="7" t="s">
        <v>204</v>
      </c>
      <c r="B16" s="11" t="s">
        <v>233</v>
      </c>
      <c r="C16" s="20" t="s">
        <v>221</v>
      </c>
      <c r="D16" s="6"/>
    </row>
    <row r="17" spans="1:4" ht="33">
      <c r="A17" s="7" t="s">
        <v>205</v>
      </c>
      <c r="B17" s="11" t="s">
        <v>231</v>
      </c>
      <c r="C17" s="1" t="s">
        <v>221</v>
      </c>
      <c r="D17" s="6"/>
    </row>
    <row r="18" spans="1:4" ht="33">
      <c r="A18" s="7" t="s">
        <v>206</v>
      </c>
      <c r="B18" s="11" t="s">
        <v>234</v>
      </c>
      <c r="C18" s="20" t="s">
        <v>252</v>
      </c>
      <c r="D18" s="6"/>
    </row>
    <row r="19" spans="1:4" ht="33">
      <c r="A19" s="7" t="s">
        <v>207</v>
      </c>
      <c r="B19" s="11" t="s">
        <v>236</v>
      </c>
      <c r="C19" s="1" t="s">
        <v>212</v>
      </c>
      <c r="D19" s="6"/>
    </row>
    <row r="20" spans="1:4" ht="49.5">
      <c r="A20" s="8" t="s">
        <v>0</v>
      </c>
      <c r="B20" s="11" t="s">
        <v>223</v>
      </c>
      <c r="C20" s="1" t="s">
        <v>581</v>
      </c>
      <c r="D20" s="6"/>
    </row>
    <row r="21" spans="1:4" ht="66">
      <c r="A21" s="7" t="s">
        <v>224</v>
      </c>
      <c r="B21" s="11"/>
      <c r="C21" s="14" t="s">
        <v>580</v>
      </c>
      <c r="D21" s="6"/>
    </row>
    <row r="22" spans="1:4" ht="148.5">
      <c r="A22" s="9" t="s">
        <v>225</v>
      </c>
      <c r="B22" s="11"/>
      <c r="C22" s="1" t="s">
        <v>579</v>
      </c>
      <c r="D22" s="10"/>
    </row>
  </sheetData>
  <phoneticPr fontId="1"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FE117-C48D-4C21-86E2-81733ECC759D}">
  <sheetPr>
    <tabColor theme="5"/>
  </sheetPr>
  <dimension ref="A1:D22"/>
  <sheetViews>
    <sheetView zoomScale="85" zoomScaleNormal="85" workbookViewId="0">
      <selection activeCell="C6" sqref="C6"/>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598</v>
      </c>
      <c r="D2" s="36" t="s">
        <v>598</v>
      </c>
    </row>
    <row r="3" spans="1:4">
      <c r="A3" s="7" t="s">
        <v>3</v>
      </c>
      <c r="B3" s="11" t="s">
        <v>216</v>
      </c>
      <c r="C3" s="11" t="s">
        <v>188</v>
      </c>
      <c r="D3" s="36" t="s">
        <v>188</v>
      </c>
    </row>
    <row r="4" spans="1:4">
      <c r="A4" s="7" t="s">
        <v>2</v>
      </c>
      <c r="B4" s="11" t="s">
        <v>217</v>
      </c>
      <c r="C4" s="11" t="s">
        <v>597</v>
      </c>
      <c r="D4" s="36" t="s">
        <v>1900</v>
      </c>
    </row>
    <row r="5" spans="1:4" ht="49.5">
      <c r="A5" s="7" t="s">
        <v>241</v>
      </c>
      <c r="B5" s="13" t="s">
        <v>243</v>
      </c>
      <c r="C5" s="1" t="s">
        <v>596</v>
      </c>
      <c r="D5" s="30" t="s">
        <v>1901</v>
      </c>
    </row>
    <row r="6" spans="1:4" ht="49.5">
      <c r="A6" s="7" t="s">
        <v>242</v>
      </c>
      <c r="B6" s="13" t="s">
        <v>244</v>
      </c>
      <c r="C6" s="1" t="s">
        <v>595</v>
      </c>
      <c r="D6" s="30" t="s">
        <v>1902</v>
      </c>
    </row>
    <row r="7" spans="1:4" ht="49.5">
      <c r="A7" s="7" t="s">
        <v>196</v>
      </c>
      <c r="B7" s="12" t="s">
        <v>218</v>
      </c>
      <c r="C7" s="1" t="s">
        <v>594</v>
      </c>
      <c r="D7" s="6"/>
    </row>
    <row r="8" spans="1:4" ht="33">
      <c r="A8" s="7" t="s">
        <v>197</v>
      </c>
      <c r="B8" s="13" t="s">
        <v>232</v>
      </c>
      <c r="C8" s="1" t="s">
        <v>593</v>
      </c>
      <c r="D8" s="6"/>
    </row>
    <row r="9" spans="1:4" ht="33">
      <c r="A9" s="7" t="s">
        <v>198</v>
      </c>
      <c r="B9" s="13" t="s">
        <v>230</v>
      </c>
      <c r="C9" s="20" t="s">
        <v>252</v>
      </c>
      <c r="D9" s="6"/>
    </row>
    <row r="10" spans="1:4" ht="33">
      <c r="A10" s="7" t="s">
        <v>199</v>
      </c>
      <c r="B10" s="11" t="s">
        <v>228</v>
      </c>
      <c r="C10" s="1" t="s">
        <v>210</v>
      </c>
      <c r="D10" s="30" t="s">
        <v>210</v>
      </c>
    </row>
    <row r="11" spans="1:4" ht="33">
      <c r="A11" s="7" t="s">
        <v>200</v>
      </c>
      <c r="B11" s="11" t="s">
        <v>239</v>
      </c>
      <c r="C11" s="1" t="s">
        <v>1903</v>
      </c>
      <c r="D11" s="30" t="s">
        <v>1903</v>
      </c>
    </row>
    <row r="12" spans="1:4">
      <c r="A12" s="7" t="s">
        <v>180</v>
      </c>
      <c r="B12" s="11" t="s">
        <v>219</v>
      </c>
      <c r="C12" s="1">
        <v>3903300000</v>
      </c>
      <c r="D12" s="30">
        <v>3903300000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592</v>
      </c>
      <c r="D15" s="6"/>
    </row>
    <row r="16" spans="1:4" ht="33">
      <c r="A16" s="7" t="s">
        <v>204</v>
      </c>
      <c r="B16" s="11" t="s">
        <v>233</v>
      </c>
      <c r="C16" s="20" t="s">
        <v>221</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66">
      <c r="A20" s="8" t="s">
        <v>0</v>
      </c>
      <c r="B20" s="11" t="s">
        <v>223</v>
      </c>
      <c r="C20" s="1" t="s">
        <v>591</v>
      </c>
      <c r="D20" s="6"/>
    </row>
    <row r="21" spans="1:4" ht="66">
      <c r="A21" s="7" t="s">
        <v>224</v>
      </c>
      <c r="B21" s="11"/>
      <c r="C21" s="14" t="s">
        <v>590</v>
      </c>
      <c r="D21" s="6"/>
    </row>
    <row r="22" spans="1:4" ht="132">
      <c r="A22" s="9" t="s">
        <v>225</v>
      </c>
      <c r="B22" s="11"/>
      <c r="C22" s="1" t="s">
        <v>589</v>
      </c>
      <c r="D22" s="10"/>
    </row>
  </sheetData>
  <phoneticPr fontId="1"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D4D8-697F-4AF8-B948-BF37E2B1852C}">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607</v>
      </c>
      <c r="D2" s="36" t="s">
        <v>607</v>
      </c>
    </row>
    <row r="3" spans="1:4">
      <c r="A3" s="7" t="s">
        <v>3</v>
      </c>
      <c r="B3" s="11" t="s">
        <v>216</v>
      </c>
      <c r="C3" s="11" t="s">
        <v>188</v>
      </c>
      <c r="D3" s="36" t="s">
        <v>188</v>
      </c>
    </row>
    <row r="4" spans="1:4">
      <c r="A4" s="7" t="s">
        <v>2</v>
      </c>
      <c r="B4" s="11" t="s">
        <v>217</v>
      </c>
      <c r="C4" s="11" t="s">
        <v>606</v>
      </c>
      <c r="D4" s="36" t="s">
        <v>606</v>
      </c>
    </row>
    <row r="5" spans="1:4" ht="49.5">
      <c r="A5" s="7" t="s">
        <v>241</v>
      </c>
      <c r="B5" s="13" t="s">
        <v>243</v>
      </c>
      <c r="C5" s="1" t="s">
        <v>605</v>
      </c>
      <c r="D5" s="30" t="s">
        <v>1904</v>
      </c>
    </row>
    <row r="6" spans="1:4" ht="49.5">
      <c r="A6" s="7" t="s">
        <v>242</v>
      </c>
      <c r="B6" s="13" t="s">
        <v>244</v>
      </c>
      <c r="C6" s="1" t="s">
        <v>604</v>
      </c>
      <c r="D6" s="30" t="s">
        <v>1905</v>
      </c>
    </row>
    <row r="7" spans="1:4" ht="33">
      <c r="A7" s="7" t="s">
        <v>196</v>
      </c>
      <c r="B7" s="12" t="s">
        <v>218</v>
      </c>
      <c r="C7" s="1" t="s">
        <v>603</v>
      </c>
      <c r="D7" s="6"/>
    </row>
    <row r="8" spans="1:4">
      <c r="A8" s="7" t="s">
        <v>197</v>
      </c>
      <c r="B8" s="13" t="s">
        <v>232</v>
      </c>
      <c r="C8" s="1" t="s">
        <v>602</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1" t="s">
        <v>1906</v>
      </c>
      <c r="D11" s="30" t="s">
        <v>1906</v>
      </c>
    </row>
    <row r="12" spans="1:4">
      <c r="A12" s="7" t="s">
        <v>180</v>
      </c>
      <c r="B12" s="11" t="s">
        <v>219</v>
      </c>
      <c r="C12" s="1">
        <v>3903200000</v>
      </c>
      <c r="D12" s="30">
        <v>3903200000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592</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49.5">
      <c r="A20" s="8" t="s">
        <v>0</v>
      </c>
      <c r="B20" s="11" t="s">
        <v>223</v>
      </c>
      <c r="C20" s="1" t="s">
        <v>601</v>
      </c>
      <c r="D20" s="6"/>
    </row>
    <row r="21" spans="1:4" ht="66">
      <c r="A21" s="7" t="s">
        <v>224</v>
      </c>
      <c r="B21" s="11"/>
      <c r="C21" s="14" t="s">
        <v>600</v>
      </c>
      <c r="D21" s="6"/>
    </row>
    <row r="22" spans="1:4" ht="132">
      <c r="A22" s="9" t="s">
        <v>225</v>
      </c>
      <c r="B22" s="11"/>
      <c r="C22" s="1" t="s">
        <v>599</v>
      </c>
      <c r="D22" s="10"/>
    </row>
  </sheetData>
  <phoneticPr fontId="1" type="noConversion"/>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BC05-65FC-44AE-A414-C759DFEE5987}">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617</v>
      </c>
      <c r="D2" s="36" t="s">
        <v>617</v>
      </c>
    </row>
    <row r="3" spans="1:4">
      <c r="A3" s="7" t="s">
        <v>3</v>
      </c>
      <c r="B3" s="11" t="s">
        <v>216</v>
      </c>
      <c r="C3" s="11" t="s">
        <v>188</v>
      </c>
      <c r="D3" s="36" t="s">
        <v>188</v>
      </c>
    </row>
    <row r="4" spans="1:4">
      <c r="A4" s="7" t="s">
        <v>2</v>
      </c>
      <c r="B4" s="11" t="s">
        <v>217</v>
      </c>
      <c r="C4" s="11" t="s">
        <v>616</v>
      </c>
      <c r="D4" s="36" t="s">
        <v>616</v>
      </c>
    </row>
    <row r="5" spans="1:4" ht="49.5">
      <c r="A5" s="7" t="s">
        <v>241</v>
      </c>
      <c r="B5" s="13" t="s">
        <v>243</v>
      </c>
      <c r="C5" s="1" t="s">
        <v>615</v>
      </c>
      <c r="D5" s="30" t="s">
        <v>1908</v>
      </c>
    </row>
    <row r="6" spans="1:4" ht="49.5">
      <c r="A6" s="7" t="s">
        <v>242</v>
      </c>
      <c r="B6" s="13" t="s">
        <v>244</v>
      </c>
      <c r="C6" s="1" t="s">
        <v>614</v>
      </c>
      <c r="D6" s="30" t="s">
        <v>1909</v>
      </c>
    </row>
    <row r="7" spans="1:4" ht="33">
      <c r="A7" s="7" t="s">
        <v>196</v>
      </c>
      <c r="B7" s="12" t="s">
        <v>218</v>
      </c>
      <c r="C7" s="1" t="s">
        <v>613</v>
      </c>
      <c r="D7" s="6"/>
    </row>
    <row r="8" spans="1:4">
      <c r="A8" s="7" t="s">
        <v>197</v>
      </c>
      <c r="B8" s="13" t="s">
        <v>232</v>
      </c>
      <c r="C8" s="1" t="s">
        <v>612</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1" t="s">
        <v>1907</v>
      </c>
      <c r="D11" s="30" t="s">
        <v>1907</v>
      </c>
    </row>
    <row r="12" spans="1:4">
      <c r="A12" s="7" t="s">
        <v>180</v>
      </c>
      <c r="B12" s="11" t="s">
        <v>219</v>
      </c>
      <c r="C12" s="1">
        <v>4002590000</v>
      </c>
      <c r="D12" s="30">
        <v>4002590000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611</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49.5">
      <c r="A20" s="8" t="s">
        <v>0</v>
      </c>
      <c r="B20" s="11" t="s">
        <v>223</v>
      </c>
      <c r="C20" s="1" t="s">
        <v>610</v>
      </c>
      <c r="D20" s="6"/>
    </row>
    <row r="21" spans="1:4" ht="66">
      <c r="A21" s="7" t="s">
        <v>224</v>
      </c>
      <c r="B21" s="11"/>
      <c r="C21" s="14" t="s">
        <v>609</v>
      </c>
      <c r="D21" s="6"/>
    </row>
    <row r="22" spans="1:4" ht="132">
      <c r="A22" s="9" t="s">
        <v>225</v>
      </c>
      <c r="B22" s="11"/>
      <c r="C22" s="1" t="s">
        <v>608</v>
      </c>
      <c r="D22" s="10"/>
    </row>
  </sheetData>
  <phoneticPr fontId="1" type="noConversion"/>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F54DA-0E13-4E24-86EC-EB33E8051880}">
  <sheetPr>
    <tabColor theme="5"/>
  </sheetPr>
  <dimension ref="A1:D22"/>
  <sheetViews>
    <sheetView zoomScale="85" zoomScaleNormal="85" workbookViewId="0">
      <selection activeCell="C6" sqref="C6"/>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658</v>
      </c>
      <c r="D2" s="36" t="s">
        <v>658</v>
      </c>
    </row>
    <row r="3" spans="1:4">
      <c r="A3" s="7" t="s">
        <v>3</v>
      </c>
      <c r="B3" s="11" t="s">
        <v>216</v>
      </c>
      <c r="C3" s="11" t="s">
        <v>188</v>
      </c>
      <c r="D3" s="36" t="s">
        <v>188</v>
      </c>
    </row>
    <row r="4" spans="1:4">
      <c r="A4" s="7" t="s">
        <v>2</v>
      </c>
      <c r="B4" s="11" t="s">
        <v>217</v>
      </c>
      <c r="C4" s="11" t="s">
        <v>111</v>
      </c>
      <c r="D4" s="36" t="s">
        <v>111</v>
      </c>
    </row>
    <row r="5" spans="1:4" ht="33">
      <c r="A5" s="7" t="s">
        <v>241</v>
      </c>
      <c r="B5" s="13" t="s">
        <v>243</v>
      </c>
      <c r="C5" s="1" t="s">
        <v>657</v>
      </c>
      <c r="D5" s="30" t="s">
        <v>1910</v>
      </c>
    </row>
    <row r="6" spans="1:4" ht="33">
      <c r="A6" s="7" t="s">
        <v>242</v>
      </c>
      <c r="B6" s="13" t="s">
        <v>244</v>
      </c>
      <c r="C6" s="1" t="s">
        <v>656</v>
      </c>
      <c r="D6" s="30" t="s">
        <v>1911</v>
      </c>
    </row>
    <row r="7" spans="1:4" ht="33">
      <c r="A7" s="7" t="s">
        <v>196</v>
      </c>
      <c r="B7" s="12" t="s">
        <v>218</v>
      </c>
      <c r="C7" s="1" t="s">
        <v>655</v>
      </c>
      <c r="D7" s="6"/>
    </row>
    <row r="8" spans="1:4">
      <c r="A8" s="7" t="s">
        <v>197</v>
      </c>
      <c r="B8" s="13" t="s">
        <v>232</v>
      </c>
      <c r="C8" s="1" t="s">
        <v>654</v>
      </c>
      <c r="D8" s="6"/>
    </row>
    <row r="9" spans="1:4" ht="33">
      <c r="A9" s="7" t="s">
        <v>198</v>
      </c>
      <c r="B9" s="13" t="s">
        <v>230</v>
      </c>
      <c r="C9" s="20" t="s">
        <v>291</v>
      </c>
      <c r="D9" s="6"/>
    </row>
    <row r="10" spans="1:4" ht="33">
      <c r="A10" s="7" t="s">
        <v>199</v>
      </c>
      <c r="B10" s="11" t="s">
        <v>228</v>
      </c>
      <c r="C10" s="1" t="s">
        <v>210</v>
      </c>
      <c r="D10" s="30" t="s">
        <v>210</v>
      </c>
    </row>
    <row r="11" spans="1:4" ht="66">
      <c r="A11" s="7" t="s">
        <v>200</v>
      </c>
      <c r="B11" s="11" t="s">
        <v>239</v>
      </c>
      <c r="C11" s="1" t="s">
        <v>1912</v>
      </c>
      <c r="D11" s="30" t="s">
        <v>1912</v>
      </c>
    </row>
    <row r="12" spans="1:4">
      <c r="A12" s="7" t="s">
        <v>180</v>
      </c>
      <c r="B12" s="11" t="s">
        <v>219</v>
      </c>
      <c r="C12" s="1">
        <v>3902100000</v>
      </c>
      <c r="D12" s="30">
        <v>3902100000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653</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291</v>
      </c>
      <c r="D18" s="6"/>
    </row>
    <row r="19" spans="1:4" ht="33">
      <c r="A19" s="7" t="s">
        <v>207</v>
      </c>
      <c r="B19" s="11" t="s">
        <v>236</v>
      </c>
      <c r="C19" s="1" t="s">
        <v>212</v>
      </c>
      <c r="D19" s="6"/>
    </row>
    <row r="20" spans="1:4" ht="66">
      <c r="A20" s="8" t="s">
        <v>0</v>
      </c>
      <c r="B20" s="11" t="s">
        <v>223</v>
      </c>
      <c r="C20" s="1" t="s">
        <v>652</v>
      </c>
      <c r="D20" s="6"/>
    </row>
    <row r="21" spans="1:4" ht="49.5">
      <c r="A21" s="7" t="s">
        <v>224</v>
      </c>
      <c r="B21" s="11"/>
      <c r="C21" s="14" t="s">
        <v>651</v>
      </c>
      <c r="D21" s="6"/>
    </row>
    <row r="22" spans="1:4" ht="165">
      <c r="A22" s="9" t="s">
        <v>225</v>
      </c>
      <c r="B22" s="11"/>
      <c r="C22" s="1" t="s">
        <v>650</v>
      </c>
      <c r="D22" s="10"/>
    </row>
  </sheetData>
  <phoneticPr fontId="1" type="noConversion"/>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FF550-8337-4480-A5A0-2F1AC2628207}">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626</v>
      </c>
      <c r="D2" s="36" t="s">
        <v>626</v>
      </c>
    </row>
    <row r="3" spans="1:4">
      <c r="A3" s="7" t="s">
        <v>3</v>
      </c>
      <c r="B3" s="11" t="s">
        <v>216</v>
      </c>
      <c r="C3" s="11" t="s">
        <v>188</v>
      </c>
      <c r="D3" s="36" t="s">
        <v>188</v>
      </c>
    </row>
    <row r="4" spans="1:4">
      <c r="A4" s="7" t="s">
        <v>2</v>
      </c>
      <c r="B4" s="11" t="s">
        <v>217</v>
      </c>
      <c r="C4" s="11" t="s">
        <v>110</v>
      </c>
      <c r="D4" s="36" t="s">
        <v>110</v>
      </c>
    </row>
    <row r="5" spans="1:4" ht="49.5">
      <c r="A5" s="7" t="s">
        <v>241</v>
      </c>
      <c r="B5" s="13" t="s">
        <v>243</v>
      </c>
      <c r="C5" s="1" t="s">
        <v>625</v>
      </c>
      <c r="D5" s="30" t="s">
        <v>1914</v>
      </c>
    </row>
    <row r="6" spans="1:4" ht="49.5">
      <c r="A6" s="7" t="s">
        <v>242</v>
      </c>
      <c r="B6" s="13" t="s">
        <v>244</v>
      </c>
      <c r="C6" s="1" t="s">
        <v>624</v>
      </c>
      <c r="D6" s="30" t="s">
        <v>1915</v>
      </c>
    </row>
    <row r="7" spans="1:4" ht="33">
      <c r="A7" s="7" t="s">
        <v>196</v>
      </c>
      <c r="B7" s="12" t="s">
        <v>218</v>
      </c>
      <c r="C7" s="1" t="s">
        <v>623</v>
      </c>
      <c r="D7" s="6"/>
    </row>
    <row r="8" spans="1:4">
      <c r="A8" s="7" t="s">
        <v>197</v>
      </c>
      <c r="B8" s="13" t="s">
        <v>232</v>
      </c>
      <c r="C8" s="1" t="s">
        <v>622</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1" t="s">
        <v>1913</v>
      </c>
      <c r="D11" s="30" t="s">
        <v>1913</v>
      </c>
    </row>
    <row r="12" spans="1:4">
      <c r="A12" s="7" t="s">
        <v>180</v>
      </c>
      <c r="B12" s="11" t="s">
        <v>219</v>
      </c>
      <c r="C12" s="1">
        <v>2910200000</v>
      </c>
      <c r="D12" s="30">
        <v>2910200000</v>
      </c>
    </row>
    <row r="13" spans="1:4" ht="33">
      <c r="A13" s="7" t="s">
        <v>201</v>
      </c>
      <c r="B13" s="11" t="s">
        <v>229</v>
      </c>
      <c r="C13" s="1" t="s">
        <v>296</v>
      </c>
      <c r="D13" s="30" t="s">
        <v>296</v>
      </c>
    </row>
    <row r="14" spans="1:4" ht="33">
      <c r="A14" s="7" t="s">
        <v>202</v>
      </c>
      <c r="B14" s="11" t="s">
        <v>235</v>
      </c>
      <c r="C14" s="1" t="s">
        <v>210</v>
      </c>
      <c r="D14" s="6"/>
    </row>
    <row r="15" spans="1:4">
      <c r="A15" s="7" t="s">
        <v>203</v>
      </c>
      <c r="B15" s="11" t="s">
        <v>220</v>
      </c>
      <c r="C15" s="1" t="s">
        <v>621</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49.5">
      <c r="A20" s="8" t="s">
        <v>0</v>
      </c>
      <c r="B20" s="11" t="s">
        <v>223</v>
      </c>
      <c r="C20" s="1" t="s">
        <v>620</v>
      </c>
      <c r="D20" s="6"/>
    </row>
    <row r="21" spans="1:4" ht="66">
      <c r="A21" s="7" t="s">
        <v>224</v>
      </c>
      <c r="B21" s="11"/>
      <c r="C21" s="14" t="s">
        <v>619</v>
      </c>
      <c r="D21" s="6"/>
    </row>
    <row r="22" spans="1:4" ht="148.5">
      <c r="A22" s="9" t="s">
        <v>225</v>
      </c>
      <c r="B22" s="11"/>
      <c r="C22" s="1" t="s">
        <v>618</v>
      </c>
      <c r="D22" s="10"/>
    </row>
  </sheetData>
  <phoneticPr fontId="1" type="noConversion"/>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8AD5-24BA-40C4-BD8C-50C66A10967D}">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635</v>
      </c>
      <c r="D2" s="36" t="s">
        <v>635</v>
      </c>
    </row>
    <row r="3" spans="1:4">
      <c r="A3" s="7" t="s">
        <v>3</v>
      </c>
      <c r="B3" s="11" t="s">
        <v>216</v>
      </c>
      <c r="C3" s="11" t="s">
        <v>188</v>
      </c>
      <c r="D3" s="36" t="s">
        <v>188</v>
      </c>
    </row>
    <row r="4" spans="1:4">
      <c r="A4" s="7" t="s">
        <v>2</v>
      </c>
      <c r="B4" s="11" t="s">
        <v>217</v>
      </c>
      <c r="C4" s="11" t="s">
        <v>108</v>
      </c>
      <c r="D4" s="36" t="s">
        <v>108</v>
      </c>
    </row>
    <row r="5" spans="1:4" ht="33">
      <c r="A5" s="7" t="s">
        <v>241</v>
      </c>
      <c r="B5" s="13" t="s">
        <v>243</v>
      </c>
      <c r="C5" s="1" t="s">
        <v>634</v>
      </c>
      <c r="D5" s="30" t="s">
        <v>1916</v>
      </c>
    </row>
    <row r="6" spans="1:4" ht="33">
      <c r="A6" s="7" t="s">
        <v>242</v>
      </c>
      <c r="B6" s="13" t="s">
        <v>244</v>
      </c>
      <c r="C6" s="1" t="s">
        <v>633</v>
      </c>
      <c r="D6" s="30" t="s">
        <v>1917</v>
      </c>
    </row>
    <row r="7" spans="1:4" ht="33">
      <c r="A7" s="7" t="s">
        <v>196</v>
      </c>
      <c r="B7" s="12" t="s">
        <v>218</v>
      </c>
      <c r="C7" s="1" t="s">
        <v>632</v>
      </c>
      <c r="D7" s="6"/>
    </row>
    <row r="8" spans="1:4">
      <c r="A8" s="7" t="s">
        <v>197</v>
      </c>
      <c r="B8" s="13" t="s">
        <v>232</v>
      </c>
      <c r="C8" s="1" t="s">
        <v>631</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1" t="s">
        <v>1918</v>
      </c>
      <c r="D11" s="30" t="s">
        <v>1918</v>
      </c>
    </row>
    <row r="12" spans="1:4">
      <c r="A12" s="7" t="s">
        <v>180</v>
      </c>
      <c r="B12" s="11" t="s">
        <v>219</v>
      </c>
      <c r="C12" s="1">
        <v>2905320000</v>
      </c>
      <c r="D12" s="30">
        <v>2905320000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630</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49.5">
      <c r="A20" s="8" t="s">
        <v>0</v>
      </c>
      <c r="B20" s="11" t="s">
        <v>223</v>
      </c>
      <c r="C20" s="1" t="s">
        <v>629</v>
      </c>
      <c r="D20" s="6"/>
    </row>
    <row r="21" spans="1:4" ht="66">
      <c r="A21" s="7" t="s">
        <v>224</v>
      </c>
      <c r="B21" s="11"/>
      <c r="C21" s="14" t="s">
        <v>628</v>
      </c>
      <c r="D21" s="6"/>
    </row>
    <row r="22" spans="1:4" ht="165">
      <c r="A22" s="9" t="s">
        <v>225</v>
      </c>
      <c r="B22" s="11"/>
      <c r="C22" s="1" t="s">
        <v>627</v>
      </c>
      <c r="D22" s="10"/>
    </row>
  </sheetData>
  <phoneticPr fontId="1" type="noConversion"/>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42FD-09AF-43BC-BEFA-F4C9A0BFA533}">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643</v>
      </c>
      <c r="D2" s="36" t="s">
        <v>643</v>
      </c>
    </row>
    <row r="3" spans="1:4">
      <c r="A3" s="7" t="s">
        <v>3</v>
      </c>
      <c r="B3" s="11" t="s">
        <v>216</v>
      </c>
      <c r="C3" s="11" t="s">
        <v>188</v>
      </c>
      <c r="D3" s="36" t="s">
        <v>188</v>
      </c>
    </row>
    <row r="4" spans="1:4">
      <c r="A4" s="7" t="s">
        <v>2</v>
      </c>
      <c r="B4" s="11" t="s">
        <v>217</v>
      </c>
      <c r="C4" s="11" t="s">
        <v>109</v>
      </c>
      <c r="D4" s="36" t="s">
        <v>109</v>
      </c>
    </row>
    <row r="5" spans="1:4" ht="49.5">
      <c r="A5" s="7" t="s">
        <v>241</v>
      </c>
      <c r="B5" s="13" t="s">
        <v>243</v>
      </c>
      <c r="C5" s="1" t="s">
        <v>642</v>
      </c>
      <c r="D5" s="30" t="s">
        <v>642</v>
      </c>
    </row>
    <row r="6" spans="1:4" ht="49.5">
      <c r="A6" s="7" t="s">
        <v>242</v>
      </c>
      <c r="B6" s="13" t="s">
        <v>244</v>
      </c>
      <c r="C6" s="1" t="s">
        <v>641</v>
      </c>
      <c r="D6" s="30" t="s">
        <v>641</v>
      </c>
    </row>
    <row r="7" spans="1:4" ht="33">
      <c r="A7" s="7" t="s">
        <v>196</v>
      </c>
      <c r="B7" s="12" t="s">
        <v>218</v>
      </c>
      <c r="C7" s="1" t="s">
        <v>640</v>
      </c>
      <c r="D7" s="6"/>
    </row>
    <row r="8" spans="1:4">
      <c r="A8" s="7" t="s">
        <v>197</v>
      </c>
      <c r="B8" s="13" t="s">
        <v>232</v>
      </c>
      <c r="C8" s="1" t="s">
        <v>639</v>
      </c>
      <c r="D8" s="6"/>
    </row>
    <row r="9" spans="1:4" ht="33">
      <c r="A9" s="7" t="s">
        <v>198</v>
      </c>
      <c r="B9" s="13" t="s">
        <v>230</v>
      </c>
      <c r="C9" s="20" t="s">
        <v>252</v>
      </c>
      <c r="D9" s="6"/>
    </row>
    <row r="10" spans="1:4" ht="33">
      <c r="A10" s="7" t="s">
        <v>199</v>
      </c>
      <c r="B10" s="11" t="s">
        <v>228</v>
      </c>
      <c r="C10" s="1" t="s">
        <v>210</v>
      </c>
      <c r="D10" s="30" t="s">
        <v>210</v>
      </c>
    </row>
    <row r="11" spans="1:4" ht="33">
      <c r="A11" s="7" t="s">
        <v>200</v>
      </c>
      <c r="B11" s="11" t="s">
        <v>239</v>
      </c>
      <c r="C11" s="1" t="s">
        <v>1919</v>
      </c>
      <c r="D11" s="30" t="s">
        <v>1919</v>
      </c>
    </row>
    <row r="12" spans="1:4">
      <c r="A12" s="7" t="s">
        <v>180</v>
      </c>
      <c r="B12" s="11" t="s">
        <v>219</v>
      </c>
      <c r="C12" s="1">
        <v>3907202000</v>
      </c>
      <c r="D12" s="30">
        <v>3907202000</v>
      </c>
    </row>
    <row r="13" spans="1:4" ht="33">
      <c r="A13" s="7" t="s">
        <v>201</v>
      </c>
      <c r="B13" s="11" t="s">
        <v>229</v>
      </c>
      <c r="C13" s="1" t="s">
        <v>1920</v>
      </c>
      <c r="D13" s="30" t="s">
        <v>1920</v>
      </c>
    </row>
    <row r="14" spans="1:4" ht="33">
      <c r="A14" s="7" t="s">
        <v>202</v>
      </c>
      <c r="B14" s="11" t="s">
        <v>235</v>
      </c>
      <c r="C14" s="1" t="s">
        <v>210</v>
      </c>
      <c r="D14" s="6"/>
    </row>
    <row r="15" spans="1:4">
      <c r="A15" s="7" t="s">
        <v>203</v>
      </c>
      <c r="B15" s="11" t="s">
        <v>220</v>
      </c>
      <c r="C15" s="1" t="s">
        <v>638</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66">
      <c r="A20" s="8" t="s">
        <v>0</v>
      </c>
      <c r="B20" s="11" t="s">
        <v>223</v>
      </c>
      <c r="C20" s="1" t="s">
        <v>637</v>
      </c>
      <c r="D20" s="6"/>
    </row>
    <row r="21" spans="1:4" ht="49.5">
      <c r="A21" s="7" t="s">
        <v>224</v>
      </c>
      <c r="B21" s="11"/>
      <c r="C21" s="14" t="s">
        <v>636</v>
      </c>
      <c r="D21" s="6"/>
    </row>
    <row r="22" spans="1:4" ht="165">
      <c r="A22" s="9" t="s">
        <v>225</v>
      </c>
      <c r="B22" s="11"/>
      <c r="C22" s="1" t="s">
        <v>627</v>
      </c>
      <c r="D22" s="10"/>
    </row>
  </sheetData>
  <phoneticPr fontId="1" type="noConversion"/>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E7AE-3D86-4636-A75E-88DB731F8B92}">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649</v>
      </c>
      <c r="D2" s="36" t="s">
        <v>649</v>
      </c>
    </row>
    <row r="3" spans="1:4">
      <c r="A3" s="7" t="s">
        <v>3</v>
      </c>
      <c r="B3" s="11" t="s">
        <v>216</v>
      </c>
      <c r="C3" s="11" t="s">
        <v>188</v>
      </c>
      <c r="D3" s="36" t="s">
        <v>188</v>
      </c>
    </row>
    <row r="4" spans="1:4">
      <c r="A4" s="7" t="s">
        <v>2</v>
      </c>
      <c r="B4" s="11" t="s">
        <v>217</v>
      </c>
      <c r="C4" s="11" t="s">
        <v>648</v>
      </c>
      <c r="D4" s="36" t="s">
        <v>648</v>
      </c>
    </row>
    <row r="5" spans="1:4" ht="49.5">
      <c r="A5" s="7" t="s">
        <v>241</v>
      </c>
      <c r="B5" s="13" t="s">
        <v>243</v>
      </c>
      <c r="C5" s="1" t="s">
        <v>1921</v>
      </c>
      <c r="D5" s="30" t="s">
        <v>1925</v>
      </c>
    </row>
    <row r="6" spans="1:4" ht="49.5">
      <c r="A6" s="7" t="s">
        <v>242</v>
      </c>
      <c r="B6" s="13" t="s">
        <v>244</v>
      </c>
      <c r="C6" s="1" t="s">
        <v>1922</v>
      </c>
      <c r="D6" s="30" t="s">
        <v>1955</v>
      </c>
    </row>
    <row r="7" spans="1:4" ht="33">
      <c r="A7" s="7" t="s">
        <v>196</v>
      </c>
      <c r="B7" s="12" t="s">
        <v>218</v>
      </c>
      <c r="C7" s="1" t="s">
        <v>1923</v>
      </c>
      <c r="D7" s="6"/>
    </row>
    <row r="8" spans="1:4" ht="99">
      <c r="A8" s="7" t="s">
        <v>197</v>
      </c>
      <c r="B8" s="13" t="s">
        <v>232</v>
      </c>
      <c r="C8" s="1" t="s">
        <v>1924</v>
      </c>
      <c r="D8" s="6"/>
    </row>
    <row r="9" spans="1:4" ht="33">
      <c r="A9" s="7" t="s">
        <v>198</v>
      </c>
      <c r="B9" s="13" t="s">
        <v>230</v>
      </c>
      <c r="C9" s="20" t="s">
        <v>252</v>
      </c>
      <c r="D9" s="6"/>
    </row>
    <row r="10" spans="1:4" ht="33">
      <c r="A10" s="7" t="s">
        <v>199</v>
      </c>
      <c r="B10" s="11" t="s">
        <v>228</v>
      </c>
      <c r="C10" s="1" t="s">
        <v>210</v>
      </c>
      <c r="D10" s="37" t="s">
        <v>288</v>
      </c>
    </row>
    <row r="11" spans="1:4">
      <c r="A11" s="7" t="s">
        <v>200</v>
      </c>
      <c r="B11" s="11" t="s">
        <v>239</v>
      </c>
      <c r="C11" s="1" t="s">
        <v>1956</v>
      </c>
      <c r="D11" s="30" t="s">
        <v>1956</v>
      </c>
    </row>
    <row r="12" spans="1:4">
      <c r="A12" s="7" t="s">
        <v>180</v>
      </c>
      <c r="B12" s="11" t="s">
        <v>219</v>
      </c>
      <c r="C12" s="1" t="s">
        <v>270</v>
      </c>
      <c r="D12" s="30" t="s">
        <v>270</v>
      </c>
    </row>
    <row r="13" spans="1:4" ht="33">
      <c r="A13" s="7" t="s">
        <v>201</v>
      </c>
      <c r="B13" s="11" t="s">
        <v>229</v>
      </c>
      <c r="C13" s="1" t="s">
        <v>270</v>
      </c>
      <c r="D13" s="30" t="s">
        <v>270</v>
      </c>
    </row>
    <row r="14" spans="1:4" ht="33">
      <c r="A14" s="7" t="s">
        <v>202</v>
      </c>
      <c r="B14" s="11" t="s">
        <v>235</v>
      </c>
      <c r="C14" s="1" t="s">
        <v>210</v>
      </c>
      <c r="D14" s="6"/>
    </row>
    <row r="15" spans="1:4">
      <c r="A15" s="7" t="s">
        <v>203</v>
      </c>
      <c r="B15" s="11" t="s">
        <v>220</v>
      </c>
      <c r="C15" s="1" t="s">
        <v>638</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66">
      <c r="A20" s="8" t="s">
        <v>0</v>
      </c>
      <c r="B20" s="11" t="s">
        <v>223</v>
      </c>
      <c r="C20" s="1" t="s">
        <v>646</v>
      </c>
      <c r="D20" s="6"/>
    </row>
    <row r="21" spans="1:4" ht="66">
      <c r="A21" s="7" t="s">
        <v>224</v>
      </c>
      <c r="B21" s="11"/>
      <c r="C21" s="14" t="s">
        <v>645</v>
      </c>
      <c r="D21" s="6"/>
    </row>
    <row r="22" spans="1:4" ht="181.5">
      <c r="A22" s="9" t="s">
        <v>225</v>
      </c>
      <c r="B22" s="11"/>
      <c r="C22" s="1" t="s">
        <v>644</v>
      </c>
      <c r="D22" s="10"/>
    </row>
    <row r="24" spans="1:4">
      <c r="A24" s="16" t="s">
        <v>327</v>
      </c>
      <c r="B24" s="16" t="s">
        <v>984</v>
      </c>
      <c r="C24" s="16" t="s">
        <v>328</v>
      </c>
      <c r="D24" s="16" t="s">
        <v>329</v>
      </c>
    </row>
    <row r="25" spans="1:4" ht="49.5">
      <c r="A25" s="1" t="s">
        <v>1926</v>
      </c>
      <c r="B25" s="1" t="s">
        <v>340</v>
      </c>
      <c r="C25" s="1" t="s">
        <v>1927</v>
      </c>
      <c r="D25" s="1" t="s">
        <v>1928</v>
      </c>
    </row>
    <row r="26" spans="1:4" ht="49.5">
      <c r="A26" s="1" t="s">
        <v>1929</v>
      </c>
      <c r="B26" s="1" t="s">
        <v>406</v>
      </c>
      <c r="C26" s="1" t="s">
        <v>1930</v>
      </c>
      <c r="D26" s="1" t="s">
        <v>1931</v>
      </c>
    </row>
    <row r="27" spans="1:4" ht="49.5">
      <c r="A27" s="1" t="s">
        <v>1932</v>
      </c>
      <c r="B27" s="1" t="s">
        <v>336</v>
      </c>
      <c r="C27" s="1" t="s">
        <v>1933</v>
      </c>
      <c r="D27" s="1" t="s">
        <v>1934</v>
      </c>
    </row>
    <row r="28" spans="1:4" ht="49.5">
      <c r="A28" s="1" t="s">
        <v>1935</v>
      </c>
      <c r="B28" s="1" t="s">
        <v>340</v>
      </c>
      <c r="C28" s="1" t="s">
        <v>1936</v>
      </c>
      <c r="D28" s="1" t="s">
        <v>1937</v>
      </c>
    </row>
    <row r="29" spans="1:4" ht="49.5">
      <c r="A29" s="1" t="s">
        <v>1938</v>
      </c>
      <c r="B29" s="1" t="s">
        <v>348</v>
      </c>
      <c r="C29" s="1" t="s">
        <v>1939</v>
      </c>
      <c r="D29" s="1" t="s">
        <v>1940</v>
      </c>
    </row>
    <row r="30" spans="1:4" ht="49.5">
      <c r="A30" s="1" t="s">
        <v>1941</v>
      </c>
      <c r="B30" s="1" t="s">
        <v>340</v>
      </c>
      <c r="C30" s="1" t="s">
        <v>1942</v>
      </c>
      <c r="D30" s="1" t="s">
        <v>1943</v>
      </c>
    </row>
    <row r="31" spans="1:4" ht="49.5">
      <c r="A31" s="1" t="s">
        <v>1944</v>
      </c>
      <c r="B31" s="1" t="s">
        <v>406</v>
      </c>
      <c r="C31" s="1" t="s">
        <v>1945</v>
      </c>
      <c r="D31" s="1" t="s">
        <v>1946</v>
      </c>
    </row>
    <row r="32" spans="1:4" ht="49.5">
      <c r="A32" s="1" t="s">
        <v>1947</v>
      </c>
      <c r="B32" s="1" t="s">
        <v>1549</v>
      </c>
      <c r="C32" s="1" t="s">
        <v>1948</v>
      </c>
      <c r="D32" s="1" t="s">
        <v>1949</v>
      </c>
    </row>
    <row r="33" spans="1:4" ht="49.5">
      <c r="A33" s="1" t="s">
        <v>1950</v>
      </c>
      <c r="B33" s="1" t="s">
        <v>956</v>
      </c>
      <c r="C33" s="1" t="s">
        <v>1951</v>
      </c>
      <c r="D33" s="1" t="s">
        <v>1893</v>
      </c>
    </row>
    <row r="34" spans="1:4" ht="49.5">
      <c r="A34" s="1" t="s">
        <v>1952</v>
      </c>
      <c r="B34" s="1" t="s">
        <v>348</v>
      </c>
      <c r="C34" s="1" t="s">
        <v>1953</v>
      </c>
      <c r="D34" s="1" t="s">
        <v>1954</v>
      </c>
    </row>
  </sheetData>
  <phoneticPr fontId="1" type="noConversion"/>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EAB5F-B277-45F9-998B-E9839E7E5F27}">
  <sheetPr>
    <tabColor theme="5"/>
  </sheetPr>
  <dimension ref="A1:D22"/>
  <sheetViews>
    <sheetView zoomScale="85" zoomScaleNormal="85" workbookViewId="0">
      <selection activeCell="B7" sqref="B7"/>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666</v>
      </c>
      <c r="D2" s="36" t="s">
        <v>666</v>
      </c>
    </row>
    <row r="3" spans="1:4">
      <c r="A3" s="7" t="s">
        <v>3</v>
      </c>
      <c r="B3" s="11" t="s">
        <v>216</v>
      </c>
      <c r="C3" s="11" t="s">
        <v>188</v>
      </c>
      <c r="D3" s="36" t="s">
        <v>188</v>
      </c>
    </row>
    <row r="4" spans="1:4">
      <c r="A4" s="7" t="s">
        <v>2</v>
      </c>
      <c r="B4" s="11" t="s">
        <v>217</v>
      </c>
      <c r="C4" s="11" t="s">
        <v>112</v>
      </c>
      <c r="D4" s="36" t="s">
        <v>112</v>
      </c>
    </row>
    <row r="5" spans="1:4" ht="49.5">
      <c r="A5" s="7" t="s">
        <v>241</v>
      </c>
      <c r="B5" s="13" t="s">
        <v>243</v>
      </c>
      <c r="C5" s="1" t="s">
        <v>665</v>
      </c>
      <c r="D5" s="30" t="s">
        <v>1959</v>
      </c>
    </row>
    <row r="6" spans="1:4" ht="49.5">
      <c r="A6" s="7" t="s">
        <v>242</v>
      </c>
      <c r="B6" s="13" t="s">
        <v>244</v>
      </c>
      <c r="C6" s="1" t="s">
        <v>664</v>
      </c>
      <c r="D6" s="30" t="s">
        <v>1960</v>
      </c>
    </row>
    <row r="7" spans="1:4" ht="33">
      <c r="A7" s="7" t="s">
        <v>196</v>
      </c>
      <c r="B7" s="12" t="s">
        <v>218</v>
      </c>
      <c r="C7" s="1" t="s">
        <v>663</v>
      </c>
      <c r="D7" s="6"/>
    </row>
    <row r="8" spans="1:4">
      <c r="A8" s="7" t="s">
        <v>197</v>
      </c>
      <c r="B8" s="13" t="s">
        <v>232</v>
      </c>
      <c r="C8" s="1" t="s">
        <v>647</v>
      </c>
      <c r="D8" s="6"/>
    </row>
    <row r="9" spans="1:4" ht="33">
      <c r="A9" s="7" t="s">
        <v>198</v>
      </c>
      <c r="B9" s="13" t="s">
        <v>230</v>
      </c>
      <c r="C9" s="20" t="s">
        <v>252</v>
      </c>
      <c r="D9" s="6"/>
    </row>
    <row r="10" spans="1:4" ht="33">
      <c r="A10" s="7" t="s">
        <v>199</v>
      </c>
      <c r="B10" s="11" t="s">
        <v>228</v>
      </c>
      <c r="C10" s="1" t="s">
        <v>210</v>
      </c>
      <c r="D10" s="37" t="s">
        <v>288</v>
      </c>
    </row>
    <row r="11" spans="1:4" ht="33">
      <c r="A11" s="7" t="s">
        <v>200</v>
      </c>
      <c r="B11" s="11" t="s">
        <v>239</v>
      </c>
      <c r="C11" s="17" t="s">
        <v>1957</v>
      </c>
      <c r="D11" s="39" t="s">
        <v>1958</v>
      </c>
    </row>
    <row r="12" spans="1:4">
      <c r="A12" s="7" t="s">
        <v>180</v>
      </c>
      <c r="B12" s="11" t="s">
        <v>219</v>
      </c>
      <c r="C12" s="1">
        <v>3909500000</v>
      </c>
      <c r="D12" s="30">
        <v>3909500000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662</v>
      </c>
      <c r="D15" s="6"/>
    </row>
    <row r="16" spans="1:4" ht="33">
      <c r="A16" s="7" t="s">
        <v>204</v>
      </c>
      <c r="B16" s="11" t="s">
        <v>233</v>
      </c>
      <c r="C16" s="20" t="s">
        <v>222</v>
      </c>
      <c r="D16" s="6"/>
    </row>
    <row r="17" spans="1:4" ht="33">
      <c r="A17" s="7" t="s">
        <v>205</v>
      </c>
      <c r="B17" s="11" t="s">
        <v>231</v>
      </c>
      <c r="C17" s="1" t="s">
        <v>252</v>
      </c>
      <c r="D17" s="6"/>
    </row>
    <row r="18" spans="1:4" ht="33">
      <c r="A18" s="7" t="s">
        <v>206</v>
      </c>
      <c r="B18" s="11" t="s">
        <v>234</v>
      </c>
      <c r="C18" s="20" t="s">
        <v>252</v>
      </c>
      <c r="D18" s="6"/>
    </row>
    <row r="19" spans="1:4" ht="33">
      <c r="A19" s="7" t="s">
        <v>207</v>
      </c>
      <c r="B19" s="11" t="s">
        <v>236</v>
      </c>
      <c r="C19" s="1" t="s">
        <v>212</v>
      </c>
      <c r="D19" s="6"/>
    </row>
    <row r="20" spans="1:4" ht="66">
      <c r="A20" s="8" t="s">
        <v>0</v>
      </c>
      <c r="B20" s="11" t="s">
        <v>223</v>
      </c>
      <c r="C20" s="1" t="s">
        <v>661</v>
      </c>
      <c r="D20" s="6"/>
    </row>
    <row r="21" spans="1:4" ht="49.5">
      <c r="A21" s="7" t="s">
        <v>224</v>
      </c>
      <c r="B21" s="11"/>
      <c r="C21" s="14" t="s">
        <v>660</v>
      </c>
      <c r="D21" s="6"/>
    </row>
    <row r="22" spans="1:4" ht="66">
      <c r="A22" s="9" t="s">
        <v>225</v>
      </c>
      <c r="B22" s="11"/>
      <c r="C22" s="1" t="s">
        <v>659</v>
      </c>
      <c r="D22" s="10"/>
    </row>
  </sheetData>
  <phoneticPr fontId="1" type="noConversion"/>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1D1F-B8B3-4AC9-9DBE-D2B169B7B8EB}">
  <sheetPr>
    <tabColor theme="5"/>
  </sheetPr>
  <dimension ref="A1:D36"/>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53</v>
      </c>
      <c r="D2" s="36" t="s">
        <v>668</v>
      </c>
    </row>
    <row r="3" spans="1:4">
      <c r="A3" s="7" t="s">
        <v>3</v>
      </c>
      <c r="B3" s="11" t="s">
        <v>216</v>
      </c>
      <c r="C3" s="1" t="s">
        <v>6</v>
      </c>
      <c r="D3" s="36" t="s">
        <v>188</v>
      </c>
    </row>
    <row r="4" spans="1:4">
      <c r="A4" s="7" t="s">
        <v>2</v>
      </c>
      <c r="B4" s="11" t="s">
        <v>217</v>
      </c>
      <c r="C4" s="1" t="s">
        <v>1963</v>
      </c>
      <c r="D4" s="36" t="s">
        <v>667</v>
      </c>
    </row>
    <row r="5" spans="1:4" ht="49.5">
      <c r="A5" s="7" t="s">
        <v>241</v>
      </c>
      <c r="B5" s="13" t="s">
        <v>243</v>
      </c>
      <c r="C5" s="1" t="s">
        <v>1964</v>
      </c>
      <c r="D5" s="30" t="s">
        <v>2006</v>
      </c>
    </row>
    <row r="6" spans="1:4" ht="66">
      <c r="A6" s="7" t="s">
        <v>242</v>
      </c>
      <c r="B6" s="13" t="s">
        <v>244</v>
      </c>
      <c r="C6" s="1" t="s">
        <v>1965</v>
      </c>
      <c r="D6" s="30" t="s">
        <v>2010</v>
      </c>
    </row>
    <row r="7" spans="1:4" ht="33">
      <c r="A7" s="7" t="s">
        <v>196</v>
      </c>
      <c r="B7" s="12" t="s">
        <v>218</v>
      </c>
      <c r="C7" s="1" t="s">
        <v>1966</v>
      </c>
      <c r="D7" s="6"/>
    </row>
    <row r="8" spans="1:4" ht="99">
      <c r="A8" s="7" t="s">
        <v>197</v>
      </c>
      <c r="B8" s="13" t="s">
        <v>232</v>
      </c>
      <c r="C8" s="1" t="s">
        <v>1967</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1" t="s">
        <v>1962</v>
      </c>
      <c r="D11" s="30" t="s">
        <v>1962</v>
      </c>
    </row>
    <row r="12" spans="1:4">
      <c r="A12" s="7" t="s">
        <v>180</v>
      </c>
      <c r="B12" s="11" t="s">
        <v>219</v>
      </c>
      <c r="C12" s="1">
        <v>2916111000</v>
      </c>
      <c r="D12" s="30">
        <v>2916111000</v>
      </c>
    </row>
    <row r="13" spans="1:4" ht="33">
      <c r="A13" s="7" t="s">
        <v>201</v>
      </c>
      <c r="B13" s="11" t="s">
        <v>229</v>
      </c>
      <c r="C13" s="1" t="s">
        <v>1961</v>
      </c>
      <c r="D13" s="30" t="s">
        <v>1961</v>
      </c>
    </row>
    <row r="14" spans="1:4" ht="33">
      <c r="A14" s="7" t="s">
        <v>202</v>
      </c>
      <c r="B14" s="11" t="s">
        <v>235</v>
      </c>
      <c r="C14" s="1" t="s">
        <v>210</v>
      </c>
      <c r="D14" s="6"/>
    </row>
    <row r="15" spans="1:4">
      <c r="A15" s="7" t="s">
        <v>203</v>
      </c>
      <c r="B15" s="11" t="s">
        <v>220</v>
      </c>
      <c r="C15" t="s">
        <v>1969</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2007</v>
      </c>
      <c r="D20" s="6"/>
    </row>
    <row r="21" spans="1:4">
      <c r="A21" s="7" t="s">
        <v>224</v>
      </c>
      <c r="B21" s="11"/>
      <c r="C21" s="1" t="s">
        <v>1970</v>
      </c>
      <c r="D21" s="6"/>
    </row>
    <row r="22" spans="1:4">
      <c r="A22" s="9" t="s">
        <v>225</v>
      </c>
      <c r="B22" s="11"/>
      <c r="C22" s="1" t="s">
        <v>211</v>
      </c>
      <c r="D22" s="10"/>
    </row>
    <row r="24" spans="1:4">
      <c r="A24" s="16" t="s">
        <v>327</v>
      </c>
      <c r="B24" s="16" t="s">
        <v>984</v>
      </c>
      <c r="C24" s="16" t="s">
        <v>328</v>
      </c>
      <c r="D24" s="16" t="s">
        <v>329</v>
      </c>
    </row>
    <row r="25" spans="1:4" ht="49.5">
      <c r="A25" s="1" t="s">
        <v>1971</v>
      </c>
      <c r="B25" s="1" t="s">
        <v>340</v>
      </c>
      <c r="C25" s="1" t="s">
        <v>1972</v>
      </c>
      <c r="D25" s="1" t="s">
        <v>1973</v>
      </c>
    </row>
    <row r="26" spans="1:4" ht="49.5">
      <c r="A26" s="1" t="s">
        <v>1974</v>
      </c>
      <c r="B26" s="1" t="s">
        <v>348</v>
      </c>
      <c r="C26" s="1" t="s">
        <v>1975</v>
      </c>
      <c r="D26" s="1" t="s">
        <v>1976</v>
      </c>
    </row>
    <row r="27" spans="1:4" ht="49.5">
      <c r="A27" s="1" t="s">
        <v>1977</v>
      </c>
      <c r="B27" s="1" t="s">
        <v>336</v>
      </c>
      <c r="C27" s="1" t="s">
        <v>1978</v>
      </c>
      <c r="D27" s="1" t="s">
        <v>1979</v>
      </c>
    </row>
    <row r="28" spans="1:4" ht="49.5">
      <c r="A28" s="1" t="s">
        <v>1980</v>
      </c>
      <c r="B28" s="1" t="s">
        <v>406</v>
      </c>
      <c r="C28" s="1" t="s">
        <v>1981</v>
      </c>
      <c r="D28" s="1" t="s">
        <v>1982</v>
      </c>
    </row>
    <row r="29" spans="1:4" ht="49.5">
      <c r="A29" s="1" t="s">
        <v>1983</v>
      </c>
      <c r="B29" s="1" t="s">
        <v>1984</v>
      </c>
      <c r="C29" s="1" t="s">
        <v>1985</v>
      </c>
      <c r="D29" s="1" t="s">
        <v>1986</v>
      </c>
    </row>
    <row r="30" spans="1:4" ht="33">
      <c r="A30" s="1" t="s">
        <v>1987</v>
      </c>
      <c r="B30" s="1" t="s">
        <v>336</v>
      </c>
      <c r="C30" s="1" t="s">
        <v>1988</v>
      </c>
      <c r="D30" s="1" t="s">
        <v>1989</v>
      </c>
    </row>
    <row r="31" spans="1:4" ht="33">
      <c r="A31" s="1" t="s">
        <v>1990</v>
      </c>
      <c r="B31" s="1" t="s">
        <v>348</v>
      </c>
      <c r="C31" s="1" t="s">
        <v>1991</v>
      </c>
      <c r="D31" s="1" t="s">
        <v>1992</v>
      </c>
    </row>
    <row r="32" spans="1:4" ht="49.5">
      <c r="A32" s="1" t="s">
        <v>1993</v>
      </c>
      <c r="B32" s="1" t="s">
        <v>406</v>
      </c>
      <c r="C32" s="1" t="s">
        <v>1994</v>
      </c>
      <c r="D32" s="1" t="s">
        <v>1995</v>
      </c>
    </row>
    <row r="33" spans="1:4" ht="49.5">
      <c r="A33" s="1" t="s">
        <v>1996</v>
      </c>
      <c r="B33" s="1" t="s">
        <v>348</v>
      </c>
      <c r="C33" s="1" t="s">
        <v>1997</v>
      </c>
      <c r="D33" s="1" t="s">
        <v>1998</v>
      </c>
    </row>
    <row r="34" spans="1:4" ht="33">
      <c r="A34" s="1" t="s">
        <v>1999</v>
      </c>
      <c r="B34" s="1" t="s">
        <v>348</v>
      </c>
      <c r="C34" s="1" t="s">
        <v>2000</v>
      </c>
      <c r="D34" s="1" t="s">
        <v>1940</v>
      </c>
    </row>
    <row r="35" spans="1:4" ht="33">
      <c r="A35" s="1" t="s">
        <v>2001</v>
      </c>
      <c r="B35" s="1" t="s">
        <v>956</v>
      </c>
      <c r="C35" s="1" t="s">
        <v>2002</v>
      </c>
      <c r="D35" s="1" t="s">
        <v>2003</v>
      </c>
    </row>
    <row r="36" spans="1:4" ht="33">
      <c r="A36" s="1" t="s">
        <v>2004</v>
      </c>
      <c r="B36" s="1" t="s">
        <v>960</v>
      </c>
      <c r="C36" s="1" t="s">
        <v>2005</v>
      </c>
      <c r="D36" s="1" t="s">
        <v>1677</v>
      </c>
    </row>
  </sheetData>
  <phoneticPr fontId="1" type="noConversion"/>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DE76-F648-48ED-8F95-C37D8D184173}">
  <sheetPr>
    <tabColor theme="5"/>
  </sheetPr>
  <dimension ref="A1:D36"/>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669</v>
      </c>
      <c r="D2" s="36" t="s">
        <v>669</v>
      </c>
    </row>
    <row r="3" spans="1:4">
      <c r="A3" s="7" t="s">
        <v>3</v>
      </c>
      <c r="B3" s="11" t="s">
        <v>216</v>
      </c>
      <c r="C3" s="11" t="s">
        <v>188</v>
      </c>
      <c r="D3" s="36" t="s">
        <v>188</v>
      </c>
    </row>
    <row r="4" spans="1:4">
      <c r="A4" s="7" t="s">
        <v>2</v>
      </c>
      <c r="B4" s="11" t="s">
        <v>217</v>
      </c>
      <c r="C4" s="11" t="s">
        <v>2009</v>
      </c>
      <c r="D4" s="36" t="s">
        <v>2009</v>
      </c>
    </row>
    <row r="5" spans="1:4" ht="49.5">
      <c r="A5" s="7" t="s">
        <v>241</v>
      </c>
      <c r="B5" s="13" t="s">
        <v>243</v>
      </c>
      <c r="C5" s="1" t="s">
        <v>2011</v>
      </c>
      <c r="D5" s="30" t="s">
        <v>2016</v>
      </c>
    </row>
    <row r="6" spans="1:4" ht="66">
      <c r="A6" s="7" t="s">
        <v>242</v>
      </c>
      <c r="B6" s="13" t="s">
        <v>244</v>
      </c>
      <c r="C6" s="1" t="s">
        <v>2012</v>
      </c>
      <c r="D6" s="30" t="s">
        <v>2017</v>
      </c>
    </row>
    <row r="7" spans="1:4" ht="33">
      <c r="A7" s="7" t="s">
        <v>196</v>
      </c>
      <c r="B7" s="12" t="s">
        <v>218</v>
      </c>
      <c r="C7" s="1" t="s">
        <v>2013</v>
      </c>
      <c r="D7" s="6"/>
    </row>
    <row r="8" spans="1:4" ht="82.5">
      <c r="A8" s="7" t="s">
        <v>197</v>
      </c>
      <c r="B8" s="13" t="s">
        <v>232</v>
      </c>
      <c r="C8" s="1" t="s">
        <v>2014</v>
      </c>
      <c r="D8" s="6"/>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2008</v>
      </c>
      <c r="D11" s="30" t="s">
        <v>2008</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1969</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33">
      <c r="A20" s="8" t="s">
        <v>0</v>
      </c>
      <c r="B20" s="11" t="s">
        <v>223</v>
      </c>
      <c r="C20" s="1" t="s">
        <v>2015</v>
      </c>
      <c r="D20" s="6"/>
    </row>
    <row r="21" spans="1:4">
      <c r="A21" s="7" t="s">
        <v>224</v>
      </c>
      <c r="B21" s="11"/>
      <c r="C21" s="1" t="s">
        <v>1970</v>
      </c>
      <c r="D21" s="6"/>
    </row>
    <row r="22" spans="1:4">
      <c r="A22" s="9" t="s">
        <v>225</v>
      </c>
      <c r="B22" s="11"/>
      <c r="C22" s="1" t="s">
        <v>211</v>
      </c>
      <c r="D22" s="10"/>
    </row>
    <row r="24" spans="1:4">
      <c r="A24" s="16" t="s">
        <v>327</v>
      </c>
      <c r="B24" s="16" t="s">
        <v>984</v>
      </c>
      <c r="C24" s="16" t="s">
        <v>328</v>
      </c>
      <c r="D24" s="16" t="s">
        <v>329</v>
      </c>
    </row>
    <row r="25" spans="1:4" ht="49.5">
      <c r="A25" s="1" t="s">
        <v>2018</v>
      </c>
      <c r="B25" s="1" t="s">
        <v>336</v>
      </c>
      <c r="C25" s="1" t="s">
        <v>2019</v>
      </c>
      <c r="D25" s="1" t="s">
        <v>2020</v>
      </c>
    </row>
    <row r="26" spans="1:4" ht="49.5">
      <c r="A26" s="1" t="s">
        <v>2021</v>
      </c>
      <c r="B26" s="1" t="s">
        <v>348</v>
      </c>
      <c r="C26" s="1" t="s">
        <v>2022</v>
      </c>
      <c r="D26" s="1" t="s">
        <v>2023</v>
      </c>
    </row>
    <row r="27" spans="1:4" ht="33">
      <c r="A27" s="1" t="s">
        <v>2024</v>
      </c>
      <c r="B27" s="1" t="s">
        <v>348</v>
      </c>
      <c r="C27" s="1" t="s">
        <v>2025</v>
      </c>
      <c r="D27" s="1" t="s">
        <v>2026</v>
      </c>
    </row>
    <row r="28" spans="1:4" ht="49.5">
      <c r="A28" s="1" t="s">
        <v>1980</v>
      </c>
      <c r="B28" s="1" t="s">
        <v>406</v>
      </c>
      <c r="C28" s="1" t="s">
        <v>2027</v>
      </c>
      <c r="D28" s="1" t="s">
        <v>1931</v>
      </c>
    </row>
    <row r="29" spans="1:4" ht="49.5">
      <c r="A29" s="1" t="s">
        <v>2028</v>
      </c>
      <c r="B29" s="1" t="s">
        <v>340</v>
      </c>
      <c r="C29" s="1" t="s">
        <v>2029</v>
      </c>
      <c r="D29" s="1" t="s">
        <v>2030</v>
      </c>
    </row>
    <row r="30" spans="1:4" ht="33">
      <c r="A30" s="1" t="s">
        <v>2031</v>
      </c>
      <c r="B30" s="1" t="s">
        <v>960</v>
      </c>
      <c r="C30" s="1" t="s">
        <v>2032</v>
      </c>
      <c r="D30" s="1" t="s">
        <v>1677</v>
      </c>
    </row>
    <row r="31" spans="1:4" ht="49.5">
      <c r="A31" s="1" t="s">
        <v>2033</v>
      </c>
      <c r="B31" s="1" t="s">
        <v>348</v>
      </c>
      <c r="C31" s="1" t="s">
        <v>2034</v>
      </c>
      <c r="D31" s="1" t="s">
        <v>2035</v>
      </c>
    </row>
    <row r="32" spans="1:4" ht="33">
      <c r="A32" s="1" t="s">
        <v>2036</v>
      </c>
      <c r="B32" s="1" t="s">
        <v>336</v>
      </c>
      <c r="C32" s="1" t="s">
        <v>2037</v>
      </c>
      <c r="D32" s="1" t="s">
        <v>2038</v>
      </c>
    </row>
    <row r="33" spans="1:4" ht="49.5">
      <c r="A33" s="1" t="s">
        <v>2039</v>
      </c>
      <c r="B33" s="1" t="s">
        <v>406</v>
      </c>
      <c r="C33" s="1" t="s">
        <v>2040</v>
      </c>
      <c r="D33" s="1" t="s">
        <v>2041</v>
      </c>
    </row>
    <row r="34" spans="1:4" ht="33">
      <c r="A34" s="1" t="s">
        <v>1999</v>
      </c>
      <c r="B34" s="1" t="s">
        <v>348</v>
      </c>
      <c r="C34" s="1" t="s">
        <v>2042</v>
      </c>
      <c r="D34" s="1" t="s">
        <v>2043</v>
      </c>
    </row>
    <row r="35" spans="1:4" ht="33">
      <c r="A35" s="1" t="s">
        <v>2044</v>
      </c>
      <c r="B35" s="1" t="s">
        <v>348</v>
      </c>
      <c r="C35" s="1" t="s">
        <v>2045</v>
      </c>
      <c r="D35" s="1" t="s">
        <v>2046</v>
      </c>
    </row>
    <row r="36" spans="1:4" ht="33">
      <c r="A36" s="1" t="s">
        <v>2047</v>
      </c>
      <c r="B36" s="1" t="s">
        <v>340</v>
      </c>
      <c r="C36" s="1" t="s">
        <v>2048</v>
      </c>
      <c r="D36" s="1" t="s">
        <v>2049</v>
      </c>
    </row>
  </sheetData>
  <phoneticPr fontId="1" type="noConversion"/>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9B797-71C6-4726-B9F9-AF2C5926A777}">
  <sheetPr>
    <tabColor theme="5"/>
  </sheetPr>
  <dimension ref="A1:D46"/>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672</v>
      </c>
      <c r="D2" s="36" t="s">
        <v>672</v>
      </c>
    </row>
    <row r="3" spans="1:4">
      <c r="A3" s="7" t="s">
        <v>3</v>
      </c>
      <c r="B3" s="11" t="s">
        <v>216</v>
      </c>
      <c r="C3" s="11" t="s">
        <v>188</v>
      </c>
      <c r="D3" s="36" t="s">
        <v>188</v>
      </c>
    </row>
    <row r="4" spans="1:4">
      <c r="A4" s="7" t="s">
        <v>2</v>
      </c>
      <c r="B4" s="11" t="s">
        <v>217</v>
      </c>
      <c r="C4" s="11" t="s">
        <v>79</v>
      </c>
      <c r="D4" s="36" t="s">
        <v>79</v>
      </c>
    </row>
    <row r="5" spans="1:4" ht="82.5">
      <c r="A5" s="7" t="s">
        <v>241</v>
      </c>
      <c r="B5" s="13" t="s">
        <v>243</v>
      </c>
      <c r="C5" s="1" t="s">
        <v>2051</v>
      </c>
      <c r="D5" s="30" t="s">
        <v>2064</v>
      </c>
    </row>
    <row r="6" spans="1:4" ht="82.5">
      <c r="A6" s="7" t="s">
        <v>242</v>
      </c>
      <c r="B6" s="13" t="s">
        <v>244</v>
      </c>
      <c r="C6" s="1" t="s">
        <v>2052</v>
      </c>
      <c r="D6" s="30" t="s">
        <v>2065</v>
      </c>
    </row>
    <row r="7" spans="1:4" ht="33">
      <c r="A7" s="7" t="s">
        <v>196</v>
      </c>
      <c r="B7" s="12" t="s">
        <v>218</v>
      </c>
      <c r="C7" s="1" t="s">
        <v>2053</v>
      </c>
      <c r="D7" s="6"/>
    </row>
    <row r="8" spans="1:4" ht="82.5">
      <c r="A8" s="7" t="s">
        <v>197</v>
      </c>
      <c r="B8" s="13" t="s">
        <v>232</v>
      </c>
      <c r="C8" s="1" t="s">
        <v>2054</v>
      </c>
      <c r="D8" s="6"/>
    </row>
    <row r="9" spans="1:4" ht="33">
      <c r="A9" s="7" t="s">
        <v>198</v>
      </c>
      <c r="B9" s="13" t="s">
        <v>230</v>
      </c>
      <c r="C9" s="20" t="s">
        <v>252</v>
      </c>
      <c r="D9" s="6"/>
    </row>
    <row r="10" spans="1:4" ht="33">
      <c r="A10" s="7" t="s">
        <v>199</v>
      </c>
      <c r="B10" s="11" t="s">
        <v>228</v>
      </c>
      <c r="C10" s="1" t="s">
        <v>210</v>
      </c>
      <c r="D10" s="30" t="s">
        <v>210</v>
      </c>
    </row>
    <row r="11" spans="1:4">
      <c r="A11" s="7" t="s">
        <v>200</v>
      </c>
      <c r="B11" s="11" t="s">
        <v>239</v>
      </c>
      <c r="C11" s="1" t="s">
        <v>2062</v>
      </c>
      <c r="D11" s="30" t="s">
        <v>2062</v>
      </c>
    </row>
    <row r="12" spans="1:4">
      <c r="A12" s="7" t="s">
        <v>180</v>
      </c>
      <c r="B12" s="11" t="s">
        <v>219</v>
      </c>
      <c r="C12" s="1" t="s">
        <v>270</v>
      </c>
      <c r="D12" s="30" t="s">
        <v>270</v>
      </c>
    </row>
    <row r="13" spans="1:4" ht="33">
      <c r="A13" s="7" t="s">
        <v>201</v>
      </c>
      <c r="B13" s="11" t="s">
        <v>229</v>
      </c>
      <c r="C13" s="1" t="s">
        <v>270</v>
      </c>
      <c r="D13" s="30" t="s">
        <v>270</v>
      </c>
    </row>
    <row r="14" spans="1:4" ht="33">
      <c r="A14" s="7" t="s">
        <v>202</v>
      </c>
      <c r="B14" s="11" t="s">
        <v>235</v>
      </c>
      <c r="C14" s="1" t="s">
        <v>210</v>
      </c>
      <c r="D14" s="6"/>
    </row>
    <row r="15" spans="1:4">
      <c r="A15" s="7" t="s">
        <v>203</v>
      </c>
      <c r="B15" s="11" t="s">
        <v>220</v>
      </c>
      <c r="C15" s="1" t="s">
        <v>2063</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222</v>
      </c>
      <c r="D18" s="6"/>
    </row>
    <row r="19" spans="1:4" ht="33">
      <c r="A19" s="7" t="s">
        <v>207</v>
      </c>
      <c r="B19" s="11" t="s">
        <v>236</v>
      </c>
      <c r="C19" s="1" t="s">
        <v>212</v>
      </c>
      <c r="D19" s="6"/>
    </row>
    <row r="20" spans="1:4" ht="66">
      <c r="A20" s="8" t="s">
        <v>0</v>
      </c>
      <c r="B20" s="11" t="s">
        <v>223</v>
      </c>
      <c r="C20" s="1" t="s">
        <v>2059</v>
      </c>
      <c r="D20" s="6"/>
    </row>
    <row r="21" spans="1:4" ht="33">
      <c r="A21" s="7" t="s">
        <v>224</v>
      </c>
      <c r="B21" s="11"/>
      <c r="C21" s="14" t="s">
        <v>671</v>
      </c>
      <c r="D21" s="6"/>
    </row>
    <row r="22" spans="1:4" ht="33">
      <c r="A22" s="9" t="s">
        <v>225</v>
      </c>
      <c r="B22" s="11"/>
      <c r="C22" s="1" t="s">
        <v>670</v>
      </c>
      <c r="D22" s="10"/>
    </row>
    <row r="25" spans="1:4">
      <c r="A25" s="16" t="s">
        <v>1255</v>
      </c>
      <c r="B25" s="16" t="s">
        <v>1256</v>
      </c>
      <c r="C25" s="16" t="s">
        <v>1257</v>
      </c>
    </row>
    <row r="26" spans="1:4">
      <c r="A26" s="1" t="s">
        <v>1258</v>
      </c>
      <c r="B26" s="1" t="s">
        <v>1259</v>
      </c>
      <c r="C26" s="1" t="s">
        <v>55</v>
      </c>
    </row>
    <row r="27" spans="1:4">
      <c r="A27" s="1" t="s">
        <v>1261</v>
      </c>
      <c r="B27" s="1" t="s">
        <v>1262</v>
      </c>
      <c r="C27" s="1" t="s">
        <v>6</v>
      </c>
    </row>
    <row r="28" spans="1:4">
      <c r="A28" s="1" t="s">
        <v>1263</v>
      </c>
      <c r="B28" s="1" t="s">
        <v>1264</v>
      </c>
      <c r="C28" s="1" t="s">
        <v>2050</v>
      </c>
    </row>
    <row r="29" spans="1:4" ht="82.5">
      <c r="A29" s="1" t="s">
        <v>1266</v>
      </c>
      <c r="B29" s="1" t="s">
        <v>1267</v>
      </c>
      <c r="C29" s="1" t="s">
        <v>2051</v>
      </c>
    </row>
    <row r="30" spans="1:4" ht="82.5">
      <c r="A30" s="1" t="s">
        <v>1269</v>
      </c>
      <c r="B30" s="1" t="s">
        <v>1270</v>
      </c>
      <c r="C30" s="1" t="s">
        <v>2052</v>
      </c>
    </row>
    <row r="31" spans="1:4" ht="33">
      <c r="A31" s="1" t="s">
        <v>1272</v>
      </c>
      <c r="B31" s="1" t="s">
        <v>1273</v>
      </c>
      <c r="C31" s="1" t="s">
        <v>2053</v>
      </c>
    </row>
    <row r="32" spans="1:4" ht="82.5">
      <c r="A32" s="1" t="s">
        <v>1275</v>
      </c>
      <c r="B32" s="1" t="s">
        <v>298</v>
      </c>
      <c r="C32" s="1" t="s">
        <v>2054</v>
      </c>
    </row>
    <row r="33" spans="1:3">
      <c r="A33" s="1" t="s">
        <v>1277</v>
      </c>
      <c r="B33" s="1" t="s">
        <v>1278</v>
      </c>
      <c r="C33" s="1" t="s">
        <v>2055</v>
      </c>
    </row>
    <row r="34" spans="1:3">
      <c r="A34" s="1" t="s">
        <v>1279</v>
      </c>
      <c r="B34" s="1" t="s">
        <v>1280</v>
      </c>
      <c r="C34" s="1" t="s">
        <v>210</v>
      </c>
    </row>
    <row r="35" spans="1:3">
      <c r="A35" s="1" t="s">
        <v>1281</v>
      </c>
      <c r="B35" s="1" t="s">
        <v>1282</v>
      </c>
      <c r="C35" s="1" t="s">
        <v>1968</v>
      </c>
    </row>
    <row r="36" spans="1:3">
      <c r="A36" s="1" t="s">
        <v>1283</v>
      </c>
      <c r="B36" s="1" t="s">
        <v>1284</v>
      </c>
      <c r="C36" s="1" t="s">
        <v>211</v>
      </c>
    </row>
    <row r="37" spans="1:3">
      <c r="A37" s="1" t="s">
        <v>1285</v>
      </c>
      <c r="B37" s="1" t="s">
        <v>1286</v>
      </c>
      <c r="C37" s="1" t="s">
        <v>2056</v>
      </c>
    </row>
    <row r="38" spans="1:3">
      <c r="A38" s="1" t="s">
        <v>1287</v>
      </c>
      <c r="B38" s="1" t="s">
        <v>1288</v>
      </c>
      <c r="C38" s="1" t="s">
        <v>210</v>
      </c>
    </row>
    <row r="39" spans="1:3">
      <c r="A39" s="1" t="s">
        <v>1289</v>
      </c>
      <c r="B39" s="1" t="s">
        <v>1290</v>
      </c>
      <c r="C39" s="1" t="s">
        <v>2057</v>
      </c>
    </row>
    <row r="40" spans="1:3">
      <c r="A40" s="1" t="s">
        <v>1292</v>
      </c>
      <c r="B40" s="1" t="s">
        <v>1293</v>
      </c>
      <c r="C40" s="1" t="s">
        <v>221</v>
      </c>
    </row>
    <row r="41" spans="1:3">
      <c r="A41" s="1" t="s">
        <v>1294</v>
      </c>
      <c r="B41" s="1" t="s">
        <v>1295</v>
      </c>
      <c r="C41" s="1" t="s">
        <v>2058</v>
      </c>
    </row>
    <row r="42" spans="1:3">
      <c r="A42" s="1" t="s">
        <v>1296</v>
      </c>
      <c r="B42" s="1" t="s">
        <v>1297</v>
      </c>
      <c r="C42" s="1" t="s">
        <v>221</v>
      </c>
    </row>
    <row r="43" spans="1:3">
      <c r="A43" s="1" t="s">
        <v>1298</v>
      </c>
      <c r="B43" s="1" t="s">
        <v>1299</v>
      </c>
      <c r="C43" s="1" t="s">
        <v>212</v>
      </c>
    </row>
    <row r="44" spans="1:3" ht="66">
      <c r="A44" s="1" t="s">
        <v>1300</v>
      </c>
      <c r="B44" s="1" t="s">
        <v>1301</v>
      </c>
      <c r="C44" s="1" t="s">
        <v>2059</v>
      </c>
    </row>
    <row r="45" spans="1:3">
      <c r="A45" s="1" t="s">
        <v>1303</v>
      </c>
      <c r="B45" s="1" t="s">
        <v>1304</v>
      </c>
      <c r="C45" s="1" t="s">
        <v>2060</v>
      </c>
    </row>
    <row r="46" spans="1:3">
      <c r="A46" s="1" t="s">
        <v>1306</v>
      </c>
      <c r="B46" s="1" t="s">
        <v>1307</v>
      </c>
      <c r="C46" s="1" t="s">
        <v>2061</v>
      </c>
    </row>
  </sheetData>
  <phoneticPr fontId="1" type="noConversion"/>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AC477-E3A7-47F8-BFAF-E983C3D872AA}">
  <sheetPr>
    <tabColor theme="5"/>
  </sheetPr>
  <dimension ref="A1:D34"/>
  <sheetViews>
    <sheetView zoomScale="85" zoomScaleNormal="85" workbookViewId="0">
      <selection activeCell="D14" sqref="D14"/>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56</v>
      </c>
      <c r="D2" s="30" t="s">
        <v>56</v>
      </c>
    </row>
    <row r="3" spans="1:4">
      <c r="A3" s="7" t="s">
        <v>3</v>
      </c>
      <c r="B3" s="11" t="s">
        <v>216</v>
      </c>
      <c r="C3" s="1" t="s">
        <v>6</v>
      </c>
      <c r="D3" s="30" t="s">
        <v>6</v>
      </c>
    </row>
    <row r="4" spans="1:4">
      <c r="A4" s="7" t="s">
        <v>2</v>
      </c>
      <c r="B4" s="11" t="s">
        <v>217</v>
      </c>
      <c r="C4" s="1" t="s">
        <v>2068</v>
      </c>
      <c r="D4" s="30" t="s">
        <v>2068</v>
      </c>
    </row>
    <row r="5" spans="1:4" ht="66">
      <c r="A5" s="7" t="s">
        <v>241</v>
      </c>
      <c r="B5" s="13" t="s">
        <v>243</v>
      </c>
      <c r="C5" s="1" t="s">
        <v>2069</v>
      </c>
      <c r="D5" s="30" t="s">
        <v>2074</v>
      </c>
    </row>
    <row r="6" spans="1:4" ht="66">
      <c r="A6" s="7" t="s">
        <v>242</v>
      </c>
      <c r="B6" s="13" t="s">
        <v>244</v>
      </c>
      <c r="C6" s="1" t="s">
        <v>2070</v>
      </c>
      <c r="D6" s="30" t="s">
        <v>2075</v>
      </c>
    </row>
    <row r="7" spans="1:4" ht="33">
      <c r="A7" s="7" t="s">
        <v>196</v>
      </c>
      <c r="B7" s="12" t="s">
        <v>218</v>
      </c>
      <c r="C7" s="1" t="s">
        <v>2071</v>
      </c>
      <c r="D7" s="6"/>
    </row>
    <row r="8" spans="1:4" ht="82.5">
      <c r="A8" s="7" t="s">
        <v>197</v>
      </c>
      <c r="B8" s="13" t="s">
        <v>232</v>
      </c>
      <c r="C8" s="1" t="s">
        <v>2072</v>
      </c>
      <c r="D8" s="6"/>
    </row>
    <row r="9" spans="1:4" ht="33">
      <c r="A9" s="7" t="s">
        <v>198</v>
      </c>
      <c r="B9" s="13" t="s">
        <v>230</v>
      </c>
      <c r="C9" s="1" t="s">
        <v>226</v>
      </c>
      <c r="D9" s="6"/>
    </row>
    <row r="10" spans="1:4" ht="33">
      <c r="A10" s="7" t="s">
        <v>199</v>
      </c>
      <c r="B10" s="11" t="s">
        <v>228</v>
      </c>
      <c r="C10" s="1" t="s">
        <v>288</v>
      </c>
      <c r="D10" s="30" t="s">
        <v>288</v>
      </c>
    </row>
    <row r="11" spans="1:4">
      <c r="A11" s="7" t="s">
        <v>200</v>
      </c>
      <c r="B11" s="11" t="s">
        <v>239</v>
      </c>
      <c r="C11" s="1" t="s">
        <v>2076</v>
      </c>
      <c r="D11" s="30" t="s">
        <v>2076</v>
      </c>
    </row>
    <row r="12" spans="1:4">
      <c r="A12" s="7" t="s">
        <v>180</v>
      </c>
      <c r="B12" s="11" t="s">
        <v>219</v>
      </c>
      <c r="C12" s="1">
        <v>2912193000</v>
      </c>
      <c r="D12" s="30">
        <v>2912193000</v>
      </c>
    </row>
    <row r="13" spans="1:4" ht="33">
      <c r="A13" s="7" t="s">
        <v>201</v>
      </c>
      <c r="B13" s="11" t="s">
        <v>229</v>
      </c>
      <c r="C13" s="1" t="s">
        <v>296</v>
      </c>
      <c r="D13" s="30" t="s">
        <v>296</v>
      </c>
    </row>
    <row r="14" spans="1:4" ht="33">
      <c r="A14" s="7" t="s">
        <v>202</v>
      </c>
      <c r="B14" s="11" t="s">
        <v>235</v>
      </c>
      <c r="C14" s="1" t="s">
        <v>210</v>
      </c>
      <c r="D14" s="6"/>
    </row>
    <row r="15" spans="1:4" ht="33">
      <c r="A15" s="7" t="s">
        <v>203</v>
      </c>
      <c r="B15" s="11" t="s">
        <v>220</v>
      </c>
      <c r="C15" s="1" t="s">
        <v>2077</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2073</v>
      </c>
      <c r="D20" s="6"/>
    </row>
    <row r="21" spans="1:4">
      <c r="A21" s="7" t="s">
        <v>224</v>
      </c>
      <c r="B21" s="11"/>
      <c r="C21" s="1" t="s">
        <v>2067</v>
      </c>
      <c r="D21" s="6"/>
    </row>
    <row r="22" spans="1:4">
      <c r="A22" s="9" t="s">
        <v>225</v>
      </c>
      <c r="B22" s="11"/>
      <c r="C22" s="1" t="s">
        <v>2061</v>
      </c>
      <c r="D22" s="10"/>
    </row>
    <row r="24" spans="1:4">
      <c r="A24" s="16" t="s">
        <v>327</v>
      </c>
      <c r="B24" s="16" t="s">
        <v>984</v>
      </c>
      <c r="C24" s="16" t="s">
        <v>328</v>
      </c>
      <c r="D24" s="16" t="s">
        <v>329</v>
      </c>
    </row>
    <row r="25" spans="1:4" ht="49.5">
      <c r="A25" s="1" t="s">
        <v>2078</v>
      </c>
      <c r="B25" s="1" t="s">
        <v>336</v>
      </c>
      <c r="C25" s="1" t="s">
        <v>2079</v>
      </c>
      <c r="D25" s="1" t="s">
        <v>2080</v>
      </c>
    </row>
    <row r="26" spans="1:4" ht="49.5">
      <c r="A26" s="1" t="s">
        <v>2081</v>
      </c>
      <c r="B26" s="1" t="s">
        <v>348</v>
      </c>
      <c r="C26" s="1" t="s">
        <v>2082</v>
      </c>
      <c r="D26" s="1" t="s">
        <v>2083</v>
      </c>
    </row>
    <row r="27" spans="1:4" ht="49.5">
      <c r="A27" s="1" t="s">
        <v>2084</v>
      </c>
      <c r="B27" s="1" t="s">
        <v>336</v>
      </c>
      <c r="C27" s="1" t="s">
        <v>2085</v>
      </c>
      <c r="D27" s="1" t="s">
        <v>2086</v>
      </c>
    </row>
    <row r="28" spans="1:4" ht="49.5">
      <c r="A28" s="1" t="s">
        <v>2087</v>
      </c>
      <c r="B28" s="1" t="s">
        <v>348</v>
      </c>
      <c r="C28" s="1" t="s">
        <v>2088</v>
      </c>
      <c r="D28" s="1" t="s">
        <v>2089</v>
      </c>
    </row>
    <row r="29" spans="1:4" ht="49.5">
      <c r="A29" s="1" t="s">
        <v>2090</v>
      </c>
      <c r="B29" s="1" t="s">
        <v>336</v>
      </c>
      <c r="C29" s="1" t="s">
        <v>2091</v>
      </c>
      <c r="D29" s="1" t="s">
        <v>2092</v>
      </c>
    </row>
    <row r="30" spans="1:4" ht="49.5">
      <c r="A30" s="1" t="s">
        <v>2093</v>
      </c>
      <c r="B30" s="1" t="s">
        <v>406</v>
      </c>
      <c r="C30" s="1" t="s">
        <v>2094</v>
      </c>
      <c r="D30" s="1" t="s">
        <v>2095</v>
      </c>
    </row>
    <row r="31" spans="1:4" ht="33">
      <c r="A31" s="1" t="s">
        <v>2096</v>
      </c>
      <c r="B31" s="1" t="s">
        <v>348</v>
      </c>
      <c r="C31" s="1" t="s">
        <v>2097</v>
      </c>
      <c r="D31" s="1" t="s">
        <v>2098</v>
      </c>
    </row>
    <row r="32" spans="1:4" ht="49.5">
      <c r="A32" s="1" t="s">
        <v>2099</v>
      </c>
      <c r="B32" s="1" t="s">
        <v>348</v>
      </c>
      <c r="C32" s="1" t="s">
        <v>2100</v>
      </c>
      <c r="D32" s="1" t="s">
        <v>2101</v>
      </c>
    </row>
    <row r="33" spans="1:4" ht="33">
      <c r="A33" s="1" t="s">
        <v>83</v>
      </c>
      <c r="B33" s="1" t="s">
        <v>348</v>
      </c>
      <c r="C33" s="1" t="s">
        <v>2102</v>
      </c>
      <c r="D33" s="1" t="s">
        <v>2103</v>
      </c>
    </row>
    <row r="34" spans="1:4" ht="49.5">
      <c r="A34" s="1" t="s">
        <v>2104</v>
      </c>
      <c r="B34" s="1" t="s">
        <v>469</v>
      </c>
      <c r="C34" s="1" t="s">
        <v>2105</v>
      </c>
      <c r="D34" s="1" t="s">
        <v>1685</v>
      </c>
    </row>
  </sheetData>
  <phoneticPr fontId="1" type="noConversion"/>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A08F-585C-4820-B930-9276C59AD1DF}">
  <sheetPr>
    <tabColor theme="5"/>
  </sheetPr>
  <dimension ref="A1:D35"/>
  <sheetViews>
    <sheetView zoomScale="85" zoomScaleNormal="85" workbookViewId="0">
      <selection activeCell="C10" sqref="C10"/>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57</v>
      </c>
      <c r="D2" s="30" t="s">
        <v>57</v>
      </c>
    </row>
    <row r="3" spans="1:4">
      <c r="A3" s="7" t="s">
        <v>3</v>
      </c>
      <c r="B3" s="11" t="s">
        <v>216</v>
      </c>
      <c r="C3" s="1" t="s">
        <v>6</v>
      </c>
      <c r="D3" s="30" t="s">
        <v>6</v>
      </c>
    </row>
    <row r="4" spans="1:4">
      <c r="A4" s="7" t="s">
        <v>2</v>
      </c>
      <c r="B4" s="11" t="s">
        <v>217</v>
      </c>
      <c r="C4" s="1" t="s">
        <v>2106</v>
      </c>
      <c r="D4" s="30" t="s">
        <v>2106</v>
      </c>
    </row>
    <row r="5" spans="1:4" ht="66">
      <c r="A5" s="7" t="s">
        <v>241</v>
      </c>
      <c r="B5" s="13" t="s">
        <v>243</v>
      </c>
      <c r="C5" s="1" t="s">
        <v>2107</v>
      </c>
      <c r="D5" s="30" t="s">
        <v>2112</v>
      </c>
    </row>
    <row r="6" spans="1:4" ht="66">
      <c r="A6" s="7" t="s">
        <v>242</v>
      </c>
      <c r="B6" s="13" t="s">
        <v>244</v>
      </c>
      <c r="C6" s="1" t="s">
        <v>2108</v>
      </c>
      <c r="D6" s="30" t="s">
        <v>2113</v>
      </c>
    </row>
    <row r="7" spans="1:4" ht="33">
      <c r="A7" s="7" t="s">
        <v>196</v>
      </c>
      <c r="B7" s="12" t="s">
        <v>218</v>
      </c>
      <c r="C7" s="1" t="s">
        <v>2109</v>
      </c>
      <c r="D7" s="6"/>
    </row>
    <row r="8" spans="1:4" ht="99">
      <c r="A8" s="7" t="s">
        <v>197</v>
      </c>
      <c r="B8" s="13" t="s">
        <v>232</v>
      </c>
      <c r="C8" s="1" t="s">
        <v>2110</v>
      </c>
      <c r="D8" s="6"/>
    </row>
    <row r="9" spans="1:4" ht="33">
      <c r="A9" s="7" t="s">
        <v>198</v>
      </c>
      <c r="B9" s="13" t="s">
        <v>230</v>
      </c>
      <c r="C9" s="1" t="s">
        <v>226</v>
      </c>
      <c r="D9" s="6"/>
    </row>
    <row r="10" spans="1:4" ht="33">
      <c r="A10" s="7" t="s">
        <v>199</v>
      </c>
      <c r="B10" s="11" t="s">
        <v>228</v>
      </c>
      <c r="C10" s="1" t="s">
        <v>288</v>
      </c>
      <c r="D10" s="30" t="s">
        <v>288</v>
      </c>
    </row>
    <row r="11" spans="1:4">
      <c r="A11" s="7" t="s">
        <v>200</v>
      </c>
      <c r="B11" s="11" t="s">
        <v>239</v>
      </c>
      <c r="C11" s="1" t="s">
        <v>2114</v>
      </c>
      <c r="D11" s="30" t="s">
        <v>2114</v>
      </c>
    </row>
    <row r="12" spans="1:4">
      <c r="A12" s="7" t="s">
        <v>180</v>
      </c>
      <c r="B12" s="11" t="s">
        <v>219</v>
      </c>
      <c r="C12" s="1">
        <v>2905161000</v>
      </c>
      <c r="D12" s="30">
        <v>2905161000</v>
      </c>
    </row>
    <row r="13" spans="1:4" ht="33">
      <c r="A13" s="7" t="s">
        <v>201</v>
      </c>
      <c r="B13" s="11" t="s">
        <v>229</v>
      </c>
      <c r="C13" s="1" t="s">
        <v>296</v>
      </c>
      <c r="D13" s="30" t="s">
        <v>296</v>
      </c>
    </row>
    <row r="14" spans="1:4" ht="33">
      <c r="A14" s="7" t="s">
        <v>202</v>
      </c>
      <c r="B14" s="11" t="s">
        <v>235</v>
      </c>
      <c r="C14" s="1" t="s">
        <v>210</v>
      </c>
      <c r="D14" s="6"/>
    </row>
    <row r="15" spans="1:4" ht="33">
      <c r="A15" s="7" t="s">
        <v>203</v>
      </c>
      <c r="B15" s="11" t="s">
        <v>220</v>
      </c>
      <c r="C15" s="1" t="s">
        <v>2066</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2111</v>
      </c>
      <c r="D20" s="6"/>
    </row>
    <row r="21" spans="1:4">
      <c r="A21" s="7" t="s">
        <v>224</v>
      </c>
      <c r="B21" s="11"/>
      <c r="C21" s="1" t="s">
        <v>2067</v>
      </c>
      <c r="D21" s="6"/>
    </row>
    <row r="22" spans="1:4">
      <c r="A22" s="9" t="s">
        <v>225</v>
      </c>
      <c r="B22" s="11"/>
      <c r="C22" s="1" t="s">
        <v>2061</v>
      </c>
      <c r="D22" s="10"/>
    </row>
    <row r="23" spans="1:4">
      <c r="A23" s="7"/>
      <c r="B23" s="46"/>
      <c r="D23" s="6"/>
    </row>
    <row r="25" spans="1:4">
      <c r="A25" s="47" t="s">
        <v>327</v>
      </c>
      <c r="B25" s="47" t="s">
        <v>984</v>
      </c>
      <c r="C25" s="47" t="s">
        <v>328</v>
      </c>
      <c r="D25" s="47" t="s">
        <v>329</v>
      </c>
    </row>
    <row r="26" spans="1:4" ht="49.5">
      <c r="A26" s="17" t="s">
        <v>1578</v>
      </c>
      <c r="B26" s="17" t="s">
        <v>336</v>
      </c>
      <c r="C26" s="17" t="s">
        <v>2115</v>
      </c>
      <c r="D26" s="17" t="s">
        <v>2116</v>
      </c>
    </row>
    <row r="27" spans="1:4" ht="49.5">
      <c r="A27" s="17" t="s">
        <v>2117</v>
      </c>
      <c r="B27" s="17" t="s">
        <v>336</v>
      </c>
      <c r="C27" s="17" t="s">
        <v>2118</v>
      </c>
      <c r="D27" s="17" t="s">
        <v>2119</v>
      </c>
    </row>
    <row r="28" spans="1:4" ht="49.5">
      <c r="A28" s="17" t="s">
        <v>2087</v>
      </c>
      <c r="B28" s="17" t="s">
        <v>348</v>
      </c>
      <c r="C28" s="17" t="s">
        <v>2120</v>
      </c>
      <c r="D28" s="17" t="s">
        <v>2089</v>
      </c>
    </row>
    <row r="29" spans="1:4" ht="49.5">
      <c r="A29" s="17" t="s">
        <v>2121</v>
      </c>
      <c r="B29" s="17" t="s">
        <v>469</v>
      </c>
      <c r="C29" s="17" t="s">
        <v>2122</v>
      </c>
      <c r="D29" s="17" t="s">
        <v>1685</v>
      </c>
    </row>
    <row r="30" spans="1:4" ht="49.5">
      <c r="A30" s="17" t="s">
        <v>2123</v>
      </c>
      <c r="B30" s="17" t="s">
        <v>406</v>
      </c>
      <c r="C30" s="17" t="s">
        <v>2124</v>
      </c>
      <c r="D30" s="17" t="s">
        <v>2125</v>
      </c>
    </row>
    <row r="31" spans="1:4" ht="49.5">
      <c r="A31" s="17" t="s">
        <v>2099</v>
      </c>
      <c r="B31" s="17" t="s">
        <v>348</v>
      </c>
      <c r="C31" s="17" t="s">
        <v>2126</v>
      </c>
      <c r="D31" s="17" t="s">
        <v>2101</v>
      </c>
    </row>
    <row r="32" spans="1:4" ht="33">
      <c r="A32" s="17" t="s">
        <v>2127</v>
      </c>
      <c r="B32" s="17" t="s">
        <v>348</v>
      </c>
      <c r="C32" s="17" t="s">
        <v>2128</v>
      </c>
      <c r="D32" s="17" t="s">
        <v>2129</v>
      </c>
    </row>
    <row r="33" spans="1:4" ht="49.5">
      <c r="A33" s="17" t="s">
        <v>2130</v>
      </c>
      <c r="B33" s="17" t="s">
        <v>348</v>
      </c>
      <c r="C33" s="17" t="s">
        <v>2131</v>
      </c>
      <c r="D33" s="17" t="s">
        <v>2132</v>
      </c>
    </row>
    <row r="34" spans="1:4" ht="33">
      <c r="A34" s="17" t="s">
        <v>2133</v>
      </c>
      <c r="B34" s="17" t="s">
        <v>340</v>
      </c>
      <c r="C34" s="17" t="s">
        <v>2134</v>
      </c>
      <c r="D34" s="17" t="s">
        <v>2135</v>
      </c>
    </row>
    <row r="35" spans="1:4" ht="33">
      <c r="A35" s="17" t="s">
        <v>2136</v>
      </c>
      <c r="B35" s="17" t="s">
        <v>348</v>
      </c>
      <c r="C35" s="17" t="s">
        <v>2137</v>
      </c>
      <c r="D35" s="17" t="s">
        <v>2138</v>
      </c>
    </row>
  </sheetData>
  <phoneticPr fontId="1" type="noConversion"/>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FB82-0E41-48B7-9249-CD30872FAB42}">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58</v>
      </c>
      <c r="D2" s="30" t="s">
        <v>58</v>
      </c>
    </row>
    <row r="3" spans="1:4">
      <c r="A3" s="7" t="s">
        <v>3</v>
      </c>
      <c r="B3" s="11" t="s">
        <v>216</v>
      </c>
      <c r="C3" s="1" t="s">
        <v>6</v>
      </c>
      <c r="D3" s="30" t="s">
        <v>6</v>
      </c>
    </row>
    <row r="4" spans="1:4">
      <c r="A4" s="7" t="s">
        <v>2</v>
      </c>
      <c r="B4" s="11" t="s">
        <v>217</v>
      </c>
      <c r="C4" s="1" t="s">
        <v>2081</v>
      </c>
      <c r="D4" s="30" t="s">
        <v>2081</v>
      </c>
    </row>
    <row r="5" spans="1:4" ht="66">
      <c r="A5" s="7" t="s">
        <v>241</v>
      </c>
      <c r="B5" s="13" t="s">
        <v>243</v>
      </c>
      <c r="C5" s="1" t="s">
        <v>2139</v>
      </c>
      <c r="D5" s="30" t="s">
        <v>2145</v>
      </c>
    </row>
    <row r="6" spans="1:4" ht="66">
      <c r="A6" s="7" t="s">
        <v>242</v>
      </c>
      <c r="B6" s="13" t="s">
        <v>244</v>
      </c>
      <c r="C6" s="1" t="s">
        <v>2140</v>
      </c>
      <c r="D6" s="30" t="s">
        <v>2144</v>
      </c>
    </row>
    <row r="7" spans="1:4" ht="33">
      <c r="A7" s="7" t="s">
        <v>196</v>
      </c>
      <c r="B7" s="12" t="s">
        <v>218</v>
      </c>
      <c r="C7" s="1" t="s">
        <v>2141</v>
      </c>
      <c r="D7" s="6"/>
    </row>
    <row r="8" spans="1:4" ht="82.5">
      <c r="A8" s="7" t="s">
        <v>197</v>
      </c>
      <c r="B8" s="13" t="s">
        <v>232</v>
      </c>
      <c r="C8" s="1" t="s">
        <v>2142</v>
      </c>
      <c r="D8" s="6"/>
    </row>
    <row r="9" spans="1:4" ht="33">
      <c r="A9" s="7" t="s">
        <v>198</v>
      </c>
      <c r="B9" s="13" t="s">
        <v>230</v>
      </c>
      <c r="C9" s="1" t="s">
        <v>226</v>
      </c>
      <c r="D9" s="6"/>
    </row>
    <row r="10" spans="1:4" ht="33">
      <c r="A10" s="7" t="s">
        <v>199</v>
      </c>
      <c r="B10" s="11" t="s">
        <v>228</v>
      </c>
      <c r="C10" s="1" t="s">
        <v>288</v>
      </c>
      <c r="D10" s="30" t="s">
        <v>288</v>
      </c>
    </row>
    <row r="11" spans="1:4">
      <c r="A11" s="7" t="s">
        <v>200</v>
      </c>
      <c r="B11" s="11" t="s">
        <v>239</v>
      </c>
      <c r="C11" s="1" t="s">
        <v>2146</v>
      </c>
      <c r="D11" s="30" t="s">
        <v>2146</v>
      </c>
    </row>
    <row r="12" spans="1:4">
      <c r="A12" s="7" t="s">
        <v>180</v>
      </c>
      <c r="B12" s="11" t="s">
        <v>219</v>
      </c>
      <c r="C12" s="1">
        <v>2905130000</v>
      </c>
      <c r="D12" s="30">
        <v>2905130000</v>
      </c>
    </row>
    <row r="13" spans="1:4" ht="33">
      <c r="A13" s="7" t="s">
        <v>201</v>
      </c>
      <c r="B13" s="11" t="s">
        <v>229</v>
      </c>
      <c r="C13" s="1" t="s">
        <v>290</v>
      </c>
      <c r="D13" s="30" t="s">
        <v>290</v>
      </c>
    </row>
    <row r="14" spans="1:4" ht="33">
      <c r="A14" s="7" t="s">
        <v>202</v>
      </c>
      <c r="B14" s="11" t="s">
        <v>235</v>
      </c>
      <c r="C14" s="1" t="s">
        <v>210</v>
      </c>
      <c r="D14" s="6"/>
    </row>
    <row r="15" spans="1:4" ht="33">
      <c r="A15" s="7" t="s">
        <v>203</v>
      </c>
      <c r="B15" s="11" t="s">
        <v>220</v>
      </c>
      <c r="C15" s="1" t="s">
        <v>2066</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2143</v>
      </c>
      <c r="D20" s="6"/>
    </row>
    <row r="21" spans="1:4">
      <c r="A21" s="7" t="s">
        <v>224</v>
      </c>
      <c r="B21" s="11"/>
      <c r="C21" s="1" t="s">
        <v>2067</v>
      </c>
      <c r="D21" s="6"/>
    </row>
    <row r="22" spans="1:4">
      <c r="A22" s="9" t="s">
        <v>225</v>
      </c>
      <c r="B22" s="11"/>
      <c r="C22" s="1" t="s">
        <v>2061</v>
      </c>
      <c r="D22" s="10"/>
    </row>
    <row r="24" spans="1:4">
      <c r="A24" s="16" t="s">
        <v>327</v>
      </c>
      <c r="B24" s="16" t="s">
        <v>984</v>
      </c>
      <c r="C24" s="16" t="s">
        <v>328</v>
      </c>
      <c r="D24" s="16" t="s">
        <v>329</v>
      </c>
    </row>
    <row r="25" spans="1:4" ht="66">
      <c r="A25" s="1" t="s">
        <v>2084</v>
      </c>
      <c r="B25" s="1" t="s">
        <v>336</v>
      </c>
      <c r="C25" s="1" t="s">
        <v>2147</v>
      </c>
      <c r="D25" s="1" t="s">
        <v>2086</v>
      </c>
    </row>
    <row r="26" spans="1:4" ht="49.5">
      <c r="A26" s="1" t="s">
        <v>83</v>
      </c>
      <c r="B26" s="1" t="s">
        <v>348</v>
      </c>
      <c r="C26" s="1" t="s">
        <v>2148</v>
      </c>
      <c r="D26" s="1" t="s">
        <v>2103</v>
      </c>
    </row>
    <row r="27" spans="1:4" ht="49.5">
      <c r="A27" s="1" t="s">
        <v>2149</v>
      </c>
      <c r="B27" s="1" t="s">
        <v>348</v>
      </c>
      <c r="C27" s="1" t="s">
        <v>2150</v>
      </c>
      <c r="D27" s="1" t="s">
        <v>2151</v>
      </c>
    </row>
    <row r="28" spans="1:4" ht="33">
      <c r="A28" s="1" t="s">
        <v>2152</v>
      </c>
      <c r="B28" s="1" t="s">
        <v>348</v>
      </c>
      <c r="C28" s="1" t="s">
        <v>2153</v>
      </c>
      <c r="D28" s="1" t="s">
        <v>2154</v>
      </c>
    </row>
    <row r="29" spans="1:4" ht="49.5">
      <c r="A29" s="1" t="s">
        <v>2155</v>
      </c>
      <c r="B29" s="1" t="s">
        <v>336</v>
      </c>
      <c r="C29" s="1" t="s">
        <v>2156</v>
      </c>
      <c r="D29" s="1" t="s">
        <v>2157</v>
      </c>
    </row>
    <row r="30" spans="1:4" ht="49.5">
      <c r="A30" s="1" t="s">
        <v>1980</v>
      </c>
      <c r="B30" s="1" t="s">
        <v>406</v>
      </c>
      <c r="C30" s="1" t="s">
        <v>2158</v>
      </c>
      <c r="D30" s="1" t="s">
        <v>2159</v>
      </c>
    </row>
    <row r="31" spans="1:4" ht="33">
      <c r="A31" s="1" t="s">
        <v>2031</v>
      </c>
      <c r="B31" s="1" t="s">
        <v>960</v>
      </c>
      <c r="C31" s="1" t="s">
        <v>2160</v>
      </c>
      <c r="D31" s="1" t="s">
        <v>1677</v>
      </c>
    </row>
    <row r="32" spans="1:4" ht="33">
      <c r="A32" s="1" t="s">
        <v>2161</v>
      </c>
      <c r="B32" s="1" t="s">
        <v>348</v>
      </c>
      <c r="C32" s="1" t="s">
        <v>2162</v>
      </c>
      <c r="D32" s="1" t="s">
        <v>2163</v>
      </c>
    </row>
    <row r="33" spans="1:4" ht="33">
      <c r="A33" s="1" t="s">
        <v>2164</v>
      </c>
      <c r="B33" s="1" t="s">
        <v>336</v>
      </c>
      <c r="C33" s="1" t="s">
        <v>2165</v>
      </c>
      <c r="D33" s="1" t="s">
        <v>2166</v>
      </c>
    </row>
    <row r="34" spans="1:4" ht="49.5">
      <c r="A34" s="1" t="s">
        <v>2167</v>
      </c>
      <c r="B34" s="1" t="s">
        <v>340</v>
      </c>
      <c r="C34" s="1" t="s">
        <v>2168</v>
      </c>
      <c r="D34" s="1" t="s">
        <v>2135</v>
      </c>
    </row>
  </sheetData>
  <phoneticPr fontId="1" type="noConversion"/>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9BB-F503-4FD5-A055-0C74DD2B1ABB}">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675</v>
      </c>
      <c r="D2" s="36" t="s">
        <v>675</v>
      </c>
    </row>
    <row r="3" spans="1:4">
      <c r="A3" s="7" t="s">
        <v>3</v>
      </c>
      <c r="B3" s="11" t="s">
        <v>216</v>
      </c>
      <c r="C3" s="11" t="s">
        <v>188</v>
      </c>
      <c r="D3" s="36" t="s">
        <v>188</v>
      </c>
    </row>
    <row r="4" spans="1:4">
      <c r="A4" s="7" t="s">
        <v>2</v>
      </c>
      <c r="B4" s="11" t="s">
        <v>217</v>
      </c>
      <c r="C4" s="11" t="s">
        <v>674</v>
      </c>
      <c r="D4" s="36" t="s">
        <v>674</v>
      </c>
    </row>
    <row r="5" spans="1:4" ht="49.5">
      <c r="A5" s="7" t="s">
        <v>241</v>
      </c>
      <c r="B5" s="13" t="s">
        <v>243</v>
      </c>
      <c r="C5" s="1" t="s">
        <v>2169</v>
      </c>
      <c r="D5" s="30" t="s">
        <v>2174</v>
      </c>
    </row>
    <row r="6" spans="1:4" ht="82.5">
      <c r="A6" s="7" t="s">
        <v>242</v>
      </c>
      <c r="B6" s="13" t="s">
        <v>244</v>
      </c>
      <c r="C6" s="1" t="s">
        <v>2170</v>
      </c>
      <c r="D6" s="30" t="s">
        <v>2175</v>
      </c>
    </row>
    <row r="7" spans="1:4" ht="33">
      <c r="A7" s="7" t="s">
        <v>196</v>
      </c>
      <c r="B7" s="12" t="s">
        <v>218</v>
      </c>
      <c r="C7" s="1" t="s">
        <v>2171</v>
      </c>
      <c r="D7" s="6"/>
    </row>
    <row r="8" spans="1:4" ht="99">
      <c r="A8" s="7" t="s">
        <v>197</v>
      </c>
      <c r="B8" s="13" t="s">
        <v>232</v>
      </c>
      <c r="C8" s="1" t="s">
        <v>2172</v>
      </c>
      <c r="D8" s="6"/>
    </row>
    <row r="9" spans="1:4" ht="33">
      <c r="A9" s="7" t="s">
        <v>198</v>
      </c>
      <c r="B9" s="13" t="s">
        <v>230</v>
      </c>
      <c r="C9" s="1" t="s">
        <v>226</v>
      </c>
      <c r="D9" s="6"/>
    </row>
    <row r="10" spans="1:4" ht="33">
      <c r="A10" s="7" t="s">
        <v>199</v>
      </c>
      <c r="B10" s="11" t="s">
        <v>228</v>
      </c>
      <c r="C10" s="1" t="s">
        <v>211</v>
      </c>
      <c r="D10" s="30" t="s">
        <v>211</v>
      </c>
    </row>
    <row r="11" spans="1:4">
      <c r="A11" s="7" t="s">
        <v>200</v>
      </c>
      <c r="B11" s="11" t="s">
        <v>239</v>
      </c>
      <c r="C11" s="1" t="s">
        <v>211</v>
      </c>
      <c r="D11" s="30" t="s">
        <v>211</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211</v>
      </c>
      <c r="D15" s="6"/>
    </row>
    <row r="16" spans="1:4" ht="33">
      <c r="A16" s="7" t="s">
        <v>204</v>
      </c>
      <c r="B16" s="11" t="s">
        <v>233</v>
      </c>
      <c r="C16" s="1" t="s">
        <v>261</v>
      </c>
      <c r="D16" s="6"/>
    </row>
    <row r="17" spans="1:4" ht="33">
      <c r="A17" s="7" t="s">
        <v>205</v>
      </c>
      <c r="B17" s="11" t="s">
        <v>231</v>
      </c>
      <c r="C17" s="1" t="s">
        <v>261</v>
      </c>
      <c r="D17" s="6"/>
    </row>
    <row r="18" spans="1:4" ht="33">
      <c r="A18" s="7" t="s">
        <v>206</v>
      </c>
      <c r="B18" s="11" t="s">
        <v>234</v>
      </c>
      <c r="C18" s="1" t="s">
        <v>226</v>
      </c>
      <c r="D18" s="6"/>
    </row>
    <row r="19" spans="1:4" ht="33">
      <c r="A19" s="7" t="s">
        <v>207</v>
      </c>
      <c r="B19" s="11" t="s">
        <v>236</v>
      </c>
      <c r="C19" s="1" t="s">
        <v>212</v>
      </c>
      <c r="D19" s="6"/>
    </row>
    <row r="20" spans="1:4" ht="49.5">
      <c r="A20" s="8" t="s">
        <v>0</v>
      </c>
      <c r="B20" s="11" t="s">
        <v>223</v>
      </c>
      <c r="C20" s="1" t="s">
        <v>2173</v>
      </c>
      <c r="D20" s="6"/>
    </row>
    <row r="21" spans="1:4">
      <c r="A21" s="7" t="s">
        <v>224</v>
      </c>
      <c r="B21" s="11"/>
      <c r="C21" s="1" t="s">
        <v>2067</v>
      </c>
      <c r="D21" s="6"/>
    </row>
    <row r="22" spans="1:4">
      <c r="A22" s="9" t="s">
        <v>225</v>
      </c>
      <c r="B22" s="11"/>
      <c r="C22" s="1" t="s">
        <v>2061</v>
      </c>
      <c r="D22" s="10"/>
    </row>
    <row r="24" spans="1:4">
      <c r="A24" s="16" t="s">
        <v>327</v>
      </c>
      <c r="B24" s="16" t="s">
        <v>984</v>
      </c>
      <c r="C24" s="16" t="s">
        <v>328</v>
      </c>
      <c r="D24" s="16" t="s">
        <v>329</v>
      </c>
    </row>
    <row r="25" spans="1:4" ht="49.5">
      <c r="A25" s="1" t="s">
        <v>2018</v>
      </c>
      <c r="B25" s="1" t="s">
        <v>336</v>
      </c>
      <c r="C25" s="1" t="s">
        <v>2181</v>
      </c>
      <c r="D25" s="1" t="s">
        <v>2157</v>
      </c>
    </row>
    <row r="26" spans="1:4" ht="33">
      <c r="A26" s="1" t="s">
        <v>2021</v>
      </c>
      <c r="B26" s="1" t="s">
        <v>348</v>
      </c>
      <c r="C26" s="1" t="s">
        <v>2182</v>
      </c>
      <c r="D26" s="1" t="s">
        <v>2183</v>
      </c>
    </row>
    <row r="27" spans="1:4" ht="49.5">
      <c r="A27" s="1" t="s">
        <v>2184</v>
      </c>
      <c r="B27" s="1" t="s">
        <v>406</v>
      </c>
      <c r="C27" s="1" t="s">
        <v>2185</v>
      </c>
      <c r="D27" s="1" t="s">
        <v>2186</v>
      </c>
    </row>
    <row r="28" spans="1:4" ht="33">
      <c r="A28" s="1" t="s">
        <v>2187</v>
      </c>
      <c r="B28" s="1" t="s">
        <v>960</v>
      </c>
      <c r="C28" s="1" t="s">
        <v>2188</v>
      </c>
      <c r="D28" s="1" t="s">
        <v>2046</v>
      </c>
    </row>
    <row r="29" spans="1:4" ht="49.5">
      <c r="A29" s="1" t="s">
        <v>2189</v>
      </c>
      <c r="B29" s="1" t="s">
        <v>348</v>
      </c>
      <c r="C29" s="1" t="s">
        <v>2190</v>
      </c>
      <c r="D29" s="1" t="s">
        <v>2191</v>
      </c>
    </row>
    <row r="30" spans="1:4" ht="33">
      <c r="A30" s="1" t="s">
        <v>2031</v>
      </c>
      <c r="B30" s="1" t="s">
        <v>960</v>
      </c>
      <c r="C30" s="1" t="s">
        <v>2192</v>
      </c>
      <c r="D30" s="1" t="s">
        <v>1677</v>
      </c>
    </row>
    <row r="31" spans="1:4" ht="33">
      <c r="A31" s="1" t="s">
        <v>2193</v>
      </c>
      <c r="B31" s="1" t="s">
        <v>336</v>
      </c>
      <c r="C31" s="1" t="s">
        <v>2194</v>
      </c>
      <c r="D31" s="1" t="s">
        <v>1787</v>
      </c>
    </row>
    <row r="32" spans="1:4" ht="49.5">
      <c r="A32" s="1" t="s">
        <v>2195</v>
      </c>
      <c r="B32" s="1" t="s">
        <v>348</v>
      </c>
      <c r="C32" s="1" t="s">
        <v>2196</v>
      </c>
      <c r="D32" s="1" t="s">
        <v>2154</v>
      </c>
    </row>
    <row r="33" spans="1:4" ht="49.5">
      <c r="A33" s="1" t="s">
        <v>2197</v>
      </c>
      <c r="B33" s="1" t="s">
        <v>348</v>
      </c>
      <c r="C33" s="1" t="s">
        <v>2198</v>
      </c>
      <c r="D33" s="1" t="s">
        <v>2199</v>
      </c>
    </row>
    <row r="34" spans="1:4" ht="49.5">
      <c r="A34" s="1" t="s">
        <v>2167</v>
      </c>
      <c r="B34" s="1" t="s">
        <v>340</v>
      </c>
      <c r="C34" s="1" t="s">
        <v>2200</v>
      </c>
      <c r="D34" s="1" t="s">
        <v>2135</v>
      </c>
    </row>
  </sheetData>
  <phoneticPr fontId="1" type="noConversion"/>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59B31-A9D5-4358-AE73-E71712801D3B}">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676</v>
      </c>
      <c r="D2" s="36" t="s">
        <v>676</v>
      </c>
    </row>
    <row r="3" spans="1:4">
      <c r="A3" s="7" t="s">
        <v>3</v>
      </c>
      <c r="B3" s="11" t="s">
        <v>216</v>
      </c>
      <c r="C3" s="1" t="s">
        <v>6</v>
      </c>
      <c r="D3" s="30" t="s">
        <v>6</v>
      </c>
    </row>
    <row r="4" spans="1:4">
      <c r="A4" s="7" t="s">
        <v>2</v>
      </c>
      <c r="B4" s="11" t="s">
        <v>217</v>
      </c>
      <c r="C4" s="1" t="s">
        <v>80</v>
      </c>
      <c r="D4" s="30" t="s">
        <v>80</v>
      </c>
    </row>
    <row r="5" spans="1:4" ht="66">
      <c r="A5" s="7" t="s">
        <v>241</v>
      </c>
      <c r="B5" s="13" t="s">
        <v>243</v>
      </c>
      <c r="C5" s="1" t="s">
        <v>2176</v>
      </c>
      <c r="D5" s="30" t="s">
        <v>2225</v>
      </c>
    </row>
    <row r="6" spans="1:4" ht="66">
      <c r="A6" s="7" t="s">
        <v>242</v>
      </c>
      <c r="B6" s="13" t="s">
        <v>244</v>
      </c>
      <c r="C6" s="1" t="s">
        <v>2177</v>
      </c>
      <c r="D6" s="30" t="s">
        <v>2226</v>
      </c>
    </row>
    <row r="7" spans="1:4" ht="33">
      <c r="A7" s="7" t="s">
        <v>196</v>
      </c>
      <c r="B7" s="12" t="s">
        <v>218</v>
      </c>
      <c r="C7" s="1" t="s">
        <v>2178</v>
      </c>
      <c r="D7" s="6"/>
    </row>
    <row r="8" spans="1:4" ht="82.5">
      <c r="A8" s="7" t="s">
        <v>197</v>
      </c>
      <c r="B8" s="13" t="s">
        <v>232</v>
      </c>
      <c r="C8" s="1" t="s">
        <v>2179</v>
      </c>
      <c r="D8" s="6"/>
    </row>
    <row r="9" spans="1:4" ht="33">
      <c r="A9" s="7" t="s">
        <v>198</v>
      </c>
      <c r="B9" s="13" t="s">
        <v>230</v>
      </c>
      <c r="C9" s="1" t="s">
        <v>226</v>
      </c>
      <c r="D9" s="6"/>
    </row>
    <row r="10" spans="1:4" ht="33">
      <c r="A10" s="7" t="s">
        <v>199</v>
      </c>
      <c r="B10" s="11" t="s">
        <v>228</v>
      </c>
      <c r="C10" s="1" t="s">
        <v>211</v>
      </c>
      <c r="D10" s="30" t="s">
        <v>211</v>
      </c>
    </row>
    <row r="11" spans="1:4">
      <c r="A11" s="7" t="s">
        <v>200</v>
      </c>
      <c r="B11" s="11" t="s">
        <v>239</v>
      </c>
      <c r="C11" s="1" t="s">
        <v>211</v>
      </c>
      <c r="D11" s="30" t="s">
        <v>211</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ht="33">
      <c r="A15" s="7" t="s">
        <v>203</v>
      </c>
      <c r="B15" s="11" t="s">
        <v>220</v>
      </c>
      <c r="C15" s="1" t="s">
        <v>2066</v>
      </c>
      <c r="D15" s="6"/>
    </row>
    <row r="16" spans="1:4" ht="33">
      <c r="A16" s="7" t="s">
        <v>204</v>
      </c>
      <c r="B16" s="11" t="s">
        <v>233</v>
      </c>
      <c r="C16" s="1" t="s">
        <v>261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2180</v>
      </c>
      <c r="D20" s="6"/>
    </row>
    <row r="21" spans="1:4">
      <c r="A21" s="7" t="s">
        <v>224</v>
      </c>
      <c r="B21" s="11"/>
      <c r="C21" s="1" t="s">
        <v>2067</v>
      </c>
      <c r="D21" s="6"/>
    </row>
    <row r="22" spans="1:4">
      <c r="A22" s="9" t="s">
        <v>225</v>
      </c>
      <c r="B22" s="11"/>
      <c r="C22" s="1" t="s">
        <v>2061</v>
      </c>
      <c r="D22" s="10"/>
    </row>
    <row r="24" spans="1:4">
      <c r="A24" s="16" t="s">
        <v>327</v>
      </c>
      <c r="B24" s="16" t="s">
        <v>984</v>
      </c>
      <c r="C24" s="16" t="s">
        <v>328</v>
      </c>
      <c r="D24" s="16" t="s">
        <v>329</v>
      </c>
    </row>
    <row r="25" spans="1:4" ht="33">
      <c r="A25" s="1" t="s">
        <v>2201</v>
      </c>
      <c r="B25" s="1" t="s">
        <v>348</v>
      </c>
      <c r="C25" s="1" t="s">
        <v>2202</v>
      </c>
      <c r="D25" s="1" t="s">
        <v>2103</v>
      </c>
    </row>
    <row r="26" spans="1:4" ht="33">
      <c r="A26" s="1" t="s">
        <v>2018</v>
      </c>
      <c r="B26" s="1" t="s">
        <v>336</v>
      </c>
      <c r="C26" s="1" t="s">
        <v>2203</v>
      </c>
      <c r="D26" s="1" t="s">
        <v>2157</v>
      </c>
    </row>
    <row r="27" spans="1:4" ht="49.5">
      <c r="A27" s="1" t="s">
        <v>1980</v>
      </c>
      <c r="B27" s="1" t="s">
        <v>406</v>
      </c>
      <c r="C27" s="1" t="s">
        <v>2204</v>
      </c>
      <c r="D27" s="1" t="s">
        <v>2186</v>
      </c>
    </row>
    <row r="28" spans="1:4" ht="33">
      <c r="A28" s="1" t="s">
        <v>2205</v>
      </c>
      <c r="B28" s="1" t="s">
        <v>340</v>
      </c>
      <c r="C28" s="1" t="s">
        <v>2206</v>
      </c>
      <c r="D28" s="1" t="s">
        <v>2207</v>
      </c>
    </row>
    <row r="29" spans="1:4" ht="33">
      <c r="A29" s="1" t="s">
        <v>84</v>
      </c>
      <c r="B29" s="1" t="s">
        <v>348</v>
      </c>
      <c r="C29" s="1" t="s">
        <v>2208</v>
      </c>
      <c r="D29" s="1" t="s">
        <v>2209</v>
      </c>
    </row>
    <row r="30" spans="1:4" ht="49.5">
      <c r="A30" s="1" t="s">
        <v>2210</v>
      </c>
      <c r="B30" s="1" t="s">
        <v>348</v>
      </c>
      <c r="C30" s="1" t="s">
        <v>2211</v>
      </c>
      <c r="D30" s="1" t="s">
        <v>2212</v>
      </c>
    </row>
    <row r="31" spans="1:4" ht="49.5">
      <c r="A31" s="1" t="s">
        <v>2213</v>
      </c>
      <c r="B31" s="1" t="s">
        <v>348</v>
      </c>
      <c r="C31" s="1" t="s">
        <v>2214</v>
      </c>
      <c r="D31" s="1" t="s">
        <v>2215</v>
      </c>
    </row>
    <row r="32" spans="1:4" ht="49.5">
      <c r="A32" s="1" t="s">
        <v>2216</v>
      </c>
      <c r="B32" s="1" t="s">
        <v>348</v>
      </c>
      <c r="C32" s="1" t="s">
        <v>2217</v>
      </c>
      <c r="D32" s="1" t="s">
        <v>2218</v>
      </c>
    </row>
    <row r="33" spans="1:4" ht="49.5">
      <c r="A33" s="1" t="s">
        <v>2219</v>
      </c>
      <c r="B33" s="1" t="s">
        <v>348</v>
      </c>
      <c r="C33" s="1" t="s">
        <v>2220</v>
      </c>
      <c r="D33" s="1" t="s">
        <v>2221</v>
      </c>
    </row>
    <row r="34" spans="1:4" ht="49.5">
      <c r="A34" s="1" t="s">
        <v>2222</v>
      </c>
      <c r="B34" s="1" t="s">
        <v>332</v>
      </c>
      <c r="C34" s="1" t="s">
        <v>2223</v>
      </c>
      <c r="D34" s="1" t="s">
        <v>2224</v>
      </c>
    </row>
  </sheetData>
  <phoneticPr fontId="1" type="noConversion"/>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85DFF-ED5D-46EB-8648-EA88F4844C44}">
  <sheetPr>
    <tabColor theme="5"/>
  </sheetPr>
  <dimension ref="A1:D45"/>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61</v>
      </c>
      <c r="D2" s="30" t="s">
        <v>61</v>
      </c>
    </row>
    <row r="3" spans="1:4">
      <c r="A3" s="7" t="s">
        <v>3</v>
      </c>
      <c r="B3" s="11" t="s">
        <v>216</v>
      </c>
      <c r="C3" s="1" t="s">
        <v>6</v>
      </c>
      <c r="D3" s="30" t="s">
        <v>6</v>
      </c>
    </row>
    <row r="4" spans="1:4">
      <c r="A4" s="7" t="s">
        <v>2</v>
      </c>
      <c r="B4" s="11" t="s">
        <v>217</v>
      </c>
      <c r="C4" s="1" t="s">
        <v>2227</v>
      </c>
      <c r="D4" s="30" t="s">
        <v>2227</v>
      </c>
    </row>
    <row r="5" spans="1:4" ht="49.5">
      <c r="A5" s="7" t="s">
        <v>241</v>
      </c>
      <c r="B5" s="13" t="s">
        <v>243</v>
      </c>
      <c r="C5" s="1" t="s">
        <v>2228</v>
      </c>
      <c r="D5" s="30" t="s">
        <v>2232</v>
      </c>
    </row>
    <row r="6" spans="1:4" ht="82.5">
      <c r="A6" s="7" t="s">
        <v>242</v>
      </c>
      <c r="B6" s="13" t="s">
        <v>244</v>
      </c>
      <c r="C6" s="1" t="s">
        <v>2229</v>
      </c>
      <c r="D6" s="30" t="s">
        <v>2233</v>
      </c>
    </row>
    <row r="7" spans="1:4" ht="33">
      <c r="A7" s="7" t="s">
        <v>196</v>
      </c>
      <c r="B7" s="12" t="s">
        <v>218</v>
      </c>
      <c r="C7" s="1" t="s">
        <v>2171</v>
      </c>
      <c r="D7" s="6"/>
    </row>
    <row r="8" spans="1:4" ht="82.5">
      <c r="A8" s="7" t="s">
        <v>197</v>
      </c>
      <c r="B8" s="13" t="s">
        <v>232</v>
      </c>
      <c r="C8" s="1" t="s">
        <v>2230</v>
      </c>
      <c r="D8" s="6"/>
    </row>
    <row r="9" spans="1:4" ht="33">
      <c r="A9" s="7" t="s">
        <v>198</v>
      </c>
      <c r="B9" s="13" t="s">
        <v>230</v>
      </c>
      <c r="C9" s="1" t="s">
        <v>226</v>
      </c>
      <c r="D9" s="6"/>
    </row>
    <row r="10" spans="1:4" ht="33">
      <c r="A10" s="7" t="s">
        <v>199</v>
      </c>
      <c r="B10" s="11" t="s">
        <v>228</v>
      </c>
      <c r="C10" s="1" t="s">
        <v>211</v>
      </c>
      <c r="D10" s="30" t="s">
        <v>211</v>
      </c>
    </row>
    <row r="11" spans="1:4">
      <c r="A11" s="7" t="s">
        <v>200</v>
      </c>
      <c r="B11" s="11" t="s">
        <v>239</v>
      </c>
      <c r="C11" s="1" t="s">
        <v>211</v>
      </c>
      <c r="D11" s="30" t="s">
        <v>211</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211</v>
      </c>
      <c r="D15" s="6"/>
    </row>
    <row r="16" spans="1:4" ht="33">
      <c r="A16" s="7" t="s">
        <v>204</v>
      </c>
      <c r="B16" s="11" t="s">
        <v>233</v>
      </c>
      <c r="C16" s="1" t="s">
        <v>261</v>
      </c>
      <c r="D16" s="6"/>
    </row>
    <row r="17" spans="1:4" ht="33">
      <c r="A17" s="7" t="s">
        <v>205</v>
      </c>
      <c r="B17" s="11" t="s">
        <v>231</v>
      </c>
      <c r="C17" s="1" t="s">
        <v>261</v>
      </c>
      <c r="D17" s="6"/>
    </row>
    <row r="18" spans="1:4" ht="33">
      <c r="A18" s="7" t="s">
        <v>206</v>
      </c>
      <c r="B18" s="11" t="s">
        <v>234</v>
      </c>
      <c r="C18" s="1" t="s">
        <v>226</v>
      </c>
      <c r="D18" s="6"/>
    </row>
    <row r="19" spans="1:4" ht="33">
      <c r="A19" s="7" t="s">
        <v>207</v>
      </c>
      <c r="B19" s="11" t="s">
        <v>236</v>
      </c>
      <c r="C19" s="1" t="s">
        <v>212</v>
      </c>
      <c r="D19" s="6"/>
    </row>
    <row r="20" spans="1:4" ht="49.5">
      <c r="A20" s="8" t="s">
        <v>0</v>
      </c>
      <c r="B20" s="11" t="s">
        <v>223</v>
      </c>
      <c r="C20" s="1" t="s">
        <v>2231</v>
      </c>
      <c r="D20" s="6"/>
    </row>
    <row r="21" spans="1:4">
      <c r="A21" s="7" t="s">
        <v>224</v>
      </c>
      <c r="B21" s="11"/>
      <c r="C21" s="1" t="s">
        <v>2067</v>
      </c>
      <c r="D21" s="6"/>
    </row>
    <row r="22" spans="1:4">
      <c r="A22" s="9" t="s">
        <v>225</v>
      </c>
      <c r="B22" s="11"/>
      <c r="C22" s="1" t="s">
        <v>2061</v>
      </c>
      <c r="D22" s="10"/>
    </row>
    <row r="24" spans="1:4">
      <c r="A24" s="16" t="s">
        <v>1255</v>
      </c>
      <c r="B24" s="16" t="s">
        <v>1256</v>
      </c>
      <c r="C24" s="16" t="s">
        <v>1257</v>
      </c>
    </row>
    <row r="25" spans="1:4">
      <c r="A25" s="1" t="s">
        <v>1258</v>
      </c>
      <c r="B25" s="1" t="s">
        <v>1259</v>
      </c>
      <c r="C25" s="1" t="s">
        <v>61</v>
      </c>
    </row>
    <row r="26" spans="1:4">
      <c r="A26" s="1" t="s">
        <v>1261</v>
      </c>
      <c r="B26" s="1" t="s">
        <v>1262</v>
      </c>
      <c r="C26" s="1" t="s">
        <v>6</v>
      </c>
    </row>
    <row r="27" spans="1:4">
      <c r="A27" s="1" t="s">
        <v>1263</v>
      </c>
      <c r="B27" s="1" t="s">
        <v>1264</v>
      </c>
      <c r="C27" s="1" t="s">
        <v>2227</v>
      </c>
    </row>
    <row r="28" spans="1:4" ht="49.5">
      <c r="A28" s="1" t="s">
        <v>1266</v>
      </c>
      <c r="B28" s="1" t="s">
        <v>1267</v>
      </c>
      <c r="C28" s="1" t="s">
        <v>2228</v>
      </c>
    </row>
    <row r="29" spans="1:4" ht="82.5">
      <c r="A29" s="1" t="s">
        <v>1269</v>
      </c>
      <c r="B29" s="1" t="s">
        <v>1270</v>
      </c>
      <c r="C29" s="1" t="s">
        <v>2229</v>
      </c>
    </row>
    <row r="30" spans="1:4" ht="33">
      <c r="A30" s="1" t="s">
        <v>1272</v>
      </c>
      <c r="B30" s="1" t="s">
        <v>1273</v>
      </c>
      <c r="C30" s="1" t="s">
        <v>2171</v>
      </c>
    </row>
    <row r="31" spans="1:4" ht="82.5">
      <c r="A31" s="1" t="s">
        <v>1275</v>
      </c>
      <c r="B31" s="1" t="s">
        <v>298</v>
      </c>
      <c r="C31" s="1" t="s">
        <v>2230</v>
      </c>
    </row>
    <row r="32" spans="1:4">
      <c r="A32" s="1" t="s">
        <v>1277</v>
      </c>
      <c r="B32" s="1" t="s">
        <v>1278</v>
      </c>
      <c r="C32" s="1" t="s">
        <v>226</v>
      </c>
    </row>
    <row r="33" spans="1:3">
      <c r="A33" s="1" t="s">
        <v>1279</v>
      </c>
      <c r="B33" s="1" t="s">
        <v>1280</v>
      </c>
      <c r="C33" s="1" t="s">
        <v>211</v>
      </c>
    </row>
    <row r="34" spans="1:3">
      <c r="A34" s="1" t="s">
        <v>1281</v>
      </c>
      <c r="B34" s="1" t="s">
        <v>1282</v>
      </c>
      <c r="C34" s="1" t="s">
        <v>211</v>
      </c>
    </row>
    <row r="35" spans="1:3">
      <c r="A35" s="1" t="s">
        <v>1283</v>
      </c>
      <c r="B35" s="1" t="s">
        <v>1284</v>
      </c>
      <c r="C35" s="1" t="s">
        <v>211</v>
      </c>
    </row>
    <row r="36" spans="1:3">
      <c r="A36" s="1" t="s">
        <v>1285</v>
      </c>
      <c r="B36" s="1" t="s">
        <v>1286</v>
      </c>
      <c r="C36" s="1" t="s">
        <v>211</v>
      </c>
    </row>
    <row r="37" spans="1:3">
      <c r="A37" s="1" t="s">
        <v>1287</v>
      </c>
      <c r="B37" s="1" t="s">
        <v>1288</v>
      </c>
      <c r="C37" s="1" t="s">
        <v>210</v>
      </c>
    </row>
    <row r="38" spans="1:3">
      <c r="A38" s="1" t="s">
        <v>1289</v>
      </c>
      <c r="B38" s="1" t="s">
        <v>1290</v>
      </c>
      <c r="C38" s="1" t="s">
        <v>211</v>
      </c>
    </row>
    <row r="39" spans="1:3">
      <c r="A39" s="1" t="s">
        <v>1292</v>
      </c>
      <c r="B39" s="1" t="s">
        <v>1293</v>
      </c>
      <c r="C39" s="1" t="s">
        <v>261</v>
      </c>
    </row>
    <row r="40" spans="1:3">
      <c r="A40" s="1" t="s">
        <v>1294</v>
      </c>
      <c r="B40" s="1" t="s">
        <v>1295</v>
      </c>
      <c r="C40" s="1" t="s">
        <v>261</v>
      </c>
    </row>
    <row r="41" spans="1:3">
      <c r="A41" s="1" t="s">
        <v>1296</v>
      </c>
      <c r="B41" s="1" t="s">
        <v>1297</v>
      </c>
      <c r="C41" s="1" t="s">
        <v>226</v>
      </c>
    </row>
    <row r="42" spans="1:3">
      <c r="A42" s="1" t="s">
        <v>1298</v>
      </c>
      <c r="B42" s="1" t="s">
        <v>1299</v>
      </c>
      <c r="C42" s="1" t="s">
        <v>212</v>
      </c>
    </row>
    <row r="43" spans="1:3" ht="49.5">
      <c r="A43" s="1" t="s">
        <v>1300</v>
      </c>
      <c r="B43" s="1" t="s">
        <v>1301</v>
      </c>
      <c r="C43" s="1" t="s">
        <v>2231</v>
      </c>
    </row>
    <row r="44" spans="1:3">
      <c r="A44" s="1" t="s">
        <v>1303</v>
      </c>
      <c r="B44" s="1" t="s">
        <v>1304</v>
      </c>
      <c r="C44" s="1" t="s">
        <v>2067</v>
      </c>
    </row>
    <row r="45" spans="1:3">
      <c r="A45" s="1" t="s">
        <v>1306</v>
      </c>
      <c r="B45" s="1" t="s">
        <v>1307</v>
      </c>
      <c r="C45" s="1" t="s">
        <v>2061</v>
      </c>
    </row>
  </sheetData>
  <phoneticPr fontId="1" type="noConversion"/>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D1610-3297-4965-877C-CD3BA7A1D466}">
  <sheetPr>
    <tabColor theme="5"/>
  </sheetPr>
  <dimension ref="A1:D34"/>
  <sheetViews>
    <sheetView zoomScale="85" zoomScaleNormal="85" workbookViewId="0">
      <selection activeCell="D7" sqref="D7"/>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682</v>
      </c>
      <c r="D2" s="36" t="s">
        <v>682</v>
      </c>
    </row>
    <row r="3" spans="1:4">
      <c r="A3" s="7" t="s">
        <v>3</v>
      </c>
      <c r="B3" s="11" t="s">
        <v>216</v>
      </c>
      <c r="C3" s="11" t="s">
        <v>188</v>
      </c>
      <c r="D3" s="36" t="s">
        <v>188</v>
      </c>
    </row>
    <row r="4" spans="1:4">
      <c r="A4" s="7" t="s">
        <v>2</v>
      </c>
      <c r="B4" s="11" t="s">
        <v>217</v>
      </c>
      <c r="C4" s="11" t="s">
        <v>121</v>
      </c>
      <c r="D4" s="36" t="s">
        <v>121</v>
      </c>
    </row>
    <row r="5" spans="1:4" ht="49.5">
      <c r="A5" s="7" t="s">
        <v>241</v>
      </c>
      <c r="B5" s="13" t="s">
        <v>243</v>
      </c>
      <c r="C5" s="1" t="s">
        <v>681</v>
      </c>
      <c r="D5" s="30" t="s">
        <v>2840</v>
      </c>
    </row>
    <row r="6" spans="1:4" ht="66">
      <c r="A6" s="7" t="s">
        <v>242</v>
      </c>
      <c r="B6" s="13" t="s">
        <v>244</v>
      </c>
      <c r="C6" s="1" t="s">
        <v>2244</v>
      </c>
      <c r="D6" s="30" t="s">
        <v>2246</v>
      </c>
    </row>
    <row r="7" spans="1:4" ht="33">
      <c r="A7" s="7" t="s">
        <v>196</v>
      </c>
      <c r="B7" s="12" t="s">
        <v>218</v>
      </c>
      <c r="C7" s="1" t="s">
        <v>680</v>
      </c>
      <c r="D7" s="6"/>
    </row>
    <row r="8" spans="1:4" ht="99">
      <c r="A8" s="7" t="s">
        <v>197</v>
      </c>
      <c r="B8" s="13" t="s">
        <v>232</v>
      </c>
      <c r="C8" s="1" t="s">
        <v>2281</v>
      </c>
      <c r="D8" s="6"/>
    </row>
    <row r="9" spans="1:4" ht="33">
      <c r="A9" s="7" t="s">
        <v>198</v>
      </c>
      <c r="B9" s="13" t="s">
        <v>230</v>
      </c>
      <c r="C9" s="20" t="s">
        <v>291</v>
      </c>
      <c r="D9" s="6"/>
    </row>
    <row r="10" spans="1:4" ht="33">
      <c r="A10" s="7" t="s">
        <v>199</v>
      </c>
      <c r="B10" s="11" t="s">
        <v>228</v>
      </c>
      <c r="C10" s="1" t="s">
        <v>288</v>
      </c>
      <c r="D10" s="30" t="s">
        <v>288</v>
      </c>
    </row>
    <row r="11" spans="1:4">
      <c r="A11" s="7" t="s">
        <v>200</v>
      </c>
      <c r="B11" s="11" t="s">
        <v>239</v>
      </c>
      <c r="C11" s="1" t="s">
        <v>2243</v>
      </c>
      <c r="D11" s="30" t="s">
        <v>2243</v>
      </c>
    </row>
    <row r="12" spans="1:4">
      <c r="A12" s="7" t="s">
        <v>180</v>
      </c>
      <c r="B12" s="11" t="s">
        <v>219</v>
      </c>
      <c r="C12" s="1">
        <v>29051220</v>
      </c>
      <c r="D12" s="30">
        <v>29051220</v>
      </c>
    </row>
    <row r="13" spans="1:4" ht="33">
      <c r="A13" s="7" t="s">
        <v>201</v>
      </c>
      <c r="B13" s="11" t="s">
        <v>229</v>
      </c>
      <c r="C13" s="1" t="s">
        <v>270</v>
      </c>
      <c r="D13" s="30" t="s">
        <v>270</v>
      </c>
    </row>
    <row r="14" spans="1:4" ht="33">
      <c r="A14" s="7" t="s">
        <v>202</v>
      </c>
      <c r="B14" s="11" t="s">
        <v>235</v>
      </c>
      <c r="C14" s="21" t="s">
        <v>288</v>
      </c>
      <c r="D14" s="6"/>
    </row>
    <row r="15" spans="1:4">
      <c r="A15" s="7" t="s">
        <v>203</v>
      </c>
      <c r="B15" s="11" t="s">
        <v>220</v>
      </c>
      <c r="C15" s="21" t="s">
        <v>679</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49.5">
      <c r="A20" s="8" t="s">
        <v>0</v>
      </c>
      <c r="B20" s="11" t="s">
        <v>223</v>
      </c>
      <c r="C20" s="1" t="s">
        <v>2245</v>
      </c>
      <c r="D20" s="6"/>
    </row>
    <row r="21" spans="1:4" ht="33">
      <c r="A21" s="7" t="s">
        <v>224</v>
      </c>
      <c r="B21" s="11"/>
      <c r="C21" s="14" t="s">
        <v>678</v>
      </c>
      <c r="D21" s="6"/>
    </row>
    <row r="22" spans="1:4" ht="33">
      <c r="A22" s="9" t="s">
        <v>225</v>
      </c>
      <c r="B22" s="11"/>
      <c r="C22" s="1" t="s">
        <v>677</v>
      </c>
      <c r="D22" s="10"/>
    </row>
    <row r="24" spans="1:4">
      <c r="A24" s="16" t="s">
        <v>327</v>
      </c>
      <c r="B24" s="16" t="s">
        <v>984</v>
      </c>
      <c r="C24" s="16" t="s">
        <v>328</v>
      </c>
      <c r="D24" s="16" t="s">
        <v>329</v>
      </c>
    </row>
    <row r="25" spans="1:4" ht="49.5">
      <c r="A25" s="1" t="s">
        <v>2247</v>
      </c>
      <c r="B25" s="1" t="s">
        <v>1100</v>
      </c>
      <c r="C25" s="1" t="s">
        <v>2248</v>
      </c>
      <c r="D25" s="1" t="s">
        <v>2249</v>
      </c>
    </row>
    <row r="26" spans="1:4" ht="49.5">
      <c r="A26" s="1" t="s">
        <v>2250</v>
      </c>
      <c r="B26" s="1" t="s">
        <v>956</v>
      </c>
      <c r="C26" s="1" t="s">
        <v>2251</v>
      </c>
      <c r="D26" s="1" t="s">
        <v>2252</v>
      </c>
    </row>
    <row r="27" spans="1:4" ht="49.5">
      <c r="A27" s="1" t="s">
        <v>2253</v>
      </c>
      <c r="B27" s="1" t="s">
        <v>340</v>
      </c>
      <c r="C27" s="1" t="s">
        <v>2254</v>
      </c>
      <c r="D27" s="1" t="s">
        <v>2255</v>
      </c>
    </row>
    <row r="28" spans="1:4" ht="49.5">
      <c r="A28" s="1" t="s">
        <v>2256</v>
      </c>
      <c r="B28" s="1" t="s">
        <v>348</v>
      </c>
      <c r="C28" s="1" t="s">
        <v>2257</v>
      </c>
      <c r="D28" s="1" t="s">
        <v>2103</v>
      </c>
    </row>
    <row r="29" spans="1:4" ht="33">
      <c r="A29" s="1" t="s">
        <v>2187</v>
      </c>
      <c r="B29" s="1" t="s">
        <v>348</v>
      </c>
      <c r="C29" s="1" t="s">
        <v>2258</v>
      </c>
      <c r="D29" s="1" t="s">
        <v>2259</v>
      </c>
    </row>
    <row r="30" spans="1:4" ht="49.5">
      <c r="A30" s="1" t="s">
        <v>2260</v>
      </c>
      <c r="B30" s="1" t="s">
        <v>340</v>
      </c>
      <c r="C30" s="1" t="s">
        <v>2261</v>
      </c>
      <c r="D30" s="1" t="s">
        <v>2262</v>
      </c>
    </row>
    <row r="31" spans="1:4" ht="33">
      <c r="A31" s="1" t="s">
        <v>2263</v>
      </c>
      <c r="B31" s="1" t="s">
        <v>348</v>
      </c>
      <c r="C31" s="1" t="s">
        <v>2264</v>
      </c>
      <c r="D31" s="1" t="s">
        <v>2265</v>
      </c>
    </row>
    <row r="32" spans="1:4" ht="33">
      <c r="A32" s="1" t="s">
        <v>2266</v>
      </c>
      <c r="B32" s="1" t="s">
        <v>332</v>
      </c>
      <c r="C32" s="1" t="s">
        <v>2267</v>
      </c>
      <c r="D32" s="1" t="s">
        <v>2268</v>
      </c>
    </row>
    <row r="33" spans="1:4" ht="49.5">
      <c r="A33" s="1" t="s">
        <v>85</v>
      </c>
      <c r="B33" s="1" t="s">
        <v>348</v>
      </c>
      <c r="C33" s="1" t="s">
        <v>2269</v>
      </c>
      <c r="D33" s="1" t="s">
        <v>2209</v>
      </c>
    </row>
    <row r="34" spans="1:4" ht="33">
      <c r="A34" s="1" t="s">
        <v>2270</v>
      </c>
      <c r="B34" s="1" t="s">
        <v>956</v>
      </c>
      <c r="C34" s="1" t="s">
        <v>2271</v>
      </c>
      <c r="D34" s="1" t="s">
        <v>2272</v>
      </c>
    </row>
  </sheetData>
  <phoneticPr fontId="1" type="noConversion"/>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1602D-101B-4A08-B3AD-4768A622A5F3}">
  <sheetPr>
    <tabColor theme="5"/>
  </sheetPr>
  <dimension ref="A1:D3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63</v>
      </c>
      <c r="D2" s="30" t="s">
        <v>63</v>
      </c>
    </row>
    <row r="3" spans="1:4">
      <c r="A3" s="7" t="s">
        <v>3</v>
      </c>
      <c r="B3" s="11" t="s">
        <v>216</v>
      </c>
      <c r="C3" s="1" t="s">
        <v>6</v>
      </c>
      <c r="D3" s="30" t="s">
        <v>6</v>
      </c>
    </row>
    <row r="4" spans="1:4">
      <c r="A4" s="7" t="s">
        <v>2</v>
      </c>
      <c r="B4" s="11" t="s">
        <v>217</v>
      </c>
      <c r="C4" s="1" t="s">
        <v>2273</v>
      </c>
      <c r="D4" s="30" t="s">
        <v>2273</v>
      </c>
    </row>
    <row r="5" spans="1:4" ht="49.5">
      <c r="A5" s="7" t="s">
        <v>241</v>
      </c>
      <c r="B5" s="13" t="s">
        <v>243</v>
      </c>
      <c r="C5" s="1" t="s">
        <v>2274</v>
      </c>
      <c r="D5" s="30" t="s">
        <v>2279</v>
      </c>
    </row>
    <row r="6" spans="1:4" ht="49.5">
      <c r="A6" s="7" t="s">
        <v>242</v>
      </c>
      <c r="B6" s="13" t="s">
        <v>244</v>
      </c>
      <c r="C6" s="1" t="s">
        <v>2275</v>
      </c>
      <c r="D6" s="30" t="s">
        <v>2280</v>
      </c>
    </row>
    <row r="7" spans="1:4" ht="33">
      <c r="A7" s="7" t="s">
        <v>196</v>
      </c>
      <c r="B7" s="12" t="s">
        <v>218</v>
      </c>
      <c r="C7" s="1" t="s">
        <v>2276</v>
      </c>
      <c r="D7" s="6"/>
    </row>
    <row r="8" spans="1:4" ht="82.5">
      <c r="A8" s="7" t="s">
        <v>197</v>
      </c>
      <c r="B8" s="13" t="s">
        <v>232</v>
      </c>
      <c r="C8" s="1" t="s">
        <v>2277</v>
      </c>
      <c r="D8" s="6"/>
    </row>
    <row r="9" spans="1:4" ht="33">
      <c r="A9" s="7" t="s">
        <v>198</v>
      </c>
      <c r="B9" s="13" t="s">
        <v>230</v>
      </c>
      <c r="C9" s="20" t="s">
        <v>291</v>
      </c>
      <c r="D9" s="6"/>
    </row>
    <row r="10" spans="1:4" ht="33">
      <c r="A10" s="7" t="s">
        <v>199</v>
      </c>
      <c r="B10" s="11" t="s">
        <v>228</v>
      </c>
      <c r="C10" s="1" t="s">
        <v>211</v>
      </c>
      <c r="D10" s="30" t="s">
        <v>211</v>
      </c>
    </row>
    <row r="11" spans="1:4">
      <c r="A11" s="7" t="s">
        <v>200</v>
      </c>
      <c r="B11" s="11" t="s">
        <v>239</v>
      </c>
      <c r="C11" s="1" t="s">
        <v>211</v>
      </c>
      <c r="D11" s="30" t="s">
        <v>211</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21" t="s">
        <v>673</v>
      </c>
      <c r="D14" s="6"/>
    </row>
    <row r="15" spans="1:4">
      <c r="A15" s="7" t="s">
        <v>203</v>
      </c>
      <c r="B15" s="11" t="s">
        <v>220</v>
      </c>
      <c r="C15" s="21" t="s">
        <v>270</v>
      </c>
      <c r="D15" s="6"/>
    </row>
    <row r="16" spans="1:4" ht="33">
      <c r="A16" s="7" t="s">
        <v>204</v>
      </c>
      <c r="B16" s="11" t="s">
        <v>233</v>
      </c>
      <c r="C16" s="20" t="s">
        <v>252</v>
      </c>
      <c r="D16" s="6"/>
    </row>
    <row r="17" spans="1:4" ht="33">
      <c r="A17" s="7" t="s">
        <v>205</v>
      </c>
      <c r="B17" s="11" t="s">
        <v>231</v>
      </c>
      <c r="C17" s="1" t="s">
        <v>252</v>
      </c>
      <c r="D17" s="6"/>
    </row>
    <row r="18" spans="1:4" ht="33">
      <c r="A18" s="7" t="s">
        <v>206</v>
      </c>
      <c r="B18" s="11" t="s">
        <v>234</v>
      </c>
      <c r="C18" s="20" t="s">
        <v>291</v>
      </c>
      <c r="D18" s="6"/>
    </row>
    <row r="19" spans="1:4" ht="33">
      <c r="A19" s="7" t="s">
        <v>207</v>
      </c>
      <c r="B19" s="11" t="s">
        <v>236</v>
      </c>
      <c r="C19" s="1" t="s">
        <v>212</v>
      </c>
      <c r="D19" s="6"/>
    </row>
    <row r="20" spans="1:4" ht="33">
      <c r="A20" s="8" t="s">
        <v>0</v>
      </c>
      <c r="B20" s="11" t="s">
        <v>223</v>
      </c>
      <c r="C20" s="1" t="s">
        <v>2278</v>
      </c>
      <c r="D20" s="6"/>
    </row>
    <row r="21" spans="1:4" ht="33">
      <c r="A21" s="7" t="s">
        <v>224</v>
      </c>
      <c r="B21" s="11"/>
      <c r="C21" s="14" t="s">
        <v>683</v>
      </c>
      <c r="D21" s="6"/>
    </row>
    <row r="22" spans="1:4">
      <c r="A22" s="9" t="s">
        <v>225</v>
      </c>
      <c r="B22" s="11"/>
      <c r="C22" s="1" t="s">
        <v>270</v>
      </c>
      <c r="D22" s="10"/>
    </row>
    <row r="24" spans="1:4">
      <c r="A24" s="16" t="s">
        <v>327</v>
      </c>
      <c r="B24" s="16" t="s">
        <v>984</v>
      </c>
      <c r="C24" s="16" t="s">
        <v>328</v>
      </c>
      <c r="D24" s="16" t="s">
        <v>329</v>
      </c>
    </row>
    <row r="25" spans="1:4" ht="49.5">
      <c r="A25" s="1" t="s">
        <v>2021</v>
      </c>
      <c r="B25" s="1" t="s">
        <v>348</v>
      </c>
      <c r="C25" s="1" t="s">
        <v>2282</v>
      </c>
      <c r="D25" s="1" t="s">
        <v>2103</v>
      </c>
    </row>
    <row r="26" spans="1:4" ht="33">
      <c r="A26" s="1" t="s">
        <v>2018</v>
      </c>
      <c r="B26" s="1" t="s">
        <v>336</v>
      </c>
      <c r="C26" s="1" t="s">
        <v>2283</v>
      </c>
      <c r="D26" s="1" t="s">
        <v>2157</v>
      </c>
    </row>
    <row r="27" spans="1:4" ht="33">
      <c r="A27" s="1" t="s">
        <v>2184</v>
      </c>
      <c r="B27" s="1" t="s">
        <v>406</v>
      </c>
      <c r="C27" s="1" t="s">
        <v>2284</v>
      </c>
      <c r="D27" s="1" t="s">
        <v>2186</v>
      </c>
    </row>
    <row r="28" spans="1:4" ht="33">
      <c r="A28" s="1" t="s">
        <v>2187</v>
      </c>
      <c r="B28" s="1" t="s">
        <v>960</v>
      </c>
      <c r="C28" s="1" t="s">
        <v>2285</v>
      </c>
      <c r="D28" s="1" t="s">
        <v>2046</v>
      </c>
    </row>
    <row r="29" spans="1:4" ht="49.5">
      <c r="A29" s="1" t="s">
        <v>2189</v>
      </c>
      <c r="B29" s="1" t="s">
        <v>348</v>
      </c>
      <c r="C29" s="1" t="s">
        <v>2286</v>
      </c>
      <c r="D29" s="1" t="s">
        <v>2191</v>
      </c>
    </row>
    <row r="30" spans="1:4" ht="49.5">
      <c r="A30" s="1" t="s">
        <v>2287</v>
      </c>
      <c r="B30" s="1" t="s">
        <v>340</v>
      </c>
      <c r="C30" s="1" t="s">
        <v>2288</v>
      </c>
      <c r="D30" s="1" t="s">
        <v>2207</v>
      </c>
    </row>
    <row r="31" spans="1:4" ht="33">
      <c r="A31" s="1" t="s">
        <v>2195</v>
      </c>
      <c r="B31" s="1" t="s">
        <v>348</v>
      </c>
      <c r="C31" s="1" t="s">
        <v>2289</v>
      </c>
      <c r="D31" s="1" t="s">
        <v>2265</v>
      </c>
    </row>
    <row r="32" spans="1:4" ht="33">
      <c r="A32" s="1" t="s">
        <v>2197</v>
      </c>
      <c r="B32" s="1" t="s">
        <v>348</v>
      </c>
      <c r="C32" s="1" t="s">
        <v>2290</v>
      </c>
      <c r="D32" s="1" t="s">
        <v>2199</v>
      </c>
    </row>
  </sheetData>
  <phoneticPr fontId="1" type="noConversion"/>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E1C49-00EA-4A74-9C69-B241828ED20C}">
  <sheetPr>
    <tabColor theme="6"/>
  </sheetPr>
  <dimension ref="A1:D3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64</v>
      </c>
      <c r="D2" s="30" t="s">
        <v>64</v>
      </c>
    </row>
    <row r="3" spans="1:4">
      <c r="A3" s="7" t="s">
        <v>3</v>
      </c>
      <c r="B3" s="11" t="s">
        <v>216</v>
      </c>
      <c r="C3" s="1" t="s">
        <v>12</v>
      </c>
      <c r="D3" s="30" t="s">
        <v>12</v>
      </c>
    </row>
    <row r="4" spans="1:4">
      <c r="A4" s="7" t="s">
        <v>2</v>
      </c>
      <c r="B4" s="11" t="s">
        <v>217</v>
      </c>
      <c r="C4" s="1" t="s">
        <v>19</v>
      </c>
      <c r="D4" s="30" t="s">
        <v>19</v>
      </c>
    </row>
    <row r="5" spans="1:4" ht="54" customHeight="1">
      <c r="A5" s="7" t="s">
        <v>241</v>
      </c>
      <c r="B5" s="13" t="s">
        <v>243</v>
      </c>
      <c r="C5" s="1" t="s">
        <v>754</v>
      </c>
      <c r="D5" s="37" t="s">
        <v>1650</v>
      </c>
    </row>
    <row r="6" spans="1:4" ht="66">
      <c r="A6" s="7" t="s">
        <v>242</v>
      </c>
      <c r="B6" s="13" t="s">
        <v>244</v>
      </c>
      <c r="C6" s="1" t="s">
        <v>755</v>
      </c>
      <c r="D6" s="37" t="s">
        <v>1646</v>
      </c>
    </row>
    <row r="7" spans="1:4" ht="33">
      <c r="A7" s="7" t="s">
        <v>196</v>
      </c>
      <c r="B7" s="12" t="s">
        <v>218</v>
      </c>
      <c r="C7" s="1" t="s">
        <v>756</v>
      </c>
      <c r="D7" s="6"/>
    </row>
    <row r="8" spans="1:4" ht="99">
      <c r="A8" s="7" t="s">
        <v>197</v>
      </c>
      <c r="B8" s="13" t="s">
        <v>232</v>
      </c>
      <c r="C8" s="1" t="s">
        <v>757</v>
      </c>
      <c r="D8" s="6" t="s">
        <v>1642</v>
      </c>
    </row>
    <row r="9" spans="1:4" ht="33">
      <c r="A9" s="7" t="s">
        <v>198</v>
      </c>
      <c r="B9" s="13" t="s">
        <v>230</v>
      </c>
      <c r="C9" s="1" t="s">
        <v>226</v>
      </c>
      <c r="D9" s="6" t="s">
        <v>291</v>
      </c>
    </row>
    <row r="10" spans="1:4" ht="33">
      <c r="A10" s="7" t="s">
        <v>199</v>
      </c>
      <c r="B10" s="11" t="s">
        <v>228</v>
      </c>
      <c r="C10" s="1" t="s">
        <v>210</v>
      </c>
      <c r="D10" s="30" t="s">
        <v>210</v>
      </c>
    </row>
    <row r="11" spans="1:4" ht="49.5">
      <c r="A11" s="7" t="s">
        <v>200</v>
      </c>
      <c r="B11" s="11" t="s">
        <v>239</v>
      </c>
      <c r="C11" s="1" t="s">
        <v>1641</v>
      </c>
      <c r="D11" s="30" t="s">
        <v>1641</v>
      </c>
    </row>
    <row r="12" spans="1:4">
      <c r="A12" s="7" t="s">
        <v>180</v>
      </c>
      <c r="B12" s="11" t="s">
        <v>219</v>
      </c>
      <c r="C12" s="1">
        <v>2901241000</v>
      </c>
      <c r="D12" s="30">
        <v>2901241000</v>
      </c>
    </row>
    <row r="13" spans="1:4" ht="33">
      <c r="A13" s="7" t="s">
        <v>201</v>
      </c>
      <c r="B13" s="11" t="s">
        <v>229</v>
      </c>
      <c r="C13" s="1" t="s">
        <v>290</v>
      </c>
      <c r="D13" s="30" t="s">
        <v>290</v>
      </c>
    </row>
    <row r="14" spans="1:4" ht="33">
      <c r="A14" s="7" t="s">
        <v>202</v>
      </c>
      <c r="B14" s="11" t="s">
        <v>235</v>
      </c>
      <c r="C14" s="1" t="s">
        <v>210</v>
      </c>
      <c r="D14" s="6"/>
    </row>
    <row r="15" spans="1:4">
      <c r="A15" s="7" t="s">
        <v>203</v>
      </c>
      <c r="B15" s="11" t="s">
        <v>220</v>
      </c>
      <c r="C15" s="1" t="s">
        <v>758</v>
      </c>
      <c r="D15" s="6"/>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292</v>
      </c>
      <c r="D19" s="6"/>
    </row>
    <row r="20" spans="1:4" ht="181.5">
      <c r="A20" s="8" t="s">
        <v>0</v>
      </c>
      <c r="B20" s="11" t="s">
        <v>223</v>
      </c>
      <c r="C20" s="1" t="s">
        <v>760</v>
      </c>
      <c r="D20" s="6"/>
    </row>
    <row r="21" spans="1:4">
      <c r="A21" s="7" t="s">
        <v>224</v>
      </c>
      <c r="B21" s="11"/>
      <c r="C21" s="1" t="s">
        <v>759</v>
      </c>
      <c r="D21" s="6"/>
    </row>
    <row r="22" spans="1:4">
      <c r="A22" s="9" t="s">
        <v>225</v>
      </c>
      <c r="B22" s="11"/>
      <c r="C22" s="1" t="s">
        <v>211</v>
      </c>
      <c r="D22" s="10"/>
    </row>
    <row r="24" spans="1:4">
      <c r="A24" s="16" t="s">
        <v>327</v>
      </c>
      <c r="B24" s="16" t="s">
        <v>298</v>
      </c>
      <c r="C24" s="16" t="s">
        <v>328</v>
      </c>
      <c r="D24" s="16" t="s">
        <v>329</v>
      </c>
    </row>
    <row r="25" spans="1:4" ht="33">
      <c r="A25" s="1" t="s">
        <v>761</v>
      </c>
      <c r="B25" s="1" t="s">
        <v>406</v>
      </c>
      <c r="C25" s="1" t="s">
        <v>762</v>
      </c>
      <c r="D25" s="1" t="s">
        <v>763</v>
      </c>
    </row>
    <row r="26" spans="1:4" ht="33">
      <c r="A26" s="1" t="s">
        <v>87</v>
      </c>
      <c r="B26" s="1" t="s">
        <v>406</v>
      </c>
      <c r="C26" s="1" t="s">
        <v>764</v>
      </c>
      <c r="D26" s="1" t="s">
        <v>765</v>
      </c>
    </row>
    <row r="27" spans="1:4" ht="49.5">
      <c r="A27" s="1" t="s">
        <v>766</v>
      </c>
      <c r="B27" s="1" t="s">
        <v>768</v>
      </c>
      <c r="C27" s="1" t="s">
        <v>767</v>
      </c>
      <c r="D27" s="1" t="s">
        <v>769</v>
      </c>
    </row>
    <row r="28" spans="1:4" ht="33">
      <c r="A28" s="1" t="s">
        <v>770</v>
      </c>
      <c r="B28" s="1" t="s">
        <v>772</v>
      </c>
      <c r="C28" s="1" t="s">
        <v>771</v>
      </c>
      <c r="D28" s="1" t="s">
        <v>773</v>
      </c>
    </row>
    <row r="29" spans="1:4">
      <c r="A29" s="1" t="s">
        <v>774</v>
      </c>
      <c r="B29" s="1" t="s">
        <v>776</v>
      </c>
      <c r="C29" s="1" t="s">
        <v>775</v>
      </c>
      <c r="D29" s="1" t="s">
        <v>777</v>
      </c>
    </row>
    <row r="30" spans="1:4" ht="33">
      <c r="A30" s="1" t="s">
        <v>778</v>
      </c>
      <c r="B30" s="1" t="s">
        <v>780</v>
      </c>
      <c r="C30" s="1" t="s">
        <v>779</v>
      </c>
      <c r="D30" s="1" t="s">
        <v>781</v>
      </c>
    </row>
    <row r="31" spans="1:4" ht="33">
      <c r="A31" s="1" t="s">
        <v>782</v>
      </c>
      <c r="B31" s="1" t="s">
        <v>564</v>
      </c>
      <c r="C31" s="1" t="s">
        <v>783</v>
      </c>
      <c r="D31" s="1" t="s">
        <v>784</v>
      </c>
    </row>
    <row r="32" spans="1:4" ht="33">
      <c r="A32" s="1" t="s">
        <v>785</v>
      </c>
      <c r="B32" s="1" t="s">
        <v>535</v>
      </c>
      <c r="C32" s="1" t="s">
        <v>786</v>
      </c>
      <c r="D32" s="1" t="s">
        <v>787</v>
      </c>
    </row>
  </sheetData>
  <phoneticPr fontId="1" type="noConversion"/>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819B0-A129-4EDB-886F-1DDB8755FC00}">
  <sheetPr>
    <tabColor theme="6"/>
  </sheetPr>
  <dimension ref="A1:D31"/>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65</v>
      </c>
      <c r="D2" s="30" t="s">
        <v>65</v>
      </c>
    </row>
    <row r="3" spans="1:4">
      <c r="A3" s="7" t="s">
        <v>3</v>
      </c>
      <c r="B3" s="11" t="s">
        <v>216</v>
      </c>
      <c r="C3" s="1" t="s">
        <v>12</v>
      </c>
      <c r="D3" s="30" t="s">
        <v>12</v>
      </c>
    </row>
    <row r="4" spans="1:4">
      <c r="A4" s="7" t="s">
        <v>2</v>
      </c>
      <c r="B4" s="11" t="s">
        <v>217</v>
      </c>
      <c r="C4" s="1" t="s">
        <v>788</v>
      </c>
      <c r="D4" s="30" t="s">
        <v>1644</v>
      </c>
    </row>
    <row r="5" spans="1:4" ht="49.5">
      <c r="A5" s="7" t="s">
        <v>241</v>
      </c>
      <c r="B5" s="13" t="s">
        <v>243</v>
      </c>
      <c r="C5" s="1" t="s">
        <v>789</v>
      </c>
      <c r="D5" s="37" t="s">
        <v>1652</v>
      </c>
    </row>
    <row r="6" spans="1:4" ht="66">
      <c r="A6" s="7" t="s">
        <v>242</v>
      </c>
      <c r="B6" s="13" t="s">
        <v>244</v>
      </c>
      <c r="C6" s="1" t="s">
        <v>790</v>
      </c>
      <c r="D6" s="37" t="s">
        <v>1647</v>
      </c>
    </row>
    <row r="7" spans="1:4" ht="33">
      <c r="A7" s="7" t="s">
        <v>196</v>
      </c>
      <c r="B7" s="12" t="s">
        <v>218</v>
      </c>
      <c r="C7" s="1" t="s">
        <v>791</v>
      </c>
      <c r="D7" s="6"/>
    </row>
    <row r="8" spans="1:4" ht="115.5">
      <c r="A8" s="7" t="s">
        <v>197</v>
      </c>
      <c r="B8" s="13" t="s">
        <v>232</v>
      </c>
      <c r="C8" s="1" t="s">
        <v>792</v>
      </c>
      <c r="D8" s="6" t="s">
        <v>1645</v>
      </c>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1643</v>
      </c>
      <c r="D11" s="30" t="s">
        <v>1643</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ht="33">
      <c r="A15" s="7" t="s">
        <v>203</v>
      </c>
      <c r="B15" s="11" t="s">
        <v>220</v>
      </c>
      <c r="C15" s="1" t="s">
        <v>793</v>
      </c>
      <c r="D15" s="6"/>
    </row>
    <row r="16" spans="1:4" ht="33">
      <c r="A16" s="7" t="s">
        <v>204</v>
      </c>
      <c r="B16" s="11" t="s">
        <v>233</v>
      </c>
      <c r="C16" s="1" t="s">
        <v>221</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292</v>
      </c>
      <c r="D19" s="6"/>
    </row>
    <row r="20" spans="1:4" ht="148.5">
      <c r="A20" s="8" t="s">
        <v>0</v>
      </c>
      <c r="B20" s="11" t="s">
        <v>223</v>
      </c>
      <c r="C20" s="1" t="s">
        <v>817</v>
      </c>
      <c r="D20" s="6"/>
    </row>
    <row r="21" spans="1:4">
      <c r="A21" s="7" t="s">
        <v>224</v>
      </c>
      <c r="B21" s="11"/>
      <c r="C21" s="1" t="s">
        <v>794</v>
      </c>
      <c r="D21" s="6"/>
    </row>
    <row r="22" spans="1:4">
      <c r="A22" s="9" t="s">
        <v>225</v>
      </c>
      <c r="B22" s="11"/>
      <c r="C22" s="1" t="s">
        <v>211</v>
      </c>
      <c r="D22" s="10"/>
    </row>
    <row r="24" spans="1:4">
      <c r="A24" s="16" t="s">
        <v>327</v>
      </c>
      <c r="B24" s="16" t="s">
        <v>298</v>
      </c>
      <c r="C24" s="16" t="s">
        <v>328</v>
      </c>
      <c r="D24" s="16" t="s">
        <v>329</v>
      </c>
    </row>
    <row r="25" spans="1:4" ht="49.5">
      <c r="A25" s="1" t="s">
        <v>795</v>
      </c>
      <c r="B25" s="1" t="s">
        <v>406</v>
      </c>
      <c r="C25" s="1" t="s">
        <v>796</v>
      </c>
      <c r="D25" s="1" t="s">
        <v>797</v>
      </c>
    </row>
    <row r="26" spans="1:4" ht="49.5">
      <c r="A26" s="1" t="s">
        <v>798</v>
      </c>
      <c r="B26" s="1" t="s">
        <v>406</v>
      </c>
      <c r="C26" s="1" t="s">
        <v>799</v>
      </c>
      <c r="D26" s="1" t="s">
        <v>800</v>
      </c>
    </row>
    <row r="27" spans="1:4" ht="49.5">
      <c r="A27" s="1" t="s">
        <v>801</v>
      </c>
      <c r="B27" s="1" t="s">
        <v>371</v>
      </c>
      <c r="C27" s="1" t="s">
        <v>802</v>
      </c>
      <c r="D27" s="1" t="s">
        <v>803</v>
      </c>
    </row>
    <row r="28" spans="1:4" ht="33">
      <c r="A28" s="1" t="s">
        <v>804</v>
      </c>
      <c r="B28" s="1" t="s">
        <v>564</v>
      </c>
      <c r="C28" s="1" t="s">
        <v>805</v>
      </c>
      <c r="D28" s="1" t="s">
        <v>806</v>
      </c>
    </row>
    <row r="29" spans="1:4" ht="33">
      <c r="A29" s="1" t="s">
        <v>807</v>
      </c>
      <c r="B29" s="1" t="s">
        <v>776</v>
      </c>
      <c r="C29" s="1" t="s">
        <v>808</v>
      </c>
      <c r="D29" s="1" t="s">
        <v>809</v>
      </c>
    </row>
    <row r="30" spans="1:4" ht="33">
      <c r="A30" s="1" t="s">
        <v>810</v>
      </c>
      <c r="B30" s="1" t="s">
        <v>340</v>
      </c>
      <c r="C30" s="1" t="s">
        <v>811</v>
      </c>
      <c r="D30" s="1" t="s">
        <v>812</v>
      </c>
    </row>
    <row r="31" spans="1:4" ht="33">
      <c r="A31" s="1" t="s">
        <v>813</v>
      </c>
      <c r="B31" s="1" t="s">
        <v>815</v>
      </c>
      <c r="C31" s="1" t="s">
        <v>814</v>
      </c>
      <c r="D31" s="1" t="s">
        <v>816</v>
      </c>
    </row>
  </sheetData>
  <phoneticPr fontId="1" type="noConversion"/>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ECE2-6A19-4469-889B-D022FD3C0E89}">
  <sheetPr>
    <tabColor theme="6"/>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66</v>
      </c>
      <c r="D2" s="30" t="s">
        <v>66</v>
      </c>
    </row>
    <row r="3" spans="1:4">
      <c r="A3" s="7" t="s">
        <v>3</v>
      </c>
      <c r="B3" s="11" t="s">
        <v>216</v>
      </c>
      <c r="C3" s="1" t="s">
        <v>12</v>
      </c>
      <c r="D3" s="30" t="s">
        <v>12</v>
      </c>
    </row>
    <row r="4" spans="1:4">
      <c r="A4" s="7" t="s">
        <v>2</v>
      </c>
      <c r="B4" s="11" t="s">
        <v>217</v>
      </c>
      <c r="C4" s="1" t="s">
        <v>818</v>
      </c>
      <c r="D4" s="30" t="s">
        <v>1648</v>
      </c>
    </row>
    <row r="5" spans="1:4" ht="66">
      <c r="A5" s="7" t="s">
        <v>241</v>
      </c>
      <c r="B5" s="13" t="s">
        <v>243</v>
      </c>
      <c r="C5" s="1" t="s">
        <v>819</v>
      </c>
      <c r="D5" s="37" t="s">
        <v>1653</v>
      </c>
    </row>
    <row r="6" spans="1:4" ht="66">
      <c r="A6" s="7" t="s">
        <v>242</v>
      </c>
      <c r="B6" s="13" t="s">
        <v>244</v>
      </c>
      <c r="C6" s="1" t="s">
        <v>820</v>
      </c>
      <c r="D6" s="37" t="s">
        <v>1649</v>
      </c>
    </row>
    <row r="7" spans="1:4" ht="33">
      <c r="A7" s="7" t="s">
        <v>196</v>
      </c>
      <c r="B7" s="12" t="s">
        <v>218</v>
      </c>
      <c r="C7" s="1" t="s">
        <v>821</v>
      </c>
      <c r="D7" s="6"/>
    </row>
    <row r="8" spans="1:4" ht="99">
      <c r="A8" s="7" t="s">
        <v>197</v>
      </c>
      <c r="B8" s="13" t="s">
        <v>232</v>
      </c>
      <c r="C8" s="1" t="s">
        <v>822</v>
      </c>
      <c r="D8" s="6" t="s">
        <v>1645</v>
      </c>
    </row>
    <row r="9" spans="1:4" ht="33">
      <c r="A9" s="7" t="s">
        <v>198</v>
      </c>
      <c r="B9" s="13" t="s">
        <v>230</v>
      </c>
      <c r="C9" s="1" t="s">
        <v>261</v>
      </c>
      <c r="D9" s="6"/>
    </row>
    <row r="10" spans="1:4" ht="33">
      <c r="A10" s="7" t="s">
        <v>199</v>
      </c>
      <c r="B10" s="11" t="s">
        <v>228</v>
      </c>
      <c r="C10" s="1" t="s">
        <v>210</v>
      </c>
      <c r="D10" s="30" t="s">
        <v>210</v>
      </c>
    </row>
    <row r="11" spans="1:4" ht="33">
      <c r="A11" s="7" t="s">
        <v>200</v>
      </c>
      <c r="B11" s="11" t="s">
        <v>239</v>
      </c>
      <c r="C11" s="1" t="s">
        <v>1656</v>
      </c>
      <c r="D11" s="30" t="s">
        <v>1656</v>
      </c>
    </row>
    <row r="12" spans="1:4">
      <c r="A12" s="7" t="s">
        <v>180</v>
      </c>
      <c r="B12" s="11" t="s">
        <v>219</v>
      </c>
      <c r="C12" s="1">
        <v>3903901000</v>
      </c>
      <c r="D12" s="30">
        <v>3903901000</v>
      </c>
    </row>
    <row r="13" spans="1:4" ht="33">
      <c r="A13" s="7" t="s">
        <v>201</v>
      </c>
      <c r="B13" s="11" t="s">
        <v>229</v>
      </c>
      <c r="C13" s="1" t="s">
        <v>382</v>
      </c>
      <c r="D13" s="30" t="s">
        <v>382</v>
      </c>
    </row>
    <row r="14" spans="1:4" ht="33">
      <c r="A14" s="7" t="s">
        <v>202</v>
      </c>
      <c r="B14" s="11" t="s">
        <v>235</v>
      </c>
      <c r="C14" s="1" t="s">
        <v>210</v>
      </c>
      <c r="D14" s="6"/>
    </row>
    <row r="15" spans="1:4">
      <c r="A15" s="7" t="s">
        <v>203</v>
      </c>
      <c r="B15" s="11" t="s">
        <v>220</v>
      </c>
      <c r="C15" s="1" t="s">
        <v>823</v>
      </c>
      <c r="D15" s="6"/>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455</v>
      </c>
      <c r="D19" s="6"/>
    </row>
    <row r="20" spans="1:4" ht="165">
      <c r="A20" s="8" t="s">
        <v>0</v>
      </c>
      <c r="B20" s="11" t="s">
        <v>223</v>
      </c>
      <c r="C20" s="1" t="s">
        <v>851</v>
      </c>
      <c r="D20" s="6"/>
    </row>
    <row r="21" spans="1:4">
      <c r="A21" s="7" t="s">
        <v>224</v>
      </c>
      <c r="B21" s="11"/>
      <c r="C21" s="1" t="s">
        <v>824</v>
      </c>
      <c r="D21" s="6"/>
    </row>
    <row r="22" spans="1:4">
      <c r="A22" s="9" t="s">
        <v>225</v>
      </c>
      <c r="B22" s="11"/>
      <c r="C22" s="1" t="s">
        <v>211</v>
      </c>
      <c r="D22" s="10"/>
    </row>
    <row r="24" spans="1:4">
      <c r="A24" s="16" t="s">
        <v>327</v>
      </c>
      <c r="B24" s="16" t="s">
        <v>298</v>
      </c>
      <c r="C24" s="16" t="s">
        <v>328</v>
      </c>
      <c r="D24" s="16" t="s">
        <v>329</v>
      </c>
    </row>
    <row r="25" spans="1:4" ht="49.5">
      <c r="A25" s="1" t="s">
        <v>825</v>
      </c>
      <c r="B25" s="1" t="s">
        <v>406</v>
      </c>
      <c r="C25" s="1" t="s">
        <v>826</v>
      </c>
      <c r="D25" s="1" t="s">
        <v>827</v>
      </c>
    </row>
    <row r="26" spans="1:4" ht="49.5">
      <c r="A26" s="1" t="s">
        <v>828</v>
      </c>
      <c r="B26" s="1" t="s">
        <v>406</v>
      </c>
      <c r="C26" s="1" t="s">
        <v>829</v>
      </c>
      <c r="D26" s="1" t="s">
        <v>830</v>
      </c>
    </row>
    <row r="27" spans="1:4" ht="49.5">
      <c r="A27" s="1" t="s">
        <v>831</v>
      </c>
      <c r="B27" s="1" t="s">
        <v>406</v>
      </c>
      <c r="C27" s="1" t="s">
        <v>832</v>
      </c>
      <c r="D27" s="1" t="s">
        <v>833</v>
      </c>
    </row>
    <row r="28" spans="1:4" ht="33">
      <c r="A28" s="1" t="s">
        <v>834</v>
      </c>
      <c r="B28" s="1" t="s">
        <v>406</v>
      </c>
      <c r="C28" s="1" t="s">
        <v>835</v>
      </c>
      <c r="D28" s="1" t="s">
        <v>836</v>
      </c>
    </row>
    <row r="29" spans="1:4" ht="33">
      <c r="A29" s="1" t="s">
        <v>837</v>
      </c>
      <c r="B29" s="1" t="s">
        <v>348</v>
      </c>
      <c r="C29" s="1" t="s">
        <v>838</v>
      </c>
      <c r="D29" s="1" t="s">
        <v>839</v>
      </c>
    </row>
    <row r="30" spans="1:4" ht="49.5">
      <c r="A30" s="1" t="s">
        <v>804</v>
      </c>
      <c r="B30" s="1" t="s">
        <v>406</v>
      </c>
      <c r="C30" s="1" t="s">
        <v>840</v>
      </c>
      <c r="D30" s="1" t="s">
        <v>841</v>
      </c>
    </row>
    <row r="31" spans="1:4" ht="33">
      <c r="A31" s="1" t="s">
        <v>842</v>
      </c>
      <c r="B31" s="1" t="s">
        <v>340</v>
      </c>
      <c r="C31" s="1" t="s">
        <v>843</v>
      </c>
      <c r="D31" s="1" t="s">
        <v>844</v>
      </c>
    </row>
    <row r="32" spans="1:4" ht="33">
      <c r="A32" s="1" t="s">
        <v>845</v>
      </c>
      <c r="B32" s="1" t="s">
        <v>336</v>
      </c>
      <c r="C32" s="1" t="s">
        <v>846</v>
      </c>
      <c r="D32" s="1" t="s">
        <v>847</v>
      </c>
    </row>
    <row r="33" spans="1:4" ht="33">
      <c r="A33" s="1" t="s">
        <v>848</v>
      </c>
      <c r="B33" s="1" t="s">
        <v>469</v>
      </c>
      <c r="C33" s="1" t="s">
        <v>849</v>
      </c>
      <c r="D33" s="1" t="s">
        <v>850</v>
      </c>
    </row>
  </sheetData>
  <phoneticPr fontId="1" type="noConversion"/>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07EF0-C8D7-480F-9AB5-93251786FD98}">
  <sheetPr>
    <tabColor theme="6"/>
  </sheetPr>
  <dimension ref="A1:D45"/>
  <sheetViews>
    <sheetView zoomScale="85" zoomScaleNormal="85" workbookViewId="0">
      <selection activeCell="D7" sqref="D7"/>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67</v>
      </c>
      <c r="D2" s="30" t="s">
        <v>67</v>
      </c>
    </row>
    <row r="3" spans="1:4">
      <c r="A3" s="7" t="s">
        <v>3</v>
      </c>
      <c r="B3" s="11" t="s">
        <v>216</v>
      </c>
      <c r="C3" s="1" t="s">
        <v>12</v>
      </c>
      <c r="D3" s="30" t="s">
        <v>12</v>
      </c>
    </row>
    <row r="4" spans="1:4">
      <c r="A4" s="7" t="s">
        <v>2</v>
      </c>
      <c r="B4" s="11" t="s">
        <v>217</v>
      </c>
      <c r="C4" s="1" t="s">
        <v>20</v>
      </c>
      <c r="D4" s="30" t="s">
        <v>20</v>
      </c>
    </row>
    <row r="5" spans="1:4" ht="49.5">
      <c r="A5" s="7" t="s">
        <v>241</v>
      </c>
      <c r="B5" s="13" t="s">
        <v>243</v>
      </c>
      <c r="C5" s="1" t="s">
        <v>2676</v>
      </c>
      <c r="D5" s="30" t="s">
        <v>2833</v>
      </c>
    </row>
    <row r="6" spans="1:4" ht="49.5">
      <c r="A6" s="7" t="s">
        <v>242</v>
      </c>
      <c r="B6" s="13" t="s">
        <v>244</v>
      </c>
      <c r="C6" s="1" t="s">
        <v>2677</v>
      </c>
      <c r="D6" s="30" t="s">
        <v>2834</v>
      </c>
    </row>
    <row r="7" spans="1:4" ht="33">
      <c r="A7" s="7" t="s">
        <v>196</v>
      </c>
      <c r="B7" s="12" t="s">
        <v>218</v>
      </c>
      <c r="C7" s="1" t="s">
        <v>2678</v>
      </c>
      <c r="D7" s="6"/>
    </row>
    <row r="8" spans="1:4" ht="82.5">
      <c r="A8" s="7" t="s">
        <v>197</v>
      </c>
      <c r="B8" s="13" t="s">
        <v>232</v>
      </c>
      <c r="C8" s="1" t="s">
        <v>2679</v>
      </c>
      <c r="D8" s="6"/>
    </row>
    <row r="9" spans="1:4" ht="33">
      <c r="A9" s="7" t="s">
        <v>198</v>
      </c>
      <c r="B9" s="13" t="s">
        <v>230</v>
      </c>
      <c r="C9" s="1" t="s">
        <v>261</v>
      </c>
      <c r="D9" s="6"/>
    </row>
    <row r="10" spans="1:4" ht="33">
      <c r="A10" s="7" t="s">
        <v>199</v>
      </c>
      <c r="B10" s="11" t="s">
        <v>228</v>
      </c>
      <c r="C10" s="1" t="s">
        <v>210</v>
      </c>
      <c r="D10" s="30" t="s">
        <v>210</v>
      </c>
    </row>
    <row r="11" spans="1:4">
      <c r="A11" s="7" t="s">
        <v>200</v>
      </c>
      <c r="B11" s="11" t="s">
        <v>239</v>
      </c>
      <c r="C11" s="1"/>
      <c r="D11" s="30"/>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2681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2682</v>
      </c>
      <c r="D20" s="6"/>
    </row>
    <row r="21" spans="1:4" ht="33">
      <c r="A21" s="7" t="s">
        <v>224</v>
      </c>
      <c r="B21" s="11"/>
      <c r="C21" s="1" t="s">
        <v>2683</v>
      </c>
      <c r="D21" s="6"/>
    </row>
    <row r="22" spans="1:4">
      <c r="A22" s="9" t="s">
        <v>225</v>
      </c>
      <c r="B22" s="11"/>
      <c r="C22" s="1" t="s">
        <v>211</v>
      </c>
      <c r="D22" s="10"/>
    </row>
    <row r="24" spans="1:4">
      <c r="A24" s="16" t="s">
        <v>1255</v>
      </c>
      <c r="B24" s="16" t="s">
        <v>1256</v>
      </c>
      <c r="C24" s="16" t="s">
        <v>1257</v>
      </c>
      <c r="D24" s="16"/>
    </row>
    <row r="25" spans="1:4">
      <c r="A25" s="1" t="s">
        <v>1258</v>
      </c>
      <c r="B25" s="1" t="s">
        <v>1259</v>
      </c>
      <c r="C25" s="1" t="s">
        <v>67</v>
      </c>
      <c r="D25" s="1"/>
    </row>
    <row r="26" spans="1:4">
      <c r="A26" s="1" t="s">
        <v>1261</v>
      </c>
      <c r="B26" s="1" t="s">
        <v>1262</v>
      </c>
      <c r="C26" s="1" t="s">
        <v>12</v>
      </c>
      <c r="D26" s="1"/>
    </row>
    <row r="27" spans="1:4">
      <c r="A27" s="1" t="s">
        <v>1263</v>
      </c>
      <c r="B27" s="1" t="s">
        <v>1264</v>
      </c>
      <c r="C27" s="1" t="s">
        <v>20</v>
      </c>
      <c r="D27" s="1"/>
    </row>
    <row r="28" spans="1:4" ht="49.5">
      <c r="A28" s="1" t="s">
        <v>1266</v>
      </c>
      <c r="B28" s="1" t="s">
        <v>1267</v>
      </c>
      <c r="C28" s="1" t="s">
        <v>2676</v>
      </c>
      <c r="D28" s="1"/>
    </row>
    <row r="29" spans="1:4" ht="49.5">
      <c r="A29" s="1" t="s">
        <v>1269</v>
      </c>
      <c r="B29" s="1" t="s">
        <v>1270</v>
      </c>
      <c r="C29" s="1" t="s">
        <v>2677</v>
      </c>
      <c r="D29" s="1"/>
    </row>
    <row r="30" spans="1:4" ht="33">
      <c r="A30" s="1" t="s">
        <v>1272</v>
      </c>
      <c r="B30" s="1" t="s">
        <v>1273</v>
      </c>
      <c r="C30" s="1" t="s">
        <v>2678</v>
      </c>
      <c r="D30" s="1"/>
    </row>
    <row r="31" spans="1:4" ht="82.5">
      <c r="A31" s="1" t="s">
        <v>1275</v>
      </c>
      <c r="B31" s="1" t="s">
        <v>298</v>
      </c>
      <c r="C31" s="1" t="s">
        <v>2679</v>
      </c>
      <c r="D31" s="1"/>
    </row>
    <row r="32" spans="1:4">
      <c r="A32" s="1" t="s">
        <v>1277</v>
      </c>
      <c r="B32" s="1" t="s">
        <v>1278</v>
      </c>
      <c r="C32" s="1" t="s">
        <v>261</v>
      </c>
      <c r="D32" s="1"/>
    </row>
    <row r="33" spans="1:4">
      <c r="A33" s="1" t="s">
        <v>1279</v>
      </c>
      <c r="B33" s="1" t="s">
        <v>1280</v>
      </c>
      <c r="C33" s="1" t="s">
        <v>210</v>
      </c>
      <c r="D33" s="1"/>
    </row>
    <row r="34" spans="1:4" ht="33">
      <c r="A34" s="1" t="s">
        <v>1281</v>
      </c>
      <c r="B34" s="1" t="s">
        <v>1282</v>
      </c>
      <c r="C34" s="1" t="s">
        <v>2680</v>
      </c>
    </row>
    <row r="35" spans="1:4">
      <c r="A35" s="1" t="s">
        <v>1283</v>
      </c>
      <c r="B35" s="1" t="s">
        <v>1284</v>
      </c>
      <c r="C35" s="1" t="s">
        <v>211</v>
      </c>
    </row>
    <row r="36" spans="1:4">
      <c r="A36" s="1" t="s">
        <v>1285</v>
      </c>
      <c r="B36" s="1" t="s">
        <v>1286</v>
      </c>
      <c r="C36" s="1" t="s">
        <v>2632</v>
      </c>
    </row>
    <row r="37" spans="1:4">
      <c r="A37" s="1" t="s">
        <v>1287</v>
      </c>
      <c r="B37" s="1" t="s">
        <v>1288</v>
      </c>
      <c r="C37" s="1" t="s">
        <v>210</v>
      </c>
    </row>
    <row r="38" spans="1:4">
      <c r="A38" s="1" t="s">
        <v>1289</v>
      </c>
      <c r="B38" s="1" t="s">
        <v>1290</v>
      </c>
      <c r="C38" s="1" t="s">
        <v>2681</v>
      </c>
    </row>
    <row r="39" spans="1:4">
      <c r="A39" s="1" t="s">
        <v>1292</v>
      </c>
      <c r="B39" s="1" t="s">
        <v>1293</v>
      </c>
      <c r="C39" s="1" t="s">
        <v>221</v>
      </c>
    </row>
    <row r="40" spans="1:4">
      <c r="A40" s="1" t="s">
        <v>1294</v>
      </c>
      <c r="B40" s="1" t="s">
        <v>1295</v>
      </c>
      <c r="C40" s="1" t="s">
        <v>221</v>
      </c>
    </row>
    <row r="41" spans="1:4">
      <c r="A41" s="1" t="s">
        <v>1296</v>
      </c>
      <c r="B41" s="1" t="s">
        <v>1297</v>
      </c>
      <c r="C41" s="1" t="s">
        <v>261</v>
      </c>
    </row>
    <row r="42" spans="1:4">
      <c r="A42" s="1" t="s">
        <v>1298</v>
      </c>
      <c r="B42" s="1" t="s">
        <v>1299</v>
      </c>
      <c r="C42" s="1" t="s">
        <v>212</v>
      </c>
    </row>
    <row r="43" spans="1:4" ht="66">
      <c r="A43" s="1" t="s">
        <v>1300</v>
      </c>
      <c r="B43" s="1" t="s">
        <v>1301</v>
      </c>
      <c r="C43" s="1" t="s">
        <v>2682</v>
      </c>
    </row>
    <row r="44" spans="1:4" ht="33">
      <c r="A44" s="1" t="s">
        <v>1303</v>
      </c>
      <c r="B44" s="1" t="s">
        <v>1304</v>
      </c>
      <c r="C44" s="1" t="s">
        <v>2683</v>
      </c>
    </row>
    <row r="45" spans="1:4">
      <c r="A45" s="1" t="s">
        <v>1306</v>
      </c>
      <c r="B45" s="1" t="s">
        <v>1307</v>
      </c>
      <c r="C45" s="1" t="s">
        <v>211</v>
      </c>
    </row>
  </sheetData>
  <phoneticPr fontId="1" type="noConversion"/>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EA6F3-6A36-4ED5-9AC0-B05811A114A8}">
  <sheetPr>
    <tabColor theme="6"/>
  </sheetPr>
  <dimension ref="A1:D22"/>
  <sheetViews>
    <sheetView zoomScale="85" zoomScaleNormal="85" workbookViewId="0">
      <selection activeCell="D6" sqref="D6"/>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68</v>
      </c>
      <c r="D2" s="30" t="s">
        <v>2684</v>
      </c>
    </row>
    <row r="3" spans="1:4">
      <c r="A3" s="7" t="s">
        <v>3</v>
      </c>
      <c r="B3" s="11" t="s">
        <v>216</v>
      </c>
      <c r="C3" s="1" t="s">
        <v>12</v>
      </c>
      <c r="D3" s="30" t="s">
        <v>184</v>
      </c>
    </row>
    <row r="4" spans="1:4">
      <c r="A4" s="7" t="s">
        <v>2</v>
      </c>
      <c r="B4" s="11" t="s">
        <v>217</v>
      </c>
      <c r="C4" s="1" t="s">
        <v>2685</v>
      </c>
      <c r="D4" s="30" t="s">
        <v>88</v>
      </c>
    </row>
    <row r="5" spans="1:4" ht="66">
      <c r="A5" s="7" t="s">
        <v>241</v>
      </c>
      <c r="B5" s="13" t="s">
        <v>243</v>
      </c>
      <c r="C5" s="1" t="s">
        <v>2686</v>
      </c>
      <c r="D5" s="30" t="s">
        <v>2832</v>
      </c>
    </row>
    <row r="6" spans="1:4" ht="49.5">
      <c r="A6" s="7" t="s">
        <v>242</v>
      </c>
      <c r="B6" s="13" t="s">
        <v>244</v>
      </c>
      <c r="C6" s="1" t="s">
        <v>2687</v>
      </c>
      <c r="D6" s="30" t="s">
        <v>2831</v>
      </c>
    </row>
    <row r="7" spans="1:4" ht="33">
      <c r="A7" s="7" t="s">
        <v>196</v>
      </c>
      <c r="B7" s="12" t="s">
        <v>218</v>
      </c>
      <c r="C7" s="1" t="s">
        <v>2688</v>
      </c>
      <c r="D7" s="6"/>
    </row>
    <row r="8" spans="1:4" ht="82.5">
      <c r="A8" s="7" t="s">
        <v>197</v>
      </c>
      <c r="B8" s="13" t="s">
        <v>232</v>
      </c>
      <c r="C8" s="1" t="s">
        <v>2689</v>
      </c>
      <c r="D8" s="6"/>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2693</v>
      </c>
      <c r="D11" s="30" t="s">
        <v>2693</v>
      </c>
    </row>
    <row r="12" spans="1:4">
      <c r="A12" s="7" t="s">
        <v>180</v>
      </c>
      <c r="B12" s="11" t="s">
        <v>219</v>
      </c>
      <c r="C12" s="1" t="s">
        <v>211</v>
      </c>
      <c r="D12" s="30">
        <v>3902200000</v>
      </c>
    </row>
    <row r="13" spans="1:4" ht="33">
      <c r="A13" s="7" t="s">
        <v>201</v>
      </c>
      <c r="B13" s="11" t="s">
        <v>229</v>
      </c>
      <c r="C13" s="1" t="s">
        <v>2632</v>
      </c>
      <c r="D13" s="30" t="s">
        <v>247</v>
      </c>
    </row>
    <row r="14" spans="1:4" ht="33">
      <c r="A14" s="7" t="s">
        <v>202</v>
      </c>
      <c r="B14" s="11" t="s">
        <v>235</v>
      </c>
      <c r="C14" s="1" t="s">
        <v>210</v>
      </c>
      <c r="D14" s="6"/>
    </row>
    <row r="15" spans="1:4" ht="33">
      <c r="A15" s="7" t="s">
        <v>203</v>
      </c>
      <c r="B15" s="11" t="s">
        <v>220</v>
      </c>
      <c r="C15" s="1" t="s">
        <v>2690</v>
      </c>
      <c r="D15" s="6"/>
    </row>
    <row r="16" spans="1:4" ht="33">
      <c r="A16" s="7" t="s">
        <v>204</v>
      </c>
      <c r="B16" s="11" t="s">
        <v>233</v>
      </c>
      <c r="C16" s="1" t="s">
        <v>261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2691</v>
      </c>
      <c r="D20" s="6"/>
    </row>
    <row r="21" spans="1:4" ht="33">
      <c r="A21" s="7" t="s">
        <v>224</v>
      </c>
      <c r="B21" s="11"/>
      <c r="C21" s="1" t="s">
        <v>2692</v>
      </c>
      <c r="D21" s="6"/>
    </row>
    <row r="22" spans="1:4">
      <c r="A22" s="9" t="s">
        <v>225</v>
      </c>
      <c r="B22" s="11"/>
      <c r="C22" s="1" t="s">
        <v>211</v>
      </c>
      <c r="D22" s="10"/>
    </row>
  </sheetData>
  <phoneticPr fontId="1" type="noConversion"/>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D457-2ADC-43B4-BD88-CFFC3F9981CE}">
  <sheetPr>
    <tabColor theme="6"/>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852</v>
      </c>
      <c r="D2" s="30" t="s">
        <v>852</v>
      </c>
    </row>
    <row r="3" spans="1:4">
      <c r="A3" s="7" t="s">
        <v>3</v>
      </c>
      <c r="B3" s="11" t="s">
        <v>216</v>
      </c>
      <c r="C3" s="1" t="s">
        <v>12</v>
      </c>
      <c r="D3" s="30" t="s">
        <v>12</v>
      </c>
    </row>
    <row r="4" spans="1:4">
      <c r="A4" s="7" t="s">
        <v>2</v>
      </c>
      <c r="B4" s="11" t="s">
        <v>217</v>
      </c>
      <c r="C4" s="1" t="s">
        <v>91</v>
      </c>
      <c r="D4" s="30" t="s">
        <v>91</v>
      </c>
    </row>
    <row r="5" spans="1:4" ht="66">
      <c r="A5" s="7" t="s">
        <v>241</v>
      </c>
      <c r="B5" s="13" t="s">
        <v>243</v>
      </c>
      <c r="C5" s="1" t="s">
        <v>858</v>
      </c>
      <c r="D5" s="37" t="s">
        <v>1651</v>
      </c>
    </row>
    <row r="6" spans="1:4" ht="33">
      <c r="A6" s="7" t="s">
        <v>242</v>
      </c>
      <c r="B6" s="13" t="s">
        <v>244</v>
      </c>
      <c r="C6" s="1" t="s">
        <v>855</v>
      </c>
      <c r="D6" s="37" t="s">
        <v>1654</v>
      </c>
    </row>
    <row r="7" spans="1:4" ht="33">
      <c r="A7" s="7" t="s">
        <v>196</v>
      </c>
      <c r="B7" s="12" t="s">
        <v>218</v>
      </c>
      <c r="C7" s="1" t="s">
        <v>853</v>
      </c>
      <c r="D7" s="6" t="s">
        <v>1658</v>
      </c>
    </row>
    <row r="8" spans="1:4" ht="99">
      <c r="A8" s="7" t="s">
        <v>197</v>
      </c>
      <c r="B8" s="13" t="s">
        <v>232</v>
      </c>
      <c r="C8" s="1" t="s">
        <v>854</v>
      </c>
      <c r="D8" s="6" t="s">
        <v>1655</v>
      </c>
    </row>
    <row r="9" spans="1:4" ht="33">
      <c r="A9" s="7" t="s">
        <v>198</v>
      </c>
      <c r="B9" s="13" t="s">
        <v>230</v>
      </c>
      <c r="C9" s="1" t="s">
        <v>261</v>
      </c>
      <c r="D9" s="6" t="s">
        <v>222</v>
      </c>
    </row>
    <row r="10" spans="1:4" ht="33">
      <c r="A10" s="7" t="s">
        <v>199</v>
      </c>
      <c r="B10" s="11" t="s">
        <v>228</v>
      </c>
      <c r="C10" s="1" t="s">
        <v>210</v>
      </c>
      <c r="D10" s="37" t="s">
        <v>288</v>
      </c>
    </row>
    <row r="11" spans="1:4">
      <c r="A11" s="7" t="s">
        <v>200</v>
      </c>
      <c r="B11" s="11" t="s">
        <v>239</v>
      </c>
      <c r="C11" s="6" t="s">
        <v>1657</v>
      </c>
      <c r="D11" s="37" t="s">
        <v>1657</v>
      </c>
    </row>
    <row r="12" spans="1:4">
      <c r="A12" s="7" t="s">
        <v>180</v>
      </c>
      <c r="B12" s="11" t="s">
        <v>219</v>
      </c>
      <c r="C12" s="1" t="s">
        <v>211</v>
      </c>
      <c r="D12" s="37" t="s">
        <v>270</v>
      </c>
    </row>
    <row r="13" spans="1:4" ht="33">
      <c r="A13" s="7" t="s">
        <v>201</v>
      </c>
      <c r="B13" s="11" t="s">
        <v>229</v>
      </c>
      <c r="C13" s="1" t="s">
        <v>211</v>
      </c>
      <c r="D13" s="37" t="s">
        <v>270</v>
      </c>
    </row>
    <row r="14" spans="1:4" ht="33">
      <c r="A14" s="7" t="s">
        <v>202</v>
      </c>
      <c r="B14" s="11" t="s">
        <v>235</v>
      </c>
      <c r="C14" s="1" t="s">
        <v>210</v>
      </c>
      <c r="D14" s="6" t="s">
        <v>288</v>
      </c>
    </row>
    <row r="15" spans="1:4">
      <c r="A15" s="7" t="s">
        <v>203</v>
      </c>
      <c r="B15" s="11" t="s">
        <v>220</v>
      </c>
      <c r="C15" s="1" t="s">
        <v>857</v>
      </c>
      <c r="D15" s="1" t="s">
        <v>857</v>
      </c>
    </row>
    <row r="16" spans="1:4" ht="33">
      <c r="A16" s="7" t="s">
        <v>204</v>
      </c>
      <c r="B16" s="11" t="s">
        <v>233</v>
      </c>
      <c r="C16" s="1"/>
      <c r="D16" s="6"/>
    </row>
    <row r="17" spans="1:4" ht="33">
      <c r="A17" s="7" t="s">
        <v>205</v>
      </c>
      <c r="B17" s="11" t="s">
        <v>231</v>
      </c>
      <c r="C17" s="1"/>
      <c r="D17" s="6"/>
    </row>
    <row r="18" spans="1:4" ht="33">
      <c r="A18" s="7" t="s">
        <v>206</v>
      </c>
      <c r="B18" s="11" t="s">
        <v>234</v>
      </c>
      <c r="C18" s="1"/>
      <c r="D18" s="6"/>
    </row>
    <row r="19" spans="1:4" ht="33">
      <c r="A19" s="7" t="s">
        <v>207</v>
      </c>
      <c r="B19" s="11" t="s">
        <v>236</v>
      </c>
      <c r="C19" s="1" t="s">
        <v>292</v>
      </c>
      <c r="D19" s="6"/>
    </row>
    <row r="20" spans="1:4" ht="66">
      <c r="A20" s="8" t="s">
        <v>0</v>
      </c>
      <c r="B20" s="11" t="s">
        <v>223</v>
      </c>
      <c r="C20" s="1" t="s">
        <v>856</v>
      </c>
      <c r="D20" s="6"/>
    </row>
    <row r="21" spans="1:4">
      <c r="A21" s="7" t="s">
        <v>224</v>
      </c>
      <c r="B21" s="11"/>
      <c r="C21" s="1" t="s">
        <v>824</v>
      </c>
      <c r="D21" s="6"/>
    </row>
    <row r="22" spans="1:4">
      <c r="A22" s="9" t="s">
        <v>225</v>
      </c>
      <c r="B22" s="11"/>
      <c r="C22" s="1" t="s">
        <v>211</v>
      </c>
      <c r="D22" s="10"/>
    </row>
  </sheetData>
  <phoneticPr fontId="1" type="noConversion"/>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29CF2-833A-44C2-AFEE-196DD24B3F75}">
  <sheetPr>
    <tabColor theme="6"/>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70</v>
      </c>
      <c r="D2" s="30" t="s">
        <v>70</v>
      </c>
    </row>
    <row r="3" spans="1:4">
      <c r="A3" s="7" t="s">
        <v>3</v>
      </c>
      <c r="B3" s="11" t="s">
        <v>216</v>
      </c>
      <c r="C3" s="1" t="s">
        <v>12</v>
      </c>
      <c r="D3" s="30" t="s">
        <v>12</v>
      </c>
    </row>
    <row r="4" spans="1:4">
      <c r="A4" s="7" t="s">
        <v>2</v>
      </c>
      <c r="B4" s="11" t="s">
        <v>217</v>
      </c>
      <c r="C4" s="1" t="s">
        <v>859</v>
      </c>
      <c r="D4" s="30" t="s">
        <v>1659</v>
      </c>
    </row>
    <row r="5" spans="1:4" ht="49.5">
      <c r="A5" s="7" t="s">
        <v>241</v>
      </c>
      <c r="B5" s="13" t="s">
        <v>243</v>
      </c>
      <c r="C5" s="1" t="s">
        <v>860</v>
      </c>
      <c r="D5" s="37" t="s">
        <v>1661</v>
      </c>
    </row>
    <row r="6" spans="1:4" ht="66">
      <c r="A6" s="7" t="s">
        <v>242</v>
      </c>
      <c r="B6" s="13" t="s">
        <v>244</v>
      </c>
      <c r="C6" s="1" t="s">
        <v>861</v>
      </c>
      <c r="D6" s="37" t="s">
        <v>1660</v>
      </c>
    </row>
    <row r="7" spans="1:4" ht="33">
      <c r="A7" s="7" t="s">
        <v>196</v>
      </c>
      <c r="B7" s="12" t="s">
        <v>218</v>
      </c>
      <c r="C7" s="1" t="s">
        <v>862</v>
      </c>
      <c r="D7" s="6" t="s">
        <v>1662</v>
      </c>
    </row>
    <row r="8" spans="1:4" ht="66">
      <c r="A8" s="7" t="s">
        <v>197</v>
      </c>
      <c r="B8" s="13" t="s">
        <v>232</v>
      </c>
      <c r="C8" s="1" t="s">
        <v>863</v>
      </c>
      <c r="D8" s="6"/>
    </row>
    <row r="9" spans="1:4" ht="33">
      <c r="A9" s="7" t="s">
        <v>198</v>
      </c>
      <c r="B9" s="13" t="s">
        <v>230</v>
      </c>
      <c r="C9" s="1" t="s">
        <v>226</v>
      </c>
      <c r="D9" s="6" t="s">
        <v>291</v>
      </c>
    </row>
    <row r="10" spans="1:4" ht="33">
      <c r="A10" s="7" t="s">
        <v>199</v>
      </c>
      <c r="B10" s="11" t="s">
        <v>228</v>
      </c>
      <c r="C10" s="1" t="s">
        <v>210</v>
      </c>
      <c r="D10" s="37" t="s">
        <v>288</v>
      </c>
    </row>
    <row r="11" spans="1:4" ht="49.5">
      <c r="A11" s="7" t="s">
        <v>200</v>
      </c>
      <c r="B11" s="11" t="s">
        <v>239</v>
      </c>
      <c r="C11" s="1" t="s">
        <v>1663</v>
      </c>
      <c r="D11" s="30" t="s">
        <v>1663</v>
      </c>
    </row>
    <row r="12" spans="1:4">
      <c r="A12" s="7" t="s">
        <v>180</v>
      </c>
      <c r="B12" s="11" t="s">
        <v>219</v>
      </c>
      <c r="C12" s="1">
        <v>2909192000</v>
      </c>
      <c r="D12" s="30">
        <v>2909192000</v>
      </c>
    </row>
    <row r="13" spans="1:4" ht="33">
      <c r="A13" s="7" t="s">
        <v>201</v>
      </c>
      <c r="B13" s="11" t="s">
        <v>229</v>
      </c>
      <c r="C13" s="1" t="s">
        <v>867</v>
      </c>
      <c r="D13" s="30" t="s">
        <v>867</v>
      </c>
    </row>
    <row r="14" spans="1:4" ht="33">
      <c r="A14" s="7" t="s">
        <v>202</v>
      </c>
      <c r="B14" s="11" t="s">
        <v>235</v>
      </c>
      <c r="C14" s="1" t="s">
        <v>210</v>
      </c>
      <c r="D14" s="1" t="s">
        <v>210</v>
      </c>
    </row>
    <row r="15" spans="1:4" ht="33">
      <c r="A15" s="7" t="s">
        <v>203</v>
      </c>
      <c r="B15" s="11" t="s">
        <v>220</v>
      </c>
      <c r="C15" s="1" t="s">
        <v>864</v>
      </c>
      <c r="D15" s="1" t="s">
        <v>864</v>
      </c>
    </row>
    <row r="16" spans="1:4" ht="33">
      <c r="A16" s="7" t="s">
        <v>204</v>
      </c>
      <c r="B16" s="11" t="s">
        <v>233</v>
      </c>
      <c r="C16" s="1" t="s">
        <v>383</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384</v>
      </c>
      <c r="D19" s="6"/>
    </row>
    <row r="20" spans="1:4" ht="99">
      <c r="A20" s="8" t="s">
        <v>0</v>
      </c>
      <c r="B20" s="11" t="s">
        <v>223</v>
      </c>
      <c r="C20" s="1" t="s">
        <v>865</v>
      </c>
      <c r="D20" s="6"/>
    </row>
    <row r="21" spans="1:4">
      <c r="A21" s="7" t="s">
        <v>224</v>
      </c>
      <c r="B21" s="11"/>
      <c r="C21" s="1" t="s">
        <v>866</v>
      </c>
      <c r="D21" s="6"/>
    </row>
    <row r="22" spans="1:4">
      <c r="A22" s="9" t="s">
        <v>225</v>
      </c>
      <c r="B22" s="11"/>
      <c r="C22" s="1" t="s">
        <v>211</v>
      </c>
      <c r="D22" s="10"/>
    </row>
  </sheetData>
  <phoneticPr fontId="1" type="noConversion"/>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FC9C-2D66-498F-B082-2978233DFD9F}">
  <sheetPr>
    <tabColor theme="6"/>
  </sheetPr>
  <dimension ref="A1:D22"/>
  <sheetViews>
    <sheetView zoomScale="85" zoomScaleNormal="85" workbookViewId="0">
      <selection activeCell="D7" sqref="D7"/>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2694</v>
      </c>
      <c r="D2" s="30" t="s">
        <v>2694</v>
      </c>
    </row>
    <row r="3" spans="1:4">
      <c r="A3" s="7" t="s">
        <v>3</v>
      </c>
      <c r="B3" s="11" t="s">
        <v>216</v>
      </c>
      <c r="C3" s="1" t="s">
        <v>12</v>
      </c>
      <c r="D3" s="30" t="s">
        <v>12</v>
      </c>
    </row>
    <row r="4" spans="1:4">
      <c r="A4" s="7" t="s">
        <v>2</v>
      </c>
      <c r="B4" s="11" t="s">
        <v>217</v>
      </c>
      <c r="C4" s="1" t="s">
        <v>2695</v>
      </c>
      <c r="D4" s="30" t="s">
        <v>2695</v>
      </c>
    </row>
    <row r="5" spans="1:4" ht="66">
      <c r="A5" s="7" t="s">
        <v>241</v>
      </c>
      <c r="B5" s="13" t="s">
        <v>243</v>
      </c>
      <c r="C5" s="1" t="s">
        <v>2696</v>
      </c>
      <c r="D5" s="30" t="s">
        <v>2828</v>
      </c>
    </row>
    <row r="6" spans="1:4" ht="66">
      <c r="A6" s="7" t="s">
        <v>242</v>
      </c>
      <c r="B6" s="13" t="s">
        <v>244</v>
      </c>
      <c r="C6" s="1" t="s">
        <v>2697</v>
      </c>
      <c r="D6" s="30" t="s">
        <v>2827</v>
      </c>
    </row>
    <row r="7" spans="1:4" ht="33">
      <c r="A7" s="7" t="s">
        <v>196</v>
      </c>
      <c r="B7" s="12" t="s">
        <v>218</v>
      </c>
      <c r="C7" s="1" t="s">
        <v>2698</v>
      </c>
      <c r="D7" s="6"/>
    </row>
    <row r="8" spans="1:4" ht="82.5">
      <c r="A8" s="7" t="s">
        <v>197</v>
      </c>
      <c r="B8" s="13" t="s">
        <v>232</v>
      </c>
      <c r="C8" s="1" t="s">
        <v>2699</v>
      </c>
      <c r="D8" s="6"/>
    </row>
    <row r="9" spans="1:4" ht="33">
      <c r="A9" s="7" t="s">
        <v>198</v>
      </c>
      <c r="B9" s="13" t="s">
        <v>230</v>
      </c>
      <c r="C9" s="1" t="s">
        <v>261</v>
      </c>
      <c r="D9" s="6"/>
    </row>
    <row r="10" spans="1:4" ht="33">
      <c r="A10" s="7" t="s">
        <v>199</v>
      </c>
      <c r="B10" s="11" t="s">
        <v>228</v>
      </c>
      <c r="C10" s="1" t="s">
        <v>2480</v>
      </c>
      <c r="D10" s="37" t="s">
        <v>2480</v>
      </c>
    </row>
    <row r="11" spans="1:4">
      <c r="A11" s="7" t="s">
        <v>200</v>
      </c>
      <c r="B11" s="11" t="s">
        <v>239</v>
      </c>
      <c r="C11" s="1" t="s">
        <v>2480</v>
      </c>
      <c r="D11" s="30" t="s">
        <v>2480</v>
      </c>
    </row>
    <row r="12" spans="1:4">
      <c r="A12" s="7" t="s">
        <v>180</v>
      </c>
      <c r="B12" s="11" t="s">
        <v>219</v>
      </c>
      <c r="C12" s="1">
        <v>4002319000</v>
      </c>
      <c r="D12" s="30">
        <v>4002319000</v>
      </c>
    </row>
    <row r="13" spans="1:4" ht="33">
      <c r="A13" s="7" t="s">
        <v>201</v>
      </c>
      <c r="B13" s="11" t="s">
        <v>229</v>
      </c>
      <c r="C13" s="1" t="s">
        <v>290</v>
      </c>
      <c r="D13" s="30" t="s">
        <v>290</v>
      </c>
    </row>
    <row r="14" spans="1:4" ht="33">
      <c r="A14" s="7" t="s">
        <v>202</v>
      </c>
      <c r="B14" s="11" t="s">
        <v>235</v>
      </c>
      <c r="C14" s="1" t="s">
        <v>210</v>
      </c>
      <c r="D14" s="1"/>
    </row>
    <row r="15" spans="1:4" ht="33">
      <c r="A15" s="7" t="s">
        <v>203</v>
      </c>
      <c r="B15" s="11" t="s">
        <v>220</v>
      </c>
      <c r="C15" s="1" t="s">
        <v>2700</v>
      </c>
      <c r="D15" s="1"/>
    </row>
    <row r="16" spans="1:4" ht="33">
      <c r="A16" s="7" t="s">
        <v>204</v>
      </c>
      <c r="B16" s="11" t="s">
        <v>233</v>
      </c>
      <c r="C16" s="1" t="s">
        <v>261</v>
      </c>
      <c r="D16" s="6"/>
    </row>
    <row r="17" spans="1:4" ht="33">
      <c r="A17" s="7" t="s">
        <v>205</v>
      </c>
      <c r="B17" s="11" t="s">
        <v>231</v>
      </c>
      <c r="C17" s="1" t="s">
        <v>221</v>
      </c>
      <c r="D17" s="6"/>
    </row>
    <row r="18" spans="1:4" ht="33">
      <c r="A18" s="7" t="s">
        <v>206</v>
      </c>
      <c r="B18" s="11" t="s">
        <v>234</v>
      </c>
      <c r="C18" s="1" t="s">
        <v>221</v>
      </c>
      <c r="D18" s="6"/>
    </row>
    <row r="19" spans="1:4" ht="33">
      <c r="A19" s="7" t="s">
        <v>207</v>
      </c>
      <c r="B19" s="11" t="s">
        <v>236</v>
      </c>
      <c r="C19" s="1" t="s">
        <v>212</v>
      </c>
      <c r="D19" s="6"/>
    </row>
    <row r="20" spans="1:4" ht="66">
      <c r="A20" s="8" t="s">
        <v>0</v>
      </c>
      <c r="B20" s="11" t="s">
        <v>223</v>
      </c>
      <c r="C20" s="1" t="s">
        <v>2701</v>
      </c>
      <c r="D20" s="6"/>
    </row>
    <row r="21" spans="1:4" ht="33">
      <c r="A21" s="7" t="s">
        <v>224</v>
      </c>
      <c r="B21" s="11"/>
      <c r="C21" s="1" t="s">
        <v>2702</v>
      </c>
      <c r="D21" s="6"/>
    </row>
    <row r="22" spans="1:4">
      <c r="A22" s="9" t="s">
        <v>225</v>
      </c>
      <c r="B22" s="11"/>
      <c r="C22" s="1" t="s">
        <v>211</v>
      </c>
      <c r="D22" s="10"/>
    </row>
  </sheetData>
  <phoneticPr fontId="1" type="noConversion"/>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14ED-AACE-4C1F-9780-F044472C9E70}">
  <sheetPr>
    <tabColor theme="6"/>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72</v>
      </c>
      <c r="D2" s="37" t="s">
        <v>2836</v>
      </c>
    </row>
    <row r="3" spans="1:4">
      <c r="A3" s="7" t="s">
        <v>3</v>
      </c>
      <c r="B3" s="11" t="s">
        <v>216</v>
      </c>
      <c r="C3" s="1" t="s">
        <v>184</v>
      </c>
      <c r="D3" s="37" t="s">
        <v>184</v>
      </c>
    </row>
    <row r="4" spans="1:4">
      <c r="A4" s="7" t="s">
        <v>2</v>
      </c>
      <c r="B4" s="11" t="s">
        <v>217</v>
      </c>
      <c r="C4" s="1" t="s">
        <v>14</v>
      </c>
      <c r="D4" s="37" t="s">
        <v>2837</v>
      </c>
    </row>
    <row r="5" spans="1:4" ht="49.5">
      <c r="A5" s="7" t="s">
        <v>241</v>
      </c>
      <c r="B5" s="13" t="s">
        <v>243</v>
      </c>
      <c r="C5" s="1" t="s">
        <v>2812</v>
      </c>
      <c r="D5" s="37" t="s">
        <v>2835</v>
      </c>
    </row>
    <row r="6" spans="1:4" ht="49.5">
      <c r="A6" s="7" t="s">
        <v>242</v>
      </c>
      <c r="B6" s="13" t="s">
        <v>244</v>
      </c>
      <c r="C6" s="1" t="s">
        <v>2813</v>
      </c>
      <c r="D6" s="37" t="s">
        <v>2830</v>
      </c>
    </row>
    <row r="7" spans="1:4" ht="33">
      <c r="A7" s="7" t="s">
        <v>196</v>
      </c>
      <c r="B7" s="12" t="s">
        <v>218</v>
      </c>
      <c r="C7" s="1" t="s">
        <v>2814</v>
      </c>
      <c r="D7" s="6"/>
    </row>
    <row r="8" spans="1:4" ht="49.5">
      <c r="A8" s="7" t="s">
        <v>197</v>
      </c>
      <c r="B8" s="13" t="s">
        <v>232</v>
      </c>
      <c r="C8" s="1" t="s">
        <v>2815</v>
      </c>
      <c r="D8" s="6"/>
    </row>
    <row r="9" spans="1:4" ht="33">
      <c r="A9" s="7" t="s">
        <v>198</v>
      </c>
      <c r="B9" s="13" t="s">
        <v>230</v>
      </c>
      <c r="C9" s="1" t="s">
        <v>226</v>
      </c>
      <c r="D9" s="6"/>
    </row>
    <row r="10" spans="1:4" ht="33">
      <c r="A10" s="7" t="s">
        <v>199</v>
      </c>
      <c r="B10" s="11" t="s">
        <v>228</v>
      </c>
      <c r="C10" s="1" t="s">
        <v>210</v>
      </c>
      <c r="D10" s="37" t="s">
        <v>288</v>
      </c>
    </row>
    <row r="11" spans="1:4" ht="33">
      <c r="A11" s="7" t="s">
        <v>200</v>
      </c>
      <c r="B11" s="11" t="s">
        <v>239</v>
      </c>
      <c r="C11" s="1" t="s">
        <v>2829</v>
      </c>
      <c r="D11" s="30" t="s">
        <v>2829</v>
      </c>
    </row>
    <row r="12" spans="1:4">
      <c r="A12" s="7" t="s">
        <v>180</v>
      </c>
      <c r="B12" s="11" t="s">
        <v>219</v>
      </c>
      <c r="C12" s="1" t="s">
        <v>211</v>
      </c>
      <c r="D12" s="30" t="s">
        <v>270</v>
      </c>
    </row>
    <row r="13" spans="1:4" ht="33">
      <c r="A13" s="7" t="s">
        <v>201</v>
      </c>
      <c r="B13" s="11" t="s">
        <v>229</v>
      </c>
      <c r="C13" s="1" t="s">
        <v>211</v>
      </c>
      <c r="D13" s="30" t="s">
        <v>270</v>
      </c>
    </row>
    <row r="14" spans="1:4" ht="33">
      <c r="A14" s="7" t="s">
        <v>202</v>
      </c>
      <c r="B14" s="11" t="s">
        <v>235</v>
      </c>
      <c r="C14" s="1" t="s">
        <v>210</v>
      </c>
      <c r="D14" s="1"/>
    </row>
    <row r="15" spans="1:4">
      <c r="A15" s="7" t="s">
        <v>203</v>
      </c>
      <c r="B15" s="11" t="s">
        <v>220</v>
      </c>
      <c r="C15" s="1" t="s">
        <v>211</v>
      </c>
      <c r="D15" s="1"/>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212</v>
      </c>
      <c r="D19" s="6"/>
    </row>
    <row r="20" spans="1:4" ht="33">
      <c r="A20" s="8" t="s">
        <v>0</v>
      </c>
      <c r="B20" s="11" t="s">
        <v>223</v>
      </c>
      <c r="C20" s="1" t="s">
        <v>2816</v>
      </c>
      <c r="D20" s="6"/>
    </row>
    <row r="21" spans="1:4" ht="33">
      <c r="A21" s="7" t="s">
        <v>224</v>
      </c>
      <c r="B21" s="11"/>
      <c r="C21" s="1" t="s">
        <v>2817</v>
      </c>
      <c r="D21" s="6"/>
    </row>
    <row r="22" spans="1:4">
      <c r="A22" s="9" t="s">
        <v>225</v>
      </c>
      <c r="B22" s="11"/>
      <c r="C22" s="1" t="s">
        <v>211</v>
      </c>
      <c r="D22" s="10"/>
    </row>
  </sheetData>
  <phoneticPr fontId="1" type="noConversion"/>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0B07-6AFD-42FB-908E-3D84CC92436E}">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73</v>
      </c>
      <c r="D2" s="30" t="s">
        <v>73</v>
      </c>
    </row>
    <row r="3" spans="1:4">
      <c r="A3" s="7" t="s">
        <v>3</v>
      </c>
      <c r="B3" s="11" t="s">
        <v>216</v>
      </c>
      <c r="C3" s="1" t="s">
        <v>2306</v>
      </c>
      <c r="D3" s="30" t="s">
        <v>2306</v>
      </c>
    </row>
    <row r="4" spans="1:4">
      <c r="A4" s="7" t="s">
        <v>2</v>
      </c>
      <c r="B4" s="11" t="s">
        <v>217</v>
      </c>
      <c r="C4" s="1" t="s">
        <v>8</v>
      </c>
      <c r="D4" s="30" t="s">
        <v>8</v>
      </c>
    </row>
    <row r="5" spans="1:4" ht="66">
      <c r="A5" s="7" t="s">
        <v>241</v>
      </c>
      <c r="B5" s="13" t="s">
        <v>243</v>
      </c>
      <c r="C5" s="1" t="s">
        <v>868</v>
      </c>
      <c r="D5" s="30" t="s">
        <v>2368</v>
      </c>
    </row>
    <row r="6" spans="1:4" ht="66">
      <c r="A6" s="7" t="s">
        <v>242</v>
      </c>
      <c r="B6" s="13" t="s">
        <v>244</v>
      </c>
      <c r="C6" s="1" t="s">
        <v>869</v>
      </c>
      <c r="D6" s="30" t="s">
        <v>2369</v>
      </c>
    </row>
    <row r="7" spans="1:4" ht="49.5">
      <c r="A7" s="7" t="s">
        <v>196</v>
      </c>
      <c r="B7" s="12" t="s">
        <v>218</v>
      </c>
      <c r="C7" s="1" t="s">
        <v>870</v>
      </c>
      <c r="D7" s="6"/>
    </row>
    <row r="8" spans="1:4" ht="148.5">
      <c r="A8" s="7" t="s">
        <v>197</v>
      </c>
      <c r="B8" s="13" t="s">
        <v>232</v>
      </c>
      <c r="C8" s="1" t="s">
        <v>871</v>
      </c>
      <c r="D8" s="6"/>
    </row>
    <row r="9" spans="1:4" ht="33">
      <c r="A9" s="7" t="s">
        <v>198</v>
      </c>
      <c r="B9" s="13" t="s">
        <v>230</v>
      </c>
      <c r="C9" s="1" t="s">
        <v>226</v>
      </c>
      <c r="D9" s="6"/>
    </row>
    <row r="10" spans="1:4" ht="33">
      <c r="A10" s="7" t="s">
        <v>199</v>
      </c>
      <c r="B10" s="11" t="s">
        <v>228</v>
      </c>
      <c r="C10" s="1" t="s">
        <v>210</v>
      </c>
      <c r="D10" s="30" t="s">
        <v>210</v>
      </c>
    </row>
    <row r="11" spans="1:4" ht="66">
      <c r="A11" s="7" t="s">
        <v>200</v>
      </c>
      <c r="B11" s="11" t="s">
        <v>239</v>
      </c>
      <c r="C11" s="1" t="s">
        <v>2370</v>
      </c>
      <c r="D11" s="30" t="s">
        <v>2370</v>
      </c>
    </row>
    <row r="12" spans="1:4">
      <c r="A12" s="7" t="s">
        <v>180</v>
      </c>
      <c r="B12" s="11" t="s">
        <v>219</v>
      </c>
      <c r="C12" s="1">
        <v>2902200000</v>
      </c>
      <c r="D12" s="30">
        <v>2902200000</v>
      </c>
    </row>
    <row r="13" spans="1:4" ht="33">
      <c r="A13" s="7" t="s">
        <v>201</v>
      </c>
      <c r="B13" s="11" t="s">
        <v>229</v>
      </c>
      <c r="C13" s="1" t="s">
        <v>382</v>
      </c>
      <c r="D13" s="30" t="s">
        <v>382</v>
      </c>
    </row>
    <row r="14" spans="1:4" ht="33">
      <c r="A14" s="7" t="s">
        <v>202</v>
      </c>
      <c r="B14" s="11" t="s">
        <v>235</v>
      </c>
      <c r="C14" s="1" t="s">
        <v>210</v>
      </c>
      <c r="D14" s="6"/>
    </row>
    <row r="15" spans="1:4">
      <c r="A15" s="7" t="s">
        <v>203</v>
      </c>
      <c r="B15" s="11" t="s">
        <v>220</v>
      </c>
      <c r="C15" s="1" t="s">
        <v>872</v>
      </c>
      <c r="D15" s="6"/>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384</v>
      </c>
      <c r="D19" s="6"/>
    </row>
    <row r="20" spans="1:4" ht="181.5">
      <c r="A20" s="8" t="s">
        <v>0</v>
      </c>
      <c r="B20" s="11" t="s">
        <v>223</v>
      </c>
      <c r="C20" s="1" t="s">
        <v>904</v>
      </c>
      <c r="D20" s="6"/>
    </row>
    <row r="21" spans="1:4">
      <c r="A21" s="7" t="s">
        <v>224</v>
      </c>
      <c r="B21" s="11"/>
      <c r="C21" s="1" t="s">
        <v>873</v>
      </c>
      <c r="D21" s="6"/>
    </row>
    <row r="22" spans="1:4">
      <c r="A22" s="9" t="s">
        <v>225</v>
      </c>
      <c r="B22" s="11"/>
      <c r="C22" s="1" t="s">
        <v>211</v>
      </c>
      <c r="D22" s="10"/>
    </row>
    <row r="25" spans="1:4">
      <c r="A25" s="16" t="s">
        <v>327</v>
      </c>
      <c r="B25" s="16" t="s">
        <v>298</v>
      </c>
      <c r="C25" s="16" t="s">
        <v>328</v>
      </c>
      <c r="D25" s="16" t="s">
        <v>329</v>
      </c>
    </row>
    <row r="26" spans="1:4" ht="49.5">
      <c r="A26" s="1" t="s">
        <v>874</v>
      </c>
      <c r="B26" s="1" t="s">
        <v>876</v>
      </c>
      <c r="C26" s="1" t="s">
        <v>875</v>
      </c>
      <c r="D26" s="1" t="s">
        <v>877</v>
      </c>
    </row>
    <row r="27" spans="1:4" ht="49.5">
      <c r="A27" s="1" t="s">
        <v>878</v>
      </c>
      <c r="B27" s="1" t="s">
        <v>880</v>
      </c>
      <c r="C27" s="1" t="s">
        <v>879</v>
      </c>
      <c r="D27" s="1" t="s">
        <v>881</v>
      </c>
    </row>
    <row r="28" spans="1:4" ht="49.5">
      <c r="A28" s="1" t="s">
        <v>882</v>
      </c>
      <c r="B28" s="1" t="s">
        <v>884</v>
      </c>
      <c r="C28" s="1" t="s">
        <v>883</v>
      </c>
      <c r="D28" s="1" t="s">
        <v>885</v>
      </c>
    </row>
    <row r="29" spans="1:4" ht="49.5">
      <c r="A29" s="1" t="s">
        <v>886</v>
      </c>
      <c r="B29" s="1" t="s">
        <v>888</v>
      </c>
      <c r="C29" s="1" t="s">
        <v>887</v>
      </c>
      <c r="D29" s="1" t="s">
        <v>889</v>
      </c>
    </row>
    <row r="30" spans="1:4" ht="33">
      <c r="A30" s="1" t="s">
        <v>890</v>
      </c>
      <c r="B30" s="1" t="s">
        <v>340</v>
      </c>
      <c r="C30" s="1" t="s">
        <v>891</v>
      </c>
      <c r="D30" s="1" t="s">
        <v>892</v>
      </c>
    </row>
    <row r="31" spans="1:4" ht="33">
      <c r="A31" s="1" t="s">
        <v>893</v>
      </c>
      <c r="B31" s="1" t="s">
        <v>895</v>
      </c>
      <c r="C31" s="1" t="s">
        <v>894</v>
      </c>
      <c r="D31" s="1" t="s">
        <v>896</v>
      </c>
    </row>
    <row r="32" spans="1:4" ht="33">
      <c r="A32" s="1" t="s">
        <v>897</v>
      </c>
      <c r="B32" s="1" t="s">
        <v>473</v>
      </c>
      <c r="C32" s="1" t="s">
        <v>898</v>
      </c>
      <c r="D32" s="1" t="s">
        <v>899</v>
      </c>
    </row>
    <row r="33" spans="1:4" ht="33">
      <c r="A33" s="1" t="s">
        <v>900</v>
      </c>
      <c r="B33" s="1" t="s">
        <v>902</v>
      </c>
      <c r="C33" s="1" t="s">
        <v>901</v>
      </c>
      <c r="D33" s="1" t="s">
        <v>903</v>
      </c>
    </row>
  </sheetData>
  <phoneticPr fontId="1" type="noConversion"/>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F2BDF-07C9-466E-B70D-6EC4936F484C}">
  <sheetPr>
    <tabColor theme="8"/>
  </sheetPr>
  <dimension ref="A1:D36"/>
  <sheetViews>
    <sheetView topLeftCell="A13" zoomScale="85" zoomScaleNormal="85" workbookViewId="0">
      <selection activeCell="B26" sqref="B26"/>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73</v>
      </c>
      <c r="D2" s="30" t="s">
        <v>73</v>
      </c>
    </row>
    <row r="3" spans="1:4">
      <c r="A3" s="7" t="s">
        <v>3</v>
      </c>
      <c r="B3" s="11" t="s">
        <v>216</v>
      </c>
      <c r="C3" s="1" t="s">
        <v>2306</v>
      </c>
      <c r="D3" s="30" t="s">
        <v>2306</v>
      </c>
    </row>
    <row r="4" spans="1:4">
      <c r="A4" s="7" t="s">
        <v>2</v>
      </c>
      <c r="B4" s="11" t="s">
        <v>217</v>
      </c>
      <c r="C4" s="1" t="s">
        <v>2703</v>
      </c>
      <c r="D4" s="30" t="s">
        <v>2712</v>
      </c>
    </row>
    <row r="5" spans="1:4" ht="49.5">
      <c r="A5" s="7" t="s">
        <v>241</v>
      </c>
      <c r="B5" s="13" t="s">
        <v>243</v>
      </c>
      <c r="C5" s="1" t="s">
        <v>2704</v>
      </c>
      <c r="D5" s="30" t="s">
        <v>2704</v>
      </c>
    </row>
    <row r="6" spans="1:4" ht="66">
      <c r="A6" s="7" t="s">
        <v>242</v>
      </c>
      <c r="B6" s="13" t="s">
        <v>244</v>
      </c>
      <c r="C6" s="1" t="s">
        <v>2705</v>
      </c>
      <c r="D6" s="30" t="s">
        <v>2705</v>
      </c>
    </row>
    <row r="7" spans="1:4" ht="33">
      <c r="A7" s="7" t="s">
        <v>196</v>
      </c>
      <c r="B7" s="12" t="s">
        <v>218</v>
      </c>
      <c r="C7" s="1" t="s">
        <v>2706</v>
      </c>
      <c r="D7" s="6"/>
    </row>
    <row r="8" spans="1:4" ht="82.5">
      <c r="A8" s="7" t="s">
        <v>197</v>
      </c>
      <c r="B8" s="13" t="s">
        <v>232</v>
      </c>
      <c r="C8" s="1" t="s">
        <v>2707</v>
      </c>
      <c r="D8" s="6"/>
    </row>
    <row r="9" spans="1:4" ht="33">
      <c r="A9" s="7" t="s">
        <v>198</v>
      </c>
      <c r="B9" s="13" t="s">
        <v>230</v>
      </c>
      <c r="C9" s="1" t="s">
        <v>226</v>
      </c>
      <c r="D9" s="6"/>
    </row>
    <row r="10" spans="1:4" ht="33">
      <c r="A10" s="7" t="s">
        <v>199</v>
      </c>
      <c r="B10" s="11" t="s">
        <v>228</v>
      </c>
      <c r="C10" s="1" t="s">
        <v>210</v>
      </c>
      <c r="D10" s="30" t="s">
        <v>210</v>
      </c>
    </row>
    <row r="11" spans="1:4" ht="33">
      <c r="A11" s="7" t="s">
        <v>200</v>
      </c>
      <c r="B11" s="11" t="s">
        <v>239</v>
      </c>
      <c r="C11" s="1" t="s">
        <v>2711</v>
      </c>
      <c r="D11" s="30" t="s">
        <v>2711</v>
      </c>
    </row>
    <row r="12" spans="1:4">
      <c r="A12" s="7" t="s">
        <v>180</v>
      </c>
      <c r="B12" s="11" t="s">
        <v>219</v>
      </c>
      <c r="C12" s="1">
        <v>2902600000</v>
      </c>
      <c r="D12" s="30">
        <v>2902600000</v>
      </c>
    </row>
    <row r="13" spans="1:4" ht="33">
      <c r="A13" s="7" t="s">
        <v>201</v>
      </c>
      <c r="B13" s="11" t="s">
        <v>229</v>
      </c>
      <c r="C13" s="1" t="s">
        <v>2632</v>
      </c>
      <c r="D13" s="30" t="s">
        <v>296</v>
      </c>
    </row>
    <row r="14" spans="1:4" ht="33">
      <c r="A14" s="7" t="s">
        <v>202</v>
      </c>
      <c r="B14" s="11" t="s">
        <v>235</v>
      </c>
      <c r="C14" s="1" t="s">
        <v>210</v>
      </c>
      <c r="D14" s="6"/>
    </row>
    <row r="15" spans="1:4">
      <c r="A15" s="7" t="s">
        <v>203</v>
      </c>
      <c r="B15" s="11" t="s">
        <v>220</v>
      </c>
      <c r="C15" s="1" t="s">
        <v>2708</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212</v>
      </c>
      <c r="D19" s="6"/>
    </row>
    <row r="20" spans="1:4" ht="82.5">
      <c r="A20" s="8" t="s">
        <v>0</v>
      </c>
      <c r="B20" s="11" t="s">
        <v>223</v>
      </c>
      <c r="C20" s="1" t="s">
        <v>2709</v>
      </c>
      <c r="D20" s="6"/>
    </row>
    <row r="21" spans="1:4" ht="33">
      <c r="A21" s="7" t="s">
        <v>224</v>
      </c>
      <c r="B21" s="11"/>
      <c r="C21" s="1" t="s">
        <v>2710</v>
      </c>
      <c r="D21" s="6"/>
    </row>
    <row r="22" spans="1:4">
      <c r="A22" s="9" t="s">
        <v>225</v>
      </c>
      <c r="B22" s="11"/>
      <c r="C22" s="1" t="s">
        <v>211</v>
      </c>
      <c r="D22" s="10"/>
    </row>
    <row r="24" spans="1:4">
      <c r="A24" s="16" t="s">
        <v>327</v>
      </c>
      <c r="B24" s="16" t="s">
        <v>984</v>
      </c>
      <c r="C24" s="16" t="s">
        <v>328</v>
      </c>
      <c r="D24" s="16" t="s">
        <v>329</v>
      </c>
    </row>
    <row r="25" spans="1:4" ht="49.5">
      <c r="A25" s="1" t="s">
        <v>2713</v>
      </c>
      <c r="B25" s="1" t="s">
        <v>406</v>
      </c>
      <c r="C25" s="1" t="s">
        <v>2714</v>
      </c>
      <c r="D25" s="1" t="s">
        <v>2715</v>
      </c>
    </row>
    <row r="26" spans="1:4" ht="49.5">
      <c r="A26" s="1" t="s">
        <v>2713</v>
      </c>
      <c r="B26" s="1" t="s">
        <v>1100</v>
      </c>
      <c r="C26" s="1" t="s">
        <v>2716</v>
      </c>
      <c r="D26" s="1" t="s">
        <v>2717</v>
      </c>
    </row>
    <row r="27" spans="1:4" ht="49.5">
      <c r="A27" s="1" t="s">
        <v>2718</v>
      </c>
      <c r="B27" s="1" t="s">
        <v>340</v>
      </c>
      <c r="C27" s="1" t="s">
        <v>2719</v>
      </c>
      <c r="D27" s="1" t="s">
        <v>2720</v>
      </c>
    </row>
    <row r="28" spans="1:4" ht="33">
      <c r="A28" s="1" t="s">
        <v>2721</v>
      </c>
      <c r="B28" s="1" t="s">
        <v>336</v>
      </c>
      <c r="C28" s="1" t="s">
        <v>2722</v>
      </c>
      <c r="D28" s="1" t="s">
        <v>2723</v>
      </c>
    </row>
    <row r="29" spans="1:4" ht="49.5">
      <c r="A29" s="1" t="s">
        <v>2724</v>
      </c>
      <c r="B29" s="1" t="s">
        <v>1100</v>
      </c>
      <c r="C29" s="1" t="s">
        <v>2725</v>
      </c>
      <c r="D29" s="1" t="s">
        <v>2726</v>
      </c>
    </row>
    <row r="30" spans="1:4" ht="33">
      <c r="A30" s="1" t="s">
        <v>2727</v>
      </c>
      <c r="B30" s="1" t="s">
        <v>406</v>
      </c>
      <c r="C30" s="1" t="s">
        <v>2728</v>
      </c>
      <c r="D30" s="1" t="s">
        <v>2729</v>
      </c>
    </row>
    <row r="31" spans="1:4" ht="33">
      <c r="A31" s="1" t="s">
        <v>2730</v>
      </c>
      <c r="B31" s="1" t="s">
        <v>336</v>
      </c>
      <c r="C31" s="1" t="s">
        <v>2731</v>
      </c>
      <c r="D31" s="1" t="s">
        <v>2732</v>
      </c>
    </row>
    <row r="32" spans="1:4" ht="33">
      <c r="A32" s="1" t="s">
        <v>1309</v>
      </c>
      <c r="B32" s="1" t="s">
        <v>457</v>
      </c>
      <c r="C32" s="1" t="s">
        <v>2733</v>
      </c>
      <c r="D32" s="1" t="s">
        <v>2579</v>
      </c>
    </row>
    <row r="33" spans="1:4" ht="33">
      <c r="A33" s="1" t="s">
        <v>2734</v>
      </c>
      <c r="B33" s="1" t="s">
        <v>340</v>
      </c>
      <c r="C33" s="1" t="s">
        <v>2735</v>
      </c>
      <c r="D33" s="1" t="s">
        <v>2736</v>
      </c>
    </row>
    <row r="34" spans="1:4" ht="33">
      <c r="A34" s="1" t="s">
        <v>2737</v>
      </c>
      <c r="B34" s="1" t="s">
        <v>960</v>
      </c>
      <c r="C34" s="1" t="s">
        <v>2738</v>
      </c>
      <c r="D34" s="1" t="s">
        <v>1677</v>
      </c>
    </row>
    <row r="35" spans="1:4" ht="49.5">
      <c r="A35" s="1" t="s">
        <v>2739</v>
      </c>
      <c r="B35" s="1" t="s">
        <v>348</v>
      </c>
      <c r="C35" s="1" t="s">
        <v>2740</v>
      </c>
      <c r="D35" s="1" t="s">
        <v>2741</v>
      </c>
    </row>
    <row r="36" spans="1:4" ht="33">
      <c r="A36" s="1" t="s">
        <v>2742</v>
      </c>
      <c r="B36" s="1" t="s">
        <v>348</v>
      </c>
      <c r="C36" s="1" t="s">
        <v>2743</v>
      </c>
      <c r="D36" s="1" t="s">
        <v>2744</v>
      </c>
    </row>
  </sheetData>
  <phoneticPr fontId="1" type="noConversion"/>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5BC18-78E0-4490-8C16-F9B616FB7590}">
  <sheetPr>
    <tabColor theme="8"/>
  </sheetPr>
  <dimension ref="A1:D3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93</v>
      </c>
      <c r="D2" s="30" t="s">
        <v>93</v>
      </c>
    </row>
    <row r="3" spans="1:4">
      <c r="A3" s="7" t="s">
        <v>3</v>
      </c>
      <c r="B3" s="11" t="s">
        <v>216</v>
      </c>
      <c r="C3" s="1" t="s">
        <v>2306</v>
      </c>
      <c r="D3" s="30" t="s">
        <v>2306</v>
      </c>
    </row>
    <row r="4" spans="1:4">
      <c r="A4" s="7" t="s">
        <v>2</v>
      </c>
      <c r="B4" s="11" t="s">
        <v>217</v>
      </c>
      <c r="C4" s="1" t="s">
        <v>905</v>
      </c>
      <c r="D4" s="30" t="s">
        <v>2371</v>
      </c>
    </row>
    <row r="5" spans="1:4" ht="49.5">
      <c r="A5" s="7" t="s">
        <v>241</v>
      </c>
      <c r="B5" s="13" t="s">
        <v>243</v>
      </c>
      <c r="C5" s="1" t="s">
        <v>906</v>
      </c>
      <c r="D5" s="30" t="s">
        <v>2372</v>
      </c>
    </row>
    <row r="6" spans="1:4" ht="49.5">
      <c r="A6" s="7" t="s">
        <v>242</v>
      </c>
      <c r="B6" s="13" t="s">
        <v>244</v>
      </c>
      <c r="C6" s="1" t="s">
        <v>907</v>
      </c>
      <c r="D6" s="30" t="s">
        <v>2373</v>
      </c>
    </row>
    <row r="7" spans="1:4" ht="33">
      <c r="A7" s="7" t="s">
        <v>196</v>
      </c>
      <c r="B7" s="12" t="s">
        <v>218</v>
      </c>
      <c r="C7" s="1" t="s">
        <v>908</v>
      </c>
      <c r="D7" s="6"/>
    </row>
    <row r="8" spans="1:4" ht="148.5">
      <c r="A8" s="7" t="s">
        <v>197</v>
      </c>
      <c r="B8" s="13" t="s">
        <v>232</v>
      </c>
      <c r="C8" s="1" t="s">
        <v>909</v>
      </c>
      <c r="D8" s="6"/>
    </row>
    <row r="9" spans="1:4" ht="33">
      <c r="A9" s="7" t="s">
        <v>198</v>
      </c>
      <c r="B9" s="13" t="s">
        <v>230</v>
      </c>
      <c r="C9" s="1" t="s">
        <v>226</v>
      </c>
      <c r="D9" s="6"/>
    </row>
    <row r="10" spans="1:4" ht="33">
      <c r="A10" s="7" t="s">
        <v>199</v>
      </c>
      <c r="B10" s="11" t="s">
        <v>228</v>
      </c>
      <c r="C10" s="1" t="s">
        <v>210</v>
      </c>
      <c r="D10" s="30" t="s">
        <v>210</v>
      </c>
    </row>
    <row r="11" spans="1:4" ht="33">
      <c r="A11" s="7" t="s">
        <v>200</v>
      </c>
      <c r="B11" s="11" t="s">
        <v>239</v>
      </c>
      <c r="C11" s="1" t="s">
        <v>2374</v>
      </c>
      <c r="D11" s="30" t="s">
        <v>2374</v>
      </c>
    </row>
    <row r="12" spans="1:4">
      <c r="A12" s="7" t="s">
        <v>180</v>
      </c>
      <c r="B12" s="11" t="s">
        <v>219</v>
      </c>
      <c r="C12" s="1">
        <v>2902500000</v>
      </c>
      <c r="D12" s="30">
        <v>2902500000</v>
      </c>
    </row>
    <row r="13" spans="1:4" ht="33">
      <c r="A13" s="7" t="s">
        <v>201</v>
      </c>
      <c r="B13" s="11" t="s">
        <v>229</v>
      </c>
      <c r="C13" s="1" t="s">
        <v>912</v>
      </c>
      <c r="D13" s="30" t="s">
        <v>912</v>
      </c>
    </row>
    <row r="14" spans="1:4" ht="33">
      <c r="A14" s="7" t="s">
        <v>202</v>
      </c>
      <c r="B14" s="11" t="s">
        <v>235</v>
      </c>
      <c r="C14" s="1" t="s">
        <v>210</v>
      </c>
      <c r="D14" s="6"/>
    </row>
    <row r="15" spans="1:4" ht="33">
      <c r="A15" s="7" t="s">
        <v>203</v>
      </c>
      <c r="B15" s="11" t="s">
        <v>220</v>
      </c>
      <c r="C15" s="1" t="s">
        <v>910</v>
      </c>
      <c r="D15" s="6"/>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384</v>
      </c>
      <c r="D19" s="6"/>
    </row>
    <row r="20" spans="1:4" ht="165">
      <c r="A20" s="8" t="s">
        <v>0</v>
      </c>
      <c r="B20" s="11" t="s">
        <v>223</v>
      </c>
      <c r="C20" s="1" t="s">
        <v>936</v>
      </c>
      <c r="D20" s="6"/>
    </row>
    <row r="21" spans="1:4">
      <c r="A21" s="7" t="s">
        <v>224</v>
      </c>
      <c r="B21" s="11"/>
      <c r="C21" s="1" t="s">
        <v>911</v>
      </c>
      <c r="D21" s="6"/>
    </row>
    <row r="22" spans="1:4">
      <c r="A22" s="9" t="s">
        <v>225</v>
      </c>
      <c r="B22" s="11"/>
      <c r="C22" s="1" t="s">
        <v>211</v>
      </c>
      <c r="D22" s="10"/>
    </row>
    <row r="25" spans="1:4">
      <c r="A25" s="16" t="s">
        <v>327</v>
      </c>
      <c r="B25" s="16" t="s">
        <v>298</v>
      </c>
      <c r="C25" s="16" t="s">
        <v>328</v>
      </c>
      <c r="D25" s="16" t="s">
        <v>329</v>
      </c>
    </row>
    <row r="26" spans="1:4" ht="49.5">
      <c r="A26" s="1" t="s">
        <v>913</v>
      </c>
      <c r="B26" s="1" t="s">
        <v>371</v>
      </c>
      <c r="C26" s="1" t="s">
        <v>914</v>
      </c>
      <c r="D26" s="1" t="s">
        <v>915</v>
      </c>
    </row>
    <row r="27" spans="1:4" ht="33">
      <c r="A27" s="1" t="s">
        <v>916</v>
      </c>
      <c r="B27" s="1" t="s">
        <v>918</v>
      </c>
      <c r="C27" s="1" t="s">
        <v>917</v>
      </c>
      <c r="D27" s="1" t="s">
        <v>919</v>
      </c>
    </row>
    <row r="28" spans="1:4" ht="49.5">
      <c r="A28" s="1" t="s">
        <v>766</v>
      </c>
      <c r="B28" s="1" t="s">
        <v>921</v>
      </c>
      <c r="C28" s="1" t="s">
        <v>920</v>
      </c>
      <c r="D28" s="1" t="s">
        <v>922</v>
      </c>
    </row>
    <row r="29" spans="1:4" ht="49.5">
      <c r="A29" s="1" t="s">
        <v>923</v>
      </c>
      <c r="B29" s="1" t="s">
        <v>925</v>
      </c>
      <c r="C29" s="1" t="s">
        <v>924</v>
      </c>
      <c r="D29" s="1" t="s">
        <v>926</v>
      </c>
    </row>
    <row r="30" spans="1:4" ht="33">
      <c r="A30" s="1" t="s">
        <v>927</v>
      </c>
      <c r="B30" s="1" t="s">
        <v>776</v>
      </c>
      <c r="C30" s="1" t="s">
        <v>928</v>
      </c>
      <c r="D30" s="1" t="s">
        <v>929</v>
      </c>
    </row>
    <row r="31" spans="1:4" ht="33">
      <c r="A31" s="1" t="s">
        <v>930</v>
      </c>
      <c r="B31" s="1" t="s">
        <v>406</v>
      </c>
      <c r="C31" s="1" t="s">
        <v>931</v>
      </c>
      <c r="D31" s="1" t="s">
        <v>932</v>
      </c>
    </row>
    <row r="32" spans="1:4" ht="33">
      <c r="A32" s="1" t="s">
        <v>933</v>
      </c>
      <c r="B32" s="1" t="s">
        <v>398</v>
      </c>
      <c r="C32" s="1" t="s">
        <v>934</v>
      </c>
      <c r="D32" s="1" t="s">
        <v>935</v>
      </c>
    </row>
  </sheetData>
  <phoneticPr fontId="1" type="noConversion"/>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1AE59-860A-49EC-A7DA-F8D3FFCD1B2A}">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97</v>
      </c>
      <c r="D2" s="30" t="s">
        <v>97</v>
      </c>
    </row>
    <row r="3" spans="1:4">
      <c r="A3" s="7" t="s">
        <v>3</v>
      </c>
      <c r="B3" s="11" t="s">
        <v>216</v>
      </c>
      <c r="C3" s="1" t="s">
        <v>2306</v>
      </c>
      <c r="D3" s="30" t="s">
        <v>2306</v>
      </c>
    </row>
    <row r="4" spans="1:4">
      <c r="A4" s="7" t="s">
        <v>2</v>
      </c>
      <c r="B4" s="11" t="s">
        <v>217</v>
      </c>
      <c r="C4" s="1" t="s">
        <v>965</v>
      </c>
      <c r="D4" s="30" t="s">
        <v>124</v>
      </c>
    </row>
    <row r="5" spans="1:4" ht="66">
      <c r="A5" s="7" t="s">
        <v>241</v>
      </c>
      <c r="B5" s="13" t="s">
        <v>243</v>
      </c>
      <c r="C5" s="1" t="s">
        <v>966</v>
      </c>
      <c r="D5" s="30" t="s">
        <v>2376</v>
      </c>
    </row>
    <row r="6" spans="1:4" ht="49.5">
      <c r="A6" s="7" t="s">
        <v>242</v>
      </c>
      <c r="B6" s="13" t="s">
        <v>244</v>
      </c>
      <c r="C6" s="1" t="s">
        <v>967</v>
      </c>
      <c r="D6" s="30" t="s">
        <v>2377</v>
      </c>
    </row>
    <row r="7" spans="1:4" ht="49.5">
      <c r="A7" s="7" t="s">
        <v>196</v>
      </c>
      <c r="B7" s="12" t="s">
        <v>218</v>
      </c>
      <c r="C7" s="1" t="s">
        <v>968</v>
      </c>
      <c r="D7" s="6"/>
    </row>
    <row r="8" spans="1:4" ht="99">
      <c r="A8" s="7" t="s">
        <v>197</v>
      </c>
      <c r="B8" s="13" t="s">
        <v>232</v>
      </c>
      <c r="C8" s="1" t="s">
        <v>969</v>
      </c>
      <c r="D8" s="6"/>
    </row>
    <row r="9" spans="1:4" ht="33">
      <c r="A9" s="7" t="s">
        <v>198</v>
      </c>
      <c r="B9" s="13" t="s">
        <v>230</v>
      </c>
      <c r="C9" s="1" t="s">
        <v>226</v>
      </c>
      <c r="D9" s="6"/>
    </row>
    <row r="10" spans="1:4" ht="33">
      <c r="A10" s="7" t="s">
        <v>199</v>
      </c>
      <c r="B10" s="11" t="s">
        <v>228</v>
      </c>
      <c r="C10" s="1" t="s">
        <v>210</v>
      </c>
      <c r="D10" s="30" t="s">
        <v>210</v>
      </c>
    </row>
    <row r="11" spans="1:4" ht="33">
      <c r="A11" s="7" t="s">
        <v>200</v>
      </c>
      <c r="B11" s="11" t="s">
        <v>239</v>
      </c>
      <c r="C11" s="1" t="s">
        <v>2375</v>
      </c>
      <c r="D11" s="30" t="s">
        <v>2375</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ht="33">
      <c r="A15" s="7" t="s">
        <v>203</v>
      </c>
      <c r="B15" s="11" t="s">
        <v>220</v>
      </c>
      <c r="C15" s="1" t="s">
        <v>970</v>
      </c>
      <c r="D15" s="6"/>
    </row>
    <row r="16" spans="1:4" ht="33">
      <c r="A16" s="7" t="s">
        <v>204</v>
      </c>
      <c r="B16" s="11" t="s">
        <v>233</v>
      </c>
      <c r="C16" s="1" t="s">
        <v>383</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384</v>
      </c>
      <c r="D19" s="6"/>
    </row>
    <row r="20" spans="1:4" ht="99">
      <c r="A20" s="8" t="s">
        <v>0</v>
      </c>
      <c r="B20" s="11" t="s">
        <v>223</v>
      </c>
      <c r="C20" s="1" t="s">
        <v>971</v>
      </c>
      <c r="D20" s="6"/>
    </row>
    <row r="21" spans="1:4">
      <c r="A21" s="7" t="s">
        <v>224</v>
      </c>
      <c r="B21" s="11"/>
      <c r="C21" s="1" t="s">
        <v>972</v>
      </c>
      <c r="D21" s="6"/>
    </row>
    <row r="22" spans="1:4">
      <c r="A22" s="9" t="s">
        <v>225</v>
      </c>
      <c r="B22" s="11"/>
      <c r="C22" s="1" t="s">
        <v>211</v>
      </c>
      <c r="D22" s="10"/>
    </row>
    <row r="25" spans="1:4">
      <c r="A25" s="16" t="s">
        <v>327</v>
      </c>
      <c r="B25" s="16" t="s">
        <v>298</v>
      </c>
      <c r="C25" s="16" t="s">
        <v>328</v>
      </c>
      <c r="D25" s="16" t="s">
        <v>329</v>
      </c>
    </row>
    <row r="26" spans="1:4" ht="49.5">
      <c r="A26" s="1" t="s">
        <v>937</v>
      </c>
      <c r="B26" s="1" t="s">
        <v>939</v>
      </c>
      <c r="C26" s="1" t="s">
        <v>938</v>
      </c>
      <c r="D26" s="1" t="s">
        <v>940</v>
      </c>
    </row>
    <row r="27" spans="1:4" ht="33">
      <c r="A27" s="1" t="s">
        <v>941</v>
      </c>
      <c r="B27" s="1" t="s">
        <v>336</v>
      </c>
      <c r="C27" s="1" t="s">
        <v>942</v>
      </c>
      <c r="D27" s="1" t="s">
        <v>943</v>
      </c>
    </row>
    <row r="28" spans="1:4" ht="33">
      <c r="A28" s="1" t="s">
        <v>944</v>
      </c>
      <c r="B28" s="1" t="s">
        <v>371</v>
      </c>
      <c r="C28" s="1" t="s">
        <v>945</v>
      </c>
      <c r="D28" s="1" t="s">
        <v>946</v>
      </c>
    </row>
    <row r="29" spans="1:4" ht="33">
      <c r="A29" s="1" t="s">
        <v>947</v>
      </c>
      <c r="B29" s="1" t="s">
        <v>949</v>
      </c>
      <c r="C29" s="1" t="s">
        <v>948</v>
      </c>
      <c r="D29" s="1" t="s">
        <v>950</v>
      </c>
    </row>
    <row r="30" spans="1:4" ht="33">
      <c r="A30" s="1" t="s">
        <v>951</v>
      </c>
      <c r="B30" s="1" t="s">
        <v>340</v>
      </c>
      <c r="C30" s="1" t="s">
        <v>952</v>
      </c>
      <c r="D30" s="1" t="s">
        <v>953</v>
      </c>
    </row>
    <row r="31" spans="1:4" ht="33">
      <c r="A31" s="1" t="s">
        <v>954</v>
      </c>
      <c r="B31" s="1" t="s">
        <v>956</v>
      </c>
      <c r="C31" s="1" t="s">
        <v>955</v>
      </c>
      <c r="D31" s="1" t="s">
        <v>957</v>
      </c>
    </row>
    <row r="32" spans="1:4" ht="33">
      <c r="A32" s="1" t="s">
        <v>958</v>
      </c>
      <c r="B32" s="1" t="s">
        <v>960</v>
      </c>
      <c r="C32" s="1" t="s">
        <v>959</v>
      </c>
      <c r="D32" s="1" t="s">
        <v>961</v>
      </c>
    </row>
    <row r="33" spans="1:4" ht="33">
      <c r="A33" s="1" t="s">
        <v>962</v>
      </c>
      <c r="B33" s="1" t="s">
        <v>960</v>
      </c>
      <c r="C33" s="1" t="s">
        <v>963</v>
      </c>
      <c r="D33" s="1" t="s">
        <v>964</v>
      </c>
    </row>
  </sheetData>
  <phoneticPr fontId="1" type="noConversion"/>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21BB-1CF3-470E-B6D5-76A942D5BB1B}">
  <sheetPr>
    <tabColor theme="8"/>
  </sheetPr>
  <dimension ref="A1:D32"/>
  <sheetViews>
    <sheetView zoomScale="85" zoomScaleNormal="85" workbookViewId="0">
      <selection activeCell="C16" sqref="C16"/>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2502</v>
      </c>
      <c r="D2" s="30" t="s">
        <v>97</v>
      </c>
    </row>
    <row r="3" spans="1:4">
      <c r="A3" s="7" t="s">
        <v>3</v>
      </c>
      <c r="B3" s="11" t="s">
        <v>216</v>
      </c>
      <c r="C3" s="1" t="s">
        <v>2306</v>
      </c>
      <c r="D3" s="30" t="s">
        <v>2306</v>
      </c>
    </row>
    <row r="4" spans="1:4">
      <c r="A4" s="7" t="s">
        <v>2</v>
      </c>
      <c r="B4" s="11" t="s">
        <v>217</v>
      </c>
      <c r="C4" s="1" t="s">
        <v>2503</v>
      </c>
      <c r="D4" s="30" t="s">
        <v>124</v>
      </c>
    </row>
    <row r="5" spans="1:4" ht="33">
      <c r="A5" s="7" t="s">
        <v>241</v>
      </c>
      <c r="B5" s="13" t="s">
        <v>243</v>
      </c>
      <c r="C5" s="1" t="s">
        <v>2504</v>
      </c>
      <c r="D5" s="30" t="s">
        <v>2513</v>
      </c>
    </row>
    <row r="6" spans="1:4" ht="66">
      <c r="A6" s="7" t="s">
        <v>242</v>
      </c>
      <c r="B6" s="13" t="s">
        <v>244</v>
      </c>
      <c r="C6" s="1" t="s">
        <v>2505</v>
      </c>
      <c r="D6" s="30" t="s">
        <v>2505</v>
      </c>
    </row>
    <row r="7" spans="1:4" ht="33">
      <c r="A7" s="7" t="s">
        <v>196</v>
      </c>
      <c r="B7" s="12" t="s">
        <v>218</v>
      </c>
      <c r="C7" s="1" t="s">
        <v>2506</v>
      </c>
      <c r="D7" s="6"/>
    </row>
    <row r="8" spans="1:4" ht="99">
      <c r="A8" s="7" t="s">
        <v>197</v>
      </c>
      <c r="B8" s="13" t="s">
        <v>232</v>
      </c>
      <c r="C8" s="1" t="s">
        <v>2507</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2511</v>
      </c>
      <c r="D11" s="30" t="s">
        <v>2511</v>
      </c>
    </row>
    <row r="12" spans="1:4">
      <c r="A12" s="7" t="s">
        <v>180</v>
      </c>
      <c r="B12" s="11" t="s">
        <v>219</v>
      </c>
      <c r="C12" s="1">
        <v>2902700000</v>
      </c>
      <c r="D12" s="30">
        <v>2902700000</v>
      </c>
    </row>
    <row r="13" spans="1:4" ht="33">
      <c r="A13" s="7" t="s">
        <v>201</v>
      </c>
      <c r="B13" s="11" t="s">
        <v>229</v>
      </c>
      <c r="C13" s="1" t="s">
        <v>2512</v>
      </c>
      <c r="D13" s="30" t="s">
        <v>2512</v>
      </c>
    </row>
    <row r="14" spans="1:4" ht="33">
      <c r="A14" s="7" t="s">
        <v>202</v>
      </c>
      <c r="B14" s="11" t="s">
        <v>235</v>
      </c>
      <c r="C14" s="1" t="s">
        <v>210</v>
      </c>
      <c r="D14" s="6"/>
    </row>
    <row r="15" spans="1:4">
      <c r="A15" s="7" t="s">
        <v>203</v>
      </c>
      <c r="B15" s="11" t="s">
        <v>220</v>
      </c>
      <c r="C15" s="1" t="s">
        <v>2508</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2509</v>
      </c>
      <c r="D20" s="6"/>
    </row>
    <row r="21" spans="1:4">
      <c r="A21" s="7" t="s">
        <v>224</v>
      </c>
      <c r="B21" s="11"/>
      <c r="C21" s="1" t="s">
        <v>2510</v>
      </c>
      <c r="D21" s="6"/>
    </row>
    <row r="22" spans="1:4">
      <c r="A22" s="9" t="s">
        <v>225</v>
      </c>
      <c r="B22" s="11"/>
      <c r="C22" s="1" t="s">
        <v>211</v>
      </c>
      <c r="D22" s="10"/>
    </row>
    <row r="24" spans="1:4">
      <c r="A24" s="16" t="s">
        <v>327</v>
      </c>
      <c r="B24" s="16" t="s">
        <v>984</v>
      </c>
      <c r="C24" s="16" t="s">
        <v>328</v>
      </c>
      <c r="D24" s="16" t="s">
        <v>329</v>
      </c>
    </row>
    <row r="25" spans="1:4" ht="66">
      <c r="A25" s="1" t="s">
        <v>2514</v>
      </c>
      <c r="B25" s="1" t="s">
        <v>348</v>
      </c>
      <c r="C25" s="1" t="s">
        <v>2515</v>
      </c>
      <c r="D25" s="1" t="s">
        <v>2516</v>
      </c>
    </row>
    <row r="26" spans="1:4" ht="66">
      <c r="A26" s="1" t="s">
        <v>2517</v>
      </c>
      <c r="B26" s="1" t="s">
        <v>406</v>
      </c>
      <c r="C26" s="1" t="s">
        <v>2518</v>
      </c>
      <c r="D26" s="1" t="s">
        <v>2519</v>
      </c>
    </row>
    <row r="27" spans="1:4" ht="66">
      <c r="A27" s="1" t="s">
        <v>2520</v>
      </c>
      <c r="B27" s="1" t="s">
        <v>336</v>
      </c>
      <c r="C27" s="1" t="s">
        <v>2521</v>
      </c>
      <c r="D27" s="1" t="s">
        <v>2522</v>
      </c>
    </row>
    <row r="28" spans="1:4" ht="66">
      <c r="A28" s="1" t="s">
        <v>2523</v>
      </c>
      <c r="B28" s="1" t="s">
        <v>336</v>
      </c>
      <c r="C28" s="1" t="s">
        <v>2524</v>
      </c>
      <c r="D28" s="1" t="s">
        <v>2525</v>
      </c>
    </row>
    <row r="29" spans="1:4" ht="66">
      <c r="A29" s="1" t="s">
        <v>2526</v>
      </c>
      <c r="B29" s="1" t="s">
        <v>406</v>
      </c>
      <c r="C29" s="1" t="s">
        <v>2527</v>
      </c>
      <c r="D29" s="1" t="s">
        <v>2528</v>
      </c>
    </row>
    <row r="30" spans="1:4" ht="49.5">
      <c r="A30" s="1" t="s">
        <v>2529</v>
      </c>
      <c r="B30" s="1" t="s">
        <v>348</v>
      </c>
      <c r="C30" s="1" t="s">
        <v>2530</v>
      </c>
      <c r="D30" s="1" t="s">
        <v>2531</v>
      </c>
    </row>
    <row r="31" spans="1:4" ht="66">
      <c r="A31" s="1" t="s">
        <v>2532</v>
      </c>
      <c r="B31" s="1" t="s">
        <v>348</v>
      </c>
      <c r="C31" s="1" t="s">
        <v>2533</v>
      </c>
      <c r="D31" s="1" t="s">
        <v>2534</v>
      </c>
    </row>
    <row r="32" spans="1:4" ht="66">
      <c r="A32" s="1" t="s">
        <v>2535</v>
      </c>
      <c r="B32" s="1" t="s">
        <v>1100</v>
      </c>
      <c r="C32" s="1" t="s">
        <v>2536</v>
      </c>
      <c r="D32" s="1" t="s">
        <v>2537</v>
      </c>
    </row>
  </sheetData>
  <phoneticPr fontId="1" type="noConversion"/>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85687-47C6-4629-8B80-CC13FED1EAD1}">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99</v>
      </c>
      <c r="D2" s="30" t="s">
        <v>99</v>
      </c>
    </row>
    <row r="3" spans="1:4">
      <c r="A3" s="7" t="s">
        <v>3</v>
      </c>
      <c r="B3" s="11" t="s">
        <v>216</v>
      </c>
      <c r="C3" s="1" t="s">
        <v>2306</v>
      </c>
      <c r="D3" s="30" t="s">
        <v>2306</v>
      </c>
    </row>
    <row r="4" spans="1:4">
      <c r="A4" s="7" t="s">
        <v>2</v>
      </c>
      <c r="B4" s="11" t="s">
        <v>217</v>
      </c>
      <c r="C4" s="1" t="s">
        <v>76</v>
      </c>
      <c r="D4" s="30" t="s">
        <v>76</v>
      </c>
    </row>
    <row r="5" spans="1:4" ht="49.5">
      <c r="A5" s="7" t="s">
        <v>241</v>
      </c>
      <c r="B5" s="13" t="s">
        <v>243</v>
      </c>
      <c r="C5" s="1" t="s">
        <v>975</v>
      </c>
      <c r="D5" s="30" t="s">
        <v>2291</v>
      </c>
    </row>
    <row r="6" spans="1:4" ht="49.5">
      <c r="A6" s="7" t="s">
        <v>242</v>
      </c>
      <c r="B6" s="13" t="s">
        <v>244</v>
      </c>
      <c r="C6" s="1" t="s">
        <v>976</v>
      </c>
      <c r="D6" s="30" t="s">
        <v>2292</v>
      </c>
    </row>
    <row r="7" spans="1:4" ht="33">
      <c r="A7" s="7" t="s">
        <v>196</v>
      </c>
      <c r="B7" s="12" t="s">
        <v>218</v>
      </c>
      <c r="C7" s="1" t="s">
        <v>977</v>
      </c>
      <c r="D7" s="6"/>
    </row>
    <row r="8" spans="1:4" ht="99">
      <c r="A8" s="7" t="s">
        <v>197</v>
      </c>
      <c r="B8" s="13" t="s">
        <v>232</v>
      </c>
      <c r="C8" s="1" t="s">
        <v>978</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983</v>
      </c>
      <c r="D11" s="30" t="s">
        <v>983</v>
      </c>
    </row>
    <row r="12" spans="1:4">
      <c r="A12" s="7" t="s">
        <v>180</v>
      </c>
      <c r="B12" s="11" t="s">
        <v>219</v>
      </c>
      <c r="C12" s="1">
        <v>2907110000</v>
      </c>
      <c r="D12" s="30">
        <v>2907110000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979</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980</v>
      </c>
      <c r="D20" s="6"/>
    </row>
    <row r="21" spans="1:4" ht="33">
      <c r="A21" s="7" t="s">
        <v>224</v>
      </c>
      <c r="B21" s="11"/>
      <c r="C21" s="1" t="s">
        <v>981</v>
      </c>
      <c r="D21" s="6"/>
    </row>
    <row r="22" spans="1:4">
      <c r="A22" s="9" t="s">
        <v>225</v>
      </c>
      <c r="B22" s="11"/>
      <c r="C22" s="1" t="s">
        <v>982</v>
      </c>
      <c r="D22" s="10"/>
    </row>
    <row r="25" spans="1:4">
      <c r="A25" s="16" t="s">
        <v>327</v>
      </c>
      <c r="B25" s="16" t="s">
        <v>984</v>
      </c>
      <c r="C25" s="16" t="s">
        <v>328</v>
      </c>
      <c r="D25" s="16" t="s">
        <v>329</v>
      </c>
    </row>
    <row r="26" spans="1:4" ht="33">
      <c r="A26" s="1" t="s">
        <v>985</v>
      </c>
      <c r="B26" s="1" t="s">
        <v>986</v>
      </c>
      <c r="C26" s="1" t="s">
        <v>987</v>
      </c>
      <c r="D26" s="1" t="s">
        <v>988</v>
      </c>
    </row>
    <row r="27" spans="1:4" ht="33">
      <c r="A27" s="1" t="s">
        <v>989</v>
      </c>
      <c r="B27" s="1" t="s">
        <v>990</v>
      </c>
      <c r="C27" s="1" t="s">
        <v>991</v>
      </c>
      <c r="D27" s="1" t="s">
        <v>992</v>
      </c>
    </row>
    <row r="28" spans="1:4" ht="33">
      <c r="A28" s="1" t="s">
        <v>993</v>
      </c>
      <c r="B28" s="1" t="s">
        <v>994</v>
      </c>
      <c r="C28" s="1" t="s">
        <v>995</v>
      </c>
      <c r="D28" s="1" t="s">
        <v>996</v>
      </c>
    </row>
    <row r="29" spans="1:4" ht="33">
      <c r="A29" s="1" t="s">
        <v>997</v>
      </c>
      <c r="B29" s="1" t="s">
        <v>998</v>
      </c>
      <c r="C29" s="1" t="s">
        <v>999</v>
      </c>
      <c r="D29" s="1" t="s">
        <v>1000</v>
      </c>
    </row>
    <row r="30" spans="1:4" ht="49.5">
      <c r="A30" s="1" t="s">
        <v>1001</v>
      </c>
      <c r="B30" s="1" t="s">
        <v>1002</v>
      </c>
      <c r="C30" s="1" t="s">
        <v>1003</v>
      </c>
      <c r="D30" s="1" t="s">
        <v>1004</v>
      </c>
    </row>
    <row r="31" spans="1:4" ht="33">
      <c r="A31" s="1" t="s">
        <v>1005</v>
      </c>
      <c r="B31" s="1" t="s">
        <v>998</v>
      </c>
      <c r="C31" s="1" t="s">
        <v>1006</v>
      </c>
      <c r="D31" s="1" t="s">
        <v>1007</v>
      </c>
    </row>
    <row r="32" spans="1:4" ht="49.5">
      <c r="A32" s="1" t="s">
        <v>1008</v>
      </c>
      <c r="B32" s="1" t="s">
        <v>1009</v>
      </c>
      <c r="C32" s="1" t="s">
        <v>1010</v>
      </c>
      <c r="D32" s="1" t="s">
        <v>1011</v>
      </c>
    </row>
    <row r="33" spans="1:4" ht="33">
      <c r="A33" s="1" t="s">
        <v>1012</v>
      </c>
      <c r="B33" s="1" t="s">
        <v>1013</v>
      </c>
      <c r="C33" s="1" t="s">
        <v>1014</v>
      </c>
      <c r="D33" s="1" t="s">
        <v>1015</v>
      </c>
    </row>
  </sheetData>
  <phoneticPr fontId="1" type="noConversion"/>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2D11B-4208-4866-9C81-A75CA8041BBF}">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100</v>
      </c>
      <c r="D2" s="30" t="s">
        <v>100</v>
      </c>
    </row>
    <row r="3" spans="1:4">
      <c r="A3" s="7" t="s">
        <v>3</v>
      </c>
      <c r="B3" s="11" t="s">
        <v>216</v>
      </c>
      <c r="C3" s="1" t="s">
        <v>2306</v>
      </c>
      <c r="D3" s="30" t="s">
        <v>2306</v>
      </c>
    </row>
    <row r="4" spans="1:4">
      <c r="A4" s="7" t="s">
        <v>2</v>
      </c>
      <c r="B4" s="11" t="s">
        <v>217</v>
      </c>
      <c r="C4" s="1" t="s">
        <v>77</v>
      </c>
      <c r="D4" s="30" t="s">
        <v>77</v>
      </c>
    </row>
    <row r="5" spans="1:4" ht="49.5">
      <c r="A5" s="7" t="s">
        <v>241</v>
      </c>
      <c r="B5" s="13" t="s">
        <v>243</v>
      </c>
      <c r="C5" s="1" t="s">
        <v>1016</v>
      </c>
      <c r="D5" s="30" t="s">
        <v>2293</v>
      </c>
    </row>
    <row r="6" spans="1:4" ht="49.5">
      <c r="A6" s="7" t="s">
        <v>242</v>
      </c>
      <c r="B6" s="13" t="s">
        <v>244</v>
      </c>
      <c r="C6" s="1" t="s">
        <v>1017</v>
      </c>
      <c r="D6" s="30" t="s">
        <v>2294</v>
      </c>
    </row>
    <row r="7" spans="1:4" ht="33">
      <c r="A7" s="7" t="s">
        <v>196</v>
      </c>
      <c r="B7" s="12" t="s">
        <v>218</v>
      </c>
      <c r="C7" s="1" t="s">
        <v>1018</v>
      </c>
      <c r="D7" s="6"/>
    </row>
    <row r="8" spans="1:4" ht="148.5">
      <c r="A8" s="7" t="s">
        <v>197</v>
      </c>
      <c r="B8" s="13" t="s">
        <v>232</v>
      </c>
      <c r="C8" s="1" t="s">
        <v>1019</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1021</v>
      </c>
      <c r="D11" s="30" t="s">
        <v>1021</v>
      </c>
    </row>
    <row r="12" spans="1:4">
      <c r="A12" s="7" t="s">
        <v>180</v>
      </c>
      <c r="B12" s="11" t="s">
        <v>219</v>
      </c>
      <c r="C12" s="1">
        <v>2914110000</v>
      </c>
      <c r="D12" s="30">
        <v>2914110000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979</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212</v>
      </c>
      <c r="D19" s="6"/>
    </row>
    <row r="20" spans="1:4" ht="99">
      <c r="A20" s="8" t="s">
        <v>0</v>
      </c>
      <c r="B20" s="11" t="s">
        <v>223</v>
      </c>
      <c r="C20" s="1" t="s">
        <v>1050</v>
      </c>
      <c r="D20" s="6"/>
    </row>
    <row r="21" spans="1:4">
      <c r="A21" s="7" t="s">
        <v>224</v>
      </c>
      <c r="B21" s="11"/>
      <c r="C21" s="1" t="s">
        <v>1020</v>
      </c>
      <c r="D21" s="6"/>
    </row>
    <row r="22" spans="1:4">
      <c r="A22" s="9" t="s">
        <v>225</v>
      </c>
      <c r="B22" s="11"/>
      <c r="C22" s="1" t="s">
        <v>211</v>
      </c>
      <c r="D22" s="10"/>
    </row>
    <row r="25" spans="1:4">
      <c r="A25" s="16" t="s">
        <v>327</v>
      </c>
      <c r="B25" s="16" t="s">
        <v>984</v>
      </c>
      <c r="C25" s="16" t="s">
        <v>328</v>
      </c>
      <c r="D25" s="16" t="s">
        <v>329</v>
      </c>
    </row>
    <row r="26" spans="1:4" ht="49.5">
      <c r="A26" s="1" t="s">
        <v>1022</v>
      </c>
      <c r="B26" s="1" t="s">
        <v>1023</v>
      </c>
      <c r="C26" s="1" t="s">
        <v>1024</v>
      </c>
      <c r="D26" s="1" t="s">
        <v>1025</v>
      </c>
    </row>
    <row r="27" spans="1:4" ht="49.5">
      <c r="A27" s="1" t="s">
        <v>1026</v>
      </c>
      <c r="B27" s="1" t="s">
        <v>1027</v>
      </c>
      <c r="C27" s="1" t="s">
        <v>1028</v>
      </c>
      <c r="D27" s="1" t="s">
        <v>1029</v>
      </c>
    </row>
    <row r="28" spans="1:4" ht="49.5">
      <c r="A28" s="1" t="s">
        <v>1030</v>
      </c>
      <c r="B28" s="1" t="s">
        <v>1031</v>
      </c>
      <c r="C28" s="1" t="s">
        <v>1032</v>
      </c>
      <c r="D28" s="1" t="s">
        <v>1033</v>
      </c>
    </row>
    <row r="29" spans="1:4" ht="33">
      <c r="A29" s="1" t="s">
        <v>1034</v>
      </c>
      <c r="B29" s="1" t="s">
        <v>1035</v>
      </c>
      <c r="C29" s="1" t="s">
        <v>1036</v>
      </c>
      <c r="D29" s="1" t="s">
        <v>1037</v>
      </c>
    </row>
    <row r="30" spans="1:4" ht="49.5">
      <c r="A30" s="1" t="s">
        <v>1038</v>
      </c>
      <c r="B30" s="1" t="s">
        <v>1039</v>
      </c>
      <c r="C30" s="1" t="s">
        <v>1040</v>
      </c>
      <c r="D30" s="1" t="s">
        <v>1041</v>
      </c>
    </row>
    <row r="31" spans="1:4" ht="49.5">
      <c r="A31" s="1" t="s">
        <v>1042</v>
      </c>
      <c r="B31" s="1" t="s">
        <v>1043</v>
      </c>
      <c r="C31" s="1" t="s">
        <v>1044</v>
      </c>
      <c r="D31" s="1" t="s">
        <v>1045</v>
      </c>
    </row>
    <row r="32" spans="1:4" ht="49.5">
      <c r="A32" s="1" t="s">
        <v>1046</v>
      </c>
      <c r="B32" s="1" t="s">
        <v>1047</v>
      </c>
      <c r="C32" s="1" t="s">
        <v>1048</v>
      </c>
      <c r="D32" s="1" t="s">
        <v>1049</v>
      </c>
    </row>
    <row r="33" spans="1:4" ht="33">
      <c r="A33" s="1" t="s">
        <v>1012</v>
      </c>
      <c r="B33" s="1" t="s">
        <v>1013</v>
      </c>
      <c r="C33" s="1" t="s">
        <v>1014</v>
      </c>
      <c r="D33" s="1" t="s">
        <v>1015</v>
      </c>
    </row>
  </sheetData>
  <phoneticPr fontId="1" type="noConversion"/>
  <pageMargins left="0.7" right="0.7" top="0.75" bottom="0.75" header="0.3" footer="0.3"/>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5047-9BD6-4909-8BCE-67E8E86ECBF8}">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101</v>
      </c>
      <c r="D2" s="30" t="s">
        <v>101</v>
      </c>
    </row>
    <row r="3" spans="1:4">
      <c r="A3" s="7" t="s">
        <v>3</v>
      </c>
      <c r="B3" s="11" t="s">
        <v>216</v>
      </c>
      <c r="C3" s="1" t="s">
        <v>2306</v>
      </c>
      <c r="D3" s="30" t="s">
        <v>2306</v>
      </c>
    </row>
    <row r="4" spans="1:4">
      <c r="A4" s="7" t="s">
        <v>2</v>
      </c>
      <c r="B4" s="11" t="s">
        <v>217</v>
      </c>
      <c r="C4" s="1" t="s">
        <v>1051</v>
      </c>
      <c r="D4" s="30" t="s">
        <v>1051</v>
      </c>
    </row>
    <row r="5" spans="1:4" ht="33">
      <c r="A5" s="7" t="s">
        <v>241</v>
      </c>
      <c r="B5" s="13" t="s">
        <v>243</v>
      </c>
      <c r="C5" s="1" t="s">
        <v>1052</v>
      </c>
      <c r="D5" s="30" t="s">
        <v>2295</v>
      </c>
    </row>
    <row r="6" spans="1:4" ht="49.5">
      <c r="A6" s="7" t="s">
        <v>242</v>
      </c>
      <c r="B6" s="13" t="s">
        <v>244</v>
      </c>
      <c r="C6" s="1" t="s">
        <v>1053</v>
      </c>
      <c r="D6" s="30" t="s">
        <v>2296</v>
      </c>
    </row>
    <row r="7" spans="1:4" ht="33">
      <c r="A7" s="7" t="s">
        <v>196</v>
      </c>
      <c r="B7" s="12" t="s">
        <v>218</v>
      </c>
      <c r="C7" s="1" t="s">
        <v>1054</v>
      </c>
      <c r="D7" s="6"/>
    </row>
    <row r="8" spans="1:4" ht="132">
      <c r="A8" s="7" t="s">
        <v>197</v>
      </c>
      <c r="B8" s="13" t="s">
        <v>232</v>
      </c>
      <c r="C8" s="1" t="s">
        <v>1055</v>
      </c>
      <c r="D8" s="6"/>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1059</v>
      </c>
      <c r="D11" s="30" t="s">
        <v>1059</v>
      </c>
    </row>
    <row r="12" spans="1:4">
      <c r="A12" s="7" t="s">
        <v>180</v>
      </c>
      <c r="B12" s="11" t="s">
        <v>219</v>
      </c>
      <c r="C12" s="1">
        <v>2907231000</v>
      </c>
      <c r="D12" s="30">
        <v>2907231000</v>
      </c>
    </row>
    <row r="13" spans="1:4" ht="33">
      <c r="A13" s="7" t="s">
        <v>201</v>
      </c>
      <c r="B13" s="11" t="s">
        <v>229</v>
      </c>
      <c r="C13" s="1" t="s">
        <v>247</v>
      </c>
      <c r="D13" s="30" t="s">
        <v>247</v>
      </c>
    </row>
    <row r="14" spans="1:4" ht="33">
      <c r="A14" s="7" t="s">
        <v>202</v>
      </c>
      <c r="B14" s="11" t="s">
        <v>235</v>
      </c>
      <c r="C14" s="1" t="s">
        <v>211</v>
      </c>
      <c r="D14" s="6"/>
    </row>
    <row r="15" spans="1:4">
      <c r="A15" s="7" t="s">
        <v>203</v>
      </c>
      <c r="B15" s="11" t="s">
        <v>220</v>
      </c>
      <c r="C15" s="1" t="s">
        <v>211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1056</v>
      </c>
      <c r="D20" s="6"/>
    </row>
    <row r="21" spans="1:4">
      <c r="A21" s="7" t="s">
        <v>224</v>
      </c>
      <c r="B21" s="11"/>
      <c r="C21" s="1" t="s">
        <v>1057</v>
      </c>
      <c r="D21" s="6"/>
    </row>
    <row r="22" spans="1:4">
      <c r="A22" s="9" t="s">
        <v>225</v>
      </c>
      <c r="B22" s="11"/>
      <c r="C22" s="14" t="s">
        <v>1058</v>
      </c>
      <c r="D22" s="10"/>
    </row>
    <row r="25" spans="1:4">
      <c r="A25" s="16" t="s">
        <v>327</v>
      </c>
      <c r="B25" s="16" t="s">
        <v>984</v>
      </c>
      <c r="C25" s="16" t="s">
        <v>328</v>
      </c>
      <c r="D25" s="16" t="s">
        <v>329</v>
      </c>
    </row>
    <row r="26" spans="1:4" ht="49.5">
      <c r="A26" s="1" t="s">
        <v>1060</v>
      </c>
      <c r="B26" s="1" t="s">
        <v>1061</v>
      </c>
      <c r="C26" s="1" t="s">
        <v>1062</v>
      </c>
      <c r="D26" s="1" t="s">
        <v>1063</v>
      </c>
    </row>
    <row r="27" spans="1:4" ht="49.5">
      <c r="A27" s="1" t="s">
        <v>96</v>
      </c>
      <c r="B27" s="1" t="s">
        <v>1064</v>
      </c>
      <c r="C27" s="1" t="s">
        <v>1065</v>
      </c>
      <c r="D27" s="1" t="s">
        <v>1066</v>
      </c>
    </row>
    <row r="28" spans="1:4" ht="33">
      <c r="A28" s="1" t="s">
        <v>1067</v>
      </c>
      <c r="B28" s="1" t="s">
        <v>1068</v>
      </c>
      <c r="C28" s="1" t="s">
        <v>1069</v>
      </c>
      <c r="D28" s="1" t="s">
        <v>1070</v>
      </c>
    </row>
    <row r="29" spans="1:4" ht="33">
      <c r="A29" s="1" t="s">
        <v>1071</v>
      </c>
      <c r="B29" s="1" t="s">
        <v>1072</v>
      </c>
      <c r="C29" s="1" t="s">
        <v>1073</v>
      </c>
      <c r="D29" s="1" t="s">
        <v>1074</v>
      </c>
    </row>
    <row r="30" spans="1:4" ht="49.5">
      <c r="A30" s="1" t="s">
        <v>1075</v>
      </c>
      <c r="B30" s="1" t="s">
        <v>1076</v>
      </c>
      <c r="C30" s="1" t="s">
        <v>1077</v>
      </c>
      <c r="D30" s="1" t="s">
        <v>1078</v>
      </c>
    </row>
    <row r="31" spans="1:4" ht="33">
      <c r="A31" s="1" t="s">
        <v>1079</v>
      </c>
      <c r="B31" s="1" t="s">
        <v>1080</v>
      </c>
      <c r="C31" s="1" t="s">
        <v>1081</v>
      </c>
      <c r="D31" s="1" t="s">
        <v>1082</v>
      </c>
    </row>
    <row r="32" spans="1:4" ht="33">
      <c r="A32" s="1" t="s">
        <v>1083</v>
      </c>
      <c r="B32" s="1" t="s">
        <v>994</v>
      </c>
      <c r="C32" s="1" t="s">
        <v>1084</v>
      </c>
      <c r="D32" s="1" t="s">
        <v>1085</v>
      </c>
    </row>
    <row r="33" spans="1:4" ht="33">
      <c r="A33" s="1" t="s">
        <v>1086</v>
      </c>
      <c r="B33" s="1" t="s">
        <v>1087</v>
      </c>
      <c r="C33" s="1" t="s">
        <v>1088</v>
      </c>
      <c r="D33" s="1" t="s">
        <v>1089</v>
      </c>
    </row>
  </sheetData>
  <phoneticPr fontId="1" type="noConversion"/>
  <hyperlinks>
    <hyperlink ref="C22" r:id="rId1" xr:uid="{D18CC9ED-0383-47AC-8BF9-5EE7FD19AC32}"/>
  </hyperlinks>
  <pageMargins left="0.7" right="0.7" top="0.75" bottom="0.75" header="0.3" footer="0.3"/>
  <tableParts count="1">
    <tablePart r:id="rId2"/>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92BFE-36D3-4802-A1DE-8F7CD0F97A71}">
  <sheetPr>
    <tabColor theme="8"/>
  </sheetPr>
  <dimension ref="A1:D35"/>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102</v>
      </c>
      <c r="D2" s="30" t="s">
        <v>102</v>
      </c>
    </row>
    <row r="3" spans="1:4">
      <c r="A3" s="7" t="s">
        <v>3</v>
      </c>
      <c r="B3" s="11" t="s">
        <v>216</v>
      </c>
      <c r="C3" s="1" t="s">
        <v>2306</v>
      </c>
      <c r="D3" s="30" t="s">
        <v>2306</v>
      </c>
    </row>
    <row r="4" spans="1:4">
      <c r="A4" s="7" t="s">
        <v>2</v>
      </c>
      <c r="B4" s="11" t="s">
        <v>217</v>
      </c>
      <c r="C4" s="1" t="s">
        <v>1090</v>
      </c>
      <c r="D4" s="30" t="s">
        <v>126</v>
      </c>
    </row>
    <row r="5" spans="1:4" ht="49.5">
      <c r="A5" s="7" t="s">
        <v>241</v>
      </c>
      <c r="B5" s="13" t="s">
        <v>243</v>
      </c>
      <c r="C5" s="1" t="s">
        <v>1091</v>
      </c>
      <c r="D5" s="30" t="s">
        <v>2297</v>
      </c>
    </row>
    <row r="6" spans="1:4" ht="66">
      <c r="A6" s="7" t="s">
        <v>242</v>
      </c>
      <c r="B6" s="13" t="s">
        <v>244</v>
      </c>
      <c r="C6" s="1" t="s">
        <v>1092</v>
      </c>
      <c r="D6" s="30" t="s">
        <v>2298</v>
      </c>
    </row>
    <row r="7" spans="1:4" ht="49.5">
      <c r="A7" s="7" t="s">
        <v>196</v>
      </c>
      <c r="B7" s="12" t="s">
        <v>218</v>
      </c>
      <c r="C7" s="1" t="s">
        <v>1093</v>
      </c>
      <c r="D7" s="6"/>
    </row>
    <row r="8" spans="1:4" ht="115.5">
      <c r="A8" s="7" t="s">
        <v>197</v>
      </c>
      <c r="B8" s="13" t="s">
        <v>232</v>
      </c>
      <c r="C8" s="1" t="s">
        <v>1094</v>
      </c>
      <c r="D8" s="6"/>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1097</v>
      </c>
      <c r="D11" s="30" t="s">
        <v>1097</v>
      </c>
    </row>
    <row r="12" spans="1:4">
      <c r="A12" s="7" t="s">
        <v>180</v>
      </c>
      <c r="B12" s="11" t="s">
        <v>219</v>
      </c>
      <c r="C12" s="1">
        <v>3907400000</v>
      </c>
      <c r="D12" s="30">
        <v>3907400000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1095</v>
      </c>
      <c r="D15" s="6"/>
    </row>
    <row r="16" spans="1:4" ht="33">
      <c r="A16" s="7" t="s">
        <v>204</v>
      </c>
      <c r="B16" s="11" t="s">
        <v>233</v>
      </c>
      <c r="C16" s="1" t="s">
        <v>221</v>
      </c>
      <c r="D16" s="6"/>
    </row>
    <row r="17" spans="1:4" ht="33">
      <c r="A17" s="7" t="s">
        <v>205</v>
      </c>
      <c r="B17" s="11" t="s">
        <v>231</v>
      </c>
      <c r="C17" s="1" t="s">
        <v>261</v>
      </c>
      <c r="D17" s="6"/>
    </row>
    <row r="18" spans="1:4" ht="33">
      <c r="A18" s="7" t="s">
        <v>206</v>
      </c>
      <c r="B18" s="11" t="s">
        <v>234</v>
      </c>
      <c r="C18" s="1" t="s">
        <v>221</v>
      </c>
      <c r="D18" s="6"/>
    </row>
    <row r="19" spans="1:4" ht="33">
      <c r="A19" s="7" t="s">
        <v>207</v>
      </c>
      <c r="B19" s="11" t="s">
        <v>236</v>
      </c>
      <c r="C19" s="1" t="s">
        <v>212</v>
      </c>
      <c r="D19" s="6"/>
    </row>
    <row r="20" spans="1:4" ht="99">
      <c r="A20" s="8" t="s">
        <v>0</v>
      </c>
      <c r="B20" s="11" t="s">
        <v>223</v>
      </c>
      <c r="C20" s="1" t="s">
        <v>1131</v>
      </c>
      <c r="D20" s="6"/>
    </row>
    <row r="21" spans="1:4">
      <c r="A21" s="7" t="s">
        <v>224</v>
      </c>
      <c r="B21" s="11"/>
      <c r="C21" s="1" t="s">
        <v>1096</v>
      </c>
      <c r="D21" s="6"/>
    </row>
    <row r="22" spans="1:4">
      <c r="A22" s="9" t="s">
        <v>225</v>
      </c>
      <c r="B22" s="11"/>
      <c r="C22" s="1" t="s">
        <v>211</v>
      </c>
      <c r="D22" s="10"/>
    </row>
    <row r="25" spans="1:4">
      <c r="A25" s="16" t="s">
        <v>327</v>
      </c>
      <c r="B25" s="16" t="s">
        <v>984</v>
      </c>
      <c r="C25" s="16" t="s">
        <v>328</v>
      </c>
      <c r="D25" s="16" t="s">
        <v>329</v>
      </c>
    </row>
    <row r="26" spans="1:4" ht="33">
      <c r="A26" s="1" t="s">
        <v>1099</v>
      </c>
      <c r="B26" s="1" t="s">
        <v>1100</v>
      </c>
      <c r="C26" s="1" t="s">
        <v>1101</v>
      </c>
      <c r="D26" s="1" t="s">
        <v>1102</v>
      </c>
    </row>
    <row r="27" spans="1:4" ht="33">
      <c r="A27" s="1" t="s">
        <v>1103</v>
      </c>
      <c r="B27" s="1" t="s">
        <v>406</v>
      </c>
      <c r="C27" s="1" t="s">
        <v>1104</v>
      </c>
      <c r="D27" s="1" t="s">
        <v>1105</v>
      </c>
    </row>
    <row r="28" spans="1:4" ht="33">
      <c r="A28" s="1" t="s">
        <v>1106</v>
      </c>
      <c r="B28" s="1" t="s">
        <v>406</v>
      </c>
      <c r="C28" s="1" t="s">
        <v>1107</v>
      </c>
      <c r="D28" s="1" t="s">
        <v>1108</v>
      </c>
    </row>
    <row r="29" spans="1:4" ht="33">
      <c r="A29" s="1" t="s">
        <v>1109</v>
      </c>
      <c r="B29" s="1" t="s">
        <v>406</v>
      </c>
      <c r="C29" s="1" t="s">
        <v>1110</v>
      </c>
      <c r="D29" s="1" t="s">
        <v>1111</v>
      </c>
    </row>
    <row r="30" spans="1:4" ht="33">
      <c r="A30" s="1" t="s">
        <v>1112</v>
      </c>
      <c r="B30" s="1" t="s">
        <v>340</v>
      </c>
      <c r="C30" s="1" t="s">
        <v>1113</v>
      </c>
      <c r="D30" s="1" t="s">
        <v>1114</v>
      </c>
    </row>
    <row r="31" spans="1:4" ht="33">
      <c r="A31" s="1" t="s">
        <v>1115</v>
      </c>
      <c r="B31" s="1" t="s">
        <v>336</v>
      </c>
      <c r="C31" s="1" t="s">
        <v>1116</v>
      </c>
      <c r="D31" s="1" t="s">
        <v>1117</v>
      </c>
    </row>
    <row r="32" spans="1:4" ht="33">
      <c r="A32" s="1" t="s">
        <v>257</v>
      </c>
      <c r="B32" s="1" t="s">
        <v>1087</v>
      </c>
      <c r="C32" s="1" t="s">
        <v>1118</v>
      </c>
      <c r="D32" s="1" t="s">
        <v>1119</v>
      </c>
    </row>
    <row r="33" spans="1:4" ht="33">
      <c r="A33" s="1" t="s">
        <v>1120</v>
      </c>
      <c r="B33" s="1" t="s">
        <v>956</v>
      </c>
      <c r="C33" s="1" t="s">
        <v>1121</v>
      </c>
      <c r="D33" s="1" t="s">
        <v>1122</v>
      </c>
    </row>
    <row r="34" spans="1:4" ht="33">
      <c r="A34" s="1" t="s">
        <v>1123</v>
      </c>
      <c r="B34" s="1" t="s">
        <v>1124</v>
      </c>
      <c r="C34" s="1" t="s">
        <v>1125</v>
      </c>
      <c r="D34" s="1" t="s">
        <v>1126</v>
      </c>
    </row>
    <row r="35" spans="1:4" ht="33">
      <c r="A35" s="1" t="s">
        <v>1127</v>
      </c>
      <c r="B35" s="1" t="s">
        <v>1128</v>
      </c>
      <c r="C35" s="1" t="s">
        <v>1129</v>
      </c>
      <c r="D35" s="1" t="s">
        <v>1130</v>
      </c>
    </row>
  </sheetData>
  <phoneticPr fontId="1" type="noConversion"/>
  <pageMargins left="0.7" right="0.7" top="0.75" bottom="0.75" header="0.3" footer="0.3"/>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608F9-3B66-4B56-AF2F-4A6969B21A42}">
  <sheetPr>
    <tabColor theme="8"/>
  </sheetPr>
  <dimension ref="A1:D35"/>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103</v>
      </c>
      <c r="D2" s="30" t="s">
        <v>103</v>
      </c>
    </row>
    <row r="3" spans="1:4">
      <c r="A3" s="7" t="s">
        <v>3</v>
      </c>
      <c r="B3" s="11" t="s">
        <v>216</v>
      </c>
      <c r="C3" s="1" t="s">
        <v>2306</v>
      </c>
      <c r="D3" s="30" t="s">
        <v>2306</v>
      </c>
    </row>
    <row r="4" spans="1:4">
      <c r="A4" s="7" t="s">
        <v>2</v>
      </c>
      <c r="B4" s="11" t="s">
        <v>217</v>
      </c>
      <c r="C4" s="1" t="s">
        <v>1098</v>
      </c>
      <c r="D4" s="30" t="s">
        <v>1098</v>
      </c>
    </row>
    <row r="5" spans="1:4" ht="66">
      <c r="A5" s="7" t="s">
        <v>241</v>
      </c>
      <c r="B5" s="13" t="s">
        <v>243</v>
      </c>
      <c r="C5" s="1" t="s">
        <v>1132</v>
      </c>
      <c r="D5" s="30" t="s">
        <v>2299</v>
      </c>
    </row>
    <row r="6" spans="1:4" ht="66">
      <c r="A6" s="7" t="s">
        <v>242</v>
      </c>
      <c r="B6" s="13" t="s">
        <v>244</v>
      </c>
      <c r="C6" s="1" t="s">
        <v>1133</v>
      </c>
      <c r="D6" s="30" t="s">
        <v>2300</v>
      </c>
    </row>
    <row r="7" spans="1:4" ht="33">
      <c r="A7" s="7" t="s">
        <v>196</v>
      </c>
      <c r="B7" s="12" t="s">
        <v>218</v>
      </c>
      <c r="C7" s="1" t="s">
        <v>1134</v>
      </c>
      <c r="D7" s="1"/>
    </row>
    <row r="8" spans="1:4" ht="115.5">
      <c r="A8" s="7" t="s">
        <v>197</v>
      </c>
      <c r="B8" s="13" t="s">
        <v>232</v>
      </c>
      <c r="C8" s="1" t="s">
        <v>1135</v>
      </c>
      <c r="D8" s="6"/>
    </row>
    <row r="9" spans="1:4" ht="33">
      <c r="A9" s="7" t="s">
        <v>198</v>
      </c>
      <c r="B9" s="13" t="s">
        <v>230</v>
      </c>
      <c r="C9" s="1" t="s">
        <v>1136</v>
      </c>
      <c r="D9" s="6"/>
    </row>
    <row r="10" spans="1:4" ht="33">
      <c r="A10" s="7" t="s">
        <v>199</v>
      </c>
      <c r="B10" s="11" t="s">
        <v>228</v>
      </c>
      <c r="C10" s="1" t="s">
        <v>210</v>
      </c>
      <c r="D10" s="30" t="s">
        <v>210</v>
      </c>
    </row>
    <row r="11" spans="1:4">
      <c r="A11" s="7" t="s">
        <v>200</v>
      </c>
      <c r="B11" s="11" t="s">
        <v>239</v>
      </c>
      <c r="C11" s="1" t="s">
        <v>1142</v>
      </c>
      <c r="D11" s="30" t="s">
        <v>1142</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1137</v>
      </c>
      <c r="D14" s="6"/>
    </row>
    <row r="15" spans="1:4" ht="33">
      <c r="A15" s="7" t="s">
        <v>203</v>
      </c>
      <c r="B15" s="11" t="s">
        <v>220</v>
      </c>
      <c r="C15" s="1" t="s">
        <v>1138</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1136</v>
      </c>
      <c r="D18" s="6"/>
    </row>
    <row r="19" spans="1:4" ht="33">
      <c r="A19" s="7" t="s">
        <v>207</v>
      </c>
      <c r="B19" s="11" t="s">
        <v>236</v>
      </c>
      <c r="C19" s="1" t="s">
        <v>1139</v>
      </c>
      <c r="D19" s="6"/>
    </row>
    <row r="20" spans="1:4" ht="99">
      <c r="A20" s="8" t="s">
        <v>0</v>
      </c>
      <c r="B20" s="11" t="s">
        <v>223</v>
      </c>
      <c r="C20" s="1" t="s">
        <v>1177</v>
      </c>
      <c r="D20" s="6"/>
    </row>
    <row r="21" spans="1:4">
      <c r="A21" s="7" t="s">
        <v>224</v>
      </c>
      <c r="B21" s="11"/>
      <c r="C21" s="1" t="s">
        <v>1140</v>
      </c>
      <c r="D21" s="6"/>
    </row>
    <row r="22" spans="1:4">
      <c r="A22" s="9" t="s">
        <v>225</v>
      </c>
      <c r="B22" s="11"/>
      <c r="C22" s="14" t="s">
        <v>1141</v>
      </c>
      <c r="D22" s="10"/>
    </row>
    <row r="25" spans="1:4">
      <c r="A25" s="16" t="s">
        <v>327</v>
      </c>
      <c r="B25" s="16" t="s">
        <v>984</v>
      </c>
      <c r="C25" s="16" t="s">
        <v>328</v>
      </c>
      <c r="D25" s="16" t="s">
        <v>329</v>
      </c>
    </row>
    <row r="26" spans="1:4" ht="49.5">
      <c r="A26" s="1" t="s">
        <v>1143</v>
      </c>
      <c r="B26" s="1" t="s">
        <v>1144</v>
      </c>
      <c r="C26" s="1" t="s">
        <v>1145</v>
      </c>
      <c r="D26" s="1" t="s">
        <v>1146</v>
      </c>
    </row>
    <row r="27" spans="1:4" ht="33">
      <c r="A27" s="1" t="s">
        <v>1147</v>
      </c>
      <c r="B27" s="1" t="s">
        <v>1072</v>
      </c>
      <c r="C27" s="1" t="s">
        <v>1148</v>
      </c>
      <c r="D27" s="1" t="s">
        <v>1149</v>
      </c>
    </row>
    <row r="28" spans="1:4" ht="33">
      <c r="A28" s="1" t="s">
        <v>1150</v>
      </c>
      <c r="B28" s="1" t="s">
        <v>336</v>
      </c>
      <c r="C28" s="1" t="s">
        <v>1151</v>
      </c>
      <c r="D28" s="1" t="s">
        <v>1152</v>
      </c>
    </row>
    <row r="29" spans="1:4" ht="49.5">
      <c r="A29" s="1" t="s">
        <v>1153</v>
      </c>
      <c r="B29" s="1" t="s">
        <v>1154</v>
      </c>
      <c r="C29" s="1" t="s">
        <v>1155</v>
      </c>
      <c r="D29" s="1" t="s">
        <v>1156</v>
      </c>
    </row>
    <row r="30" spans="1:4" ht="49.5">
      <c r="A30" s="1" t="s">
        <v>1157</v>
      </c>
      <c r="B30" s="1" t="s">
        <v>1158</v>
      </c>
      <c r="C30" s="1" t="s">
        <v>1159</v>
      </c>
      <c r="D30" s="1" t="s">
        <v>1160</v>
      </c>
    </row>
    <row r="31" spans="1:4" ht="33">
      <c r="A31" s="1" t="s">
        <v>1161</v>
      </c>
      <c r="B31" s="1" t="s">
        <v>457</v>
      </c>
      <c r="C31" s="1" t="s">
        <v>1162</v>
      </c>
      <c r="D31" s="1" t="s">
        <v>1163</v>
      </c>
    </row>
    <row r="32" spans="1:4" ht="33">
      <c r="A32" s="1" t="s">
        <v>1164</v>
      </c>
      <c r="B32" s="1" t="s">
        <v>406</v>
      </c>
      <c r="C32" s="1" t="s">
        <v>1165</v>
      </c>
      <c r="D32" s="1" t="s">
        <v>1166</v>
      </c>
    </row>
    <row r="33" spans="1:4" ht="33">
      <c r="A33" s="1" t="s">
        <v>1167</v>
      </c>
      <c r="B33" s="1" t="s">
        <v>998</v>
      </c>
      <c r="C33" s="1" t="s">
        <v>1168</v>
      </c>
      <c r="D33" s="1" t="s">
        <v>1169</v>
      </c>
    </row>
    <row r="34" spans="1:4" ht="33">
      <c r="A34" s="1" t="s">
        <v>1170</v>
      </c>
      <c r="B34" s="1" t="s">
        <v>994</v>
      </c>
      <c r="C34" s="1" t="s">
        <v>1171</v>
      </c>
      <c r="D34" s="1" t="s">
        <v>1172</v>
      </c>
    </row>
    <row r="35" spans="1:4" ht="33">
      <c r="A35" s="1" t="s">
        <v>1173</v>
      </c>
      <c r="B35" s="1" t="s">
        <v>1174</v>
      </c>
      <c r="C35" s="1" t="s">
        <v>1175</v>
      </c>
      <c r="D35" s="1" t="s">
        <v>1176</v>
      </c>
    </row>
  </sheetData>
  <phoneticPr fontId="1" type="noConversion"/>
  <hyperlinks>
    <hyperlink ref="C22" r:id="rId1" xr:uid="{C7D0C6C5-E989-4981-90D0-891030B22557}"/>
  </hyperlinks>
  <pageMargins left="0.7" right="0.7" top="0.75" bottom="0.75" header="0.3" footer="0.3"/>
  <tableParts count="1">
    <tablePart r:id="rId2"/>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AD4E5-66D5-49EB-BEDC-E2E95BB7F867}">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104</v>
      </c>
      <c r="D2" s="30" t="s">
        <v>104</v>
      </c>
    </row>
    <row r="3" spans="1:4">
      <c r="A3" s="7" t="s">
        <v>3</v>
      </c>
      <c r="B3" s="11" t="s">
        <v>216</v>
      </c>
      <c r="C3" s="1" t="s">
        <v>2306</v>
      </c>
      <c r="D3" s="30" t="s">
        <v>2306</v>
      </c>
    </row>
    <row r="4" spans="1:4">
      <c r="A4" s="7" t="s">
        <v>2</v>
      </c>
      <c r="B4" s="11" t="s">
        <v>217</v>
      </c>
      <c r="C4" s="1" t="s">
        <v>95</v>
      </c>
      <c r="D4" s="30" t="s">
        <v>95</v>
      </c>
    </row>
    <row r="5" spans="1:4" ht="49.5">
      <c r="A5" s="7" t="s">
        <v>241</v>
      </c>
      <c r="B5" s="13" t="s">
        <v>243</v>
      </c>
      <c r="C5" s="1" t="s">
        <v>1178</v>
      </c>
      <c r="D5" s="30" t="s">
        <v>2301</v>
      </c>
    </row>
    <row r="6" spans="1:4" ht="66">
      <c r="A6" s="7" t="s">
        <v>242</v>
      </c>
      <c r="B6" s="13" t="s">
        <v>244</v>
      </c>
      <c r="C6" s="1" t="s">
        <v>1179</v>
      </c>
      <c r="D6" s="30" t="s">
        <v>2302</v>
      </c>
    </row>
    <row r="7" spans="1:4">
      <c r="A7" s="7" t="s">
        <v>196</v>
      </c>
      <c r="B7" s="12" t="s">
        <v>218</v>
      </c>
      <c r="C7" s="1" t="s">
        <v>1180</v>
      </c>
      <c r="D7" s="6"/>
    </row>
    <row r="8" spans="1:4" ht="115.5">
      <c r="A8" s="7" t="s">
        <v>197</v>
      </c>
      <c r="B8" s="13" t="s">
        <v>232</v>
      </c>
      <c r="C8" s="1" t="s">
        <v>1181</v>
      </c>
      <c r="D8" s="6"/>
    </row>
    <row r="9" spans="1:4" ht="33">
      <c r="A9" s="7" t="s">
        <v>198</v>
      </c>
      <c r="B9" s="13" t="s">
        <v>230</v>
      </c>
      <c r="C9" s="1" t="s">
        <v>226</v>
      </c>
      <c r="D9" s="6"/>
    </row>
    <row r="10" spans="1:4" ht="33">
      <c r="A10" s="7" t="s">
        <v>199</v>
      </c>
      <c r="B10" s="11" t="s">
        <v>228</v>
      </c>
      <c r="C10" s="1" t="s">
        <v>288</v>
      </c>
      <c r="D10" s="30" t="s">
        <v>288</v>
      </c>
    </row>
    <row r="11" spans="1:4">
      <c r="A11" s="7" t="s">
        <v>200</v>
      </c>
      <c r="B11" s="11" t="s">
        <v>239</v>
      </c>
      <c r="C11" s="1" t="s">
        <v>1211</v>
      </c>
      <c r="D11" s="30" t="s">
        <v>1211</v>
      </c>
    </row>
    <row r="12" spans="1:4">
      <c r="A12" s="7" t="s">
        <v>180</v>
      </c>
      <c r="B12" s="11" t="s">
        <v>219</v>
      </c>
      <c r="C12" s="1">
        <v>2902110000</v>
      </c>
      <c r="D12" s="30">
        <v>2902110000</v>
      </c>
    </row>
    <row r="13" spans="1:4" ht="33">
      <c r="A13" s="7" t="s">
        <v>201</v>
      </c>
      <c r="B13" s="11" t="s">
        <v>229</v>
      </c>
      <c r="C13" s="1" t="s">
        <v>290</v>
      </c>
      <c r="D13" s="30" t="s">
        <v>290</v>
      </c>
    </row>
    <row r="14" spans="1:4" ht="33">
      <c r="A14" s="7" t="s">
        <v>202</v>
      </c>
      <c r="B14" s="11" t="s">
        <v>235</v>
      </c>
      <c r="C14" s="1" t="s">
        <v>211</v>
      </c>
      <c r="D14" s="6"/>
    </row>
    <row r="15" spans="1:4">
      <c r="A15" s="7" t="s">
        <v>203</v>
      </c>
      <c r="B15" s="11" t="s">
        <v>220</v>
      </c>
      <c r="C15" s="1" t="s">
        <v>211</v>
      </c>
      <c r="D15" s="6"/>
    </row>
    <row r="16" spans="1:4" ht="33">
      <c r="A16" s="7" t="s">
        <v>204</v>
      </c>
      <c r="B16" s="11" t="s">
        <v>233</v>
      </c>
      <c r="C16" s="1" t="s">
        <v>261</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212</v>
      </c>
      <c r="D19" s="6"/>
    </row>
    <row r="20" spans="1:4" ht="115.5">
      <c r="A20" s="8" t="s">
        <v>0</v>
      </c>
      <c r="B20" s="11" t="s">
        <v>223</v>
      </c>
      <c r="C20" s="1" t="s">
        <v>1210</v>
      </c>
      <c r="D20" s="6"/>
    </row>
    <row r="21" spans="1:4">
      <c r="A21" s="7" t="s">
        <v>224</v>
      </c>
      <c r="B21" s="11"/>
      <c r="C21" s="1" t="s">
        <v>1182</v>
      </c>
      <c r="D21" s="6"/>
    </row>
    <row r="22" spans="1:4">
      <c r="A22" s="9" t="s">
        <v>225</v>
      </c>
      <c r="B22" s="11"/>
      <c r="C22" s="1" t="s">
        <v>211</v>
      </c>
      <c r="D22" s="10"/>
    </row>
    <row r="25" spans="1:4">
      <c r="A25" s="16" t="s">
        <v>327</v>
      </c>
      <c r="B25" s="16" t="s">
        <v>984</v>
      </c>
      <c r="C25" s="16" t="s">
        <v>328</v>
      </c>
      <c r="D25" s="16" t="s">
        <v>329</v>
      </c>
    </row>
    <row r="26" spans="1:4" ht="66">
      <c r="A26" s="1" t="s">
        <v>1183</v>
      </c>
      <c r="B26" s="1" t="s">
        <v>1184</v>
      </c>
      <c r="C26" s="1" t="s">
        <v>1185</v>
      </c>
      <c r="D26" s="1" t="s">
        <v>1186</v>
      </c>
    </row>
    <row r="27" spans="1:4" ht="66">
      <c r="A27" s="1" t="s">
        <v>1187</v>
      </c>
      <c r="B27" s="1" t="s">
        <v>1188</v>
      </c>
      <c r="C27" s="1" t="s">
        <v>1189</v>
      </c>
      <c r="D27" s="1" t="s">
        <v>1190</v>
      </c>
    </row>
    <row r="28" spans="1:4" ht="49.5">
      <c r="A28" s="1" t="s">
        <v>1191</v>
      </c>
      <c r="B28" s="1" t="s">
        <v>348</v>
      </c>
      <c r="C28" s="1" t="s">
        <v>1192</v>
      </c>
      <c r="D28" s="1" t="s">
        <v>1193</v>
      </c>
    </row>
    <row r="29" spans="1:4" ht="33">
      <c r="A29" s="1" t="s">
        <v>1194</v>
      </c>
      <c r="B29" s="1" t="s">
        <v>348</v>
      </c>
      <c r="C29" s="1" t="s">
        <v>1195</v>
      </c>
      <c r="D29" s="1" t="s">
        <v>1196</v>
      </c>
    </row>
    <row r="30" spans="1:4" ht="49.5">
      <c r="A30" s="1" t="s">
        <v>1197</v>
      </c>
      <c r="B30" s="1" t="s">
        <v>1198</v>
      </c>
      <c r="C30" s="1" t="s">
        <v>1199</v>
      </c>
      <c r="D30" s="1" t="s">
        <v>1200</v>
      </c>
    </row>
    <row r="31" spans="1:4" ht="49.5">
      <c r="A31" s="1" t="s">
        <v>1201</v>
      </c>
      <c r="B31" s="1" t="s">
        <v>1198</v>
      </c>
      <c r="C31" s="1" t="s">
        <v>1202</v>
      </c>
      <c r="D31" s="1" t="s">
        <v>1203</v>
      </c>
    </row>
    <row r="32" spans="1:4" ht="33">
      <c r="A32" s="1" t="s">
        <v>1204</v>
      </c>
      <c r="B32" s="1" t="s">
        <v>348</v>
      </c>
      <c r="C32" s="1" t="s">
        <v>1205</v>
      </c>
      <c r="D32" s="1" t="s">
        <v>1206</v>
      </c>
    </row>
    <row r="33" spans="1:4" ht="66">
      <c r="A33" s="1" t="s">
        <v>1207</v>
      </c>
      <c r="B33" s="1" t="s">
        <v>348</v>
      </c>
      <c r="C33" s="1" t="s">
        <v>1208</v>
      </c>
      <c r="D33" s="1" t="s">
        <v>1209</v>
      </c>
    </row>
  </sheetData>
  <phoneticPr fontId="1" type="noConversion"/>
  <pageMargins left="0.7" right="0.7" top="0.75" bottom="0.75" header="0.3" footer="0.3"/>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A186F-CDDE-47B8-B62D-3C610A86449E}">
  <sheetPr>
    <tabColor theme="8"/>
  </sheetPr>
  <dimension ref="A1:D36"/>
  <sheetViews>
    <sheetView topLeftCell="A20" zoomScale="85" zoomScaleNormal="85" workbookViewId="0">
      <selection activeCell="C36" sqref="C36"/>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2755</v>
      </c>
      <c r="D2" s="30" t="s">
        <v>2755</v>
      </c>
    </row>
    <row r="3" spans="1:4">
      <c r="A3" s="7" t="s">
        <v>3</v>
      </c>
      <c r="B3" s="11" t="s">
        <v>216</v>
      </c>
      <c r="C3" s="1" t="s">
        <v>2306</v>
      </c>
      <c r="D3" s="30" t="s">
        <v>2306</v>
      </c>
    </row>
    <row r="4" spans="1:4">
      <c r="A4" s="7" t="s">
        <v>2</v>
      </c>
      <c r="B4" s="11" t="s">
        <v>217</v>
      </c>
      <c r="C4" s="1" t="s">
        <v>94</v>
      </c>
      <c r="D4" s="30" t="s">
        <v>2756</v>
      </c>
    </row>
    <row r="5" spans="1:4" ht="66">
      <c r="A5" s="7" t="s">
        <v>241</v>
      </c>
      <c r="B5" s="13" t="s">
        <v>243</v>
      </c>
      <c r="C5" s="1" t="s">
        <v>2745</v>
      </c>
      <c r="D5" s="30" t="s">
        <v>2757</v>
      </c>
    </row>
    <row r="6" spans="1:4" ht="49.5">
      <c r="A6" s="7" t="s">
        <v>242</v>
      </c>
      <c r="B6" s="13" t="s">
        <v>244</v>
      </c>
      <c r="C6" s="1" t="s">
        <v>2746</v>
      </c>
      <c r="D6" s="30" t="s">
        <v>2758</v>
      </c>
    </row>
    <row r="7" spans="1:4" ht="49.5">
      <c r="A7" s="7" t="s">
        <v>196</v>
      </c>
      <c r="B7" s="12" t="s">
        <v>218</v>
      </c>
      <c r="C7" s="1" t="s">
        <v>2747</v>
      </c>
      <c r="D7" s="6"/>
    </row>
    <row r="8" spans="1:4" ht="49.5">
      <c r="A8" s="7" t="s">
        <v>197</v>
      </c>
      <c r="B8" s="13" t="s">
        <v>232</v>
      </c>
      <c r="C8" s="1" t="s">
        <v>2748</v>
      </c>
      <c r="D8" s="6"/>
    </row>
    <row r="9" spans="1:4" ht="33">
      <c r="A9" s="7" t="s">
        <v>198</v>
      </c>
      <c r="B9" s="13" t="s">
        <v>230</v>
      </c>
      <c r="C9" s="1" t="s">
        <v>2749</v>
      </c>
      <c r="D9" s="6"/>
    </row>
    <row r="10" spans="1:4" ht="33">
      <c r="A10" s="7" t="s">
        <v>199</v>
      </c>
      <c r="B10" s="11" t="s">
        <v>228</v>
      </c>
      <c r="C10" s="1" t="s">
        <v>210</v>
      </c>
      <c r="D10" s="30" t="s">
        <v>288</v>
      </c>
    </row>
    <row r="11" spans="1:4">
      <c r="A11" s="7" t="s">
        <v>200</v>
      </c>
      <c r="B11" s="11" t="s">
        <v>239</v>
      </c>
      <c r="C11" s="1" t="s">
        <v>2759</v>
      </c>
      <c r="D11" s="30" t="s">
        <v>2759</v>
      </c>
    </row>
    <row r="12" spans="1:4">
      <c r="A12" s="7" t="s">
        <v>180</v>
      </c>
      <c r="B12" s="11" t="s">
        <v>219</v>
      </c>
      <c r="C12" s="1">
        <v>2921411000</v>
      </c>
      <c r="D12" s="30">
        <v>2921411000</v>
      </c>
    </row>
    <row r="13" spans="1:4" ht="33">
      <c r="A13" s="7" t="s">
        <v>201</v>
      </c>
      <c r="B13" s="11" t="s">
        <v>229</v>
      </c>
      <c r="C13" s="1" t="s">
        <v>290</v>
      </c>
      <c r="D13" s="30" t="s">
        <v>290</v>
      </c>
    </row>
    <row r="14" spans="1:4" ht="33">
      <c r="A14" s="7" t="s">
        <v>202</v>
      </c>
      <c r="B14" s="11" t="s">
        <v>235</v>
      </c>
      <c r="C14" s="1" t="s">
        <v>210</v>
      </c>
      <c r="D14" s="6"/>
    </row>
    <row r="15" spans="1:4" ht="33">
      <c r="A15" s="7" t="s">
        <v>203</v>
      </c>
      <c r="B15" s="11" t="s">
        <v>220</v>
      </c>
      <c r="C15" s="1" t="s">
        <v>2750</v>
      </c>
      <c r="D15" s="6"/>
    </row>
    <row r="16" spans="1:4" ht="33">
      <c r="A16" s="7" t="s">
        <v>204</v>
      </c>
      <c r="B16" s="11" t="s">
        <v>233</v>
      </c>
      <c r="C16" s="1" t="s">
        <v>221</v>
      </c>
      <c r="D16" s="6"/>
    </row>
    <row r="17" spans="1:4" ht="33">
      <c r="A17" s="7" t="s">
        <v>205</v>
      </c>
      <c r="B17" s="11" t="s">
        <v>231</v>
      </c>
      <c r="C17" s="1" t="s">
        <v>2751</v>
      </c>
      <c r="D17" s="6"/>
    </row>
    <row r="18" spans="1:4" ht="33">
      <c r="A18" s="7" t="s">
        <v>206</v>
      </c>
      <c r="B18" s="11" t="s">
        <v>234</v>
      </c>
      <c r="C18" s="1" t="s">
        <v>2752</v>
      </c>
      <c r="D18" s="6"/>
    </row>
    <row r="19" spans="1:4" ht="33">
      <c r="A19" s="7" t="s">
        <v>207</v>
      </c>
      <c r="B19" s="11" t="s">
        <v>236</v>
      </c>
      <c r="C19" s="1" t="s">
        <v>212</v>
      </c>
      <c r="D19" s="6"/>
    </row>
    <row r="20" spans="1:4" ht="115.5">
      <c r="A20" s="8" t="s">
        <v>0</v>
      </c>
      <c r="B20" s="11" t="s">
        <v>223</v>
      </c>
      <c r="C20" s="1" t="s">
        <v>2753</v>
      </c>
      <c r="D20" s="6"/>
    </row>
    <row r="21" spans="1:4" ht="33">
      <c r="A21" s="7" t="s">
        <v>224</v>
      </c>
      <c r="B21" s="11"/>
      <c r="C21" s="1" t="s">
        <v>2754</v>
      </c>
      <c r="D21" s="6"/>
    </row>
    <row r="22" spans="1:4">
      <c r="A22" s="9" t="s">
        <v>225</v>
      </c>
      <c r="B22" s="11"/>
      <c r="C22" s="1" t="s">
        <v>211</v>
      </c>
      <c r="D22" s="10"/>
    </row>
    <row r="24" spans="1:4">
      <c r="A24" s="16" t="s">
        <v>327</v>
      </c>
      <c r="B24" s="16" t="s">
        <v>984</v>
      </c>
      <c r="C24" s="16" t="s">
        <v>328</v>
      </c>
      <c r="D24" s="16" t="s">
        <v>329</v>
      </c>
    </row>
    <row r="25" spans="1:4" ht="49.5">
      <c r="A25" s="1" t="s">
        <v>2760</v>
      </c>
      <c r="B25" s="1" t="s">
        <v>336</v>
      </c>
      <c r="C25" s="1" t="s">
        <v>2761</v>
      </c>
      <c r="D25" s="1" t="s">
        <v>2762</v>
      </c>
    </row>
    <row r="26" spans="1:4" ht="33">
      <c r="A26" s="1" t="s">
        <v>2763</v>
      </c>
      <c r="B26" s="1" t="s">
        <v>336</v>
      </c>
      <c r="C26" s="1" t="s">
        <v>2764</v>
      </c>
      <c r="D26" s="1" t="s">
        <v>2765</v>
      </c>
    </row>
    <row r="27" spans="1:4" ht="33">
      <c r="A27" s="1" t="s">
        <v>2766</v>
      </c>
      <c r="B27" s="1" t="s">
        <v>406</v>
      </c>
      <c r="C27" s="1" t="s">
        <v>2767</v>
      </c>
      <c r="D27" s="1" t="s">
        <v>2768</v>
      </c>
    </row>
    <row r="28" spans="1:4">
      <c r="A28" s="1" t="s">
        <v>2766</v>
      </c>
      <c r="B28" s="1" t="s">
        <v>340</v>
      </c>
      <c r="C28" s="1" t="s">
        <v>2769</v>
      </c>
      <c r="D28" s="1" t="s">
        <v>2667</v>
      </c>
    </row>
    <row r="29" spans="1:4">
      <c r="A29" s="1" t="s">
        <v>2770</v>
      </c>
      <c r="B29" s="1" t="s">
        <v>348</v>
      </c>
      <c r="C29" s="1" t="s">
        <v>2771</v>
      </c>
      <c r="D29" s="1" t="s">
        <v>2772</v>
      </c>
    </row>
    <row r="30" spans="1:4" ht="33">
      <c r="A30" s="1" t="s">
        <v>2773</v>
      </c>
      <c r="B30" s="1" t="s">
        <v>406</v>
      </c>
      <c r="C30" s="1" t="s">
        <v>2774</v>
      </c>
      <c r="D30" s="1" t="s">
        <v>2775</v>
      </c>
    </row>
    <row r="31" spans="1:4">
      <c r="A31" s="1" t="s">
        <v>2651</v>
      </c>
      <c r="B31" s="1" t="s">
        <v>2776</v>
      </c>
      <c r="C31" s="1" t="s">
        <v>2777</v>
      </c>
      <c r="D31" s="1" t="s">
        <v>2778</v>
      </c>
    </row>
    <row r="32" spans="1:4">
      <c r="A32" s="1" t="s">
        <v>2671</v>
      </c>
      <c r="B32" s="1" t="s">
        <v>340</v>
      </c>
      <c r="C32" s="1" t="s">
        <v>2779</v>
      </c>
      <c r="D32" s="1" t="s">
        <v>2780</v>
      </c>
    </row>
    <row r="33" spans="1:4" ht="33">
      <c r="A33" s="1" t="s">
        <v>2648</v>
      </c>
      <c r="B33" s="1" t="s">
        <v>2781</v>
      </c>
      <c r="C33" s="1" t="s">
        <v>2782</v>
      </c>
      <c r="D33" s="1" t="s">
        <v>2783</v>
      </c>
    </row>
    <row r="34" spans="1:4">
      <c r="A34" s="1" t="s">
        <v>2784</v>
      </c>
      <c r="B34" s="1" t="s">
        <v>348</v>
      </c>
      <c r="C34" s="1" t="s">
        <v>2785</v>
      </c>
      <c r="D34" s="1" t="s">
        <v>2744</v>
      </c>
    </row>
    <row r="35" spans="1:4">
      <c r="A35" s="1" t="s">
        <v>2786</v>
      </c>
      <c r="B35" s="1" t="s">
        <v>340</v>
      </c>
      <c r="C35" s="1" t="s">
        <v>2787</v>
      </c>
      <c r="D35" s="1" t="s">
        <v>2788</v>
      </c>
    </row>
    <row r="36" spans="1:4" ht="49.5">
      <c r="A36" s="1" t="s">
        <v>2789</v>
      </c>
      <c r="B36" s="1" t="s">
        <v>348</v>
      </c>
      <c r="C36" s="1" t="s">
        <v>2790</v>
      </c>
      <c r="D36" s="1" t="s">
        <v>2791</v>
      </c>
    </row>
  </sheetData>
  <phoneticPr fontId="1" type="noConversion"/>
  <pageMargins left="0.7" right="0.7" top="0.75" bottom="0.75" header="0.3" footer="0.3"/>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2E0CC-A639-4F3B-A5A6-4182CDD24BFF}">
  <sheetPr>
    <tabColor theme="8"/>
  </sheetPr>
  <dimension ref="A1:D33"/>
  <sheetViews>
    <sheetView tabSelected="1"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104</v>
      </c>
      <c r="D2" s="30" t="s">
        <v>104</v>
      </c>
    </row>
    <row r="3" spans="1:4">
      <c r="A3" s="7" t="s">
        <v>3</v>
      </c>
      <c r="B3" s="11" t="s">
        <v>216</v>
      </c>
      <c r="C3" s="1" t="s">
        <v>2306</v>
      </c>
      <c r="D3" s="30" t="s">
        <v>2306</v>
      </c>
    </row>
    <row r="4" spans="1:4">
      <c r="A4" s="7" t="s">
        <v>2</v>
      </c>
      <c r="B4" s="11" t="s">
        <v>217</v>
      </c>
      <c r="C4" s="1" t="s">
        <v>95</v>
      </c>
      <c r="D4" s="30" t="s">
        <v>95</v>
      </c>
    </row>
    <row r="5" spans="1:4" ht="49.5">
      <c r="A5" s="7" t="s">
        <v>241</v>
      </c>
      <c r="B5" s="13" t="s">
        <v>243</v>
      </c>
      <c r="C5" s="1" t="s">
        <v>1178</v>
      </c>
      <c r="D5" s="30" t="s">
        <v>2301</v>
      </c>
    </row>
    <row r="6" spans="1:4" ht="66">
      <c r="A6" s="7" t="s">
        <v>242</v>
      </c>
      <c r="B6" s="13" t="s">
        <v>244</v>
      </c>
      <c r="C6" s="1" t="s">
        <v>1179</v>
      </c>
      <c r="D6" s="30" t="s">
        <v>2302</v>
      </c>
    </row>
    <row r="7" spans="1:4">
      <c r="A7" s="7" t="s">
        <v>196</v>
      </c>
      <c r="B7" s="12" t="s">
        <v>218</v>
      </c>
      <c r="C7" s="1" t="s">
        <v>1180</v>
      </c>
      <c r="D7" s="6"/>
    </row>
    <row r="8" spans="1:4" ht="115.5">
      <c r="A8" s="7" t="s">
        <v>197</v>
      </c>
      <c r="B8" s="13" t="s">
        <v>232</v>
      </c>
      <c r="C8" s="1" t="s">
        <v>1181</v>
      </c>
      <c r="D8" s="6"/>
    </row>
    <row r="9" spans="1:4" ht="33">
      <c r="A9" s="7" t="s">
        <v>198</v>
      </c>
      <c r="B9" s="13" t="s">
        <v>230</v>
      </c>
      <c r="C9" s="1" t="s">
        <v>226</v>
      </c>
      <c r="D9" s="6"/>
    </row>
    <row r="10" spans="1:4" ht="33">
      <c r="A10" s="7" t="s">
        <v>199</v>
      </c>
      <c r="B10" s="11" t="s">
        <v>228</v>
      </c>
      <c r="C10" s="1" t="s">
        <v>288</v>
      </c>
      <c r="D10" s="30" t="s">
        <v>288</v>
      </c>
    </row>
    <row r="11" spans="1:4">
      <c r="A11" s="7" t="s">
        <v>200</v>
      </c>
      <c r="B11" s="11" t="s">
        <v>239</v>
      </c>
      <c r="C11" s="1" t="s">
        <v>1211</v>
      </c>
      <c r="D11" s="30" t="s">
        <v>1211</v>
      </c>
    </row>
    <row r="12" spans="1:4">
      <c r="A12" s="7" t="s">
        <v>180</v>
      </c>
      <c r="B12" s="11" t="s">
        <v>219</v>
      </c>
      <c r="C12" s="1">
        <v>2902110000</v>
      </c>
      <c r="D12" s="30">
        <v>2902110000</v>
      </c>
    </row>
    <row r="13" spans="1:4" ht="33">
      <c r="A13" s="7" t="s">
        <v>201</v>
      </c>
      <c r="B13" s="11" t="s">
        <v>229</v>
      </c>
      <c r="C13" s="1" t="s">
        <v>290</v>
      </c>
      <c r="D13" s="30" t="s">
        <v>290</v>
      </c>
    </row>
    <row r="14" spans="1:4" ht="33">
      <c r="A14" s="7" t="s">
        <v>202</v>
      </c>
      <c r="B14" s="11" t="s">
        <v>235</v>
      </c>
      <c r="C14" s="1" t="s">
        <v>211</v>
      </c>
      <c r="D14" s="6"/>
    </row>
    <row r="15" spans="1:4">
      <c r="A15" s="7" t="s">
        <v>203</v>
      </c>
      <c r="B15" s="11" t="s">
        <v>220</v>
      </c>
      <c r="C15" s="1" t="s">
        <v>211</v>
      </c>
      <c r="D15" s="6"/>
    </row>
    <row r="16" spans="1:4" ht="33">
      <c r="A16" s="7" t="s">
        <v>204</v>
      </c>
      <c r="B16" s="11" t="s">
        <v>233</v>
      </c>
      <c r="C16" s="1" t="s">
        <v>261</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212</v>
      </c>
      <c r="D19" s="6"/>
    </row>
    <row r="20" spans="1:4" ht="115.5">
      <c r="A20" s="8" t="s">
        <v>0</v>
      </c>
      <c r="B20" s="11" t="s">
        <v>223</v>
      </c>
      <c r="C20" s="1" t="s">
        <v>1210</v>
      </c>
      <c r="D20" s="6"/>
    </row>
    <row r="21" spans="1:4">
      <c r="A21" s="7" t="s">
        <v>224</v>
      </c>
      <c r="B21" s="11"/>
      <c r="C21" s="1" t="s">
        <v>1182</v>
      </c>
      <c r="D21" s="6"/>
    </row>
    <row r="22" spans="1:4">
      <c r="A22" s="9" t="s">
        <v>225</v>
      </c>
      <c r="B22" s="11"/>
      <c r="C22" s="1" t="s">
        <v>211</v>
      </c>
      <c r="D22" s="10"/>
    </row>
    <row r="25" spans="1:4">
      <c r="A25" s="16" t="s">
        <v>327</v>
      </c>
      <c r="B25" s="16" t="s">
        <v>984</v>
      </c>
      <c r="C25" s="16" t="s">
        <v>328</v>
      </c>
      <c r="D25" s="16" t="s">
        <v>329</v>
      </c>
    </row>
    <row r="26" spans="1:4" ht="66">
      <c r="A26" s="1" t="s">
        <v>1183</v>
      </c>
      <c r="B26" s="1" t="s">
        <v>1184</v>
      </c>
      <c r="C26" s="1" t="s">
        <v>1185</v>
      </c>
      <c r="D26" s="1" t="s">
        <v>1186</v>
      </c>
    </row>
    <row r="27" spans="1:4" ht="66">
      <c r="A27" s="1" t="s">
        <v>1187</v>
      </c>
      <c r="B27" s="1" t="s">
        <v>1188</v>
      </c>
      <c r="C27" s="1" t="s">
        <v>1189</v>
      </c>
      <c r="D27" s="1" t="s">
        <v>1190</v>
      </c>
    </row>
    <row r="28" spans="1:4" ht="49.5">
      <c r="A28" s="1" t="s">
        <v>1191</v>
      </c>
      <c r="B28" s="1" t="s">
        <v>348</v>
      </c>
      <c r="C28" s="1" t="s">
        <v>1192</v>
      </c>
      <c r="D28" s="1" t="s">
        <v>1193</v>
      </c>
    </row>
    <row r="29" spans="1:4" ht="33">
      <c r="A29" s="1" t="s">
        <v>1194</v>
      </c>
      <c r="B29" s="1" t="s">
        <v>348</v>
      </c>
      <c r="C29" s="1" t="s">
        <v>1195</v>
      </c>
      <c r="D29" s="1" t="s">
        <v>1196</v>
      </c>
    </row>
    <row r="30" spans="1:4" ht="49.5">
      <c r="A30" s="1" t="s">
        <v>1197</v>
      </c>
      <c r="B30" s="1" t="s">
        <v>1198</v>
      </c>
      <c r="C30" s="1" t="s">
        <v>1199</v>
      </c>
      <c r="D30" s="1" t="s">
        <v>1200</v>
      </c>
    </row>
    <row r="31" spans="1:4" ht="49.5">
      <c r="A31" s="1" t="s">
        <v>1201</v>
      </c>
      <c r="B31" s="1" t="s">
        <v>1198</v>
      </c>
      <c r="C31" s="1" t="s">
        <v>1202</v>
      </c>
      <c r="D31" s="1" t="s">
        <v>1203</v>
      </c>
    </row>
    <row r="32" spans="1:4" ht="33">
      <c r="A32" s="1" t="s">
        <v>1204</v>
      </c>
      <c r="B32" s="1" t="s">
        <v>348</v>
      </c>
      <c r="C32" s="1" t="s">
        <v>1205</v>
      </c>
      <c r="D32" s="1" t="s">
        <v>1206</v>
      </c>
    </row>
    <row r="33" spans="1:4" ht="66">
      <c r="A33" s="1" t="s">
        <v>1207</v>
      </c>
      <c r="B33" s="1" t="s">
        <v>348</v>
      </c>
      <c r="C33" s="1" t="s">
        <v>1208</v>
      </c>
      <c r="D33" s="1" t="s">
        <v>1209</v>
      </c>
    </row>
  </sheetData>
  <phoneticPr fontId="1" type="noConversion"/>
  <pageMargins left="0.7" right="0.7" top="0.75" bottom="0.75" header="0.3" footer="0.3"/>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57EEF-7EA3-4015-AA26-DA9302F0B22E}">
  <sheetPr>
    <tabColor theme="8"/>
  </sheetPr>
  <dimension ref="A1:D35"/>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106</v>
      </c>
      <c r="D2" s="30" t="s">
        <v>106</v>
      </c>
    </row>
    <row r="3" spans="1:4">
      <c r="A3" s="7" t="s">
        <v>3</v>
      </c>
      <c r="B3" s="11" t="s">
        <v>216</v>
      </c>
      <c r="C3" s="1" t="s">
        <v>2306</v>
      </c>
      <c r="D3" s="30" t="s">
        <v>2306</v>
      </c>
    </row>
    <row r="4" spans="1:4">
      <c r="A4" s="7" t="s">
        <v>2</v>
      </c>
      <c r="B4" s="11" t="s">
        <v>217</v>
      </c>
      <c r="C4" s="1" t="s">
        <v>1212</v>
      </c>
      <c r="D4" s="30" t="s">
        <v>115</v>
      </c>
    </row>
    <row r="5" spans="1:4" ht="49.5">
      <c r="A5" s="7" t="s">
        <v>241</v>
      </c>
      <c r="B5" s="13" t="s">
        <v>243</v>
      </c>
      <c r="C5" s="1" t="s">
        <v>1213</v>
      </c>
      <c r="D5" s="30" t="s">
        <v>2303</v>
      </c>
    </row>
    <row r="6" spans="1:4" ht="49.5">
      <c r="A6" s="7" t="s">
        <v>242</v>
      </c>
      <c r="B6" s="13" t="s">
        <v>244</v>
      </c>
      <c r="C6" s="1" t="s">
        <v>1214</v>
      </c>
      <c r="D6" s="30" t="s">
        <v>2304</v>
      </c>
    </row>
    <row r="7" spans="1:4" ht="33">
      <c r="A7" s="7" t="s">
        <v>196</v>
      </c>
      <c r="B7" s="12" t="s">
        <v>218</v>
      </c>
      <c r="C7" s="1" t="s">
        <v>1215</v>
      </c>
      <c r="D7" s="6"/>
    </row>
    <row r="8" spans="1:4" ht="82.5">
      <c r="A8" s="7" t="s">
        <v>197</v>
      </c>
      <c r="B8" s="13" t="s">
        <v>232</v>
      </c>
      <c r="C8" s="1" t="s">
        <v>1216</v>
      </c>
      <c r="D8" s="6"/>
    </row>
    <row r="9" spans="1:4" ht="33">
      <c r="A9" s="7" t="s">
        <v>198</v>
      </c>
      <c r="B9" s="13" t="s">
        <v>230</v>
      </c>
      <c r="C9" s="1" t="s">
        <v>226</v>
      </c>
      <c r="D9" s="6"/>
    </row>
    <row r="10" spans="1:4" ht="33">
      <c r="A10" s="7" t="s">
        <v>199</v>
      </c>
      <c r="B10" s="11" t="s">
        <v>228</v>
      </c>
      <c r="C10" s="1" t="s">
        <v>210</v>
      </c>
      <c r="D10" s="30" t="s">
        <v>210</v>
      </c>
    </row>
    <row r="11" spans="1:4">
      <c r="A11" s="7" t="s">
        <v>200</v>
      </c>
      <c r="B11" s="11" t="s">
        <v>239</v>
      </c>
      <c r="C11" s="1" t="s">
        <v>1220</v>
      </c>
      <c r="D11" s="30" t="s">
        <v>1220</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1217</v>
      </c>
      <c r="D15" s="6"/>
    </row>
    <row r="16" spans="1:4" ht="33">
      <c r="A16" s="7" t="s">
        <v>204</v>
      </c>
      <c r="B16" s="11" t="s">
        <v>233</v>
      </c>
      <c r="C16" s="1" t="s">
        <v>261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1218</v>
      </c>
      <c r="D20" s="6"/>
    </row>
    <row r="21" spans="1:4">
      <c r="A21" s="7" t="s">
        <v>224</v>
      </c>
      <c r="B21" s="11"/>
      <c r="C21" s="1" t="s">
        <v>1219</v>
      </c>
      <c r="D21" s="6"/>
    </row>
    <row r="22" spans="1:4">
      <c r="A22" s="9" t="s">
        <v>225</v>
      </c>
      <c r="B22" s="11"/>
      <c r="C22" s="1" t="s">
        <v>211</v>
      </c>
      <c r="D22" s="10"/>
    </row>
    <row r="25" spans="1:4">
      <c r="A25" s="16" t="s">
        <v>327</v>
      </c>
      <c r="B25" s="16" t="s">
        <v>984</v>
      </c>
      <c r="C25" s="16" t="s">
        <v>328</v>
      </c>
      <c r="D25" s="16" t="s">
        <v>329</v>
      </c>
    </row>
    <row r="26" spans="1:4" ht="49.5">
      <c r="A26" s="1" t="s">
        <v>1221</v>
      </c>
      <c r="B26" s="1" t="s">
        <v>1222</v>
      </c>
      <c r="C26" s="1" t="s">
        <v>1223</v>
      </c>
      <c r="D26" s="1" t="s">
        <v>1224</v>
      </c>
    </row>
    <row r="27" spans="1:4" ht="49.5">
      <c r="A27" s="1" t="s">
        <v>1225</v>
      </c>
      <c r="B27" s="1" t="s">
        <v>340</v>
      </c>
      <c r="C27" s="1" t="s">
        <v>1226</v>
      </c>
      <c r="D27" s="1" t="s">
        <v>1227</v>
      </c>
    </row>
    <row r="28" spans="1:4" ht="33">
      <c r="A28" s="1" t="s">
        <v>1228</v>
      </c>
      <c r="B28" s="1" t="s">
        <v>340</v>
      </c>
      <c r="C28" s="1" t="s">
        <v>1229</v>
      </c>
      <c r="D28" s="1" t="s">
        <v>1230</v>
      </c>
    </row>
    <row r="29" spans="1:4" ht="49.5">
      <c r="A29" s="1" t="s">
        <v>1231</v>
      </c>
      <c r="B29" s="1" t="s">
        <v>340</v>
      </c>
      <c r="C29" s="1" t="s">
        <v>1232</v>
      </c>
      <c r="D29" s="1" t="s">
        <v>1233</v>
      </c>
    </row>
    <row r="30" spans="1:4" ht="33">
      <c r="A30" s="1" t="s">
        <v>1234</v>
      </c>
      <c r="B30" s="1" t="s">
        <v>348</v>
      </c>
      <c r="C30" s="1" t="s">
        <v>1235</v>
      </c>
      <c r="D30" s="1" t="s">
        <v>1236</v>
      </c>
    </row>
    <row r="31" spans="1:4" ht="49.5">
      <c r="A31" s="1" t="s">
        <v>1237</v>
      </c>
      <c r="B31" s="1" t="s">
        <v>332</v>
      </c>
      <c r="C31" s="1" t="s">
        <v>1238</v>
      </c>
      <c r="D31" s="1" t="s">
        <v>1239</v>
      </c>
    </row>
    <row r="32" spans="1:4" ht="33">
      <c r="A32" s="1" t="s">
        <v>1240</v>
      </c>
      <c r="B32" s="1" t="s">
        <v>348</v>
      </c>
      <c r="C32" s="1" t="s">
        <v>1241</v>
      </c>
      <c r="D32" s="1" t="s">
        <v>1242</v>
      </c>
    </row>
    <row r="33" spans="1:4" ht="33">
      <c r="A33" s="1" t="s">
        <v>1243</v>
      </c>
      <c r="B33" s="1" t="s">
        <v>1244</v>
      </c>
      <c r="C33" s="1" t="s">
        <v>1245</v>
      </c>
      <c r="D33" s="1" t="s">
        <v>1246</v>
      </c>
    </row>
    <row r="34" spans="1:4" ht="33">
      <c r="A34" s="1" t="s">
        <v>1247</v>
      </c>
      <c r="B34" s="1" t="s">
        <v>1248</v>
      </c>
      <c r="C34" s="1" t="s">
        <v>1249</v>
      </c>
      <c r="D34" s="1" t="s">
        <v>1250</v>
      </c>
    </row>
    <row r="35" spans="1:4" ht="33">
      <c r="A35" s="1" t="s">
        <v>1251</v>
      </c>
      <c r="B35" s="1" t="s">
        <v>1252</v>
      </c>
      <c r="C35" s="1" t="s">
        <v>1253</v>
      </c>
      <c r="D35" s="1" t="s">
        <v>1254</v>
      </c>
    </row>
  </sheetData>
  <phoneticPr fontId="1" type="noConversion"/>
  <pageMargins left="0.7" right="0.7" top="0.75" bottom="0.75" header="0.3" footer="0.3"/>
  <tableParts count="1">
    <tablePart r:id="rId1"/>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5BF1-BF55-492D-BBB0-919F87A75EAB}">
  <sheetPr>
    <tabColor theme="6"/>
  </sheetPr>
  <dimension ref="A1:D36"/>
  <sheetViews>
    <sheetView zoomScale="85" zoomScaleNormal="85" workbookViewId="0">
      <selection activeCell="D5" sqref="D5"/>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1260</v>
      </c>
      <c r="D2" s="30" t="s">
        <v>1260</v>
      </c>
    </row>
    <row r="3" spans="1:4">
      <c r="A3" s="7" t="s">
        <v>3</v>
      </c>
      <c r="B3" s="11" t="s">
        <v>216</v>
      </c>
      <c r="C3" s="1" t="s">
        <v>12</v>
      </c>
      <c r="D3" s="30" t="s">
        <v>12</v>
      </c>
    </row>
    <row r="4" spans="1:4">
      <c r="A4" s="7" t="s">
        <v>2</v>
      </c>
      <c r="B4" s="11" t="s">
        <v>217</v>
      </c>
      <c r="C4" s="1" t="s">
        <v>1265</v>
      </c>
      <c r="D4" s="30" t="s">
        <v>117</v>
      </c>
    </row>
    <row r="5" spans="1:4" ht="66">
      <c r="A5" s="7" t="s">
        <v>241</v>
      </c>
      <c r="B5" s="13" t="s">
        <v>243</v>
      </c>
      <c r="C5" s="1" t="s">
        <v>1268</v>
      </c>
      <c r="D5" s="30" t="s">
        <v>2307</v>
      </c>
    </row>
    <row r="6" spans="1:4" ht="49.5">
      <c r="A6" s="7" t="s">
        <v>242</v>
      </c>
      <c r="B6" s="13" t="s">
        <v>244</v>
      </c>
      <c r="C6" s="1" t="s">
        <v>1271</v>
      </c>
      <c r="D6" s="30" t="s">
        <v>2308</v>
      </c>
    </row>
    <row r="7" spans="1:4" ht="33">
      <c r="A7" s="7" t="s">
        <v>196</v>
      </c>
      <c r="B7" s="12" t="s">
        <v>218</v>
      </c>
      <c r="C7" s="1" t="s">
        <v>1274</v>
      </c>
      <c r="D7" s="6"/>
    </row>
    <row r="8" spans="1:4" ht="115.5">
      <c r="A8" s="7" t="s">
        <v>197</v>
      </c>
      <c r="B8" s="13" t="s">
        <v>232</v>
      </c>
      <c r="C8" s="1" t="s">
        <v>1276</v>
      </c>
      <c r="D8" s="6"/>
    </row>
    <row r="9" spans="1:4" ht="33">
      <c r="A9" s="7" t="s">
        <v>198</v>
      </c>
      <c r="B9" s="13" t="s">
        <v>230</v>
      </c>
      <c r="C9" s="1" t="s">
        <v>261</v>
      </c>
      <c r="D9" s="6"/>
    </row>
    <row r="10" spans="1:4" ht="33">
      <c r="A10" s="7" t="s">
        <v>199</v>
      </c>
      <c r="B10" s="11" t="s">
        <v>228</v>
      </c>
      <c r="C10" s="1" t="s">
        <v>288</v>
      </c>
      <c r="D10" s="30" t="s">
        <v>288</v>
      </c>
    </row>
    <row r="11" spans="1:4">
      <c r="A11" s="7" t="s">
        <v>200</v>
      </c>
      <c r="B11" s="11" t="s">
        <v>239</v>
      </c>
      <c r="C11" s="1" t="s">
        <v>1308</v>
      </c>
      <c r="D11" s="30" t="s">
        <v>1308</v>
      </c>
    </row>
    <row r="12" spans="1:4">
      <c r="A12" s="7" t="s">
        <v>180</v>
      </c>
      <c r="B12" s="11" t="s">
        <v>219</v>
      </c>
      <c r="C12" s="1">
        <v>2917140000</v>
      </c>
      <c r="D12" s="30">
        <v>2917140000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1291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66">
      <c r="A20" s="8" t="s">
        <v>0</v>
      </c>
      <c r="B20" s="11" t="s">
        <v>223</v>
      </c>
      <c r="C20" s="1" t="s">
        <v>1302</v>
      </c>
      <c r="D20" s="6"/>
    </row>
    <row r="21" spans="1:4">
      <c r="A21" s="7" t="s">
        <v>224</v>
      </c>
      <c r="B21" s="11"/>
      <c r="C21" s="1" t="s">
        <v>1305</v>
      </c>
      <c r="D21" s="6"/>
    </row>
    <row r="22" spans="1:4">
      <c r="A22" s="9" t="s">
        <v>225</v>
      </c>
      <c r="B22" s="11"/>
      <c r="C22" s="1" t="s">
        <v>211</v>
      </c>
      <c r="D22" s="10"/>
    </row>
    <row r="25" spans="1:4">
      <c r="A25" s="16" t="s">
        <v>327</v>
      </c>
      <c r="B25" s="16" t="s">
        <v>984</v>
      </c>
      <c r="C25" s="16" t="s">
        <v>328</v>
      </c>
      <c r="D25" s="16" t="s">
        <v>329</v>
      </c>
    </row>
    <row r="26" spans="1:4" ht="82.5">
      <c r="A26" s="1" t="s">
        <v>1309</v>
      </c>
      <c r="B26" s="1" t="s">
        <v>1310</v>
      </c>
      <c r="C26" s="1" t="s">
        <v>1311</v>
      </c>
      <c r="D26" s="1" t="s">
        <v>1312</v>
      </c>
    </row>
    <row r="27" spans="1:4" ht="33">
      <c r="A27" s="1" t="s">
        <v>1313</v>
      </c>
      <c r="B27" s="1" t="s">
        <v>1314</v>
      </c>
      <c r="C27" s="1" t="s">
        <v>1315</v>
      </c>
      <c r="D27" s="1" t="s">
        <v>1316</v>
      </c>
    </row>
    <row r="28" spans="1:4" ht="49.5">
      <c r="A28" s="1" t="s">
        <v>1317</v>
      </c>
      <c r="B28" s="1" t="s">
        <v>1318</v>
      </c>
      <c r="C28" s="1" t="s">
        <v>1319</v>
      </c>
      <c r="D28" s="1" t="s">
        <v>1320</v>
      </c>
    </row>
    <row r="29" spans="1:4" ht="33">
      <c r="A29" s="1" t="s">
        <v>1321</v>
      </c>
      <c r="B29" s="1" t="s">
        <v>1322</v>
      </c>
      <c r="C29" s="1" t="s">
        <v>1323</v>
      </c>
      <c r="D29" s="1" t="s">
        <v>1324</v>
      </c>
    </row>
    <row r="30" spans="1:4" ht="33">
      <c r="A30" s="1" t="s">
        <v>1325</v>
      </c>
      <c r="B30" s="1" t="s">
        <v>998</v>
      </c>
      <c r="C30" s="1" t="s">
        <v>1326</v>
      </c>
      <c r="D30" s="1" t="s">
        <v>1327</v>
      </c>
    </row>
    <row r="31" spans="1:4" ht="66">
      <c r="A31" s="1" t="s">
        <v>1328</v>
      </c>
      <c r="B31" s="1" t="s">
        <v>1329</v>
      </c>
      <c r="C31" s="1" t="s">
        <v>1330</v>
      </c>
      <c r="D31" s="1" t="s">
        <v>1331</v>
      </c>
    </row>
    <row r="32" spans="1:4" ht="49.5">
      <c r="A32" s="1" t="s">
        <v>1332</v>
      </c>
      <c r="B32" s="1" t="s">
        <v>1333</v>
      </c>
      <c r="C32" s="1" t="s">
        <v>1334</v>
      </c>
      <c r="D32" s="1" t="s">
        <v>1335</v>
      </c>
    </row>
    <row r="33" spans="1:4" ht="33">
      <c r="A33" s="1" t="s">
        <v>1336</v>
      </c>
      <c r="B33" s="1" t="s">
        <v>1337</v>
      </c>
      <c r="C33" s="1" t="s">
        <v>1338</v>
      </c>
      <c r="D33" s="1" t="s">
        <v>1339</v>
      </c>
    </row>
    <row r="34" spans="1:4" ht="33">
      <c r="A34" s="1" t="s">
        <v>1340</v>
      </c>
      <c r="B34" s="1" t="s">
        <v>1341</v>
      </c>
      <c r="C34" s="1" t="s">
        <v>1342</v>
      </c>
      <c r="D34" s="1" t="s">
        <v>1343</v>
      </c>
    </row>
    <row r="35" spans="1:4" ht="33">
      <c r="A35" s="1" t="s">
        <v>1344</v>
      </c>
      <c r="B35" s="1" t="s">
        <v>332</v>
      </c>
      <c r="C35" s="1" t="s">
        <v>1345</v>
      </c>
      <c r="D35" s="1" t="s">
        <v>1346</v>
      </c>
    </row>
    <row r="36" spans="1:4" ht="49.5">
      <c r="A36" s="1" t="s">
        <v>1347</v>
      </c>
      <c r="B36" s="1" t="s">
        <v>1348</v>
      </c>
      <c r="C36" s="1" t="s">
        <v>1349</v>
      </c>
      <c r="D36" s="1" t="s">
        <v>1350</v>
      </c>
    </row>
  </sheetData>
  <phoneticPr fontId="1" type="noConversion"/>
  <pageMargins left="0.7" right="0.7" top="0.75" bottom="0.75" header="0.3" footer="0.3"/>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B3B0D-C5E1-4535-A5E5-39AC3AD5D33F}">
  <sheetPr>
    <tabColor theme="8"/>
  </sheetPr>
  <dimension ref="A1:D38"/>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131</v>
      </c>
      <c r="D2" s="30" t="s">
        <v>131</v>
      </c>
    </row>
    <row r="3" spans="1:4">
      <c r="A3" s="7" t="s">
        <v>3</v>
      </c>
      <c r="B3" s="11" t="s">
        <v>216</v>
      </c>
      <c r="C3" s="1" t="s">
        <v>2306</v>
      </c>
      <c r="D3" s="30" t="s">
        <v>2306</v>
      </c>
    </row>
    <row r="4" spans="1:4">
      <c r="A4" s="7" t="s">
        <v>2</v>
      </c>
      <c r="B4" s="11" t="s">
        <v>217</v>
      </c>
      <c r="C4" s="1" t="s">
        <v>745</v>
      </c>
      <c r="D4" s="30" t="s">
        <v>745</v>
      </c>
    </row>
    <row r="5" spans="1:4" ht="49.5">
      <c r="A5" s="7" t="s">
        <v>241</v>
      </c>
      <c r="B5" s="13" t="s">
        <v>243</v>
      </c>
      <c r="C5" s="1" t="s">
        <v>1351</v>
      </c>
      <c r="D5" s="30" t="s">
        <v>2309</v>
      </c>
    </row>
    <row r="6" spans="1:4" ht="49.5">
      <c r="A6" s="7" t="s">
        <v>242</v>
      </c>
      <c r="B6" s="13" t="s">
        <v>244</v>
      </c>
      <c r="C6" s="1" t="s">
        <v>1352</v>
      </c>
      <c r="D6" s="30" t="s">
        <v>2310</v>
      </c>
    </row>
    <row r="7" spans="1:4" ht="33">
      <c r="A7" s="7" t="s">
        <v>196</v>
      </c>
      <c r="B7" s="12" t="s">
        <v>218</v>
      </c>
      <c r="C7" s="1" t="s">
        <v>1353</v>
      </c>
      <c r="D7" s="6"/>
    </row>
    <row r="8" spans="1:4" ht="115.5">
      <c r="A8" s="7" t="s">
        <v>197</v>
      </c>
      <c r="B8" s="13" t="s">
        <v>232</v>
      </c>
      <c r="C8" s="1" t="s">
        <v>1354</v>
      </c>
      <c r="D8" s="6"/>
    </row>
    <row r="9" spans="1:4" ht="33">
      <c r="A9" s="7" t="s">
        <v>198</v>
      </c>
      <c r="B9" s="13" t="s">
        <v>230</v>
      </c>
      <c r="C9" s="1" t="s">
        <v>226</v>
      </c>
      <c r="D9" s="6"/>
    </row>
    <row r="10" spans="1:4" ht="33">
      <c r="A10" s="7" t="s">
        <v>199</v>
      </c>
      <c r="B10" s="11" t="s">
        <v>228</v>
      </c>
      <c r="C10" s="1" t="s">
        <v>210</v>
      </c>
      <c r="D10" s="30" t="s">
        <v>210</v>
      </c>
    </row>
    <row r="11" spans="1:4" ht="33">
      <c r="A11" s="7" t="s">
        <v>200</v>
      </c>
      <c r="B11" s="11" t="s">
        <v>239</v>
      </c>
      <c r="C11" s="1" t="s">
        <v>1357</v>
      </c>
      <c r="D11" s="30" t="s">
        <v>1357</v>
      </c>
    </row>
    <row r="12" spans="1:4">
      <c r="A12" s="7" t="s">
        <v>180</v>
      </c>
      <c r="B12" s="11" t="s">
        <v>219</v>
      </c>
      <c r="C12" s="1">
        <v>2902300000</v>
      </c>
      <c r="D12" s="30">
        <v>2902300000</v>
      </c>
    </row>
    <row r="13" spans="1:4" ht="33">
      <c r="A13" s="7" t="s">
        <v>201</v>
      </c>
      <c r="B13" s="11" t="s">
        <v>229</v>
      </c>
      <c r="C13" s="1" t="s">
        <v>867</v>
      </c>
      <c r="D13" s="30" t="s">
        <v>867</v>
      </c>
    </row>
    <row r="14" spans="1:4" ht="33">
      <c r="A14" s="7" t="s">
        <v>202</v>
      </c>
      <c r="B14" s="11" t="s">
        <v>235</v>
      </c>
      <c r="C14" s="1" t="s">
        <v>210</v>
      </c>
      <c r="D14" s="6"/>
    </row>
    <row r="15" spans="1:4">
      <c r="A15" s="7" t="s">
        <v>203</v>
      </c>
      <c r="B15" s="11" t="s">
        <v>220</v>
      </c>
      <c r="C15" s="1" t="s">
        <v>1355</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226</v>
      </c>
      <c r="D18" s="6"/>
    </row>
    <row r="19" spans="1:4" ht="33">
      <c r="A19" s="7" t="s">
        <v>207</v>
      </c>
      <c r="B19" s="11" t="s">
        <v>236</v>
      </c>
      <c r="C19" s="1" t="s">
        <v>212</v>
      </c>
      <c r="D19" s="6"/>
    </row>
    <row r="20" spans="1:4" ht="132">
      <c r="A20" s="8" t="s">
        <v>0</v>
      </c>
      <c r="B20" s="11" t="s">
        <v>223</v>
      </c>
      <c r="C20" s="1" t="s">
        <v>1358</v>
      </c>
      <c r="D20" s="6"/>
    </row>
    <row r="21" spans="1:4">
      <c r="A21" s="7" t="s">
        <v>224</v>
      </c>
      <c r="B21" s="11"/>
      <c r="C21" s="1" t="s">
        <v>1356</v>
      </c>
      <c r="D21" s="6"/>
    </row>
    <row r="22" spans="1:4">
      <c r="A22" s="9" t="s">
        <v>225</v>
      </c>
      <c r="B22" s="11"/>
      <c r="C22" s="1" t="s">
        <v>211</v>
      </c>
      <c r="D22" s="10"/>
    </row>
    <row r="25" spans="1:4">
      <c r="A25" s="16" t="s">
        <v>327</v>
      </c>
      <c r="B25" s="16" t="s">
        <v>984</v>
      </c>
      <c r="C25" s="16" t="s">
        <v>328</v>
      </c>
      <c r="D25" s="16" t="s">
        <v>329</v>
      </c>
    </row>
    <row r="26" spans="1:4" ht="66">
      <c r="A26" s="1" t="s">
        <v>1359</v>
      </c>
      <c r="B26" s="1" t="s">
        <v>1360</v>
      </c>
      <c r="C26" s="1" t="s">
        <v>1361</v>
      </c>
      <c r="D26" s="1" t="s">
        <v>1362</v>
      </c>
    </row>
    <row r="27" spans="1:4" ht="49.5">
      <c r="A27" s="1" t="s">
        <v>1363</v>
      </c>
      <c r="B27" s="1" t="s">
        <v>1364</v>
      </c>
      <c r="C27" s="1" t="s">
        <v>1365</v>
      </c>
      <c r="D27" s="1" t="s">
        <v>1366</v>
      </c>
    </row>
    <row r="28" spans="1:4" ht="49.5">
      <c r="A28" s="1" t="s">
        <v>1367</v>
      </c>
      <c r="B28" s="1" t="s">
        <v>1368</v>
      </c>
      <c r="C28" s="1" t="s">
        <v>1369</v>
      </c>
      <c r="D28" s="1" t="s">
        <v>1370</v>
      </c>
    </row>
    <row r="29" spans="1:4" ht="49.5">
      <c r="A29" s="1" t="s">
        <v>1371</v>
      </c>
      <c r="B29" s="1" t="s">
        <v>1372</v>
      </c>
      <c r="C29" s="1" t="s">
        <v>1373</v>
      </c>
      <c r="D29" s="1" t="s">
        <v>1374</v>
      </c>
    </row>
    <row r="30" spans="1:4" ht="49.5">
      <c r="A30" s="1" t="s">
        <v>1375</v>
      </c>
      <c r="B30" s="1" t="s">
        <v>1318</v>
      </c>
      <c r="C30" s="1" t="s">
        <v>1376</v>
      </c>
      <c r="D30" s="1" t="s">
        <v>1377</v>
      </c>
    </row>
    <row r="31" spans="1:4" ht="33">
      <c r="A31" s="1" t="s">
        <v>1378</v>
      </c>
      <c r="B31" s="1" t="s">
        <v>348</v>
      </c>
      <c r="C31" s="1" t="s">
        <v>1379</v>
      </c>
      <c r="D31" s="1" t="s">
        <v>1380</v>
      </c>
    </row>
    <row r="32" spans="1:4" ht="33">
      <c r="A32" s="1" t="s">
        <v>1381</v>
      </c>
      <c r="B32" s="1" t="s">
        <v>1382</v>
      </c>
      <c r="C32" s="1" t="s">
        <v>1383</v>
      </c>
      <c r="D32" s="1" t="s">
        <v>1384</v>
      </c>
    </row>
    <row r="33" spans="1:4" ht="33">
      <c r="A33" s="1" t="s">
        <v>1385</v>
      </c>
      <c r="B33" s="1" t="s">
        <v>1386</v>
      </c>
      <c r="C33" s="1" t="s">
        <v>1387</v>
      </c>
      <c r="D33" s="1" t="s">
        <v>1388</v>
      </c>
    </row>
    <row r="34" spans="1:4" ht="49.5">
      <c r="A34" s="1" t="s">
        <v>1389</v>
      </c>
      <c r="B34" s="1" t="s">
        <v>1222</v>
      </c>
      <c r="C34" s="1" t="s">
        <v>1390</v>
      </c>
      <c r="D34" s="1" t="s">
        <v>1391</v>
      </c>
    </row>
    <row r="35" spans="1:4" ht="33">
      <c r="A35" s="1" t="s">
        <v>1392</v>
      </c>
      <c r="B35" s="1" t="s">
        <v>1393</v>
      </c>
      <c r="C35" s="1" t="s">
        <v>1394</v>
      </c>
      <c r="D35" s="1" t="s">
        <v>1395</v>
      </c>
    </row>
    <row r="36" spans="1:4" ht="33">
      <c r="A36" s="1" t="s">
        <v>1396</v>
      </c>
      <c r="B36" s="1" t="s">
        <v>1397</v>
      </c>
      <c r="C36" s="1" t="s">
        <v>1398</v>
      </c>
      <c r="D36" s="1" t="s">
        <v>1399</v>
      </c>
    </row>
    <row r="37" spans="1:4" ht="33">
      <c r="A37" s="1" t="s">
        <v>1400</v>
      </c>
      <c r="B37" s="1" t="s">
        <v>1401</v>
      </c>
      <c r="C37" s="1" t="s">
        <v>1402</v>
      </c>
      <c r="D37" s="1" t="s">
        <v>1403</v>
      </c>
    </row>
    <row r="38" spans="1:4" ht="33">
      <c r="A38" s="1" t="s">
        <v>1404</v>
      </c>
      <c r="B38" s="1" t="s">
        <v>1405</v>
      </c>
      <c r="C38" s="1" t="s">
        <v>1406</v>
      </c>
      <c r="D38" s="1" t="s">
        <v>1407</v>
      </c>
    </row>
  </sheetData>
  <phoneticPr fontId="1" type="noConversion"/>
  <pageMargins left="0.7" right="0.7" top="0.75" bottom="0.75" header="0.3" footer="0.3"/>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63C62-882E-4957-848C-A5A1EFB0B9D3}">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133</v>
      </c>
      <c r="D2" s="36" t="s">
        <v>133</v>
      </c>
    </row>
    <row r="3" spans="1:4">
      <c r="A3" s="7" t="s">
        <v>3</v>
      </c>
      <c r="B3" s="11" t="s">
        <v>216</v>
      </c>
      <c r="C3" s="11" t="s">
        <v>2306</v>
      </c>
      <c r="D3" s="36" t="s">
        <v>2306</v>
      </c>
    </row>
    <row r="4" spans="1:4">
      <c r="A4" s="7" t="s">
        <v>2</v>
      </c>
      <c r="B4" s="11" t="s">
        <v>217</v>
      </c>
      <c r="C4" s="11" t="s">
        <v>134</v>
      </c>
      <c r="D4" s="36" t="s">
        <v>134</v>
      </c>
    </row>
    <row r="5" spans="1:4" ht="33">
      <c r="A5" s="7" t="s">
        <v>241</v>
      </c>
      <c r="B5" s="13" t="s">
        <v>243</v>
      </c>
      <c r="C5" s="1" t="s">
        <v>691</v>
      </c>
      <c r="D5" s="30" t="s">
        <v>2318</v>
      </c>
    </row>
    <row r="6" spans="1:4" ht="49.5">
      <c r="A6" s="7" t="s">
        <v>242</v>
      </c>
      <c r="B6" s="13" t="s">
        <v>244</v>
      </c>
      <c r="C6" s="1" t="s">
        <v>690</v>
      </c>
      <c r="D6" s="30" t="s">
        <v>2319</v>
      </c>
    </row>
    <row r="7" spans="1:4">
      <c r="A7" s="7" t="s">
        <v>196</v>
      </c>
      <c r="B7" s="12" t="s">
        <v>218</v>
      </c>
      <c r="C7" s="1" t="s">
        <v>689</v>
      </c>
      <c r="D7" s="6"/>
    </row>
    <row r="8" spans="1:4">
      <c r="A8" s="7" t="s">
        <v>197</v>
      </c>
      <c r="B8" s="13" t="s">
        <v>232</v>
      </c>
      <c r="C8" s="1" t="s">
        <v>688</v>
      </c>
      <c r="D8" s="6"/>
    </row>
    <row r="9" spans="1:4" ht="33">
      <c r="A9" s="7" t="s">
        <v>198</v>
      </c>
      <c r="B9" s="13" t="s">
        <v>230</v>
      </c>
      <c r="C9" s="20" t="s">
        <v>291</v>
      </c>
      <c r="D9" s="6"/>
    </row>
    <row r="10" spans="1:4" ht="33">
      <c r="A10" s="7" t="s">
        <v>199</v>
      </c>
      <c r="B10" s="11" t="s">
        <v>228</v>
      </c>
      <c r="C10" s="1" t="s">
        <v>288</v>
      </c>
      <c r="D10" s="30" t="s">
        <v>288</v>
      </c>
    </row>
    <row r="11" spans="1:4" ht="49.5">
      <c r="A11" s="7" t="s">
        <v>200</v>
      </c>
      <c r="B11" s="11" t="s">
        <v>239</v>
      </c>
      <c r="C11" s="1" t="s">
        <v>973</v>
      </c>
      <c r="D11" s="30" t="s">
        <v>973</v>
      </c>
    </row>
    <row r="12" spans="1:4">
      <c r="A12" s="7" t="s">
        <v>180</v>
      </c>
      <c r="B12" s="11" t="s">
        <v>219</v>
      </c>
      <c r="C12" s="1">
        <v>2902440000</v>
      </c>
      <c r="D12" s="30">
        <v>2902440000</v>
      </c>
    </row>
    <row r="13" spans="1:4" ht="33">
      <c r="A13" s="7" t="s">
        <v>201</v>
      </c>
      <c r="B13" s="11" t="s">
        <v>229</v>
      </c>
      <c r="C13" s="1" t="s">
        <v>867</v>
      </c>
      <c r="D13" s="30" t="s">
        <v>867</v>
      </c>
    </row>
    <row r="14" spans="1:4" ht="33">
      <c r="A14" s="7" t="s">
        <v>202</v>
      </c>
      <c r="B14" s="11" t="s">
        <v>235</v>
      </c>
      <c r="C14" s="21" t="s">
        <v>288</v>
      </c>
      <c r="D14" s="6"/>
    </row>
    <row r="15" spans="1:4">
      <c r="A15" s="7" t="s">
        <v>203</v>
      </c>
      <c r="B15" s="11" t="s">
        <v>220</v>
      </c>
      <c r="C15" s="21" t="s">
        <v>687</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291</v>
      </c>
      <c r="D18" s="6"/>
    </row>
    <row r="19" spans="1:4" ht="33">
      <c r="A19" s="7" t="s">
        <v>207</v>
      </c>
      <c r="B19" s="11" t="s">
        <v>236</v>
      </c>
      <c r="C19" s="1" t="s">
        <v>212</v>
      </c>
      <c r="D19" s="6"/>
    </row>
    <row r="20" spans="1:4" ht="49.5">
      <c r="A20" s="8" t="s">
        <v>0</v>
      </c>
      <c r="B20" s="11" t="s">
        <v>223</v>
      </c>
      <c r="C20" s="1" t="s">
        <v>686</v>
      </c>
      <c r="D20" s="6"/>
    </row>
    <row r="21" spans="1:4" ht="33">
      <c r="A21" s="7" t="s">
        <v>224</v>
      </c>
      <c r="B21" s="11"/>
      <c r="C21" s="14" t="s">
        <v>685</v>
      </c>
      <c r="D21" s="6"/>
    </row>
    <row r="22" spans="1:4" ht="33">
      <c r="A22" s="9" t="s">
        <v>225</v>
      </c>
      <c r="B22" s="11"/>
      <c r="C22" s="1" t="s">
        <v>684</v>
      </c>
      <c r="D22" s="10"/>
    </row>
  </sheetData>
  <phoneticPr fontId="1" type="noConversion"/>
  <pageMargins left="0.7" right="0.7" top="0.75" bottom="0.75" header="0.3" footer="0.3"/>
  <tableParts count="1">
    <tablePart r:id="rId1"/>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C20E0-3722-4D75-9808-4F7C2F86E441}">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135</v>
      </c>
      <c r="D2" s="36" t="s">
        <v>135</v>
      </c>
    </row>
    <row r="3" spans="1:4">
      <c r="A3" s="7" t="s">
        <v>3</v>
      </c>
      <c r="B3" s="11" t="s">
        <v>216</v>
      </c>
      <c r="C3" s="11" t="s">
        <v>2306</v>
      </c>
      <c r="D3" s="36" t="s">
        <v>2306</v>
      </c>
    </row>
    <row r="4" spans="1:4">
      <c r="A4" s="7" t="s">
        <v>2</v>
      </c>
      <c r="B4" s="11" t="s">
        <v>217</v>
      </c>
      <c r="C4" s="11" t="s">
        <v>700</v>
      </c>
      <c r="D4" s="36" t="s">
        <v>136</v>
      </c>
    </row>
    <row r="5" spans="1:4" ht="49.5">
      <c r="A5" s="7" t="s">
        <v>241</v>
      </c>
      <c r="B5" s="13" t="s">
        <v>243</v>
      </c>
      <c r="C5" s="1" t="s">
        <v>699</v>
      </c>
      <c r="D5" s="30" t="s">
        <v>2320</v>
      </c>
    </row>
    <row r="6" spans="1:4" ht="49.5">
      <c r="A6" s="7" t="s">
        <v>242</v>
      </c>
      <c r="B6" s="13" t="s">
        <v>244</v>
      </c>
      <c r="C6" s="1" t="s">
        <v>698</v>
      </c>
      <c r="D6" s="30" t="s">
        <v>2321</v>
      </c>
    </row>
    <row r="7" spans="1:4">
      <c r="A7" s="7" t="s">
        <v>196</v>
      </c>
      <c r="B7" s="12" t="s">
        <v>218</v>
      </c>
      <c r="C7" s="1" t="s">
        <v>697</v>
      </c>
      <c r="D7" s="6"/>
    </row>
    <row r="8" spans="1:4">
      <c r="A8" s="7" t="s">
        <v>197</v>
      </c>
      <c r="B8" s="13" t="s">
        <v>232</v>
      </c>
      <c r="C8" s="1" t="s">
        <v>696</v>
      </c>
      <c r="D8" s="6"/>
    </row>
    <row r="9" spans="1:4" ht="33">
      <c r="A9" s="7" t="s">
        <v>198</v>
      </c>
      <c r="B9" s="13" t="s">
        <v>230</v>
      </c>
      <c r="C9" s="20" t="s">
        <v>291</v>
      </c>
      <c r="D9" s="6"/>
    </row>
    <row r="10" spans="1:4" ht="33">
      <c r="A10" s="7" t="s">
        <v>199</v>
      </c>
      <c r="B10" s="11" t="s">
        <v>228</v>
      </c>
      <c r="C10" s="1" t="s">
        <v>288</v>
      </c>
      <c r="D10" s="30" t="s">
        <v>288</v>
      </c>
    </row>
    <row r="11" spans="1:4" ht="33">
      <c r="A11" s="7" t="s">
        <v>200</v>
      </c>
      <c r="B11" s="11" t="s">
        <v>239</v>
      </c>
      <c r="C11" s="1" t="s">
        <v>974</v>
      </c>
      <c r="D11" s="30" t="s">
        <v>974</v>
      </c>
    </row>
    <row r="12" spans="1:4">
      <c r="A12" s="7" t="s">
        <v>180</v>
      </c>
      <c r="B12" s="11" t="s">
        <v>219</v>
      </c>
      <c r="C12" s="1">
        <v>2917350000</v>
      </c>
      <c r="D12" s="30">
        <v>2917350000</v>
      </c>
    </row>
    <row r="13" spans="1:4" ht="33">
      <c r="A13" s="7" t="s">
        <v>201</v>
      </c>
      <c r="B13" s="11" t="s">
        <v>229</v>
      </c>
      <c r="C13" s="1" t="s">
        <v>247</v>
      </c>
      <c r="D13" s="30" t="s">
        <v>247</v>
      </c>
    </row>
    <row r="14" spans="1:4" ht="33">
      <c r="A14" s="7" t="s">
        <v>202</v>
      </c>
      <c r="B14" s="11" t="s">
        <v>235</v>
      </c>
      <c r="C14" s="21" t="s">
        <v>288</v>
      </c>
      <c r="D14" s="6"/>
    </row>
    <row r="15" spans="1:4">
      <c r="A15" s="7" t="s">
        <v>203</v>
      </c>
      <c r="B15" s="11" t="s">
        <v>220</v>
      </c>
      <c r="C15" s="21" t="s">
        <v>695</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291</v>
      </c>
      <c r="D18" s="6"/>
    </row>
    <row r="19" spans="1:4" ht="33">
      <c r="A19" s="7" t="s">
        <v>207</v>
      </c>
      <c r="B19" s="11" t="s">
        <v>236</v>
      </c>
      <c r="C19" s="1" t="s">
        <v>212</v>
      </c>
      <c r="D19" s="6"/>
    </row>
    <row r="20" spans="1:4" ht="66">
      <c r="A20" s="8" t="s">
        <v>0</v>
      </c>
      <c r="B20" s="11" t="s">
        <v>223</v>
      </c>
      <c r="C20" s="1" t="s">
        <v>694</v>
      </c>
      <c r="D20" s="6"/>
    </row>
    <row r="21" spans="1:4" ht="33">
      <c r="A21" s="7" t="s">
        <v>224</v>
      </c>
      <c r="B21" s="11"/>
      <c r="C21" s="14" t="s">
        <v>693</v>
      </c>
      <c r="D21" s="6"/>
    </row>
    <row r="22" spans="1:4" ht="33">
      <c r="A22" s="9" t="s">
        <v>225</v>
      </c>
      <c r="B22" s="11"/>
      <c r="C22" s="1" t="s">
        <v>692</v>
      </c>
      <c r="D22" s="10"/>
    </row>
  </sheetData>
  <phoneticPr fontId="1" type="noConversion"/>
  <pageMargins left="0.7" right="0.7" top="0.75" bottom="0.75" header="0.3" footer="0.3"/>
  <tableParts count="1">
    <tablePart r:id="rId1"/>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2D61-79E3-4B79-B857-34209EC38468}">
  <sheetPr>
    <tabColor theme="8"/>
  </sheetPr>
  <dimension ref="A1:D38"/>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1408</v>
      </c>
      <c r="D2" s="30" t="s">
        <v>1408</v>
      </c>
    </row>
    <row r="3" spans="1:4">
      <c r="A3" s="7" t="s">
        <v>3</v>
      </c>
      <c r="B3" s="11" t="s">
        <v>216</v>
      </c>
      <c r="C3" s="1" t="s">
        <v>2306</v>
      </c>
      <c r="D3" s="30" t="s">
        <v>2306</v>
      </c>
    </row>
    <row r="4" spans="1:4">
      <c r="A4" s="7" t="s">
        <v>2</v>
      </c>
      <c r="B4" s="11" t="s">
        <v>217</v>
      </c>
      <c r="C4" s="1" t="s">
        <v>1409</v>
      </c>
      <c r="D4" s="30" t="s">
        <v>1409</v>
      </c>
    </row>
    <row r="5" spans="1:4" ht="49.5">
      <c r="A5" s="7" t="s">
        <v>241</v>
      </c>
      <c r="B5" s="13" t="s">
        <v>243</v>
      </c>
      <c r="C5" s="1" t="s">
        <v>1410</v>
      </c>
      <c r="D5" s="30" t="s">
        <v>2311</v>
      </c>
    </row>
    <row r="6" spans="1:4" ht="66">
      <c r="A6" s="7" t="s">
        <v>242</v>
      </c>
      <c r="B6" s="13" t="s">
        <v>244</v>
      </c>
      <c r="C6" s="1" t="s">
        <v>2312</v>
      </c>
      <c r="D6" s="30" t="s">
        <v>2313</v>
      </c>
    </row>
    <row r="7" spans="1:4" ht="33">
      <c r="A7" s="7" t="s">
        <v>196</v>
      </c>
      <c r="B7" s="12" t="s">
        <v>218</v>
      </c>
      <c r="C7" s="1" t="s">
        <v>1411</v>
      </c>
      <c r="D7" s="6"/>
    </row>
    <row r="8" spans="1:4" ht="99">
      <c r="A8" s="7" t="s">
        <v>197</v>
      </c>
      <c r="B8" s="13" t="s">
        <v>232</v>
      </c>
      <c r="C8" s="1" t="s">
        <v>1412</v>
      </c>
      <c r="D8" s="6"/>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1416</v>
      </c>
      <c r="D11" s="30" t="s">
        <v>1416</v>
      </c>
    </row>
    <row r="12" spans="1:4">
      <c r="A12" s="7" t="s">
        <v>180</v>
      </c>
      <c r="B12" s="11" t="s">
        <v>219</v>
      </c>
      <c r="C12" s="1">
        <v>2933710000</v>
      </c>
      <c r="D12" s="30">
        <v>2933710000</v>
      </c>
    </row>
    <row r="13" spans="1:4" ht="33">
      <c r="A13" s="7" t="s">
        <v>201</v>
      </c>
      <c r="B13" s="11" t="s">
        <v>229</v>
      </c>
      <c r="C13" s="1" t="s">
        <v>1415</v>
      </c>
      <c r="D13" s="30" t="s">
        <v>1415</v>
      </c>
    </row>
    <row r="14" spans="1:4" ht="33">
      <c r="A14" s="7" t="s">
        <v>202</v>
      </c>
      <c r="B14" s="11" t="s">
        <v>235</v>
      </c>
      <c r="C14" s="1" t="s">
        <v>210</v>
      </c>
      <c r="D14" s="6"/>
    </row>
    <row r="15" spans="1:4">
      <c r="A15" s="7" t="s">
        <v>203</v>
      </c>
      <c r="B15" s="11" t="s">
        <v>220</v>
      </c>
      <c r="C15" s="1" t="s">
        <v>1413</v>
      </c>
      <c r="D15" s="6"/>
    </row>
    <row r="16" spans="1:4" ht="33">
      <c r="A16" s="7" t="s">
        <v>204</v>
      </c>
      <c r="B16" s="11" t="s">
        <v>233</v>
      </c>
      <c r="C16" s="1" t="s">
        <v>383</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115.5">
      <c r="A20" s="8" t="s">
        <v>0</v>
      </c>
      <c r="B20" s="11" t="s">
        <v>223</v>
      </c>
      <c r="C20" s="1" t="s">
        <v>1463</v>
      </c>
      <c r="D20" s="6"/>
    </row>
    <row r="21" spans="1:4">
      <c r="A21" s="7" t="s">
        <v>224</v>
      </c>
      <c r="B21" s="11"/>
      <c r="C21" s="1" t="s">
        <v>1414</v>
      </c>
      <c r="D21" s="6"/>
    </row>
    <row r="22" spans="1:4">
      <c r="A22" s="9" t="s">
        <v>225</v>
      </c>
      <c r="B22" s="11"/>
      <c r="C22" s="1" t="s">
        <v>211</v>
      </c>
      <c r="D22" s="10"/>
    </row>
    <row r="25" spans="1:4">
      <c r="A25" s="16" t="s">
        <v>327</v>
      </c>
      <c r="B25" s="16" t="s">
        <v>984</v>
      </c>
      <c r="C25" s="16" t="s">
        <v>328</v>
      </c>
      <c r="D25" s="16" t="s">
        <v>329</v>
      </c>
    </row>
    <row r="26" spans="1:4" ht="66">
      <c r="A26" s="1" t="s">
        <v>1417</v>
      </c>
      <c r="B26" s="1" t="s">
        <v>1418</v>
      </c>
      <c r="C26" s="1" t="s">
        <v>1419</v>
      </c>
      <c r="D26" s="1" t="s">
        <v>1420</v>
      </c>
    </row>
    <row r="27" spans="1:4" ht="49.5">
      <c r="A27" s="1" t="s">
        <v>1421</v>
      </c>
      <c r="B27" s="1" t="s">
        <v>1422</v>
      </c>
      <c r="C27" s="1" t="s">
        <v>1423</v>
      </c>
      <c r="D27" s="1" t="s">
        <v>1424</v>
      </c>
    </row>
    <row r="28" spans="1:4" ht="49.5">
      <c r="A28" s="1" t="s">
        <v>1425</v>
      </c>
      <c r="B28" s="1" t="s">
        <v>406</v>
      </c>
      <c r="C28" s="1" t="s">
        <v>1426</v>
      </c>
      <c r="D28" s="1" t="s">
        <v>1427</v>
      </c>
    </row>
    <row r="29" spans="1:4" ht="33">
      <c r="A29" s="1" t="s">
        <v>1428</v>
      </c>
      <c r="B29" s="1" t="s">
        <v>998</v>
      </c>
      <c r="C29" s="1" t="s">
        <v>1429</v>
      </c>
      <c r="D29" s="1" t="s">
        <v>1430</v>
      </c>
    </row>
    <row r="30" spans="1:4" ht="33">
      <c r="A30" s="1" t="s">
        <v>1431</v>
      </c>
      <c r="B30" s="1" t="s">
        <v>1432</v>
      </c>
      <c r="C30" s="1" t="s">
        <v>1433</v>
      </c>
      <c r="D30" s="1" t="s">
        <v>1434</v>
      </c>
    </row>
    <row r="31" spans="1:4" ht="66">
      <c r="A31" s="1" t="s">
        <v>1435</v>
      </c>
      <c r="B31" s="1" t="s">
        <v>1436</v>
      </c>
      <c r="C31" s="1" t="s">
        <v>1437</v>
      </c>
      <c r="D31" s="1" t="s">
        <v>1438</v>
      </c>
    </row>
    <row r="32" spans="1:4" ht="33">
      <c r="A32" s="1" t="s">
        <v>1439</v>
      </c>
      <c r="B32" s="1" t="s">
        <v>1072</v>
      </c>
      <c r="C32" s="1" t="s">
        <v>1440</v>
      </c>
      <c r="D32" s="1" t="s">
        <v>1441</v>
      </c>
    </row>
    <row r="33" spans="1:4" ht="49.5">
      <c r="A33" s="1" t="s">
        <v>1442</v>
      </c>
      <c r="B33" s="1" t="s">
        <v>348</v>
      </c>
      <c r="C33" s="1" t="s">
        <v>1443</v>
      </c>
      <c r="D33" s="1" t="s">
        <v>1444</v>
      </c>
    </row>
    <row r="34" spans="1:4" ht="49.5">
      <c r="A34" s="1" t="s">
        <v>1445</v>
      </c>
      <c r="B34" s="1" t="s">
        <v>998</v>
      </c>
      <c r="C34" s="1" t="s">
        <v>1446</v>
      </c>
      <c r="D34" s="1" t="s">
        <v>1447</v>
      </c>
    </row>
    <row r="35" spans="1:4" ht="33">
      <c r="A35" s="1" t="s">
        <v>1448</v>
      </c>
      <c r="B35" s="1" t="s">
        <v>1449</v>
      </c>
      <c r="C35" s="1" t="s">
        <v>1450</v>
      </c>
      <c r="D35" s="1" t="s">
        <v>1451</v>
      </c>
    </row>
    <row r="36" spans="1:4" ht="33">
      <c r="A36" s="1" t="s">
        <v>1452</v>
      </c>
      <c r="B36" s="1" t="s">
        <v>1453</v>
      </c>
      <c r="C36" s="1" t="s">
        <v>1454</v>
      </c>
      <c r="D36" s="1" t="s">
        <v>1455</v>
      </c>
    </row>
    <row r="37" spans="1:4" ht="33">
      <c r="A37" s="1" t="s">
        <v>1456</v>
      </c>
      <c r="B37" s="1" t="s">
        <v>1457</v>
      </c>
      <c r="C37" s="1" t="s">
        <v>1458</v>
      </c>
      <c r="D37" s="1" t="s">
        <v>1459</v>
      </c>
    </row>
    <row r="38" spans="1:4" ht="33">
      <c r="A38" s="1" t="s">
        <v>1460</v>
      </c>
      <c r="B38" s="1" t="s">
        <v>1252</v>
      </c>
      <c r="C38" s="1" t="s">
        <v>1461</v>
      </c>
      <c r="D38" s="1" t="s">
        <v>1462</v>
      </c>
    </row>
  </sheetData>
  <phoneticPr fontId="1" type="noConversion"/>
  <pageMargins left="0.7" right="0.7" top="0.75" bottom="0.75" header="0.3" footer="0.3"/>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07DB0-1136-4F01-9A4B-1931511C539D}">
  <sheetPr>
    <tabColor theme="4"/>
  </sheetPr>
  <dimension ref="A1:D33"/>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2841</v>
      </c>
      <c r="D2" s="30" t="s">
        <v>142</v>
      </c>
    </row>
    <row r="3" spans="1:4">
      <c r="A3" s="7" t="s">
        <v>3</v>
      </c>
      <c r="B3" s="11" t="s">
        <v>216</v>
      </c>
      <c r="C3" s="1" t="s">
        <v>5</v>
      </c>
      <c r="D3" s="30" t="s">
        <v>147</v>
      </c>
    </row>
    <row r="4" spans="1:4">
      <c r="A4" s="7" t="s">
        <v>2</v>
      </c>
      <c r="B4" s="11" t="s">
        <v>217</v>
      </c>
      <c r="C4" s="1" t="s">
        <v>2842</v>
      </c>
      <c r="D4" s="30" t="s">
        <v>2849</v>
      </c>
    </row>
    <row r="5" spans="1:4" ht="49.5">
      <c r="A5" s="7" t="s">
        <v>241</v>
      </c>
      <c r="B5" s="13" t="s">
        <v>243</v>
      </c>
      <c r="C5" s="1" t="s">
        <v>2843</v>
      </c>
      <c r="D5" s="30" t="s">
        <v>2850</v>
      </c>
    </row>
    <row r="6" spans="1:4" ht="33">
      <c r="A6" s="7" t="s">
        <v>242</v>
      </c>
      <c r="B6" s="13" t="s">
        <v>244</v>
      </c>
      <c r="C6" s="1" t="s">
        <v>2844</v>
      </c>
      <c r="D6" s="30" t="s">
        <v>2851</v>
      </c>
    </row>
    <row r="7" spans="1:4" ht="33">
      <c r="A7" s="7" t="s">
        <v>196</v>
      </c>
      <c r="B7" s="12" t="s">
        <v>218</v>
      </c>
      <c r="C7" s="1" t="s">
        <v>2845</v>
      </c>
      <c r="D7" s="6"/>
    </row>
    <row r="8" spans="1:4" ht="49.5">
      <c r="A8" s="7" t="s">
        <v>197</v>
      </c>
      <c r="B8" s="13" t="s">
        <v>232</v>
      </c>
      <c r="C8" s="1" t="s">
        <v>2846</v>
      </c>
      <c r="D8" s="6"/>
    </row>
    <row r="9" spans="1:4" ht="33">
      <c r="A9" s="7" t="s">
        <v>198</v>
      </c>
      <c r="B9" s="13" t="s">
        <v>230</v>
      </c>
      <c r="C9" s="1" t="s">
        <v>261</v>
      </c>
      <c r="D9" s="6"/>
    </row>
    <row r="10" spans="1:4" ht="33">
      <c r="A10" s="7" t="s">
        <v>199</v>
      </c>
      <c r="B10" s="11" t="s">
        <v>228</v>
      </c>
      <c r="C10" s="1" t="s">
        <v>2480</v>
      </c>
      <c r="D10" s="30" t="s">
        <v>2480</v>
      </c>
    </row>
    <row r="11" spans="1:4">
      <c r="A11" s="7" t="s">
        <v>200</v>
      </c>
      <c r="B11" s="11" t="s">
        <v>239</v>
      </c>
      <c r="C11" s="1" t="s">
        <v>2480</v>
      </c>
      <c r="D11" s="30" t="s">
        <v>2480</v>
      </c>
    </row>
    <row r="12" spans="1:4">
      <c r="A12" s="7" t="s">
        <v>180</v>
      </c>
      <c r="B12" s="11" t="s">
        <v>219</v>
      </c>
      <c r="C12" s="1" t="s">
        <v>211</v>
      </c>
      <c r="D12" s="30" t="s">
        <v>270</v>
      </c>
    </row>
    <row r="13" spans="1:4" ht="33">
      <c r="A13" s="7" t="s">
        <v>201</v>
      </c>
      <c r="B13" s="11" t="s">
        <v>229</v>
      </c>
      <c r="C13" s="1" t="s">
        <v>211</v>
      </c>
      <c r="D13" s="30" t="s">
        <v>270</v>
      </c>
    </row>
    <row r="14" spans="1:4" ht="33">
      <c r="A14" s="7" t="s">
        <v>202</v>
      </c>
      <c r="B14" s="11" t="s">
        <v>235</v>
      </c>
      <c r="C14" s="1" t="s">
        <v>210</v>
      </c>
      <c r="D14" s="1"/>
    </row>
    <row r="15" spans="1:4" ht="33">
      <c r="A15" s="7" t="s">
        <v>203</v>
      </c>
      <c r="B15" s="11" t="s">
        <v>220</v>
      </c>
      <c r="C15" s="1" t="s">
        <v>2847</v>
      </c>
      <c r="D15" s="1"/>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33">
      <c r="A20" s="8" t="s">
        <v>0</v>
      </c>
      <c r="B20" s="11" t="s">
        <v>223</v>
      </c>
      <c r="C20" s="1" t="s">
        <v>2848</v>
      </c>
      <c r="D20" s="6"/>
    </row>
    <row r="21" spans="1:4">
      <c r="A21" s="7" t="s">
        <v>224</v>
      </c>
      <c r="B21" s="11"/>
      <c r="C21" s="1" t="s">
        <v>2826</v>
      </c>
      <c r="D21" s="6"/>
    </row>
    <row r="22" spans="1:4">
      <c r="A22" s="9" t="s">
        <v>225</v>
      </c>
      <c r="B22" s="11"/>
      <c r="C22" s="1" t="s">
        <v>211</v>
      </c>
      <c r="D22" s="10"/>
    </row>
    <row r="24" spans="1:4">
      <c r="A24" s="16" t="s">
        <v>327</v>
      </c>
      <c r="B24" s="16" t="s">
        <v>984</v>
      </c>
      <c r="C24" s="16" t="s">
        <v>328</v>
      </c>
      <c r="D24" s="16" t="s">
        <v>329</v>
      </c>
    </row>
    <row r="25" spans="1:4" ht="33">
      <c r="A25" s="1" t="s">
        <v>2852</v>
      </c>
      <c r="B25" s="1" t="s">
        <v>336</v>
      </c>
      <c r="C25" s="1" t="s">
        <v>2853</v>
      </c>
      <c r="D25" s="1" t="s">
        <v>2854</v>
      </c>
    </row>
    <row r="26" spans="1:4" ht="33">
      <c r="A26" s="1" t="s">
        <v>2855</v>
      </c>
      <c r="B26" s="1" t="s">
        <v>340</v>
      </c>
      <c r="C26" s="1" t="s">
        <v>2856</v>
      </c>
      <c r="D26" s="1" t="s">
        <v>1928</v>
      </c>
    </row>
    <row r="27" spans="1:4" ht="33">
      <c r="A27" s="1" t="s">
        <v>2857</v>
      </c>
      <c r="B27" s="1" t="s">
        <v>406</v>
      </c>
      <c r="C27" s="1" t="s">
        <v>2858</v>
      </c>
      <c r="D27" s="1" t="s">
        <v>2859</v>
      </c>
    </row>
    <row r="28" spans="1:4" ht="33">
      <c r="A28" s="1" t="s">
        <v>2860</v>
      </c>
      <c r="B28" s="1" t="s">
        <v>340</v>
      </c>
      <c r="C28" s="1" t="s">
        <v>2861</v>
      </c>
      <c r="D28" s="1" t="s">
        <v>2667</v>
      </c>
    </row>
    <row r="29" spans="1:4" ht="33">
      <c r="A29" s="1" t="s">
        <v>2862</v>
      </c>
      <c r="B29" s="1" t="s">
        <v>340</v>
      </c>
      <c r="C29" s="1" t="s">
        <v>2863</v>
      </c>
      <c r="D29" s="1" t="s">
        <v>2864</v>
      </c>
    </row>
    <row r="30" spans="1:4" ht="33">
      <c r="A30" s="1" t="s">
        <v>2865</v>
      </c>
      <c r="B30" s="1" t="s">
        <v>406</v>
      </c>
      <c r="C30" s="1" t="s">
        <v>2866</v>
      </c>
      <c r="D30" s="1" t="s">
        <v>2867</v>
      </c>
    </row>
    <row r="31" spans="1:4" ht="33">
      <c r="A31" s="1" t="s">
        <v>2868</v>
      </c>
      <c r="B31" s="1" t="s">
        <v>348</v>
      </c>
      <c r="C31" s="1" t="s">
        <v>2869</v>
      </c>
      <c r="D31" s="1" t="s">
        <v>2870</v>
      </c>
    </row>
    <row r="32" spans="1:4" ht="33">
      <c r="A32" s="1" t="s">
        <v>2871</v>
      </c>
      <c r="B32" s="1" t="s">
        <v>332</v>
      </c>
      <c r="C32" s="1" t="s">
        <v>2872</v>
      </c>
      <c r="D32" s="1" t="s">
        <v>2873</v>
      </c>
    </row>
    <row r="33" spans="1:4" ht="33">
      <c r="A33" s="1" t="s">
        <v>2874</v>
      </c>
      <c r="B33" s="1" t="s">
        <v>1984</v>
      </c>
      <c r="C33" s="1" t="s">
        <v>2875</v>
      </c>
      <c r="D33" s="1" t="s">
        <v>2876</v>
      </c>
    </row>
  </sheetData>
  <phoneticPr fontId="1" type="noConversion"/>
  <pageMargins left="0.7" right="0.7" top="0.75" bottom="0.75" header="0.3" footer="0.3"/>
  <tableParts count="1">
    <tablePart r:id="rId1"/>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E073A-4B18-4C91-BF57-5F47F3FE32DA}">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2818</v>
      </c>
      <c r="D2" s="30" t="s">
        <v>143</v>
      </c>
    </row>
    <row r="3" spans="1:4">
      <c r="A3" s="7" t="s">
        <v>3</v>
      </c>
      <c r="B3" s="11" t="s">
        <v>216</v>
      </c>
      <c r="C3" s="1" t="s">
        <v>5</v>
      </c>
      <c r="D3" s="30" t="s">
        <v>147</v>
      </c>
    </row>
    <row r="4" spans="1:4">
      <c r="A4" s="7" t="s">
        <v>2</v>
      </c>
      <c r="B4" s="11" t="s">
        <v>217</v>
      </c>
      <c r="C4" s="1" t="s">
        <v>2819</v>
      </c>
      <c r="D4" s="30" t="s">
        <v>146</v>
      </c>
    </row>
    <row r="5" spans="1:4" ht="33">
      <c r="A5" s="7" t="s">
        <v>241</v>
      </c>
      <c r="B5" s="13" t="s">
        <v>243</v>
      </c>
      <c r="C5" s="1" t="s">
        <v>2820</v>
      </c>
      <c r="D5" s="30" t="s">
        <v>2839</v>
      </c>
    </row>
    <row r="6" spans="1:4" ht="49.5">
      <c r="A6" s="7" t="s">
        <v>242</v>
      </c>
      <c r="B6" s="13" t="s">
        <v>244</v>
      </c>
      <c r="C6" s="1" t="s">
        <v>2821</v>
      </c>
      <c r="D6" s="30" t="s">
        <v>2838</v>
      </c>
    </row>
    <row r="7" spans="1:4" ht="33">
      <c r="A7" s="7" t="s">
        <v>196</v>
      </c>
      <c r="B7" s="12" t="s">
        <v>218</v>
      </c>
      <c r="C7" s="1" t="s">
        <v>2822</v>
      </c>
      <c r="D7" s="6"/>
    </row>
    <row r="8" spans="1:4" ht="66">
      <c r="A8" s="7" t="s">
        <v>197</v>
      </c>
      <c r="B8" s="13" t="s">
        <v>232</v>
      </c>
      <c r="C8" s="1" t="s">
        <v>2823</v>
      </c>
      <c r="D8" s="6"/>
    </row>
    <row r="9" spans="1:4" ht="33">
      <c r="A9" s="7" t="s">
        <v>198</v>
      </c>
      <c r="B9" s="13" t="s">
        <v>230</v>
      </c>
      <c r="C9" s="1" t="s">
        <v>261</v>
      </c>
      <c r="D9" s="6"/>
    </row>
    <row r="10" spans="1:4" ht="33">
      <c r="A10" s="7" t="s">
        <v>199</v>
      </c>
      <c r="B10" s="11" t="s">
        <v>228</v>
      </c>
      <c r="C10" s="1" t="s">
        <v>2480</v>
      </c>
      <c r="D10" s="30" t="s">
        <v>2480</v>
      </c>
    </row>
    <row r="11" spans="1:4">
      <c r="A11" s="7" t="s">
        <v>200</v>
      </c>
      <c r="B11" s="11" t="s">
        <v>239</v>
      </c>
      <c r="C11" s="1" t="s">
        <v>2480</v>
      </c>
      <c r="D11" s="30" t="s">
        <v>2480</v>
      </c>
    </row>
    <row r="12" spans="1:4">
      <c r="A12" s="7" t="s">
        <v>180</v>
      </c>
      <c r="B12" s="11" t="s">
        <v>219</v>
      </c>
      <c r="C12" s="1" t="s">
        <v>211</v>
      </c>
      <c r="D12" s="30" t="s">
        <v>270</v>
      </c>
    </row>
    <row r="13" spans="1:4" ht="33">
      <c r="A13" s="7" t="s">
        <v>201</v>
      </c>
      <c r="B13" s="11" t="s">
        <v>229</v>
      </c>
      <c r="C13" s="1" t="s">
        <v>211</v>
      </c>
      <c r="D13" s="30" t="s">
        <v>270</v>
      </c>
    </row>
    <row r="14" spans="1:4" ht="33">
      <c r="A14" s="7" t="s">
        <v>202</v>
      </c>
      <c r="B14" s="11" t="s">
        <v>235</v>
      </c>
      <c r="C14" s="1" t="s">
        <v>210</v>
      </c>
      <c r="D14" s="1"/>
    </row>
    <row r="15" spans="1:4" ht="33">
      <c r="A15" s="7" t="s">
        <v>203</v>
      </c>
      <c r="B15" s="11" t="s">
        <v>220</v>
      </c>
      <c r="C15" s="1" t="s">
        <v>2824</v>
      </c>
      <c r="D15" s="1"/>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2825</v>
      </c>
      <c r="D20" s="6"/>
    </row>
    <row r="21" spans="1:4">
      <c r="A21" s="7" t="s">
        <v>224</v>
      </c>
      <c r="B21" s="11"/>
      <c r="C21" t="s">
        <v>2826</v>
      </c>
      <c r="D21" s="6"/>
    </row>
    <row r="22" spans="1:4">
      <c r="A22" s="9" t="s">
        <v>225</v>
      </c>
      <c r="B22" s="11"/>
      <c r="C22" s="1" t="s">
        <v>211</v>
      </c>
      <c r="D22" s="10"/>
    </row>
  </sheetData>
  <phoneticPr fontId="1" type="noConversion"/>
  <pageMargins left="0.7" right="0.7" top="0.75" bottom="0.75" header="0.3" footer="0.3"/>
  <tableParts count="1">
    <tablePart r:id="rId1"/>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EF452-7B01-49BC-AEBD-2F75BA4B83E1}">
  <sheetPr>
    <tabColor theme="4"/>
  </sheetPr>
  <dimension ref="A1:D34"/>
  <sheetViews>
    <sheetView zoomScale="85" zoomScaleNormal="85" workbookViewId="0">
      <selection activeCell="B34" sqref="B34"/>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2877</v>
      </c>
      <c r="D2" s="30" t="s">
        <v>144</v>
      </c>
    </row>
    <row r="3" spans="1:4">
      <c r="A3" s="7" t="s">
        <v>3</v>
      </c>
      <c r="B3" s="11" t="s">
        <v>216</v>
      </c>
      <c r="C3" s="1" t="s">
        <v>147</v>
      </c>
      <c r="D3" s="30" t="s">
        <v>147</v>
      </c>
    </row>
    <row r="4" spans="1:4">
      <c r="A4" s="7" t="s">
        <v>2</v>
      </c>
      <c r="B4" s="11" t="s">
        <v>217</v>
      </c>
      <c r="C4" s="1" t="s">
        <v>2878</v>
      </c>
      <c r="D4" s="30" t="s">
        <v>2885</v>
      </c>
    </row>
    <row r="5" spans="1:4" ht="49.5">
      <c r="A5" s="7" t="s">
        <v>241</v>
      </c>
      <c r="B5" s="13" t="s">
        <v>243</v>
      </c>
      <c r="C5" s="1" t="s">
        <v>2879</v>
      </c>
      <c r="D5" s="30" t="s">
        <v>2886</v>
      </c>
    </row>
    <row r="6" spans="1:4" ht="49.5">
      <c r="A6" s="7" t="s">
        <v>242</v>
      </c>
      <c r="B6" s="13" t="s">
        <v>244</v>
      </c>
      <c r="C6" s="1" t="s">
        <v>2880</v>
      </c>
      <c r="D6" s="30" t="s">
        <v>2887</v>
      </c>
    </row>
    <row r="7" spans="1:4" ht="33">
      <c r="A7" s="7" t="s">
        <v>196</v>
      </c>
      <c r="B7" s="12" t="s">
        <v>218</v>
      </c>
      <c r="C7" s="1" t="s">
        <v>2881</v>
      </c>
      <c r="D7" s="6"/>
    </row>
    <row r="8" spans="1:4" ht="66">
      <c r="A8" s="7" t="s">
        <v>197</v>
      </c>
      <c r="B8" s="13" t="s">
        <v>232</v>
      </c>
      <c r="C8" s="1" t="s">
        <v>2882</v>
      </c>
      <c r="D8" s="6"/>
    </row>
    <row r="9" spans="1:4" ht="33">
      <c r="A9" s="7" t="s">
        <v>198</v>
      </c>
      <c r="B9" s="13" t="s">
        <v>230</v>
      </c>
      <c r="C9" s="1" t="s">
        <v>221</v>
      </c>
      <c r="D9" s="6"/>
    </row>
    <row r="10" spans="1:4" ht="33">
      <c r="A10" s="7" t="s">
        <v>199</v>
      </c>
      <c r="B10" s="11" t="s">
        <v>228</v>
      </c>
      <c r="C10" s="1" t="s">
        <v>210</v>
      </c>
      <c r="D10" s="30" t="s">
        <v>2480</v>
      </c>
    </row>
    <row r="11" spans="1:4">
      <c r="A11" s="7" t="s">
        <v>200</v>
      </c>
      <c r="B11" s="11" t="s">
        <v>239</v>
      </c>
      <c r="C11" s="1" t="s">
        <v>211</v>
      </c>
      <c r="D11" s="30" t="s">
        <v>2480</v>
      </c>
    </row>
    <row r="12" spans="1:4">
      <c r="A12" s="7" t="s">
        <v>180</v>
      </c>
      <c r="B12" s="11" t="s">
        <v>219</v>
      </c>
      <c r="C12" s="1" t="s">
        <v>211</v>
      </c>
      <c r="D12" s="30" t="s">
        <v>270</v>
      </c>
    </row>
    <row r="13" spans="1:4" ht="33">
      <c r="A13" s="7" t="s">
        <v>201</v>
      </c>
      <c r="B13" s="11" t="s">
        <v>229</v>
      </c>
      <c r="C13" s="1" t="s">
        <v>211</v>
      </c>
      <c r="D13" s="30" t="s">
        <v>270</v>
      </c>
    </row>
    <row r="14" spans="1:4" ht="33">
      <c r="A14" s="7" t="s">
        <v>202</v>
      </c>
      <c r="B14" s="11" t="s">
        <v>235</v>
      </c>
      <c r="C14" s="1" t="s">
        <v>2883</v>
      </c>
      <c r="D14" s="1"/>
    </row>
    <row r="15" spans="1:4">
      <c r="A15" s="7" t="s">
        <v>203</v>
      </c>
      <c r="B15" s="11" t="s">
        <v>220</v>
      </c>
      <c r="C15" s="1" t="s">
        <v>211</v>
      </c>
      <c r="D15" s="1"/>
    </row>
    <row r="16" spans="1:4" ht="33">
      <c r="A16" s="7" t="s">
        <v>204</v>
      </c>
      <c r="B16" s="11" t="s">
        <v>233</v>
      </c>
      <c r="C16" s="1" t="s">
        <v>261</v>
      </c>
      <c r="D16" s="6"/>
    </row>
    <row r="17" spans="1:4" ht="33">
      <c r="A17" s="7" t="s">
        <v>205</v>
      </c>
      <c r="B17" s="11" t="s">
        <v>231</v>
      </c>
      <c r="C17" s="1" t="s">
        <v>261</v>
      </c>
      <c r="D17" s="6"/>
    </row>
    <row r="18" spans="1:4" ht="33">
      <c r="A18" s="7" t="s">
        <v>206</v>
      </c>
      <c r="B18" s="11" t="s">
        <v>234</v>
      </c>
      <c r="C18" s="1" t="s">
        <v>221</v>
      </c>
      <c r="D18" s="6"/>
    </row>
    <row r="19" spans="1:4" ht="33">
      <c r="A19" s="7" t="s">
        <v>207</v>
      </c>
      <c r="B19" s="11" t="s">
        <v>236</v>
      </c>
      <c r="C19" s="1" t="s">
        <v>212</v>
      </c>
      <c r="D19" s="6"/>
    </row>
    <row r="20" spans="1:4" ht="33">
      <c r="A20" s="8" t="s">
        <v>0</v>
      </c>
      <c r="B20" s="11" t="s">
        <v>223</v>
      </c>
      <c r="C20" s="1" t="s">
        <v>2884</v>
      </c>
      <c r="D20" s="6"/>
    </row>
    <row r="21" spans="1:4">
      <c r="A21" s="7" t="s">
        <v>224</v>
      </c>
      <c r="B21" s="11"/>
      <c r="C21" s="1" t="s">
        <v>2826</v>
      </c>
      <c r="D21" s="6"/>
    </row>
    <row r="22" spans="1:4">
      <c r="A22" s="9" t="s">
        <v>225</v>
      </c>
      <c r="B22" s="11"/>
      <c r="C22" s="1" t="s">
        <v>211</v>
      </c>
      <c r="D22" s="10"/>
    </row>
    <row r="24" spans="1:4">
      <c r="A24" s="16" t="s">
        <v>327</v>
      </c>
      <c r="B24" s="16" t="s">
        <v>984</v>
      </c>
      <c r="C24" s="16" t="s">
        <v>328</v>
      </c>
      <c r="D24" s="16" t="s">
        <v>329</v>
      </c>
    </row>
    <row r="25" spans="1:4" ht="49.5">
      <c r="A25" s="1" t="s">
        <v>2888</v>
      </c>
      <c r="B25" s="1" t="s">
        <v>406</v>
      </c>
      <c r="C25" s="1" t="s">
        <v>2889</v>
      </c>
      <c r="D25" s="1" t="s">
        <v>2890</v>
      </c>
    </row>
    <row r="26" spans="1:4" ht="33">
      <c r="A26" s="1" t="s">
        <v>2891</v>
      </c>
      <c r="B26" s="1" t="s">
        <v>406</v>
      </c>
      <c r="C26" s="1" t="s">
        <v>2892</v>
      </c>
      <c r="D26" s="1" t="s">
        <v>2867</v>
      </c>
    </row>
    <row r="27" spans="1:4" ht="33">
      <c r="A27" s="1" t="s">
        <v>2893</v>
      </c>
      <c r="B27" s="1" t="s">
        <v>348</v>
      </c>
      <c r="C27" s="1" t="s">
        <v>2894</v>
      </c>
      <c r="D27" s="1" t="s">
        <v>2895</v>
      </c>
    </row>
    <row r="28" spans="1:4" ht="33">
      <c r="A28" s="1" t="s">
        <v>2896</v>
      </c>
      <c r="B28" s="1" t="s">
        <v>457</v>
      </c>
      <c r="C28" s="1" t="s">
        <v>2897</v>
      </c>
      <c r="D28" s="1" t="s">
        <v>2579</v>
      </c>
    </row>
    <row r="29" spans="1:4" ht="33">
      <c r="A29" s="1" t="s">
        <v>2898</v>
      </c>
      <c r="B29" s="1" t="s">
        <v>348</v>
      </c>
      <c r="C29" s="1" t="s">
        <v>2899</v>
      </c>
      <c r="D29" s="1" t="s">
        <v>2900</v>
      </c>
    </row>
    <row r="30" spans="1:4" ht="33">
      <c r="A30" s="1" t="s">
        <v>2901</v>
      </c>
      <c r="B30" s="1" t="s">
        <v>406</v>
      </c>
      <c r="C30" s="1" t="s">
        <v>2902</v>
      </c>
      <c r="D30" s="1" t="s">
        <v>2903</v>
      </c>
    </row>
    <row r="31" spans="1:4" ht="33">
      <c r="A31" s="1" t="s">
        <v>2904</v>
      </c>
      <c r="B31" s="1" t="s">
        <v>469</v>
      </c>
      <c r="C31" s="1" t="s">
        <v>2905</v>
      </c>
      <c r="D31" s="1" t="s">
        <v>2906</v>
      </c>
    </row>
    <row r="32" spans="1:4" ht="33">
      <c r="A32" s="1" t="s">
        <v>2907</v>
      </c>
      <c r="B32" s="1" t="s">
        <v>469</v>
      </c>
      <c r="C32" s="1" t="s">
        <v>2908</v>
      </c>
      <c r="D32" s="1" t="s">
        <v>1745</v>
      </c>
    </row>
    <row r="33" spans="1:4" ht="33">
      <c r="A33" s="1" t="s">
        <v>2909</v>
      </c>
      <c r="B33" s="1" t="s">
        <v>2910</v>
      </c>
      <c r="C33" s="1" t="s">
        <v>2911</v>
      </c>
      <c r="D33" s="1" t="s">
        <v>2912</v>
      </c>
    </row>
    <row r="34" spans="1:4" ht="33">
      <c r="A34" s="1" t="s">
        <v>2913</v>
      </c>
      <c r="B34" s="1" t="s">
        <v>348</v>
      </c>
      <c r="C34" s="1" t="s">
        <v>2914</v>
      </c>
      <c r="D34" s="1" t="s">
        <v>1954</v>
      </c>
    </row>
  </sheetData>
  <phoneticPr fontId="1" type="noConversion"/>
  <pageMargins left="0.7" right="0.7" top="0.75" bottom="0.75" header="0.3" footer="0.3"/>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BB548-56E0-41F6-ADA8-6158DB0F4501}">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2596</v>
      </c>
      <c r="D2" s="30" t="s">
        <v>159</v>
      </c>
    </row>
    <row r="3" spans="1:4">
      <c r="A3" s="7" t="s">
        <v>3</v>
      </c>
      <c r="B3" s="11" t="s">
        <v>216</v>
      </c>
      <c r="C3" s="1" t="s">
        <v>147</v>
      </c>
      <c r="D3" s="30" t="s">
        <v>5</v>
      </c>
    </row>
    <row r="4" spans="1:4">
      <c r="A4" s="7" t="s">
        <v>2</v>
      </c>
      <c r="B4" s="11" t="s">
        <v>217</v>
      </c>
      <c r="C4" s="1" t="s">
        <v>2597</v>
      </c>
      <c r="D4" s="30" t="s">
        <v>2556</v>
      </c>
    </row>
    <row r="5" spans="1:4" ht="49.5">
      <c r="A5" s="7" t="s">
        <v>241</v>
      </c>
      <c r="B5" s="13" t="s">
        <v>243</v>
      </c>
      <c r="C5" s="1" t="s">
        <v>2598</v>
      </c>
      <c r="D5" s="1" t="s">
        <v>2604</v>
      </c>
    </row>
    <row r="6" spans="1:4" ht="49.5">
      <c r="A6" s="7" t="s">
        <v>242</v>
      </c>
      <c r="B6" s="13" t="s">
        <v>244</v>
      </c>
      <c r="C6" s="1" t="s">
        <v>2599</v>
      </c>
      <c r="D6" s="1" t="s">
        <v>2605</v>
      </c>
    </row>
    <row r="7" spans="1:4" ht="33">
      <c r="A7" s="7" t="s">
        <v>196</v>
      </c>
      <c r="B7" s="12" t="s">
        <v>218</v>
      </c>
      <c r="C7" s="1" t="s">
        <v>2600</v>
      </c>
      <c r="D7" s="6"/>
    </row>
    <row r="8" spans="1:4" ht="132">
      <c r="A8" s="7" t="s">
        <v>197</v>
      </c>
      <c r="B8" s="13" t="s">
        <v>232</v>
      </c>
      <c r="C8" s="1" t="s">
        <v>2601</v>
      </c>
      <c r="D8" s="6"/>
    </row>
    <row r="9" spans="1:4" ht="33">
      <c r="A9" s="7" t="s">
        <v>198</v>
      </c>
      <c r="B9" s="13" t="s">
        <v>230</v>
      </c>
      <c r="C9" s="1" t="s">
        <v>261</v>
      </c>
      <c r="D9" s="6"/>
    </row>
    <row r="10" spans="1:4" ht="33">
      <c r="A10" s="7" t="s">
        <v>199</v>
      </c>
      <c r="B10" s="11" t="s">
        <v>228</v>
      </c>
      <c r="C10" s="1" t="s">
        <v>211</v>
      </c>
      <c r="D10" s="1" t="s">
        <v>211</v>
      </c>
    </row>
    <row r="11" spans="1:4">
      <c r="A11" s="7" t="s">
        <v>200</v>
      </c>
      <c r="B11" s="11" t="s">
        <v>239</v>
      </c>
      <c r="C11" s="1" t="s">
        <v>211</v>
      </c>
      <c r="D11" s="1" t="s">
        <v>211</v>
      </c>
    </row>
    <row r="12" spans="1:4">
      <c r="A12" s="7" t="s">
        <v>180</v>
      </c>
      <c r="B12" s="11" t="s">
        <v>219</v>
      </c>
      <c r="C12" s="1">
        <v>3905300000</v>
      </c>
      <c r="D12" s="1">
        <v>3905300000</v>
      </c>
    </row>
    <row r="13" spans="1:4" ht="33">
      <c r="A13" s="7" t="s">
        <v>201</v>
      </c>
      <c r="B13" s="11" t="s">
        <v>229</v>
      </c>
      <c r="C13" s="1" t="s">
        <v>2568</v>
      </c>
      <c r="D13" s="1" t="s">
        <v>2568</v>
      </c>
    </row>
    <row r="14" spans="1:4" ht="33">
      <c r="A14" s="7" t="s">
        <v>202</v>
      </c>
      <c r="B14" s="11" t="s">
        <v>235</v>
      </c>
      <c r="C14" s="1" t="s">
        <v>211</v>
      </c>
      <c r="D14" s="6"/>
    </row>
    <row r="15" spans="1:4">
      <c r="A15" s="7" t="s">
        <v>203</v>
      </c>
      <c r="B15" s="11" t="s">
        <v>220</v>
      </c>
      <c r="C15" s="1" t="s">
        <v>211</v>
      </c>
      <c r="D15" s="6"/>
    </row>
    <row r="16" spans="1:4" ht="33">
      <c r="A16" s="7" t="s">
        <v>204</v>
      </c>
      <c r="B16" s="11" t="s">
        <v>233</v>
      </c>
      <c r="C16" s="1" t="s">
        <v>221</v>
      </c>
      <c r="D16" s="6"/>
    </row>
    <row r="17" spans="1:4" ht="33">
      <c r="A17" s="7" t="s">
        <v>205</v>
      </c>
      <c r="B17" s="11" t="s">
        <v>231</v>
      </c>
      <c r="C17" s="1" t="s">
        <v>261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2602</v>
      </c>
      <c r="D20" s="6"/>
    </row>
    <row r="21" spans="1:4" ht="33">
      <c r="A21" s="7" t="s">
        <v>224</v>
      </c>
      <c r="B21" s="11"/>
      <c r="C21" s="1" t="s">
        <v>2603</v>
      </c>
      <c r="D21" s="6"/>
    </row>
    <row r="22" spans="1:4">
      <c r="A22" s="9" t="s">
        <v>225</v>
      </c>
      <c r="B22" s="11"/>
      <c r="C22" s="1" t="s">
        <v>211</v>
      </c>
      <c r="D22" s="10"/>
    </row>
    <row r="24" spans="1:4">
      <c r="A24" s="16" t="s">
        <v>327</v>
      </c>
      <c r="B24" s="16" t="s">
        <v>984</v>
      </c>
      <c r="C24" s="16" t="s">
        <v>328</v>
      </c>
      <c r="D24" s="16" t="s">
        <v>329</v>
      </c>
    </row>
    <row r="25" spans="1:4" ht="66">
      <c r="A25" s="1" t="s">
        <v>2606</v>
      </c>
      <c r="B25" s="1" t="s">
        <v>406</v>
      </c>
      <c r="C25" s="1" t="s">
        <v>2607</v>
      </c>
      <c r="D25" s="1" t="s">
        <v>1931</v>
      </c>
    </row>
    <row r="26" spans="1:4" ht="49.5">
      <c r="A26" s="1" t="s">
        <v>2608</v>
      </c>
      <c r="B26" s="1" t="s">
        <v>336</v>
      </c>
      <c r="C26" s="1" t="s">
        <v>2609</v>
      </c>
      <c r="D26" s="1" t="s">
        <v>2610</v>
      </c>
    </row>
    <row r="27" spans="1:4" ht="66">
      <c r="A27" s="1" t="s">
        <v>2611</v>
      </c>
      <c r="B27" s="1" t="s">
        <v>348</v>
      </c>
      <c r="C27" s="1" t="s">
        <v>2612</v>
      </c>
      <c r="D27" s="1" t="s">
        <v>2613</v>
      </c>
    </row>
    <row r="28" spans="1:4" ht="49.5">
      <c r="A28" s="1" t="s">
        <v>2614</v>
      </c>
      <c r="B28" s="1" t="s">
        <v>348</v>
      </c>
      <c r="C28" s="1" t="s">
        <v>2615</v>
      </c>
      <c r="D28" s="1" t="s">
        <v>2616</v>
      </c>
    </row>
    <row r="29" spans="1:4" ht="49.5">
      <c r="A29" s="1" t="s">
        <v>2617</v>
      </c>
      <c r="B29" s="1" t="s">
        <v>340</v>
      </c>
      <c r="C29" s="1" t="s">
        <v>2618</v>
      </c>
      <c r="D29" s="1" t="s">
        <v>2619</v>
      </c>
    </row>
    <row r="30" spans="1:4" ht="66">
      <c r="A30" s="1" t="s">
        <v>2620</v>
      </c>
      <c r="B30" s="1" t="s">
        <v>960</v>
      </c>
      <c r="C30" s="1" t="s">
        <v>2621</v>
      </c>
      <c r="D30" s="1" t="s">
        <v>1677</v>
      </c>
    </row>
    <row r="31" spans="1:4" ht="33">
      <c r="A31" s="1" t="s">
        <v>2622</v>
      </c>
      <c r="B31" s="1" t="s">
        <v>340</v>
      </c>
      <c r="C31" s="1" t="s">
        <v>2623</v>
      </c>
      <c r="D31" s="1" t="s">
        <v>2624</v>
      </c>
    </row>
    <row r="32" spans="1:4" ht="49.5">
      <c r="A32" s="1" t="s">
        <v>2625</v>
      </c>
      <c r="B32" s="1" t="s">
        <v>1100</v>
      </c>
      <c r="C32" s="1" t="s">
        <v>2626</v>
      </c>
      <c r="D32" s="1" t="s">
        <v>2627</v>
      </c>
    </row>
    <row r="33" spans="1:4" ht="66">
      <c r="A33" s="1" t="s">
        <v>2628</v>
      </c>
      <c r="B33" s="1" t="s">
        <v>336</v>
      </c>
      <c r="C33" s="1" t="s">
        <v>2629</v>
      </c>
      <c r="D33" s="1" t="s">
        <v>1979</v>
      </c>
    </row>
    <row r="34" spans="1:4" ht="49.5">
      <c r="A34" s="1" t="s">
        <v>2630</v>
      </c>
      <c r="B34" s="1" t="s">
        <v>1549</v>
      </c>
      <c r="C34" s="1" t="s">
        <v>2631</v>
      </c>
      <c r="D34" s="1" t="s">
        <v>1700</v>
      </c>
    </row>
  </sheetData>
  <phoneticPr fontId="1" type="noConversion"/>
  <pageMargins left="0.7" right="0.7" top="0.75" bottom="0.75" header="0.3" footer="0.3"/>
  <tableParts count="1">
    <tablePart r:id="rId1"/>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F3961-8E60-4F30-A1DA-AEDE5114699D}">
  <sheetPr>
    <tabColor theme="4"/>
  </sheetPr>
  <dimension ref="A1:D33"/>
  <sheetViews>
    <sheetView topLeftCell="C1" zoomScale="85" zoomScaleNormal="85" workbookViewId="0">
      <selection activeCell="C14" sqref="C14"/>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160</v>
      </c>
      <c r="D2" s="30" t="s">
        <v>160</v>
      </c>
    </row>
    <row r="3" spans="1:4">
      <c r="A3" s="7" t="s">
        <v>3</v>
      </c>
      <c r="B3" s="11" t="s">
        <v>216</v>
      </c>
      <c r="C3" s="1" t="s">
        <v>5</v>
      </c>
      <c r="D3" s="30" t="s">
        <v>5</v>
      </c>
    </row>
    <row r="4" spans="1:4">
      <c r="A4" s="7" t="s">
        <v>2</v>
      </c>
      <c r="B4" s="11" t="s">
        <v>217</v>
      </c>
      <c r="C4" s="1" t="s">
        <v>33</v>
      </c>
      <c r="D4" s="30" t="s">
        <v>33</v>
      </c>
    </row>
    <row r="5" spans="1:4" ht="66">
      <c r="A5" s="7" t="s">
        <v>241</v>
      </c>
      <c r="B5" s="13" t="s">
        <v>243</v>
      </c>
      <c r="C5" s="1" t="s">
        <v>451</v>
      </c>
      <c r="D5" s="30" t="s">
        <v>1854</v>
      </c>
    </row>
    <row r="6" spans="1:4" ht="66">
      <c r="A6" s="7" t="s">
        <v>242</v>
      </c>
      <c r="B6" s="13" t="s">
        <v>244</v>
      </c>
      <c r="C6" s="1" t="s">
        <v>452</v>
      </c>
      <c r="D6" s="30" t="s">
        <v>1855</v>
      </c>
    </row>
    <row r="7" spans="1:4" ht="33">
      <c r="A7" s="7" t="s">
        <v>196</v>
      </c>
      <c r="B7" s="12" t="s">
        <v>218</v>
      </c>
      <c r="C7" s="1" t="s">
        <v>453</v>
      </c>
      <c r="D7" s="6"/>
    </row>
    <row r="8" spans="1:4" ht="115.5">
      <c r="A8" s="7" t="s">
        <v>197</v>
      </c>
      <c r="B8" s="13" t="s">
        <v>232</v>
      </c>
      <c r="C8" s="1" t="s">
        <v>484</v>
      </c>
      <c r="D8" s="6" t="s">
        <v>485</v>
      </c>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459</v>
      </c>
      <c r="D11" s="30" t="s">
        <v>459</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454</v>
      </c>
      <c r="D15" s="6"/>
    </row>
    <row r="16" spans="1:4" ht="33">
      <c r="A16" s="7" t="s">
        <v>204</v>
      </c>
      <c r="B16" s="11" t="s">
        <v>233</v>
      </c>
      <c r="C16" s="1" t="s">
        <v>383</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292</v>
      </c>
      <c r="D19" s="6"/>
    </row>
    <row r="20" spans="1:4" ht="82.5">
      <c r="A20" s="8" t="s">
        <v>0</v>
      </c>
      <c r="B20" s="11" t="s">
        <v>223</v>
      </c>
      <c r="C20" s="1" t="s">
        <v>460</v>
      </c>
      <c r="D20" s="6"/>
    </row>
    <row r="21" spans="1:4">
      <c r="A21" s="7" t="s">
        <v>224</v>
      </c>
      <c r="B21" s="11"/>
      <c r="C21" s="1" t="s">
        <v>423</v>
      </c>
      <c r="D21" s="6"/>
    </row>
    <row r="22" spans="1:4">
      <c r="A22" s="9" t="s">
        <v>225</v>
      </c>
      <c r="B22" s="11"/>
      <c r="C22" s="1" t="s">
        <v>211</v>
      </c>
      <c r="D22" s="10"/>
    </row>
    <row r="24" spans="1:4">
      <c r="A24" t="s">
        <v>350</v>
      </c>
    </row>
    <row r="25" spans="1:4">
      <c r="A25" s="16" t="s">
        <v>327</v>
      </c>
      <c r="B25" s="16" t="s">
        <v>298</v>
      </c>
      <c r="C25" s="16" t="s">
        <v>328</v>
      </c>
      <c r="D25" s="16" t="s">
        <v>329</v>
      </c>
    </row>
    <row r="26" spans="1:4" ht="49.5">
      <c r="A26" s="1" t="s">
        <v>461</v>
      </c>
      <c r="B26" s="1" t="s">
        <v>457</v>
      </c>
      <c r="C26" s="1" t="s">
        <v>462</v>
      </c>
      <c r="D26" s="1" t="s">
        <v>463</v>
      </c>
    </row>
    <row r="27" spans="1:4" ht="49.5">
      <c r="A27" s="1" t="s">
        <v>464</v>
      </c>
      <c r="B27" s="1" t="s">
        <v>340</v>
      </c>
      <c r="C27" s="1" t="s">
        <v>465</v>
      </c>
      <c r="D27" s="1" t="s">
        <v>466</v>
      </c>
    </row>
    <row r="28" spans="1:4" ht="33">
      <c r="A28" s="1" t="s">
        <v>467</v>
      </c>
      <c r="B28" s="1" t="s">
        <v>469</v>
      </c>
      <c r="C28" s="1" t="s">
        <v>468</v>
      </c>
      <c r="D28" s="1" t="s">
        <v>470</v>
      </c>
    </row>
    <row r="29" spans="1:4" ht="33">
      <c r="A29" s="1" t="s">
        <v>471</v>
      </c>
      <c r="B29" s="1" t="s">
        <v>473</v>
      </c>
      <c r="C29" s="1" t="s">
        <v>472</v>
      </c>
      <c r="D29" s="1" t="s">
        <v>474</v>
      </c>
    </row>
    <row r="30" spans="1:4" ht="33">
      <c r="A30" s="1" t="s">
        <v>475</v>
      </c>
      <c r="B30" s="1" t="s">
        <v>348</v>
      </c>
      <c r="C30" s="1" t="s">
        <v>476</v>
      </c>
      <c r="D30" s="1" t="s">
        <v>477</v>
      </c>
    </row>
    <row r="31" spans="1:4" ht="33">
      <c r="A31" s="1" t="s">
        <v>478</v>
      </c>
      <c r="B31" s="1" t="s">
        <v>332</v>
      </c>
      <c r="C31" s="1" t="s">
        <v>479</v>
      </c>
      <c r="D31" s="1" t="s">
        <v>480</v>
      </c>
    </row>
    <row r="32" spans="1:4" ht="33">
      <c r="A32" s="1" t="s">
        <v>481</v>
      </c>
      <c r="B32" s="1" t="s">
        <v>348</v>
      </c>
      <c r="C32" s="1" t="s">
        <v>482</v>
      </c>
      <c r="D32" s="1" t="s">
        <v>483</v>
      </c>
    </row>
    <row r="33" spans="1:1" ht="148.5">
      <c r="A33" s="1" t="s">
        <v>486</v>
      </c>
    </row>
  </sheetData>
  <phoneticPr fontId="1" type="noConversion"/>
  <pageMargins left="0.7" right="0.7" top="0.75" bottom="0.75" header="0.3" footer="0.3"/>
  <tableParts count="1">
    <tablePart r:id="rId1"/>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C84A-D9CA-4604-BCF0-0590C28809E3}">
  <sheetPr>
    <tabColor theme="8"/>
  </sheetPr>
  <dimension ref="A1:D37"/>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163</v>
      </c>
      <c r="D2" s="30" t="s">
        <v>163</v>
      </c>
    </row>
    <row r="3" spans="1:4">
      <c r="A3" s="7" t="s">
        <v>3</v>
      </c>
      <c r="B3" s="11" t="s">
        <v>216</v>
      </c>
      <c r="C3" s="1" t="s">
        <v>2306</v>
      </c>
      <c r="D3" s="30" t="s">
        <v>2306</v>
      </c>
    </row>
    <row r="4" spans="1:4">
      <c r="A4" s="7" t="s">
        <v>2</v>
      </c>
      <c r="B4" s="11" t="s">
        <v>217</v>
      </c>
      <c r="C4" s="1" t="s">
        <v>1464</v>
      </c>
      <c r="D4" s="30" t="s">
        <v>164</v>
      </c>
    </row>
    <row r="5" spans="1:4" ht="66">
      <c r="A5" s="7" t="s">
        <v>241</v>
      </c>
      <c r="B5" s="13" t="s">
        <v>243</v>
      </c>
      <c r="C5" s="1" t="s">
        <v>1465</v>
      </c>
      <c r="D5" s="30" t="s">
        <v>2314</v>
      </c>
    </row>
    <row r="6" spans="1:4" ht="66">
      <c r="A6" s="7" t="s">
        <v>242</v>
      </c>
      <c r="B6" s="13" t="s">
        <v>244</v>
      </c>
      <c r="C6" s="1" t="s">
        <v>1466</v>
      </c>
      <c r="D6" s="30" t="s">
        <v>2315</v>
      </c>
    </row>
    <row r="7" spans="1:4" ht="33">
      <c r="A7" s="7" t="s">
        <v>196</v>
      </c>
      <c r="B7" s="12" t="s">
        <v>218</v>
      </c>
      <c r="C7" s="1" t="s">
        <v>1467</v>
      </c>
      <c r="D7" s="6"/>
    </row>
    <row r="8" spans="1:4" ht="82.5">
      <c r="A8" s="7" t="s">
        <v>197</v>
      </c>
      <c r="B8" s="13" t="s">
        <v>232</v>
      </c>
      <c r="C8" s="1" t="s">
        <v>1471</v>
      </c>
      <c r="D8" s="6"/>
    </row>
    <row r="9" spans="1:4" ht="33">
      <c r="A9" s="7" t="s">
        <v>198</v>
      </c>
      <c r="B9" s="13" t="s">
        <v>230</v>
      </c>
      <c r="C9" s="1" t="s">
        <v>1136</v>
      </c>
      <c r="D9" s="6"/>
    </row>
    <row r="10" spans="1:4" ht="33">
      <c r="A10" s="7" t="s">
        <v>199</v>
      </c>
      <c r="B10" s="11" t="s">
        <v>228</v>
      </c>
      <c r="C10" s="1" t="s">
        <v>210</v>
      </c>
      <c r="D10" s="30" t="s">
        <v>210</v>
      </c>
    </row>
    <row r="11" spans="1:4">
      <c r="A11" s="7" t="s">
        <v>200</v>
      </c>
      <c r="B11" s="11" t="s">
        <v>239</v>
      </c>
      <c r="C11" s="1" t="s">
        <v>1472</v>
      </c>
      <c r="D11" s="30" t="s">
        <v>1472</v>
      </c>
    </row>
    <row r="12" spans="1:4">
      <c r="A12" s="7" t="s">
        <v>180</v>
      </c>
      <c r="B12" s="11" t="s">
        <v>219</v>
      </c>
      <c r="C12" s="1">
        <v>2929102000</v>
      </c>
      <c r="D12" s="30">
        <v>2929102000</v>
      </c>
    </row>
    <row r="13" spans="1:4" ht="33">
      <c r="A13" s="7" t="s">
        <v>201</v>
      </c>
      <c r="B13" s="11" t="s">
        <v>229</v>
      </c>
      <c r="C13" s="1" t="s">
        <v>247</v>
      </c>
      <c r="D13" s="30" t="s">
        <v>247</v>
      </c>
    </row>
    <row r="14" spans="1:4" ht="33">
      <c r="A14" s="7" t="s">
        <v>202</v>
      </c>
      <c r="B14" s="11" t="s">
        <v>235</v>
      </c>
      <c r="C14" s="1" t="s">
        <v>1468</v>
      </c>
      <c r="D14" s="6"/>
    </row>
    <row r="15" spans="1:4" ht="33">
      <c r="A15" s="7" t="s">
        <v>203</v>
      </c>
      <c r="B15" s="11" t="s">
        <v>220</v>
      </c>
      <c r="C15" s="1" t="s">
        <v>1469</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221</v>
      </c>
      <c r="D18" s="6"/>
    </row>
    <row r="19" spans="1:4" ht="33">
      <c r="A19" s="7" t="s">
        <v>207</v>
      </c>
      <c r="B19" s="11" t="s">
        <v>236</v>
      </c>
      <c r="C19" s="1" t="s">
        <v>1139</v>
      </c>
      <c r="D19" s="6"/>
    </row>
    <row r="20" spans="1:4" ht="132">
      <c r="A20" s="8" t="s">
        <v>0</v>
      </c>
      <c r="B20" s="11" t="s">
        <v>223</v>
      </c>
      <c r="C20" s="1" t="s">
        <v>1473</v>
      </c>
      <c r="D20" s="6"/>
    </row>
    <row r="21" spans="1:4" ht="33">
      <c r="A21" s="7" t="s">
        <v>224</v>
      </c>
      <c r="B21" s="11"/>
      <c r="C21" s="1" t="s">
        <v>1470</v>
      </c>
      <c r="D21" s="6"/>
    </row>
    <row r="22" spans="1:4">
      <c r="A22" s="9" t="s">
        <v>225</v>
      </c>
      <c r="B22" s="11"/>
      <c r="C22" s="1" t="s">
        <v>211</v>
      </c>
      <c r="D22" s="10"/>
    </row>
    <row r="25" spans="1:4">
      <c r="A25" s="16" t="s">
        <v>327</v>
      </c>
      <c r="B25" s="16" t="s">
        <v>984</v>
      </c>
      <c r="C25" s="16" t="s">
        <v>328</v>
      </c>
      <c r="D25" s="16" t="s">
        <v>329</v>
      </c>
    </row>
    <row r="26" spans="1:4" ht="66">
      <c r="A26" s="1" t="s">
        <v>1474</v>
      </c>
      <c r="B26" s="1" t="s">
        <v>1475</v>
      </c>
      <c r="C26" s="1" t="s">
        <v>1476</v>
      </c>
      <c r="D26" s="1" t="s">
        <v>1477</v>
      </c>
    </row>
    <row r="27" spans="1:4" ht="49.5">
      <c r="A27" s="1" t="s">
        <v>1478</v>
      </c>
      <c r="B27" s="1" t="s">
        <v>1479</v>
      </c>
      <c r="C27" s="1" t="s">
        <v>1480</v>
      </c>
      <c r="D27" s="1" t="s">
        <v>1481</v>
      </c>
    </row>
    <row r="28" spans="1:4" ht="49.5">
      <c r="A28" s="1" t="s">
        <v>1482</v>
      </c>
      <c r="B28" s="1" t="s">
        <v>1483</v>
      </c>
      <c r="C28" s="1" t="s">
        <v>1484</v>
      </c>
      <c r="D28" s="1" t="s">
        <v>1485</v>
      </c>
    </row>
    <row r="29" spans="1:4" ht="33">
      <c r="A29" s="1" t="s">
        <v>1486</v>
      </c>
      <c r="B29" s="1" t="s">
        <v>1487</v>
      </c>
      <c r="C29" s="1" t="s">
        <v>1488</v>
      </c>
      <c r="D29" s="1" t="s">
        <v>1489</v>
      </c>
    </row>
    <row r="30" spans="1:4" ht="49.5">
      <c r="A30" s="1" t="s">
        <v>1490</v>
      </c>
      <c r="B30" s="1" t="s">
        <v>1491</v>
      </c>
      <c r="C30" s="1" t="s">
        <v>1492</v>
      </c>
      <c r="D30" s="1" t="s">
        <v>1493</v>
      </c>
    </row>
    <row r="31" spans="1:4" ht="49.5">
      <c r="A31" s="1" t="s">
        <v>1494</v>
      </c>
      <c r="B31" s="1" t="s">
        <v>406</v>
      </c>
      <c r="C31" s="1" t="s">
        <v>1495</v>
      </c>
      <c r="D31" s="1" t="s">
        <v>1496</v>
      </c>
    </row>
    <row r="32" spans="1:4" ht="33">
      <c r="A32" s="1" t="s">
        <v>1497</v>
      </c>
      <c r="B32" s="1" t="s">
        <v>1498</v>
      </c>
      <c r="C32" s="1" t="s">
        <v>1499</v>
      </c>
      <c r="D32" s="1" t="s">
        <v>1500</v>
      </c>
    </row>
    <row r="33" spans="1:4" ht="33">
      <c r="A33" s="1" t="s">
        <v>1501</v>
      </c>
      <c r="B33" s="1" t="s">
        <v>336</v>
      </c>
      <c r="C33" s="1" t="s">
        <v>1502</v>
      </c>
      <c r="D33" s="1" t="s">
        <v>1503</v>
      </c>
    </row>
    <row r="34" spans="1:4" ht="33">
      <c r="A34" s="1" t="s">
        <v>1504</v>
      </c>
      <c r="B34" s="1" t="s">
        <v>457</v>
      </c>
      <c r="C34" s="1" t="s">
        <v>1505</v>
      </c>
      <c r="D34" s="1" t="s">
        <v>1506</v>
      </c>
    </row>
    <row r="35" spans="1:4" ht="33">
      <c r="A35" s="1" t="s">
        <v>1507</v>
      </c>
      <c r="B35" s="1" t="s">
        <v>1508</v>
      </c>
      <c r="C35" s="1" t="s">
        <v>1509</v>
      </c>
      <c r="D35" s="1" t="s">
        <v>1510</v>
      </c>
    </row>
    <row r="36" spans="1:4" ht="33">
      <c r="A36" s="1" t="s">
        <v>1511</v>
      </c>
      <c r="B36" s="1" t="s">
        <v>1512</v>
      </c>
      <c r="C36" s="1" t="s">
        <v>1513</v>
      </c>
      <c r="D36" s="1" t="s">
        <v>1514</v>
      </c>
    </row>
    <row r="37" spans="1:4" ht="33">
      <c r="A37" s="1" t="s">
        <v>1515</v>
      </c>
      <c r="B37" s="1" t="s">
        <v>956</v>
      </c>
      <c r="C37" s="1" t="s">
        <v>1516</v>
      </c>
      <c r="D37" s="1" t="s">
        <v>1517</v>
      </c>
    </row>
  </sheetData>
  <phoneticPr fontId="1" type="noConversion"/>
  <pageMargins left="0.7" right="0.7" top="0.75" bottom="0.75" header="0.3" footer="0.3"/>
  <tableParts count="1">
    <tablePart r:id="rId1"/>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5A645-0BC5-4EA0-8296-BD993239CFCD}">
  <sheetPr>
    <tabColor theme="8"/>
  </sheetPr>
  <dimension ref="A1:D31"/>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547</v>
      </c>
      <c r="D2" s="30" t="s">
        <v>547</v>
      </c>
    </row>
    <row r="3" spans="1:4">
      <c r="A3" s="7" t="s">
        <v>3</v>
      </c>
      <c r="B3" s="11" t="s">
        <v>216</v>
      </c>
      <c r="C3" s="1" t="s">
        <v>2306</v>
      </c>
      <c r="D3" s="30" t="s">
        <v>2306</v>
      </c>
    </row>
    <row r="4" spans="1:4">
      <c r="A4" s="7" t="s">
        <v>2</v>
      </c>
      <c r="B4" s="11" t="s">
        <v>217</v>
      </c>
      <c r="C4" s="1" t="s">
        <v>548</v>
      </c>
      <c r="D4" s="30" t="s">
        <v>165</v>
      </c>
    </row>
    <row r="5" spans="1:4" ht="49.5">
      <c r="A5" s="7" t="s">
        <v>241</v>
      </c>
      <c r="B5" s="13" t="s">
        <v>243</v>
      </c>
      <c r="C5" s="1" t="s">
        <v>549</v>
      </c>
      <c r="D5" s="30" t="s">
        <v>2322</v>
      </c>
    </row>
    <row r="6" spans="1:4" ht="66">
      <c r="A6" s="7" t="s">
        <v>242</v>
      </c>
      <c r="B6" s="13" t="s">
        <v>244</v>
      </c>
      <c r="C6" s="1" t="s">
        <v>550</v>
      </c>
      <c r="D6" s="30" t="s">
        <v>2323</v>
      </c>
    </row>
    <row r="7" spans="1:4" ht="49.5">
      <c r="A7" s="7" t="s">
        <v>196</v>
      </c>
      <c r="B7" s="12" t="s">
        <v>218</v>
      </c>
      <c r="C7" s="1" t="s">
        <v>551</v>
      </c>
      <c r="D7" s="6"/>
    </row>
    <row r="8" spans="1:4" ht="82.5">
      <c r="A8" s="7" t="s">
        <v>197</v>
      </c>
      <c r="B8" s="13" t="s">
        <v>232</v>
      </c>
      <c r="C8" s="1" t="s">
        <v>575</v>
      </c>
      <c r="D8" s="6" t="s">
        <v>576</v>
      </c>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555</v>
      </c>
      <c r="D11" s="30" t="s">
        <v>555</v>
      </c>
    </row>
    <row r="12" spans="1:4">
      <c r="A12" s="7" t="s">
        <v>180</v>
      </c>
      <c r="B12" s="11" t="s">
        <v>219</v>
      </c>
      <c r="C12">
        <v>2929101000</v>
      </c>
      <c r="D12" s="31">
        <v>2929101000</v>
      </c>
    </row>
    <row r="13" spans="1:4" ht="33">
      <c r="A13" s="7" t="s">
        <v>201</v>
      </c>
      <c r="B13" s="11" t="s">
        <v>229</v>
      </c>
      <c r="C13" s="1" t="s">
        <v>382</v>
      </c>
      <c r="D13" s="30" t="s">
        <v>382</v>
      </c>
    </row>
    <row r="14" spans="1:4" ht="33">
      <c r="A14" s="7" t="s">
        <v>202</v>
      </c>
      <c r="B14" s="11" t="s">
        <v>235</v>
      </c>
      <c r="C14" s="1" t="s">
        <v>210</v>
      </c>
      <c r="D14" s="6"/>
    </row>
    <row r="15" spans="1:4">
      <c r="A15" s="7" t="s">
        <v>203</v>
      </c>
      <c r="B15" s="11" t="s">
        <v>220</v>
      </c>
      <c r="C15" s="1" t="s">
        <v>552</v>
      </c>
      <c r="D15" s="6"/>
    </row>
    <row r="16" spans="1:4" ht="33">
      <c r="A16" s="7" t="s">
        <v>204</v>
      </c>
      <c r="B16" s="11" t="s">
        <v>233</v>
      </c>
      <c r="C16" s="1" t="s">
        <v>383</v>
      </c>
      <c r="D16" s="6"/>
    </row>
    <row r="17" spans="1:4" ht="33">
      <c r="A17" s="7" t="s">
        <v>205</v>
      </c>
      <c r="B17" s="11" t="s">
        <v>231</v>
      </c>
      <c r="C17" s="1" t="s">
        <v>221</v>
      </c>
      <c r="D17" s="6"/>
    </row>
    <row r="18" spans="1:4" ht="33">
      <c r="A18" s="7" t="s">
        <v>206</v>
      </c>
      <c r="B18" s="11" t="s">
        <v>234</v>
      </c>
      <c r="C18" s="1" t="s">
        <v>221</v>
      </c>
      <c r="D18" s="6"/>
    </row>
    <row r="19" spans="1:4" ht="33">
      <c r="A19" s="7" t="s">
        <v>207</v>
      </c>
      <c r="B19" s="11" t="s">
        <v>236</v>
      </c>
      <c r="C19" s="1" t="s">
        <v>292</v>
      </c>
      <c r="D19" s="6"/>
    </row>
    <row r="20" spans="1:4" ht="82.5">
      <c r="A20" s="8" t="s">
        <v>0</v>
      </c>
      <c r="B20" s="11" t="s">
        <v>223</v>
      </c>
      <c r="C20" s="1" t="s">
        <v>553</v>
      </c>
      <c r="D20" s="6"/>
    </row>
    <row r="21" spans="1:4">
      <c r="A21" s="7" t="s">
        <v>224</v>
      </c>
      <c r="B21" s="11"/>
      <c r="C21" s="1" t="s">
        <v>554</v>
      </c>
      <c r="D21" s="6"/>
    </row>
    <row r="22" spans="1:4">
      <c r="A22" s="9" t="s">
        <v>225</v>
      </c>
      <c r="B22" s="11"/>
      <c r="C22" s="1" t="s">
        <v>211</v>
      </c>
      <c r="D22" s="10"/>
    </row>
    <row r="24" spans="1:4">
      <c r="A24" t="s">
        <v>350</v>
      </c>
    </row>
    <row r="25" spans="1:4">
      <c r="A25" s="16" t="s">
        <v>327</v>
      </c>
      <c r="B25" s="16" t="s">
        <v>298</v>
      </c>
      <c r="C25" s="16" t="s">
        <v>328</v>
      </c>
      <c r="D25" s="16" t="s">
        <v>329</v>
      </c>
    </row>
    <row r="26" spans="1:4" ht="49.5">
      <c r="A26" s="18" t="s">
        <v>556</v>
      </c>
      <c r="B26" s="18" t="s">
        <v>340</v>
      </c>
      <c r="C26" s="18" t="s">
        <v>557</v>
      </c>
      <c r="D26" s="18" t="s">
        <v>558</v>
      </c>
    </row>
    <row r="27" spans="1:4" ht="33">
      <c r="A27" s="1" t="s">
        <v>559</v>
      </c>
      <c r="B27" s="1" t="s">
        <v>406</v>
      </c>
      <c r="C27" s="1" t="s">
        <v>560</v>
      </c>
      <c r="D27" s="1" t="s">
        <v>561</v>
      </c>
    </row>
    <row r="28" spans="1:4" ht="33">
      <c r="A28" s="1" t="s">
        <v>562</v>
      </c>
      <c r="B28" s="1" t="s">
        <v>564</v>
      </c>
      <c r="C28" s="1" t="s">
        <v>563</v>
      </c>
      <c r="D28" s="1" t="s">
        <v>565</v>
      </c>
    </row>
    <row r="29" spans="1:4" ht="33">
      <c r="A29" s="1" t="s">
        <v>566</v>
      </c>
      <c r="B29" s="1" t="s">
        <v>473</v>
      </c>
      <c r="C29" s="1" t="s">
        <v>567</v>
      </c>
      <c r="D29" s="1" t="s">
        <v>568</v>
      </c>
    </row>
    <row r="30" spans="1:4">
      <c r="A30" s="1" t="s">
        <v>569</v>
      </c>
      <c r="B30" s="1" t="s">
        <v>473</v>
      </c>
      <c r="C30" s="1" t="s">
        <v>570</v>
      </c>
      <c r="D30" s="1" t="s">
        <v>571</v>
      </c>
    </row>
    <row r="31" spans="1:4" ht="33">
      <c r="A31" s="1" t="s">
        <v>572</v>
      </c>
      <c r="B31" s="1" t="s">
        <v>348</v>
      </c>
      <c r="C31" s="1" t="s">
        <v>573</v>
      </c>
      <c r="D31" s="1" t="s">
        <v>574</v>
      </c>
    </row>
  </sheetData>
  <phoneticPr fontId="1" type="noConversion"/>
  <pageMargins left="0.7" right="0.7" top="0.75" bottom="0.75" header="0.3" footer="0.3"/>
  <tableParts count="1">
    <tablePart r:id="rId1"/>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4F3ED-1DC3-4D34-A948-FE5709751E22}">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166</v>
      </c>
      <c r="D2" s="36" t="s">
        <v>166</v>
      </c>
    </row>
    <row r="3" spans="1:4">
      <c r="A3" s="7" t="s">
        <v>3</v>
      </c>
      <c r="B3" s="11" t="s">
        <v>216</v>
      </c>
      <c r="C3" s="11" t="s">
        <v>2306</v>
      </c>
      <c r="D3" s="36" t="s">
        <v>2306</v>
      </c>
    </row>
    <row r="4" spans="1:4">
      <c r="A4" s="7" t="s">
        <v>2</v>
      </c>
      <c r="B4" s="11" t="s">
        <v>217</v>
      </c>
      <c r="C4" s="11" t="s">
        <v>169</v>
      </c>
      <c r="D4" s="36" t="s">
        <v>169</v>
      </c>
    </row>
    <row r="5" spans="1:4" ht="49.5">
      <c r="A5" s="7" t="s">
        <v>241</v>
      </c>
      <c r="B5" s="13" t="s">
        <v>243</v>
      </c>
      <c r="C5" s="1" t="s">
        <v>707</v>
      </c>
      <c r="D5" s="30" t="s">
        <v>2324</v>
      </c>
    </row>
    <row r="6" spans="1:4" ht="33">
      <c r="A6" s="7" t="s">
        <v>242</v>
      </c>
      <c r="B6" s="13" t="s">
        <v>244</v>
      </c>
      <c r="C6" s="1" t="s">
        <v>706</v>
      </c>
      <c r="D6" s="30" t="s">
        <v>2325</v>
      </c>
    </row>
    <row r="7" spans="1:4">
      <c r="A7" s="7" t="s">
        <v>196</v>
      </c>
      <c r="B7" s="12" t="s">
        <v>218</v>
      </c>
      <c r="C7" s="1" t="s">
        <v>705</v>
      </c>
      <c r="D7" s="6"/>
    </row>
    <row r="8" spans="1:4">
      <c r="A8" s="7" t="s">
        <v>197</v>
      </c>
      <c r="B8" s="13" t="s">
        <v>232</v>
      </c>
      <c r="C8" s="1" t="s">
        <v>704</v>
      </c>
      <c r="D8" s="6"/>
    </row>
    <row r="9" spans="1:4" ht="33">
      <c r="A9" s="7" t="s">
        <v>198</v>
      </c>
      <c r="B9" s="13" t="s">
        <v>230</v>
      </c>
      <c r="C9" s="20" t="s">
        <v>291</v>
      </c>
      <c r="D9" s="6"/>
    </row>
    <row r="10" spans="1:4" ht="33">
      <c r="A10" s="7" t="s">
        <v>199</v>
      </c>
      <c r="B10" s="11" t="s">
        <v>228</v>
      </c>
      <c r="C10" s="1" t="s">
        <v>288</v>
      </c>
      <c r="D10" s="30" t="s">
        <v>288</v>
      </c>
    </row>
    <row r="11" spans="1:4">
      <c r="A11" s="7" t="s">
        <v>200</v>
      </c>
      <c r="B11" s="11" t="s">
        <v>239</v>
      </c>
      <c r="C11" s="1" t="s">
        <v>2326</v>
      </c>
      <c r="D11" s="30" t="s">
        <v>2326</v>
      </c>
    </row>
    <row r="12" spans="1:4">
      <c r="A12" s="7" t="s">
        <v>180</v>
      </c>
      <c r="B12" s="11" t="s">
        <v>219</v>
      </c>
      <c r="C12" s="1">
        <v>2902410000</v>
      </c>
      <c r="D12" s="30">
        <v>2902410000</v>
      </c>
    </row>
    <row r="13" spans="1:4" ht="33">
      <c r="A13" s="7" t="s">
        <v>201</v>
      </c>
      <c r="B13" s="11" t="s">
        <v>229</v>
      </c>
      <c r="C13" s="1" t="s">
        <v>247</v>
      </c>
      <c r="D13" s="30" t="s">
        <v>247</v>
      </c>
    </row>
    <row r="14" spans="1:4" ht="33">
      <c r="A14" s="7" t="s">
        <v>202</v>
      </c>
      <c r="B14" s="11" t="s">
        <v>235</v>
      </c>
      <c r="C14" s="21" t="s">
        <v>288</v>
      </c>
      <c r="D14" s="6"/>
    </row>
    <row r="15" spans="1:4">
      <c r="A15" s="7" t="s">
        <v>203</v>
      </c>
      <c r="B15" s="11" t="s">
        <v>220</v>
      </c>
      <c r="C15" s="21" t="s">
        <v>687</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291</v>
      </c>
      <c r="D18" s="6"/>
    </row>
    <row r="19" spans="1:4" ht="33">
      <c r="A19" s="7" t="s">
        <v>207</v>
      </c>
      <c r="B19" s="11" t="s">
        <v>236</v>
      </c>
      <c r="C19" s="1" t="s">
        <v>212</v>
      </c>
      <c r="D19" s="6"/>
    </row>
    <row r="20" spans="1:4" ht="66">
      <c r="A20" s="8" t="s">
        <v>0</v>
      </c>
      <c r="B20" s="11" t="s">
        <v>223</v>
      </c>
      <c r="C20" s="1" t="s">
        <v>703</v>
      </c>
      <c r="D20" s="6"/>
    </row>
    <row r="21" spans="1:4" ht="33">
      <c r="A21" s="7" t="s">
        <v>224</v>
      </c>
      <c r="B21" s="11"/>
      <c r="C21" s="14" t="s">
        <v>702</v>
      </c>
      <c r="D21" s="6"/>
    </row>
    <row r="22" spans="1:4" ht="33">
      <c r="A22" s="9" t="s">
        <v>225</v>
      </c>
      <c r="B22" s="11"/>
      <c r="C22" s="1" t="s">
        <v>701</v>
      </c>
      <c r="D22" s="10"/>
    </row>
  </sheetData>
  <phoneticPr fontId="1" type="noConversion"/>
  <pageMargins left="0.7" right="0.7" top="0.75" bottom="0.75" header="0.3" footer="0.3"/>
  <tableParts count="1">
    <tablePart r:id="rId1"/>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93531-5D50-43CB-93E8-88B92FB46A3E}">
  <sheetPr>
    <tabColor theme="8"/>
  </sheetPr>
  <dimension ref="A1:D40"/>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173</v>
      </c>
      <c r="D2" s="30" t="s">
        <v>173</v>
      </c>
    </row>
    <row r="3" spans="1:4">
      <c r="A3" s="7" t="s">
        <v>3</v>
      </c>
      <c r="B3" s="11" t="s">
        <v>216</v>
      </c>
      <c r="C3" s="1" t="s">
        <v>2306</v>
      </c>
      <c r="D3" s="30" t="s">
        <v>2306</v>
      </c>
    </row>
    <row r="4" spans="1:4">
      <c r="A4" s="7" t="s">
        <v>2</v>
      </c>
      <c r="B4" s="11" t="s">
        <v>217</v>
      </c>
      <c r="C4" s="1" t="s">
        <v>1518</v>
      </c>
      <c r="D4" s="30" t="s">
        <v>138</v>
      </c>
    </row>
    <row r="5" spans="1:4" ht="66">
      <c r="A5" s="7" t="s">
        <v>241</v>
      </c>
      <c r="B5" s="13" t="s">
        <v>243</v>
      </c>
      <c r="C5" s="1" t="s">
        <v>1519</v>
      </c>
      <c r="D5" s="30" t="s">
        <v>2316</v>
      </c>
    </row>
    <row r="6" spans="1:4" ht="82.5">
      <c r="A6" s="7" t="s">
        <v>242</v>
      </c>
      <c r="B6" s="13" t="s">
        <v>244</v>
      </c>
      <c r="C6" s="1" t="s">
        <v>1520</v>
      </c>
      <c r="D6" s="30" t="s">
        <v>2317</v>
      </c>
    </row>
    <row r="7" spans="1:4" ht="33">
      <c r="A7" s="7" t="s">
        <v>196</v>
      </c>
      <c r="B7" s="12" t="s">
        <v>218</v>
      </c>
      <c r="C7" s="1" t="s">
        <v>1521</v>
      </c>
      <c r="D7" s="6"/>
    </row>
    <row r="8" spans="1:4" ht="181.5">
      <c r="A8" s="7" t="s">
        <v>197</v>
      </c>
      <c r="B8" s="13" t="s">
        <v>232</v>
      </c>
      <c r="C8" s="1" t="s">
        <v>1582</v>
      </c>
      <c r="D8" s="6"/>
    </row>
    <row r="9" spans="1:4" ht="33">
      <c r="A9" s="7" t="s">
        <v>198</v>
      </c>
      <c r="B9" s="13" t="s">
        <v>230</v>
      </c>
      <c r="C9" s="1" t="s">
        <v>1522</v>
      </c>
      <c r="D9" s="6"/>
    </row>
    <row r="10" spans="1:4" ht="33">
      <c r="A10" s="7" t="s">
        <v>199</v>
      </c>
      <c r="B10" s="11" t="s">
        <v>228</v>
      </c>
      <c r="C10" s="1" t="s">
        <v>210</v>
      </c>
      <c r="D10" s="30" t="s">
        <v>210</v>
      </c>
    </row>
    <row r="11" spans="1:4">
      <c r="A11" s="7" t="s">
        <v>200</v>
      </c>
      <c r="B11" s="11" t="s">
        <v>239</v>
      </c>
      <c r="C11" s="1" t="s">
        <v>1526</v>
      </c>
      <c r="D11" s="30" t="s">
        <v>1526</v>
      </c>
    </row>
    <row r="12" spans="1:4">
      <c r="A12" s="7" t="s">
        <v>180</v>
      </c>
      <c r="B12" s="11" t="s">
        <v>219</v>
      </c>
      <c r="C12" s="1">
        <v>2917360000</v>
      </c>
      <c r="D12" s="30">
        <v>2917360000</v>
      </c>
    </row>
    <row r="13" spans="1:4" ht="33">
      <c r="A13" s="7" t="s">
        <v>201</v>
      </c>
      <c r="B13" s="11" t="s">
        <v>229</v>
      </c>
      <c r="C13" s="1" t="s">
        <v>247</v>
      </c>
      <c r="D13" s="30" t="s">
        <v>247</v>
      </c>
    </row>
    <row r="14" spans="1:4" ht="33">
      <c r="A14" s="7" t="s">
        <v>202</v>
      </c>
      <c r="B14" s="11" t="s">
        <v>235</v>
      </c>
      <c r="C14" s="1" t="s">
        <v>210</v>
      </c>
      <c r="D14" s="6"/>
    </row>
    <row r="15" spans="1:4">
      <c r="A15" s="7" t="s">
        <v>203</v>
      </c>
      <c r="B15" s="11" t="s">
        <v>220</v>
      </c>
      <c r="C15" s="1" t="s">
        <v>1523</v>
      </c>
      <c r="D15" s="6"/>
    </row>
    <row r="16" spans="1:4" ht="33">
      <c r="A16" s="7" t="s">
        <v>204</v>
      </c>
      <c r="B16" s="11" t="s">
        <v>233</v>
      </c>
      <c r="C16" s="1" t="s">
        <v>383</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212</v>
      </c>
      <c r="D19" s="6"/>
    </row>
    <row r="20" spans="1:4" ht="82.5">
      <c r="A20" s="8" t="s">
        <v>0</v>
      </c>
      <c r="B20" s="11" t="s">
        <v>223</v>
      </c>
      <c r="C20" s="1" t="s">
        <v>1524</v>
      </c>
      <c r="D20" s="6"/>
    </row>
    <row r="21" spans="1:4" ht="33">
      <c r="A21" s="7" t="s">
        <v>224</v>
      </c>
      <c r="B21" s="11"/>
      <c r="C21" s="1" t="s">
        <v>1525</v>
      </c>
      <c r="D21" s="6"/>
    </row>
    <row r="22" spans="1:4">
      <c r="A22" s="9" t="s">
        <v>225</v>
      </c>
      <c r="B22" s="11"/>
      <c r="C22" s="14" t="s">
        <v>1141</v>
      </c>
      <c r="D22" s="10"/>
    </row>
    <row r="25" spans="1:4">
      <c r="A25" s="16" t="s">
        <v>327</v>
      </c>
      <c r="B25" s="16" t="s">
        <v>984</v>
      </c>
      <c r="C25" s="16" t="s">
        <v>328</v>
      </c>
      <c r="D25" s="16" t="s">
        <v>329</v>
      </c>
    </row>
    <row r="26" spans="1:4" ht="49.5">
      <c r="A26" s="1" t="s">
        <v>392</v>
      </c>
      <c r="B26" s="1" t="s">
        <v>1527</v>
      </c>
      <c r="C26" s="1" t="s">
        <v>1528</v>
      </c>
      <c r="D26" s="1" t="s">
        <v>1529</v>
      </c>
    </row>
    <row r="27" spans="1:4" ht="49.5">
      <c r="A27" s="1" t="s">
        <v>396</v>
      </c>
      <c r="B27" s="1" t="s">
        <v>1530</v>
      </c>
      <c r="C27" s="1" t="s">
        <v>1531</v>
      </c>
      <c r="D27" s="1" t="s">
        <v>1532</v>
      </c>
    </row>
    <row r="28" spans="1:4" ht="33">
      <c r="A28" s="1" t="s">
        <v>1533</v>
      </c>
      <c r="B28" s="1" t="s">
        <v>1534</v>
      </c>
      <c r="C28" s="1" t="s">
        <v>1535</v>
      </c>
      <c r="D28" s="1" t="s">
        <v>1536</v>
      </c>
    </row>
    <row r="29" spans="1:4" ht="33">
      <c r="A29" s="1" t="s">
        <v>400</v>
      </c>
      <c r="B29" s="1" t="s">
        <v>1537</v>
      </c>
      <c r="C29" s="1" t="s">
        <v>1538</v>
      </c>
      <c r="D29" s="1" t="s">
        <v>1539</v>
      </c>
    </row>
    <row r="30" spans="1:4" ht="33">
      <c r="A30" s="1" t="s">
        <v>1540</v>
      </c>
      <c r="B30" s="1" t="s">
        <v>1541</v>
      </c>
      <c r="C30" s="1" t="s">
        <v>1542</v>
      </c>
      <c r="D30" s="1" t="s">
        <v>1543</v>
      </c>
    </row>
    <row r="31" spans="1:4" ht="49.5">
      <c r="A31" s="1" t="s">
        <v>1544</v>
      </c>
      <c r="B31" s="1" t="s">
        <v>1545</v>
      </c>
      <c r="C31" s="1" t="s">
        <v>1546</v>
      </c>
      <c r="D31" s="1" t="s">
        <v>1547</v>
      </c>
    </row>
    <row r="32" spans="1:4" ht="33">
      <c r="A32" s="1" t="s">
        <v>1548</v>
      </c>
      <c r="B32" s="1" t="s">
        <v>1549</v>
      </c>
      <c r="C32" s="1" t="s">
        <v>1550</v>
      </c>
      <c r="D32" s="1" t="s">
        <v>1551</v>
      </c>
    </row>
    <row r="33" spans="1:4" ht="49.5">
      <c r="A33" s="1" t="s">
        <v>1552</v>
      </c>
      <c r="B33" s="1" t="s">
        <v>1553</v>
      </c>
      <c r="C33" s="1" t="s">
        <v>1554</v>
      </c>
      <c r="D33" s="1" t="s">
        <v>1555</v>
      </c>
    </row>
    <row r="34" spans="1:4" ht="33">
      <c r="A34" s="1" t="s">
        <v>1556</v>
      </c>
      <c r="B34" s="1" t="s">
        <v>1557</v>
      </c>
      <c r="C34" s="1" t="s">
        <v>1558</v>
      </c>
      <c r="D34" s="1" t="s">
        <v>1559</v>
      </c>
    </row>
    <row r="35" spans="1:4" ht="49.5">
      <c r="A35" s="1" t="s">
        <v>1560</v>
      </c>
      <c r="B35" s="1" t="s">
        <v>1561</v>
      </c>
      <c r="C35" s="1" t="s">
        <v>1562</v>
      </c>
      <c r="D35" s="1" t="s">
        <v>1563</v>
      </c>
    </row>
    <row r="36" spans="1:4" ht="33">
      <c r="A36" s="1" t="s">
        <v>1564</v>
      </c>
      <c r="B36" s="1" t="s">
        <v>998</v>
      </c>
      <c r="C36" s="1" t="s">
        <v>1565</v>
      </c>
      <c r="D36" s="1" t="s">
        <v>1566</v>
      </c>
    </row>
    <row r="37" spans="1:4" ht="49.5">
      <c r="A37" s="1" t="s">
        <v>1567</v>
      </c>
      <c r="B37" s="1" t="s">
        <v>1568</v>
      </c>
      <c r="C37" s="1" t="s">
        <v>1569</v>
      </c>
      <c r="D37" s="1" t="s">
        <v>1570</v>
      </c>
    </row>
    <row r="38" spans="1:4" ht="33">
      <c r="A38" s="1" t="s">
        <v>1571</v>
      </c>
      <c r="B38" s="1" t="s">
        <v>1572</v>
      </c>
      <c r="C38" s="1" t="s">
        <v>1573</v>
      </c>
      <c r="D38" s="1" t="s">
        <v>1574</v>
      </c>
    </row>
    <row r="39" spans="1:4" ht="33">
      <c r="A39" s="1" t="s">
        <v>1575</v>
      </c>
      <c r="B39" s="1" t="s">
        <v>994</v>
      </c>
      <c r="C39" s="1" t="s">
        <v>1576</v>
      </c>
      <c r="D39" s="1" t="s">
        <v>1577</v>
      </c>
    </row>
    <row r="40" spans="1:4" ht="33">
      <c r="A40" s="1" t="s">
        <v>1578</v>
      </c>
      <c r="B40" s="1" t="s">
        <v>1579</v>
      </c>
      <c r="C40" s="1" t="s">
        <v>1580</v>
      </c>
      <c r="D40" s="1" t="s">
        <v>1581</v>
      </c>
    </row>
  </sheetData>
  <phoneticPr fontId="1" type="noConversion"/>
  <hyperlinks>
    <hyperlink ref="C22" r:id="rId1" xr:uid="{2EF0777D-D2AC-4BDD-9807-261B179ADD18}"/>
  </hyperlinks>
  <pageMargins left="0.7" right="0.7" top="0.75" bottom="0.75" header="0.3" footer="0.3"/>
  <tableParts count="1">
    <tablePart r:id="rId2"/>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ECDE0-A363-4435-A0AC-C8F6712B2AEE}">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167</v>
      </c>
      <c r="D2" s="36" t="s">
        <v>167</v>
      </c>
    </row>
    <row r="3" spans="1:4">
      <c r="A3" s="7" t="s">
        <v>3</v>
      </c>
      <c r="B3" s="11" t="s">
        <v>216</v>
      </c>
      <c r="C3" s="11" t="s">
        <v>2306</v>
      </c>
      <c r="D3" s="36" t="s">
        <v>2306</v>
      </c>
    </row>
    <row r="4" spans="1:4">
      <c r="A4" s="7" t="s">
        <v>2</v>
      </c>
      <c r="B4" s="11" t="s">
        <v>217</v>
      </c>
      <c r="C4" s="11" t="s">
        <v>170</v>
      </c>
      <c r="D4" s="36" t="s">
        <v>170</v>
      </c>
    </row>
    <row r="5" spans="1:4" ht="49.5">
      <c r="A5" s="7" t="s">
        <v>241</v>
      </c>
      <c r="B5" s="13" t="s">
        <v>243</v>
      </c>
      <c r="C5" s="1" t="s">
        <v>712</v>
      </c>
      <c r="D5" s="30" t="s">
        <v>2327</v>
      </c>
    </row>
    <row r="6" spans="1:4" ht="33">
      <c r="A6" s="7" t="s">
        <v>242</v>
      </c>
      <c r="B6" s="13" t="s">
        <v>244</v>
      </c>
      <c r="C6" s="1" t="s">
        <v>711</v>
      </c>
      <c r="D6" s="30" t="s">
        <v>2329</v>
      </c>
    </row>
    <row r="7" spans="1:4">
      <c r="A7" s="7" t="s">
        <v>196</v>
      </c>
      <c r="B7" s="12" t="s">
        <v>218</v>
      </c>
      <c r="C7" s="1" t="s">
        <v>710</v>
      </c>
      <c r="D7" s="6"/>
    </row>
    <row r="8" spans="1:4">
      <c r="A8" s="7" t="s">
        <v>197</v>
      </c>
      <c r="B8" s="13" t="s">
        <v>232</v>
      </c>
      <c r="C8" s="1" t="s">
        <v>709</v>
      </c>
      <c r="D8" s="6"/>
    </row>
    <row r="9" spans="1:4" ht="33">
      <c r="A9" s="7" t="s">
        <v>198</v>
      </c>
      <c r="B9" s="13" t="s">
        <v>230</v>
      </c>
      <c r="C9" s="20" t="s">
        <v>252</v>
      </c>
      <c r="D9" s="6"/>
    </row>
    <row r="10" spans="1:4" ht="33">
      <c r="A10" s="7" t="s">
        <v>199</v>
      </c>
      <c r="B10" s="11" t="s">
        <v>228</v>
      </c>
      <c r="C10" s="1" t="s">
        <v>288</v>
      </c>
      <c r="D10" s="30" t="s">
        <v>288</v>
      </c>
    </row>
    <row r="11" spans="1:4">
      <c r="A11" s="7" t="s">
        <v>200</v>
      </c>
      <c r="B11" s="11" t="s">
        <v>239</v>
      </c>
      <c r="C11" s="1" t="s">
        <v>2330</v>
      </c>
      <c r="D11" s="30" t="s">
        <v>2330</v>
      </c>
    </row>
    <row r="12" spans="1:4">
      <c r="A12" s="7" t="s">
        <v>180</v>
      </c>
      <c r="B12" s="11" t="s">
        <v>219</v>
      </c>
      <c r="C12" s="1">
        <v>2902420000</v>
      </c>
      <c r="D12" s="30">
        <v>2902420000</v>
      </c>
    </row>
    <row r="13" spans="1:4" ht="33">
      <c r="A13" s="7" t="s">
        <v>201</v>
      </c>
      <c r="B13" s="11" t="s">
        <v>229</v>
      </c>
      <c r="C13" s="1" t="s">
        <v>296</v>
      </c>
      <c r="D13" s="30" t="s">
        <v>296</v>
      </c>
    </row>
    <row r="14" spans="1:4" ht="33">
      <c r="A14" s="7" t="s">
        <v>202</v>
      </c>
      <c r="B14" s="11" t="s">
        <v>235</v>
      </c>
      <c r="C14" s="21" t="s">
        <v>288</v>
      </c>
      <c r="D14" s="6"/>
    </row>
    <row r="15" spans="1:4">
      <c r="A15" s="7" t="s">
        <v>203</v>
      </c>
      <c r="B15" s="11" t="s">
        <v>220</v>
      </c>
      <c r="C15" s="21" t="s">
        <v>687</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66">
      <c r="A20" s="8" t="s">
        <v>0</v>
      </c>
      <c r="B20" s="11" t="s">
        <v>223</v>
      </c>
      <c r="C20" s="1" t="s">
        <v>708</v>
      </c>
      <c r="D20" s="6"/>
    </row>
    <row r="21" spans="1:4" ht="33">
      <c r="A21" s="7" t="s">
        <v>224</v>
      </c>
      <c r="B21" s="11"/>
      <c r="C21" s="14" t="s">
        <v>702</v>
      </c>
      <c r="D21" s="6"/>
    </row>
    <row r="22" spans="1:4" ht="33">
      <c r="A22" s="9" t="s">
        <v>225</v>
      </c>
      <c r="B22" s="11"/>
      <c r="C22" s="1" t="s">
        <v>701</v>
      </c>
      <c r="D22" s="10"/>
    </row>
  </sheetData>
  <phoneticPr fontId="1" type="noConversion"/>
  <pageMargins left="0.7" right="0.7" top="0.75" bottom="0.75" header="0.3" footer="0.3"/>
  <tableParts count="1">
    <tablePart r:id="rId1"/>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5B092-3162-4FDC-A44D-8CD77EA5CA21}">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168</v>
      </c>
      <c r="D2" s="36" t="s">
        <v>168</v>
      </c>
    </row>
    <row r="3" spans="1:4">
      <c r="A3" s="7" t="s">
        <v>3</v>
      </c>
      <c r="B3" s="11" t="s">
        <v>216</v>
      </c>
      <c r="C3" s="11" t="s">
        <v>2306</v>
      </c>
      <c r="D3" s="36" t="s">
        <v>2306</v>
      </c>
    </row>
    <row r="4" spans="1:4">
      <c r="A4" s="7" t="s">
        <v>2</v>
      </c>
      <c r="B4" s="11" t="s">
        <v>217</v>
      </c>
      <c r="C4" s="11" t="s">
        <v>171</v>
      </c>
      <c r="D4" s="36" t="s">
        <v>171</v>
      </c>
    </row>
    <row r="5" spans="1:4" ht="49.5">
      <c r="A5" s="7" t="s">
        <v>241</v>
      </c>
      <c r="B5" s="13" t="s">
        <v>243</v>
      </c>
      <c r="C5" s="1" t="s">
        <v>718</v>
      </c>
      <c r="D5" s="30" t="s">
        <v>2332</v>
      </c>
    </row>
    <row r="6" spans="1:4" ht="49.5">
      <c r="A6" s="7" t="s">
        <v>242</v>
      </c>
      <c r="B6" s="13" t="s">
        <v>244</v>
      </c>
      <c r="C6" s="1" t="s">
        <v>717</v>
      </c>
      <c r="D6" s="30" t="s">
        <v>2328</v>
      </c>
    </row>
    <row r="7" spans="1:4">
      <c r="A7" s="7" t="s">
        <v>196</v>
      </c>
      <c r="B7" s="12" t="s">
        <v>218</v>
      </c>
      <c r="C7" s="1" t="s">
        <v>716</v>
      </c>
      <c r="D7" s="6"/>
    </row>
    <row r="8" spans="1:4">
      <c r="A8" s="7" t="s">
        <v>197</v>
      </c>
      <c r="B8" s="13" t="s">
        <v>232</v>
      </c>
      <c r="C8" s="1" t="s">
        <v>715</v>
      </c>
      <c r="D8" s="6"/>
    </row>
    <row r="9" spans="1:4" ht="33">
      <c r="A9" s="7" t="s">
        <v>198</v>
      </c>
      <c r="B9" s="13" t="s">
        <v>230</v>
      </c>
      <c r="C9" s="20" t="s">
        <v>291</v>
      </c>
      <c r="D9" s="6"/>
    </row>
    <row r="10" spans="1:4" ht="33">
      <c r="A10" s="7" t="s">
        <v>199</v>
      </c>
      <c r="B10" s="11" t="s">
        <v>228</v>
      </c>
      <c r="C10" s="1" t="s">
        <v>288</v>
      </c>
      <c r="D10" s="37"/>
    </row>
    <row r="11" spans="1:4" ht="49.5">
      <c r="A11" s="7" t="s">
        <v>200</v>
      </c>
      <c r="B11" s="11" t="s">
        <v>239</v>
      </c>
      <c r="C11" s="1" t="s">
        <v>2331</v>
      </c>
      <c r="D11" s="30" t="s">
        <v>2331</v>
      </c>
    </row>
    <row r="12" spans="1:4">
      <c r="A12" s="7" t="s">
        <v>180</v>
      </c>
      <c r="B12" s="11" t="s">
        <v>219</v>
      </c>
      <c r="C12" s="1">
        <v>2902430000</v>
      </c>
      <c r="D12" s="30">
        <v>2902430000</v>
      </c>
    </row>
    <row r="13" spans="1:4" ht="33">
      <c r="A13" s="7" t="s">
        <v>201</v>
      </c>
      <c r="B13" s="11" t="s">
        <v>229</v>
      </c>
      <c r="C13" s="1" t="s">
        <v>247</v>
      </c>
      <c r="D13" s="30" t="s">
        <v>247</v>
      </c>
    </row>
    <row r="14" spans="1:4" ht="33">
      <c r="A14" s="7" t="s">
        <v>202</v>
      </c>
      <c r="B14" s="11" t="s">
        <v>235</v>
      </c>
      <c r="C14" s="21" t="s">
        <v>288</v>
      </c>
      <c r="D14" s="6"/>
    </row>
    <row r="15" spans="1:4">
      <c r="A15" s="7" t="s">
        <v>203</v>
      </c>
      <c r="B15" s="11" t="s">
        <v>220</v>
      </c>
      <c r="C15" s="21" t="s">
        <v>687</v>
      </c>
      <c r="D15" s="6"/>
    </row>
    <row r="16" spans="1:4" ht="33">
      <c r="A16" s="7" t="s">
        <v>204</v>
      </c>
      <c r="B16" s="11" t="s">
        <v>233</v>
      </c>
      <c r="C16" s="20" t="s">
        <v>222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66">
      <c r="A20" s="8" t="s">
        <v>0</v>
      </c>
      <c r="B20" s="11" t="s">
        <v>223</v>
      </c>
      <c r="C20" s="1" t="s">
        <v>714</v>
      </c>
      <c r="D20" s="6"/>
    </row>
    <row r="21" spans="1:4" ht="33">
      <c r="A21" s="7" t="s">
        <v>224</v>
      </c>
      <c r="B21" s="11"/>
      <c r="C21" s="14" t="s">
        <v>713</v>
      </c>
      <c r="D21" s="6"/>
    </row>
    <row r="22" spans="1:4" ht="33">
      <c r="A22" s="9" t="s">
        <v>225</v>
      </c>
      <c r="B22" s="11"/>
      <c r="C22" s="1" t="s">
        <v>684</v>
      </c>
      <c r="D22" s="10"/>
    </row>
  </sheetData>
  <phoneticPr fontId="1" type="noConversion"/>
  <pageMargins left="0.7" right="0.7" top="0.75" bottom="0.75" header="0.3" footer="0.3"/>
  <tableParts count="1">
    <tablePart r:id="rId1"/>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1A7D5-F010-42CC-BD8C-3CFEAE8A56EF}">
  <sheetPr>
    <tabColor theme="8"/>
  </sheetPr>
  <dimension ref="A1:D34"/>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722</v>
      </c>
      <c r="D2" s="36" t="s">
        <v>722</v>
      </c>
    </row>
    <row r="3" spans="1:4">
      <c r="A3" s="7" t="s">
        <v>3</v>
      </c>
      <c r="B3" s="11" t="s">
        <v>216</v>
      </c>
      <c r="C3" s="11" t="s">
        <v>2306</v>
      </c>
      <c r="D3" s="36" t="s">
        <v>2306</v>
      </c>
    </row>
    <row r="4" spans="1:4">
      <c r="A4" s="7" t="s">
        <v>2</v>
      </c>
      <c r="B4" s="11" t="s">
        <v>217</v>
      </c>
      <c r="C4" s="11" t="s">
        <v>721</v>
      </c>
      <c r="D4" s="36" t="s">
        <v>137</v>
      </c>
    </row>
    <row r="5" spans="1:4" ht="49.5">
      <c r="A5" s="7" t="s">
        <v>241</v>
      </c>
      <c r="B5" s="13" t="s">
        <v>243</v>
      </c>
      <c r="C5" s="1" t="s">
        <v>2335</v>
      </c>
      <c r="D5" s="30" t="s">
        <v>2339</v>
      </c>
    </row>
    <row r="6" spans="1:4" ht="66">
      <c r="A6" s="7" t="s">
        <v>242</v>
      </c>
      <c r="B6" s="13" t="s">
        <v>244</v>
      </c>
      <c r="C6" s="1" t="s">
        <v>2336</v>
      </c>
      <c r="D6" s="30" t="s">
        <v>2340</v>
      </c>
    </row>
    <row r="7" spans="1:4" ht="49.5">
      <c r="A7" s="7" t="s">
        <v>196</v>
      </c>
      <c r="B7" s="12" t="s">
        <v>218</v>
      </c>
      <c r="C7" s="1" t="s">
        <v>2334</v>
      </c>
      <c r="D7" s="6"/>
    </row>
    <row r="8" spans="1:4" ht="82.5">
      <c r="A8" s="7" t="s">
        <v>197</v>
      </c>
      <c r="B8" s="13" t="s">
        <v>232</v>
      </c>
      <c r="C8" s="1" t="s">
        <v>2337</v>
      </c>
      <c r="D8" s="6"/>
    </row>
    <row r="9" spans="1:4" ht="33">
      <c r="A9" s="7" t="s">
        <v>198</v>
      </c>
      <c r="B9" s="13" t="s">
        <v>230</v>
      </c>
      <c r="C9" s="20" t="s">
        <v>252</v>
      </c>
      <c r="D9" s="6"/>
    </row>
    <row r="10" spans="1:4" ht="33">
      <c r="A10" s="7" t="s">
        <v>199</v>
      </c>
      <c r="B10" s="11" t="s">
        <v>228</v>
      </c>
      <c r="C10" s="1" t="s">
        <v>288</v>
      </c>
      <c r="D10" s="30" t="s">
        <v>288</v>
      </c>
    </row>
    <row r="11" spans="1:4">
      <c r="A11" s="7" t="s">
        <v>200</v>
      </c>
      <c r="B11" s="11" t="s">
        <v>239</v>
      </c>
      <c r="C11" s="1" t="s">
        <v>2333</v>
      </c>
      <c r="D11" s="30" t="s">
        <v>2333</v>
      </c>
    </row>
    <row r="12" spans="1:4">
      <c r="A12" s="7" t="s">
        <v>180</v>
      </c>
      <c r="B12" s="11" t="s">
        <v>219</v>
      </c>
      <c r="C12" s="1" t="s">
        <v>270</v>
      </c>
      <c r="D12" s="30" t="s">
        <v>270</v>
      </c>
    </row>
    <row r="13" spans="1:4" ht="33">
      <c r="A13" s="7" t="s">
        <v>201</v>
      </c>
      <c r="B13" s="11" t="s">
        <v>229</v>
      </c>
      <c r="C13" s="1" t="s">
        <v>270</v>
      </c>
      <c r="D13" s="30" t="s">
        <v>270</v>
      </c>
    </row>
    <row r="14" spans="1:4" ht="33">
      <c r="A14" s="7" t="s">
        <v>202</v>
      </c>
      <c r="B14" s="11" t="s">
        <v>235</v>
      </c>
      <c r="C14" s="21" t="s">
        <v>288</v>
      </c>
      <c r="D14" s="21"/>
    </row>
    <row r="15" spans="1:4">
      <c r="A15" s="7" t="s">
        <v>203</v>
      </c>
      <c r="B15" s="11" t="s">
        <v>220</v>
      </c>
      <c r="C15" s="21" t="s">
        <v>2341</v>
      </c>
      <c r="D15" s="6"/>
    </row>
    <row r="16" spans="1:4" ht="33">
      <c r="A16" s="7" t="s">
        <v>204</v>
      </c>
      <c r="B16" s="11" t="s">
        <v>233</v>
      </c>
      <c r="C16" s="20" t="s">
        <v>252</v>
      </c>
      <c r="D16" s="6"/>
    </row>
    <row r="17" spans="1:4" ht="33">
      <c r="A17" s="7" t="s">
        <v>205</v>
      </c>
      <c r="B17" s="11" t="s">
        <v>231</v>
      </c>
      <c r="C17" s="1" t="s">
        <v>222</v>
      </c>
      <c r="D17" s="6"/>
    </row>
    <row r="18" spans="1:4" ht="33">
      <c r="A18" s="7" t="s">
        <v>206</v>
      </c>
      <c r="B18" s="11" t="s">
        <v>234</v>
      </c>
      <c r="C18" s="20" t="s">
        <v>252</v>
      </c>
      <c r="D18" s="6"/>
    </row>
    <row r="19" spans="1:4" ht="33">
      <c r="A19" s="7" t="s">
        <v>207</v>
      </c>
      <c r="B19" s="11" t="s">
        <v>236</v>
      </c>
      <c r="C19" s="1" t="s">
        <v>212</v>
      </c>
      <c r="D19" s="6"/>
    </row>
    <row r="20" spans="1:4" ht="33">
      <c r="A20" s="8" t="s">
        <v>0</v>
      </c>
      <c r="B20" s="11" t="s">
        <v>223</v>
      </c>
      <c r="C20" s="1" t="s">
        <v>2338</v>
      </c>
      <c r="D20" s="6"/>
    </row>
    <row r="21" spans="1:4" ht="49.5">
      <c r="A21" s="7" t="s">
        <v>224</v>
      </c>
      <c r="B21" s="11"/>
      <c r="C21" s="14" t="s">
        <v>720</v>
      </c>
      <c r="D21" s="6"/>
    </row>
    <row r="22" spans="1:4" ht="33">
      <c r="A22" s="9" t="s">
        <v>225</v>
      </c>
      <c r="B22" s="11"/>
      <c r="C22" s="1" t="s">
        <v>719</v>
      </c>
      <c r="D22" s="10"/>
    </row>
    <row r="24" spans="1:4">
      <c r="A24" s="16" t="s">
        <v>327</v>
      </c>
      <c r="B24" s="16" t="s">
        <v>984</v>
      </c>
      <c r="C24" s="16" t="s">
        <v>328</v>
      </c>
      <c r="D24" s="16" t="s">
        <v>329</v>
      </c>
    </row>
    <row r="25" spans="1:4" ht="49.5">
      <c r="A25" s="1" t="s">
        <v>2342</v>
      </c>
      <c r="B25" s="1" t="s">
        <v>960</v>
      </c>
      <c r="C25" s="1" t="s">
        <v>2343</v>
      </c>
      <c r="D25" s="1" t="s">
        <v>2344</v>
      </c>
    </row>
    <row r="26" spans="1:4" ht="49.5">
      <c r="A26" s="1" t="s">
        <v>2345</v>
      </c>
      <c r="B26" s="1" t="s">
        <v>340</v>
      </c>
      <c r="C26" s="1" t="s">
        <v>2346</v>
      </c>
      <c r="D26" s="1" t="s">
        <v>2135</v>
      </c>
    </row>
    <row r="27" spans="1:4" ht="49.5">
      <c r="A27" s="1" t="s">
        <v>411</v>
      </c>
      <c r="B27" s="1" t="s">
        <v>336</v>
      </c>
      <c r="C27" s="1" t="s">
        <v>2347</v>
      </c>
      <c r="D27" s="1" t="s">
        <v>2348</v>
      </c>
    </row>
    <row r="28" spans="1:4" ht="49.5">
      <c r="A28" s="1" t="s">
        <v>2349</v>
      </c>
      <c r="B28" s="1" t="s">
        <v>336</v>
      </c>
      <c r="C28" s="1" t="s">
        <v>2350</v>
      </c>
      <c r="D28" s="1" t="s">
        <v>1787</v>
      </c>
    </row>
    <row r="29" spans="1:4" ht="49.5">
      <c r="A29" s="1" t="s">
        <v>2351</v>
      </c>
      <c r="B29" s="1" t="s">
        <v>348</v>
      </c>
      <c r="C29" s="1" t="s">
        <v>2352</v>
      </c>
      <c r="D29" s="1" t="s">
        <v>2353</v>
      </c>
    </row>
    <row r="30" spans="1:4" ht="49.5">
      <c r="A30" s="1" t="s">
        <v>2354</v>
      </c>
      <c r="B30" s="1" t="s">
        <v>406</v>
      </c>
      <c r="C30" s="1" t="s">
        <v>2355</v>
      </c>
      <c r="D30" s="1" t="s">
        <v>2159</v>
      </c>
    </row>
    <row r="31" spans="1:4" ht="49.5">
      <c r="A31" s="1" t="s">
        <v>2356</v>
      </c>
      <c r="B31" s="1" t="s">
        <v>348</v>
      </c>
      <c r="C31" s="1" t="s">
        <v>2357</v>
      </c>
      <c r="D31" s="1" t="s">
        <v>2358</v>
      </c>
    </row>
    <row r="32" spans="1:4" ht="49.5">
      <c r="A32" s="1" t="s">
        <v>2359</v>
      </c>
      <c r="B32" s="1" t="s">
        <v>348</v>
      </c>
      <c r="C32" s="1" t="s">
        <v>2360</v>
      </c>
      <c r="D32" s="1" t="s">
        <v>2361</v>
      </c>
    </row>
    <row r="33" spans="1:4" ht="33">
      <c r="A33" s="1" t="s">
        <v>2362</v>
      </c>
      <c r="B33" s="1" t="s">
        <v>348</v>
      </c>
      <c r="C33" s="1" t="s">
        <v>2363</v>
      </c>
      <c r="D33" s="1" t="s">
        <v>2364</v>
      </c>
    </row>
    <row r="34" spans="1:4" ht="49.5">
      <c r="A34" s="1" t="s">
        <v>2365</v>
      </c>
      <c r="B34" s="1" t="s">
        <v>1100</v>
      </c>
      <c r="C34" s="1" t="s">
        <v>2366</v>
      </c>
      <c r="D34" s="1" t="s">
        <v>2367</v>
      </c>
    </row>
  </sheetData>
  <phoneticPr fontId="1" type="noConversion"/>
  <pageMargins left="0.7" right="0.7" top="0.75" bottom="0.75" header="0.3" footer="0.3"/>
  <tableParts count="1">
    <tablePart r:id="rId1"/>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6BD9B-879F-4AF5-A38B-DDAEBBF1140C}">
  <sheetPr>
    <tabColor theme="8"/>
  </sheetPr>
  <dimension ref="A1:D45"/>
  <sheetViews>
    <sheetView zoomScale="85" zoomScaleNormal="85" workbookViewId="0">
      <selection activeCell="C15" sqref="C15"/>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175</v>
      </c>
      <c r="D2" s="30" t="s">
        <v>175</v>
      </c>
    </row>
    <row r="3" spans="1:4">
      <c r="A3" s="7" t="s">
        <v>3</v>
      </c>
      <c r="B3" s="11" t="s">
        <v>216</v>
      </c>
      <c r="C3" s="11" t="s">
        <v>2306</v>
      </c>
      <c r="D3" s="30" t="s">
        <v>2306</v>
      </c>
    </row>
    <row r="4" spans="1:4">
      <c r="A4" s="7" t="s">
        <v>2</v>
      </c>
      <c r="B4" s="11" t="s">
        <v>217</v>
      </c>
      <c r="C4" s="11" t="s">
        <v>176</v>
      </c>
      <c r="D4" s="30" t="s">
        <v>176</v>
      </c>
    </row>
    <row r="5" spans="1:4" ht="66">
      <c r="A5" s="7" t="s">
        <v>241</v>
      </c>
      <c r="B5" s="13" t="s">
        <v>243</v>
      </c>
      <c r="C5" s="1" t="s">
        <v>2795</v>
      </c>
      <c r="D5" s="30" t="s">
        <v>2808</v>
      </c>
    </row>
    <row r="6" spans="1:4" ht="66">
      <c r="A6" s="7" t="s">
        <v>242</v>
      </c>
      <c r="B6" s="13" t="s">
        <v>244</v>
      </c>
      <c r="C6" s="1" t="s">
        <v>2796</v>
      </c>
      <c r="D6" s="30" t="s">
        <v>2809</v>
      </c>
    </row>
    <row r="7" spans="1:4" ht="33">
      <c r="A7" s="7" t="s">
        <v>196</v>
      </c>
      <c r="B7" s="12" t="s">
        <v>218</v>
      </c>
      <c r="C7" s="1" t="s">
        <v>2797</v>
      </c>
      <c r="D7" s="6"/>
    </row>
    <row r="8" spans="1:4" ht="33">
      <c r="A8" s="7" t="s">
        <v>197</v>
      </c>
      <c r="B8" s="13" t="s">
        <v>232</v>
      </c>
      <c r="C8" s="1" t="s">
        <v>2798</v>
      </c>
      <c r="D8" s="6"/>
    </row>
    <row r="9" spans="1:4" ht="33">
      <c r="A9" s="7" t="s">
        <v>198</v>
      </c>
      <c r="B9" s="13" t="s">
        <v>230</v>
      </c>
      <c r="C9" s="1" t="s">
        <v>2799</v>
      </c>
      <c r="D9" s="6"/>
    </row>
    <row r="10" spans="1:4" ht="33">
      <c r="A10" s="7" t="s">
        <v>199</v>
      </c>
      <c r="B10" s="11" t="s">
        <v>228</v>
      </c>
      <c r="C10" s="1" t="s">
        <v>210</v>
      </c>
      <c r="D10" s="30" t="s">
        <v>288</v>
      </c>
    </row>
    <row r="11" spans="1:4">
      <c r="A11" s="7" t="s">
        <v>200</v>
      </c>
      <c r="B11" s="11" t="s">
        <v>239</v>
      </c>
      <c r="C11" s="1" t="s">
        <v>2800</v>
      </c>
      <c r="D11" s="30" t="s">
        <v>2333</v>
      </c>
    </row>
    <row r="12" spans="1:4">
      <c r="A12" s="7" t="s">
        <v>180</v>
      </c>
      <c r="B12" s="11" t="s">
        <v>219</v>
      </c>
      <c r="C12" s="1" t="s">
        <v>211</v>
      </c>
      <c r="D12" s="30" t="s">
        <v>270</v>
      </c>
    </row>
    <row r="13" spans="1:4" ht="33">
      <c r="A13" s="7" t="s">
        <v>201</v>
      </c>
      <c r="B13" s="11" t="s">
        <v>229</v>
      </c>
      <c r="C13" s="1" t="s">
        <v>2801</v>
      </c>
      <c r="D13" s="30" t="s">
        <v>270</v>
      </c>
    </row>
    <row r="14" spans="1:4" ht="33">
      <c r="A14" s="7" t="s">
        <v>202</v>
      </c>
      <c r="B14" s="11" t="s">
        <v>235</v>
      </c>
      <c r="C14" s="1" t="s">
        <v>210</v>
      </c>
      <c r="D14" s="21"/>
    </row>
    <row r="15" spans="1:4" ht="33">
      <c r="A15" s="7" t="s">
        <v>203</v>
      </c>
      <c r="B15" s="11" t="s">
        <v>220</v>
      </c>
      <c r="C15" s="1" t="s">
        <v>2802</v>
      </c>
      <c r="D15" s="6"/>
    </row>
    <row r="16" spans="1:4" ht="33">
      <c r="A16" s="7" t="s">
        <v>204</v>
      </c>
      <c r="B16" s="11" t="s">
        <v>233</v>
      </c>
      <c r="C16" s="1" t="s">
        <v>383</v>
      </c>
      <c r="D16" s="6"/>
    </row>
    <row r="17" spans="1:4" ht="33">
      <c r="A17" s="7" t="s">
        <v>205</v>
      </c>
      <c r="B17" s="11" t="s">
        <v>231</v>
      </c>
      <c r="C17" s="1" t="s">
        <v>2803</v>
      </c>
      <c r="D17" s="6"/>
    </row>
    <row r="18" spans="1:4" ht="33">
      <c r="A18" s="7" t="s">
        <v>206</v>
      </c>
      <c r="B18" s="11" t="s">
        <v>234</v>
      </c>
      <c r="C18" s="1" t="s">
        <v>2799</v>
      </c>
      <c r="D18" s="6"/>
    </row>
    <row r="19" spans="1:4" ht="33">
      <c r="A19" s="7" t="s">
        <v>207</v>
      </c>
      <c r="B19" s="11" t="s">
        <v>236</v>
      </c>
      <c r="C19" s="1" t="s">
        <v>2804</v>
      </c>
      <c r="D19" s="6"/>
    </row>
    <row r="20" spans="1:4">
      <c r="A20" s="8" t="s">
        <v>0</v>
      </c>
      <c r="B20" s="11" t="s">
        <v>223</v>
      </c>
      <c r="C20" s="1"/>
      <c r="D20" s="6"/>
    </row>
    <row r="21" spans="1:4" ht="33">
      <c r="A21" s="7" t="s">
        <v>224</v>
      </c>
      <c r="B21" s="11"/>
      <c r="C21" s="1" t="s">
        <v>2806</v>
      </c>
      <c r="D21" s="6"/>
    </row>
    <row r="22" spans="1:4">
      <c r="A22" s="9" t="s">
        <v>225</v>
      </c>
      <c r="B22" s="11"/>
      <c r="C22" s="1" t="s">
        <v>2807</v>
      </c>
      <c r="D22" s="10"/>
    </row>
    <row r="24" spans="1:4">
      <c r="A24" s="16" t="s">
        <v>1255</v>
      </c>
      <c r="B24" s="16" t="s">
        <v>1256</v>
      </c>
      <c r="C24" s="16" t="s">
        <v>1257</v>
      </c>
    </row>
    <row r="25" spans="1:4">
      <c r="A25" s="1" t="s">
        <v>1258</v>
      </c>
      <c r="B25" s="1" t="s">
        <v>1259</v>
      </c>
      <c r="C25" s="1" t="s">
        <v>2792</v>
      </c>
    </row>
    <row r="26" spans="1:4">
      <c r="A26" s="1" t="s">
        <v>1261</v>
      </c>
      <c r="B26" s="1" t="s">
        <v>1262</v>
      </c>
      <c r="C26" s="1" t="s">
        <v>2793</v>
      </c>
    </row>
    <row r="27" spans="1:4">
      <c r="A27" s="1" t="s">
        <v>1263</v>
      </c>
      <c r="B27" s="1" t="s">
        <v>1264</v>
      </c>
      <c r="C27" s="1" t="s">
        <v>2794</v>
      </c>
    </row>
    <row r="28" spans="1:4" ht="66">
      <c r="A28" s="1" t="s">
        <v>1266</v>
      </c>
      <c r="B28" s="1" t="s">
        <v>1267</v>
      </c>
      <c r="C28" s="1" t="s">
        <v>2795</v>
      </c>
    </row>
    <row r="29" spans="1:4" ht="66">
      <c r="A29" s="1" t="s">
        <v>1269</v>
      </c>
      <c r="B29" s="1" t="s">
        <v>1270</v>
      </c>
      <c r="C29" s="1" t="s">
        <v>2796</v>
      </c>
    </row>
    <row r="30" spans="1:4" ht="33">
      <c r="A30" s="1" t="s">
        <v>1272</v>
      </c>
      <c r="B30" s="1" t="s">
        <v>1273</v>
      </c>
      <c r="C30" s="1" t="s">
        <v>2797</v>
      </c>
    </row>
    <row r="31" spans="1:4" ht="33">
      <c r="A31" s="1" t="s">
        <v>1275</v>
      </c>
      <c r="B31" s="1" t="s">
        <v>298</v>
      </c>
      <c r="C31" s="1" t="s">
        <v>2798</v>
      </c>
    </row>
    <row r="32" spans="1:4">
      <c r="A32" s="1" t="s">
        <v>1277</v>
      </c>
      <c r="B32" s="1" t="s">
        <v>1278</v>
      </c>
      <c r="C32" s="1" t="s">
        <v>2799</v>
      </c>
    </row>
    <row r="33" spans="1:3">
      <c r="A33" s="1" t="s">
        <v>1279</v>
      </c>
      <c r="B33" s="1" t="s">
        <v>1280</v>
      </c>
      <c r="C33" s="1" t="s">
        <v>210</v>
      </c>
    </row>
    <row r="34" spans="1:3">
      <c r="A34" s="1" t="s">
        <v>1281</v>
      </c>
      <c r="B34" s="1" t="s">
        <v>1282</v>
      </c>
      <c r="C34" s="1" t="s">
        <v>2800</v>
      </c>
    </row>
    <row r="35" spans="1:3">
      <c r="A35" s="1" t="s">
        <v>1283</v>
      </c>
      <c r="B35" s="1" t="s">
        <v>1284</v>
      </c>
      <c r="C35" s="1" t="s">
        <v>211</v>
      </c>
    </row>
    <row r="36" spans="1:3">
      <c r="A36" s="1" t="s">
        <v>1285</v>
      </c>
      <c r="B36" s="1" t="s">
        <v>1286</v>
      </c>
      <c r="C36" s="1" t="s">
        <v>2801</v>
      </c>
    </row>
    <row r="37" spans="1:3">
      <c r="A37" s="1" t="s">
        <v>1287</v>
      </c>
      <c r="B37" s="1" t="s">
        <v>1288</v>
      </c>
      <c r="C37" s="1" t="s">
        <v>210</v>
      </c>
    </row>
    <row r="38" spans="1:3" ht="33">
      <c r="A38" s="1" t="s">
        <v>1289</v>
      </c>
      <c r="B38" s="1" t="s">
        <v>1290</v>
      </c>
      <c r="C38" s="1" t="s">
        <v>2802</v>
      </c>
    </row>
    <row r="39" spans="1:3">
      <c r="A39" s="1" t="s">
        <v>1292</v>
      </c>
      <c r="B39" s="1" t="s">
        <v>1293</v>
      </c>
      <c r="C39" s="1" t="s">
        <v>383</v>
      </c>
    </row>
    <row r="40" spans="1:3">
      <c r="A40" s="1" t="s">
        <v>1294</v>
      </c>
      <c r="B40" s="1" t="s">
        <v>1295</v>
      </c>
      <c r="C40" s="1" t="s">
        <v>2803</v>
      </c>
    </row>
    <row r="41" spans="1:3">
      <c r="A41" s="1" t="s">
        <v>1296</v>
      </c>
      <c r="B41" s="1" t="s">
        <v>1297</v>
      </c>
      <c r="C41" s="1" t="s">
        <v>2799</v>
      </c>
    </row>
    <row r="42" spans="1:3">
      <c r="A42" s="1" t="s">
        <v>1298</v>
      </c>
      <c r="B42" s="1" t="s">
        <v>1299</v>
      </c>
      <c r="C42" s="1" t="s">
        <v>2804</v>
      </c>
    </row>
    <row r="43" spans="1:3" ht="66">
      <c r="A43" s="1" t="s">
        <v>1300</v>
      </c>
      <c r="B43" s="1" t="s">
        <v>2805</v>
      </c>
      <c r="C43" s="1"/>
    </row>
    <row r="44" spans="1:3" ht="33">
      <c r="A44" s="1" t="s">
        <v>1303</v>
      </c>
      <c r="B44" s="1" t="s">
        <v>1304</v>
      </c>
      <c r="C44" s="1" t="s">
        <v>2806</v>
      </c>
    </row>
    <row r="45" spans="1:3">
      <c r="A45" s="1" t="s">
        <v>1306</v>
      </c>
      <c r="B45" s="1" t="s">
        <v>1307</v>
      </c>
      <c r="C45" s="1" t="s">
        <v>2807</v>
      </c>
    </row>
  </sheetData>
  <phoneticPr fontId="1" type="noConversion"/>
  <pageMargins left="0.7" right="0.7" top="0.75" bottom="0.75" header="0.3" footer="0.3"/>
  <tableParts count="1">
    <tablePart r:id="rId1"/>
  </tablePart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A415-072A-4F5A-83B4-C2367D01A037}">
  <sheetPr>
    <tabColor theme="4"/>
  </sheetPr>
  <dimension ref="A1:D32"/>
  <sheetViews>
    <sheetView zoomScale="85" zoomScaleNormal="85" workbookViewId="0"/>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 t="s">
        <v>185</v>
      </c>
      <c r="D2" s="30" t="s">
        <v>185</v>
      </c>
    </row>
    <row r="3" spans="1:4">
      <c r="A3" s="7" t="s">
        <v>3</v>
      </c>
      <c r="B3" s="11" t="s">
        <v>216</v>
      </c>
      <c r="C3" s="1" t="s">
        <v>5</v>
      </c>
      <c r="D3" s="30" t="s">
        <v>5</v>
      </c>
    </row>
    <row r="4" spans="1:4">
      <c r="A4" s="7" t="s">
        <v>2</v>
      </c>
      <c r="B4" s="11" t="s">
        <v>217</v>
      </c>
      <c r="C4" s="1" t="s">
        <v>181</v>
      </c>
      <c r="D4" s="30" t="s">
        <v>181</v>
      </c>
    </row>
    <row r="5" spans="1:4" ht="66">
      <c r="A5" s="7" t="s">
        <v>241</v>
      </c>
      <c r="B5" s="13" t="s">
        <v>243</v>
      </c>
      <c r="C5" s="1" t="s">
        <v>517</v>
      </c>
      <c r="D5" s="30" t="s">
        <v>1856</v>
      </c>
    </row>
    <row r="6" spans="1:4" ht="66">
      <c r="A6" s="7" t="s">
        <v>242</v>
      </c>
      <c r="B6" s="13" t="s">
        <v>244</v>
      </c>
      <c r="C6" s="1" t="s">
        <v>543</v>
      </c>
      <c r="D6" s="30" t="s">
        <v>1857</v>
      </c>
    </row>
    <row r="7" spans="1:4" ht="33">
      <c r="A7" s="7" t="s">
        <v>196</v>
      </c>
      <c r="B7" s="12" t="s">
        <v>218</v>
      </c>
      <c r="C7" s="1" t="s">
        <v>544</v>
      </c>
      <c r="D7" s="6"/>
    </row>
    <row r="8" spans="1:4" ht="115.5">
      <c r="A8" s="7" t="s">
        <v>197</v>
      </c>
      <c r="B8" s="13" t="s">
        <v>232</v>
      </c>
      <c r="C8" s="1" t="s">
        <v>545</v>
      </c>
      <c r="D8" s="6" t="s">
        <v>406</v>
      </c>
    </row>
    <row r="9" spans="1:4" ht="33">
      <c r="A9" s="7" t="s">
        <v>198</v>
      </c>
      <c r="B9" s="13" t="s">
        <v>230</v>
      </c>
      <c r="C9" s="1" t="s">
        <v>261</v>
      </c>
      <c r="D9" s="6"/>
    </row>
    <row r="10" spans="1:4" ht="33">
      <c r="A10" s="7" t="s">
        <v>199</v>
      </c>
      <c r="B10" s="11" t="s">
        <v>228</v>
      </c>
      <c r="C10" s="1" t="s">
        <v>210</v>
      </c>
      <c r="D10" s="30" t="s">
        <v>210</v>
      </c>
    </row>
    <row r="11" spans="1:4">
      <c r="A11" s="7" t="s">
        <v>200</v>
      </c>
      <c r="B11" s="11" t="s">
        <v>239</v>
      </c>
      <c r="C11" s="1" t="s">
        <v>520</v>
      </c>
      <c r="D11" s="30" t="s">
        <v>520</v>
      </c>
    </row>
    <row r="12" spans="1:4">
      <c r="A12" s="7" t="s">
        <v>180</v>
      </c>
      <c r="B12" s="11" t="s">
        <v>219</v>
      </c>
      <c r="C12" s="1" t="s">
        <v>211</v>
      </c>
      <c r="D12" s="30" t="s">
        <v>211</v>
      </c>
    </row>
    <row r="13" spans="1:4" ht="33">
      <c r="A13" s="7" t="s">
        <v>201</v>
      </c>
      <c r="B13" s="11" t="s">
        <v>229</v>
      </c>
      <c r="C13" s="1" t="s">
        <v>211</v>
      </c>
      <c r="D13" s="30" t="s">
        <v>211</v>
      </c>
    </row>
    <row r="14" spans="1:4" ht="33">
      <c r="A14" s="7" t="s">
        <v>202</v>
      </c>
      <c r="B14" s="11" t="s">
        <v>235</v>
      </c>
      <c r="C14" s="1" t="s">
        <v>210</v>
      </c>
      <c r="D14" s="6"/>
    </row>
    <row r="15" spans="1:4">
      <c r="A15" s="7" t="s">
        <v>203</v>
      </c>
      <c r="B15" s="11" t="s">
        <v>220</v>
      </c>
      <c r="C15" s="1" t="s">
        <v>518</v>
      </c>
      <c r="D15" s="6"/>
    </row>
    <row r="16" spans="1:4" ht="33">
      <c r="A16" s="7" t="s">
        <v>204</v>
      </c>
      <c r="B16" s="11" t="s">
        <v>233</v>
      </c>
      <c r="C16" s="1" t="s">
        <v>221</v>
      </c>
      <c r="D16" s="6"/>
    </row>
    <row r="17" spans="1:4" ht="33">
      <c r="A17" s="7" t="s">
        <v>205</v>
      </c>
      <c r="B17" s="11" t="s">
        <v>231</v>
      </c>
      <c r="C17" s="1" t="s">
        <v>383</v>
      </c>
      <c r="D17" s="6"/>
    </row>
    <row r="18" spans="1:4" ht="33">
      <c r="A18" s="7" t="s">
        <v>206</v>
      </c>
      <c r="B18" s="11" t="s">
        <v>234</v>
      </c>
      <c r="C18" s="1" t="s">
        <v>261</v>
      </c>
      <c r="D18" s="6"/>
    </row>
    <row r="19" spans="1:4" ht="33">
      <c r="A19" s="7" t="s">
        <v>207</v>
      </c>
      <c r="B19" s="11" t="s">
        <v>236</v>
      </c>
      <c r="C19" s="1" t="s">
        <v>455</v>
      </c>
      <c r="D19" s="6"/>
    </row>
    <row r="20" spans="1:4" ht="165">
      <c r="A20" s="8" t="s">
        <v>0</v>
      </c>
      <c r="B20" s="11" t="s">
        <v>223</v>
      </c>
      <c r="C20" s="1" t="s">
        <v>546</v>
      </c>
      <c r="D20" s="6"/>
    </row>
    <row r="21" spans="1:4" ht="33">
      <c r="A21" s="7" t="s">
        <v>224</v>
      </c>
      <c r="B21" s="11"/>
      <c r="C21" s="1" t="s">
        <v>519</v>
      </c>
      <c r="D21" s="6"/>
    </row>
    <row r="22" spans="1:4">
      <c r="A22" s="9" t="s">
        <v>225</v>
      </c>
      <c r="B22" s="11"/>
      <c r="C22" s="1" t="s">
        <v>211</v>
      </c>
      <c r="D22" s="10"/>
    </row>
    <row r="24" spans="1:4">
      <c r="A24" t="s">
        <v>350</v>
      </c>
    </row>
    <row r="25" spans="1:4">
      <c r="A25" s="16" t="s">
        <v>327</v>
      </c>
      <c r="B25" s="16" t="s">
        <v>298</v>
      </c>
      <c r="C25" s="16" t="s">
        <v>328</v>
      </c>
      <c r="D25" s="16" t="s">
        <v>329</v>
      </c>
    </row>
    <row r="26" spans="1:4" ht="33">
      <c r="A26" s="1" t="s">
        <v>521</v>
      </c>
      <c r="B26" s="1" t="s">
        <v>406</v>
      </c>
      <c r="C26" s="1" t="s">
        <v>522</v>
      </c>
      <c r="D26" s="1" t="s">
        <v>523</v>
      </c>
    </row>
    <row r="27" spans="1:4" ht="33">
      <c r="A27" s="1" t="s">
        <v>524</v>
      </c>
      <c r="B27" s="1" t="s">
        <v>406</v>
      </c>
      <c r="C27" s="1" t="s">
        <v>525</v>
      </c>
      <c r="D27" s="1" t="s">
        <v>526</v>
      </c>
    </row>
    <row r="28" spans="1:4" ht="33">
      <c r="A28" s="1" t="s">
        <v>527</v>
      </c>
      <c r="B28" s="1" t="s">
        <v>336</v>
      </c>
      <c r="C28" s="1" t="s">
        <v>528</v>
      </c>
      <c r="D28" s="1" t="s">
        <v>529</v>
      </c>
    </row>
    <row r="29" spans="1:4" ht="33">
      <c r="A29" s="1" t="s">
        <v>530</v>
      </c>
      <c r="B29" s="1" t="s">
        <v>469</v>
      </c>
      <c r="C29" s="1" t="s">
        <v>531</v>
      </c>
      <c r="D29" s="1" t="s">
        <v>532</v>
      </c>
    </row>
    <row r="30" spans="1:4" ht="33">
      <c r="A30" s="1" t="s">
        <v>533</v>
      </c>
      <c r="B30" s="1" t="s">
        <v>535</v>
      </c>
      <c r="C30" s="1" t="s">
        <v>534</v>
      </c>
      <c r="D30" s="1" t="s">
        <v>536</v>
      </c>
    </row>
    <row r="31" spans="1:4">
      <c r="A31" s="1" t="s">
        <v>537</v>
      </c>
      <c r="B31" s="1" t="s">
        <v>348</v>
      </c>
      <c r="C31" s="1" t="s">
        <v>538</v>
      </c>
      <c r="D31" s="1" t="s">
        <v>539</v>
      </c>
    </row>
    <row r="32" spans="1:4" ht="33">
      <c r="A32" s="1" t="s">
        <v>540</v>
      </c>
      <c r="B32" s="1" t="s">
        <v>371</v>
      </c>
      <c r="C32" s="1" t="s">
        <v>541</v>
      </c>
      <c r="D32" s="1" t="s">
        <v>542</v>
      </c>
    </row>
  </sheetData>
  <phoneticPr fontId="1" type="noConversion"/>
  <pageMargins left="0.7" right="0.7" top="0.75" bottom="0.75" header="0.3" footer="0.3"/>
  <tableParts count="1">
    <tablePart r:id="rId1"/>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63DB8-6A9B-4DCB-B65A-FC0CA8D60A2A}">
  <sheetPr>
    <tabColor theme="5"/>
  </sheetPr>
  <dimension ref="A1:E34"/>
  <sheetViews>
    <sheetView topLeftCell="A8" zoomScale="85" zoomScaleNormal="85" workbookViewId="0">
      <selection activeCell="B29" sqref="B29"/>
    </sheetView>
  </sheetViews>
  <sheetFormatPr defaultRowHeight="16.5"/>
  <cols>
    <col min="1" max="1" width="25.5" bestFit="1" customWidth="1"/>
    <col min="2" max="4" width="50.625" customWidth="1"/>
  </cols>
  <sheetData>
    <row r="1" spans="1:5">
      <c r="A1" t="s">
        <v>213</v>
      </c>
      <c r="B1" t="s">
        <v>214</v>
      </c>
      <c r="C1" s="3" t="s">
        <v>208</v>
      </c>
      <c r="D1" s="4" t="s">
        <v>209</v>
      </c>
    </row>
    <row r="2" spans="1:5">
      <c r="A2" s="5" t="s">
        <v>1</v>
      </c>
      <c r="B2" s="11" t="s">
        <v>215</v>
      </c>
      <c r="C2" s="1" t="s">
        <v>2558</v>
      </c>
      <c r="D2" s="30" t="s">
        <v>2558</v>
      </c>
    </row>
    <row r="3" spans="1:5">
      <c r="A3" s="7" t="s">
        <v>3</v>
      </c>
      <c r="B3" s="11" t="s">
        <v>216</v>
      </c>
      <c r="C3" s="1" t="s">
        <v>2559</v>
      </c>
      <c r="D3" s="30" t="s">
        <v>188</v>
      </c>
    </row>
    <row r="4" spans="1:5">
      <c r="A4" s="7" t="s">
        <v>2</v>
      </c>
      <c r="B4" s="11" t="s">
        <v>217</v>
      </c>
      <c r="C4" s="1" t="s">
        <v>2560</v>
      </c>
      <c r="D4" s="30" t="s">
        <v>187</v>
      </c>
    </row>
    <row r="5" spans="1:5" ht="33">
      <c r="A5" s="7" t="s">
        <v>241</v>
      </c>
      <c r="B5" s="13" t="s">
        <v>243</v>
      </c>
      <c r="C5" s="1" t="s">
        <v>2561</v>
      </c>
      <c r="D5" s="30" t="s">
        <v>2570</v>
      </c>
    </row>
    <row r="6" spans="1:5" ht="66">
      <c r="A6" s="7" t="s">
        <v>242</v>
      </c>
      <c r="B6" s="13" t="s">
        <v>244</v>
      </c>
      <c r="C6" s="1" t="s">
        <v>2562</v>
      </c>
      <c r="D6" s="30" t="s">
        <v>2571</v>
      </c>
    </row>
    <row r="7" spans="1:5" ht="33">
      <c r="A7" s="7" t="s">
        <v>196</v>
      </c>
      <c r="B7" s="12" t="s">
        <v>218</v>
      </c>
      <c r="C7" s="1" t="s">
        <v>2563</v>
      </c>
      <c r="D7" s="6"/>
    </row>
    <row r="8" spans="1:5" ht="99">
      <c r="A8" s="7" t="s">
        <v>197</v>
      </c>
      <c r="B8" s="13" t="s">
        <v>232</v>
      </c>
      <c r="C8" s="1" t="s">
        <v>2564</v>
      </c>
      <c r="D8" s="6"/>
    </row>
    <row r="9" spans="1:5" ht="33">
      <c r="A9" s="7" t="s">
        <v>198</v>
      </c>
      <c r="B9" s="13" t="s">
        <v>230</v>
      </c>
      <c r="C9" s="1" t="s">
        <v>261</v>
      </c>
      <c r="D9" s="6"/>
    </row>
    <row r="10" spans="1:5" ht="33">
      <c r="A10" s="7" t="s">
        <v>199</v>
      </c>
      <c r="B10" s="11" t="s">
        <v>228</v>
      </c>
      <c r="C10" s="1" t="s">
        <v>210</v>
      </c>
      <c r="D10" s="30" t="s">
        <v>210</v>
      </c>
    </row>
    <row r="11" spans="1:5">
      <c r="A11" s="7" t="s">
        <v>200</v>
      </c>
      <c r="B11" s="11" t="s">
        <v>239</v>
      </c>
      <c r="C11" s="1" t="s">
        <v>2569</v>
      </c>
      <c r="D11" s="30" t="s">
        <v>2569</v>
      </c>
      <c r="E11" s="1"/>
    </row>
    <row r="12" spans="1:5">
      <c r="A12" s="7" t="s">
        <v>180</v>
      </c>
      <c r="B12" s="11" t="s">
        <v>219</v>
      </c>
      <c r="C12" s="1">
        <v>2910300000</v>
      </c>
      <c r="D12" s="30">
        <v>2910300000</v>
      </c>
    </row>
    <row r="13" spans="1:5" ht="33">
      <c r="A13" s="7" t="s">
        <v>201</v>
      </c>
      <c r="B13" s="11" t="s">
        <v>229</v>
      </c>
      <c r="C13" s="1" t="s">
        <v>290</v>
      </c>
      <c r="D13" s="30" t="s">
        <v>290</v>
      </c>
    </row>
    <row r="14" spans="1:5" ht="33">
      <c r="A14" s="7" t="s">
        <v>202</v>
      </c>
      <c r="B14" s="11" t="s">
        <v>235</v>
      </c>
      <c r="C14" s="1" t="s">
        <v>210</v>
      </c>
      <c r="D14" s="6"/>
    </row>
    <row r="15" spans="1:5">
      <c r="A15" s="7" t="s">
        <v>203</v>
      </c>
      <c r="B15" s="11" t="s">
        <v>220</v>
      </c>
      <c r="C15" s="1" t="s">
        <v>2565</v>
      </c>
      <c r="D15" s="6"/>
    </row>
    <row r="16" spans="1:5"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2566</v>
      </c>
      <c r="D20" s="6"/>
    </row>
    <row r="21" spans="1:4" ht="33">
      <c r="A21" s="7" t="s">
        <v>224</v>
      </c>
      <c r="B21" s="11"/>
      <c r="C21" s="1" t="s">
        <v>2567</v>
      </c>
      <c r="D21" s="6"/>
    </row>
    <row r="22" spans="1:4">
      <c r="A22" s="9" t="s">
        <v>225</v>
      </c>
      <c r="B22" s="11"/>
      <c r="C22" s="1" t="s">
        <v>211</v>
      </c>
      <c r="D22" s="10"/>
    </row>
    <row r="24" spans="1:4">
      <c r="A24" s="16" t="s">
        <v>327</v>
      </c>
      <c r="B24" s="16" t="s">
        <v>984</v>
      </c>
      <c r="C24" s="16" t="s">
        <v>328</v>
      </c>
      <c r="D24" s="16" t="s">
        <v>329</v>
      </c>
    </row>
    <row r="25" spans="1:4" ht="49.5">
      <c r="A25" s="1" t="s">
        <v>2572</v>
      </c>
      <c r="B25" s="1" t="s">
        <v>336</v>
      </c>
      <c r="C25" s="1" t="s">
        <v>2573</v>
      </c>
      <c r="D25" s="1" t="s">
        <v>1979</v>
      </c>
    </row>
    <row r="26" spans="1:4" ht="49.5">
      <c r="A26" s="1" t="s">
        <v>2574</v>
      </c>
      <c r="B26" s="1" t="s">
        <v>348</v>
      </c>
      <c r="C26" s="1" t="s">
        <v>2575</v>
      </c>
      <c r="D26" s="1" t="s">
        <v>2576</v>
      </c>
    </row>
    <row r="27" spans="1:4" ht="49.5">
      <c r="A27" s="1" t="s">
        <v>2577</v>
      </c>
      <c r="B27" s="1" t="s">
        <v>457</v>
      </c>
      <c r="C27" s="1" t="s">
        <v>2578</v>
      </c>
      <c r="D27" s="1" t="s">
        <v>2579</v>
      </c>
    </row>
    <row r="28" spans="1:4" ht="49.5">
      <c r="A28" s="1" t="s">
        <v>2580</v>
      </c>
      <c r="B28" s="1" t="s">
        <v>469</v>
      </c>
      <c r="C28" s="1" t="s">
        <v>2581</v>
      </c>
      <c r="D28" s="1" t="s">
        <v>1685</v>
      </c>
    </row>
    <row r="29" spans="1:4" ht="33">
      <c r="A29" s="1" t="s">
        <v>2582</v>
      </c>
      <c r="B29" s="1" t="s">
        <v>406</v>
      </c>
      <c r="C29" s="1" t="s">
        <v>2583</v>
      </c>
      <c r="D29" s="1" t="s">
        <v>1872</v>
      </c>
    </row>
    <row r="30" spans="1:4" ht="49.5">
      <c r="A30" s="1" t="s">
        <v>2584</v>
      </c>
      <c r="B30" s="1" t="s">
        <v>1984</v>
      </c>
      <c r="C30" s="1" t="s">
        <v>2585</v>
      </c>
      <c r="D30" s="1" t="s">
        <v>1725</v>
      </c>
    </row>
    <row r="31" spans="1:4" ht="49.5">
      <c r="A31" s="1" t="s">
        <v>2586</v>
      </c>
      <c r="B31" s="1" t="s">
        <v>1984</v>
      </c>
      <c r="C31" s="1" t="s">
        <v>2587</v>
      </c>
      <c r="D31" s="1" t="s">
        <v>2588</v>
      </c>
    </row>
    <row r="32" spans="1:4" ht="49.5">
      <c r="A32" s="1" t="s">
        <v>2589</v>
      </c>
      <c r="B32" s="1" t="s">
        <v>348</v>
      </c>
      <c r="C32" s="1" t="s">
        <v>2590</v>
      </c>
      <c r="D32" s="1" t="s">
        <v>1940</v>
      </c>
    </row>
    <row r="33" spans="1:4" ht="49.5">
      <c r="A33" s="1" t="s">
        <v>2591</v>
      </c>
      <c r="B33" s="1" t="s">
        <v>406</v>
      </c>
      <c r="C33" s="1" t="s">
        <v>2592</v>
      </c>
      <c r="D33" s="1" t="s">
        <v>1931</v>
      </c>
    </row>
    <row r="34" spans="1:4" ht="49.5">
      <c r="A34" s="1" t="s">
        <v>2593</v>
      </c>
      <c r="B34" s="1" t="s">
        <v>1549</v>
      </c>
      <c r="C34" s="1" t="s">
        <v>2594</v>
      </c>
      <c r="D34" s="1" t="s">
        <v>2595</v>
      </c>
    </row>
  </sheetData>
  <phoneticPr fontId="1" type="noConversion"/>
  <pageMargins left="0.7" right="0.7" top="0.75" bottom="0.75" header="0.3" footer="0.3"/>
  <tableParts count="1">
    <tablePart r:id="rId1"/>
  </tablePart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F3100-6F71-4521-9564-527B10466B06}">
  <sheetPr>
    <tabColor theme="5"/>
  </sheetPr>
  <dimension ref="A1:E45"/>
  <sheetViews>
    <sheetView topLeftCell="A8" zoomScale="85" zoomScaleNormal="85" workbookViewId="0"/>
  </sheetViews>
  <sheetFormatPr defaultRowHeight="16.5"/>
  <cols>
    <col min="1" max="1" width="25.5" bestFit="1" customWidth="1"/>
    <col min="2" max="4" width="50.625" customWidth="1"/>
  </cols>
  <sheetData>
    <row r="1" spans="1:5">
      <c r="A1" t="s">
        <v>213</v>
      </c>
      <c r="B1" t="s">
        <v>214</v>
      </c>
      <c r="C1" s="3" t="s">
        <v>208</v>
      </c>
      <c r="D1" s="4" t="s">
        <v>209</v>
      </c>
    </row>
    <row r="2" spans="1:5">
      <c r="A2" s="5" t="s">
        <v>1</v>
      </c>
      <c r="B2" s="11" t="s">
        <v>215</v>
      </c>
      <c r="C2" s="1" t="s">
        <v>2234</v>
      </c>
      <c r="D2" s="30" t="s">
        <v>2234</v>
      </c>
    </row>
    <row r="3" spans="1:5">
      <c r="A3" s="7" t="s">
        <v>3</v>
      </c>
      <c r="B3" s="11" t="s">
        <v>216</v>
      </c>
      <c r="C3" s="1" t="s">
        <v>6</v>
      </c>
      <c r="D3" s="30" t="s">
        <v>6</v>
      </c>
    </row>
    <row r="4" spans="1:5">
      <c r="A4" s="7" t="s">
        <v>2</v>
      </c>
      <c r="B4" s="11" t="s">
        <v>217</v>
      </c>
      <c r="C4" s="1" t="s">
        <v>2235</v>
      </c>
      <c r="D4" s="30" t="s">
        <v>2235</v>
      </c>
    </row>
    <row r="5" spans="1:5" ht="66">
      <c r="A5" s="7" t="s">
        <v>241</v>
      </c>
      <c r="B5" s="13" t="s">
        <v>243</v>
      </c>
      <c r="C5" s="1" t="s">
        <v>2236</v>
      </c>
      <c r="D5" s="48" t="s">
        <v>2241</v>
      </c>
    </row>
    <row r="6" spans="1:5" ht="82.5">
      <c r="A6" s="7" t="s">
        <v>242</v>
      </c>
      <c r="B6" s="13" t="s">
        <v>244</v>
      </c>
      <c r="C6" s="1" t="s">
        <v>2237</v>
      </c>
      <c r="D6" s="30" t="s">
        <v>2075</v>
      </c>
    </row>
    <row r="7" spans="1:5" ht="33">
      <c r="A7" s="7" t="s">
        <v>196</v>
      </c>
      <c r="B7" s="12" t="s">
        <v>218</v>
      </c>
      <c r="C7" s="1" t="s">
        <v>2238</v>
      </c>
      <c r="D7" s="6"/>
    </row>
    <row r="8" spans="1:5" ht="99">
      <c r="A8" s="7" t="s">
        <v>197</v>
      </c>
      <c r="B8" s="13" t="s">
        <v>232</v>
      </c>
      <c r="C8" s="1" t="s">
        <v>2239</v>
      </c>
      <c r="D8" s="6"/>
    </row>
    <row r="9" spans="1:5" ht="33">
      <c r="A9" s="7" t="s">
        <v>198</v>
      </c>
      <c r="B9" s="13" t="s">
        <v>230</v>
      </c>
      <c r="C9" s="1" t="s">
        <v>261</v>
      </c>
      <c r="D9" s="6"/>
    </row>
    <row r="10" spans="1:5" ht="33">
      <c r="A10" s="7" t="s">
        <v>199</v>
      </c>
      <c r="B10" s="11" t="s">
        <v>228</v>
      </c>
      <c r="C10" s="1" t="s">
        <v>288</v>
      </c>
      <c r="D10" s="30" t="s">
        <v>288</v>
      </c>
    </row>
    <row r="11" spans="1:5">
      <c r="A11" s="7" t="s">
        <v>200</v>
      </c>
      <c r="B11" s="11" t="s">
        <v>239</v>
      </c>
      <c r="C11" s="1" t="s">
        <v>2242</v>
      </c>
      <c r="D11" s="30" t="s">
        <v>2242</v>
      </c>
      <c r="E11" s="1"/>
    </row>
    <row r="12" spans="1:5">
      <c r="A12" s="7" t="s">
        <v>180</v>
      </c>
      <c r="B12" s="11" t="s">
        <v>219</v>
      </c>
      <c r="C12" s="1" t="s">
        <v>211</v>
      </c>
      <c r="D12" s="30" t="s">
        <v>211</v>
      </c>
    </row>
    <row r="13" spans="1:5" ht="33">
      <c r="A13" s="7" t="s">
        <v>201</v>
      </c>
      <c r="B13" s="11" t="s">
        <v>229</v>
      </c>
      <c r="C13" s="1" t="s">
        <v>211</v>
      </c>
      <c r="D13" s="30" t="s">
        <v>211</v>
      </c>
    </row>
    <row r="14" spans="1:5" ht="33">
      <c r="A14" s="7" t="s">
        <v>202</v>
      </c>
      <c r="B14" s="11" t="s">
        <v>235</v>
      </c>
      <c r="C14" s="1" t="s">
        <v>210</v>
      </c>
      <c r="D14" s="6"/>
    </row>
    <row r="15" spans="1:5" ht="33">
      <c r="A15" s="7" t="s">
        <v>203</v>
      </c>
      <c r="B15" s="11" t="s">
        <v>220</v>
      </c>
      <c r="C15" s="1" t="s">
        <v>2066</v>
      </c>
      <c r="D15" s="6"/>
    </row>
    <row r="16" spans="1:5" ht="33">
      <c r="A16" s="7" t="s">
        <v>204</v>
      </c>
      <c r="B16" s="11" t="s">
        <v>233</v>
      </c>
      <c r="C16" s="1" t="s">
        <v>261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2240</v>
      </c>
      <c r="D20" s="6"/>
    </row>
    <row r="21" spans="1:4">
      <c r="A21" s="7" t="s">
        <v>224</v>
      </c>
      <c r="B21" s="11"/>
      <c r="C21" s="1" t="s">
        <v>2067</v>
      </c>
      <c r="D21" s="6"/>
    </row>
    <row r="22" spans="1:4">
      <c r="A22" s="9" t="s">
        <v>225</v>
      </c>
      <c r="B22" s="11"/>
      <c r="C22" s="1" t="s">
        <v>2061</v>
      </c>
      <c r="D22" s="10"/>
    </row>
    <row r="24" spans="1:4">
      <c r="A24" s="16" t="s">
        <v>1255</v>
      </c>
      <c r="B24" s="16" t="s">
        <v>1256</v>
      </c>
      <c r="C24" s="16" t="s">
        <v>1257</v>
      </c>
      <c r="D24" s="16"/>
    </row>
    <row r="25" spans="1:4">
      <c r="A25" s="1" t="s">
        <v>1258</v>
      </c>
      <c r="B25" s="1" t="s">
        <v>1259</v>
      </c>
      <c r="C25" s="1" t="s">
        <v>2234</v>
      </c>
      <c r="D25" s="1"/>
    </row>
    <row r="26" spans="1:4">
      <c r="A26" s="1" t="s">
        <v>1261</v>
      </c>
      <c r="B26" s="1" t="s">
        <v>1262</v>
      </c>
      <c r="C26" s="1" t="s">
        <v>6</v>
      </c>
      <c r="D26" s="1"/>
    </row>
    <row r="27" spans="1:4">
      <c r="A27" s="1" t="s">
        <v>1263</v>
      </c>
      <c r="B27" s="1" t="s">
        <v>1264</v>
      </c>
      <c r="C27" s="1" t="s">
        <v>2235</v>
      </c>
      <c r="D27" s="1"/>
    </row>
    <row r="28" spans="1:4" ht="66">
      <c r="A28" s="1" t="s">
        <v>1266</v>
      </c>
      <c r="B28" s="1" t="s">
        <v>1267</v>
      </c>
      <c r="C28" s="1" t="s">
        <v>2236</v>
      </c>
      <c r="D28" s="1"/>
    </row>
    <row r="29" spans="1:4" ht="82.5">
      <c r="A29" s="1" t="s">
        <v>1269</v>
      </c>
      <c r="B29" s="1" t="s">
        <v>1270</v>
      </c>
      <c r="C29" s="1" t="s">
        <v>2237</v>
      </c>
      <c r="D29" s="1"/>
    </row>
    <row r="30" spans="1:4" ht="33">
      <c r="A30" s="1" t="s">
        <v>1272</v>
      </c>
      <c r="B30" s="1" t="s">
        <v>1273</v>
      </c>
      <c r="C30" s="1" t="s">
        <v>2238</v>
      </c>
      <c r="D30" s="1"/>
    </row>
    <row r="31" spans="1:4" ht="99">
      <c r="A31" s="1" t="s">
        <v>1275</v>
      </c>
      <c r="B31" s="1" t="s">
        <v>298</v>
      </c>
      <c r="C31" s="1" t="s">
        <v>2239</v>
      </c>
      <c r="D31" s="1"/>
    </row>
    <row r="32" spans="1:4">
      <c r="A32" s="1" t="s">
        <v>1277</v>
      </c>
      <c r="B32" s="1" t="s">
        <v>1278</v>
      </c>
      <c r="C32" s="1" t="s">
        <v>261</v>
      </c>
      <c r="D32" s="1"/>
    </row>
    <row r="33" spans="1:4">
      <c r="A33" s="1" t="s">
        <v>1279</v>
      </c>
      <c r="B33" s="1" t="s">
        <v>1280</v>
      </c>
      <c r="C33" s="1" t="s">
        <v>211</v>
      </c>
      <c r="D33" s="1"/>
    </row>
    <row r="34" spans="1:4">
      <c r="A34" s="1" t="s">
        <v>1281</v>
      </c>
      <c r="B34" s="1" t="s">
        <v>1282</v>
      </c>
      <c r="C34" s="1" t="s">
        <v>211</v>
      </c>
      <c r="D34" s="1"/>
    </row>
    <row r="35" spans="1:4">
      <c r="A35" s="1" t="s">
        <v>1283</v>
      </c>
      <c r="B35" s="1" t="s">
        <v>1284</v>
      </c>
      <c r="C35" s="1" t="s">
        <v>211</v>
      </c>
    </row>
    <row r="36" spans="1:4">
      <c r="A36" s="1" t="s">
        <v>1285</v>
      </c>
      <c r="B36" s="1" t="s">
        <v>1286</v>
      </c>
      <c r="C36" s="1" t="s">
        <v>211</v>
      </c>
    </row>
    <row r="37" spans="1:4">
      <c r="A37" s="1" t="s">
        <v>1287</v>
      </c>
      <c r="B37" s="1" t="s">
        <v>1288</v>
      </c>
      <c r="C37" s="1" t="s">
        <v>210</v>
      </c>
    </row>
    <row r="38" spans="1:4" ht="33">
      <c r="A38" s="1" t="s">
        <v>1289</v>
      </c>
      <c r="B38" s="1" t="s">
        <v>1290</v>
      </c>
      <c r="C38" s="1" t="s">
        <v>2066</v>
      </c>
    </row>
    <row r="39" spans="1:4">
      <c r="A39" s="1" t="s">
        <v>1292</v>
      </c>
      <c r="B39" s="1" t="s">
        <v>1293</v>
      </c>
      <c r="C39" s="1" t="s">
        <v>261</v>
      </c>
    </row>
    <row r="40" spans="1:4">
      <c r="A40" s="1" t="s">
        <v>1294</v>
      </c>
      <c r="B40" s="1" t="s">
        <v>1295</v>
      </c>
      <c r="C40" s="1" t="s">
        <v>221</v>
      </c>
    </row>
    <row r="41" spans="1:4">
      <c r="A41" s="1" t="s">
        <v>1296</v>
      </c>
      <c r="B41" s="1" t="s">
        <v>1297</v>
      </c>
      <c r="C41" s="1" t="s">
        <v>261</v>
      </c>
    </row>
    <row r="42" spans="1:4">
      <c r="A42" s="1" t="s">
        <v>1298</v>
      </c>
      <c r="B42" s="1" t="s">
        <v>1299</v>
      </c>
      <c r="C42" s="1" t="s">
        <v>212</v>
      </c>
    </row>
    <row r="43" spans="1:4" ht="49.5">
      <c r="A43" s="1" t="s">
        <v>1300</v>
      </c>
      <c r="B43" s="1" t="s">
        <v>1301</v>
      </c>
      <c r="C43" s="1" t="s">
        <v>2240</v>
      </c>
    </row>
    <row r="44" spans="1:4">
      <c r="A44" s="1" t="s">
        <v>1303</v>
      </c>
      <c r="B44" s="1" t="s">
        <v>1304</v>
      </c>
      <c r="C44" s="1" t="s">
        <v>2067</v>
      </c>
    </row>
    <row r="45" spans="1:4">
      <c r="A45" s="1" t="s">
        <v>1306</v>
      </c>
      <c r="B45" s="1" t="s">
        <v>1307</v>
      </c>
      <c r="C45" s="1" t="s">
        <v>2061</v>
      </c>
    </row>
  </sheetData>
  <phoneticPr fontId="1" type="noConversion"/>
  <pageMargins left="0.7" right="0.7" top="0.75" bottom="0.75" header="0.3" footer="0.3"/>
  <tableParts count="1">
    <tablePart r:id="rId1"/>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4F1FD-C375-45CC-A3FC-94E41C4650CB}">
  <sheetPr>
    <tabColor theme="8"/>
  </sheetPr>
  <dimension ref="A1:D34"/>
  <sheetViews>
    <sheetView topLeftCell="A14" zoomScale="85" zoomScaleNormal="85" workbookViewId="0">
      <selection activeCell="B29" sqref="B29"/>
    </sheetView>
  </sheetViews>
  <sheetFormatPr defaultRowHeight="16.5"/>
  <cols>
    <col min="1" max="1" width="25.5" bestFit="1" customWidth="1"/>
    <col min="2" max="4" width="50.625" customWidth="1"/>
  </cols>
  <sheetData>
    <row r="1" spans="1:4">
      <c r="A1" t="s">
        <v>213</v>
      </c>
      <c r="B1" t="s">
        <v>214</v>
      </c>
      <c r="C1" s="3" t="s">
        <v>208</v>
      </c>
      <c r="D1" s="4" t="s">
        <v>209</v>
      </c>
    </row>
    <row r="2" spans="1:4">
      <c r="A2" s="5" t="s">
        <v>1</v>
      </c>
      <c r="B2" s="11" t="s">
        <v>215</v>
      </c>
      <c r="C2" s="11" t="s">
        <v>2633</v>
      </c>
      <c r="D2" s="30" t="s">
        <v>2633</v>
      </c>
    </row>
    <row r="3" spans="1:4">
      <c r="A3" s="7" t="s">
        <v>3</v>
      </c>
      <c r="B3" s="11" t="s">
        <v>216</v>
      </c>
      <c r="C3" s="11" t="s">
        <v>2306</v>
      </c>
      <c r="D3" s="30" t="s">
        <v>2306</v>
      </c>
    </row>
    <row r="4" spans="1:4">
      <c r="A4" s="7" t="s">
        <v>2</v>
      </c>
      <c r="B4" s="11" t="s">
        <v>217</v>
      </c>
      <c r="C4" s="1" t="s">
        <v>2634</v>
      </c>
      <c r="D4" s="30" t="s">
        <v>2642</v>
      </c>
    </row>
    <row r="5" spans="1:4" ht="82.5">
      <c r="A5" s="7" t="s">
        <v>241</v>
      </c>
      <c r="B5" s="13" t="s">
        <v>243</v>
      </c>
      <c r="C5" s="1" t="s">
        <v>2635</v>
      </c>
      <c r="D5" s="30" t="s">
        <v>2643</v>
      </c>
    </row>
    <row r="6" spans="1:4" ht="49.5">
      <c r="A6" s="7" t="s">
        <v>242</v>
      </c>
      <c r="B6" s="13" t="s">
        <v>244</v>
      </c>
      <c r="C6" s="1" t="s">
        <v>2636</v>
      </c>
      <c r="D6" s="30" t="s">
        <v>2644</v>
      </c>
    </row>
    <row r="7" spans="1:4" ht="49.5">
      <c r="A7" s="7" t="s">
        <v>196</v>
      </c>
      <c r="B7" s="12" t="s">
        <v>218</v>
      </c>
      <c r="C7" s="1" t="s">
        <v>2637</v>
      </c>
      <c r="D7" s="6"/>
    </row>
    <row r="8" spans="1:4" ht="82.5">
      <c r="A8" s="7" t="s">
        <v>197</v>
      </c>
      <c r="B8" s="13" t="s">
        <v>232</v>
      </c>
      <c r="C8" s="1" t="s">
        <v>2638</v>
      </c>
      <c r="D8" s="6"/>
    </row>
    <row r="9" spans="1:4" ht="33">
      <c r="A9" s="7" t="s">
        <v>198</v>
      </c>
      <c r="B9" s="13" t="s">
        <v>230</v>
      </c>
      <c r="C9" s="1" t="s">
        <v>261</v>
      </c>
      <c r="D9" s="6"/>
    </row>
    <row r="10" spans="1:4" ht="33">
      <c r="A10" s="7" t="s">
        <v>199</v>
      </c>
      <c r="B10" s="11" t="s">
        <v>228</v>
      </c>
      <c r="C10" s="1" t="s">
        <v>288</v>
      </c>
      <c r="D10" s="30" t="s">
        <v>288</v>
      </c>
    </row>
    <row r="11" spans="1:4">
      <c r="A11" s="7" t="s">
        <v>200</v>
      </c>
      <c r="B11" s="11" t="s">
        <v>239</v>
      </c>
      <c r="C11" s="1" t="s">
        <v>2641</v>
      </c>
      <c r="D11" s="30" t="s">
        <v>2641</v>
      </c>
    </row>
    <row r="12" spans="1:4">
      <c r="A12" s="7" t="s">
        <v>180</v>
      </c>
      <c r="B12" s="11" t="s">
        <v>219</v>
      </c>
      <c r="C12" s="1">
        <v>2903911000</v>
      </c>
      <c r="D12" s="30">
        <v>2903911000</v>
      </c>
    </row>
    <row r="13" spans="1:4" ht="33">
      <c r="A13" s="7" t="s">
        <v>201</v>
      </c>
      <c r="B13" s="11" t="s">
        <v>229</v>
      </c>
      <c r="C13" s="1" t="s">
        <v>290</v>
      </c>
      <c r="D13" s="30" t="s">
        <v>290</v>
      </c>
    </row>
    <row r="14" spans="1:4" ht="33">
      <c r="A14" s="7" t="s">
        <v>202</v>
      </c>
      <c r="B14" s="11" t="s">
        <v>235</v>
      </c>
      <c r="C14" s="1" t="s">
        <v>211</v>
      </c>
      <c r="D14" s="21"/>
    </row>
    <row r="15" spans="1:4">
      <c r="A15" s="7" t="s">
        <v>203</v>
      </c>
      <c r="B15" s="11" t="s">
        <v>220</v>
      </c>
      <c r="C15" s="1" t="s">
        <v>211</v>
      </c>
      <c r="D15" s="6"/>
    </row>
    <row r="16" spans="1:4" ht="33">
      <c r="A16" s="7" t="s">
        <v>204</v>
      </c>
      <c r="B16" s="11" t="s">
        <v>233</v>
      </c>
      <c r="C16" s="1" t="s">
        <v>221</v>
      </c>
      <c r="D16" s="6"/>
    </row>
    <row r="17" spans="1:4" ht="33">
      <c r="A17" s="7" t="s">
        <v>205</v>
      </c>
      <c r="B17" s="11" t="s">
        <v>231</v>
      </c>
      <c r="C17" s="1" t="s">
        <v>221</v>
      </c>
      <c r="D17" s="6"/>
    </row>
    <row r="18" spans="1:4" ht="33">
      <c r="A18" s="7" t="s">
        <v>206</v>
      </c>
      <c r="B18" s="11" t="s">
        <v>234</v>
      </c>
      <c r="C18" s="1" t="s">
        <v>261</v>
      </c>
      <c r="D18" s="6"/>
    </row>
    <row r="19" spans="1:4" ht="33">
      <c r="A19" s="7" t="s">
        <v>207</v>
      </c>
      <c r="B19" s="11" t="s">
        <v>236</v>
      </c>
      <c r="C19" s="1" t="s">
        <v>212</v>
      </c>
      <c r="D19" s="6"/>
    </row>
    <row r="20" spans="1:4" ht="49.5">
      <c r="A20" s="8" t="s">
        <v>0</v>
      </c>
      <c r="B20" s="11" t="s">
        <v>223</v>
      </c>
      <c r="C20" s="1" t="s">
        <v>2639</v>
      </c>
      <c r="D20" s="6"/>
    </row>
    <row r="21" spans="1:4" ht="33">
      <c r="A21" s="7" t="s">
        <v>224</v>
      </c>
      <c r="B21" s="11"/>
      <c r="C21" s="1" t="s">
        <v>2640</v>
      </c>
      <c r="D21" s="6"/>
    </row>
    <row r="22" spans="1:4">
      <c r="A22" s="9" t="s">
        <v>225</v>
      </c>
      <c r="B22" s="11"/>
      <c r="C22" s="1" t="s">
        <v>211</v>
      </c>
      <c r="D22" s="10"/>
    </row>
    <row r="24" spans="1:4">
      <c r="A24" s="16" t="s">
        <v>327</v>
      </c>
      <c r="B24" s="16" t="s">
        <v>984</v>
      </c>
      <c r="C24" s="16" t="s">
        <v>328</v>
      </c>
      <c r="D24" s="16" t="s">
        <v>329</v>
      </c>
    </row>
    <row r="25" spans="1:4" ht="66">
      <c r="A25" s="1" t="s">
        <v>2645</v>
      </c>
      <c r="B25" s="1" t="s">
        <v>348</v>
      </c>
      <c r="C25" s="1" t="s">
        <v>2646</v>
      </c>
      <c r="D25" s="1" t="s">
        <v>2647</v>
      </c>
    </row>
    <row r="26" spans="1:4" ht="49.5">
      <c r="A26" s="1" t="s">
        <v>2648</v>
      </c>
      <c r="B26" s="1" t="s">
        <v>956</v>
      </c>
      <c r="C26" s="1" t="s">
        <v>2649</v>
      </c>
      <c r="D26" s="1" t="s">
        <v>2650</v>
      </c>
    </row>
    <row r="27" spans="1:4" ht="49.5">
      <c r="A27" s="1" t="s">
        <v>2651</v>
      </c>
      <c r="B27" s="1" t="s">
        <v>332</v>
      </c>
      <c r="C27" s="1" t="s">
        <v>2652</v>
      </c>
      <c r="D27" s="1" t="s">
        <v>2653</v>
      </c>
    </row>
    <row r="28" spans="1:4" ht="66">
      <c r="A28" s="1" t="s">
        <v>2654</v>
      </c>
      <c r="B28" s="1" t="s">
        <v>406</v>
      </c>
      <c r="C28" s="1" t="s">
        <v>2655</v>
      </c>
      <c r="D28" s="1" t="s">
        <v>2656</v>
      </c>
    </row>
    <row r="29" spans="1:4" ht="49.5">
      <c r="A29" s="1" t="s">
        <v>2654</v>
      </c>
      <c r="B29" s="1" t="s">
        <v>1100</v>
      </c>
      <c r="C29" s="1" t="s">
        <v>2657</v>
      </c>
      <c r="D29" s="1" t="s">
        <v>2658</v>
      </c>
    </row>
    <row r="30" spans="1:4" ht="49.5">
      <c r="A30" s="1" t="s">
        <v>2659</v>
      </c>
      <c r="B30" s="1" t="s">
        <v>348</v>
      </c>
      <c r="C30" s="1" t="s">
        <v>2660</v>
      </c>
      <c r="D30" s="1" t="s">
        <v>2661</v>
      </c>
    </row>
    <row r="31" spans="1:4" ht="49.5">
      <c r="A31" s="1" t="s">
        <v>2662</v>
      </c>
      <c r="B31" s="1" t="s">
        <v>348</v>
      </c>
      <c r="C31" s="1" t="s">
        <v>2663</v>
      </c>
      <c r="D31" s="1" t="s">
        <v>2664</v>
      </c>
    </row>
    <row r="32" spans="1:4" ht="49.5">
      <c r="A32" s="1" t="s">
        <v>2665</v>
      </c>
      <c r="B32" s="1" t="s">
        <v>340</v>
      </c>
      <c r="C32" s="1" t="s">
        <v>2666</v>
      </c>
      <c r="D32" s="1" t="s">
        <v>2667</v>
      </c>
    </row>
    <row r="33" spans="1:4" ht="33">
      <c r="A33" s="1" t="s">
        <v>2668</v>
      </c>
      <c r="B33" s="1" t="s">
        <v>340</v>
      </c>
      <c r="C33" s="1" t="s">
        <v>2669</v>
      </c>
      <c r="D33" s="1" t="s">
        <v>2670</v>
      </c>
    </row>
    <row r="34" spans="1:4" ht="49.5">
      <c r="A34" s="1" t="s">
        <v>2671</v>
      </c>
      <c r="B34" s="1" t="s">
        <v>348</v>
      </c>
      <c r="C34" s="1" t="s">
        <v>2672</v>
      </c>
      <c r="D34" s="1" t="s">
        <v>2673</v>
      </c>
    </row>
  </sheetData>
  <phoneticPr fontId="1" type="noConversion"/>
  <pageMargins left="0.7" right="0.7" top="0.75" bottom="0.75" header="0.3" footer="0.3"/>
  <tableParts count="1">
    <tablePart r:id="rId1"/>
  </tableParts>
</worksheet>
</file>

<file path=docMetadata/LabelInfo.xml><?xml version="1.0" encoding="utf-8"?>
<clbl:labelList xmlns:clbl="http://schemas.microsoft.com/office/2020/mipLabelMetadata">
  <clbl:label id="{a56ec2f6-49a6-4260-b291-cddfa4fb07f3}" enabled="1" method="Privileged" siteId="{a2d478ac-b585-41c5-a681-f7383808fa1a}"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87</vt:i4>
      </vt:variant>
      <vt:variant>
        <vt:lpstr>이름 지정된 범위</vt:lpstr>
      </vt:variant>
      <vt:variant>
        <vt:i4>1</vt:i4>
      </vt:variant>
    </vt:vector>
  </HeadingPairs>
  <TitlesOfParts>
    <vt:vector size="88" baseType="lpstr">
      <vt:lpstr>screen_master</vt:lpstr>
      <vt:lpstr>Progress</vt:lpstr>
      <vt:lpstr>material_strategy_master</vt:lpstr>
      <vt:lpstr>Overivew</vt:lpstr>
      <vt:lpstr>001_Ethylene</vt:lpstr>
      <vt:lpstr>002_HDPE</vt:lpstr>
      <vt:lpstr>003_LDPE</vt:lpstr>
      <vt:lpstr>004_LLDPE</vt:lpstr>
      <vt:lpstr>005_EDC</vt:lpstr>
      <vt:lpstr>006_VCM</vt:lpstr>
      <vt:lpstr>007_PVC</vt:lpstr>
      <vt:lpstr>008_Ethanol</vt:lpstr>
      <vt:lpstr>010_Ethyl Acetate</vt:lpstr>
      <vt:lpstr>012_EO</vt:lpstr>
      <vt:lpstr>014_MEA</vt:lpstr>
      <vt:lpstr>015_DEA</vt:lpstr>
      <vt:lpstr>016_TEA</vt:lpstr>
      <vt:lpstr>017_MEG</vt:lpstr>
      <vt:lpstr>018_Acetaldehyde</vt:lpstr>
      <vt:lpstr>019_VAM</vt:lpstr>
      <vt:lpstr>020_Propylene</vt:lpstr>
      <vt:lpstr>021_AN</vt:lpstr>
      <vt:lpstr>022_ABS</vt:lpstr>
      <vt:lpstr>023_SAN</vt:lpstr>
      <vt:lpstr>024_NBR</vt:lpstr>
      <vt:lpstr>025_PP</vt:lpstr>
      <vt:lpstr>026_PO</vt:lpstr>
      <vt:lpstr>027_PG</vt:lpstr>
      <vt:lpstr>028_PPG</vt:lpstr>
      <vt:lpstr>029_Polyols</vt:lpstr>
      <vt:lpstr>030_PU</vt:lpstr>
      <vt:lpstr>031_Acrylic acid</vt:lpstr>
      <vt:lpstr>033_Acrylate</vt:lpstr>
      <vt:lpstr>034_SAP</vt:lpstr>
      <vt:lpstr>035_n-Butyraldehyde</vt:lpstr>
      <vt:lpstr>036_2-Ethylhexanol</vt:lpstr>
      <vt:lpstr>037_n-Butanol</vt:lpstr>
      <vt:lpstr>038_n-Butyl acetate</vt:lpstr>
      <vt:lpstr>039_Isobutanol</vt:lpstr>
      <vt:lpstr>040_Isobutyl acetate</vt:lpstr>
      <vt:lpstr>041_IPA</vt:lpstr>
      <vt:lpstr>042_Isopropyl acetate</vt:lpstr>
      <vt:lpstr>043_Butadiene</vt:lpstr>
      <vt:lpstr>044_BR</vt:lpstr>
      <vt:lpstr>045_SBR</vt:lpstr>
      <vt:lpstr>046_Isobutylene</vt:lpstr>
      <vt:lpstr>047_PIB</vt:lpstr>
      <vt:lpstr>048_PB-1</vt:lpstr>
      <vt:lpstr>049_MTBE</vt:lpstr>
      <vt:lpstr>050_Butyl Rubber</vt:lpstr>
      <vt:lpstr>052_1-Butene</vt:lpstr>
      <vt:lpstr>054_Benzene</vt:lpstr>
      <vt:lpstr>055_Ethylbenzene</vt:lpstr>
      <vt:lpstr>056_Styrene</vt:lpstr>
      <vt:lpstr>057_PS</vt:lpstr>
      <vt:lpstr>058_Cumene</vt:lpstr>
      <vt:lpstr>059_Phenol</vt:lpstr>
      <vt:lpstr>060_Acetone</vt:lpstr>
      <vt:lpstr>061_BPA</vt:lpstr>
      <vt:lpstr>062_PC</vt:lpstr>
      <vt:lpstr>063_Epoxy resin</vt:lpstr>
      <vt:lpstr>064_Cyclohexane</vt:lpstr>
      <vt:lpstr>065_Aniline</vt:lpstr>
      <vt:lpstr>064_Cyclohexane (2)</vt:lpstr>
      <vt:lpstr>066_LAB</vt:lpstr>
      <vt:lpstr>068_MA</vt:lpstr>
      <vt:lpstr>071_Toluene</vt:lpstr>
      <vt:lpstr>072_Xylene</vt:lpstr>
      <vt:lpstr>073_PA</vt:lpstr>
      <vt:lpstr>074_Caprolactam</vt:lpstr>
      <vt:lpstr>075_LAO</vt:lpstr>
      <vt:lpstr>076_1-Hexene</vt:lpstr>
      <vt:lpstr>077_PAO</vt:lpstr>
      <vt:lpstr>083_PVOH</vt:lpstr>
      <vt:lpstr>084_EVA</vt:lpstr>
      <vt:lpstr>085_MDI</vt:lpstr>
      <vt:lpstr>086_TDI</vt:lpstr>
      <vt:lpstr>087_o-Xylene</vt:lpstr>
      <vt:lpstr>091_TPA</vt:lpstr>
      <vt:lpstr>088_m-Xylene</vt:lpstr>
      <vt:lpstr>089_p-Xylene</vt:lpstr>
      <vt:lpstr>090_PIA</vt:lpstr>
      <vt:lpstr>093_PET</vt:lpstr>
      <vt:lpstr>097_EDPM</vt:lpstr>
      <vt:lpstr>98_ECH</vt:lpstr>
      <vt:lpstr>107_iso-Butyraldehyde</vt:lpstr>
      <vt:lpstr>114_Chlorobenzene</vt:lpstr>
      <vt:lpstr>category_list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이원일(W.I. Lee)</cp:lastModifiedBy>
  <dcterms:created xsi:type="dcterms:W3CDTF">2015-06-05T18:19:34Z</dcterms:created>
  <dcterms:modified xsi:type="dcterms:W3CDTF">2026-06-23T04:42:18Z</dcterms:modified>
</cp:coreProperties>
</file>