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S\Petro_DB\"/>
    </mc:Choice>
  </mc:AlternateContent>
  <xr:revisionPtr revIDLastSave="0" documentId="13_ncr:1_{2251622C-402C-445B-AD36-763F2E2E362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aterial_master(optional)" sheetId="1" r:id="rId1"/>
    <sheet name="trade" sheetId="9" r:id="rId2"/>
    <sheet name="raw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7" i="10" l="1"/>
  <c r="G707" i="10" s="1"/>
  <c r="F708" i="10"/>
  <c r="G708" i="10" s="1"/>
  <c r="F709" i="10"/>
  <c r="G709" i="10" s="1"/>
  <c r="F710" i="10"/>
  <c r="G710" i="10" s="1"/>
  <c r="F711" i="10"/>
  <c r="G711" i="10" s="1"/>
  <c r="F712" i="10"/>
  <c r="G712" i="10" s="1"/>
  <c r="F713" i="10"/>
  <c r="F714" i="10"/>
  <c r="F715" i="10"/>
  <c r="F716" i="10"/>
  <c r="G713" i="10"/>
  <c r="G714" i="10"/>
  <c r="G715" i="10"/>
  <c r="G716" i="10"/>
  <c r="H707" i="10"/>
  <c r="H708" i="10"/>
  <c r="H709" i="10"/>
  <c r="H710" i="10"/>
  <c r="H711" i="10"/>
  <c r="H712" i="10"/>
  <c r="H713" i="10"/>
  <c r="H714" i="10"/>
  <c r="H715" i="10"/>
  <c r="H716" i="10"/>
  <c r="F207" i="10"/>
  <c r="G207" i="10" s="1"/>
  <c r="H207" i="10"/>
  <c r="F202" i="10"/>
  <c r="G202" i="10" s="1"/>
  <c r="F203" i="10"/>
  <c r="G203" i="10" s="1"/>
  <c r="F204" i="10"/>
  <c r="G204" i="10" s="1"/>
  <c r="F205" i="10"/>
  <c r="G205" i="10" s="1"/>
  <c r="F206" i="10"/>
  <c r="G206" i="10"/>
  <c r="H202" i="10"/>
  <c r="H203" i="10"/>
  <c r="H204" i="10"/>
  <c r="H205" i="10"/>
  <c r="H206" i="10"/>
  <c r="F647" i="10"/>
  <c r="G647" i="10" s="1"/>
  <c r="F648" i="10"/>
  <c r="G648" i="10" s="1"/>
  <c r="F649" i="10"/>
  <c r="G649" i="10" s="1"/>
  <c r="F650" i="10"/>
  <c r="G650" i="10" s="1"/>
  <c r="F651" i="10"/>
  <c r="G651" i="10" s="1"/>
  <c r="F652" i="10"/>
  <c r="G652" i="10" s="1"/>
  <c r="F653" i="10"/>
  <c r="G653" i="10" s="1"/>
  <c r="F654" i="10"/>
  <c r="G654" i="10" s="1"/>
  <c r="F655" i="10"/>
  <c r="G655" i="10" s="1"/>
  <c r="F656" i="10"/>
  <c r="G656" i="10" s="1"/>
  <c r="H647" i="10"/>
  <c r="H648" i="10"/>
  <c r="H649" i="10"/>
  <c r="H650" i="10"/>
  <c r="H651" i="10"/>
  <c r="H652" i="10"/>
  <c r="H653" i="10"/>
  <c r="H654" i="10"/>
  <c r="H655" i="10"/>
  <c r="H656" i="10"/>
  <c r="F703" i="10"/>
  <c r="G703" i="10" s="1"/>
  <c r="F704" i="10"/>
  <c r="G704" i="10" s="1"/>
  <c r="F705" i="10"/>
  <c r="G705" i="10" s="1"/>
  <c r="F706" i="10"/>
  <c r="G706" i="10"/>
  <c r="H703" i="10"/>
  <c r="H704" i="10"/>
  <c r="H705" i="10"/>
  <c r="H706" i="10"/>
  <c r="F52" i="10"/>
  <c r="G52" i="10" s="1"/>
  <c r="F53" i="10"/>
  <c r="G53" i="10" s="1"/>
  <c r="F54" i="10"/>
  <c r="G54" i="10" s="1"/>
  <c r="F55" i="10"/>
  <c r="G55" i="10" s="1"/>
  <c r="F56" i="10"/>
  <c r="G56" i="10" s="1"/>
  <c r="F57" i="10"/>
  <c r="G57" i="10" s="1"/>
  <c r="F58" i="10"/>
  <c r="G58" i="10" s="1"/>
  <c r="F59" i="10"/>
  <c r="G59" i="10" s="1"/>
  <c r="F60" i="10"/>
  <c r="G60" i="10" s="1"/>
  <c r="F61" i="10"/>
  <c r="G61" i="10" s="1"/>
  <c r="H52" i="10"/>
  <c r="H53" i="10"/>
  <c r="H54" i="10"/>
  <c r="H55" i="10"/>
  <c r="H56" i="10"/>
  <c r="H57" i="10"/>
  <c r="H58" i="10"/>
  <c r="H59" i="10"/>
  <c r="H60" i="10"/>
  <c r="H61" i="10"/>
  <c r="F667" i="10" l="1"/>
  <c r="G667" i="10" s="1"/>
  <c r="F668" i="10"/>
  <c r="G668" i="10" s="1"/>
  <c r="F669" i="10"/>
  <c r="G669" i="10" s="1"/>
  <c r="F670" i="10"/>
  <c r="G670" i="10" s="1"/>
  <c r="F671" i="10"/>
  <c r="G671" i="10" s="1"/>
  <c r="F672" i="10"/>
  <c r="G672" i="10" s="1"/>
  <c r="H667" i="10"/>
  <c r="H668" i="10"/>
  <c r="H669" i="10"/>
  <c r="H670" i="10"/>
  <c r="H671" i="10"/>
  <c r="H672" i="10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57" i="10"/>
  <c r="H658" i="10"/>
  <c r="H659" i="10"/>
  <c r="H660" i="10"/>
  <c r="H661" i="10"/>
  <c r="H662" i="10"/>
  <c r="H663" i="10"/>
  <c r="H664" i="10"/>
  <c r="H665" i="10"/>
  <c r="H666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22" i="10"/>
  <c r="H23" i="10"/>
  <c r="H24" i="10"/>
  <c r="H25" i="10"/>
  <c r="H26" i="10"/>
  <c r="H27" i="10"/>
  <c r="H28" i="10"/>
  <c r="H29" i="10"/>
  <c r="H30" i="10"/>
  <c r="H31" i="10"/>
  <c r="F22" i="10"/>
  <c r="G22" i="10" s="1"/>
  <c r="F23" i="10"/>
  <c r="G23" i="10" s="1"/>
  <c r="F24" i="10"/>
  <c r="G24" i="10" s="1"/>
  <c r="F25" i="10"/>
  <c r="G25" i="10" s="1"/>
  <c r="F26" i="10"/>
  <c r="G26" i="10" s="1"/>
  <c r="F27" i="10"/>
  <c r="G27" i="10" s="1"/>
  <c r="F28" i="10"/>
  <c r="G28" i="10" s="1"/>
  <c r="F29" i="10"/>
  <c r="G29" i="10" s="1"/>
  <c r="F30" i="10"/>
  <c r="G30" i="10" s="1"/>
  <c r="F31" i="10"/>
  <c r="G31" i="10" s="1"/>
  <c r="F142" i="10"/>
  <c r="G142" i="10" s="1"/>
  <c r="F143" i="10"/>
  <c r="G143" i="10" s="1"/>
  <c r="F144" i="10"/>
  <c r="G144" i="10" s="1"/>
  <c r="F145" i="10"/>
  <c r="G145" i="10" s="1"/>
  <c r="F146" i="10"/>
  <c r="G146" i="10" s="1"/>
  <c r="F147" i="10"/>
  <c r="G147" i="10" s="1"/>
  <c r="F148" i="10"/>
  <c r="G148" i="10" s="1"/>
  <c r="F149" i="10"/>
  <c r="G149" i="10" s="1"/>
  <c r="F150" i="10"/>
  <c r="G150" i="10" s="1"/>
  <c r="F151" i="10"/>
  <c r="G151" i="10" s="1"/>
  <c r="F42" i="10" l="1"/>
  <c r="G42" i="10" s="1"/>
  <c r="F43" i="10"/>
  <c r="F44" i="10"/>
  <c r="G44" i="10" s="1"/>
  <c r="F45" i="10"/>
  <c r="G45" i="10" s="1"/>
  <c r="F46" i="10"/>
  <c r="G46" i="10" s="1"/>
  <c r="F47" i="10"/>
  <c r="G47" i="10" s="1"/>
  <c r="F48" i="10"/>
  <c r="G48" i="10" s="1"/>
  <c r="F49" i="10"/>
  <c r="G49" i="10" s="1"/>
  <c r="F50" i="10"/>
  <c r="G50" i="10" s="1"/>
  <c r="F51" i="10"/>
  <c r="G51" i="10" s="1"/>
  <c r="G43" i="10"/>
  <c r="F693" i="10"/>
  <c r="G693" i="10" s="1"/>
  <c r="F694" i="10"/>
  <c r="G694" i="10" s="1"/>
  <c r="F695" i="10"/>
  <c r="G695" i="10" s="1"/>
  <c r="F696" i="10"/>
  <c r="G696" i="10" s="1"/>
  <c r="F697" i="10"/>
  <c r="G697" i="10" s="1"/>
  <c r="F698" i="10"/>
  <c r="G698" i="10" s="1"/>
  <c r="F699" i="10"/>
  <c r="G699" i="10" s="1"/>
  <c r="F700" i="10"/>
  <c r="G700" i="10" s="1"/>
  <c r="F701" i="10"/>
  <c r="G701" i="10" s="1"/>
  <c r="F702" i="10"/>
  <c r="G702" i="10" s="1"/>
  <c r="F32" i="10"/>
  <c r="G32" i="10" s="1"/>
  <c r="F33" i="10"/>
  <c r="G33" i="10" s="1"/>
  <c r="F34" i="10"/>
  <c r="G34" i="10" s="1"/>
  <c r="F35" i="10"/>
  <c r="G35" i="10" s="1"/>
  <c r="F36" i="10"/>
  <c r="G36" i="10" s="1"/>
  <c r="F37" i="10"/>
  <c r="G37" i="10" s="1"/>
  <c r="F38" i="10"/>
  <c r="G38" i="10" s="1"/>
  <c r="F39" i="10"/>
  <c r="G39" i="10" s="1"/>
  <c r="F40" i="10"/>
  <c r="G40" i="10" s="1"/>
  <c r="F41" i="10"/>
  <c r="G41" i="10" s="1"/>
  <c r="F388" i="10"/>
  <c r="G388" i="10" s="1"/>
  <c r="F389" i="10"/>
  <c r="G389" i="10" s="1"/>
  <c r="F390" i="10"/>
  <c r="G390" i="10" s="1"/>
  <c r="F391" i="10"/>
  <c r="G391" i="10" s="1"/>
  <c r="F392" i="10"/>
  <c r="G392" i="10" s="1"/>
  <c r="F393" i="10"/>
  <c r="G393" i="10" s="1"/>
  <c r="F394" i="10"/>
  <c r="G394" i="10" s="1"/>
  <c r="F395" i="10"/>
  <c r="G395" i="10" s="1"/>
  <c r="F396" i="10"/>
  <c r="G396" i="10" s="1"/>
  <c r="F397" i="10"/>
  <c r="G397" i="10" s="1"/>
  <c r="F577" i="10"/>
  <c r="G577" i="10" s="1"/>
  <c r="F578" i="10"/>
  <c r="G578" i="10" s="1"/>
  <c r="F579" i="10"/>
  <c r="G579" i="10" s="1"/>
  <c r="F580" i="10"/>
  <c r="G580" i="10" s="1"/>
  <c r="F581" i="10"/>
  <c r="G581" i="10" s="1"/>
  <c r="F582" i="10"/>
  <c r="G582" i="10" s="1"/>
  <c r="F583" i="10"/>
  <c r="G583" i="10" s="1"/>
  <c r="F584" i="10"/>
  <c r="G584" i="10" s="1"/>
  <c r="F585" i="10"/>
  <c r="G585" i="10" s="1"/>
  <c r="F586" i="10"/>
  <c r="G586" i="10" s="1"/>
  <c r="F637" i="10"/>
  <c r="G637" i="10" s="1"/>
  <c r="F638" i="10"/>
  <c r="G638" i="10" s="1"/>
  <c r="F639" i="10"/>
  <c r="G639" i="10" s="1"/>
  <c r="F640" i="10"/>
  <c r="G640" i="10" s="1"/>
  <c r="F641" i="10"/>
  <c r="G641" i="10" s="1"/>
  <c r="F642" i="10"/>
  <c r="G642" i="10" s="1"/>
  <c r="F643" i="10"/>
  <c r="G643" i="10" s="1"/>
  <c r="F644" i="10"/>
  <c r="G644" i="10" s="1"/>
  <c r="F645" i="10"/>
  <c r="G645" i="10" s="1"/>
  <c r="F646" i="10"/>
  <c r="G646" i="10" s="1"/>
  <c r="F12" i="10"/>
  <c r="G12" i="10" s="1"/>
  <c r="F13" i="10"/>
  <c r="G13" i="10" s="1"/>
  <c r="F14" i="10"/>
  <c r="G14" i="10" s="1"/>
  <c r="F15" i="10"/>
  <c r="G15" i="10" s="1"/>
  <c r="F16" i="10"/>
  <c r="G16" i="10" s="1"/>
  <c r="F17" i="10"/>
  <c r="G17" i="10" s="1"/>
  <c r="F18" i="10"/>
  <c r="G18" i="10" s="1"/>
  <c r="F19" i="10"/>
  <c r="G19" i="10" s="1"/>
  <c r="F20" i="10"/>
  <c r="G20" i="10" s="1"/>
  <c r="F21" i="10"/>
  <c r="G21" i="10" s="1"/>
  <c r="A61" i="9"/>
  <c r="A60" i="9"/>
  <c r="A59" i="9"/>
  <c r="F443" i="10"/>
  <c r="G443" i="10" s="1"/>
  <c r="F444" i="10"/>
  <c r="G444" i="10" s="1"/>
  <c r="F445" i="10"/>
  <c r="G445" i="10" s="1"/>
  <c r="F446" i="10"/>
  <c r="G446" i="10" s="1"/>
  <c r="F447" i="10"/>
  <c r="G447" i="10" s="1"/>
  <c r="F318" i="10"/>
  <c r="G318" i="10" s="1"/>
  <c r="F319" i="10"/>
  <c r="G319" i="10" s="1"/>
  <c r="F320" i="10"/>
  <c r="G320" i="10" s="1"/>
  <c r="F321" i="10"/>
  <c r="G321" i="10" s="1"/>
  <c r="F322" i="10"/>
  <c r="G322" i="10" s="1"/>
  <c r="F323" i="10"/>
  <c r="G323" i="10" s="1"/>
  <c r="F324" i="10"/>
  <c r="G324" i="10" s="1"/>
  <c r="F325" i="10"/>
  <c r="G325" i="10" s="1"/>
  <c r="F326" i="10"/>
  <c r="G326" i="10" s="1"/>
  <c r="F327" i="10"/>
  <c r="G327" i="10" s="1"/>
  <c r="F438" i="10"/>
  <c r="G438" i="10" s="1"/>
  <c r="F439" i="10"/>
  <c r="G439" i="10" s="1"/>
  <c r="F440" i="10"/>
  <c r="G440" i="10" s="1"/>
  <c r="F441" i="10"/>
  <c r="G441" i="10" s="1"/>
  <c r="F442" i="10"/>
  <c r="G442" i="10" s="1"/>
  <c r="F692" i="10"/>
  <c r="G692" i="10" s="1"/>
  <c r="F682" i="10"/>
  <c r="G682" i="10" s="1"/>
  <c r="F666" i="10"/>
  <c r="G666" i="10" s="1"/>
  <c r="F636" i="10"/>
  <c r="G636" i="10" s="1"/>
  <c r="F626" i="10"/>
  <c r="G626" i="10" s="1"/>
  <c r="F616" i="10"/>
  <c r="G616" i="10" s="1"/>
  <c r="F606" i="10"/>
  <c r="G606" i="10" s="1"/>
  <c r="F596" i="10"/>
  <c r="G596" i="10" s="1"/>
  <c r="F576" i="10"/>
  <c r="G576" i="10" s="1"/>
  <c r="F566" i="10"/>
  <c r="G566" i="10" s="1"/>
  <c r="F556" i="10"/>
  <c r="G556" i="10" s="1"/>
  <c r="F546" i="10"/>
  <c r="G546" i="10" s="1"/>
  <c r="F536" i="10"/>
  <c r="G536" i="10" s="1"/>
  <c r="F526" i="10"/>
  <c r="G526" i="10" s="1"/>
  <c r="F517" i="10"/>
  <c r="G517" i="10" s="1"/>
  <c r="F507" i="10"/>
  <c r="G507" i="10" s="1"/>
  <c r="F497" i="10"/>
  <c r="G497" i="10" s="1"/>
  <c r="F487" i="10"/>
  <c r="G487" i="10" s="1"/>
  <c r="F477" i="10"/>
  <c r="G477" i="10" s="1"/>
  <c r="F467" i="10"/>
  <c r="G467" i="10" s="1"/>
  <c r="F457" i="10"/>
  <c r="G457" i="10" s="1"/>
  <c r="F437" i="10"/>
  <c r="G437" i="10" s="1"/>
  <c r="F427" i="10"/>
  <c r="G427" i="10" s="1"/>
  <c r="F417" i="10"/>
  <c r="G417" i="10" s="1"/>
  <c r="F407" i="10"/>
  <c r="G407" i="10" s="1"/>
  <c r="F387" i="10"/>
  <c r="G387" i="10" s="1"/>
  <c r="F377" i="10"/>
  <c r="G377" i="10" s="1"/>
  <c r="F367" i="10"/>
  <c r="G367" i="10" s="1"/>
  <c r="F357" i="10"/>
  <c r="G357" i="10" s="1"/>
  <c r="F347" i="10"/>
  <c r="G347" i="10" s="1"/>
  <c r="F337" i="10"/>
  <c r="G337" i="10" s="1"/>
  <c r="F317" i="10"/>
  <c r="G317" i="10" s="1"/>
  <c r="F307" i="10"/>
  <c r="G307" i="10" s="1"/>
  <c r="F297" i="10"/>
  <c r="G297" i="10" s="1"/>
  <c r="F287" i="10"/>
  <c r="G287" i="10" s="1"/>
  <c r="F277" i="10"/>
  <c r="G277" i="10" s="1"/>
  <c r="F267" i="10"/>
  <c r="G267" i="10" s="1"/>
  <c r="F257" i="10"/>
  <c r="G257" i="10" s="1"/>
  <c r="F247" i="10"/>
  <c r="G247" i="10" s="1"/>
  <c r="F237" i="10"/>
  <c r="G237" i="10" s="1"/>
  <c r="F227" i="10"/>
  <c r="G227" i="10" s="1"/>
  <c r="F217" i="10"/>
  <c r="G217" i="10" s="1"/>
  <c r="F201" i="10"/>
  <c r="G201" i="10" s="1"/>
  <c r="F191" i="10"/>
  <c r="G191" i="10" s="1"/>
  <c r="F181" i="10"/>
  <c r="G181" i="10" s="1"/>
  <c r="F171" i="10"/>
  <c r="G171" i="10" s="1"/>
  <c r="F161" i="10"/>
  <c r="G161" i="10" s="1"/>
  <c r="F141" i="10"/>
  <c r="G141" i="10" s="1"/>
  <c r="F131" i="10"/>
  <c r="G131" i="10" s="1"/>
  <c r="F121" i="10"/>
  <c r="G121" i="10" s="1"/>
  <c r="F111" i="10"/>
  <c r="G111" i="10" s="1"/>
  <c r="F101" i="10"/>
  <c r="G101" i="10" s="1"/>
  <c r="F91" i="10"/>
  <c r="G91" i="10" s="1"/>
  <c r="F81" i="10"/>
  <c r="G81" i="10" s="1"/>
  <c r="F71" i="10"/>
  <c r="G71" i="10" s="1"/>
  <c r="F11" i="10"/>
  <c r="G11" i="10" s="1"/>
  <c r="F691" i="10"/>
  <c r="G691" i="10" s="1"/>
  <c r="F681" i="10"/>
  <c r="G681" i="10" s="1"/>
  <c r="F665" i="10"/>
  <c r="G665" i="10" s="1"/>
  <c r="F635" i="10"/>
  <c r="G635" i="10" s="1"/>
  <c r="F625" i="10"/>
  <c r="G625" i="10" s="1"/>
  <c r="F615" i="10"/>
  <c r="G615" i="10" s="1"/>
  <c r="F605" i="10"/>
  <c r="G605" i="10" s="1"/>
  <c r="F595" i="10"/>
  <c r="G595" i="10" s="1"/>
  <c r="F575" i="10"/>
  <c r="G575" i="10" s="1"/>
  <c r="F565" i="10"/>
  <c r="G565" i="10" s="1"/>
  <c r="F555" i="10"/>
  <c r="G555" i="10" s="1"/>
  <c r="F545" i="10"/>
  <c r="G545" i="10" s="1"/>
  <c r="F535" i="10"/>
  <c r="G535" i="10" s="1"/>
  <c r="F525" i="10"/>
  <c r="G525" i="10" s="1"/>
  <c r="F516" i="10"/>
  <c r="G516" i="10" s="1"/>
  <c r="F506" i="10"/>
  <c r="G506" i="10" s="1"/>
  <c r="F496" i="10"/>
  <c r="G496" i="10" s="1"/>
  <c r="F486" i="10"/>
  <c r="G486" i="10" s="1"/>
  <c r="F476" i="10"/>
  <c r="G476" i="10" s="1"/>
  <c r="F466" i="10"/>
  <c r="G466" i="10" s="1"/>
  <c r="F456" i="10"/>
  <c r="G456" i="10" s="1"/>
  <c r="F436" i="10"/>
  <c r="G436" i="10" s="1"/>
  <c r="F426" i="10"/>
  <c r="G426" i="10" s="1"/>
  <c r="F416" i="10"/>
  <c r="G416" i="10" s="1"/>
  <c r="F406" i="10"/>
  <c r="G406" i="10" s="1"/>
  <c r="F386" i="10"/>
  <c r="G386" i="10" s="1"/>
  <c r="F376" i="10"/>
  <c r="G376" i="10" s="1"/>
  <c r="F366" i="10"/>
  <c r="G366" i="10" s="1"/>
  <c r="F356" i="10"/>
  <c r="G356" i="10" s="1"/>
  <c r="F346" i="10"/>
  <c r="G346" i="10" s="1"/>
  <c r="F336" i="10"/>
  <c r="G336" i="10" s="1"/>
  <c r="F316" i="10"/>
  <c r="G316" i="10" s="1"/>
  <c r="F306" i="10"/>
  <c r="G306" i="10" s="1"/>
  <c r="F296" i="10"/>
  <c r="G296" i="10" s="1"/>
  <c r="F286" i="10"/>
  <c r="G286" i="10" s="1"/>
  <c r="F276" i="10"/>
  <c r="G276" i="10" s="1"/>
  <c r="F266" i="10"/>
  <c r="G266" i="10" s="1"/>
  <c r="F256" i="10"/>
  <c r="G256" i="10" s="1"/>
  <c r="F246" i="10"/>
  <c r="G246" i="10" s="1"/>
  <c r="F236" i="10"/>
  <c r="G236" i="10" s="1"/>
  <c r="F226" i="10"/>
  <c r="G226" i="10" s="1"/>
  <c r="F216" i="10"/>
  <c r="G216" i="10" s="1"/>
  <c r="F200" i="10"/>
  <c r="G200" i="10" s="1"/>
  <c r="F190" i="10"/>
  <c r="G190" i="10" s="1"/>
  <c r="F180" i="10"/>
  <c r="G180" i="10" s="1"/>
  <c r="F170" i="10"/>
  <c r="G170" i="10" s="1"/>
  <c r="F160" i="10"/>
  <c r="G160" i="10" s="1"/>
  <c r="F140" i="10"/>
  <c r="G140" i="10" s="1"/>
  <c r="F130" i="10"/>
  <c r="G130" i="10" s="1"/>
  <c r="F120" i="10"/>
  <c r="G120" i="10" s="1"/>
  <c r="F110" i="10"/>
  <c r="G110" i="10" s="1"/>
  <c r="F100" i="10"/>
  <c r="G100" i="10" s="1"/>
  <c r="F90" i="10"/>
  <c r="G90" i="10" s="1"/>
  <c r="F80" i="10"/>
  <c r="G80" i="10" s="1"/>
  <c r="F70" i="10"/>
  <c r="G70" i="10" s="1"/>
  <c r="F10" i="10"/>
  <c r="G10" i="10" s="1"/>
  <c r="F690" i="10"/>
  <c r="G690" i="10" s="1"/>
  <c r="F680" i="10"/>
  <c r="G680" i="10" s="1"/>
  <c r="F664" i="10"/>
  <c r="G664" i="10" s="1"/>
  <c r="F634" i="10"/>
  <c r="G634" i="10" s="1"/>
  <c r="F624" i="10"/>
  <c r="G624" i="10" s="1"/>
  <c r="F614" i="10"/>
  <c r="G614" i="10" s="1"/>
  <c r="F604" i="10"/>
  <c r="G604" i="10" s="1"/>
  <c r="F594" i="10"/>
  <c r="G594" i="10" s="1"/>
  <c r="F574" i="10"/>
  <c r="G574" i="10" s="1"/>
  <c r="F564" i="10"/>
  <c r="G564" i="10" s="1"/>
  <c r="F554" i="10"/>
  <c r="G554" i="10" s="1"/>
  <c r="F544" i="10"/>
  <c r="G544" i="10" s="1"/>
  <c r="F534" i="10"/>
  <c r="G534" i="10" s="1"/>
  <c r="F524" i="10"/>
  <c r="G524" i="10" s="1"/>
  <c r="F515" i="10"/>
  <c r="G515" i="10" s="1"/>
  <c r="F505" i="10"/>
  <c r="G505" i="10" s="1"/>
  <c r="F495" i="10"/>
  <c r="G495" i="10" s="1"/>
  <c r="F485" i="10"/>
  <c r="G485" i="10" s="1"/>
  <c r="F475" i="10"/>
  <c r="G475" i="10" s="1"/>
  <c r="F465" i="10"/>
  <c r="G465" i="10" s="1"/>
  <c r="F455" i="10"/>
  <c r="G455" i="10" s="1"/>
  <c r="F435" i="10"/>
  <c r="G435" i="10" s="1"/>
  <c r="F425" i="10"/>
  <c r="G425" i="10" s="1"/>
  <c r="F415" i="10"/>
  <c r="G415" i="10" s="1"/>
  <c r="F405" i="10"/>
  <c r="G405" i="10" s="1"/>
  <c r="F385" i="10"/>
  <c r="G385" i="10" s="1"/>
  <c r="F375" i="10"/>
  <c r="G375" i="10" s="1"/>
  <c r="F365" i="10"/>
  <c r="G365" i="10" s="1"/>
  <c r="F355" i="10"/>
  <c r="G355" i="10" s="1"/>
  <c r="F345" i="10"/>
  <c r="G345" i="10" s="1"/>
  <c r="F335" i="10"/>
  <c r="G335" i="10" s="1"/>
  <c r="F315" i="10"/>
  <c r="G315" i="10" s="1"/>
  <c r="F305" i="10"/>
  <c r="G305" i="10" s="1"/>
  <c r="F295" i="10"/>
  <c r="G295" i="10" s="1"/>
  <c r="F285" i="10"/>
  <c r="G285" i="10" s="1"/>
  <c r="F275" i="10"/>
  <c r="G275" i="10" s="1"/>
  <c r="F265" i="10"/>
  <c r="G265" i="10" s="1"/>
  <c r="F255" i="10"/>
  <c r="G255" i="10" s="1"/>
  <c r="F245" i="10"/>
  <c r="G245" i="10" s="1"/>
  <c r="F235" i="10"/>
  <c r="G235" i="10" s="1"/>
  <c r="F225" i="10"/>
  <c r="G225" i="10" s="1"/>
  <c r="F215" i="10"/>
  <c r="G215" i="10" s="1"/>
  <c r="F199" i="10"/>
  <c r="G199" i="10" s="1"/>
  <c r="F189" i="10"/>
  <c r="G189" i="10" s="1"/>
  <c r="F179" i="10"/>
  <c r="G179" i="10" s="1"/>
  <c r="F169" i="10"/>
  <c r="G169" i="10" s="1"/>
  <c r="F159" i="10"/>
  <c r="G159" i="10" s="1"/>
  <c r="F139" i="10"/>
  <c r="G139" i="10" s="1"/>
  <c r="F129" i="10"/>
  <c r="G129" i="10" s="1"/>
  <c r="F119" i="10"/>
  <c r="G119" i="10" s="1"/>
  <c r="F109" i="10"/>
  <c r="G109" i="10" s="1"/>
  <c r="F99" i="10"/>
  <c r="G99" i="10" s="1"/>
  <c r="F89" i="10"/>
  <c r="G89" i="10" s="1"/>
  <c r="F79" i="10"/>
  <c r="G79" i="10" s="1"/>
  <c r="F69" i="10"/>
  <c r="G69" i="10" s="1"/>
  <c r="F9" i="10"/>
  <c r="G9" i="10" s="1"/>
  <c r="F689" i="10"/>
  <c r="G689" i="10" s="1"/>
  <c r="F679" i="10"/>
  <c r="G679" i="10" s="1"/>
  <c r="F663" i="10"/>
  <c r="G663" i="10" s="1"/>
  <c r="F633" i="10"/>
  <c r="G633" i="10" s="1"/>
  <c r="F623" i="10"/>
  <c r="G623" i="10" s="1"/>
  <c r="F613" i="10"/>
  <c r="G613" i="10" s="1"/>
  <c r="F603" i="10"/>
  <c r="G603" i="10" s="1"/>
  <c r="F593" i="10"/>
  <c r="G593" i="10" s="1"/>
  <c r="F573" i="10"/>
  <c r="G573" i="10" s="1"/>
  <c r="F563" i="10"/>
  <c r="G563" i="10" s="1"/>
  <c r="F553" i="10"/>
  <c r="G553" i="10" s="1"/>
  <c r="F543" i="10"/>
  <c r="G543" i="10" s="1"/>
  <c r="F533" i="10"/>
  <c r="G533" i="10" s="1"/>
  <c r="F523" i="10"/>
  <c r="G523" i="10" s="1"/>
  <c r="F514" i="10"/>
  <c r="G514" i="10" s="1"/>
  <c r="F504" i="10"/>
  <c r="G504" i="10" s="1"/>
  <c r="F494" i="10"/>
  <c r="G494" i="10" s="1"/>
  <c r="F484" i="10"/>
  <c r="G484" i="10" s="1"/>
  <c r="F474" i="10"/>
  <c r="G474" i="10" s="1"/>
  <c r="F464" i="10"/>
  <c r="G464" i="10" s="1"/>
  <c r="F454" i="10"/>
  <c r="G454" i="10" s="1"/>
  <c r="F434" i="10"/>
  <c r="G434" i="10" s="1"/>
  <c r="F424" i="10"/>
  <c r="G424" i="10" s="1"/>
  <c r="F414" i="10"/>
  <c r="G414" i="10" s="1"/>
  <c r="F404" i="10"/>
  <c r="G404" i="10" s="1"/>
  <c r="F384" i="10"/>
  <c r="G384" i="10" s="1"/>
  <c r="F374" i="10"/>
  <c r="G374" i="10" s="1"/>
  <c r="F364" i="10"/>
  <c r="G364" i="10" s="1"/>
  <c r="F354" i="10"/>
  <c r="G354" i="10" s="1"/>
  <c r="F344" i="10"/>
  <c r="G344" i="10" s="1"/>
  <c r="F334" i="10"/>
  <c r="G334" i="10" s="1"/>
  <c r="F314" i="10"/>
  <c r="G314" i="10" s="1"/>
  <c r="F304" i="10"/>
  <c r="G304" i="10" s="1"/>
  <c r="F294" i="10"/>
  <c r="G294" i="10" s="1"/>
  <c r="F284" i="10"/>
  <c r="G284" i="10" s="1"/>
  <c r="F274" i="10"/>
  <c r="G274" i="10" s="1"/>
  <c r="F264" i="10"/>
  <c r="G264" i="10" s="1"/>
  <c r="F254" i="10"/>
  <c r="G254" i="10" s="1"/>
  <c r="F244" i="10"/>
  <c r="G244" i="10" s="1"/>
  <c r="F234" i="10"/>
  <c r="G234" i="10" s="1"/>
  <c r="F224" i="10"/>
  <c r="G224" i="10" s="1"/>
  <c r="F214" i="10"/>
  <c r="G214" i="10" s="1"/>
  <c r="F198" i="10"/>
  <c r="G198" i="10" s="1"/>
  <c r="F188" i="10"/>
  <c r="G188" i="10" s="1"/>
  <c r="F178" i="10"/>
  <c r="G178" i="10" s="1"/>
  <c r="F168" i="10"/>
  <c r="G168" i="10" s="1"/>
  <c r="F158" i="10"/>
  <c r="G158" i="10" s="1"/>
  <c r="F138" i="10"/>
  <c r="G138" i="10" s="1"/>
  <c r="F128" i="10"/>
  <c r="G128" i="10" s="1"/>
  <c r="F118" i="10"/>
  <c r="G118" i="10" s="1"/>
  <c r="F108" i="10"/>
  <c r="G108" i="10" s="1"/>
  <c r="F98" i="10"/>
  <c r="G98" i="10" s="1"/>
  <c r="F88" i="10"/>
  <c r="G88" i="10" s="1"/>
  <c r="F78" i="10"/>
  <c r="G78" i="10" s="1"/>
  <c r="F68" i="10"/>
  <c r="G68" i="10" s="1"/>
  <c r="F8" i="10"/>
  <c r="G8" i="10" s="1"/>
  <c r="F688" i="10"/>
  <c r="G688" i="10" s="1"/>
  <c r="F678" i="10"/>
  <c r="G678" i="10" s="1"/>
  <c r="F662" i="10"/>
  <c r="G662" i="10" s="1"/>
  <c r="F632" i="10"/>
  <c r="G632" i="10" s="1"/>
  <c r="F622" i="10"/>
  <c r="G622" i="10" s="1"/>
  <c r="F612" i="10"/>
  <c r="G612" i="10" s="1"/>
  <c r="F602" i="10"/>
  <c r="G602" i="10" s="1"/>
  <c r="F592" i="10"/>
  <c r="G592" i="10" s="1"/>
  <c r="F572" i="10"/>
  <c r="G572" i="10" s="1"/>
  <c r="F562" i="10"/>
  <c r="G562" i="10" s="1"/>
  <c r="F552" i="10"/>
  <c r="G552" i="10" s="1"/>
  <c r="F542" i="10"/>
  <c r="G542" i="10" s="1"/>
  <c r="F532" i="10"/>
  <c r="G532" i="10" s="1"/>
  <c r="F522" i="10"/>
  <c r="G522" i="10" s="1"/>
  <c r="F513" i="10"/>
  <c r="G513" i="10" s="1"/>
  <c r="F503" i="10"/>
  <c r="G503" i="10" s="1"/>
  <c r="F493" i="10"/>
  <c r="G493" i="10" s="1"/>
  <c r="F483" i="10"/>
  <c r="G483" i="10" s="1"/>
  <c r="F473" i="10"/>
  <c r="G473" i="10" s="1"/>
  <c r="F463" i="10"/>
  <c r="G463" i="10" s="1"/>
  <c r="F453" i="10"/>
  <c r="G453" i="10" s="1"/>
  <c r="F433" i="10"/>
  <c r="G433" i="10" s="1"/>
  <c r="F423" i="10"/>
  <c r="G423" i="10" s="1"/>
  <c r="F413" i="10"/>
  <c r="G413" i="10" s="1"/>
  <c r="F403" i="10"/>
  <c r="G403" i="10" s="1"/>
  <c r="F383" i="10"/>
  <c r="G383" i="10" s="1"/>
  <c r="F373" i="10"/>
  <c r="G373" i="10" s="1"/>
  <c r="F363" i="10"/>
  <c r="G363" i="10" s="1"/>
  <c r="F353" i="10"/>
  <c r="G353" i="10" s="1"/>
  <c r="F343" i="10"/>
  <c r="G343" i="10" s="1"/>
  <c r="F333" i="10"/>
  <c r="G333" i="10" s="1"/>
  <c r="F313" i="10"/>
  <c r="G313" i="10" s="1"/>
  <c r="F303" i="10"/>
  <c r="G303" i="10" s="1"/>
  <c r="F293" i="10"/>
  <c r="G293" i="10" s="1"/>
  <c r="F283" i="10"/>
  <c r="G283" i="10" s="1"/>
  <c r="F273" i="10"/>
  <c r="G273" i="10" s="1"/>
  <c r="F263" i="10"/>
  <c r="G263" i="10" s="1"/>
  <c r="F253" i="10"/>
  <c r="G253" i="10" s="1"/>
  <c r="F243" i="10"/>
  <c r="G243" i="10" s="1"/>
  <c r="F233" i="10"/>
  <c r="G233" i="10" s="1"/>
  <c r="F223" i="10"/>
  <c r="G223" i="10" s="1"/>
  <c r="F213" i="10"/>
  <c r="G213" i="10" s="1"/>
  <c r="F197" i="10"/>
  <c r="G197" i="10" s="1"/>
  <c r="F187" i="10"/>
  <c r="G187" i="10" s="1"/>
  <c r="F177" i="10"/>
  <c r="G177" i="10" s="1"/>
  <c r="F167" i="10"/>
  <c r="G167" i="10" s="1"/>
  <c r="F157" i="10"/>
  <c r="G157" i="10" s="1"/>
  <c r="F137" i="10"/>
  <c r="G137" i="10" s="1"/>
  <c r="F127" i="10"/>
  <c r="G127" i="10" s="1"/>
  <c r="F117" i="10"/>
  <c r="G117" i="10" s="1"/>
  <c r="F107" i="10"/>
  <c r="G107" i="10" s="1"/>
  <c r="F97" i="10"/>
  <c r="G97" i="10" s="1"/>
  <c r="F87" i="10"/>
  <c r="G87" i="10" s="1"/>
  <c r="F77" i="10"/>
  <c r="G77" i="10" s="1"/>
  <c r="F67" i="10"/>
  <c r="G67" i="10" s="1"/>
  <c r="F7" i="10"/>
  <c r="G7" i="10" s="1"/>
  <c r="F687" i="10"/>
  <c r="G687" i="10" s="1"/>
  <c r="F677" i="10"/>
  <c r="G677" i="10" s="1"/>
  <c r="F661" i="10"/>
  <c r="G661" i="10" s="1"/>
  <c r="F631" i="10"/>
  <c r="G631" i="10" s="1"/>
  <c r="F621" i="10"/>
  <c r="G621" i="10" s="1"/>
  <c r="F611" i="10"/>
  <c r="G611" i="10" s="1"/>
  <c r="F601" i="10"/>
  <c r="G601" i="10" s="1"/>
  <c r="F591" i="10"/>
  <c r="G591" i="10" s="1"/>
  <c r="F571" i="10"/>
  <c r="G571" i="10" s="1"/>
  <c r="F561" i="10"/>
  <c r="G561" i="10" s="1"/>
  <c r="F551" i="10"/>
  <c r="G551" i="10" s="1"/>
  <c r="F541" i="10"/>
  <c r="G541" i="10" s="1"/>
  <c r="F531" i="10"/>
  <c r="G531" i="10" s="1"/>
  <c r="F521" i="10"/>
  <c r="G521" i="10" s="1"/>
  <c r="F512" i="10"/>
  <c r="G512" i="10" s="1"/>
  <c r="F502" i="10"/>
  <c r="G502" i="10" s="1"/>
  <c r="F492" i="10"/>
  <c r="G492" i="10" s="1"/>
  <c r="F482" i="10"/>
  <c r="G482" i="10" s="1"/>
  <c r="F472" i="10"/>
  <c r="G472" i="10" s="1"/>
  <c r="F462" i="10"/>
  <c r="G462" i="10" s="1"/>
  <c r="F452" i="10"/>
  <c r="G452" i="10" s="1"/>
  <c r="F432" i="10"/>
  <c r="G432" i="10" s="1"/>
  <c r="F422" i="10"/>
  <c r="G422" i="10" s="1"/>
  <c r="F412" i="10"/>
  <c r="G412" i="10" s="1"/>
  <c r="F402" i="10"/>
  <c r="G402" i="10" s="1"/>
  <c r="F382" i="10"/>
  <c r="G382" i="10" s="1"/>
  <c r="F372" i="10"/>
  <c r="G372" i="10" s="1"/>
  <c r="F362" i="10"/>
  <c r="G362" i="10" s="1"/>
  <c r="F352" i="10"/>
  <c r="G352" i="10" s="1"/>
  <c r="F342" i="10"/>
  <c r="G342" i="10" s="1"/>
  <c r="F332" i="10"/>
  <c r="G332" i="10" s="1"/>
  <c r="F312" i="10"/>
  <c r="G312" i="10" s="1"/>
  <c r="F302" i="10"/>
  <c r="G302" i="10" s="1"/>
  <c r="F292" i="10"/>
  <c r="G292" i="10" s="1"/>
  <c r="F282" i="10"/>
  <c r="G282" i="10" s="1"/>
  <c r="F272" i="10"/>
  <c r="G272" i="10" s="1"/>
  <c r="F262" i="10"/>
  <c r="G262" i="10" s="1"/>
  <c r="F252" i="10"/>
  <c r="G252" i="10" s="1"/>
  <c r="F242" i="10"/>
  <c r="G242" i="10" s="1"/>
  <c r="F232" i="10"/>
  <c r="G232" i="10" s="1"/>
  <c r="F222" i="10"/>
  <c r="G222" i="10" s="1"/>
  <c r="F212" i="10"/>
  <c r="G212" i="10" s="1"/>
  <c r="F196" i="10"/>
  <c r="G196" i="10" s="1"/>
  <c r="F186" i="10"/>
  <c r="G186" i="10" s="1"/>
  <c r="F176" i="10"/>
  <c r="G176" i="10" s="1"/>
  <c r="F166" i="10"/>
  <c r="G166" i="10" s="1"/>
  <c r="F156" i="10"/>
  <c r="G156" i="10" s="1"/>
  <c r="F136" i="10"/>
  <c r="G136" i="10" s="1"/>
  <c r="F126" i="10"/>
  <c r="G126" i="10" s="1"/>
  <c r="F116" i="10"/>
  <c r="G116" i="10" s="1"/>
  <c r="F106" i="10"/>
  <c r="G106" i="10" s="1"/>
  <c r="F96" i="10"/>
  <c r="G96" i="10" s="1"/>
  <c r="F86" i="10"/>
  <c r="G86" i="10" s="1"/>
  <c r="F76" i="10"/>
  <c r="G76" i="10" s="1"/>
  <c r="F66" i="10"/>
  <c r="G66" i="10" s="1"/>
  <c r="F6" i="10"/>
  <c r="G6" i="10" s="1"/>
  <c r="F686" i="10"/>
  <c r="G686" i="10" s="1"/>
  <c r="F676" i="10"/>
  <c r="G676" i="10" s="1"/>
  <c r="F660" i="10"/>
  <c r="G660" i="10" s="1"/>
  <c r="F630" i="10"/>
  <c r="G630" i="10" s="1"/>
  <c r="F620" i="10"/>
  <c r="G620" i="10" s="1"/>
  <c r="F610" i="10"/>
  <c r="G610" i="10" s="1"/>
  <c r="F600" i="10"/>
  <c r="G600" i="10" s="1"/>
  <c r="F590" i="10"/>
  <c r="G590" i="10" s="1"/>
  <c r="F570" i="10"/>
  <c r="G570" i="10" s="1"/>
  <c r="F560" i="10"/>
  <c r="G560" i="10" s="1"/>
  <c r="F550" i="10"/>
  <c r="G550" i="10" s="1"/>
  <c r="F540" i="10"/>
  <c r="G540" i="10" s="1"/>
  <c r="F530" i="10"/>
  <c r="G530" i="10" s="1"/>
  <c r="F520" i="10"/>
  <c r="G520" i="10" s="1"/>
  <c r="F511" i="10"/>
  <c r="G511" i="10" s="1"/>
  <c r="F501" i="10"/>
  <c r="G501" i="10" s="1"/>
  <c r="F491" i="10"/>
  <c r="G491" i="10" s="1"/>
  <c r="F481" i="10"/>
  <c r="G481" i="10" s="1"/>
  <c r="F471" i="10"/>
  <c r="G471" i="10" s="1"/>
  <c r="F461" i="10"/>
  <c r="G461" i="10" s="1"/>
  <c r="F451" i="10"/>
  <c r="G451" i="10" s="1"/>
  <c r="F431" i="10"/>
  <c r="G431" i="10" s="1"/>
  <c r="F421" i="10"/>
  <c r="G421" i="10" s="1"/>
  <c r="F411" i="10"/>
  <c r="G411" i="10" s="1"/>
  <c r="F401" i="10"/>
  <c r="G401" i="10" s="1"/>
  <c r="F381" i="10"/>
  <c r="G381" i="10" s="1"/>
  <c r="F371" i="10"/>
  <c r="G371" i="10" s="1"/>
  <c r="F361" i="10"/>
  <c r="G361" i="10" s="1"/>
  <c r="F351" i="10"/>
  <c r="G351" i="10" s="1"/>
  <c r="F341" i="10"/>
  <c r="G341" i="10" s="1"/>
  <c r="F331" i="10"/>
  <c r="G331" i="10" s="1"/>
  <c r="F311" i="10"/>
  <c r="G311" i="10" s="1"/>
  <c r="F301" i="10"/>
  <c r="G301" i="10" s="1"/>
  <c r="F291" i="10"/>
  <c r="G291" i="10" s="1"/>
  <c r="F281" i="10"/>
  <c r="G281" i="10" s="1"/>
  <c r="F271" i="10"/>
  <c r="G271" i="10" s="1"/>
  <c r="F261" i="10"/>
  <c r="G261" i="10" s="1"/>
  <c r="F251" i="10"/>
  <c r="G251" i="10" s="1"/>
  <c r="F241" i="10"/>
  <c r="G241" i="10" s="1"/>
  <c r="F231" i="10"/>
  <c r="G231" i="10" s="1"/>
  <c r="F221" i="10"/>
  <c r="G221" i="10" s="1"/>
  <c r="F211" i="10"/>
  <c r="G211" i="10" s="1"/>
  <c r="F195" i="10"/>
  <c r="G195" i="10" s="1"/>
  <c r="F185" i="10"/>
  <c r="G185" i="10" s="1"/>
  <c r="F175" i="10"/>
  <c r="G175" i="10" s="1"/>
  <c r="F165" i="10"/>
  <c r="G165" i="10" s="1"/>
  <c r="F155" i="10"/>
  <c r="G155" i="10" s="1"/>
  <c r="F135" i="10"/>
  <c r="G135" i="10" s="1"/>
  <c r="F125" i="10"/>
  <c r="G125" i="10" s="1"/>
  <c r="F115" i="10"/>
  <c r="G115" i="10" s="1"/>
  <c r="F105" i="10"/>
  <c r="G105" i="10" s="1"/>
  <c r="F95" i="10"/>
  <c r="G95" i="10" s="1"/>
  <c r="F85" i="10"/>
  <c r="G85" i="10" s="1"/>
  <c r="F75" i="10"/>
  <c r="G75" i="10" s="1"/>
  <c r="F65" i="10"/>
  <c r="G65" i="10" s="1"/>
  <c r="F5" i="10"/>
  <c r="G5" i="10" s="1"/>
  <c r="F685" i="10"/>
  <c r="G685" i="10" s="1"/>
  <c r="F675" i="10"/>
  <c r="G675" i="10" s="1"/>
  <c r="F659" i="10"/>
  <c r="G659" i="10" s="1"/>
  <c r="F629" i="10"/>
  <c r="G629" i="10" s="1"/>
  <c r="F619" i="10"/>
  <c r="G619" i="10" s="1"/>
  <c r="F609" i="10"/>
  <c r="G609" i="10" s="1"/>
  <c r="F599" i="10"/>
  <c r="G599" i="10" s="1"/>
  <c r="F589" i="10"/>
  <c r="G589" i="10" s="1"/>
  <c r="F569" i="10"/>
  <c r="G569" i="10" s="1"/>
  <c r="F559" i="10"/>
  <c r="G559" i="10" s="1"/>
  <c r="F549" i="10"/>
  <c r="G549" i="10" s="1"/>
  <c r="F539" i="10"/>
  <c r="G539" i="10" s="1"/>
  <c r="F529" i="10"/>
  <c r="G529" i="10" s="1"/>
  <c r="F519" i="10"/>
  <c r="G519" i="10" s="1"/>
  <c r="F510" i="10"/>
  <c r="G510" i="10" s="1"/>
  <c r="F500" i="10"/>
  <c r="G500" i="10" s="1"/>
  <c r="F490" i="10"/>
  <c r="G490" i="10" s="1"/>
  <c r="F480" i="10"/>
  <c r="G480" i="10" s="1"/>
  <c r="F470" i="10"/>
  <c r="G470" i="10" s="1"/>
  <c r="F460" i="10"/>
  <c r="G460" i="10" s="1"/>
  <c r="F450" i="10"/>
  <c r="G450" i="10" s="1"/>
  <c r="F430" i="10"/>
  <c r="G430" i="10" s="1"/>
  <c r="F420" i="10"/>
  <c r="G420" i="10" s="1"/>
  <c r="F410" i="10"/>
  <c r="G410" i="10" s="1"/>
  <c r="F400" i="10"/>
  <c r="G400" i="10" s="1"/>
  <c r="F380" i="10"/>
  <c r="G380" i="10" s="1"/>
  <c r="F370" i="10"/>
  <c r="G370" i="10" s="1"/>
  <c r="F360" i="10"/>
  <c r="G360" i="10" s="1"/>
  <c r="F350" i="10"/>
  <c r="G350" i="10" s="1"/>
  <c r="F340" i="10"/>
  <c r="G340" i="10" s="1"/>
  <c r="F330" i="10"/>
  <c r="G330" i="10" s="1"/>
  <c r="F310" i="10"/>
  <c r="G310" i="10" s="1"/>
  <c r="F300" i="10"/>
  <c r="G300" i="10" s="1"/>
  <c r="F290" i="10"/>
  <c r="G290" i="10" s="1"/>
  <c r="F280" i="10"/>
  <c r="G280" i="10" s="1"/>
  <c r="F270" i="10"/>
  <c r="G270" i="10" s="1"/>
  <c r="F260" i="10"/>
  <c r="G260" i="10" s="1"/>
  <c r="F250" i="10"/>
  <c r="G250" i="10" s="1"/>
  <c r="F240" i="10"/>
  <c r="G240" i="10" s="1"/>
  <c r="F230" i="10"/>
  <c r="G230" i="10" s="1"/>
  <c r="F220" i="10"/>
  <c r="G220" i="10" s="1"/>
  <c r="F210" i="10"/>
  <c r="G210" i="10" s="1"/>
  <c r="F194" i="10"/>
  <c r="G194" i="10" s="1"/>
  <c r="F184" i="10"/>
  <c r="G184" i="10" s="1"/>
  <c r="F174" i="10"/>
  <c r="G174" i="10" s="1"/>
  <c r="F164" i="10"/>
  <c r="G164" i="10" s="1"/>
  <c r="F154" i="10"/>
  <c r="G154" i="10" s="1"/>
  <c r="F134" i="10"/>
  <c r="G134" i="10" s="1"/>
  <c r="F124" i="10"/>
  <c r="G124" i="10" s="1"/>
  <c r="F114" i="10"/>
  <c r="G114" i="10" s="1"/>
  <c r="F104" i="10"/>
  <c r="G104" i="10" s="1"/>
  <c r="F94" i="10"/>
  <c r="G94" i="10" s="1"/>
  <c r="F84" i="10"/>
  <c r="G84" i="10" s="1"/>
  <c r="F74" i="10"/>
  <c r="G74" i="10" s="1"/>
  <c r="F64" i="10"/>
  <c r="G64" i="10" s="1"/>
  <c r="F4" i="10"/>
  <c r="G4" i="10" s="1"/>
  <c r="F684" i="10"/>
  <c r="G684" i="10" s="1"/>
  <c r="F674" i="10"/>
  <c r="G674" i="10" s="1"/>
  <c r="F658" i="10"/>
  <c r="G658" i="10" s="1"/>
  <c r="F628" i="10"/>
  <c r="G628" i="10" s="1"/>
  <c r="F618" i="10"/>
  <c r="G618" i="10" s="1"/>
  <c r="F608" i="10"/>
  <c r="G608" i="10" s="1"/>
  <c r="F598" i="10"/>
  <c r="G598" i="10" s="1"/>
  <c r="F588" i="10"/>
  <c r="G588" i="10" s="1"/>
  <c r="F568" i="10"/>
  <c r="G568" i="10" s="1"/>
  <c r="F558" i="10"/>
  <c r="G558" i="10" s="1"/>
  <c r="F548" i="10"/>
  <c r="G548" i="10" s="1"/>
  <c r="F538" i="10"/>
  <c r="G538" i="10" s="1"/>
  <c r="F528" i="10"/>
  <c r="G528" i="10" s="1"/>
  <c r="F518" i="10"/>
  <c r="G518" i="10" s="1"/>
  <c r="F509" i="10"/>
  <c r="G509" i="10" s="1"/>
  <c r="F499" i="10"/>
  <c r="G499" i="10" s="1"/>
  <c r="F489" i="10"/>
  <c r="G489" i="10" s="1"/>
  <c r="F479" i="10"/>
  <c r="G479" i="10" s="1"/>
  <c r="F469" i="10"/>
  <c r="G469" i="10" s="1"/>
  <c r="F459" i="10"/>
  <c r="G459" i="10" s="1"/>
  <c r="F449" i="10"/>
  <c r="G449" i="10" s="1"/>
  <c r="F429" i="10"/>
  <c r="G429" i="10" s="1"/>
  <c r="F419" i="10"/>
  <c r="G419" i="10" s="1"/>
  <c r="F409" i="10"/>
  <c r="G409" i="10" s="1"/>
  <c r="F399" i="10"/>
  <c r="G399" i="10" s="1"/>
  <c r="F379" i="10"/>
  <c r="G379" i="10" s="1"/>
  <c r="F369" i="10"/>
  <c r="G369" i="10" s="1"/>
  <c r="F359" i="10"/>
  <c r="G359" i="10" s="1"/>
  <c r="F349" i="10"/>
  <c r="G349" i="10" s="1"/>
  <c r="F339" i="10"/>
  <c r="G339" i="10" s="1"/>
  <c r="F329" i="10"/>
  <c r="G329" i="10" s="1"/>
  <c r="F309" i="10"/>
  <c r="G309" i="10" s="1"/>
  <c r="F299" i="10"/>
  <c r="G299" i="10" s="1"/>
  <c r="F289" i="10"/>
  <c r="G289" i="10" s="1"/>
  <c r="F279" i="10"/>
  <c r="G279" i="10" s="1"/>
  <c r="F269" i="10"/>
  <c r="G269" i="10" s="1"/>
  <c r="F259" i="10"/>
  <c r="G259" i="10" s="1"/>
  <c r="F249" i="10"/>
  <c r="G249" i="10" s="1"/>
  <c r="F239" i="10"/>
  <c r="G239" i="10" s="1"/>
  <c r="F229" i="10"/>
  <c r="G229" i="10" s="1"/>
  <c r="F219" i="10"/>
  <c r="G219" i="10" s="1"/>
  <c r="F209" i="10"/>
  <c r="G209" i="10" s="1"/>
  <c r="F193" i="10"/>
  <c r="G193" i="10" s="1"/>
  <c r="F183" i="10"/>
  <c r="G183" i="10" s="1"/>
  <c r="F173" i="10"/>
  <c r="G173" i="10" s="1"/>
  <c r="F163" i="10"/>
  <c r="G163" i="10" s="1"/>
  <c r="F153" i="10"/>
  <c r="G153" i="10" s="1"/>
  <c r="F133" i="10"/>
  <c r="G133" i="10" s="1"/>
  <c r="F123" i="10"/>
  <c r="G123" i="10" s="1"/>
  <c r="F113" i="10"/>
  <c r="G113" i="10" s="1"/>
  <c r="F103" i="10"/>
  <c r="G103" i="10" s="1"/>
  <c r="F93" i="10"/>
  <c r="G93" i="10" s="1"/>
  <c r="F83" i="10"/>
  <c r="G83" i="10" s="1"/>
  <c r="F73" i="10"/>
  <c r="G73" i="10" s="1"/>
  <c r="F63" i="10"/>
  <c r="G63" i="10" s="1"/>
  <c r="F3" i="10"/>
  <c r="G3" i="10" s="1"/>
  <c r="F683" i="10"/>
  <c r="G683" i="10" s="1"/>
  <c r="F673" i="10"/>
  <c r="G673" i="10" s="1"/>
  <c r="F657" i="10"/>
  <c r="G657" i="10" s="1"/>
  <c r="F627" i="10"/>
  <c r="G627" i="10" s="1"/>
  <c r="F617" i="10"/>
  <c r="G617" i="10" s="1"/>
  <c r="F607" i="10"/>
  <c r="G607" i="10" s="1"/>
  <c r="F597" i="10"/>
  <c r="G597" i="10" s="1"/>
  <c r="F587" i="10"/>
  <c r="G587" i="10" s="1"/>
  <c r="F567" i="10"/>
  <c r="G567" i="10" s="1"/>
  <c r="F557" i="10"/>
  <c r="G557" i="10" s="1"/>
  <c r="F547" i="10"/>
  <c r="G547" i="10" s="1"/>
  <c r="F537" i="10"/>
  <c r="G537" i="10" s="1"/>
  <c r="F527" i="10"/>
  <c r="G527" i="10" s="1"/>
  <c r="F508" i="10"/>
  <c r="G508" i="10" s="1"/>
  <c r="F498" i="10"/>
  <c r="G498" i="10" s="1"/>
  <c r="F488" i="10"/>
  <c r="G488" i="10" s="1"/>
  <c r="F478" i="10"/>
  <c r="G478" i="10" s="1"/>
  <c r="F468" i="10"/>
  <c r="G468" i="10" s="1"/>
  <c r="F458" i="10"/>
  <c r="G458" i="10" s="1"/>
  <c r="F448" i="10"/>
  <c r="G448" i="10" s="1"/>
  <c r="F428" i="10"/>
  <c r="G428" i="10" s="1"/>
  <c r="F418" i="10"/>
  <c r="G418" i="10" s="1"/>
  <c r="F408" i="10"/>
  <c r="G408" i="10" s="1"/>
  <c r="F398" i="10"/>
  <c r="G398" i="10" s="1"/>
  <c r="F378" i="10"/>
  <c r="G378" i="10" s="1"/>
  <c r="F368" i="10"/>
  <c r="G368" i="10" s="1"/>
  <c r="F358" i="10"/>
  <c r="G358" i="10" s="1"/>
  <c r="F348" i="10"/>
  <c r="G348" i="10" s="1"/>
  <c r="F338" i="10"/>
  <c r="G338" i="10" s="1"/>
  <c r="F328" i="10"/>
  <c r="G328" i="10" s="1"/>
  <c r="F308" i="10"/>
  <c r="G308" i="10" s="1"/>
  <c r="F298" i="10"/>
  <c r="G298" i="10" s="1"/>
  <c r="F288" i="10"/>
  <c r="G288" i="10" s="1"/>
  <c r="F278" i="10"/>
  <c r="G278" i="10" s="1"/>
  <c r="F268" i="10"/>
  <c r="G268" i="10" s="1"/>
  <c r="F258" i="10"/>
  <c r="G258" i="10" s="1"/>
  <c r="F248" i="10"/>
  <c r="G248" i="10" s="1"/>
  <c r="F238" i="10"/>
  <c r="G238" i="10" s="1"/>
  <c r="F228" i="10"/>
  <c r="G228" i="10" s="1"/>
  <c r="F218" i="10"/>
  <c r="G218" i="10" s="1"/>
  <c r="F208" i="10"/>
  <c r="G208" i="10" s="1"/>
  <c r="F192" i="10"/>
  <c r="G192" i="10" s="1"/>
  <c r="F182" i="10"/>
  <c r="G182" i="10" s="1"/>
  <c r="F172" i="10"/>
  <c r="G172" i="10" s="1"/>
  <c r="F162" i="10"/>
  <c r="G162" i="10" s="1"/>
  <c r="F152" i="10"/>
  <c r="G152" i="10" s="1"/>
  <c r="F132" i="10"/>
  <c r="G132" i="10" s="1"/>
  <c r="F122" i="10"/>
  <c r="G122" i="10" s="1"/>
  <c r="F112" i="10"/>
  <c r="G112" i="10" s="1"/>
  <c r="F102" i="10"/>
  <c r="G102" i="10" s="1"/>
  <c r="F92" i="10"/>
  <c r="G92" i="10" s="1"/>
  <c r="F82" i="10"/>
  <c r="G82" i="10" s="1"/>
  <c r="F72" i="10"/>
  <c r="G72" i="10" s="1"/>
  <c r="F62" i="10"/>
  <c r="G62" i="10" s="1"/>
  <c r="F2" i="10"/>
  <c r="G2" i="10" s="1"/>
  <c r="A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tc={06E43894-F0CC-496C-B152-EE621B6D74A9}</author>
    <author>tc={53513208-0DFE-4674-A374-43EDF1C45670}</author>
  </authors>
  <commentList>
    <comment ref="G73" authorId="0" shapeId="0" xr:uid="{06E43894-F0CC-496C-B152-EE621B6D74A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Mixed 인지 불명확</t>
      </text>
    </comment>
    <comment ref="G77" authorId="1" shapeId="0" xr:uid="{53513208-0DFE-4674-A374-43EDF1C4567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1-hexene인지 불분명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tc={5B56E149-D93C-4905-83AE-874A1A851730}</author>
  </authors>
  <commentList>
    <comment ref="B3" authorId="0" shapeId="0" xr:uid="{5B56E149-D93C-4905-83AE-874A1A85173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1-hexene인지 불분명</t>
      </text>
    </comment>
  </commentList>
</comments>
</file>

<file path=xl/sharedStrings.xml><?xml version="1.0" encoding="utf-8"?>
<sst xmlns="http://schemas.openxmlformats.org/spreadsheetml/2006/main" count="1421" uniqueCount="415">
  <si>
    <t>remarks</t>
    <phoneticPr fontId="1" type="noConversion"/>
  </si>
  <si>
    <t>material_id</t>
    <phoneticPr fontId="1" type="noConversion"/>
  </si>
  <si>
    <t>material_name</t>
    <phoneticPr fontId="1" type="noConversion"/>
  </si>
  <si>
    <t>material_group</t>
    <phoneticPr fontId="1" type="noConversion"/>
  </si>
  <si>
    <t>material_type</t>
    <phoneticPr fontId="1" type="noConversion"/>
  </si>
  <si>
    <t>M001</t>
  </si>
  <si>
    <t>Ethylene</t>
  </si>
  <si>
    <t>Base chemical</t>
  </si>
  <si>
    <t>Propylene</t>
  </si>
  <si>
    <t>M003</t>
  </si>
  <si>
    <t>Benzene</t>
  </si>
  <si>
    <t>M004</t>
  </si>
  <si>
    <t>M005</t>
  </si>
  <si>
    <t>M006</t>
  </si>
  <si>
    <t>C4</t>
  </si>
  <si>
    <t>M007</t>
  </si>
  <si>
    <t>1-Butene</t>
  </si>
  <si>
    <t>Intermediate</t>
  </si>
  <si>
    <t>M008</t>
  </si>
  <si>
    <t>M009</t>
  </si>
  <si>
    <t>Ethylbenzene</t>
  </si>
  <si>
    <t>M010</t>
  </si>
  <si>
    <t>Styrene</t>
  </si>
  <si>
    <t>M011</t>
  </si>
  <si>
    <t>Polystyrene</t>
  </si>
  <si>
    <t>Polymer</t>
  </si>
  <si>
    <t>Butadiene</t>
  </si>
  <si>
    <t>Isobutylene</t>
  </si>
  <si>
    <t>2-Butene</t>
  </si>
  <si>
    <t>Cumene</t>
  </si>
  <si>
    <t>HDPE</t>
  </si>
  <si>
    <t>Monomer</t>
  </si>
  <si>
    <t>LDPE</t>
  </si>
  <si>
    <t>LLDPE</t>
  </si>
  <si>
    <t>Ethylene dichloride</t>
  </si>
  <si>
    <t>Vinyl chloride monomer</t>
  </si>
  <si>
    <t>PVC</t>
  </si>
  <si>
    <t>Ethyl acetate</t>
  </si>
  <si>
    <t>Ethyl acrylate</t>
  </si>
  <si>
    <t>Acetaldehyde</t>
  </si>
  <si>
    <t>Vinyl acetate monomer</t>
  </si>
  <si>
    <t>Ethanol</t>
  </si>
  <si>
    <t>Ethylamine</t>
  </si>
  <si>
    <t>Ethylene oxide</t>
  </si>
  <si>
    <t>Ethanolamines</t>
  </si>
  <si>
    <t>MEA</t>
  </si>
  <si>
    <t>DEA</t>
  </si>
  <si>
    <t>TEA</t>
  </si>
  <si>
    <t>VCM</t>
    <phoneticPr fontId="1" type="noConversion"/>
  </si>
  <si>
    <t>VAM</t>
    <phoneticPr fontId="1" type="noConversion"/>
  </si>
  <si>
    <t>M002</t>
    <phoneticPr fontId="1" type="noConversion"/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</si>
  <si>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</si>
  <si>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</si>
  <si>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</si>
  <si>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</si>
  <si>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</si>
  <si>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</si>
  <si>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</si>
  <si>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</si>
  <si>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</si>
  <si>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</si>
  <si>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</si>
  <si>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</si>
  <si>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</si>
  <si>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</si>
  <si>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</si>
  <si>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</si>
  <si>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</si>
  <si>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</si>
  <si>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</si>
  <si>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</si>
  <si>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</si>
  <si>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</si>
  <si>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</si>
  <si>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</si>
  <si>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</si>
  <si>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</si>
  <si>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</si>
  <si>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</si>
  <si>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</si>
  <si>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</si>
  <si>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</si>
  <si>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</si>
  <si>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</si>
  <si>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</si>
  <si>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</si>
  <si>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</si>
  <si>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</si>
  <si>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</si>
  <si>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</si>
  <si>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</si>
  <si>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</si>
  <si>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</si>
  <si>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</si>
  <si>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NBR</t>
  </si>
  <si>
    <t>Polypropylene</t>
  </si>
  <si>
    <t>Propylene oxide</t>
  </si>
  <si>
    <t>Propylene glycol</t>
  </si>
  <si>
    <t>Polypropylene glycol</t>
  </si>
  <si>
    <t>Polyols</t>
  </si>
  <si>
    <t>Phenol</t>
  </si>
  <si>
    <t>Acetone</t>
  </si>
  <si>
    <t>Acrylic acid</t>
  </si>
  <si>
    <t>AA</t>
    <phoneticPr fontId="1" type="noConversion"/>
  </si>
  <si>
    <t>Polyacrylate</t>
  </si>
  <si>
    <t>SAP</t>
    <phoneticPr fontId="1" type="noConversion"/>
  </si>
  <si>
    <t>Butyraldehyde</t>
  </si>
  <si>
    <t>n-Butanol</t>
  </si>
  <si>
    <t>Isobutanol</t>
  </si>
  <si>
    <t>Acrylonitrile</t>
  </si>
  <si>
    <t>ABS</t>
  </si>
  <si>
    <t>SAN</t>
  </si>
  <si>
    <t>Super Absorbent Polymer</t>
  </si>
  <si>
    <t>2-Ethylhexanol</t>
  </si>
  <si>
    <t>n-Butyl acetate</t>
  </si>
  <si>
    <t>Isobutyl acetate</t>
  </si>
  <si>
    <t>Isopropyl acetate</t>
  </si>
  <si>
    <t>BR</t>
  </si>
  <si>
    <t>SBR</t>
  </si>
  <si>
    <t>Polyisobutylene</t>
  </si>
  <si>
    <t>PIB</t>
    <phoneticPr fontId="1" type="noConversion"/>
  </si>
  <si>
    <t>MTBE</t>
  </si>
  <si>
    <t>n-Butenes</t>
  </si>
  <si>
    <t>Butyl rubber</t>
  </si>
  <si>
    <t>Polybutene-1</t>
    <phoneticPr fontId="1" type="noConversion"/>
  </si>
  <si>
    <t>PB-1</t>
    <phoneticPr fontId="1" type="noConversion"/>
  </si>
  <si>
    <t>M055</t>
  </si>
  <si>
    <t>M056</t>
  </si>
  <si>
    <t>Aniline</t>
  </si>
  <si>
    <t>Cyclohexane</t>
  </si>
  <si>
    <t>Bisphenol A</t>
  </si>
  <si>
    <t>Polycarbonate</t>
  </si>
  <si>
    <t>Epoxy resin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</si>
  <si>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</si>
  <si>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</si>
  <si>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</si>
  <si>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</si>
  <si>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</si>
  <si>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</si>
  <si>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</si>
  <si>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</si>
  <si>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</si>
  <si>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</si>
  <si>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PG</t>
    <phoneticPr fontId="1" type="noConversion"/>
  </si>
  <si>
    <t>PPG</t>
    <phoneticPr fontId="1" type="noConversion"/>
  </si>
  <si>
    <t>PO</t>
    <phoneticPr fontId="1" type="noConversion"/>
  </si>
  <si>
    <t>PP</t>
    <phoneticPr fontId="1" type="noConversion"/>
  </si>
  <si>
    <t>PU</t>
    <phoneticPr fontId="1" type="noConversion"/>
  </si>
  <si>
    <t>Y</t>
    <phoneticPr fontId="1" type="noConversion"/>
  </si>
  <si>
    <t>visual_exclude</t>
    <phoneticPr fontId="1" type="noConversion"/>
  </si>
  <si>
    <t>Acrylate</t>
    <phoneticPr fontId="1" type="noConversion"/>
  </si>
  <si>
    <t>Cyclohexanone</t>
    <phoneticPr fontId="1" type="noConversion"/>
  </si>
  <si>
    <t>LAB</t>
    <phoneticPr fontId="1" type="noConversion"/>
  </si>
  <si>
    <t>Linear Alkylbenzene</t>
    <phoneticPr fontId="1" type="noConversion"/>
  </si>
  <si>
    <t>M067</t>
    <phoneticPr fontId="1" type="noConversion"/>
  </si>
  <si>
    <t>Benzene</t>
    <phoneticPr fontId="1" type="noConversion"/>
  </si>
  <si>
    <t>MA</t>
    <phoneticPr fontId="1" type="noConversion"/>
  </si>
  <si>
    <t>Methanol</t>
    <phoneticPr fontId="1" type="noConversion"/>
  </si>
  <si>
    <t>EDC</t>
    <phoneticPr fontId="1" type="noConversion"/>
  </si>
  <si>
    <t>AN</t>
    <phoneticPr fontId="1" type="noConversion"/>
  </si>
  <si>
    <t>IPA</t>
    <phoneticPr fontId="1" type="noConversion"/>
  </si>
  <si>
    <t>Acetic acid</t>
    <phoneticPr fontId="1" type="noConversion"/>
  </si>
  <si>
    <t>M068</t>
    <phoneticPr fontId="1" type="noConversion"/>
  </si>
  <si>
    <t>Maleic anhydride</t>
    <phoneticPr fontId="1" type="noConversion"/>
  </si>
  <si>
    <t>EB</t>
    <phoneticPr fontId="1" type="noConversion"/>
  </si>
  <si>
    <t>PS</t>
    <phoneticPr fontId="1" type="noConversion"/>
  </si>
  <si>
    <t>BPA</t>
    <phoneticPr fontId="1" type="noConversion"/>
  </si>
  <si>
    <t>PC</t>
    <phoneticPr fontId="1" type="noConversion"/>
  </si>
  <si>
    <t>C3=</t>
    <phoneticPr fontId="1" type="noConversion"/>
  </si>
  <si>
    <t>EO</t>
    <phoneticPr fontId="1" type="noConversion"/>
  </si>
  <si>
    <t>C2=</t>
    <phoneticPr fontId="1" type="noConversion"/>
  </si>
  <si>
    <t>BD</t>
    <phoneticPr fontId="1" type="noConversion"/>
  </si>
  <si>
    <t>Poly vinyl chloride</t>
    <phoneticPr fontId="1" type="noConversion"/>
  </si>
  <si>
    <t>Monoethanolamine</t>
    <phoneticPr fontId="1" type="noConversion"/>
  </si>
  <si>
    <t>Diethanolamine</t>
    <phoneticPr fontId="1" type="noConversion"/>
  </si>
  <si>
    <t>Triethanolamine</t>
    <phoneticPr fontId="1" type="noConversion"/>
  </si>
  <si>
    <t>Monoethyleneglycol</t>
    <phoneticPr fontId="1" type="noConversion"/>
  </si>
  <si>
    <t>MEG</t>
    <phoneticPr fontId="1" type="noConversion"/>
  </si>
  <si>
    <t>Acrylonitrile Butadiene Stryrene</t>
    <phoneticPr fontId="1" type="noConversion"/>
  </si>
  <si>
    <t>Styrene Acrylonitrile</t>
    <phoneticPr fontId="1" type="noConversion"/>
  </si>
  <si>
    <t>Nitrile Butadiene Rubber</t>
    <phoneticPr fontId="1" type="noConversion"/>
  </si>
  <si>
    <t>M069</t>
    <phoneticPr fontId="1" type="noConversion"/>
  </si>
  <si>
    <t>M070</t>
    <phoneticPr fontId="1" type="noConversion"/>
  </si>
  <si>
    <t>M071</t>
    <phoneticPr fontId="1" type="noConversion"/>
  </si>
  <si>
    <t>Toluene</t>
    <phoneticPr fontId="1" type="noConversion"/>
  </si>
  <si>
    <t>M072</t>
    <phoneticPr fontId="1" type="noConversion"/>
  </si>
  <si>
    <t>Xylene</t>
    <phoneticPr fontId="1" type="noConversion"/>
  </si>
  <si>
    <t>M073</t>
    <phoneticPr fontId="1" type="noConversion"/>
  </si>
  <si>
    <t>PA</t>
    <phoneticPr fontId="1" type="noConversion"/>
  </si>
  <si>
    <t>Pthalic Anhydride</t>
    <phoneticPr fontId="1" type="noConversion"/>
  </si>
  <si>
    <t>Intermediate</t>
    <phoneticPr fontId="1" type="noConversion"/>
  </si>
  <si>
    <t>PIA</t>
    <phoneticPr fontId="1" type="noConversion"/>
  </si>
  <si>
    <t>TPA</t>
    <phoneticPr fontId="1" type="noConversion"/>
  </si>
  <si>
    <t>DMT</t>
    <phoneticPr fontId="1" type="noConversion"/>
  </si>
  <si>
    <t>Purified Isophtalic Acid</t>
    <phoneticPr fontId="1" type="noConversion"/>
  </si>
  <si>
    <t>Terephtalic Acid</t>
    <phoneticPr fontId="1" type="noConversion"/>
  </si>
  <si>
    <t>Dimethyl Terephtalate</t>
    <phoneticPr fontId="1" type="noConversion"/>
  </si>
  <si>
    <t>M074</t>
    <phoneticPr fontId="1" type="noConversion"/>
  </si>
  <si>
    <t>vertical_order</t>
    <phoneticPr fontId="1" type="noConversion"/>
  </si>
  <si>
    <t>Isopropanol</t>
    <phoneticPr fontId="1" type="noConversion"/>
  </si>
  <si>
    <t>Caprolactam</t>
    <phoneticPr fontId="1" type="noConversion"/>
  </si>
  <si>
    <t>M075</t>
    <phoneticPr fontId="1" type="noConversion"/>
  </si>
  <si>
    <t>M076</t>
    <phoneticPr fontId="1" type="noConversion"/>
  </si>
  <si>
    <t>M077</t>
    <phoneticPr fontId="1" type="noConversion"/>
  </si>
  <si>
    <t>LAO</t>
    <phoneticPr fontId="1" type="noConversion"/>
  </si>
  <si>
    <t>1-Hexene</t>
    <phoneticPr fontId="1" type="noConversion"/>
  </si>
  <si>
    <t>Ethylene</t>
    <phoneticPr fontId="1" type="noConversion"/>
  </si>
  <si>
    <t>PAO</t>
    <phoneticPr fontId="1" type="noConversion"/>
  </si>
  <si>
    <t>Linear alpha olefins mixture (typically C4–C12+ range)</t>
    <phoneticPr fontId="1" type="noConversion"/>
  </si>
  <si>
    <t>M078</t>
    <phoneticPr fontId="1" type="noConversion"/>
  </si>
  <si>
    <t>M079</t>
    <phoneticPr fontId="1" type="noConversion"/>
  </si>
  <si>
    <t>MMA</t>
    <phoneticPr fontId="1" type="noConversion"/>
  </si>
  <si>
    <t>PMMA</t>
    <phoneticPr fontId="1" type="noConversion"/>
  </si>
  <si>
    <t>Polymethyl methacrylate</t>
    <phoneticPr fontId="1" type="noConversion"/>
  </si>
  <si>
    <t>Methyl methacrylate monomer</t>
    <phoneticPr fontId="1" type="noConversion"/>
  </si>
  <si>
    <t>M080</t>
    <phoneticPr fontId="1" type="noConversion"/>
  </si>
  <si>
    <t>Formaldehyde</t>
    <phoneticPr fontId="1" type="noConversion"/>
  </si>
  <si>
    <t>M081</t>
    <phoneticPr fontId="1" type="noConversion"/>
  </si>
  <si>
    <t>M082</t>
    <phoneticPr fontId="1" type="noConversion"/>
  </si>
  <si>
    <t>EC</t>
    <phoneticPr fontId="1" type="noConversion"/>
  </si>
  <si>
    <t>Ethylene Carbonate</t>
    <phoneticPr fontId="1" type="noConversion"/>
  </si>
  <si>
    <t>DMC</t>
    <phoneticPr fontId="1" type="noConversion"/>
  </si>
  <si>
    <t>Diemethyl Carbonate</t>
    <phoneticPr fontId="1" type="noConversion"/>
  </si>
  <si>
    <t>M083</t>
    <phoneticPr fontId="1" type="noConversion"/>
  </si>
  <si>
    <t>M084</t>
    <phoneticPr fontId="1" type="noConversion"/>
  </si>
  <si>
    <t>PVA</t>
    <phoneticPr fontId="1" type="noConversion"/>
  </si>
  <si>
    <t>EVA</t>
    <phoneticPr fontId="1" type="noConversion"/>
  </si>
  <si>
    <t>Polyvinyl alcohol</t>
    <phoneticPr fontId="1" type="noConversion"/>
  </si>
  <si>
    <t>Ethylene-vinyl acetate copolymer</t>
    <phoneticPr fontId="1" type="noConversion"/>
  </si>
  <si>
    <t>M085</t>
    <phoneticPr fontId="1" type="noConversion"/>
  </si>
  <si>
    <t>M086</t>
    <phoneticPr fontId="1" type="noConversion"/>
  </si>
  <si>
    <t>MDI</t>
    <phoneticPr fontId="1" type="noConversion"/>
  </si>
  <si>
    <t>TDI</t>
    <phoneticPr fontId="1" type="noConversion"/>
  </si>
  <si>
    <t>Methylene Diphenyl Disocyanate</t>
    <phoneticPr fontId="1" type="noConversion"/>
  </si>
  <si>
    <t>Toluene Diisocyanate</t>
    <phoneticPr fontId="1" type="noConversion"/>
  </si>
  <si>
    <t>M087</t>
    <phoneticPr fontId="1" type="noConversion"/>
  </si>
  <si>
    <t>M088</t>
    <phoneticPr fontId="1" type="noConversion"/>
  </si>
  <si>
    <t>M089</t>
    <phoneticPr fontId="1" type="noConversion"/>
  </si>
  <si>
    <t>o-Xylene</t>
    <phoneticPr fontId="1" type="noConversion"/>
  </si>
  <si>
    <t>m-Xylene</t>
    <phoneticPr fontId="1" type="noConversion"/>
  </si>
  <si>
    <t>p-Xylene</t>
    <phoneticPr fontId="1" type="noConversion"/>
  </si>
  <si>
    <t>M090</t>
  </si>
  <si>
    <t>M091</t>
  </si>
  <si>
    <t>M092</t>
  </si>
  <si>
    <t>M093</t>
    <phoneticPr fontId="1" type="noConversion"/>
  </si>
  <si>
    <t>PET</t>
    <phoneticPr fontId="1" type="noConversion"/>
  </si>
  <si>
    <t>Polyethylene terephthalate</t>
    <phoneticPr fontId="1" type="noConversion"/>
  </si>
  <si>
    <t>Polyurethane(Rigid)</t>
    <phoneticPr fontId="1" type="noConversion"/>
  </si>
  <si>
    <t>Polyurethane(Flexible)</t>
    <phoneticPr fontId="1" type="noConversion"/>
  </si>
  <si>
    <t>M094</t>
    <phoneticPr fontId="1" type="noConversion"/>
  </si>
  <si>
    <t>1-Octene</t>
    <phoneticPr fontId="1" type="noConversion"/>
  </si>
  <si>
    <t>M095</t>
    <phoneticPr fontId="1" type="noConversion"/>
  </si>
  <si>
    <t>hsk10</t>
    <phoneticPr fontId="1" type="noConversion"/>
  </si>
  <si>
    <t xml:space="preserve"> </t>
    <phoneticPr fontId="1" type="noConversion"/>
  </si>
  <si>
    <t>material_name_hsk</t>
    <phoneticPr fontId="1" type="noConversion"/>
  </si>
  <si>
    <t>헥센</t>
  </si>
  <si>
    <t>옥텐</t>
  </si>
  <si>
    <t>시클로헥산</t>
  </si>
  <si>
    <t>벤젠</t>
  </si>
  <si>
    <t>톨루엔</t>
  </si>
  <si>
    <t>오르토-크실렌</t>
  </si>
  <si>
    <t>메타-크실렌</t>
  </si>
  <si>
    <t>파라-크실렌</t>
  </si>
  <si>
    <t>스티렌</t>
  </si>
  <si>
    <t>에틸벤젠</t>
  </si>
  <si>
    <t>큐멘</t>
  </si>
  <si>
    <t>이염화에틸렌(ISO)(1,2-이염화에탄)</t>
  </si>
  <si>
    <t>염화비닐(염화에틸렌)</t>
  </si>
  <si>
    <t>메탄올(메틸알코올)</t>
  </si>
  <si>
    <t>1-프로판올(프로필알코올)</t>
  </si>
  <si>
    <t>1-부탄올(노르말-부틸알코올)</t>
  </si>
  <si>
    <t>2-에틸헥실알코올</t>
  </si>
  <si>
    <t>에틸렌글리콜(에탄디올)</t>
  </si>
  <si>
    <t>프로필렌글리콜(프로판-1,2-디올)</t>
  </si>
  <si>
    <t>페놀</t>
  </si>
  <si>
    <t>4,4´-이소프로필리덴디페놀(비스페놀에이)</t>
  </si>
  <si>
    <t>메틸터샤리 부틸에테르</t>
  </si>
  <si>
    <t>옥시란(에틸렌옥사이드)</t>
  </si>
  <si>
    <t>메틸옥시란(프로필렌옥사이드)</t>
  </si>
  <si>
    <t>메탄알(포름알데히드)</t>
  </si>
  <si>
    <t>에탄알(아세트알데히드)</t>
  </si>
  <si>
    <t>부탄알(부티르알데히드, 노르말-이성체)</t>
  </si>
  <si>
    <t>아세톤</t>
  </si>
  <si>
    <t>시클로헥사논</t>
  </si>
  <si>
    <t>초산</t>
  </si>
  <si>
    <t>초산비닐</t>
  </si>
  <si>
    <t>아크릴산</t>
  </si>
  <si>
    <t>아크릴산에틸</t>
  </si>
  <si>
    <t>메타아크릴산메틸</t>
  </si>
  <si>
    <t>무수말레산</t>
  </si>
  <si>
    <t>무수프탈산</t>
  </si>
  <si>
    <t>테레프탈산</t>
  </si>
  <si>
    <t>테레프탈산디메틸</t>
  </si>
  <si>
    <t>아닐린</t>
  </si>
  <si>
    <t>모노에탄올아민</t>
  </si>
  <si>
    <t>디에탄올아민</t>
  </si>
  <si>
    <t>트리에탄올아민</t>
  </si>
  <si>
    <t>아크릴로니트릴</t>
  </si>
  <si>
    <t>톨루엔 디이소시아네이트</t>
  </si>
  <si>
    <t>디페닐메탄 디이소시아네이트</t>
  </si>
  <si>
    <t>6-헥산락탐(에프시론-카프로락탐)</t>
  </si>
  <si>
    <t>선형저밀도폴리에틸렌</t>
  </si>
  <si>
    <t>폴리프로필렌</t>
  </si>
  <si>
    <t>폴리이소부틸렌</t>
  </si>
  <si>
    <t>스티렌-아크릴로니트릴 공중합체(SAN)</t>
  </si>
  <si>
    <t>아크릴로니트릴-부타디엔-스티렌 공중합체(ABS)</t>
  </si>
  <si>
    <t>스티렌-부타디엔 공중합체</t>
  </si>
  <si>
    <t>폴리(메틸 메타크리레이트)</t>
  </si>
  <si>
    <t>폴리카보네이트</t>
  </si>
  <si>
    <t>폴리우레탄</t>
  </si>
  <si>
    <t>변성 에틸알코올과 그 밖의 변성 주정</t>
    <phoneticPr fontId="1" type="noConversion"/>
  </si>
  <si>
    <t>EPDM</t>
    <phoneticPr fontId="1" type="noConversion"/>
  </si>
  <si>
    <t>Octanol</t>
    <phoneticPr fontId="1" type="noConversion"/>
  </si>
  <si>
    <t>M096</t>
    <phoneticPr fontId="1" type="noConversion"/>
  </si>
  <si>
    <t>n-Butanol</t>
    <phoneticPr fontId="1" type="noConversion"/>
  </si>
  <si>
    <t>C4</t>
    <phoneticPr fontId="1" type="noConversion"/>
  </si>
  <si>
    <t>(Ethylene base)</t>
    <phoneticPr fontId="1" type="noConversion"/>
  </si>
  <si>
    <t>(1-butene base)</t>
    <phoneticPr fontId="1" type="noConversion"/>
  </si>
  <si>
    <t>M097</t>
    <phoneticPr fontId="1" type="noConversion"/>
  </si>
  <si>
    <t>year</t>
    <phoneticPr fontId="1" type="noConversion"/>
  </si>
  <si>
    <t>export</t>
    <phoneticPr fontId="1" type="noConversion"/>
  </si>
  <si>
    <t>import</t>
    <phoneticPr fontId="1" type="noConversion"/>
  </si>
  <si>
    <t>diff</t>
    <phoneticPr fontId="1" type="noConversion"/>
  </si>
  <si>
    <t>export/import</t>
    <phoneticPr fontId="1" type="noConversion"/>
  </si>
  <si>
    <t>변성 에틸알코올과 그 밖의 변성 주정(알코올의 용량은 상관없다)</t>
  </si>
  <si>
    <t>1-클로로-2,3-에폭시프로판(에피클로로히드린)</t>
  </si>
  <si>
    <t>아디프산</t>
  </si>
  <si>
    <t>ECH</t>
    <phoneticPr fontId="1" type="noConversion"/>
  </si>
  <si>
    <t>Adipic Acid</t>
    <phoneticPr fontId="1" type="noConversion"/>
  </si>
  <si>
    <t>Olefin</t>
  </si>
  <si>
    <t>Polyolefin</t>
  </si>
  <si>
    <t>Chlorinated Intermediate</t>
  </si>
  <si>
    <t>Vinyl Monomer</t>
  </si>
  <si>
    <t>Vinyl Polymer</t>
  </si>
  <si>
    <t>Alcohol</t>
  </si>
  <si>
    <t>Amine</t>
  </si>
  <si>
    <t>Acetate Ester</t>
  </si>
  <si>
    <t>Acrylate Ester</t>
  </si>
  <si>
    <t>Epoxide</t>
  </si>
  <si>
    <t>Functional Material</t>
  </si>
  <si>
    <t>Amine Derivatives</t>
  </si>
  <si>
    <t>Ethanolamine</t>
  </si>
  <si>
    <t>Glycol</t>
  </si>
  <si>
    <t>Aldehyde</t>
  </si>
  <si>
    <t>Acetate Monomer</t>
  </si>
  <si>
    <t>Nitrile Monomer</t>
  </si>
  <si>
    <t>Styrenic Resin</t>
  </si>
  <si>
    <t>Synthetic Rubber</t>
  </si>
  <si>
    <t>Polyether Polyol</t>
  </si>
  <si>
    <t>Polyol</t>
  </si>
  <si>
    <t>Polyurethane System</t>
  </si>
  <si>
    <t>Organic Acid</t>
  </si>
  <si>
    <t>Acrylic Polymer</t>
  </si>
  <si>
    <t>Acrylate Derivative</t>
  </si>
  <si>
    <t>Superabsorbent Polymer</t>
  </si>
  <si>
    <t>Oxo Alcohol</t>
  </si>
  <si>
    <t>Diolefin</t>
  </si>
  <si>
    <t>Polyolefin Derivative</t>
  </si>
  <si>
    <t>Fuel Additive</t>
  </si>
  <si>
    <t>C4 Olefin</t>
  </si>
  <si>
    <t>Alpha Olefin</t>
  </si>
  <si>
    <t>Aromatic</t>
  </si>
  <si>
    <t>Alkyl Aromatic</t>
  </si>
  <si>
    <t>Styrenic Monomer</t>
  </si>
  <si>
    <t>Phenolic Intermediate</t>
  </si>
  <si>
    <t>Ketone</t>
  </si>
  <si>
    <t>Engineering Plastic</t>
  </si>
  <si>
    <t>Thermoset Resin</t>
  </si>
  <si>
    <t>Cycloaliphatic Intermediate</t>
  </si>
  <si>
    <t>Aromatic Amine</t>
  </si>
  <si>
    <t>Anhydride</t>
  </si>
  <si>
    <t>Lactam Monomer</t>
  </si>
  <si>
    <t>Alpha Olefin Mixture</t>
  </si>
  <si>
    <t>Synthetic Base Oil</t>
  </si>
  <si>
    <t>Acrylic Monomer</t>
  </si>
  <si>
    <t>Carbonate</t>
  </si>
  <si>
    <t>Functional Polymer</t>
  </si>
  <si>
    <t>Polyolefin Copolymer</t>
  </si>
  <si>
    <t>Isocyanate</t>
  </si>
  <si>
    <t>Aromatic Isomer</t>
  </si>
  <si>
    <t>Aromatic Acid Monomer</t>
  </si>
  <si>
    <t>Aromatic Ester Monomer</t>
  </si>
  <si>
    <t>Polyester</t>
  </si>
  <si>
    <t>M098</t>
    <phoneticPr fontId="1" type="noConversion"/>
  </si>
  <si>
    <t>Propylene</t>
    <phoneticPr fontId="1" type="noConversion"/>
  </si>
  <si>
    <t>Epoxide Intermediate</t>
  </si>
  <si>
    <t>Epichlorohydrin</t>
    <phoneticPr fontId="1" type="noConversion"/>
  </si>
  <si>
    <t>M099</t>
    <phoneticPr fontId="1" type="noConversion"/>
  </si>
  <si>
    <t>Ethoxylate</t>
    <phoneticPr fontId="1" type="noConversion"/>
  </si>
  <si>
    <t>Surfactant</t>
  </si>
  <si>
    <t>M100</t>
    <phoneticPr fontId="1" type="noConversion"/>
  </si>
  <si>
    <t>Dicarboxylic Acid</t>
    <phoneticPr fontId="1" type="noConversion"/>
  </si>
  <si>
    <t>material_subtype</t>
  </si>
  <si>
    <t>M101</t>
    <phoneticPr fontId="1" type="noConversion"/>
  </si>
  <si>
    <t>n-Butane</t>
    <phoneticPr fontId="1" type="noConversion"/>
  </si>
  <si>
    <t>Base chemical</t>
    <phoneticPr fontId="1" type="noConversion"/>
  </si>
  <si>
    <t>Paraffin</t>
    <phoneticPr fontId="1" type="noConversion"/>
  </si>
  <si>
    <t>부탄</t>
  </si>
  <si>
    <t>부탄</t>
    <phoneticPr fontId="1" type="noConversion"/>
  </si>
  <si>
    <t>폴리(염화비닐)(다른 물질을 혼합하지 않은 것으로 한정한다)</t>
  </si>
  <si>
    <t>폴리에틸렌(비중이 0.94 미만으로 한정한다)	-기타</t>
    <phoneticPr fontId="1" type="noConversion"/>
  </si>
  <si>
    <t>초산에틸</t>
  </si>
  <si>
    <t>프로펜(프로필렌)</t>
  </si>
  <si>
    <t>아크릴로니트릴-부타디엔 고무(NBR)-기타</t>
    <phoneticPr fontId="1" type="noConversion"/>
  </si>
  <si>
    <t>1,3-부타디엔</t>
  </si>
  <si>
    <t>혼합크실렌이성체</t>
  </si>
  <si>
    <t>에틸렌</t>
  </si>
  <si>
    <t>balance_index</t>
    <phoneticPr fontId="1" type="noConversion"/>
  </si>
  <si>
    <t>폴리옥시프로필렌(폴리프로필렌 글리콜)</t>
  </si>
  <si>
    <t>이소프렌</t>
  </si>
  <si>
    <t>이소프렌 고무(IR)</t>
  </si>
  <si>
    <t>폴리(비닐알코올)[가수분해되지 않은 초산기(基)를 함유하였는지에 상관없다]</t>
  </si>
  <si>
    <t>클로로벤젠</t>
  </si>
  <si>
    <t>이소프렌 고무(IR)</t>
    <phoneticPr fontId="1" type="noConversion"/>
  </si>
  <si>
    <r>
      <rPr>
        <sz val="11"/>
        <color rgb="FF191919"/>
        <rFont val="맑은 고딕"/>
        <family val="3"/>
        <charset val="129"/>
        <scheme val="major"/>
      </rPr>
      <t>이소부텐-이소프렌 고무(부틸고무)(IIR)-기타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</si>
</sst>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191919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4" fontId="0" fillId="0" borderId="3" xfId="0" applyNumberFormat="1" applyBorder="1"/>
    <xf numFmtId="176" fontId="0" fillId="0" borderId="0" xfId="0" applyNumberFormat="1" applyAlignment="1">
      <alignment vertical="center"/>
    </xf>
    <xf numFmtId="0" fontId="4" fillId="0" borderId="3" xfId="0" applyFont="1" applyBorder="1"/>
    <xf numFmtId="4" fontId="4" fillId="0" borderId="3" xfId="0" applyNumberFormat="1" applyFont="1" applyBorder="1"/>
    <xf numFmtId="176" fontId="0" fillId="0" borderId="0" xfId="0" applyNumberFormat="1"/>
    <xf numFmtId="0" fontId="0" fillId="0" borderId="4" xfId="0" applyBorder="1"/>
    <xf numFmtId="4" fontId="0" fillId="0" borderId="4" xfId="0" applyNumberFormat="1" applyBorder="1"/>
    <xf numFmtId="176" fontId="0" fillId="0" borderId="3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2" fontId="0" fillId="0" borderId="0" xfId="0" applyNumberFormat="1"/>
    <xf numFmtId="0" fontId="6" fillId="0" borderId="4" xfId="0" applyFont="1" applyBorder="1"/>
  </cellXfs>
  <cellStyles count="1">
    <cellStyle name="표준" xfId="0" builtinId="0"/>
  </cellStyles>
  <dxfs count="14">
    <dxf>
      <fill>
        <patternFill>
          <bgColor theme="8"/>
        </patternFill>
      </fill>
    </dxf>
    <dxf>
      <numFmt numFmtId="0" formatCode="General"/>
    </dxf>
    <dxf>
      <numFmt numFmtId="0" formatCode="General"/>
    </dxf>
    <dxf>
      <numFmt numFmtId="2" formatCode="0.00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76" formatCode="#,##0.0_ "/>
    </dxf>
    <dxf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theme="1"/>
        </top>
      </border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이원일(W.I. Lee)" id="{8347A911-FB60-4CDD-95F5-37932B9B2DD3}" userId="S::wonil.lee90@S-OIL.COM::75f69710-ceca-4457-b198-7daa6e80130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A5DC12-C774-4094-B2D2-06384F4F2631}" name="표2" displayName="표2" ref="A1:I102" totalsRowShown="0">
  <autoFilter ref="A1:I102" xr:uid="{58A5DC12-C774-4094-B2D2-06384F4F2631}"/>
  <tableColumns count="9">
    <tableColumn id="1" xr3:uid="{8A7558A9-C918-4FAF-8C33-C287BE025DB3}" name="material_id"/>
    <tableColumn id="3" xr3:uid="{8A85F034-DF3B-44C9-9E51-50661E5D53C1}" name="material_group"/>
    <tableColumn id="2" xr3:uid="{E0883773-7DC7-45AF-85B7-C29E7A5E523F}" name="material_name"/>
    <tableColumn id="4" xr3:uid="{FDE30E60-A954-4DB9-B9CC-46226569A71D}" name="material_type"/>
    <tableColumn id="9" xr3:uid="{E40DD5ED-E0E5-4D38-860E-E173F07CE1E2}" name="material_subtype"/>
    <tableColumn id="7" xr3:uid="{4B78A951-8AF0-41A8-98E7-8C29CB511FB6}" name="vertical_order"/>
    <tableColumn id="8" xr3:uid="{0AD4DE31-52F7-4670-BFBF-41E8DCC216A0}" name="hsk10"/>
    <tableColumn id="5" xr3:uid="{5B491150-7223-4258-8F0C-406EC97FB36E}" name="remarks"/>
    <tableColumn id="6" xr3:uid="{4DA2D092-D5C9-4CCE-BBFA-F99BD80AF685}" name="visual_exclud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DFC1BB-9391-44EF-B760-6B4BD3356B2B}" name="표9" displayName="표9" ref="A1:D61" totalsRowShown="0">
  <sortState xmlns:xlrd2="http://schemas.microsoft.com/office/spreadsheetml/2017/richdata2" ref="A2:C58">
    <sortCondition ref="A1:A58"/>
  </sortState>
  <tableColumns count="4">
    <tableColumn id="1" xr3:uid="{FE680477-08AA-4C50-B0E7-35C788FE9C9B}" name="material_id" dataDxfId="2">
      <calculatedColumnFormula>_xlfn.XLOOKUP(표9[[#This Row],[hsk10]],표2[hsk10],표2[material_id])</calculatedColumnFormula>
    </tableColumn>
    <tableColumn id="4" xr3:uid="{6A1D3365-880C-46EA-A0E9-222C9ECD36B8}" name="hsk10"/>
    <tableColumn id="2" xr3:uid="{6CE3F1F7-BFA1-4740-AD48-075581A0AF65}" name="material_name"/>
    <tableColumn id="3" xr3:uid="{7EC613D4-F0DE-4753-B6F0-FE8770429B48}" name="material_name_hsk" dataDxfId="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39EC6A-89CE-42AE-B5C3-0F352724DF98}" name="표1" displayName="표1" ref="A1:H716" totalsRowShown="0" headerRowDxfId="13" dataDxfId="12" tableBorderDxfId="11">
  <autoFilter ref="A1:H716" xr:uid="{EA39EC6A-89CE-42AE-B5C3-0F352724DF98}"/>
  <sortState xmlns:xlrd2="http://schemas.microsoft.com/office/spreadsheetml/2017/richdata2" ref="A2:H706">
    <sortCondition ref="B1:B706"/>
  </sortState>
  <tableColumns count="8">
    <tableColumn id="1" xr3:uid="{D2B32EF4-5D25-4D7B-8C34-B5B80DFA0DB4}" name="year" dataDxfId="10"/>
    <tableColumn id="2" xr3:uid="{6B2896B4-504A-4825-AC96-5DE54C921232}" name="hsk10" dataDxfId="9"/>
    <tableColumn id="3" xr3:uid="{920B5602-B1C8-433E-BF4A-791A2033EB91}" name="material_name_hsk" dataDxfId="8"/>
    <tableColumn id="4" xr3:uid="{5586CBA7-4B53-43E2-88B6-D7FF8A79B269}" name="export" dataDxfId="7"/>
    <tableColumn id="5" xr3:uid="{D9F493FD-EA5C-49D3-909F-31F6A40FB514}" name="import" dataDxfId="6"/>
    <tableColumn id="6" xr3:uid="{E49B28C8-C50F-4425-8162-8C052B24E6B9}" name="diff" dataDxfId="5">
      <calculatedColumnFormula>E2-D2</calculatedColumnFormula>
    </tableColumn>
    <tableColumn id="7" xr3:uid="{B8370475-BABD-41C1-92E4-F7887A72CD15}" name="export/import" dataDxfId="4">
      <calculatedColumnFormula>IF(표1[[#This Row],[diff]]&gt;0,"import","export")</calculatedColumnFormula>
    </tableColumn>
    <tableColumn id="8" xr3:uid="{FD256F32-F086-4BE5-9BBD-779A9433FC38}" name="balance_index" dataDxfId="3">
      <calculatedColumnFormula>ABS(표1[[#This Row],[export]]-표1[[#This Row],[import]])/(표1[[#This Row],[export]]+표1[[#This Row],[import]])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3" dT="2026-04-07T05:11:03.73" personId="{8347A911-FB60-4CDD-95F5-37932B9B2DD3}" id="{06E43894-F0CC-496C-B152-EE621B6D74A9}">
    <text>Mixed 인지 불명확</text>
  </threadedComment>
  <threadedComment ref="G77" dT="2026-04-07T05:12:26.45" personId="{8347A911-FB60-4CDD-95F5-37932B9B2DD3}" id="{53513208-0DFE-4674-A374-43EDF1C45670}">
    <text>1-hexene인지 불분명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6-04-07T05:12:26.45" personId="{8347A911-FB60-4CDD-95F5-37932B9B2DD3}" id="{5B56E149-D93C-4905-83AE-874A1A851730}">
    <text>1-hexene인지 불분명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zoomScaleNormal="100" workbookViewId="0">
      <selection activeCell="B3" sqref="B3"/>
    </sheetView>
  </sheetViews>
  <sheetFormatPr defaultRowHeight="16.5" x14ac:dyDescent="0.3"/>
  <cols>
    <col min="1" max="1" width="13.5" bestFit="1" customWidth="1"/>
    <col min="2" max="2" width="17.5" bestFit="1" customWidth="1"/>
    <col min="3" max="3" width="28.125" bestFit="1" customWidth="1"/>
    <col min="4" max="4" width="16" bestFit="1" customWidth="1"/>
    <col min="5" max="5" width="16" customWidth="1"/>
    <col min="6" max="6" width="16" bestFit="1" customWidth="1"/>
    <col min="7" max="8" width="12.625" customWidth="1"/>
    <col min="9" max="9" width="16.5" bestFit="1" customWidth="1"/>
  </cols>
  <sheetData>
    <row r="1" spans="1:9" x14ac:dyDescent="0.3">
      <c r="A1" t="s">
        <v>1</v>
      </c>
      <c r="B1" t="s">
        <v>3</v>
      </c>
      <c r="C1" t="s">
        <v>2</v>
      </c>
      <c r="D1" t="s">
        <v>4</v>
      </c>
      <c r="E1" t="s">
        <v>392</v>
      </c>
      <c r="F1" t="s">
        <v>198</v>
      </c>
      <c r="G1" t="s">
        <v>252</v>
      </c>
      <c r="H1" t="s">
        <v>0</v>
      </c>
      <c r="I1" t="s">
        <v>149</v>
      </c>
    </row>
    <row r="2" spans="1:9" x14ac:dyDescent="0.3">
      <c r="A2" t="s">
        <v>5</v>
      </c>
      <c r="B2" t="s">
        <v>6</v>
      </c>
      <c r="C2" t="s">
        <v>6</v>
      </c>
      <c r="D2" t="s">
        <v>7</v>
      </c>
      <c r="E2" t="s">
        <v>329</v>
      </c>
      <c r="F2">
        <v>2100</v>
      </c>
      <c r="G2">
        <v>2901210000</v>
      </c>
      <c r="H2" t="s">
        <v>170</v>
      </c>
    </row>
    <row r="3" spans="1:9" x14ac:dyDescent="0.3">
      <c r="A3" t="s">
        <v>50</v>
      </c>
      <c r="B3" t="s">
        <v>6</v>
      </c>
      <c r="C3" t="s">
        <v>30</v>
      </c>
      <c r="D3" t="s">
        <v>25</v>
      </c>
      <c r="E3" t="s">
        <v>330</v>
      </c>
      <c r="F3">
        <v>2110</v>
      </c>
    </row>
    <row r="4" spans="1:9" x14ac:dyDescent="0.3">
      <c r="A4" t="s">
        <v>9</v>
      </c>
      <c r="B4" t="s">
        <v>6</v>
      </c>
      <c r="C4" t="s">
        <v>32</v>
      </c>
      <c r="D4" t="s">
        <v>25</v>
      </c>
      <c r="E4" t="s">
        <v>330</v>
      </c>
      <c r="F4">
        <v>2120</v>
      </c>
    </row>
    <row r="5" spans="1:9" x14ac:dyDescent="0.3">
      <c r="A5" t="s">
        <v>11</v>
      </c>
      <c r="B5" t="s">
        <v>6</v>
      </c>
      <c r="C5" t="s">
        <v>33</v>
      </c>
      <c r="D5" t="s">
        <v>25</v>
      </c>
      <c r="E5" t="s">
        <v>330</v>
      </c>
      <c r="F5">
        <v>2130</v>
      </c>
      <c r="G5">
        <v>3901101000</v>
      </c>
    </row>
    <row r="6" spans="1:9" x14ac:dyDescent="0.3">
      <c r="A6" t="s">
        <v>12</v>
      </c>
      <c r="B6" t="s">
        <v>6</v>
      </c>
      <c r="C6" t="s">
        <v>158</v>
      </c>
      <c r="D6" t="s">
        <v>17</v>
      </c>
      <c r="E6" t="s">
        <v>331</v>
      </c>
      <c r="F6">
        <v>2200</v>
      </c>
      <c r="G6">
        <v>2903150000</v>
      </c>
      <c r="H6" t="s">
        <v>34</v>
      </c>
    </row>
    <row r="7" spans="1:9" x14ac:dyDescent="0.3">
      <c r="A7" t="s">
        <v>13</v>
      </c>
      <c r="B7" t="s">
        <v>6</v>
      </c>
      <c r="C7" t="s">
        <v>48</v>
      </c>
      <c r="D7" t="s">
        <v>31</v>
      </c>
      <c r="E7" t="s">
        <v>332</v>
      </c>
      <c r="F7">
        <v>2210</v>
      </c>
      <c r="G7">
        <v>2903210000</v>
      </c>
      <c r="H7" t="s">
        <v>35</v>
      </c>
    </row>
    <row r="8" spans="1:9" x14ac:dyDescent="0.3">
      <c r="A8" t="s">
        <v>15</v>
      </c>
      <c r="B8" t="s">
        <v>6</v>
      </c>
      <c r="C8" t="s">
        <v>36</v>
      </c>
      <c r="D8" t="s">
        <v>25</v>
      </c>
      <c r="E8" t="s">
        <v>333</v>
      </c>
      <c r="F8">
        <v>2220</v>
      </c>
      <c r="H8" t="s">
        <v>172</v>
      </c>
    </row>
    <row r="9" spans="1:9" x14ac:dyDescent="0.3">
      <c r="A9" t="s">
        <v>18</v>
      </c>
      <c r="B9" t="s">
        <v>6</v>
      </c>
      <c r="C9" t="s">
        <v>41</v>
      </c>
      <c r="D9" t="s">
        <v>17</v>
      </c>
      <c r="E9" t="s">
        <v>334</v>
      </c>
      <c r="F9">
        <v>2400</v>
      </c>
      <c r="G9">
        <v>2207200000</v>
      </c>
    </row>
    <row r="10" spans="1:9" x14ac:dyDescent="0.3">
      <c r="A10" t="s">
        <v>19</v>
      </c>
      <c r="B10" t="s">
        <v>6</v>
      </c>
      <c r="C10" t="s">
        <v>42</v>
      </c>
      <c r="D10" t="s">
        <v>17</v>
      </c>
      <c r="E10" t="s">
        <v>335</v>
      </c>
      <c r="F10">
        <v>2500</v>
      </c>
      <c r="I10" t="s">
        <v>148</v>
      </c>
    </row>
    <row r="11" spans="1:9" x14ac:dyDescent="0.3">
      <c r="A11" t="s">
        <v>21</v>
      </c>
      <c r="B11" t="s">
        <v>6</v>
      </c>
      <c r="C11" t="s">
        <v>37</v>
      </c>
      <c r="D11" t="s">
        <v>17</v>
      </c>
      <c r="E11" t="s">
        <v>336</v>
      </c>
      <c r="F11">
        <v>2420</v>
      </c>
      <c r="G11">
        <v>2915310000</v>
      </c>
    </row>
    <row r="12" spans="1:9" x14ac:dyDescent="0.3">
      <c r="A12" t="s">
        <v>23</v>
      </c>
      <c r="B12" t="s">
        <v>6</v>
      </c>
      <c r="C12" t="s">
        <v>38</v>
      </c>
      <c r="D12" t="s">
        <v>17</v>
      </c>
      <c r="E12" t="s">
        <v>337</v>
      </c>
      <c r="F12">
        <v>2510</v>
      </c>
      <c r="G12">
        <v>2916121000</v>
      </c>
    </row>
    <row r="13" spans="1:9" x14ac:dyDescent="0.3">
      <c r="A13" t="s">
        <v>51</v>
      </c>
      <c r="B13" t="s">
        <v>6</v>
      </c>
      <c r="C13" t="s">
        <v>169</v>
      </c>
      <c r="D13" t="s">
        <v>17</v>
      </c>
      <c r="E13" t="s">
        <v>338</v>
      </c>
      <c r="F13">
        <v>2300</v>
      </c>
      <c r="G13">
        <v>2910100000</v>
      </c>
      <c r="H13" t="s">
        <v>43</v>
      </c>
    </row>
    <row r="14" spans="1:9" x14ac:dyDescent="0.3">
      <c r="A14" t="s">
        <v>52</v>
      </c>
      <c r="B14" t="s">
        <v>6</v>
      </c>
      <c r="C14" t="s">
        <v>44</v>
      </c>
      <c r="D14" t="s">
        <v>339</v>
      </c>
      <c r="E14" t="s">
        <v>340</v>
      </c>
      <c r="F14">
        <v>2310</v>
      </c>
      <c r="I14" t="s">
        <v>148</v>
      </c>
    </row>
    <row r="15" spans="1:9" x14ac:dyDescent="0.3">
      <c r="A15" t="s">
        <v>53</v>
      </c>
      <c r="B15" t="s">
        <v>6</v>
      </c>
      <c r="C15" t="s">
        <v>45</v>
      </c>
      <c r="D15" t="s">
        <v>17</v>
      </c>
      <c r="E15" t="s">
        <v>341</v>
      </c>
      <c r="F15">
        <v>2320</v>
      </c>
      <c r="G15">
        <v>2922111000</v>
      </c>
      <c r="H15" t="s">
        <v>173</v>
      </c>
    </row>
    <row r="16" spans="1:9" x14ac:dyDescent="0.3">
      <c r="A16" t="s">
        <v>54</v>
      </c>
      <c r="B16" t="s">
        <v>6</v>
      </c>
      <c r="C16" t="s">
        <v>46</v>
      </c>
      <c r="D16" t="s">
        <v>17</v>
      </c>
      <c r="E16" t="s">
        <v>341</v>
      </c>
      <c r="F16">
        <v>2330</v>
      </c>
      <c r="G16">
        <v>2922121000</v>
      </c>
      <c r="H16" t="s">
        <v>174</v>
      </c>
    </row>
    <row r="17" spans="1:9" x14ac:dyDescent="0.3">
      <c r="A17" t="s">
        <v>55</v>
      </c>
      <c r="B17" t="s">
        <v>6</v>
      </c>
      <c r="C17" t="s">
        <v>47</v>
      </c>
      <c r="D17" t="s">
        <v>17</v>
      </c>
      <c r="E17" t="s">
        <v>341</v>
      </c>
      <c r="F17">
        <v>2340</v>
      </c>
      <c r="G17">
        <v>2922150000</v>
      </c>
      <c r="H17" t="s">
        <v>175</v>
      </c>
    </row>
    <row r="18" spans="1:9" x14ac:dyDescent="0.3">
      <c r="A18" t="s">
        <v>56</v>
      </c>
      <c r="B18" t="s">
        <v>6</v>
      </c>
      <c r="C18" t="s">
        <v>177</v>
      </c>
      <c r="D18" t="s">
        <v>17</v>
      </c>
      <c r="E18" t="s">
        <v>342</v>
      </c>
      <c r="F18">
        <v>2380</v>
      </c>
      <c r="G18">
        <v>2905310000</v>
      </c>
      <c r="H18" t="s">
        <v>176</v>
      </c>
    </row>
    <row r="19" spans="1:9" x14ac:dyDescent="0.3">
      <c r="A19" t="s">
        <v>57</v>
      </c>
      <c r="B19" t="s">
        <v>6</v>
      </c>
      <c r="C19" t="s">
        <v>39</v>
      </c>
      <c r="D19" t="s">
        <v>17</v>
      </c>
      <c r="E19" t="s">
        <v>343</v>
      </c>
      <c r="F19">
        <v>2410</v>
      </c>
      <c r="G19">
        <v>2912120000</v>
      </c>
      <c r="I19" t="s">
        <v>148</v>
      </c>
    </row>
    <row r="20" spans="1:9" x14ac:dyDescent="0.3">
      <c r="A20" t="s">
        <v>58</v>
      </c>
      <c r="B20" t="s">
        <v>6</v>
      </c>
      <c r="C20" t="s">
        <v>49</v>
      </c>
      <c r="D20" t="s">
        <v>31</v>
      </c>
      <c r="E20" t="s">
        <v>344</v>
      </c>
      <c r="F20">
        <v>2600</v>
      </c>
      <c r="G20">
        <v>2915320000</v>
      </c>
      <c r="H20" t="s">
        <v>40</v>
      </c>
    </row>
    <row r="21" spans="1:9" x14ac:dyDescent="0.3">
      <c r="A21" t="s">
        <v>59</v>
      </c>
      <c r="B21" t="s">
        <v>8</v>
      </c>
      <c r="C21" t="s">
        <v>8</v>
      </c>
      <c r="D21" t="s">
        <v>7</v>
      </c>
      <c r="E21" t="s">
        <v>329</v>
      </c>
      <c r="F21">
        <v>3100</v>
      </c>
      <c r="G21">
        <v>2901220000</v>
      </c>
      <c r="H21" t="s">
        <v>168</v>
      </c>
    </row>
    <row r="22" spans="1:9" x14ac:dyDescent="0.3">
      <c r="A22" t="s">
        <v>60</v>
      </c>
      <c r="B22" t="s">
        <v>8</v>
      </c>
      <c r="C22" t="s">
        <v>159</v>
      </c>
      <c r="D22" t="s">
        <v>31</v>
      </c>
      <c r="E22" t="s">
        <v>345</v>
      </c>
      <c r="F22">
        <v>3200</v>
      </c>
      <c r="G22">
        <v>2926100000</v>
      </c>
      <c r="H22" t="s">
        <v>109</v>
      </c>
    </row>
    <row r="23" spans="1:9" x14ac:dyDescent="0.3">
      <c r="A23" t="s">
        <v>61</v>
      </c>
      <c r="B23" t="s">
        <v>8</v>
      </c>
      <c r="C23" t="s">
        <v>110</v>
      </c>
      <c r="D23" t="s">
        <v>25</v>
      </c>
      <c r="E23" t="s">
        <v>346</v>
      </c>
      <c r="F23">
        <v>3210</v>
      </c>
      <c r="G23">
        <v>3903300000</v>
      </c>
      <c r="H23" t="s">
        <v>178</v>
      </c>
    </row>
    <row r="24" spans="1:9" x14ac:dyDescent="0.3">
      <c r="A24" t="s">
        <v>62</v>
      </c>
      <c r="B24" t="s">
        <v>8</v>
      </c>
      <c r="C24" t="s">
        <v>111</v>
      </c>
      <c r="D24" t="s">
        <v>25</v>
      </c>
      <c r="E24" t="s">
        <v>346</v>
      </c>
      <c r="F24">
        <v>3220</v>
      </c>
      <c r="G24">
        <v>3903200000</v>
      </c>
      <c r="H24" t="s">
        <v>179</v>
      </c>
      <c r="I24" t="s">
        <v>148</v>
      </c>
    </row>
    <row r="25" spans="1:9" x14ac:dyDescent="0.3">
      <c r="A25" t="s">
        <v>63</v>
      </c>
      <c r="B25" t="s">
        <v>8</v>
      </c>
      <c r="C25" t="s">
        <v>94</v>
      </c>
      <c r="D25" t="s">
        <v>25</v>
      </c>
      <c r="E25" t="s">
        <v>347</v>
      </c>
      <c r="F25">
        <v>3230</v>
      </c>
      <c r="H25" t="s">
        <v>180</v>
      </c>
    </row>
    <row r="26" spans="1:9" x14ac:dyDescent="0.3">
      <c r="A26" t="s">
        <v>64</v>
      </c>
      <c r="B26" t="s">
        <v>8</v>
      </c>
      <c r="C26" t="s">
        <v>146</v>
      </c>
      <c r="D26" t="s">
        <v>25</v>
      </c>
      <c r="E26" t="s">
        <v>330</v>
      </c>
      <c r="F26">
        <v>3110</v>
      </c>
      <c r="G26">
        <v>3902100000</v>
      </c>
      <c r="H26" t="s">
        <v>95</v>
      </c>
    </row>
    <row r="27" spans="1:9" x14ac:dyDescent="0.3">
      <c r="A27" t="s">
        <v>65</v>
      </c>
      <c r="B27" t="s">
        <v>8</v>
      </c>
      <c r="C27" t="s">
        <v>145</v>
      </c>
      <c r="D27" t="s">
        <v>17</v>
      </c>
      <c r="E27" t="s">
        <v>338</v>
      </c>
      <c r="F27">
        <v>3300</v>
      </c>
      <c r="G27">
        <v>2910200000</v>
      </c>
      <c r="H27" t="s">
        <v>96</v>
      </c>
    </row>
    <row r="28" spans="1:9" x14ac:dyDescent="0.3">
      <c r="A28" t="s">
        <v>66</v>
      </c>
      <c r="B28" t="s">
        <v>8</v>
      </c>
      <c r="C28" t="s">
        <v>143</v>
      </c>
      <c r="D28" t="s">
        <v>17</v>
      </c>
      <c r="E28" t="s">
        <v>342</v>
      </c>
      <c r="F28">
        <v>3310</v>
      </c>
      <c r="G28">
        <v>2905320000</v>
      </c>
      <c r="H28" t="s">
        <v>97</v>
      </c>
    </row>
    <row r="29" spans="1:9" x14ac:dyDescent="0.3">
      <c r="A29" t="s">
        <v>67</v>
      </c>
      <c r="B29" t="s">
        <v>8</v>
      </c>
      <c r="C29" t="s">
        <v>144</v>
      </c>
      <c r="D29" t="s">
        <v>339</v>
      </c>
      <c r="E29" t="s">
        <v>348</v>
      </c>
      <c r="F29">
        <v>3320</v>
      </c>
      <c r="H29" t="s">
        <v>98</v>
      </c>
    </row>
    <row r="30" spans="1:9" x14ac:dyDescent="0.3">
      <c r="A30" t="s">
        <v>68</v>
      </c>
      <c r="B30" t="s">
        <v>8</v>
      </c>
      <c r="C30" t="s">
        <v>99</v>
      </c>
      <c r="D30" t="s">
        <v>339</v>
      </c>
      <c r="E30" t="s">
        <v>349</v>
      </c>
      <c r="F30">
        <v>3330</v>
      </c>
    </row>
    <row r="31" spans="1:9" x14ac:dyDescent="0.3">
      <c r="A31" t="s">
        <v>69</v>
      </c>
      <c r="B31" t="s">
        <v>8</v>
      </c>
      <c r="C31" t="s">
        <v>147</v>
      </c>
      <c r="D31" t="s">
        <v>339</v>
      </c>
      <c r="E31" t="s">
        <v>350</v>
      </c>
      <c r="F31">
        <v>3340</v>
      </c>
      <c r="G31">
        <v>3909500000</v>
      </c>
      <c r="H31" t="s">
        <v>247</v>
      </c>
    </row>
    <row r="32" spans="1:9" x14ac:dyDescent="0.3">
      <c r="A32" t="s">
        <v>70</v>
      </c>
      <c r="B32" t="s">
        <v>8</v>
      </c>
      <c r="C32" t="s">
        <v>102</v>
      </c>
      <c r="D32" t="s">
        <v>17</v>
      </c>
      <c r="E32" t="s">
        <v>351</v>
      </c>
      <c r="F32">
        <v>3400</v>
      </c>
      <c r="G32">
        <v>2916111000</v>
      </c>
      <c r="H32" t="s">
        <v>103</v>
      </c>
    </row>
    <row r="33" spans="1:8" x14ac:dyDescent="0.3">
      <c r="A33" t="s">
        <v>71</v>
      </c>
      <c r="B33" t="s">
        <v>8</v>
      </c>
      <c r="C33" t="s">
        <v>104</v>
      </c>
      <c r="D33" t="s">
        <v>25</v>
      </c>
      <c r="E33" t="s">
        <v>352</v>
      </c>
      <c r="F33">
        <v>3420</v>
      </c>
    </row>
    <row r="34" spans="1:8" x14ac:dyDescent="0.3">
      <c r="A34" t="s">
        <v>72</v>
      </c>
      <c r="B34" t="s">
        <v>8</v>
      </c>
      <c r="C34" t="s">
        <v>150</v>
      </c>
      <c r="D34" t="s">
        <v>17</v>
      </c>
      <c r="E34" t="s">
        <v>353</v>
      </c>
      <c r="F34">
        <v>3410</v>
      </c>
    </row>
    <row r="35" spans="1:8" x14ac:dyDescent="0.3">
      <c r="A35" t="s">
        <v>73</v>
      </c>
      <c r="B35" t="s">
        <v>8</v>
      </c>
      <c r="C35" t="s">
        <v>105</v>
      </c>
      <c r="D35" t="s">
        <v>25</v>
      </c>
      <c r="E35" t="s">
        <v>354</v>
      </c>
      <c r="F35">
        <v>3430</v>
      </c>
      <c r="H35" t="s">
        <v>112</v>
      </c>
    </row>
    <row r="36" spans="1:8" x14ac:dyDescent="0.3">
      <c r="A36" t="s">
        <v>74</v>
      </c>
      <c r="B36" t="s">
        <v>8</v>
      </c>
      <c r="C36" t="s">
        <v>106</v>
      </c>
      <c r="D36" t="s">
        <v>17</v>
      </c>
      <c r="E36" t="s">
        <v>343</v>
      </c>
      <c r="F36">
        <v>3500</v>
      </c>
      <c r="G36">
        <v>2912193000</v>
      </c>
    </row>
    <row r="37" spans="1:8" x14ac:dyDescent="0.3">
      <c r="A37" t="s">
        <v>75</v>
      </c>
      <c r="B37" t="s">
        <v>8</v>
      </c>
      <c r="C37" t="s">
        <v>113</v>
      </c>
      <c r="D37" t="s">
        <v>17</v>
      </c>
      <c r="E37" t="s">
        <v>355</v>
      </c>
      <c r="F37">
        <v>3520</v>
      </c>
      <c r="G37">
        <v>2905161000</v>
      </c>
      <c r="H37" t="s">
        <v>312</v>
      </c>
    </row>
    <row r="38" spans="1:8" x14ac:dyDescent="0.3">
      <c r="A38" t="s">
        <v>76</v>
      </c>
      <c r="B38" t="s">
        <v>8</v>
      </c>
      <c r="C38" t="s">
        <v>314</v>
      </c>
      <c r="D38" t="s">
        <v>17</v>
      </c>
      <c r="E38" t="s">
        <v>355</v>
      </c>
      <c r="F38">
        <v>3510</v>
      </c>
      <c r="G38">
        <v>2905130000</v>
      </c>
    </row>
    <row r="39" spans="1:8" x14ac:dyDescent="0.3">
      <c r="A39" t="s">
        <v>77</v>
      </c>
      <c r="B39" t="s">
        <v>8</v>
      </c>
      <c r="C39" t="s">
        <v>114</v>
      </c>
      <c r="D39" t="s">
        <v>17</v>
      </c>
      <c r="E39" t="s">
        <v>336</v>
      </c>
      <c r="F39">
        <v>3530</v>
      </c>
    </row>
    <row r="40" spans="1:8" x14ac:dyDescent="0.3">
      <c r="A40" t="s">
        <v>78</v>
      </c>
      <c r="B40" t="s">
        <v>8</v>
      </c>
      <c r="C40" t="s">
        <v>108</v>
      </c>
      <c r="D40" t="s">
        <v>17</v>
      </c>
      <c r="E40" t="s">
        <v>355</v>
      </c>
      <c r="F40">
        <v>3700</v>
      </c>
    </row>
    <row r="41" spans="1:8" x14ac:dyDescent="0.3">
      <c r="A41" t="s">
        <v>79</v>
      </c>
      <c r="B41" t="s">
        <v>8</v>
      </c>
      <c r="C41" t="s">
        <v>115</v>
      </c>
      <c r="D41" t="s">
        <v>17</v>
      </c>
      <c r="E41" t="s">
        <v>336</v>
      </c>
      <c r="F41">
        <v>3710</v>
      </c>
    </row>
    <row r="42" spans="1:8" x14ac:dyDescent="0.3">
      <c r="A42" t="s">
        <v>80</v>
      </c>
      <c r="B42" t="s">
        <v>8</v>
      </c>
      <c r="C42" t="s">
        <v>160</v>
      </c>
      <c r="D42" t="s">
        <v>17</v>
      </c>
      <c r="E42" t="s">
        <v>334</v>
      </c>
      <c r="F42">
        <v>3600</v>
      </c>
      <c r="G42">
        <v>2905121000</v>
      </c>
      <c r="H42" t="s">
        <v>199</v>
      </c>
    </row>
    <row r="43" spans="1:8" x14ac:dyDescent="0.3">
      <c r="A43" t="s">
        <v>81</v>
      </c>
      <c r="B43" t="s">
        <v>8</v>
      </c>
      <c r="C43" t="s">
        <v>116</v>
      </c>
      <c r="D43" t="s">
        <v>17</v>
      </c>
      <c r="E43" t="s">
        <v>336</v>
      </c>
      <c r="F43">
        <v>3610</v>
      </c>
      <c r="G43" t="s">
        <v>253</v>
      </c>
    </row>
    <row r="44" spans="1:8" x14ac:dyDescent="0.3">
      <c r="A44" t="s">
        <v>82</v>
      </c>
      <c r="B44" s="1" t="s">
        <v>14</v>
      </c>
      <c r="C44" s="1" t="s">
        <v>26</v>
      </c>
      <c r="D44" t="s">
        <v>7</v>
      </c>
      <c r="E44" t="s">
        <v>356</v>
      </c>
      <c r="F44" s="1">
        <v>4100</v>
      </c>
      <c r="G44">
        <v>2901241000</v>
      </c>
      <c r="H44" t="s">
        <v>171</v>
      </c>
    </row>
    <row r="45" spans="1:8" x14ac:dyDescent="0.3">
      <c r="A45" t="s">
        <v>83</v>
      </c>
      <c r="B45" s="1" t="s">
        <v>14</v>
      </c>
      <c r="C45" s="1" t="s">
        <v>117</v>
      </c>
      <c r="D45" t="s">
        <v>25</v>
      </c>
      <c r="E45" t="s">
        <v>347</v>
      </c>
      <c r="F45" s="1">
        <v>4110</v>
      </c>
    </row>
    <row r="46" spans="1:8" x14ac:dyDescent="0.3">
      <c r="A46" t="s">
        <v>84</v>
      </c>
      <c r="B46" s="1" t="s">
        <v>14</v>
      </c>
      <c r="C46" s="1" t="s">
        <v>118</v>
      </c>
      <c r="D46" t="s">
        <v>25</v>
      </c>
      <c r="E46" t="s">
        <v>347</v>
      </c>
      <c r="F46" s="1">
        <v>4120</v>
      </c>
      <c r="G46">
        <v>3903901000</v>
      </c>
    </row>
    <row r="47" spans="1:8" x14ac:dyDescent="0.3">
      <c r="A47" t="s">
        <v>85</v>
      </c>
      <c r="B47" s="1" t="s">
        <v>14</v>
      </c>
      <c r="C47" s="1" t="s">
        <v>27</v>
      </c>
      <c r="D47" t="s">
        <v>7</v>
      </c>
      <c r="E47" t="s">
        <v>329</v>
      </c>
      <c r="F47" s="1">
        <v>4200</v>
      </c>
    </row>
    <row r="48" spans="1:8" ht="33" x14ac:dyDescent="0.3">
      <c r="A48" t="s">
        <v>86</v>
      </c>
      <c r="B48" s="1" t="s">
        <v>14</v>
      </c>
      <c r="C48" s="1" t="s">
        <v>120</v>
      </c>
      <c r="D48" t="s">
        <v>25</v>
      </c>
      <c r="E48" t="s">
        <v>357</v>
      </c>
      <c r="F48" s="1">
        <v>4210</v>
      </c>
      <c r="G48">
        <v>3902200000</v>
      </c>
      <c r="H48" s="1" t="s">
        <v>119</v>
      </c>
    </row>
    <row r="49" spans="1:9" x14ac:dyDescent="0.3">
      <c r="A49" t="s">
        <v>87</v>
      </c>
      <c r="B49" s="1" t="s">
        <v>14</v>
      </c>
      <c r="C49" s="1" t="s">
        <v>125</v>
      </c>
      <c r="D49" t="s">
        <v>25</v>
      </c>
      <c r="E49" t="s">
        <v>330</v>
      </c>
      <c r="F49" s="1">
        <v>4330</v>
      </c>
      <c r="H49" s="1" t="s">
        <v>124</v>
      </c>
    </row>
    <row r="50" spans="1:9" x14ac:dyDescent="0.3">
      <c r="A50" t="s">
        <v>88</v>
      </c>
      <c r="B50" s="1" t="s">
        <v>14</v>
      </c>
      <c r="C50" s="1" t="s">
        <v>121</v>
      </c>
      <c r="D50" t="s">
        <v>339</v>
      </c>
      <c r="E50" t="s">
        <v>358</v>
      </c>
      <c r="F50" s="1">
        <v>4230</v>
      </c>
      <c r="G50">
        <v>2909192000</v>
      </c>
    </row>
    <row r="51" spans="1:9" x14ac:dyDescent="0.3">
      <c r="A51" t="s">
        <v>89</v>
      </c>
      <c r="B51" s="1" t="s">
        <v>14</v>
      </c>
      <c r="C51" s="1" t="s">
        <v>123</v>
      </c>
      <c r="D51" t="s">
        <v>25</v>
      </c>
      <c r="E51" t="s">
        <v>347</v>
      </c>
      <c r="F51" s="1">
        <v>4220</v>
      </c>
      <c r="I51" t="s">
        <v>148</v>
      </c>
    </row>
    <row r="52" spans="1:9" x14ac:dyDescent="0.3">
      <c r="A52" t="s">
        <v>90</v>
      </c>
      <c r="B52" s="1" t="s">
        <v>14</v>
      </c>
      <c r="C52" s="1" t="s">
        <v>122</v>
      </c>
      <c r="D52" t="s">
        <v>17</v>
      </c>
      <c r="E52" t="s">
        <v>359</v>
      </c>
      <c r="F52" s="1">
        <v>4300</v>
      </c>
    </row>
    <row r="53" spans="1:9" x14ac:dyDescent="0.3">
      <c r="A53" t="s">
        <v>91</v>
      </c>
      <c r="B53" s="1" t="s">
        <v>14</v>
      </c>
      <c r="C53" s="1" t="s">
        <v>16</v>
      </c>
      <c r="D53" t="s">
        <v>7</v>
      </c>
      <c r="E53" t="s">
        <v>360</v>
      </c>
      <c r="F53" s="1">
        <v>4310</v>
      </c>
    </row>
    <row r="54" spans="1:9" x14ac:dyDescent="0.3">
      <c r="A54" t="s">
        <v>92</v>
      </c>
      <c r="B54" s="1" t="s">
        <v>14</v>
      </c>
      <c r="C54" s="1" t="s">
        <v>28</v>
      </c>
      <c r="D54" t="s">
        <v>17</v>
      </c>
      <c r="E54" t="s">
        <v>359</v>
      </c>
      <c r="F54" s="1">
        <v>4320</v>
      </c>
    </row>
    <row r="55" spans="1:9" x14ac:dyDescent="0.3">
      <c r="A55" t="s">
        <v>93</v>
      </c>
      <c r="B55" s="1" t="s">
        <v>10</v>
      </c>
      <c r="C55" s="1" t="s">
        <v>10</v>
      </c>
      <c r="D55" t="s">
        <v>7</v>
      </c>
      <c r="E55" t="s">
        <v>361</v>
      </c>
      <c r="F55" s="1">
        <v>6000</v>
      </c>
      <c r="G55">
        <v>2902200000</v>
      </c>
      <c r="H55" s="1"/>
    </row>
    <row r="56" spans="1:9" x14ac:dyDescent="0.3">
      <c r="A56" t="s">
        <v>126</v>
      </c>
      <c r="B56" s="1" t="s">
        <v>10</v>
      </c>
      <c r="C56" s="1" t="s">
        <v>20</v>
      </c>
      <c r="D56" t="s">
        <v>17</v>
      </c>
      <c r="E56" t="s">
        <v>362</v>
      </c>
      <c r="F56" s="1">
        <v>6100</v>
      </c>
      <c r="G56">
        <v>2902600000</v>
      </c>
      <c r="H56" s="1" t="s">
        <v>164</v>
      </c>
    </row>
    <row r="57" spans="1:9" x14ac:dyDescent="0.3">
      <c r="A57" t="s">
        <v>127</v>
      </c>
      <c r="B57" s="1" t="s">
        <v>10</v>
      </c>
      <c r="C57" s="1" t="s">
        <v>22</v>
      </c>
      <c r="D57" t="s">
        <v>31</v>
      </c>
      <c r="E57" t="s">
        <v>363</v>
      </c>
      <c r="F57" s="1">
        <v>6110</v>
      </c>
      <c r="G57">
        <v>2902500000</v>
      </c>
      <c r="H57" s="1"/>
    </row>
    <row r="58" spans="1:9" x14ac:dyDescent="0.3">
      <c r="A58" t="s">
        <v>133</v>
      </c>
      <c r="B58" s="1" t="s">
        <v>10</v>
      </c>
      <c r="C58" s="1" t="s">
        <v>165</v>
      </c>
      <c r="D58" t="s">
        <v>25</v>
      </c>
      <c r="E58" t="s">
        <v>346</v>
      </c>
      <c r="F58" s="1">
        <v>6120</v>
      </c>
      <c r="H58" s="1" t="s">
        <v>24</v>
      </c>
    </row>
    <row r="59" spans="1:9" x14ac:dyDescent="0.3">
      <c r="A59" t="s">
        <v>134</v>
      </c>
      <c r="B59" s="1" t="s">
        <v>10</v>
      </c>
      <c r="C59" s="1" t="s">
        <v>29</v>
      </c>
      <c r="D59" t="s">
        <v>17</v>
      </c>
      <c r="E59" t="s">
        <v>362</v>
      </c>
      <c r="F59" s="1">
        <v>6200</v>
      </c>
      <c r="G59">
        <v>2902700000</v>
      </c>
      <c r="H59" s="1"/>
    </row>
    <row r="60" spans="1:9" x14ac:dyDescent="0.3">
      <c r="A60" t="s">
        <v>135</v>
      </c>
      <c r="B60" s="1" t="s">
        <v>10</v>
      </c>
      <c r="C60" s="1" t="s">
        <v>100</v>
      </c>
      <c r="D60" t="s">
        <v>17</v>
      </c>
      <c r="E60" t="s">
        <v>364</v>
      </c>
      <c r="F60" s="1">
        <v>6210</v>
      </c>
      <c r="G60">
        <v>2907111000</v>
      </c>
      <c r="H60" s="1"/>
    </row>
    <row r="61" spans="1:9" x14ac:dyDescent="0.3">
      <c r="A61" t="s">
        <v>136</v>
      </c>
      <c r="B61" s="1" t="s">
        <v>10</v>
      </c>
      <c r="C61" s="1" t="s">
        <v>101</v>
      </c>
      <c r="D61" t="s">
        <v>17</v>
      </c>
      <c r="E61" t="s">
        <v>365</v>
      </c>
      <c r="F61" s="1">
        <v>6220</v>
      </c>
      <c r="G61">
        <v>2914110000</v>
      </c>
      <c r="H61" s="1"/>
    </row>
    <row r="62" spans="1:9" x14ac:dyDescent="0.3">
      <c r="A62" t="s">
        <v>137</v>
      </c>
      <c r="B62" s="1" t="s">
        <v>10</v>
      </c>
      <c r="C62" s="1" t="s">
        <v>166</v>
      </c>
      <c r="D62" t="s">
        <v>17</v>
      </c>
      <c r="E62" t="s">
        <v>364</v>
      </c>
      <c r="F62" s="1">
        <v>6230</v>
      </c>
      <c r="G62">
        <v>2907231000</v>
      </c>
      <c r="H62" s="1" t="s">
        <v>130</v>
      </c>
    </row>
    <row r="63" spans="1:9" ht="33" x14ac:dyDescent="0.3">
      <c r="A63" t="s">
        <v>138</v>
      </c>
      <c r="B63" s="1" t="s">
        <v>10</v>
      </c>
      <c r="C63" s="1" t="s">
        <v>167</v>
      </c>
      <c r="D63" t="s">
        <v>25</v>
      </c>
      <c r="E63" t="s">
        <v>366</v>
      </c>
      <c r="F63" s="1">
        <v>6240</v>
      </c>
      <c r="G63">
        <v>3907400000</v>
      </c>
      <c r="H63" s="1" t="s">
        <v>131</v>
      </c>
    </row>
    <row r="64" spans="1:9" x14ac:dyDescent="0.3">
      <c r="A64" t="s">
        <v>139</v>
      </c>
      <c r="B64" s="1" t="s">
        <v>10</v>
      </c>
      <c r="C64" s="1" t="s">
        <v>132</v>
      </c>
      <c r="D64" t="s">
        <v>339</v>
      </c>
      <c r="E64" t="s">
        <v>367</v>
      </c>
      <c r="F64" s="1">
        <v>6250</v>
      </c>
      <c r="H64" s="1"/>
    </row>
    <row r="65" spans="1:8" x14ac:dyDescent="0.3">
      <c r="A65" t="s">
        <v>140</v>
      </c>
      <c r="B65" s="1" t="s">
        <v>10</v>
      </c>
      <c r="C65" s="1" t="s">
        <v>129</v>
      </c>
      <c r="D65" t="s">
        <v>17</v>
      </c>
      <c r="E65" t="s">
        <v>368</v>
      </c>
      <c r="F65" s="1">
        <v>6300</v>
      </c>
      <c r="G65">
        <v>2902110000</v>
      </c>
      <c r="H65" s="1"/>
    </row>
    <row r="66" spans="1:8" x14ac:dyDescent="0.3">
      <c r="A66" t="s">
        <v>141</v>
      </c>
      <c r="B66" s="1" t="s">
        <v>10</v>
      </c>
      <c r="C66" s="1" t="s">
        <v>128</v>
      </c>
      <c r="D66" t="s">
        <v>17</v>
      </c>
      <c r="E66" t="s">
        <v>369</v>
      </c>
      <c r="F66" s="1">
        <v>6320</v>
      </c>
      <c r="G66">
        <v>2921411000</v>
      </c>
      <c r="H66" s="1"/>
    </row>
    <row r="67" spans="1:8" x14ac:dyDescent="0.3">
      <c r="A67" t="s">
        <v>142</v>
      </c>
      <c r="B67" s="1" t="s">
        <v>10</v>
      </c>
      <c r="C67" s="1" t="s">
        <v>152</v>
      </c>
      <c r="D67" t="s">
        <v>17</v>
      </c>
      <c r="E67" t="s">
        <v>362</v>
      </c>
      <c r="F67" s="1">
        <v>6400</v>
      </c>
      <c r="H67" t="s">
        <v>153</v>
      </c>
    </row>
    <row r="68" spans="1:8" x14ac:dyDescent="0.3">
      <c r="A68" t="s">
        <v>154</v>
      </c>
      <c r="B68" s="1" t="s">
        <v>10</v>
      </c>
      <c r="C68" s="1" t="s">
        <v>151</v>
      </c>
      <c r="D68" t="s">
        <v>17</v>
      </c>
      <c r="E68" t="s">
        <v>365</v>
      </c>
      <c r="F68" s="1">
        <v>6310</v>
      </c>
      <c r="G68">
        <v>2914221000</v>
      </c>
      <c r="H68" s="1"/>
    </row>
    <row r="69" spans="1:8" x14ac:dyDescent="0.3">
      <c r="A69" t="s">
        <v>162</v>
      </c>
      <c r="B69" t="s">
        <v>155</v>
      </c>
      <c r="C69" t="s">
        <v>156</v>
      </c>
      <c r="D69" t="s">
        <v>17</v>
      </c>
      <c r="E69" t="s">
        <v>370</v>
      </c>
      <c r="F69">
        <v>6500</v>
      </c>
      <c r="G69">
        <v>2917140000</v>
      </c>
      <c r="H69" t="s">
        <v>163</v>
      </c>
    </row>
    <row r="70" spans="1:8" x14ac:dyDescent="0.3">
      <c r="A70" t="s">
        <v>181</v>
      </c>
      <c r="B70" t="s">
        <v>157</v>
      </c>
      <c r="C70" t="s">
        <v>157</v>
      </c>
      <c r="D70" t="s">
        <v>7</v>
      </c>
      <c r="E70" t="s">
        <v>334</v>
      </c>
      <c r="F70">
        <v>100</v>
      </c>
      <c r="G70">
        <v>2905110000</v>
      </c>
    </row>
    <row r="71" spans="1:8" x14ac:dyDescent="0.3">
      <c r="A71" t="s">
        <v>182</v>
      </c>
      <c r="B71" t="s">
        <v>157</v>
      </c>
      <c r="C71" t="s">
        <v>161</v>
      </c>
      <c r="D71" t="s">
        <v>17</v>
      </c>
      <c r="E71" t="s">
        <v>351</v>
      </c>
      <c r="F71">
        <v>200</v>
      </c>
      <c r="G71">
        <v>2915210000</v>
      </c>
    </row>
    <row r="72" spans="1:8" x14ac:dyDescent="0.3">
      <c r="A72" t="s">
        <v>183</v>
      </c>
      <c r="B72" t="s">
        <v>184</v>
      </c>
      <c r="C72" t="s">
        <v>184</v>
      </c>
      <c r="D72" t="s">
        <v>7</v>
      </c>
      <c r="E72" t="s">
        <v>361</v>
      </c>
      <c r="F72">
        <v>7000</v>
      </c>
      <c r="G72">
        <v>2902300000</v>
      </c>
    </row>
    <row r="73" spans="1:8" x14ac:dyDescent="0.3">
      <c r="A73" t="s">
        <v>185</v>
      </c>
      <c r="B73" t="s">
        <v>186</v>
      </c>
      <c r="C73" t="s">
        <v>186</v>
      </c>
      <c r="D73" t="s">
        <v>7</v>
      </c>
      <c r="E73" t="s">
        <v>361</v>
      </c>
      <c r="F73">
        <v>8000</v>
      </c>
      <c r="G73" s="2">
        <v>2707300000</v>
      </c>
    </row>
    <row r="74" spans="1:8" x14ac:dyDescent="0.3">
      <c r="A74" t="s">
        <v>187</v>
      </c>
      <c r="B74" t="s">
        <v>186</v>
      </c>
      <c r="C74" t="s">
        <v>188</v>
      </c>
      <c r="D74" t="s">
        <v>17</v>
      </c>
      <c r="E74" t="s">
        <v>370</v>
      </c>
      <c r="F74">
        <v>8110</v>
      </c>
      <c r="G74">
        <v>2917350000</v>
      </c>
      <c r="H74" t="s">
        <v>189</v>
      </c>
    </row>
    <row r="75" spans="1:8" x14ac:dyDescent="0.3">
      <c r="A75" t="s">
        <v>197</v>
      </c>
      <c r="B75" t="s">
        <v>155</v>
      </c>
      <c r="C75" t="s">
        <v>200</v>
      </c>
      <c r="D75" t="s">
        <v>31</v>
      </c>
      <c r="E75" t="s">
        <v>371</v>
      </c>
      <c r="F75">
        <v>6330</v>
      </c>
      <c r="G75">
        <v>2933710000</v>
      </c>
    </row>
    <row r="76" spans="1:8" x14ac:dyDescent="0.3">
      <c r="A76" t="s">
        <v>201</v>
      </c>
      <c r="B76" t="s">
        <v>206</v>
      </c>
      <c r="C76" t="s">
        <v>204</v>
      </c>
      <c r="D76" t="s">
        <v>339</v>
      </c>
      <c r="E76" t="s">
        <v>372</v>
      </c>
      <c r="F76">
        <v>2700</v>
      </c>
      <c r="H76" t="s">
        <v>208</v>
      </c>
    </row>
    <row r="77" spans="1:8" x14ac:dyDescent="0.3">
      <c r="A77" t="s">
        <v>202</v>
      </c>
      <c r="B77" t="s">
        <v>206</v>
      </c>
      <c r="C77" t="s">
        <v>205</v>
      </c>
      <c r="D77" t="s">
        <v>17</v>
      </c>
      <c r="E77" t="s">
        <v>360</v>
      </c>
      <c r="F77">
        <v>2900</v>
      </c>
      <c r="G77">
        <v>2901291000</v>
      </c>
      <c r="H77" t="s">
        <v>316</v>
      </c>
    </row>
    <row r="78" spans="1:8" x14ac:dyDescent="0.3">
      <c r="A78" t="s">
        <v>203</v>
      </c>
      <c r="B78" t="s">
        <v>206</v>
      </c>
      <c r="C78" t="s">
        <v>207</v>
      </c>
      <c r="D78" t="s">
        <v>339</v>
      </c>
      <c r="E78" t="s">
        <v>373</v>
      </c>
      <c r="F78">
        <v>2720</v>
      </c>
    </row>
    <row r="79" spans="1:8" x14ac:dyDescent="0.3">
      <c r="A79" t="s">
        <v>209</v>
      </c>
      <c r="B79" t="s">
        <v>157</v>
      </c>
      <c r="C79" t="s">
        <v>211</v>
      </c>
      <c r="D79" t="s">
        <v>31</v>
      </c>
      <c r="E79" t="s">
        <v>374</v>
      </c>
      <c r="F79">
        <v>400</v>
      </c>
      <c r="G79">
        <v>2916141000</v>
      </c>
      <c r="H79" t="s">
        <v>214</v>
      </c>
    </row>
    <row r="80" spans="1:8" x14ac:dyDescent="0.3">
      <c r="A80" t="s">
        <v>210</v>
      </c>
      <c r="B80" t="s">
        <v>157</v>
      </c>
      <c r="C80" t="s">
        <v>212</v>
      </c>
      <c r="D80" t="s">
        <v>25</v>
      </c>
      <c r="E80" t="s">
        <v>352</v>
      </c>
      <c r="F80">
        <v>410</v>
      </c>
      <c r="G80">
        <v>3906100000</v>
      </c>
      <c r="H80" t="s">
        <v>213</v>
      </c>
    </row>
    <row r="81" spans="1:8" x14ac:dyDescent="0.3">
      <c r="A81" t="s">
        <v>215</v>
      </c>
      <c r="B81" t="s">
        <v>157</v>
      </c>
      <c r="C81" t="s">
        <v>216</v>
      </c>
      <c r="D81" t="s">
        <v>17</v>
      </c>
      <c r="E81" t="s">
        <v>343</v>
      </c>
      <c r="F81">
        <v>300</v>
      </c>
      <c r="G81">
        <v>2912110000</v>
      </c>
      <c r="H81" t="s">
        <v>213</v>
      </c>
    </row>
    <row r="82" spans="1:8" x14ac:dyDescent="0.3">
      <c r="A82" t="s">
        <v>217</v>
      </c>
      <c r="B82" t="s">
        <v>206</v>
      </c>
      <c r="C82" t="s">
        <v>219</v>
      </c>
      <c r="D82" t="s">
        <v>17</v>
      </c>
      <c r="E82" t="s">
        <v>375</v>
      </c>
      <c r="F82">
        <v>2360</v>
      </c>
      <c r="H82" t="s">
        <v>220</v>
      </c>
    </row>
    <row r="83" spans="1:8" x14ac:dyDescent="0.3">
      <c r="A83" t="s">
        <v>218</v>
      </c>
      <c r="B83" t="s">
        <v>206</v>
      </c>
      <c r="C83" t="s">
        <v>221</v>
      </c>
      <c r="D83" t="s">
        <v>17</v>
      </c>
      <c r="E83" t="s">
        <v>375</v>
      </c>
      <c r="F83">
        <v>2370</v>
      </c>
      <c r="H83" t="s">
        <v>222</v>
      </c>
    </row>
    <row r="84" spans="1:8" x14ac:dyDescent="0.3">
      <c r="A84" t="s">
        <v>223</v>
      </c>
      <c r="B84" t="s">
        <v>206</v>
      </c>
      <c r="C84" t="s">
        <v>225</v>
      </c>
      <c r="D84" t="s">
        <v>25</v>
      </c>
      <c r="E84" t="s">
        <v>376</v>
      </c>
      <c r="F84">
        <v>2610</v>
      </c>
      <c r="H84" t="s">
        <v>227</v>
      </c>
    </row>
    <row r="85" spans="1:8" x14ac:dyDescent="0.3">
      <c r="A85" t="s">
        <v>224</v>
      </c>
      <c r="B85" t="s">
        <v>206</v>
      </c>
      <c r="C85" t="s">
        <v>226</v>
      </c>
      <c r="D85" t="s">
        <v>25</v>
      </c>
      <c r="E85" t="s">
        <v>377</v>
      </c>
      <c r="F85">
        <v>2620</v>
      </c>
      <c r="H85" t="s">
        <v>228</v>
      </c>
    </row>
    <row r="86" spans="1:8" x14ac:dyDescent="0.3">
      <c r="A86" t="s">
        <v>229</v>
      </c>
      <c r="B86" t="s">
        <v>155</v>
      </c>
      <c r="C86" t="s">
        <v>231</v>
      </c>
      <c r="D86" t="s">
        <v>17</v>
      </c>
      <c r="E86" t="s">
        <v>378</v>
      </c>
      <c r="F86">
        <v>6410</v>
      </c>
      <c r="G86">
        <v>2929102000</v>
      </c>
      <c r="H86" t="s">
        <v>233</v>
      </c>
    </row>
    <row r="87" spans="1:8" x14ac:dyDescent="0.3">
      <c r="A87" t="s">
        <v>230</v>
      </c>
      <c r="B87" t="s">
        <v>184</v>
      </c>
      <c r="C87" t="s">
        <v>232</v>
      </c>
      <c r="D87" t="s">
        <v>17</v>
      </c>
      <c r="E87" t="s">
        <v>378</v>
      </c>
      <c r="F87">
        <v>7100</v>
      </c>
      <c r="G87">
        <v>2929101000</v>
      </c>
      <c r="H87" t="s">
        <v>234</v>
      </c>
    </row>
    <row r="88" spans="1:8" x14ac:dyDescent="0.3">
      <c r="A88" t="s">
        <v>235</v>
      </c>
      <c r="B88" t="s">
        <v>186</v>
      </c>
      <c r="C88" t="s">
        <v>238</v>
      </c>
      <c r="D88" t="s">
        <v>17</v>
      </c>
      <c r="E88" t="s">
        <v>379</v>
      </c>
      <c r="F88">
        <v>8100</v>
      </c>
      <c r="G88">
        <v>2902410000</v>
      </c>
      <c r="H88" t="s">
        <v>194</v>
      </c>
    </row>
    <row r="89" spans="1:8" x14ac:dyDescent="0.3">
      <c r="A89" t="s">
        <v>236</v>
      </c>
      <c r="B89" t="s">
        <v>186</v>
      </c>
      <c r="C89" t="s">
        <v>239</v>
      </c>
      <c r="D89" t="s">
        <v>17</v>
      </c>
      <c r="E89" t="s">
        <v>379</v>
      </c>
      <c r="F89">
        <v>8200</v>
      </c>
      <c r="G89">
        <v>2902420000</v>
      </c>
      <c r="H89" t="s">
        <v>195</v>
      </c>
    </row>
    <row r="90" spans="1:8" x14ac:dyDescent="0.3">
      <c r="A90" t="s">
        <v>237</v>
      </c>
      <c r="B90" t="s">
        <v>186</v>
      </c>
      <c r="C90" t="s">
        <v>240</v>
      </c>
      <c r="D90" t="s">
        <v>17</v>
      </c>
      <c r="E90" t="s">
        <v>379</v>
      </c>
      <c r="F90">
        <v>8300</v>
      </c>
      <c r="G90">
        <v>2902430000</v>
      </c>
      <c r="H90" t="s">
        <v>196</v>
      </c>
    </row>
    <row r="91" spans="1:8" x14ac:dyDescent="0.3">
      <c r="A91" t="s">
        <v>241</v>
      </c>
      <c r="B91" t="s">
        <v>186</v>
      </c>
      <c r="C91" t="s">
        <v>191</v>
      </c>
      <c r="D91" t="s">
        <v>31</v>
      </c>
      <c r="E91" t="s">
        <v>380</v>
      </c>
      <c r="F91">
        <v>8210</v>
      </c>
      <c r="H91" t="s">
        <v>194</v>
      </c>
    </row>
    <row r="92" spans="1:8" x14ac:dyDescent="0.3">
      <c r="A92" t="s">
        <v>242</v>
      </c>
      <c r="B92" t="s">
        <v>186</v>
      </c>
      <c r="C92" t="s">
        <v>192</v>
      </c>
      <c r="D92" t="s">
        <v>31</v>
      </c>
      <c r="E92" t="s">
        <v>380</v>
      </c>
      <c r="F92">
        <v>8310</v>
      </c>
      <c r="G92">
        <v>2917361000</v>
      </c>
      <c r="H92" t="s">
        <v>195</v>
      </c>
    </row>
    <row r="93" spans="1:8" x14ac:dyDescent="0.3">
      <c r="A93" t="s">
        <v>243</v>
      </c>
      <c r="B93" t="s">
        <v>186</v>
      </c>
      <c r="C93" t="s">
        <v>193</v>
      </c>
      <c r="D93" t="s">
        <v>31</v>
      </c>
      <c r="E93" t="s">
        <v>381</v>
      </c>
      <c r="F93">
        <v>8320</v>
      </c>
      <c r="G93">
        <v>2917370000</v>
      </c>
      <c r="H93" t="s">
        <v>196</v>
      </c>
    </row>
    <row r="94" spans="1:8" x14ac:dyDescent="0.3">
      <c r="A94" t="s">
        <v>244</v>
      </c>
      <c r="B94" t="s">
        <v>186</v>
      </c>
      <c r="C94" t="s">
        <v>245</v>
      </c>
      <c r="D94" t="s">
        <v>25</v>
      </c>
      <c r="E94" t="s">
        <v>382</v>
      </c>
      <c r="F94">
        <v>8330</v>
      </c>
      <c r="H94" t="s">
        <v>246</v>
      </c>
    </row>
    <row r="95" spans="1:8" x14ac:dyDescent="0.3">
      <c r="A95" t="s">
        <v>249</v>
      </c>
      <c r="B95" t="s">
        <v>8</v>
      </c>
      <c r="C95" t="s">
        <v>147</v>
      </c>
      <c r="D95" t="s">
        <v>339</v>
      </c>
      <c r="E95" t="s">
        <v>350</v>
      </c>
      <c r="F95">
        <v>3350</v>
      </c>
      <c r="G95">
        <v>3909500000</v>
      </c>
      <c r="H95" t="s">
        <v>248</v>
      </c>
    </row>
    <row r="96" spans="1:8" x14ac:dyDescent="0.3">
      <c r="A96" t="s">
        <v>251</v>
      </c>
      <c r="B96" t="s">
        <v>315</v>
      </c>
      <c r="C96" t="s">
        <v>250</v>
      </c>
      <c r="D96" t="s">
        <v>17</v>
      </c>
      <c r="E96" t="s">
        <v>360</v>
      </c>
      <c r="F96">
        <v>4350</v>
      </c>
      <c r="G96">
        <v>2901292000</v>
      </c>
    </row>
    <row r="97" spans="1:8" x14ac:dyDescent="0.3">
      <c r="A97" t="s">
        <v>313</v>
      </c>
      <c r="B97" t="s">
        <v>315</v>
      </c>
      <c r="C97" t="s">
        <v>205</v>
      </c>
      <c r="D97" t="s">
        <v>17</v>
      </c>
      <c r="E97" t="s">
        <v>360</v>
      </c>
      <c r="F97">
        <v>4340</v>
      </c>
      <c r="H97" t="s">
        <v>317</v>
      </c>
    </row>
    <row r="98" spans="1:8" x14ac:dyDescent="0.3">
      <c r="A98" t="s">
        <v>318</v>
      </c>
      <c r="B98" t="s">
        <v>206</v>
      </c>
      <c r="C98" t="s">
        <v>311</v>
      </c>
      <c r="D98" t="s">
        <v>25</v>
      </c>
      <c r="E98" t="s">
        <v>347</v>
      </c>
      <c r="F98">
        <v>2800</v>
      </c>
    </row>
    <row r="99" spans="1:8" x14ac:dyDescent="0.3">
      <c r="A99" t="s">
        <v>383</v>
      </c>
      <c r="B99" t="s">
        <v>384</v>
      </c>
      <c r="C99" t="s">
        <v>327</v>
      </c>
      <c r="D99" t="s">
        <v>17</v>
      </c>
      <c r="E99" t="s">
        <v>385</v>
      </c>
      <c r="F99">
        <v>3800</v>
      </c>
      <c r="G99">
        <v>2910300000</v>
      </c>
      <c r="H99" t="s">
        <v>386</v>
      </c>
    </row>
    <row r="100" spans="1:8" x14ac:dyDescent="0.3">
      <c r="A100" t="s">
        <v>387</v>
      </c>
      <c r="B100" t="s">
        <v>206</v>
      </c>
      <c r="C100" t="s">
        <v>388</v>
      </c>
      <c r="D100" t="s">
        <v>339</v>
      </c>
      <c r="E100" t="s">
        <v>389</v>
      </c>
      <c r="F100">
        <v>2390</v>
      </c>
    </row>
    <row r="101" spans="1:8" x14ac:dyDescent="0.3">
      <c r="A101" t="s">
        <v>390</v>
      </c>
      <c r="B101" t="s">
        <v>155</v>
      </c>
      <c r="C101" t="s">
        <v>328</v>
      </c>
      <c r="D101" t="s">
        <v>190</v>
      </c>
      <c r="E101" t="s">
        <v>391</v>
      </c>
      <c r="F101">
        <v>6340</v>
      </c>
      <c r="G101">
        <v>2917121000</v>
      </c>
    </row>
    <row r="102" spans="1:8" x14ac:dyDescent="0.3">
      <c r="A102" t="s">
        <v>393</v>
      </c>
      <c r="B102" s="1" t="s">
        <v>14</v>
      </c>
      <c r="C102" s="1" t="s">
        <v>394</v>
      </c>
      <c r="D102" t="s">
        <v>395</v>
      </c>
      <c r="E102" t="s">
        <v>396</v>
      </c>
      <c r="F102" s="1">
        <v>4320</v>
      </c>
      <c r="G102">
        <v>2901101000</v>
      </c>
    </row>
  </sheetData>
  <phoneticPr fontId="1" type="noConversion"/>
  <pageMargins left="0.7" right="0.7" top="0.75" bottom="0.75" header="0.3" footer="0.3"/>
  <headerFooter>
    <oddFooter>&amp;L_x000D_&amp;1#&amp;"Aptos"&amp;11&amp;K000000 S-OIL: General</oddFooter>
  </headerFooter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D60A-1BAE-4F7A-A103-6798E483213F}">
  <dimension ref="A1:D61"/>
  <sheetViews>
    <sheetView topLeftCell="A23" workbookViewId="0">
      <selection activeCell="D61" sqref="D61"/>
    </sheetView>
  </sheetViews>
  <sheetFormatPr defaultRowHeight="16.5" x14ac:dyDescent="0.3"/>
  <cols>
    <col min="1" max="2" width="12.625" customWidth="1"/>
    <col min="3" max="3" width="15.125" bestFit="1" customWidth="1"/>
    <col min="4" max="4" width="45.5" bestFit="1" customWidth="1"/>
  </cols>
  <sheetData>
    <row r="1" spans="1:4" x14ac:dyDescent="0.3">
      <c r="A1" t="s">
        <v>1</v>
      </c>
      <c r="B1" t="s">
        <v>252</v>
      </c>
      <c r="C1" t="s">
        <v>2</v>
      </c>
      <c r="D1" t="s">
        <v>254</v>
      </c>
    </row>
    <row r="2" spans="1:4" x14ac:dyDescent="0.3">
      <c r="A2" t="str">
        <f>_xlfn.XLOOKUP(표9[[#This Row],[hsk10]],표2[hsk10],표2[material_id])</f>
        <v>M008</v>
      </c>
      <c r="B2">
        <v>2207200000</v>
      </c>
      <c r="C2" t="s">
        <v>41</v>
      </c>
      <c r="D2" t="s">
        <v>310</v>
      </c>
    </row>
    <row r="3" spans="1:4" x14ac:dyDescent="0.3">
      <c r="A3" t="str">
        <f>_xlfn.XLOOKUP(표9[[#This Row],[hsk10]],표2[hsk10],표2[material_id])</f>
        <v>M076</v>
      </c>
      <c r="B3">
        <v>2901291000</v>
      </c>
      <c r="C3" t="s">
        <v>205</v>
      </c>
      <c r="D3" t="s">
        <v>255</v>
      </c>
    </row>
    <row r="4" spans="1:4" x14ac:dyDescent="0.3">
      <c r="A4" t="str">
        <f>_xlfn.XLOOKUP(표9[[#This Row],[hsk10]],표2[hsk10],표2[material_id])</f>
        <v>M095</v>
      </c>
      <c r="B4">
        <v>2901292000</v>
      </c>
      <c r="C4" t="s">
        <v>250</v>
      </c>
      <c r="D4" t="s">
        <v>256</v>
      </c>
    </row>
    <row r="5" spans="1:4" x14ac:dyDescent="0.3">
      <c r="A5" t="str">
        <f>_xlfn.XLOOKUP(표9[[#This Row],[hsk10]],표2[hsk10],표2[material_id])</f>
        <v>M064</v>
      </c>
      <c r="B5">
        <v>2902110000</v>
      </c>
      <c r="C5" s="1" t="s">
        <v>129</v>
      </c>
      <c r="D5" t="s">
        <v>257</v>
      </c>
    </row>
    <row r="6" spans="1:4" x14ac:dyDescent="0.3">
      <c r="A6" t="str">
        <f>_xlfn.XLOOKUP(표9[[#This Row],[hsk10]],표2[hsk10],표2[material_id])</f>
        <v>M054</v>
      </c>
      <c r="B6">
        <v>2902200000</v>
      </c>
      <c r="C6" s="1" t="s">
        <v>10</v>
      </c>
      <c r="D6" t="s">
        <v>258</v>
      </c>
    </row>
    <row r="7" spans="1:4" x14ac:dyDescent="0.3">
      <c r="A7" t="str">
        <f>_xlfn.XLOOKUP(표9[[#This Row],[hsk10]],표2[hsk10],표2[material_id])</f>
        <v>M071</v>
      </c>
      <c r="B7">
        <v>2902300000</v>
      </c>
      <c r="C7" t="s">
        <v>184</v>
      </c>
      <c r="D7" t="s">
        <v>259</v>
      </c>
    </row>
    <row r="8" spans="1:4" x14ac:dyDescent="0.3">
      <c r="A8" t="str">
        <f>_xlfn.XLOOKUP(표9[[#This Row],[hsk10]],표2[hsk10],표2[material_id])</f>
        <v>M087</v>
      </c>
      <c r="B8">
        <v>2902410000</v>
      </c>
      <c r="C8" t="s">
        <v>238</v>
      </c>
      <c r="D8" t="s">
        <v>260</v>
      </c>
    </row>
    <row r="9" spans="1:4" x14ac:dyDescent="0.3">
      <c r="A9" t="str">
        <f>_xlfn.XLOOKUP(표9[[#This Row],[hsk10]],표2[hsk10],표2[material_id])</f>
        <v>M088</v>
      </c>
      <c r="B9">
        <v>2902420000</v>
      </c>
      <c r="C9" t="s">
        <v>239</v>
      </c>
      <c r="D9" t="s">
        <v>261</v>
      </c>
    </row>
    <row r="10" spans="1:4" x14ac:dyDescent="0.3">
      <c r="A10" t="str">
        <f>_xlfn.XLOOKUP(표9[[#This Row],[hsk10]],표2[hsk10],표2[material_id])</f>
        <v>M089</v>
      </c>
      <c r="B10">
        <v>2902430000</v>
      </c>
      <c r="C10" t="s">
        <v>240</v>
      </c>
      <c r="D10" t="s">
        <v>262</v>
      </c>
    </row>
    <row r="11" spans="1:4" x14ac:dyDescent="0.3">
      <c r="A11" t="str">
        <f>_xlfn.XLOOKUP(표9[[#This Row],[hsk10]],표2[hsk10],표2[material_id])</f>
        <v>M056</v>
      </c>
      <c r="B11">
        <v>2902500000</v>
      </c>
      <c r="C11" s="1" t="s">
        <v>22</v>
      </c>
      <c r="D11" t="s">
        <v>263</v>
      </c>
    </row>
    <row r="12" spans="1:4" x14ac:dyDescent="0.3">
      <c r="A12" t="str">
        <f>_xlfn.XLOOKUP(표9[[#This Row],[hsk10]],표2[hsk10],표2[material_id])</f>
        <v>M055</v>
      </c>
      <c r="B12">
        <v>2902600000</v>
      </c>
      <c r="C12" s="1" t="s">
        <v>20</v>
      </c>
      <c r="D12" t="s">
        <v>264</v>
      </c>
    </row>
    <row r="13" spans="1:4" x14ac:dyDescent="0.3">
      <c r="A13" t="str">
        <f>_xlfn.XLOOKUP(표9[[#This Row],[hsk10]],표2[hsk10],표2[material_id])</f>
        <v>M058</v>
      </c>
      <c r="B13">
        <v>2902700000</v>
      </c>
      <c r="C13" s="1" t="s">
        <v>29</v>
      </c>
      <c r="D13" t="s">
        <v>265</v>
      </c>
    </row>
    <row r="14" spans="1:4" x14ac:dyDescent="0.3">
      <c r="A14" t="str">
        <f>_xlfn.XLOOKUP(표9[[#This Row],[hsk10]],표2[hsk10],표2[material_id])</f>
        <v>M005</v>
      </c>
      <c r="B14">
        <v>2903150000</v>
      </c>
      <c r="C14" t="s">
        <v>158</v>
      </c>
      <c r="D14" t="s">
        <v>266</v>
      </c>
    </row>
    <row r="15" spans="1:4" x14ac:dyDescent="0.3">
      <c r="A15" t="str">
        <f>_xlfn.XLOOKUP(표9[[#This Row],[hsk10]],표2[hsk10],표2[material_id])</f>
        <v>M006</v>
      </c>
      <c r="B15">
        <v>2903210000</v>
      </c>
      <c r="C15" t="s">
        <v>48</v>
      </c>
      <c r="D15" t="s">
        <v>267</v>
      </c>
    </row>
    <row r="16" spans="1:4" x14ac:dyDescent="0.3">
      <c r="A16" t="str">
        <f>_xlfn.XLOOKUP(표9[[#This Row],[hsk10]],표2[hsk10],표2[material_id])</f>
        <v>M069</v>
      </c>
      <c r="B16">
        <v>2905110000</v>
      </c>
      <c r="C16" t="s">
        <v>157</v>
      </c>
      <c r="D16" t="s">
        <v>268</v>
      </c>
    </row>
    <row r="17" spans="1:4" x14ac:dyDescent="0.3">
      <c r="A17" t="str">
        <f>_xlfn.XLOOKUP(표9[[#This Row],[hsk10]],표2[hsk10],표2[material_id])</f>
        <v>M041</v>
      </c>
      <c r="B17">
        <v>2905121000</v>
      </c>
      <c r="C17" t="s">
        <v>160</v>
      </c>
      <c r="D17" t="s">
        <v>269</v>
      </c>
    </row>
    <row r="18" spans="1:4" x14ac:dyDescent="0.3">
      <c r="A18" t="str">
        <f>_xlfn.XLOOKUP(표9[[#This Row],[hsk10]],표2[hsk10],표2[material_id])</f>
        <v>M037</v>
      </c>
      <c r="B18">
        <v>2905130000</v>
      </c>
      <c r="C18" t="s">
        <v>107</v>
      </c>
      <c r="D18" t="s">
        <v>270</v>
      </c>
    </row>
    <row r="19" spans="1:4" x14ac:dyDescent="0.3">
      <c r="A19" t="str">
        <f>_xlfn.XLOOKUP(표9[[#This Row],[hsk10]],표2[hsk10],표2[material_id])</f>
        <v>M036</v>
      </c>
      <c r="B19">
        <v>2905161000</v>
      </c>
      <c r="C19" t="s">
        <v>113</v>
      </c>
      <c r="D19" t="s">
        <v>271</v>
      </c>
    </row>
    <row r="20" spans="1:4" x14ac:dyDescent="0.3">
      <c r="A20" t="str">
        <f>_xlfn.XLOOKUP(표9[[#This Row],[hsk10]],표2[hsk10],표2[material_id])</f>
        <v>M017</v>
      </c>
      <c r="B20">
        <v>2905310000</v>
      </c>
      <c r="C20" t="s">
        <v>177</v>
      </c>
      <c r="D20" t="s">
        <v>272</v>
      </c>
    </row>
    <row r="21" spans="1:4" x14ac:dyDescent="0.3">
      <c r="A21" t="str">
        <f>_xlfn.XLOOKUP(표9[[#This Row],[hsk10]],표2[hsk10],표2[material_id])</f>
        <v>M027</v>
      </c>
      <c r="B21">
        <v>2905320000</v>
      </c>
      <c r="C21" t="s">
        <v>143</v>
      </c>
      <c r="D21" t="s">
        <v>273</v>
      </c>
    </row>
    <row r="22" spans="1:4" x14ac:dyDescent="0.3">
      <c r="A22" t="str">
        <f>_xlfn.XLOOKUP(표9[[#This Row],[hsk10]],표2[hsk10],표2[material_id])</f>
        <v>M059</v>
      </c>
      <c r="B22">
        <v>2907111000</v>
      </c>
      <c r="C22" s="1" t="s">
        <v>100</v>
      </c>
      <c r="D22" t="s">
        <v>274</v>
      </c>
    </row>
    <row r="23" spans="1:4" x14ac:dyDescent="0.3">
      <c r="A23" t="str">
        <f>_xlfn.XLOOKUP(표9[[#This Row],[hsk10]],표2[hsk10],표2[material_id])</f>
        <v>M061</v>
      </c>
      <c r="B23">
        <v>2907231000</v>
      </c>
      <c r="C23" s="1" t="s">
        <v>166</v>
      </c>
      <c r="D23" t="s">
        <v>275</v>
      </c>
    </row>
    <row r="24" spans="1:4" x14ac:dyDescent="0.3">
      <c r="A24" t="str">
        <f>_xlfn.XLOOKUP(표9[[#This Row],[hsk10]],표2[hsk10],표2[material_id])</f>
        <v>M049</v>
      </c>
      <c r="B24">
        <v>2909192000</v>
      </c>
      <c r="C24" s="1" t="s">
        <v>121</v>
      </c>
      <c r="D24" t="s">
        <v>276</v>
      </c>
    </row>
    <row r="25" spans="1:4" x14ac:dyDescent="0.3">
      <c r="A25" t="str">
        <f>_xlfn.XLOOKUP(표9[[#This Row],[hsk10]],표2[hsk10],표2[material_id])</f>
        <v>M012</v>
      </c>
      <c r="B25">
        <v>2910100000</v>
      </c>
      <c r="C25" t="s">
        <v>169</v>
      </c>
      <c r="D25" t="s">
        <v>277</v>
      </c>
    </row>
    <row r="26" spans="1:4" x14ac:dyDescent="0.3">
      <c r="A26" t="str">
        <f>_xlfn.XLOOKUP(표9[[#This Row],[hsk10]],표2[hsk10],표2[material_id])</f>
        <v>M026</v>
      </c>
      <c r="B26">
        <v>2910200000</v>
      </c>
      <c r="C26" t="s">
        <v>145</v>
      </c>
      <c r="D26" t="s">
        <v>278</v>
      </c>
    </row>
    <row r="27" spans="1:4" x14ac:dyDescent="0.3">
      <c r="A27" t="str">
        <f>_xlfn.XLOOKUP(표9[[#This Row],[hsk10]],표2[hsk10],표2[material_id])</f>
        <v>M080</v>
      </c>
      <c r="B27">
        <v>2912110000</v>
      </c>
      <c r="C27" t="s">
        <v>216</v>
      </c>
      <c r="D27" t="s">
        <v>279</v>
      </c>
    </row>
    <row r="28" spans="1:4" x14ac:dyDescent="0.3">
      <c r="A28" t="str">
        <f>_xlfn.XLOOKUP(표9[[#This Row],[hsk10]],표2[hsk10],표2[material_id])</f>
        <v>M018</v>
      </c>
      <c r="B28">
        <v>2912120000</v>
      </c>
      <c r="C28" t="s">
        <v>39</v>
      </c>
      <c r="D28" t="s">
        <v>280</v>
      </c>
    </row>
    <row r="29" spans="1:4" x14ac:dyDescent="0.3">
      <c r="A29" t="str">
        <f>_xlfn.XLOOKUP(표9[[#This Row],[hsk10]],표2[hsk10],표2[material_id])</f>
        <v>M035</v>
      </c>
      <c r="B29">
        <v>2912193000</v>
      </c>
      <c r="C29" t="s">
        <v>106</v>
      </c>
      <c r="D29" t="s">
        <v>281</v>
      </c>
    </row>
    <row r="30" spans="1:4" x14ac:dyDescent="0.3">
      <c r="A30" t="str">
        <f>_xlfn.XLOOKUP(표9[[#This Row],[hsk10]],표2[hsk10],표2[material_id])</f>
        <v>M060</v>
      </c>
      <c r="B30">
        <v>2914110000</v>
      </c>
      <c r="C30" s="1" t="s">
        <v>101</v>
      </c>
      <c r="D30" t="s">
        <v>282</v>
      </c>
    </row>
    <row r="31" spans="1:4" x14ac:dyDescent="0.3">
      <c r="A31" t="str">
        <f>_xlfn.XLOOKUP(표9[[#This Row],[hsk10]],표2[hsk10],표2[material_id])</f>
        <v>M067</v>
      </c>
      <c r="B31">
        <v>2914221000</v>
      </c>
      <c r="C31" s="1" t="s">
        <v>151</v>
      </c>
      <c r="D31" t="s">
        <v>283</v>
      </c>
    </row>
    <row r="32" spans="1:4" x14ac:dyDescent="0.3">
      <c r="A32" t="str">
        <f>_xlfn.XLOOKUP(표9[[#This Row],[hsk10]],표2[hsk10],표2[material_id])</f>
        <v>M070</v>
      </c>
      <c r="B32">
        <v>2915210000</v>
      </c>
      <c r="C32" t="s">
        <v>161</v>
      </c>
      <c r="D32" t="s">
        <v>284</v>
      </c>
    </row>
    <row r="33" spans="1:4" x14ac:dyDescent="0.3">
      <c r="A33" t="str">
        <f>_xlfn.XLOOKUP(표9[[#This Row],[hsk10]],표2[hsk10],표2[material_id])</f>
        <v>M010</v>
      </c>
      <c r="B33">
        <v>2915310000</v>
      </c>
      <c r="C33" t="s">
        <v>37</v>
      </c>
    </row>
    <row r="34" spans="1:4" x14ac:dyDescent="0.3">
      <c r="A34" t="str">
        <f>_xlfn.XLOOKUP(표9[[#This Row],[hsk10]],표2[hsk10],표2[material_id])</f>
        <v>M019</v>
      </c>
      <c r="B34">
        <v>2915320000</v>
      </c>
      <c r="C34" t="s">
        <v>49</v>
      </c>
      <c r="D34" t="s">
        <v>285</v>
      </c>
    </row>
    <row r="35" spans="1:4" x14ac:dyDescent="0.3">
      <c r="A35" t="str">
        <f>_xlfn.XLOOKUP(표9[[#This Row],[hsk10]],표2[hsk10],표2[material_id])</f>
        <v>M031</v>
      </c>
      <c r="B35">
        <v>2916111000</v>
      </c>
      <c r="C35" t="s">
        <v>102</v>
      </c>
      <c r="D35" t="s">
        <v>286</v>
      </c>
    </row>
    <row r="36" spans="1:4" x14ac:dyDescent="0.3">
      <c r="A36" t="str">
        <f>_xlfn.XLOOKUP(표9[[#This Row],[hsk10]],표2[hsk10],표2[material_id])</f>
        <v>M011</v>
      </c>
      <c r="B36">
        <v>2916121000</v>
      </c>
      <c r="C36" t="s">
        <v>38</v>
      </c>
      <c r="D36" t="s">
        <v>287</v>
      </c>
    </row>
    <row r="37" spans="1:4" x14ac:dyDescent="0.3">
      <c r="A37" t="str">
        <f>_xlfn.XLOOKUP(표9[[#This Row],[hsk10]],표2[hsk10],표2[material_id])</f>
        <v>M078</v>
      </c>
      <c r="B37">
        <v>2916141000</v>
      </c>
      <c r="C37" t="s">
        <v>211</v>
      </c>
      <c r="D37" t="s">
        <v>288</v>
      </c>
    </row>
    <row r="38" spans="1:4" x14ac:dyDescent="0.3">
      <c r="A38" t="str">
        <f>_xlfn.XLOOKUP(표9[[#This Row],[hsk10]],표2[hsk10],표2[material_id])</f>
        <v>M068</v>
      </c>
      <c r="B38">
        <v>2917140000</v>
      </c>
      <c r="C38" t="s">
        <v>156</v>
      </c>
      <c r="D38" t="s">
        <v>289</v>
      </c>
    </row>
    <row r="39" spans="1:4" x14ac:dyDescent="0.3">
      <c r="A39" t="str">
        <f>_xlfn.XLOOKUP(표9[[#This Row],[hsk10]],표2[hsk10],표2[material_id])</f>
        <v>M073</v>
      </c>
      <c r="B39">
        <v>2917350000</v>
      </c>
      <c r="C39" t="s">
        <v>188</v>
      </c>
      <c r="D39" t="s">
        <v>290</v>
      </c>
    </row>
    <row r="40" spans="1:4" x14ac:dyDescent="0.3">
      <c r="A40" t="str">
        <f>_xlfn.XLOOKUP(표9[[#This Row],[hsk10]],표2[hsk10],표2[material_id])</f>
        <v>M091</v>
      </c>
      <c r="B40">
        <v>2917361000</v>
      </c>
      <c r="C40" t="s">
        <v>192</v>
      </c>
      <c r="D40" t="s">
        <v>291</v>
      </c>
    </row>
    <row r="41" spans="1:4" x14ac:dyDescent="0.3">
      <c r="A41" t="str">
        <f>_xlfn.XLOOKUP(표9[[#This Row],[hsk10]],표2[hsk10],표2[material_id])</f>
        <v>M092</v>
      </c>
      <c r="B41">
        <v>2917370000</v>
      </c>
      <c r="C41" t="s">
        <v>193</v>
      </c>
      <c r="D41" t="s">
        <v>292</v>
      </c>
    </row>
    <row r="42" spans="1:4" x14ac:dyDescent="0.3">
      <c r="A42" t="str">
        <f>_xlfn.XLOOKUP(표9[[#This Row],[hsk10]],표2[hsk10],표2[material_id])</f>
        <v>M065</v>
      </c>
      <c r="B42">
        <v>2921411000</v>
      </c>
      <c r="C42" s="1" t="s">
        <v>128</v>
      </c>
      <c r="D42" t="s">
        <v>293</v>
      </c>
    </row>
    <row r="43" spans="1:4" x14ac:dyDescent="0.3">
      <c r="A43" t="str">
        <f>_xlfn.XLOOKUP(표9[[#This Row],[hsk10]],표2[hsk10],표2[material_id])</f>
        <v>M014</v>
      </c>
      <c r="B43">
        <v>2922111000</v>
      </c>
      <c r="C43" t="s">
        <v>45</v>
      </c>
      <c r="D43" t="s">
        <v>294</v>
      </c>
    </row>
    <row r="44" spans="1:4" x14ac:dyDescent="0.3">
      <c r="A44" t="str">
        <f>_xlfn.XLOOKUP(표9[[#This Row],[hsk10]],표2[hsk10],표2[material_id])</f>
        <v>M015</v>
      </c>
      <c r="B44">
        <v>2922121000</v>
      </c>
      <c r="C44" t="s">
        <v>46</v>
      </c>
      <c r="D44" t="s">
        <v>295</v>
      </c>
    </row>
    <row r="45" spans="1:4" x14ac:dyDescent="0.3">
      <c r="A45" t="str">
        <f>_xlfn.XLOOKUP(표9[[#This Row],[hsk10]],표2[hsk10],표2[material_id])</f>
        <v>M016</v>
      </c>
      <c r="B45">
        <v>2922150000</v>
      </c>
      <c r="C45" t="s">
        <v>47</v>
      </c>
      <c r="D45" t="s">
        <v>296</v>
      </c>
    </row>
    <row r="46" spans="1:4" x14ac:dyDescent="0.3">
      <c r="A46" t="str">
        <f>_xlfn.XLOOKUP(표9[[#This Row],[hsk10]],표2[hsk10],표2[material_id])</f>
        <v>M021</v>
      </c>
      <c r="B46">
        <v>2926100000</v>
      </c>
      <c r="C46" t="s">
        <v>159</v>
      </c>
      <c r="D46" t="s">
        <v>297</v>
      </c>
    </row>
    <row r="47" spans="1:4" x14ac:dyDescent="0.3">
      <c r="A47" t="str">
        <f>_xlfn.XLOOKUP(표9[[#This Row],[hsk10]],표2[hsk10],표2[material_id])</f>
        <v>M086</v>
      </c>
      <c r="B47">
        <v>2929101000</v>
      </c>
      <c r="C47" t="s">
        <v>232</v>
      </c>
      <c r="D47" t="s">
        <v>298</v>
      </c>
    </row>
    <row r="48" spans="1:4" x14ac:dyDescent="0.3">
      <c r="A48" t="str">
        <f>_xlfn.XLOOKUP(표9[[#This Row],[hsk10]],표2[hsk10],표2[material_id])</f>
        <v>M085</v>
      </c>
      <c r="B48">
        <v>2929102000</v>
      </c>
      <c r="C48" t="s">
        <v>231</v>
      </c>
      <c r="D48" t="s">
        <v>299</v>
      </c>
    </row>
    <row r="49" spans="1:4" x14ac:dyDescent="0.3">
      <c r="A49" t="str">
        <f>_xlfn.XLOOKUP(표9[[#This Row],[hsk10]],표2[hsk10],표2[material_id])</f>
        <v>M074</v>
      </c>
      <c r="B49">
        <v>2933710000</v>
      </c>
      <c r="C49" t="s">
        <v>200</v>
      </c>
      <c r="D49" t="s">
        <v>300</v>
      </c>
    </row>
    <row r="50" spans="1:4" x14ac:dyDescent="0.3">
      <c r="A50" t="str">
        <f>_xlfn.XLOOKUP(표9[[#This Row],[hsk10]],표2[hsk10],표2[material_id])</f>
        <v>M004</v>
      </c>
      <c r="B50">
        <v>3901101000</v>
      </c>
      <c r="C50" t="s">
        <v>33</v>
      </c>
      <c r="D50" t="s">
        <v>301</v>
      </c>
    </row>
    <row r="51" spans="1:4" x14ac:dyDescent="0.3">
      <c r="A51" t="str">
        <f>_xlfn.XLOOKUP(표9[[#This Row],[hsk10]],표2[hsk10],표2[material_id])</f>
        <v>M025</v>
      </c>
      <c r="B51">
        <v>3902100000</v>
      </c>
      <c r="C51" t="s">
        <v>146</v>
      </c>
      <c r="D51" t="s">
        <v>302</v>
      </c>
    </row>
    <row r="52" spans="1:4" x14ac:dyDescent="0.3">
      <c r="A52" t="str">
        <f>_xlfn.XLOOKUP(표9[[#This Row],[hsk10]],표2[hsk10],표2[material_id])</f>
        <v>M047</v>
      </c>
      <c r="B52">
        <v>3902200000</v>
      </c>
      <c r="C52" s="1" t="s">
        <v>120</v>
      </c>
      <c r="D52" t="s">
        <v>303</v>
      </c>
    </row>
    <row r="53" spans="1:4" x14ac:dyDescent="0.3">
      <c r="A53" t="str">
        <f>_xlfn.XLOOKUP(표9[[#This Row],[hsk10]],표2[hsk10],표2[material_id])</f>
        <v>M023</v>
      </c>
      <c r="B53">
        <v>3903200000</v>
      </c>
      <c r="C53" t="s">
        <v>111</v>
      </c>
      <c r="D53" t="s">
        <v>304</v>
      </c>
    </row>
    <row r="54" spans="1:4" x14ac:dyDescent="0.3">
      <c r="A54" t="str">
        <f>_xlfn.XLOOKUP(표9[[#This Row],[hsk10]],표2[hsk10],표2[material_id])</f>
        <v>M022</v>
      </c>
      <c r="B54">
        <v>3903300000</v>
      </c>
      <c r="C54" t="s">
        <v>110</v>
      </c>
      <c r="D54" t="s">
        <v>305</v>
      </c>
    </row>
    <row r="55" spans="1:4" x14ac:dyDescent="0.3">
      <c r="A55" t="str">
        <f>_xlfn.XLOOKUP(표9[[#This Row],[hsk10]],표2[hsk10],표2[material_id])</f>
        <v>M045</v>
      </c>
      <c r="B55">
        <v>3903901000</v>
      </c>
      <c r="C55" s="1" t="s">
        <v>118</v>
      </c>
      <c r="D55" t="s">
        <v>306</v>
      </c>
    </row>
    <row r="56" spans="1:4" x14ac:dyDescent="0.3">
      <c r="A56" t="str">
        <f>_xlfn.XLOOKUP(표9[[#This Row],[hsk10]],표2[hsk10],표2[material_id])</f>
        <v>M079</v>
      </c>
      <c r="B56">
        <v>3906100000</v>
      </c>
      <c r="C56" t="s">
        <v>212</v>
      </c>
      <c r="D56" t="s">
        <v>307</v>
      </c>
    </row>
    <row r="57" spans="1:4" x14ac:dyDescent="0.3">
      <c r="A57" t="str">
        <f>_xlfn.XLOOKUP(표9[[#This Row],[hsk10]],표2[hsk10],표2[material_id])</f>
        <v>M062</v>
      </c>
      <c r="B57">
        <v>3907400000</v>
      </c>
      <c r="C57" s="1" t="s">
        <v>167</v>
      </c>
      <c r="D57" t="s">
        <v>308</v>
      </c>
    </row>
    <row r="58" spans="1:4" x14ac:dyDescent="0.3">
      <c r="A58" t="str">
        <f>_xlfn.XLOOKUP(표9[[#This Row],[hsk10]],표2[hsk10],표2[material_id])</f>
        <v>M030</v>
      </c>
      <c r="B58">
        <v>3909500000</v>
      </c>
      <c r="C58" t="s">
        <v>147</v>
      </c>
      <c r="D58" t="s">
        <v>309</v>
      </c>
    </row>
    <row r="59" spans="1:4" x14ac:dyDescent="0.3">
      <c r="A59" t="str">
        <f>_xlfn.XLOOKUP(표9[[#This Row],[hsk10]],표2[hsk10],표2[material_id])</f>
        <v>M098</v>
      </c>
      <c r="B59">
        <v>2910300000</v>
      </c>
      <c r="C59" t="s">
        <v>327</v>
      </c>
      <c r="D59" t="s">
        <v>325</v>
      </c>
    </row>
    <row r="60" spans="1:4" x14ac:dyDescent="0.3">
      <c r="A60" t="str">
        <f>_xlfn.XLOOKUP(표9[[#This Row],[hsk10]],표2[hsk10],표2[material_id])</f>
        <v>M100</v>
      </c>
      <c r="B60">
        <v>2917121000</v>
      </c>
      <c r="C60" t="s">
        <v>328</v>
      </c>
      <c r="D60" t="s">
        <v>326</v>
      </c>
    </row>
    <row r="61" spans="1:4" x14ac:dyDescent="0.3">
      <c r="A61" t="str">
        <f>_xlfn.XLOOKUP(표9[[#This Row],[hsk10]],표2[hsk10],표2[material_id])</f>
        <v>M101</v>
      </c>
      <c r="B61">
        <v>2901101000</v>
      </c>
      <c r="C61" s="1" t="s">
        <v>394</v>
      </c>
      <c r="D61" t="s">
        <v>398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C9F0-10F1-4A9A-80FE-7877B84355B5}">
  <dimension ref="A1:H716"/>
  <sheetViews>
    <sheetView tabSelected="1" topLeftCell="A35" zoomScale="85" zoomScaleNormal="85" workbookViewId="0">
      <selection activeCell="G47" sqref="G47"/>
    </sheetView>
  </sheetViews>
  <sheetFormatPr defaultRowHeight="16.5" x14ac:dyDescent="0.3"/>
  <cols>
    <col min="1" max="1" width="9.5" bestFit="1" customWidth="1"/>
    <col min="2" max="2" width="11.625" bestFit="1" customWidth="1"/>
    <col min="3" max="3" width="44.25" customWidth="1"/>
    <col min="4" max="5" width="11.75" bestFit="1" customWidth="1"/>
    <col min="6" max="6" width="12.25" bestFit="1" customWidth="1"/>
    <col min="7" max="7" width="18.875" bestFit="1" customWidth="1"/>
    <col min="8" max="8" width="18.75" customWidth="1"/>
  </cols>
  <sheetData>
    <row r="1" spans="1:8" x14ac:dyDescent="0.3">
      <c r="A1" s="3" t="s">
        <v>319</v>
      </c>
      <c r="B1" s="3" t="s">
        <v>252</v>
      </c>
      <c r="C1" s="4" t="s">
        <v>254</v>
      </c>
      <c r="D1" s="4" t="s">
        <v>320</v>
      </c>
      <c r="E1" s="4" t="s">
        <v>321</v>
      </c>
      <c r="F1" s="4" t="s">
        <v>322</v>
      </c>
      <c r="G1" s="4" t="s">
        <v>323</v>
      </c>
      <c r="H1" s="4" t="s">
        <v>407</v>
      </c>
    </row>
    <row r="2" spans="1:8" x14ac:dyDescent="0.3">
      <c r="A2" s="5">
        <v>2016</v>
      </c>
      <c r="B2" s="5">
        <v>2207200000</v>
      </c>
      <c r="C2" s="5" t="s">
        <v>324</v>
      </c>
      <c r="D2" s="5">
        <v>460.6</v>
      </c>
      <c r="E2" s="6">
        <v>117823.8</v>
      </c>
      <c r="F2" s="7">
        <f t="shared" ref="F2:F65" si="0">E2-D2</f>
        <v>117363.2</v>
      </c>
      <c r="G2" t="str">
        <f>IF(표1[[#This Row],[diff]]&gt;0,"import","export")</f>
        <v>import</v>
      </c>
      <c r="H2" s="15">
        <f>ABS(표1[[#This Row],[export]]-표1[[#This Row],[import]])/(표1[[#This Row],[export]]+표1[[#This Row],[import]])</f>
        <v>0.99221199076124988</v>
      </c>
    </row>
    <row r="3" spans="1:8" x14ac:dyDescent="0.3">
      <c r="A3" s="5">
        <v>2017</v>
      </c>
      <c r="B3" s="5">
        <v>2207200000</v>
      </c>
      <c r="C3" s="5" t="s">
        <v>324</v>
      </c>
      <c r="D3" s="6">
        <v>1987.2</v>
      </c>
      <c r="E3" s="6">
        <v>163117.5</v>
      </c>
      <c r="F3" s="7">
        <f t="shared" si="0"/>
        <v>161130.29999999999</v>
      </c>
      <c r="G3" t="str">
        <f>IF(표1[[#This Row],[diff]]&gt;0,"import","export")</f>
        <v>import</v>
      </c>
      <c r="H3" s="15">
        <f>ABS(표1[[#This Row],[export]]-표1[[#This Row],[import]])/(표1[[#This Row],[export]]+표1[[#This Row],[import]])</f>
        <v>0.97592800204960839</v>
      </c>
    </row>
    <row r="4" spans="1:8" x14ac:dyDescent="0.3">
      <c r="A4" s="5">
        <v>2018</v>
      </c>
      <c r="B4" s="5">
        <v>2207200000</v>
      </c>
      <c r="C4" s="5" t="s">
        <v>324</v>
      </c>
      <c r="D4" s="5">
        <v>149.1</v>
      </c>
      <c r="E4" s="6">
        <v>209749.1</v>
      </c>
      <c r="F4" s="7">
        <f t="shared" si="0"/>
        <v>209600</v>
      </c>
      <c r="G4" t="str">
        <f>IF(표1[[#This Row],[diff]]&gt;0,"import","export")</f>
        <v>import</v>
      </c>
      <c r="H4" s="15">
        <f>ABS(표1[[#This Row],[export]]-표1[[#This Row],[import]])/(표1[[#This Row],[export]]+표1[[#This Row],[import]])</f>
        <v>0.99857931130424171</v>
      </c>
    </row>
    <row r="5" spans="1:8" x14ac:dyDescent="0.3">
      <c r="A5" s="5">
        <v>2019</v>
      </c>
      <c r="B5" s="5">
        <v>2207200000</v>
      </c>
      <c r="C5" s="5" t="s">
        <v>324</v>
      </c>
      <c r="D5" s="5">
        <v>222.5</v>
      </c>
      <c r="E5" s="6">
        <v>218912.7</v>
      </c>
      <c r="F5" s="7">
        <f t="shared" si="0"/>
        <v>218690.2</v>
      </c>
      <c r="G5" t="str">
        <f>IF(표1[[#This Row],[diff]]&gt;0,"import","export")</f>
        <v>import</v>
      </c>
      <c r="H5" s="15">
        <f>ABS(표1[[#This Row],[export]]-표1[[#This Row],[import]])/(표1[[#This Row],[export]]+표1[[#This Row],[import]])</f>
        <v>0.99796929019162595</v>
      </c>
    </row>
    <row r="6" spans="1:8" x14ac:dyDescent="0.3">
      <c r="A6" s="5">
        <v>2020</v>
      </c>
      <c r="B6" s="5">
        <v>2207200000</v>
      </c>
      <c r="C6" s="5" t="s">
        <v>324</v>
      </c>
      <c r="D6" s="6">
        <v>29254.5</v>
      </c>
      <c r="E6" s="6">
        <v>306269.40000000002</v>
      </c>
      <c r="F6" s="7">
        <f t="shared" si="0"/>
        <v>277014.90000000002</v>
      </c>
      <c r="G6" t="str">
        <f>IF(표1[[#This Row],[diff]]&gt;0,"import","export")</f>
        <v>import</v>
      </c>
      <c r="H6" s="15">
        <f>ABS(표1[[#This Row],[export]]-표1[[#This Row],[import]])/(표1[[#This Row],[export]]+표1[[#This Row],[import]])</f>
        <v>0.82561897975077192</v>
      </c>
    </row>
    <row r="7" spans="1:8" x14ac:dyDescent="0.3">
      <c r="A7" s="5">
        <v>2021</v>
      </c>
      <c r="B7" s="5">
        <v>2207200000</v>
      </c>
      <c r="C7" s="5" t="s">
        <v>324</v>
      </c>
      <c r="D7" s="6">
        <v>24563.4</v>
      </c>
      <c r="E7" s="6">
        <v>246133.8</v>
      </c>
      <c r="F7" s="7">
        <f t="shared" si="0"/>
        <v>221570.4</v>
      </c>
      <c r="G7" t="str">
        <f>IF(표1[[#This Row],[diff]]&gt;0,"import","export")</f>
        <v>import</v>
      </c>
      <c r="H7" s="15">
        <f>ABS(표1[[#This Row],[export]]-표1[[#This Row],[import]])/(표1[[#This Row],[export]]+표1[[#This Row],[import]])</f>
        <v>0.81851751698946273</v>
      </c>
    </row>
    <row r="8" spans="1:8" x14ac:dyDescent="0.3">
      <c r="A8" s="5">
        <v>2022</v>
      </c>
      <c r="B8" s="5">
        <v>2207200000</v>
      </c>
      <c r="C8" s="5" t="s">
        <v>324</v>
      </c>
      <c r="D8" s="6">
        <v>21512.400000000001</v>
      </c>
      <c r="E8" s="6">
        <v>247954.5</v>
      </c>
      <c r="F8" s="7">
        <f t="shared" si="0"/>
        <v>226442.1</v>
      </c>
      <c r="G8" t="str">
        <f>IF(표1[[#This Row],[diff]]&gt;0,"import","export")</f>
        <v>import</v>
      </c>
      <c r="H8" s="15">
        <f>ABS(표1[[#This Row],[export]]-표1[[#This Row],[import]])/(표1[[#This Row],[export]]+표1[[#This Row],[import]])</f>
        <v>0.84033363652456006</v>
      </c>
    </row>
    <row r="9" spans="1:8" x14ac:dyDescent="0.3">
      <c r="A9" s="5">
        <v>2023</v>
      </c>
      <c r="B9" s="5">
        <v>2207200000</v>
      </c>
      <c r="C9" s="5" t="s">
        <v>324</v>
      </c>
      <c r="D9" s="6">
        <v>15938.4</v>
      </c>
      <c r="E9" s="6">
        <v>183910.2</v>
      </c>
      <c r="F9" s="7">
        <f t="shared" si="0"/>
        <v>167971.80000000002</v>
      </c>
      <c r="G9" t="str">
        <f>IF(표1[[#This Row],[diff]]&gt;0,"import","export")</f>
        <v>import</v>
      </c>
      <c r="H9" s="15">
        <f>ABS(표1[[#This Row],[export]]-표1[[#This Row],[import]])/(표1[[#This Row],[export]]+표1[[#This Row],[import]])</f>
        <v>0.84049525490796539</v>
      </c>
    </row>
    <row r="10" spans="1:8" x14ac:dyDescent="0.3">
      <c r="A10" s="5">
        <v>2024</v>
      </c>
      <c r="B10" s="5">
        <v>2207200000</v>
      </c>
      <c r="C10" s="5" t="s">
        <v>324</v>
      </c>
      <c r="D10" s="6">
        <v>1541.6</v>
      </c>
      <c r="E10" s="6">
        <v>199037.9</v>
      </c>
      <c r="F10" s="7">
        <f t="shared" si="0"/>
        <v>197496.3</v>
      </c>
      <c r="G10" t="str">
        <f>IF(표1[[#This Row],[diff]]&gt;0,"import","export")</f>
        <v>import</v>
      </c>
      <c r="H10" s="15">
        <f>ABS(표1[[#This Row],[export]]-표1[[#This Row],[import]])/(표1[[#This Row],[export]]+표1[[#This Row],[import]])</f>
        <v>0.98462853880880141</v>
      </c>
    </row>
    <row r="11" spans="1:8" x14ac:dyDescent="0.3">
      <c r="A11" s="5">
        <v>2025</v>
      </c>
      <c r="B11" s="5">
        <v>2207200000</v>
      </c>
      <c r="C11" s="5" t="s">
        <v>324</v>
      </c>
      <c r="D11" s="6">
        <v>1658.5</v>
      </c>
      <c r="E11" s="6">
        <v>179893.3</v>
      </c>
      <c r="F11" s="7">
        <f t="shared" si="0"/>
        <v>178234.8</v>
      </c>
      <c r="G11" t="str">
        <f>IF(표1[[#This Row],[diff]]&gt;0,"import","export")</f>
        <v>import</v>
      </c>
      <c r="H11" s="15">
        <f>ABS(표1[[#This Row],[export]]-표1[[#This Row],[import]])/(표1[[#This Row],[export]]+표1[[#This Row],[import]])</f>
        <v>0.98172973223069115</v>
      </c>
    </row>
    <row r="12" spans="1:8" x14ac:dyDescent="0.3">
      <c r="A12" s="5">
        <v>2016</v>
      </c>
      <c r="B12" s="5">
        <v>2901101000</v>
      </c>
      <c r="C12" s="5" t="s">
        <v>397</v>
      </c>
      <c r="D12" s="6">
        <v>356.2</v>
      </c>
      <c r="E12" s="6">
        <v>3403.1</v>
      </c>
      <c r="F12" s="10">
        <f t="shared" si="0"/>
        <v>3046.9</v>
      </c>
      <c r="G12" t="str">
        <f>IF(표1[[#This Row],[diff]]&gt;0,"import","export")</f>
        <v>import</v>
      </c>
      <c r="H12" s="15">
        <f>ABS(표1[[#This Row],[export]]-표1[[#This Row],[import]])/(표1[[#This Row],[export]]+표1[[#This Row],[import]])</f>
        <v>0.81049663501183744</v>
      </c>
    </row>
    <row r="13" spans="1:8" x14ac:dyDescent="0.3">
      <c r="A13" s="5">
        <v>2017</v>
      </c>
      <c r="B13" s="5">
        <v>2901101000</v>
      </c>
      <c r="C13" s="5" t="s">
        <v>397</v>
      </c>
      <c r="D13" s="6">
        <v>391.1</v>
      </c>
      <c r="E13" s="6">
        <v>3356.5</v>
      </c>
      <c r="F13" s="10">
        <f t="shared" si="0"/>
        <v>2965.4</v>
      </c>
      <c r="G13" t="str">
        <f>IF(표1[[#This Row],[diff]]&gt;0,"import","export")</f>
        <v>import</v>
      </c>
      <c r="H13" s="15">
        <f>ABS(표1[[#This Row],[export]]-표1[[#This Row],[import]])/(표1[[#This Row],[export]]+표1[[#This Row],[import]])</f>
        <v>0.79127975237485326</v>
      </c>
    </row>
    <row r="14" spans="1:8" x14ac:dyDescent="0.3">
      <c r="A14" s="5">
        <v>2018</v>
      </c>
      <c r="B14" s="5">
        <v>2901101000</v>
      </c>
      <c r="C14" s="5" t="s">
        <v>397</v>
      </c>
      <c r="D14" s="6">
        <v>362.6</v>
      </c>
      <c r="E14" s="6">
        <v>234904.7</v>
      </c>
      <c r="F14" s="10">
        <f t="shared" si="0"/>
        <v>234542.1</v>
      </c>
      <c r="G14" t="str">
        <f>IF(표1[[#This Row],[diff]]&gt;0,"import","export")</f>
        <v>import</v>
      </c>
      <c r="H14" s="15">
        <f>ABS(표1[[#This Row],[export]]-표1[[#This Row],[import]])/(표1[[#This Row],[export]]+표1[[#This Row],[import]])</f>
        <v>0.99691754867761051</v>
      </c>
    </row>
    <row r="15" spans="1:8" x14ac:dyDescent="0.3">
      <c r="A15" s="5">
        <v>2019</v>
      </c>
      <c r="B15" s="5">
        <v>2901101000</v>
      </c>
      <c r="C15" s="5" t="s">
        <v>397</v>
      </c>
      <c r="D15" s="6">
        <v>294.3</v>
      </c>
      <c r="E15" s="6">
        <v>330366.5</v>
      </c>
      <c r="F15" s="10">
        <f t="shared" si="0"/>
        <v>330072.2</v>
      </c>
      <c r="G15" t="str">
        <f>IF(표1[[#This Row],[diff]]&gt;0,"import","export")</f>
        <v>import</v>
      </c>
      <c r="H15" s="15">
        <f>ABS(표1[[#This Row],[export]]-표1[[#This Row],[import]])/(표1[[#This Row],[export]]+표1[[#This Row],[import]])</f>
        <v>0.99821992809549853</v>
      </c>
    </row>
    <row r="16" spans="1:8" x14ac:dyDescent="0.3">
      <c r="A16" s="5">
        <v>2020</v>
      </c>
      <c r="B16" s="5">
        <v>2901101000</v>
      </c>
      <c r="C16" s="5" t="s">
        <v>397</v>
      </c>
      <c r="D16" s="6">
        <v>414</v>
      </c>
      <c r="E16" s="6">
        <v>509872.1</v>
      </c>
      <c r="F16" s="10">
        <f t="shared" si="0"/>
        <v>509458.1</v>
      </c>
      <c r="G16" t="str">
        <f>IF(표1[[#This Row],[diff]]&gt;0,"import","export")</f>
        <v>import</v>
      </c>
      <c r="H16" s="15">
        <f>ABS(표1[[#This Row],[export]]-표1[[#This Row],[import]])/(표1[[#This Row],[export]]+표1[[#This Row],[import]])</f>
        <v>0.99837738084576477</v>
      </c>
    </row>
    <row r="17" spans="1:8" x14ac:dyDescent="0.3">
      <c r="A17" s="5">
        <v>2021</v>
      </c>
      <c r="B17" s="5">
        <v>2901101000</v>
      </c>
      <c r="C17" s="5" t="s">
        <v>397</v>
      </c>
      <c r="D17" s="6">
        <v>376.9</v>
      </c>
      <c r="E17" s="6">
        <v>80406.3</v>
      </c>
      <c r="F17" s="10">
        <f t="shared" si="0"/>
        <v>80029.400000000009</v>
      </c>
      <c r="G17" t="str">
        <f>IF(표1[[#This Row],[diff]]&gt;0,"import","export")</f>
        <v>import</v>
      </c>
      <c r="H17" s="15">
        <f>ABS(표1[[#This Row],[export]]-표1[[#This Row],[import]])/(표1[[#This Row],[export]]+표1[[#This Row],[import]])</f>
        <v>0.99066885193951237</v>
      </c>
    </row>
    <row r="18" spans="1:8" x14ac:dyDescent="0.3">
      <c r="A18" s="5">
        <v>2022</v>
      </c>
      <c r="B18" s="5">
        <v>2901101000</v>
      </c>
      <c r="C18" s="5" t="s">
        <v>397</v>
      </c>
      <c r="D18" s="6">
        <v>327.10000000000002</v>
      </c>
      <c r="E18" s="6">
        <v>120645</v>
      </c>
      <c r="F18" s="10">
        <f t="shared" si="0"/>
        <v>120317.9</v>
      </c>
      <c r="G18" t="str">
        <f>IF(표1[[#This Row],[diff]]&gt;0,"import","export")</f>
        <v>import</v>
      </c>
      <c r="H18" s="15">
        <f>ABS(표1[[#This Row],[export]]-표1[[#This Row],[import]])/(표1[[#This Row],[export]]+표1[[#This Row],[import]])</f>
        <v>0.99459214149378239</v>
      </c>
    </row>
    <row r="19" spans="1:8" x14ac:dyDescent="0.3">
      <c r="A19" s="5">
        <v>2023</v>
      </c>
      <c r="B19" s="5">
        <v>2901101000</v>
      </c>
      <c r="C19" s="5" t="s">
        <v>397</v>
      </c>
      <c r="D19" s="6">
        <v>421.9</v>
      </c>
      <c r="E19" s="6">
        <v>66295.399999999994</v>
      </c>
      <c r="F19" s="10">
        <f t="shared" si="0"/>
        <v>65873.5</v>
      </c>
      <c r="G19" t="str">
        <f>IF(표1[[#This Row],[diff]]&gt;0,"import","export")</f>
        <v>import</v>
      </c>
      <c r="H19" s="15">
        <f>ABS(표1[[#This Row],[export]]-표1[[#This Row],[import]])/(표1[[#This Row],[export]]+표1[[#This Row],[import]])</f>
        <v>0.98735260569597405</v>
      </c>
    </row>
    <row r="20" spans="1:8" x14ac:dyDescent="0.3">
      <c r="A20" s="5">
        <v>2024</v>
      </c>
      <c r="B20" s="5">
        <v>2901101000</v>
      </c>
      <c r="C20" s="5" t="s">
        <v>397</v>
      </c>
      <c r="D20" s="6">
        <v>495.5</v>
      </c>
      <c r="E20" s="6">
        <v>218942</v>
      </c>
      <c r="F20" s="10">
        <f t="shared" si="0"/>
        <v>218446.5</v>
      </c>
      <c r="G20" t="str">
        <f>IF(표1[[#This Row],[diff]]&gt;0,"import","export")</f>
        <v>import</v>
      </c>
      <c r="H20" s="15">
        <f>ABS(표1[[#This Row],[export]]-표1[[#This Row],[import]])/(표1[[#This Row],[export]]+표1[[#This Row],[import]])</f>
        <v>0.99548390771859874</v>
      </c>
    </row>
    <row r="21" spans="1:8" x14ac:dyDescent="0.3">
      <c r="A21" s="5">
        <v>2025</v>
      </c>
      <c r="B21" s="5">
        <v>2901101000</v>
      </c>
      <c r="C21" s="5" t="s">
        <v>397</v>
      </c>
      <c r="D21" s="6">
        <v>431.6</v>
      </c>
      <c r="E21" s="6">
        <v>404147.5</v>
      </c>
      <c r="F21" s="10">
        <f t="shared" si="0"/>
        <v>403715.9</v>
      </c>
      <c r="G21" t="str">
        <f>IF(표1[[#This Row],[diff]]&gt;0,"import","export")</f>
        <v>import</v>
      </c>
      <c r="H21" s="15">
        <f>ABS(표1[[#This Row],[export]]-표1[[#This Row],[import]])/(표1[[#This Row],[export]]+표1[[#This Row],[import]])</f>
        <v>0.99786642463735775</v>
      </c>
    </row>
    <row r="22" spans="1:8" x14ac:dyDescent="0.3">
      <c r="A22" s="5">
        <v>2016</v>
      </c>
      <c r="B22" s="5">
        <v>2901210000</v>
      </c>
      <c r="C22" s="5" t="s">
        <v>406</v>
      </c>
      <c r="D22" s="6">
        <v>753021.1</v>
      </c>
      <c r="E22" s="6">
        <v>146512.79999999999</v>
      </c>
      <c r="F22" s="10">
        <f t="shared" si="0"/>
        <v>-606508.30000000005</v>
      </c>
      <c r="G22" t="str">
        <f>IF(표1[[#This Row],[diff]]&gt;0,"import","export")</f>
        <v>export</v>
      </c>
      <c r="H22" s="15">
        <f>ABS(표1[[#This Row],[export]]-표1[[#This Row],[import]])/(표1[[#This Row],[export]]+표1[[#This Row],[import]])</f>
        <v>0.67424729629422542</v>
      </c>
    </row>
    <row r="23" spans="1:8" x14ac:dyDescent="0.3">
      <c r="A23" s="5">
        <v>2017</v>
      </c>
      <c r="B23" s="5">
        <v>2901210000</v>
      </c>
      <c r="C23" s="5" t="s">
        <v>406</v>
      </c>
      <c r="D23" s="6">
        <v>815639</v>
      </c>
      <c r="E23" s="6">
        <v>109420.9</v>
      </c>
      <c r="F23" s="10">
        <f t="shared" si="0"/>
        <v>-706218.1</v>
      </c>
      <c r="G23" t="str">
        <f>IF(표1[[#This Row],[diff]]&gt;0,"import","export")</f>
        <v>export</v>
      </c>
      <c r="H23" s="15">
        <f>ABS(표1[[#This Row],[export]]-표1[[#This Row],[import]])/(표1[[#This Row],[export]]+표1[[#This Row],[import]])</f>
        <v>0.7634295898027792</v>
      </c>
    </row>
    <row r="24" spans="1:8" x14ac:dyDescent="0.3">
      <c r="A24" s="5">
        <v>2018</v>
      </c>
      <c r="B24" s="5">
        <v>2901210000</v>
      </c>
      <c r="C24" s="5" t="s">
        <v>406</v>
      </c>
      <c r="D24" s="6">
        <v>823834.4</v>
      </c>
      <c r="E24" s="6">
        <v>133347.9</v>
      </c>
      <c r="F24" s="10">
        <f t="shared" si="0"/>
        <v>-690486.5</v>
      </c>
      <c r="G24" t="str">
        <f>IF(표1[[#This Row],[diff]]&gt;0,"import","export")</f>
        <v>export</v>
      </c>
      <c r="H24" s="15">
        <f>ABS(표1[[#This Row],[export]]-표1[[#This Row],[import]])/(표1[[#This Row],[export]]+표1[[#This Row],[import]])</f>
        <v>0.72137407889803229</v>
      </c>
    </row>
    <row r="25" spans="1:8" x14ac:dyDescent="0.3">
      <c r="A25" s="5">
        <v>2019</v>
      </c>
      <c r="B25" s="5">
        <v>2901210000</v>
      </c>
      <c r="C25" s="5" t="s">
        <v>406</v>
      </c>
      <c r="D25" s="6">
        <v>1091131</v>
      </c>
      <c r="E25" s="6">
        <v>108899.8</v>
      </c>
      <c r="F25" s="10">
        <f t="shared" si="0"/>
        <v>-982231.2</v>
      </c>
      <c r="G25" t="str">
        <f>IF(표1[[#This Row],[diff]]&gt;0,"import","export")</f>
        <v>export</v>
      </c>
      <c r="H25" s="15">
        <f>ABS(표1[[#This Row],[export]]-표1[[#This Row],[import]])/(표1[[#This Row],[export]]+표1[[#This Row],[import]])</f>
        <v>0.81850499170521285</v>
      </c>
    </row>
    <row r="26" spans="1:8" x14ac:dyDescent="0.3">
      <c r="A26" s="5">
        <v>2020</v>
      </c>
      <c r="B26" s="5">
        <v>2901210000</v>
      </c>
      <c r="C26" s="5" t="s">
        <v>406</v>
      </c>
      <c r="D26" s="6">
        <v>848438.8</v>
      </c>
      <c r="E26" s="6">
        <v>283397.8</v>
      </c>
      <c r="F26" s="10">
        <f t="shared" si="0"/>
        <v>-565041</v>
      </c>
      <c r="G26" t="str">
        <f>IF(표1[[#This Row],[diff]]&gt;0,"import","export")</f>
        <v>export</v>
      </c>
      <c r="H26" s="15">
        <f>ABS(표1[[#This Row],[export]]-표1[[#This Row],[import]])/(표1[[#This Row],[export]]+표1[[#This Row],[import]])</f>
        <v>0.49922488811547527</v>
      </c>
    </row>
    <row r="27" spans="1:8" x14ac:dyDescent="0.3">
      <c r="A27" s="5">
        <v>2021</v>
      </c>
      <c r="B27" s="5">
        <v>2901210000</v>
      </c>
      <c r="C27" s="5" t="s">
        <v>406</v>
      </c>
      <c r="D27" s="6">
        <v>1175349.2</v>
      </c>
      <c r="E27" s="6">
        <v>207106.7</v>
      </c>
      <c r="F27" s="10">
        <f t="shared" si="0"/>
        <v>-968242.5</v>
      </c>
      <c r="G27" t="str">
        <f>IF(표1[[#This Row],[diff]]&gt;0,"import","export")</f>
        <v>export</v>
      </c>
      <c r="H27" s="15">
        <f>ABS(표1[[#This Row],[export]]-표1[[#This Row],[import]])/(표1[[#This Row],[export]]+표1[[#This Row],[import]])</f>
        <v>0.70037857988815422</v>
      </c>
    </row>
    <row r="28" spans="1:8" x14ac:dyDescent="0.3">
      <c r="A28" s="5">
        <v>2022</v>
      </c>
      <c r="B28" s="5">
        <v>2901210000</v>
      </c>
      <c r="C28" s="5" t="s">
        <v>406</v>
      </c>
      <c r="D28" s="6">
        <v>1586693.5</v>
      </c>
      <c r="E28" s="6">
        <v>141518.29999999999</v>
      </c>
      <c r="F28" s="10">
        <f t="shared" si="0"/>
        <v>-1445175.2</v>
      </c>
      <c r="G28" t="str">
        <f>IF(표1[[#This Row],[diff]]&gt;0,"import","export")</f>
        <v>export</v>
      </c>
      <c r="H28" s="15">
        <f>ABS(표1[[#This Row],[export]]-표1[[#This Row],[import]])/(표1[[#This Row],[export]]+표1[[#This Row],[import]])</f>
        <v>0.83622574501574398</v>
      </c>
    </row>
    <row r="29" spans="1:8" x14ac:dyDescent="0.3">
      <c r="A29" s="5">
        <v>2023</v>
      </c>
      <c r="B29" s="5">
        <v>2901210000</v>
      </c>
      <c r="C29" s="5" t="s">
        <v>406</v>
      </c>
      <c r="D29" s="6">
        <v>1115011</v>
      </c>
      <c r="E29" s="6">
        <v>162452.79999999999</v>
      </c>
      <c r="F29" s="10">
        <f t="shared" si="0"/>
        <v>-952558.2</v>
      </c>
      <c r="G29" t="str">
        <f>IF(표1[[#This Row],[diff]]&gt;0,"import","export")</f>
        <v>export</v>
      </c>
      <c r="H29" s="15">
        <f>ABS(표1[[#This Row],[export]]-표1[[#This Row],[import]])/(표1[[#This Row],[export]]+표1[[#This Row],[import]])</f>
        <v>0.74566355618061342</v>
      </c>
    </row>
    <row r="30" spans="1:8" x14ac:dyDescent="0.3">
      <c r="A30" s="5">
        <v>2024</v>
      </c>
      <c r="B30" s="5">
        <v>2901210000</v>
      </c>
      <c r="C30" s="5" t="s">
        <v>406</v>
      </c>
      <c r="D30" s="6">
        <v>1849089.8</v>
      </c>
      <c r="E30" s="6">
        <v>71196.399999999994</v>
      </c>
      <c r="F30" s="10">
        <f t="shared" si="0"/>
        <v>-1777893.4000000001</v>
      </c>
      <c r="G30" t="str">
        <f>IF(표1[[#This Row],[diff]]&gt;0,"import","export")</f>
        <v>export</v>
      </c>
      <c r="H30" s="15">
        <f>ABS(표1[[#This Row],[export]]-표1[[#This Row],[import]])/(표1[[#This Row],[export]]+표1[[#This Row],[import]])</f>
        <v>0.92584813659547216</v>
      </c>
    </row>
    <row r="31" spans="1:8" x14ac:dyDescent="0.3">
      <c r="A31" s="5">
        <v>2025</v>
      </c>
      <c r="B31" s="5">
        <v>2901210000</v>
      </c>
      <c r="C31" s="5" t="s">
        <v>406</v>
      </c>
      <c r="D31" s="6">
        <v>2054889.8</v>
      </c>
      <c r="E31" s="6">
        <v>21711.5</v>
      </c>
      <c r="F31" s="10">
        <f t="shared" si="0"/>
        <v>-2033178.3</v>
      </c>
      <c r="G31" t="str">
        <f>IF(표1[[#This Row],[diff]]&gt;0,"import","export")</f>
        <v>export</v>
      </c>
      <c r="H31" s="15">
        <f>ABS(표1[[#This Row],[export]]-표1[[#This Row],[import]])/(표1[[#This Row],[export]]+표1[[#This Row],[import]])</f>
        <v>0.97908938995656025</v>
      </c>
    </row>
    <row r="32" spans="1:8" x14ac:dyDescent="0.3">
      <c r="A32" s="5">
        <v>2016</v>
      </c>
      <c r="B32" s="5">
        <v>2901220000</v>
      </c>
      <c r="C32" s="5" t="s">
        <v>402</v>
      </c>
      <c r="D32" s="6">
        <v>1690407.9</v>
      </c>
      <c r="E32" s="6">
        <v>265495.90000000002</v>
      </c>
      <c r="F32" s="10">
        <f t="shared" si="0"/>
        <v>-1424912</v>
      </c>
      <c r="G32" t="str">
        <f>IF(표1[[#This Row],[diff]]&gt;0,"import","export")</f>
        <v>export</v>
      </c>
      <c r="H32" s="15">
        <f>ABS(표1[[#This Row],[export]]-표1[[#This Row],[import]])/(표1[[#This Row],[export]]+표1[[#This Row],[import]])</f>
        <v>0.72851844758418083</v>
      </c>
    </row>
    <row r="33" spans="1:8" x14ac:dyDescent="0.3">
      <c r="A33" s="5">
        <v>2017</v>
      </c>
      <c r="B33" s="5">
        <v>2901220000</v>
      </c>
      <c r="C33" s="5" t="s">
        <v>402</v>
      </c>
      <c r="D33" s="6">
        <v>1714961.1</v>
      </c>
      <c r="E33" s="6">
        <v>197871.1</v>
      </c>
      <c r="F33" s="10">
        <f t="shared" si="0"/>
        <v>-1517090</v>
      </c>
      <c r="G33" t="str">
        <f>IF(표1[[#This Row],[diff]]&gt;0,"import","export")</f>
        <v>export</v>
      </c>
      <c r="H33" s="15">
        <f>ABS(표1[[#This Row],[export]]-표1[[#This Row],[import]])/(표1[[#This Row],[export]]+표1[[#This Row],[import]])</f>
        <v>0.79311191018218941</v>
      </c>
    </row>
    <row r="34" spans="1:8" x14ac:dyDescent="0.3">
      <c r="A34" s="5">
        <v>2018</v>
      </c>
      <c r="B34" s="5">
        <v>2901220000</v>
      </c>
      <c r="C34" s="5" t="s">
        <v>402</v>
      </c>
      <c r="D34" s="6">
        <v>1674320.1</v>
      </c>
      <c r="E34" s="6">
        <v>112785.9</v>
      </c>
      <c r="F34" s="10">
        <f t="shared" si="0"/>
        <v>-1561534.2000000002</v>
      </c>
      <c r="G34" t="str">
        <f>IF(표1[[#This Row],[diff]]&gt;0,"import","export")</f>
        <v>export</v>
      </c>
      <c r="H34" s="15">
        <f>ABS(표1[[#This Row],[export]]-표1[[#This Row],[import]])/(표1[[#This Row],[export]]+표1[[#This Row],[import]])</f>
        <v>0.87377816424991028</v>
      </c>
    </row>
    <row r="35" spans="1:8" x14ac:dyDescent="0.3">
      <c r="A35" s="5">
        <v>2019</v>
      </c>
      <c r="B35" s="5">
        <v>2901220000</v>
      </c>
      <c r="C35" s="5" t="s">
        <v>402</v>
      </c>
      <c r="D35" s="6">
        <v>1656521.6</v>
      </c>
      <c r="E35" s="6">
        <v>132058.1</v>
      </c>
      <c r="F35" s="10">
        <f t="shared" si="0"/>
        <v>-1524463.5</v>
      </c>
      <c r="G35" t="str">
        <f>IF(표1[[#This Row],[diff]]&gt;0,"import","export")</f>
        <v>export</v>
      </c>
      <c r="H35" s="15">
        <f>ABS(표1[[#This Row],[export]]-표1[[#This Row],[import]])/(표1[[#This Row],[export]]+표1[[#This Row],[import]])</f>
        <v>0.85233188098914459</v>
      </c>
    </row>
    <row r="36" spans="1:8" x14ac:dyDescent="0.3">
      <c r="A36" s="5">
        <v>2020</v>
      </c>
      <c r="B36" s="5">
        <v>2901220000</v>
      </c>
      <c r="C36" s="5" t="s">
        <v>402</v>
      </c>
      <c r="D36" s="6">
        <v>1506082</v>
      </c>
      <c r="E36" s="6">
        <v>124480.2</v>
      </c>
      <c r="F36" s="10">
        <f t="shared" si="0"/>
        <v>-1381601.8</v>
      </c>
      <c r="G36" t="str">
        <f>IF(표1[[#This Row],[diff]]&gt;0,"import","export")</f>
        <v>export</v>
      </c>
      <c r="H36" s="15">
        <f>ABS(표1[[#This Row],[export]]-표1[[#This Row],[import]])/(표1[[#This Row],[export]]+표1[[#This Row],[import]])</f>
        <v>0.84731622013560726</v>
      </c>
    </row>
    <row r="37" spans="1:8" x14ac:dyDescent="0.3">
      <c r="A37" s="5">
        <v>2021</v>
      </c>
      <c r="B37" s="5">
        <v>2901220000</v>
      </c>
      <c r="C37" s="5" t="s">
        <v>402</v>
      </c>
      <c r="D37" s="6">
        <v>1653420.2</v>
      </c>
      <c r="E37" s="6">
        <v>104682.9</v>
      </c>
      <c r="F37" s="10">
        <f t="shared" si="0"/>
        <v>-1548737.3</v>
      </c>
      <c r="G37" t="str">
        <f>IF(표1[[#This Row],[diff]]&gt;0,"import","export")</f>
        <v>export</v>
      </c>
      <c r="H37" s="15">
        <f>ABS(표1[[#This Row],[export]]-표1[[#This Row],[import]])/(표1[[#This Row],[export]]+표1[[#This Row],[import]])</f>
        <v>0.88091380988976142</v>
      </c>
    </row>
    <row r="38" spans="1:8" x14ac:dyDescent="0.3">
      <c r="A38" s="5">
        <v>2022</v>
      </c>
      <c r="B38" s="5">
        <v>2901220000</v>
      </c>
      <c r="C38" s="5" t="s">
        <v>402</v>
      </c>
      <c r="D38" s="6">
        <v>1633337.4</v>
      </c>
      <c r="E38" s="6">
        <v>94624.6</v>
      </c>
      <c r="F38" s="10">
        <f t="shared" si="0"/>
        <v>-1538712.7999999998</v>
      </c>
      <c r="G38" t="str">
        <f>IF(표1[[#This Row],[diff]]&gt;0,"import","export")</f>
        <v>export</v>
      </c>
      <c r="H38" s="15">
        <f>ABS(표1[[#This Row],[export]]-표1[[#This Row],[import]])/(표1[[#This Row],[export]]+표1[[#This Row],[import]])</f>
        <v>0.89047837857545464</v>
      </c>
    </row>
    <row r="39" spans="1:8" x14ac:dyDescent="0.3">
      <c r="A39" s="5">
        <v>2023</v>
      </c>
      <c r="B39" s="5">
        <v>2901220000</v>
      </c>
      <c r="C39" s="5" t="s">
        <v>402</v>
      </c>
      <c r="D39" s="6">
        <v>1588977.3</v>
      </c>
      <c r="E39" s="6">
        <v>112398.5</v>
      </c>
      <c r="F39" s="10">
        <f t="shared" si="0"/>
        <v>-1476578.8</v>
      </c>
      <c r="G39" t="str">
        <f>IF(표1[[#This Row],[diff]]&gt;0,"import","export")</f>
        <v>export</v>
      </c>
      <c r="H39" s="15">
        <f>ABS(표1[[#This Row],[export]]-표1[[#This Row],[import]])/(표1[[#This Row],[export]]+표1[[#This Row],[import]])</f>
        <v>0.86787339986850642</v>
      </c>
    </row>
    <row r="40" spans="1:8" x14ac:dyDescent="0.3">
      <c r="A40" s="5">
        <v>2024</v>
      </c>
      <c r="B40" s="5">
        <v>2901220000</v>
      </c>
      <c r="C40" s="5" t="s">
        <v>402</v>
      </c>
      <c r="D40" s="6">
        <v>1748890.8</v>
      </c>
      <c r="E40" s="6">
        <v>126732.6</v>
      </c>
      <c r="F40" s="10">
        <f t="shared" si="0"/>
        <v>-1622158.2</v>
      </c>
      <c r="G40" t="str">
        <f>IF(표1[[#This Row],[diff]]&gt;0,"import","export")</f>
        <v>export</v>
      </c>
      <c r="H40" s="15">
        <f>ABS(표1[[#This Row],[export]]-표1[[#This Row],[import]])/(표1[[#This Row],[export]]+표1[[#This Row],[import]])</f>
        <v>0.86486349018678266</v>
      </c>
    </row>
    <row r="41" spans="1:8" x14ac:dyDescent="0.3">
      <c r="A41" s="5">
        <v>2025</v>
      </c>
      <c r="B41" s="5">
        <v>2901220000</v>
      </c>
      <c r="C41" s="5" t="s">
        <v>402</v>
      </c>
      <c r="D41" s="6">
        <v>1640206.3</v>
      </c>
      <c r="E41" s="6">
        <v>330308</v>
      </c>
      <c r="F41" s="10">
        <f t="shared" si="0"/>
        <v>-1309898.3</v>
      </c>
      <c r="G41" t="str">
        <f>IF(표1[[#This Row],[diff]]&gt;0,"import","export")</f>
        <v>export</v>
      </c>
      <c r="H41" s="15">
        <f>ABS(표1[[#This Row],[export]]-표1[[#This Row],[import]])/(표1[[#This Row],[export]]+표1[[#This Row],[import]])</f>
        <v>0.66474945145031428</v>
      </c>
    </row>
    <row r="42" spans="1:8" x14ac:dyDescent="0.3">
      <c r="A42" s="5">
        <v>2016</v>
      </c>
      <c r="B42" s="5">
        <v>2901241000</v>
      </c>
      <c r="C42" s="5" t="s">
        <v>404</v>
      </c>
      <c r="D42" s="6">
        <v>155516.70000000001</v>
      </c>
      <c r="E42" s="6">
        <v>409919.1</v>
      </c>
      <c r="F42" s="10">
        <f t="shared" si="0"/>
        <v>254402.39999999997</v>
      </c>
      <c r="G42" t="str">
        <f>IF(표1[[#This Row],[diff]]&gt;0,"import","export")</f>
        <v>import</v>
      </c>
      <c r="H42" s="15">
        <f>ABS(표1[[#This Row],[export]]-표1[[#This Row],[import]])/(표1[[#This Row],[export]]+표1[[#This Row],[import]])</f>
        <v>0.44992269679422481</v>
      </c>
    </row>
    <row r="43" spans="1:8" x14ac:dyDescent="0.3">
      <c r="A43" s="5">
        <v>2017</v>
      </c>
      <c r="B43" s="5">
        <v>2901241000</v>
      </c>
      <c r="C43" s="5" t="s">
        <v>404</v>
      </c>
      <c r="D43" s="6">
        <v>157722</v>
      </c>
      <c r="E43" s="6">
        <v>424269.4</v>
      </c>
      <c r="F43" s="10">
        <f t="shared" si="0"/>
        <v>266547.40000000002</v>
      </c>
      <c r="G43" t="str">
        <f>IF(표1[[#This Row],[diff]]&gt;0,"import","export")</f>
        <v>import</v>
      </c>
      <c r="H43" s="15">
        <f>ABS(표1[[#This Row],[export]]-표1[[#This Row],[import]])/(표1[[#This Row],[export]]+표1[[#This Row],[import]])</f>
        <v>0.45799199094694526</v>
      </c>
    </row>
    <row r="44" spans="1:8" x14ac:dyDescent="0.3">
      <c r="A44" s="5">
        <v>2018</v>
      </c>
      <c r="B44" s="5">
        <v>2901241000</v>
      </c>
      <c r="C44" s="5" t="s">
        <v>404</v>
      </c>
      <c r="D44" s="6">
        <v>149326.1</v>
      </c>
      <c r="E44" s="6">
        <v>419972.5</v>
      </c>
      <c r="F44" s="10">
        <f t="shared" si="0"/>
        <v>270646.40000000002</v>
      </c>
      <c r="G44" t="str">
        <f>IF(표1[[#This Row],[diff]]&gt;0,"import","export")</f>
        <v>import</v>
      </c>
      <c r="H44" s="15">
        <f>ABS(표1[[#This Row],[export]]-표1[[#This Row],[import]])/(표1[[#This Row],[export]]+표1[[#This Row],[import]])</f>
        <v>0.47540324181369853</v>
      </c>
    </row>
    <row r="45" spans="1:8" x14ac:dyDescent="0.3">
      <c r="A45" s="5">
        <v>2019</v>
      </c>
      <c r="B45" s="5">
        <v>2901241000</v>
      </c>
      <c r="C45" s="5" t="s">
        <v>404</v>
      </c>
      <c r="D45" s="6">
        <v>98268.1</v>
      </c>
      <c r="E45" s="6">
        <v>406249.1</v>
      </c>
      <c r="F45" s="10">
        <f t="shared" si="0"/>
        <v>307981</v>
      </c>
      <c r="G45" t="str">
        <f>IF(표1[[#This Row],[diff]]&gt;0,"import","export")</f>
        <v>import</v>
      </c>
      <c r="H45" s="15">
        <f>ABS(표1[[#This Row],[export]]-표1[[#This Row],[import]])/(표1[[#This Row],[export]]+표1[[#This Row],[import]])</f>
        <v>0.61044697782355095</v>
      </c>
    </row>
    <row r="46" spans="1:8" x14ac:dyDescent="0.3">
      <c r="A46" s="5">
        <v>2020</v>
      </c>
      <c r="B46" s="5">
        <v>2901241000</v>
      </c>
      <c r="C46" s="5" t="s">
        <v>404</v>
      </c>
      <c r="D46" s="6">
        <v>92421.1</v>
      </c>
      <c r="E46" s="6">
        <v>474368.4</v>
      </c>
      <c r="F46" s="10">
        <f t="shared" si="0"/>
        <v>381947.30000000005</v>
      </c>
      <c r="G46" t="str">
        <f>IF(표1[[#This Row],[diff]]&gt;0,"import","export")</f>
        <v>import</v>
      </c>
      <c r="H46" s="15">
        <f>ABS(표1[[#This Row],[export]]-표1[[#This Row],[import]])/(표1[[#This Row],[export]]+표1[[#This Row],[import]])</f>
        <v>0.67387857396793704</v>
      </c>
    </row>
    <row r="47" spans="1:8" x14ac:dyDescent="0.3">
      <c r="A47" s="5">
        <v>2021</v>
      </c>
      <c r="B47" s="5">
        <v>2901241000</v>
      </c>
      <c r="C47" s="5" t="s">
        <v>404</v>
      </c>
      <c r="D47" s="6">
        <v>124768.7</v>
      </c>
      <c r="E47" s="6">
        <v>337394</v>
      </c>
      <c r="F47" s="10">
        <f t="shared" si="0"/>
        <v>212625.3</v>
      </c>
      <c r="G47" t="str">
        <f>IF(표1[[#This Row],[diff]]&gt;0,"import","export")</f>
        <v>import</v>
      </c>
      <c r="H47" s="15">
        <f>ABS(표1[[#This Row],[export]]-표1[[#This Row],[import]])/(표1[[#This Row],[export]]+표1[[#This Row],[import]])</f>
        <v>0.46006590319815938</v>
      </c>
    </row>
    <row r="48" spans="1:8" x14ac:dyDescent="0.3">
      <c r="A48" s="5">
        <v>2022</v>
      </c>
      <c r="B48" s="5">
        <v>2901241000</v>
      </c>
      <c r="C48" s="5" t="s">
        <v>404</v>
      </c>
      <c r="D48" s="6">
        <v>180743.1</v>
      </c>
      <c r="E48" s="6">
        <v>205716.5</v>
      </c>
      <c r="F48" s="10">
        <f t="shared" si="0"/>
        <v>24973.399999999994</v>
      </c>
      <c r="G48" t="str">
        <f>IF(표1[[#This Row],[diff]]&gt;0,"import","export")</f>
        <v>import</v>
      </c>
      <c r="H48" s="15">
        <f>ABS(표1[[#This Row],[export]]-표1[[#This Row],[import]])/(표1[[#This Row],[export]]+표1[[#This Row],[import]])</f>
        <v>6.4620984961946848E-2</v>
      </c>
    </row>
    <row r="49" spans="1:8" x14ac:dyDescent="0.3">
      <c r="A49" s="5">
        <v>2023</v>
      </c>
      <c r="B49" s="5">
        <v>2901241000</v>
      </c>
      <c r="C49" s="5" t="s">
        <v>404</v>
      </c>
      <c r="D49" s="6">
        <v>168531.4</v>
      </c>
      <c r="E49" s="6">
        <v>312940.79999999999</v>
      </c>
      <c r="F49" s="10">
        <f t="shared" si="0"/>
        <v>144409.4</v>
      </c>
      <c r="G49" t="str">
        <f>IF(표1[[#This Row],[diff]]&gt;0,"import","export")</f>
        <v>import</v>
      </c>
      <c r="H49" s="15">
        <f>ABS(표1[[#This Row],[export]]-표1[[#This Row],[import]])/(표1[[#This Row],[export]]+표1[[#This Row],[import]])</f>
        <v>0.2999329971699301</v>
      </c>
    </row>
    <row r="50" spans="1:8" x14ac:dyDescent="0.3">
      <c r="A50" s="5">
        <v>2024</v>
      </c>
      <c r="B50" s="5">
        <v>2901241000</v>
      </c>
      <c r="C50" s="5" t="s">
        <v>404</v>
      </c>
      <c r="D50" s="6">
        <v>248308.5</v>
      </c>
      <c r="E50" s="6">
        <v>345680.9</v>
      </c>
      <c r="F50" s="10">
        <f t="shared" si="0"/>
        <v>97372.400000000023</v>
      </c>
      <c r="G50" t="str">
        <f>IF(표1[[#This Row],[diff]]&gt;0,"import","export")</f>
        <v>import</v>
      </c>
      <c r="H50" s="15">
        <f>ABS(표1[[#This Row],[export]]-표1[[#This Row],[import]])/(표1[[#This Row],[export]]+표1[[#This Row],[import]])</f>
        <v>0.16392952466828536</v>
      </c>
    </row>
    <row r="51" spans="1:8" x14ac:dyDescent="0.3">
      <c r="A51" s="5">
        <v>2025</v>
      </c>
      <c r="B51" s="5">
        <v>2901241000</v>
      </c>
      <c r="C51" s="5" t="s">
        <v>404</v>
      </c>
      <c r="D51" s="6">
        <v>224248.5</v>
      </c>
      <c r="E51" s="6">
        <v>354919.9</v>
      </c>
      <c r="F51" s="10">
        <f t="shared" si="0"/>
        <v>130671.40000000002</v>
      </c>
      <c r="G51" t="str">
        <f>IF(표1[[#This Row],[diff]]&gt;0,"import","export")</f>
        <v>import</v>
      </c>
      <c r="H51" s="15">
        <f>ABS(표1[[#This Row],[export]]-표1[[#This Row],[import]])/(표1[[#This Row],[export]]+표1[[#This Row],[import]])</f>
        <v>0.22561900821937111</v>
      </c>
    </row>
    <row r="52" spans="1:8" x14ac:dyDescent="0.3">
      <c r="A52" s="5">
        <v>2016</v>
      </c>
      <c r="B52" s="5">
        <v>2901242000</v>
      </c>
      <c r="C52" s="5" t="s">
        <v>409</v>
      </c>
      <c r="D52" s="6">
        <v>13236.8</v>
      </c>
      <c r="E52" s="6">
        <v>1.1000000000000001</v>
      </c>
      <c r="F52" s="10">
        <f t="shared" si="0"/>
        <v>-13235.699999999999</v>
      </c>
      <c r="G52" t="str">
        <f>IF(표1[[#This Row],[diff]]&gt;0,"import","export")</f>
        <v>export</v>
      </c>
      <c r="H52" s="15">
        <f>ABS(표1[[#This Row],[export]]-표1[[#This Row],[import]])/(표1[[#This Row],[export]]+표1[[#This Row],[import]])</f>
        <v>0.99983381049864395</v>
      </c>
    </row>
    <row r="53" spans="1:8" x14ac:dyDescent="0.3">
      <c r="A53" s="5">
        <v>2017</v>
      </c>
      <c r="B53" s="5">
        <v>2901242000</v>
      </c>
      <c r="C53" s="5" t="s">
        <v>409</v>
      </c>
      <c r="D53" s="6">
        <v>53752.1</v>
      </c>
      <c r="E53" s="6">
        <v>0.1</v>
      </c>
      <c r="F53" s="10">
        <f t="shared" si="0"/>
        <v>-53752</v>
      </c>
      <c r="G53" t="str">
        <f>IF(표1[[#This Row],[diff]]&gt;0,"import","export")</f>
        <v>export</v>
      </c>
      <c r="H53" s="15">
        <f>ABS(표1[[#This Row],[export]]-표1[[#This Row],[import]])/(표1[[#This Row],[export]]+표1[[#This Row],[import]])</f>
        <v>0.9999962792220598</v>
      </c>
    </row>
    <row r="54" spans="1:8" x14ac:dyDescent="0.3">
      <c r="A54" s="5">
        <v>2018</v>
      </c>
      <c r="B54" s="5">
        <v>2901242000</v>
      </c>
      <c r="C54" s="5" t="s">
        <v>409</v>
      </c>
      <c r="D54" s="6">
        <v>57651.199999999997</v>
      </c>
      <c r="E54" s="6">
        <v>2.1</v>
      </c>
      <c r="F54" s="10">
        <f t="shared" si="0"/>
        <v>-57649.1</v>
      </c>
      <c r="G54" t="str">
        <f>IF(표1[[#This Row],[diff]]&gt;0,"import","export")</f>
        <v>export</v>
      </c>
      <c r="H54" s="15">
        <f>ABS(표1[[#This Row],[export]]-표1[[#This Row],[import]])/(표1[[#This Row],[export]]+표1[[#This Row],[import]])</f>
        <v>0.99992715074418992</v>
      </c>
    </row>
    <row r="55" spans="1:8" x14ac:dyDescent="0.3">
      <c r="A55" s="5">
        <v>2019</v>
      </c>
      <c r="B55" s="5">
        <v>2901242000</v>
      </c>
      <c r="C55" s="5" t="s">
        <v>409</v>
      </c>
      <c r="D55" s="6">
        <v>58198.3</v>
      </c>
      <c r="E55" s="6">
        <v>0.1</v>
      </c>
      <c r="F55" s="10">
        <f t="shared" si="0"/>
        <v>-58198.200000000004</v>
      </c>
      <c r="G55" t="str">
        <f>IF(표1[[#This Row],[diff]]&gt;0,"import","export")</f>
        <v>export</v>
      </c>
      <c r="H55" s="15">
        <f>ABS(표1[[#This Row],[export]]-표1[[#This Row],[import]])/(표1[[#This Row],[export]]+표1[[#This Row],[import]])</f>
        <v>0.99999656347940846</v>
      </c>
    </row>
    <row r="56" spans="1:8" x14ac:dyDescent="0.3">
      <c r="A56" s="5">
        <v>2020</v>
      </c>
      <c r="B56" s="5">
        <v>2901242000</v>
      </c>
      <c r="C56" s="5" t="s">
        <v>409</v>
      </c>
      <c r="D56" s="6">
        <v>57908.7</v>
      </c>
      <c r="E56" s="6">
        <v>0.1</v>
      </c>
      <c r="F56" s="10">
        <f t="shared" si="0"/>
        <v>-57908.6</v>
      </c>
      <c r="G56" t="str">
        <f>IF(표1[[#This Row],[diff]]&gt;0,"import","export")</f>
        <v>export</v>
      </c>
      <c r="H56" s="15">
        <f>ABS(표1[[#This Row],[export]]-표1[[#This Row],[import]])/(표1[[#This Row],[export]]+표1[[#This Row],[import]])</f>
        <v>0.99999654629348222</v>
      </c>
    </row>
    <row r="57" spans="1:8" x14ac:dyDescent="0.3">
      <c r="A57" s="5">
        <v>2021</v>
      </c>
      <c r="B57" s="5">
        <v>2901242000</v>
      </c>
      <c r="C57" s="5" t="s">
        <v>409</v>
      </c>
      <c r="D57" s="6">
        <v>68626.100000000006</v>
      </c>
      <c r="E57" s="6">
        <v>0.1</v>
      </c>
      <c r="F57" s="10">
        <f t="shared" si="0"/>
        <v>-68626</v>
      </c>
      <c r="G57" t="str">
        <f>IF(표1[[#This Row],[diff]]&gt;0,"import","export")</f>
        <v>export</v>
      </c>
      <c r="H57" s="15">
        <f>ABS(표1[[#This Row],[export]]-표1[[#This Row],[import]])/(표1[[#This Row],[export]]+표1[[#This Row],[import]])</f>
        <v>0.9999970856611613</v>
      </c>
    </row>
    <row r="58" spans="1:8" x14ac:dyDescent="0.3">
      <c r="A58" s="5">
        <v>2022</v>
      </c>
      <c r="B58" s="5">
        <v>2901242000</v>
      </c>
      <c r="C58" s="5" t="s">
        <v>409</v>
      </c>
      <c r="D58" s="6">
        <v>61491</v>
      </c>
      <c r="E58" s="6">
        <v>0.1</v>
      </c>
      <c r="F58" s="10">
        <f t="shared" si="0"/>
        <v>-61490.9</v>
      </c>
      <c r="G58" t="str">
        <f>IF(표1[[#This Row],[diff]]&gt;0,"import","export")</f>
        <v>export</v>
      </c>
      <c r="H58" s="15">
        <f>ABS(표1[[#This Row],[export]]-표1[[#This Row],[import]])/(표1[[#This Row],[export]]+표1[[#This Row],[import]])</f>
        <v>0.99999674749679224</v>
      </c>
    </row>
    <row r="59" spans="1:8" x14ac:dyDescent="0.3">
      <c r="A59" s="5">
        <v>2023</v>
      </c>
      <c r="B59" s="5">
        <v>2901242000</v>
      </c>
      <c r="C59" s="5" t="s">
        <v>409</v>
      </c>
      <c r="D59" s="6">
        <v>37508</v>
      </c>
      <c r="E59" s="6">
        <v>0</v>
      </c>
      <c r="F59" s="10">
        <f t="shared" si="0"/>
        <v>-37508</v>
      </c>
      <c r="G59" t="str">
        <f>IF(표1[[#This Row],[diff]]&gt;0,"import","export")</f>
        <v>export</v>
      </c>
      <c r="H59" s="15">
        <f>ABS(표1[[#This Row],[export]]-표1[[#This Row],[import]])/(표1[[#This Row],[export]]+표1[[#This Row],[import]])</f>
        <v>1</v>
      </c>
    </row>
    <row r="60" spans="1:8" x14ac:dyDescent="0.3">
      <c r="A60" s="5">
        <v>2024</v>
      </c>
      <c r="B60" s="5">
        <v>2901242000</v>
      </c>
      <c r="C60" s="5" t="s">
        <v>409</v>
      </c>
      <c r="D60" s="6">
        <v>62257.5</v>
      </c>
      <c r="E60" s="6">
        <v>0.1</v>
      </c>
      <c r="F60" s="10">
        <f t="shared" si="0"/>
        <v>-62257.4</v>
      </c>
      <c r="G60" t="str">
        <f>IF(표1[[#This Row],[diff]]&gt;0,"import","export")</f>
        <v>export</v>
      </c>
      <c r="H60" s="15">
        <f>ABS(표1[[#This Row],[export]]-표1[[#This Row],[import]])/(표1[[#This Row],[export]]+표1[[#This Row],[import]])</f>
        <v>0.99999678754079824</v>
      </c>
    </row>
    <row r="61" spans="1:8" x14ac:dyDescent="0.3">
      <c r="A61" s="5">
        <v>2025</v>
      </c>
      <c r="B61" s="5">
        <v>2901242000</v>
      </c>
      <c r="C61" s="5" t="s">
        <v>409</v>
      </c>
      <c r="D61" s="6">
        <v>54625.7</v>
      </c>
      <c r="E61" s="6">
        <v>0</v>
      </c>
      <c r="F61" s="10">
        <f t="shared" si="0"/>
        <v>-54625.7</v>
      </c>
      <c r="G61" t="str">
        <f>IF(표1[[#This Row],[diff]]&gt;0,"import","export")</f>
        <v>export</v>
      </c>
      <c r="H61" s="15">
        <f>ABS(표1[[#This Row],[export]]-표1[[#This Row],[import]])/(표1[[#This Row],[export]]+표1[[#This Row],[import]])</f>
        <v>1</v>
      </c>
    </row>
    <row r="62" spans="1:8" x14ac:dyDescent="0.3">
      <c r="A62" s="5">
        <v>2016</v>
      </c>
      <c r="B62" s="5">
        <v>2901291000</v>
      </c>
      <c r="C62" s="5" t="s">
        <v>255</v>
      </c>
      <c r="D62" s="5">
        <v>54.8</v>
      </c>
      <c r="E62" s="6">
        <v>22121.599999999999</v>
      </c>
      <c r="F62" s="7">
        <f t="shared" si="0"/>
        <v>22066.799999999999</v>
      </c>
      <c r="G62" t="str">
        <f>IF(표1[[#This Row],[diff]]&gt;0,"import","export")</f>
        <v>import</v>
      </c>
      <c r="H62" s="15">
        <f>ABS(표1[[#This Row],[export]]-표1[[#This Row],[import]])/(표1[[#This Row],[export]]+표1[[#This Row],[import]])</f>
        <v>0.9950578092025758</v>
      </c>
    </row>
    <row r="63" spans="1:8" x14ac:dyDescent="0.3">
      <c r="A63" s="5">
        <v>2017</v>
      </c>
      <c r="B63" s="5">
        <v>2901291000</v>
      </c>
      <c r="C63" s="5" t="s">
        <v>255</v>
      </c>
      <c r="D63" s="5">
        <v>809.8</v>
      </c>
      <c r="E63" s="6">
        <v>23581.4</v>
      </c>
      <c r="F63" s="7">
        <f t="shared" si="0"/>
        <v>22771.600000000002</v>
      </c>
      <c r="G63" t="str">
        <f>IF(표1[[#This Row],[diff]]&gt;0,"import","export")</f>
        <v>import</v>
      </c>
      <c r="H63" s="15">
        <f>ABS(표1[[#This Row],[export]]-표1[[#This Row],[import]])/(표1[[#This Row],[export]]+표1[[#This Row],[import]])</f>
        <v>0.9335990029190856</v>
      </c>
    </row>
    <row r="64" spans="1:8" x14ac:dyDescent="0.3">
      <c r="A64" s="5">
        <v>2018</v>
      </c>
      <c r="B64" s="5">
        <v>2901291000</v>
      </c>
      <c r="C64" s="5" t="s">
        <v>255</v>
      </c>
      <c r="D64" s="5">
        <v>90.5</v>
      </c>
      <c r="E64" s="6">
        <v>21331</v>
      </c>
      <c r="F64" s="7">
        <f t="shared" si="0"/>
        <v>21240.5</v>
      </c>
      <c r="G64" t="str">
        <f>IF(표1[[#This Row],[diff]]&gt;0,"import","export")</f>
        <v>import</v>
      </c>
      <c r="H64" s="15">
        <f>ABS(표1[[#This Row],[export]]-표1[[#This Row],[import]])/(표1[[#This Row],[export]]+표1[[#This Row],[import]])</f>
        <v>0.99155054501318773</v>
      </c>
    </row>
    <row r="65" spans="1:8" x14ac:dyDescent="0.3">
      <c r="A65" s="5">
        <v>2019</v>
      </c>
      <c r="B65" s="5">
        <v>2901291000</v>
      </c>
      <c r="C65" s="5" t="s">
        <v>255</v>
      </c>
      <c r="D65" s="5">
        <v>357.4</v>
      </c>
      <c r="E65" s="6">
        <v>25235</v>
      </c>
      <c r="F65" s="7">
        <f t="shared" si="0"/>
        <v>24877.599999999999</v>
      </c>
      <c r="G65" t="str">
        <f>IF(표1[[#This Row],[diff]]&gt;0,"import","export")</f>
        <v>import</v>
      </c>
      <c r="H65" s="15">
        <f>ABS(표1[[#This Row],[export]]-표1[[#This Row],[import]])/(표1[[#This Row],[export]]+표1[[#This Row],[import]])</f>
        <v>0.97206983323174057</v>
      </c>
    </row>
    <row r="66" spans="1:8" x14ac:dyDescent="0.3">
      <c r="A66" s="5">
        <v>2020</v>
      </c>
      <c r="B66" s="5">
        <v>2901291000</v>
      </c>
      <c r="C66" s="5" t="s">
        <v>255</v>
      </c>
      <c r="D66" s="5">
        <v>252.2</v>
      </c>
      <c r="E66" s="6">
        <v>24759.4</v>
      </c>
      <c r="F66" s="7">
        <f t="shared" ref="F66:F129" si="1">E66-D66</f>
        <v>24507.200000000001</v>
      </c>
      <c r="G66" t="str">
        <f>IF(표1[[#This Row],[diff]]&gt;0,"import","export")</f>
        <v>import</v>
      </c>
      <c r="H66" s="15">
        <f>ABS(표1[[#This Row],[export]]-표1[[#This Row],[import]])/(표1[[#This Row],[export]]+표1[[#This Row],[import]])</f>
        <v>0.97983335732220245</v>
      </c>
    </row>
    <row r="67" spans="1:8" x14ac:dyDescent="0.3">
      <c r="A67" s="5">
        <v>2021</v>
      </c>
      <c r="B67" s="5">
        <v>2901291000</v>
      </c>
      <c r="C67" s="5" t="s">
        <v>255</v>
      </c>
      <c r="D67" s="5">
        <v>353.5</v>
      </c>
      <c r="E67" s="6">
        <v>56025.5</v>
      </c>
      <c r="F67" s="7">
        <f t="shared" si="1"/>
        <v>55672</v>
      </c>
      <c r="G67" t="str">
        <f>IF(표1[[#This Row],[diff]]&gt;0,"import","export")</f>
        <v>import</v>
      </c>
      <c r="H67" s="15">
        <f>ABS(표1[[#This Row],[export]]-표1[[#This Row],[import]])/(표1[[#This Row],[export]]+표1[[#This Row],[import]])</f>
        <v>0.98745986980968092</v>
      </c>
    </row>
    <row r="68" spans="1:8" x14ac:dyDescent="0.3">
      <c r="A68" s="5">
        <v>2022</v>
      </c>
      <c r="B68" s="5">
        <v>2901291000</v>
      </c>
      <c r="C68" s="5" t="s">
        <v>255</v>
      </c>
      <c r="D68" s="5">
        <v>0.1</v>
      </c>
      <c r="E68" s="6">
        <v>60866.5</v>
      </c>
      <c r="F68" s="7">
        <f t="shared" si="1"/>
        <v>60866.400000000001</v>
      </c>
      <c r="G68" t="str">
        <f>IF(표1[[#This Row],[diff]]&gt;0,"import","export")</f>
        <v>import</v>
      </c>
      <c r="H68" s="15">
        <f>ABS(표1[[#This Row],[export]]-표1[[#This Row],[import]])/(표1[[#This Row],[export]]+표1[[#This Row],[import]])</f>
        <v>0.99999671412564528</v>
      </c>
    </row>
    <row r="69" spans="1:8" x14ac:dyDescent="0.3">
      <c r="A69" s="5">
        <v>2023</v>
      </c>
      <c r="B69" s="5">
        <v>2901291000</v>
      </c>
      <c r="C69" s="5" t="s">
        <v>255</v>
      </c>
      <c r="D69" s="5">
        <v>15.1</v>
      </c>
      <c r="E69" s="6">
        <v>38050</v>
      </c>
      <c r="F69" s="7">
        <f t="shared" si="1"/>
        <v>38034.9</v>
      </c>
      <c r="G69" t="str">
        <f>IF(표1[[#This Row],[diff]]&gt;0,"import","export")</f>
        <v>import</v>
      </c>
      <c r="H69" s="15">
        <f>ABS(표1[[#This Row],[export]]-표1[[#This Row],[import]])/(표1[[#This Row],[export]]+표1[[#This Row],[import]])</f>
        <v>0.99920662233909807</v>
      </c>
    </row>
    <row r="70" spans="1:8" x14ac:dyDescent="0.3">
      <c r="A70" s="5">
        <v>2024</v>
      </c>
      <c r="B70" s="5">
        <v>2901291000</v>
      </c>
      <c r="C70" s="5" t="s">
        <v>255</v>
      </c>
      <c r="D70" s="5">
        <v>109.2</v>
      </c>
      <c r="E70" s="6">
        <v>38477.699999999997</v>
      </c>
      <c r="F70" s="7">
        <f t="shared" si="1"/>
        <v>38368.5</v>
      </c>
      <c r="G70" t="str">
        <f>IF(표1[[#This Row],[diff]]&gt;0,"import","export")</f>
        <v>import</v>
      </c>
      <c r="H70" s="15">
        <f>ABS(표1[[#This Row],[export]]-표1[[#This Row],[import]])/(표1[[#This Row],[export]]+표1[[#This Row],[import]])</f>
        <v>0.99434004804739451</v>
      </c>
    </row>
    <row r="71" spans="1:8" x14ac:dyDescent="0.3">
      <c r="A71" s="5">
        <v>2025</v>
      </c>
      <c r="B71" s="5">
        <v>2901291000</v>
      </c>
      <c r="C71" s="5" t="s">
        <v>255</v>
      </c>
      <c r="D71" s="5">
        <v>20.3</v>
      </c>
      <c r="E71" s="6">
        <v>30211.8</v>
      </c>
      <c r="F71" s="7">
        <f t="shared" si="1"/>
        <v>30191.5</v>
      </c>
      <c r="G71" t="str">
        <f>IF(표1[[#This Row],[diff]]&gt;0,"import","export")</f>
        <v>import</v>
      </c>
      <c r="H71" s="15">
        <f>ABS(표1[[#This Row],[export]]-표1[[#This Row],[import]])/(표1[[#This Row],[export]]+표1[[#This Row],[import]])</f>
        <v>0.99865705657231885</v>
      </c>
    </row>
    <row r="72" spans="1:8" x14ac:dyDescent="0.3">
      <c r="A72" s="5">
        <v>2016</v>
      </c>
      <c r="B72" s="5">
        <v>2901292000</v>
      </c>
      <c r="C72" s="5" t="s">
        <v>256</v>
      </c>
      <c r="D72" s="5">
        <v>0</v>
      </c>
      <c r="E72" s="6">
        <v>59681.599999999999</v>
      </c>
      <c r="F72" s="7">
        <f t="shared" si="1"/>
        <v>59681.599999999999</v>
      </c>
      <c r="G72" t="str">
        <f>IF(표1[[#This Row],[diff]]&gt;0,"import","export")</f>
        <v>import</v>
      </c>
      <c r="H72" s="15">
        <f>ABS(표1[[#This Row],[export]]-표1[[#This Row],[import]])/(표1[[#This Row],[export]]+표1[[#This Row],[import]])</f>
        <v>1</v>
      </c>
    </row>
    <row r="73" spans="1:8" x14ac:dyDescent="0.3">
      <c r="A73" s="5">
        <v>2017</v>
      </c>
      <c r="B73" s="5">
        <v>2901292000</v>
      </c>
      <c r="C73" s="5" t="s">
        <v>256</v>
      </c>
      <c r="D73" s="5">
        <v>11.2</v>
      </c>
      <c r="E73" s="6">
        <v>68026.100000000006</v>
      </c>
      <c r="F73" s="7">
        <f t="shared" si="1"/>
        <v>68014.900000000009</v>
      </c>
      <c r="G73" t="str">
        <f>IF(표1[[#This Row],[diff]]&gt;0,"import","export")</f>
        <v>import</v>
      </c>
      <c r="H73" s="15">
        <f>ABS(표1[[#This Row],[export]]-표1[[#This Row],[import]])/(표1[[#This Row],[export]]+표1[[#This Row],[import]])</f>
        <v>0.99967076882827521</v>
      </c>
    </row>
    <row r="74" spans="1:8" x14ac:dyDescent="0.3">
      <c r="A74" s="5">
        <v>2018</v>
      </c>
      <c r="B74" s="5">
        <v>2901292000</v>
      </c>
      <c r="C74" s="5" t="s">
        <v>256</v>
      </c>
      <c r="D74" s="5">
        <v>0</v>
      </c>
      <c r="E74" s="6">
        <v>64239.1</v>
      </c>
      <c r="F74" s="7">
        <f t="shared" si="1"/>
        <v>64239.1</v>
      </c>
      <c r="G74" t="str">
        <f>IF(표1[[#This Row],[diff]]&gt;0,"import","export")</f>
        <v>import</v>
      </c>
      <c r="H74" s="15">
        <f>ABS(표1[[#This Row],[export]]-표1[[#This Row],[import]])/(표1[[#This Row],[export]]+표1[[#This Row],[import]])</f>
        <v>1</v>
      </c>
    </row>
    <row r="75" spans="1:8" x14ac:dyDescent="0.3">
      <c r="A75" s="5">
        <v>2019</v>
      </c>
      <c r="B75" s="5">
        <v>2901292000</v>
      </c>
      <c r="C75" s="5" t="s">
        <v>256</v>
      </c>
      <c r="D75" s="5">
        <v>24</v>
      </c>
      <c r="E75" s="6">
        <v>101336.8</v>
      </c>
      <c r="F75" s="7">
        <f t="shared" si="1"/>
        <v>101312.8</v>
      </c>
      <c r="G75" t="str">
        <f>IF(표1[[#This Row],[diff]]&gt;0,"import","export")</f>
        <v>import</v>
      </c>
      <c r="H75" s="15">
        <f>ABS(표1[[#This Row],[export]]-표1[[#This Row],[import]])/(표1[[#This Row],[export]]+표1[[#This Row],[import]])</f>
        <v>0.9995264441480336</v>
      </c>
    </row>
    <row r="76" spans="1:8" x14ac:dyDescent="0.3">
      <c r="A76" s="5">
        <v>2020</v>
      </c>
      <c r="B76" s="5">
        <v>2901292000</v>
      </c>
      <c r="C76" s="5" t="s">
        <v>256</v>
      </c>
      <c r="D76" s="5">
        <v>98.1</v>
      </c>
      <c r="E76" s="6">
        <v>89540.7</v>
      </c>
      <c r="F76" s="7">
        <f t="shared" si="1"/>
        <v>89442.599999999991</v>
      </c>
      <c r="G76" t="str">
        <f>IF(표1[[#This Row],[diff]]&gt;0,"import","export")</f>
        <v>import</v>
      </c>
      <c r="H76" s="15">
        <f>ABS(표1[[#This Row],[export]]-표1[[#This Row],[import]])/(표1[[#This Row],[export]]+표1[[#This Row],[import]])</f>
        <v>0.99781121567892461</v>
      </c>
    </row>
    <row r="77" spans="1:8" x14ac:dyDescent="0.3">
      <c r="A77" s="5">
        <v>2021</v>
      </c>
      <c r="B77" s="5">
        <v>2901292000</v>
      </c>
      <c r="C77" s="5" t="s">
        <v>256</v>
      </c>
      <c r="D77" s="5">
        <v>123.9</v>
      </c>
      <c r="E77" s="6">
        <v>87481.9</v>
      </c>
      <c r="F77" s="7">
        <f t="shared" si="1"/>
        <v>87358</v>
      </c>
      <c r="G77" t="str">
        <f>IF(표1[[#This Row],[diff]]&gt;0,"import","export")</f>
        <v>import</v>
      </c>
      <c r="H77" s="15">
        <f>ABS(표1[[#This Row],[export]]-표1[[#This Row],[import]])/(표1[[#This Row],[export]]+표1[[#This Row],[import]])</f>
        <v>0.99717142015711302</v>
      </c>
    </row>
    <row r="78" spans="1:8" x14ac:dyDescent="0.3">
      <c r="A78" s="5">
        <v>2022</v>
      </c>
      <c r="B78" s="5">
        <v>2901292000</v>
      </c>
      <c r="C78" s="5" t="s">
        <v>256</v>
      </c>
      <c r="D78" s="5">
        <v>147.5</v>
      </c>
      <c r="E78" s="6">
        <v>111144.3</v>
      </c>
      <c r="F78" s="7">
        <f t="shared" si="1"/>
        <v>110996.8</v>
      </c>
      <c r="G78" t="str">
        <f>IF(표1[[#This Row],[diff]]&gt;0,"import","export")</f>
        <v>import</v>
      </c>
      <c r="H78" s="15">
        <f>ABS(표1[[#This Row],[export]]-표1[[#This Row],[import]])/(표1[[#This Row],[export]]+표1[[#This Row],[import]])</f>
        <v>0.9973493105511817</v>
      </c>
    </row>
    <row r="79" spans="1:8" x14ac:dyDescent="0.3">
      <c r="A79" s="5">
        <v>2023</v>
      </c>
      <c r="B79" s="5">
        <v>2901292000</v>
      </c>
      <c r="C79" s="5" t="s">
        <v>256</v>
      </c>
      <c r="D79" s="5">
        <v>329.7</v>
      </c>
      <c r="E79" s="6">
        <v>98415.8</v>
      </c>
      <c r="F79" s="7">
        <f t="shared" si="1"/>
        <v>98086.1</v>
      </c>
      <c r="G79" t="str">
        <f>IF(표1[[#This Row],[diff]]&gt;0,"import","export")</f>
        <v>import</v>
      </c>
      <c r="H79" s="15">
        <f>ABS(표1[[#This Row],[export]]-표1[[#This Row],[import]])/(표1[[#This Row],[export]]+표1[[#This Row],[import]])</f>
        <v>0.99332222734200548</v>
      </c>
    </row>
    <row r="80" spans="1:8" x14ac:dyDescent="0.3">
      <c r="A80" s="5">
        <v>2024</v>
      </c>
      <c r="B80" s="5">
        <v>2901292000</v>
      </c>
      <c r="C80" s="5" t="s">
        <v>256</v>
      </c>
      <c r="D80" s="5">
        <v>460.7</v>
      </c>
      <c r="E80" s="6">
        <v>93935.5</v>
      </c>
      <c r="F80" s="7">
        <f t="shared" si="1"/>
        <v>93474.8</v>
      </c>
      <c r="G80" t="str">
        <f>IF(표1[[#This Row],[diff]]&gt;0,"import","export")</f>
        <v>import</v>
      </c>
      <c r="H80" s="15">
        <f>ABS(표1[[#This Row],[export]]-표1[[#This Row],[import]])/(표1[[#This Row],[export]]+표1[[#This Row],[import]])</f>
        <v>0.9902390138586088</v>
      </c>
    </row>
    <row r="81" spans="1:8" x14ac:dyDescent="0.3">
      <c r="A81" s="5">
        <v>2025</v>
      </c>
      <c r="B81" s="5">
        <v>2901292000</v>
      </c>
      <c r="C81" s="5" t="s">
        <v>256</v>
      </c>
      <c r="D81" s="5">
        <v>318.7</v>
      </c>
      <c r="E81" s="6">
        <v>100621.1</v>
      </c>
      <c r="F81" s="7">
        <f t="shared" si="1"/>
        <v>100302.40000000001</v>
      </c>
      <c r="G81" t="str">
        <f>IF(표1[[#This Row],[diff]]&gt;0,"import","export")</f>
        <v>import</v>
      </c>
      <c r="H81" s="15">
        <f>ABS(표1[[#This Row],[export]]-표1[[#This Row],[import]])/(표1[[#This Row],[export]]+표1[[#This Row],[import]])</f>
        <v>0.9936853451265012</v>
      </c>
    </row>
    <row r="82" spans="1:8" x14ac:dyDescent="0.3">
      <c r="A82" s="5">
        <v>2016</v>
      </c>
      <c r="B82" s="5">
        <v>2902110000</v>
      </c>
      <c r="C82" s="5" t="s">
        <v>257</v>
      </c>
      <c r="D82" s="6">
        <v>5573.2</v>
      </c>
      <c r="E82" s="6">
        <v>23710.1</v>
      </c>
      <c r="F82" s="7">
        <f t="shared" si="1"/>
        <v>18136.899999999998</v>
      </c>
      <c r="G82" t="str">
        <f>IF(표1[[#This Row],[diff]]&gt;0,"import","export")</f>
        <v>import</v>
      </c>
      <c r="H82" s="15">
        <f>ABS(표1[[#This Row],[export]]-표1[[#This Row],[import]])/(표1[[#This Row],[export]]+표1[[#This Row],[import]])</f>
        <v>0.61935983990875343</v>
      </c>
    </row>
    <row r="83" spans="1:8" x14ac:dyDescent="0.3">
      <c r="A83" s="5">
        <v>2017</v>
      </c>
      <c r="B83" s="5">
        <v>2902110000</v>
      </c>
      <c r="C83" s="5" t="s">
        <v>257</v>
      </c>
      <c r="D83" s="6">
        <v>5679.1</v>
      </c>
      <c r="E83" s="6">
        <v>40981.1</v>
      </c>
      <c r="F83" s="7">
        <f t="shared" si="1"/>
        <v>35302</v>
      </c>
      <c r="G83" t="str">
        <f>IF(표1[[#This Row],[diff]]&gt;0,"import","export")</f>
        <v>import</v>
      </c>
      <c r="H83" s="15">
        <f>ABS(표1[[#This Row],[export]]-표1[[#This Row],[import]])/(표1[[#This Row],[export]]+표1[[#This Row],[import]])</f>
        <v>0.75657626842576764</v>
      </c>
    </row>
    <row r="84" spans="1:8" x14ac:dyDescent="0.3">
      <c r="A84" s="5">
        <v>2018</v>
      </c>
      <c r="B84" s="5">
        <v>2902110000</v>
      </c>
      <c r="C84" s="5" t="s">
        <v>257</v>
      </c>
      <c r="D84" s="6">
        <v>4657.1000000000004</v>
      </c>
      <c r="E84" s="6">
        <v>72900.5</v>
      </c>
      <c r="F84" s="7">
        <f t="shared" si="1"/>
        <v>68243.399999999994</v>
      </c>
      <c r="G84" t="str">
        <f>IF(표1[[#This Row],[diff]]&gt;0,"import","export")</f>
        <v>import</v>
      </c>
      <c r="H84" s="15">
        <f>ABS(표1[[#This Row],[export]]-표1[[#This Row],[import]])/(표1[[#This Row],[export]]+표1[[#This Row],[import]])</f>
        <v>0.87990603113041133</v>
      </c>
    </row>
    <row r="85" spans="1:8" x14ac:dyDescent="0.3">
      <c r="A85" s="5">
        <v>2019</v>
      </c>
      <c r="B85" s="5">
        <v>2902110000</v>
      </c>
      <c r="C85" s="5" t="s">
        <v>257</v>
      </c>
      <c r="D85" s="6">
        <v>7849.4</v>
      </c>
      <c r="E85" s="6">
        <v>47886.6</v>
      </c>
      <c r="F85" s="7">
        <f t="shared" si="1"/>
        <v>40037.199999999997</v>
      </c>
      <c r="G85" t="str">
        <f>IF(표1[[#This Row],[diff]]&gt;0,"import","export")</f>
        <v>import</v>
      </c>
      <c r="H85" s="15">
        <f>ABS(표1[[#This Row],[export]]-표1[[#This Row],[import]])/(표1[[#This Row],[export]]+표1[[#This Row],[import]])</f>
        <v>0.71833644323238122</v>
      </c>
    </row>
    <row r="86" spans="1:8" x14ac:dyDescent="0.3">
      <c r="A86" s="5">
        <v>2020</v>
      </c>
      <c r="B86" s="5">
        <v>2902110000</v>
      </c>
      <c r="C86" s="5" t="s">
        <v>257</v>
      </c>
      <c r="D86" s="6">
        <v>4328.8</v>
      </c>
      <c r="E86" s="6">
        <v>12540</v>
      </c>
      <c r="F86" s="7">
        <f t="shared" si="1"/>
        <v>8211.2000000000007</v>
      </c>
      <c r="G86" t="str">
        <f>IF(표1[[#This Row],[diff]]&gt;0,"import","export")</f>
        <v>import</v>
      </c>
      <c r="H86" s="15">
        <f>ABS(표1[[#This Row],[export]]-표1[[#This Row],[import]])/(표1[[#This Row],[export]]+표1[[#This Row],[import]])</f>
        <v>0.48676847197192458</v>
      </c>
    </row>
    <row r="87" spans="1:8" x14ac:dyDescent="0.3">
      <c r="A87" s="5">
        <v>2021</v>
      </c>
      <c r="B87" s="5">
        <v>2902110000</v>
      </c>
      <c r="C87" s="5" t="s">
        <v>257</v>
      </c>
      <c r="D87" s="6">
        <v>2527.3000000000002</v>
      </c>
      <c r="E87" s="6">
        <v>36395.800000000003</v>
      </c>
      <c r="F87" s="7">
        <f t="shared" si="1"/>
        <v>33868.5</v>
      </c>
      <c r="G87" t="str">
        <f>IF(표1[[#This Row],[diff]]&gt;0,"import","export")</f>
        <v>import</v>
      </c>
      <c r="H87" s="15">
        <f>ABS(표1[[#This Row],[export]]-표1[[#This Row],[import]])/(표1[[#This Row],[export]]+표1[[#This Row],[import]])</f>
        <v>0.87013881217066458</v>
      </c>
    </row>
    <row r="88" spans="1:8" x14ac:dyDescent="0.3">
      <c r="A88" s="5">
        <v>2022</v>
      </c>
      <c r="B88" s="5">
        <v>2902110000</v>
      </c>
      <c r="C88" s="5" t="s">
        <v>257</v>
      </c>
      <c r="D88" s="6">
        <v>5571.9</v>
      </c>
      <c r="E88" s="6">
        <v>21040.5</v>
      </c>
      <c r="F88" s="7">
        <f t="shared" si="1"/>
        <v>15468.6</v>
      </c>
      <c r="G88" t="str">
        <f>IF(표1[[#This Row],[diff]]&gt;0,"import","export")</f>
        <v>import</v>
      </c>
      <c r="H88" s="15">
        <f>ABS(표1[[#This Row],[export]]-표1[[#This Row],[import]])/(표1[[#This Row],[export]]+표1[[#This Row],[import]])</f>
        <v>0.58125535464670608</v>
      </c>
    </row>
    <row r="89" spans="1:8" x14ac:dyDescent="0.3">
      <c r="A89" s="5">
        <v>2023</v>
      </c>
      <c r="B89" s="5">
        <v>2902110000</v>
      </c>
      <c r="C89" s="5" t="s">
        <v>257</v>
      </c>
      <c r="D89" s="5">
        <v>732.5</v>
      </c>
      <c r="E89" s="6">
        <v>3283</v>
      </c>
      <c r="F89" s="7">
        <f t="shared" si="1"/>
        <v>2550.5</v>
      </c>
      <c r="G89" t="str">
        <f>IF(표1[[#This Row],[diff]]&gt;0,"import","export")</f>
        <v>import</v>
      </c>
      <c r="H89" s="15">
        <f>ABS(표1[[#This Row],[export]]-표1[[#This Row],[import]])/(표1[[#This Row],[export]]+표1[[#This Row],[import]])</f>
        <v>0.63516374050554103</v>
      </c>
    </row>
    <row r="90" spans="1:8" x14ac:dyDescent="0.3">
      <c r="A90" s="5">
        <v>2024</v>
      </c>
      <c r="B90" s="5">
        <v>2902110000</v>
      </c>
      <c r="C90" s="5" t="s">
        <v>257</v>
      </c>
      <c r="D90" s="5">
        <v>462.9</v>
      </c>
      <c r="E90" s="6">
        <v>6204.7</v>
      </c>
      <c r="F90" s="7">
        <f t="shared" si="1"/>
        <v>5741.8</v>
      </c>
      <c r="G90" t="str">
        <f>IF(표1[[#This Row],[diff]]&gt;0,"import","export")</f>
        <v>import</v>
      </c>
      <c r="H90" s="15">
        <f>ABS(표1[[#This Row],[export]]-표1[[#This Row],[import]])/(표1[[#This Row],[export]]+표1[[#This Row],[import]])</f>
        <v>0.86114943907852914</v>
      </c>
    </row>
    <row r="91" spans="1:8" x14ac:dyDescent="0.3">
      <c r="A91" s="5">
        <v>2025</v>
      </c>
      <c r="B91" s="5">
        <v>2902110000</v>
      </c>
      <c r="C91" s="5" t="s">
        <v>257</v>
      </c>
      <c r="D91" s="5">
        <v>648.4</v>
      </c>
      <c r="E91" s="6">
        <v>5154.3</v>
      </c>
      <c r="F91" s="7">
        <f t="shared" si="1"/>
        <v>4505.9000000000005</v>
      </c>
      <c r="G91" t="str">
        <f>IF(표1[[#This Row],[diff]]&gt;0,"import","export")</f>
        <v>import</v>
      </c>
      <c r="H91" s="15">
        <f>ABS(표1[[#This Row],[export]]-표1[[#This Row],[import]])/(표1[[#This Row],[export]]+표1[[#This Row],[import]])</f>
        <v>0.7765178279076983</v>
      </c>
    </row>
    <row r="92" spans="1:8" x14ac:dyDescent="0.3">
      <c r="A92" s="5">
        <v>2016</v>
      </c>
      <c r="B92" s="5">
        <v>2902200000</v>
      </c>
      <c r="C92" s="5" t="s">
        <v>258</v>
      </c>
      <c r="D92" s="6">
        <v>2044769.7</v>
      </c>
      <c r="E92" s="6">
        <v>31277.7</v>
      </c>
      <c r="F92" s="7">
        <f t="shared" si="1"/>
        <v>-2013492</v>
      </c>
      <c r="G92" t="str">
        <f>IF(표1[[#This Row],[diff]]&gt;0,"import","export")</f>
        <v>export</v>
      </c>
      <c r="H92" s="15">
        <f>ABS(표1[[#This Row],[export]]-표1[[#This Row],[import]])/(표1[[#This Row],[export]]+표1[[#This Row],[import]])</f>
        <v>0.96986802902477087</v>
      </c>
    </row>
    <row r="93" spans="1:8" x14ac:dyDescent="0.3">
      <c r="A93" s="5">
        <v>2017</v>
      </c>
      <c r="B93" s="5">
        <v>2902200000</v>
      </c>
      <c r="C93" s="5" t="s">
        <v>258</v>
      </c>
      <c r="D93" s="6">
        <v>2631920</v>
      </c>
      <c r="E93" s="6">
        <v>18002.7</v>
      </c>
      <c r="F93" s="7">
        <f t="shared" si="1"/>
        <v>-2613917.2999999998</v>
      </c>
      <c r="G93" t="str">
        <f>IF(표1[[#This Row],[diff]]&gt;0,"import","export")</f>
        <v>export</v>
      </c>
      <c r="H93" s="15">
        <f>ABS(표1[[#This Row],[export]]-표1[[#This Row],[import]])/(표1[[#This Row],[export]]+표1[[#This Row],[import]])</f>
        <v>0.98641266026363694</v>
      </c>
    </row>
    <row r="94" spans="1:8" x14ac:dyDescent="0.3">
      <c r="A94" s="5">
        <v>2018</v>
      </c>
      <c r="B94" s="5">
        <v>2902200000</v>
      </c>
      <c r="C94" s="5" t="s">
        <v>258</v>
      </c>
      <c r="D94" s="6">
        <v>2569531.7999999998</v>
      </c>
      <c r="E94" s="6">
        <v>41601.9</v>
      </c>
      <c r="F94" s="7">
        <f t="shared" si="1"/>
        <v>-2527929.9</v>
      </c>
      <c r="G94" t="str">
        <f>IF(표1[[#This Row],[diff]]&gt;0,"import","export")</f>
        <v>export</v>
      </c>
      <c r="H94" s="15">
        <f>ABS(표1[[#This Row],[export]]-표1[[#This Row],[import]])/(표1[[#This Row],[export]]+표1[[#This Row],[import]])</f>
        <v>0.96813499055984764</v>
      </c>
    </row>
    <row r="95" spans="1:8" x14ac:dyDescent="0.3">
      <c r="A95" s="5">
        <v>2019</v>
      </c>
      <c r="B95" s="5">
        <v>2902200000</v>
      </c>
      <c r="C95" s="5" t="s">
        <v>258</v>
      </c>
      <c r="D95" s="6">
        <v>2627360</v>
      </c>
      <c r="E95" s="6">
        <v>23452.9</v>
      </c>
      <c r="F95" s="7">
        <f t="shared" si="1"/>
        <v>-2603907.1</v>
      </c>
      <c r="G95" t="str">
        <f>IF(표1[[#This Row],[diff]]&gt;0,"import","export")</f>
        <v>export</v>
      </c>
      <c r="H95" s="15">
        <f>ABS(표1[[#This Row],[export]]-표1[[#This Row],[import]])/(표1[[#This Row],[export]]+표1[[#This Row],[import]])</f>
        <v>0.98230512609924303</v>
      </c>
    </row>
    <row r="96" spans="1:8" x14ac:dyDescent="0.3">
      <c r="A96" s="5">
        <v>2020</v>
      </c>
      <c r="B96" s="5">
        <v>2902200000</v>
      </c>
      <c r="C96" s="5" t="s">
        <v>258</v>
      </c>
      <c r="D96" s="6">
        <v>2220315.2999999998</v>
      </c>
      <c r="E96" s="6">
        <v>58441.5</v>
      </c>
      <c r="F96" s="7">
        <f t="shared" si="1"/>
        <v>-2161873.7999999998</v>
      </c>
      <c r="G96" t="str">
        <f>IF(표1[[#This Row],[diff]]&gt;0,"import","export")</f>
        <v>export</v>
      </c>
      <c r="H96" s="15">
        <f>ABS(표1[[#This Row],[export]]-표1[[#This Row],[import]])/(표1[[#This Row],[export]]+표1[[#This Row],[import]])</f>
        <v>0.94870755843712673</v>
      </c>
    </row>
    <row r="97" spans="1:8" x14ac:dyDescent="0.3">
      <c r="A97" s="5">
        <v>2021</v>
      </c>
      <c r="B97" s="5">
        <v>2902200000</v>
      </c>
      <c r="C97" s="5" t="s">
        <v>258</v>
      </c>
      <c r="D97" s="6">
        <v>2477148.5</v>
      </c>
      <c r="E97" s="6">
        <v>35603.1</v>
      </c>
      <c r="F97" s="7">
        <f t="shared" si="1"/>
        <v>-2441545.4</v>
      </c>
      <c r="G97" t="str">
        <f>IF(표1[[#This Row],[diff]]&gt;0,"import","export")</f>
        <v>export</v>
      </c>
      <c r="H97" s="15">
        <f>ABS(표1[[#This Row],[export]]-표1[[#This Row],[import]])/(표1[[#This Row],[export]]+표1[[#This Row],[import]])</f>
        <v>0.9716620616220083</v>
      </c>
    </row>
    <row r="98" spans="1:8" x14ac:dyDescent="0.3">
      <c r="A98" s="5">
        <v>2022</v>
      </c>
      <c r="B98" s="5">
        <v>2902200000</v>
      </c>
      <c r="C98" s="5" t="s">
        <v>258</v>
      </c>
      <c r="D98" s="6">
        <v>2568608.7000000002</v>
      </c>
      <c r="E98" s="6">
        <v>62920.6</v>
      </c>
      <c r="F98" s="7">
        <f t="shared" si="1"/>
        <v>-2505688.1</v>
      </c>
      <c r="G98" t="str">
        <f>IF(표1[[#This Row],[diff]]&gt;0,"import","export")</f>
        <v>export</v>
      </c>
      <c r="H98" s="15">
        <f>ABS(표1[[#This Row],[export]]-표1[[#This Row],[import]])/(표1[[#This Row],[export]]+표1[[#This Row],[import]])</f>
        <v>0.95217944181734926</v>
      </c>
    </row>
    <row r="99" spans="1:8" x14ac:dyDescent="0.3">
      <c r="A99" s="5">
        <v>2023</v>
      </c>
      <c r="B99" s="5">
        <v>2902200000</v>
      </c>
      <c r="C99" s="5" t="s">
        <v>258</v>
      </c>
      <c r="D99" s="6">
        <v>2919625.7</v>
      </c>
      <c r="E99" s="6">
        <v>66138.899999999994</v>
      </c>
      <c r="F99" s="7">
        <f t="shared" si="1"/>
        <v>-2853486.8000000003</v>
      </c>
      <c r="G99" t="str">
        <f>IF(표1[[#This Row],[diff]]&gt;0,"import","export")</f>
        <v>export</v>
      </c>
      <c r="H99" s="15">
        <f>ABS(표1[[#This Row],[export]]-표1[[#This Row],[import]])/(표1[[#This Row],[export]]+표1[[#This Row],[import]])</f>
        <v>0.95569717719876512</v>
      </c>
    </row>
    <row r="100" spans="1:8" x14ac:dyDescent="0.3">
      <c r="A100" s="5">
        <v>2024</v>
      </c>
      <c r="B100" s="5">
        <v>2902200000</v>
      </c>
      <c r="C100" s="5" t="s">
        <v>258</v>
      </c>
      <c r="D100" s="6">
        <v>3033351.8</v>
      </c>
      <c r="E100" s="6">
        <v>88857.3</v>
      </c>
      <c r="F100" s="7">
        <f t="shared" si="1"/>
        <v>-2944494.5</v>
      </c>
      <c r="G100" t="str">
        <f>IF(표1[[#This Row],[diff]]&gt;0,"import","export")</f>
        <v>export</v>
      </c>
      <c r="H100" s="15">
        <f>ABS(표1[[#This Row],[export]]-표1[[#This Row],[import]])/(표1[[#This Row],[export]]+표1[[#This Row],[import]])</f>
        <v>0.94308049387211135</v>
      </c>
    </row>
    <row r="101" spans="1:8" x14ac:dyDescent="0.3">
      <c r="A101" s="5">
        <v>2025</v>
      </c>
      <c r="B101" s="5">
        <v>2902200000</v>
      </c>
      <c r="C101" s="5" t="s">
        <v>258</v>
      </c>
      <c r="D101" s="6">
        <v>3026351.8</v>
      </c>
      <c r="E101" s="6">
        <v>97976.2</v>
      </c>
      <c r="F101" s="7">
        <f t="shared" si="1"/>
        <v>-2928375.5999999996</v>
      </c>
      <c r="G101" t="str">
        <f>IF(표1[[#This Row],[diff]]&gt;0,"import","export")</f>
        <v>export</v>
      </c>
      <c r="H101" s="15">
        <f>ABS(표1[[#This Row],[export]]-표1[[#This Row],[import]])/(표1[[#This Row],[export]]+표1[[#This Row],[import]])</f>
        <v>0.937281745066459</v>
      </c>
    </row>
    <row r="102" spans="1:8" x14ac:dyDescent="0.3">
      <c r="A102" s="5">
        <v>2016</v>
      </c>
      <c r="B102" s="5">
        <v>2902300000</v>
      </c>
      <c r="C102" s="5" t="s">
        <v>259</v>
      </c>
      <c r="D102" s="6">
        <v>532577.5</v>
      </c>
      <c r="E102" s="6">
        <v>525757.30000000005</v>
      </c>
      <c r="F102" s="7">
        <f t="shared" si="1"/>
        <v>-6820.1999999999534</v>
      </c>
      <c r="G102" t="str">
        <f>IF(표1[[#This Row],[diff]]&gt;0,"import","export")</f>
        <v>export</v>
      </c>
      <c r="H102" s="15">
        <f>ABS(표1[[#This Row],[export]]-표1[[#This Row],[import]])/(표1[[#This Row],[export]]+표1[[#This Row],[import]])</f>
        <v>6.444274533918712E-3</v>
      </c>
    </row>
    <row r="103" spans="1:8" x14ac:dyDescent="0.3">
      <c r="A103" s="5">
        <v>2017</v>
      </c>
      <c r="B103" s="5">
        <v>2902300000</v>
      </c>
      <c r="C103" s="5" t="s">
        <v>259</v>
      </c>
      <c r="D103" s="6">
        <v>360776.3</v>
      </c>
      <c r="E103" s="6">
        <v>736086.3</v>
      </c>
      <c r="F103" s="7">
        <f t="shared" si="1"/>
        <v>375310.00000000006</v>
      </c>
      <c r="G103" t="str">
        <f>IF(표1[[#This Row],[diff]]&gt;0,"import","export")</f>
        <v>import</v>
      </c>
      <c r="H103" s="15">
        <f>ABS(표1[[#This Row],[export]]-표1[[#This Row],[import]])/(표1[[#This Row],[export]]+표1[[#This Row],[import]])</f>
        <v>0.34216683110537277</v>
      </c>
    </row>
    <row r="104" spans="1:8" x14ac:dyDescent="0.3">
      <c r="A104" s="5">
        <v>2018</v>
      </c>
      <c r="B104" s="5">
        <v>2902300000</v>
      </c>
      <c r="C104" s="5" t="s">
        <v>259</v>
      </c>
      <c r="D104" s="6">
        <v>354357.1</v>
      </c>
      <c r="E104" s="6">
        <v>812442.6</v>
      </c>
      <c r="F104" s="7">
        <f t="shared" si="1"/>
        <v>458085.5</v>
      </c>
      <c r="G104" t="str">
        <f>IF(표1[[#This Row],[diff]]&gt;0,"import","export")</f>
        <v>import</v>
      </c>
      <c r="H104" s="15">
        <f>ABS(표1[[#This Row],[export]]-표1[[#This Row],[import]])/(표1[[#This Row],[export]]+표1[[#This Row],[import]])</f>
        <v>0.39259994667465203</v>
      </c>
    </row>
    <row r="105" spans="1:8" x14ac:dyDescent="0.3">
      <c r="A105" s="5">
        <v>2019</v>
      </c>
      <c r="B105" s="5">
        <v>2902300000</v>
      </c>
      <c r="C105" s="5" t="s">
        <v>259</v>
      </c>
      <c r="D105" s="6">
        <v>460275.4</v>
      </c>
      <c r="E105" s="6">
        <v>630015.4</v>
      </c>
      <c r="F105" s="7">
        <f t="shared" si="1"/>
        <v>169740</v>
      </c>
      <c r="G105" t="str">
        <f>IF(표1[[#This Row],[diff]]&gt;0,"import","export")</f>
        <v>import</v>
      </c>
      <c r="H105" s="15">
        <f>ABS(표1[[#This Row],[export]]-표1[[#This Row],[import]])/(표1[[#This Row],[export]]+표1[[#This Row],[import]])</f>
        <v>0.15568323606876255</v>
      </c>
    </row>
    <row r="106" spans="1:8" x14ac:dyDescent="0.3">
      <c r="A106" s="5">
        <v>2020</v>
      </c>
      <c r="B106" s="5">
        <v>2902300000</v>
      </c>
      <c r="C106" s="5" t="s">
        <v>259</v>
      </c>
      <c r="D106" s="6">
        <v>428578.3</v>
      </c>
      <c r="E106" s="6">
        <v>418808.3</v>
      </c>
      <c r="F106" s="7">
        <f t="shared" si="1"/>
        <v>-9770</v>
      </c>
      <c r="G106" t="str">
        <f>IF(표1[[#This Row],[diff]]&gt;0,"import","export")</f>
        <v>export</v>
      </c>
      <c r="H106" s="15">
        <f>ABS(표1[[#This Row],[export]]-표1[[#This Row],[import]])/(표1[[#This Row],[export]]+표1[[#This Row],[import]])</f>
        <v>1.1529566316012077E-2</v>
      </c>
    </row>
    <row r="107" spans="1:8" x14ac:dyDescent="0.3">
      <c r="A107" s="5">
        <v>2021</v>
      </c>
      <c r="B107" s="5">
        <v>2902300000</v>
      </c>
      <c r="C107" s="5" t="s">
        <v>259</v>
      </c>
      <c r="D107" s="6">
        <v>272458</v>
      </c>
      <c r="E107" s="6">
        <v>590298.30000000005</v>
      </c>
      <c r="F107" s="7">
        <f t="shared" si="1"/>
        <v>317840.30000000005</v>
      </c>
      <c r="G107" t="str">
        <f>IF(표1[[#This Row],[diff]]&gt;0,"import","export")</f>
        <v>import</v>
      </c>
      <c r="H107" s="15">
        <f>ABS(표1[[#This Row],[export]]-표1[[#This Row],[import]])/(표1[[#This Row],[export]]+표1[[#This Row],[import]])</f>
        <v>0.36840101892040666</v>
      </c>
    </row>
    <row r="108" spans="1:8" x14ac:dyDescent="0.3">
      <c r="A108" s="5">
        <v>2022</v>
      </c>
      <c r="B108" s="5">
        <v>2902300000</v>
      </c>
      <c r="C108" s="5" t="s">
        <v>259</v>
      </c>
      <c r="D108" s="6">
        <v>504149.4</v>
      </c>
      <c r="E108" s="6">
        <v>603465.4</v>
      </c>
      <c r="F108" s="7">
        <f t="shared" si="1"/>
        <v>99316</v>
      </c>
      <c r="G108" t="str">
        <f>IF(표1[[#This Row],[diff]]&gt;0,"import","export")</f>
        <v>import</v>
      </c>
      <c r="H108" s="15">
        <f>ABS(표1[[#This Row],[export]]-표1[[#This Row],[import]])/(표1[[#This Row],[export]]+표1[[#This Row],[import]])</f>
        <v>8.9666551945676423E-2</v>
      </c>
    </row>
    <row r="109" spans="1:8" x14ac:dyDescent="0.3">
      <c r="A109" s="5">
        <v>2023</v>
      </c>
      <c r="B109" s="5">
        <v>2902300000</v>
      </c>
      <c r="C109" s="5" t="s">
        <v>259</v>
      </c>
      <c r="D109" s="6">
        <v>818967.5</v>
      </c>
      <c r="E109" s="6">
        <v>425103.2</v>
      </c>
      <c r="F109" s="7">
        <f t="shared" si="1"/>
        <v>-393864.3</v>
      </c>
      <c r="G109" t="str">
        <f>IF(표1[[#This Row],[diff]]&gt;0,"import","export")</f>
        <v>export</v>
      </c>
      <c r="H109" s="15">
        <f>ABS(표1[[#This Row],[export]]-표1[[#This Row],[import]])/(표1[[#This Row],[export]]+표1[[#This Row],[import]])</f>
        <v>0.31659318075733156</v>
      </c>
    </row>
    <row r="110" spans="1:8" x14ac:dyDescent="0.3">
      <c r="A110" s="5">
        <v>2024</v>
      </c>
      <c r="B110" s="5">
        <v>2902300000</v>
      </c>
      <c r="C110" s="5" t="s">
        <v>259</v>
      </c>
      <c r="D110" s="6">
        <v>591208.9</v>
      </c>
      <c r="E110" s="6">
        <v>452736.5</v>
      </c>
      <c r="F110" s="7">
        <f t="shared" si="1"/>
        <v>-138472.40000000002</v>
      </c>
      <c r="G110" t="str">
        <f>IF(표1[[#This Row],[diff]]&gt;0,"import","export")</f>
        <v>export</v>
      </c>
      <c r="H110" s="15">
        <f>ABS(표1[[#This Row],[export]]-표1[[#This Row],[import]])/(표1[[#This Row],[export]]+표1[[#This Row],[import]])</f>
        <v>0.13264333556141922</v>
      </c>
    </row>
    <row r="111" spans="1:8" x14ac:dyDescent="0.3">
      <c r="A111" s="5">
        <v>2025</v>
      </c>
      <c r="B111" s="5">
        <v>2902300000</v>
      </c>
      <c r="C111" s="5" t="s">
        <v>259</v>
      </c>
      <c r="D111" s="6">
        <v>535720.4</v>
      </c>
      <c r="E111" s="6">
        <v>610278</v>
      </c>
      <c r="F111" s="7">
        <f t="shared" si="1"/>
        <v>74557.599999999977</v>
      </c>
      <c r="G111" t="str">
        <f>IF(표1[[#This Row],[diff]]&gt;0,"import","export")</f>
        <v>import</v>
      </c>
      <c r="H111" s="15">
        <f>ABS(표1[[#This Row],[export]]-표1[[#This Row],[import]])/(표1[[#This Row],[export]]+표1[[#This Row],[import]])</f>
        <v>6.5059078616514637E-2</v>
      </c>
    </row>
    <row r="112" spans="1:8" x14ac:dyDescent="0.3">
      <c r="A112" s="5">
        <v>2016</v>
      </c>
      <c r="B112" s="5">
        <v>2902410000</v>
      </c>
      <c r="C112" s="5" t="s">
        <v>260</v>
      </c>
      <c r="D112" s="6">
        <v>6682.6</v>
      </c>
      <c r="E112" s="6">
        <v>52699.7</v>
      </c>
      <c r="F112" s="7">
        <f t="shared" si="1"/>
        <v>46017.1</v>
      </c>
      <c r="G112" t="str">
        <f>IF(표1[[#This Row],[diff]]&gt;0,"import","export")</f>
        <v>import</v>
      </c>
      <c r="H112" s="15">
        <f>ABS(표1[[#This Row],[export]]-표1[[#This Row],[import]])/(표1[[#This Row],[export]]+표1[[#This Row],[import]])</f>
        <v>0.77492956655434364</v>
      </c>
    </row>
    <row r="113" spans="1:8" x14ac:dyDescent="0.3">
      <c r="A113" s="5">
        <v>2017</v>
      </c>
      <c r="B113" s="5">
        <v>2902410000</v>
      </c>
      <c r="C113" s="5" t="s">
        <v>260</v>
      </c>
      <c r="D113" s="6">
        <v>48432.4</v>
      </c>
      <c r="E113" s="6">
        <v>28122.5</v>
      </c>
      <c r="F113" s="7">
        <f t="shared" si="1"/>
        <v>-20309.900000000001</v>
      </c>
      <c r="G113" t="str">
        <f>IF(표1[[#This Row],[diff]]&gt;0,"import","export")</f>
        <v>export</v>
      </c>
      <c r="H113" s="15">
        <f>ABS(표1[[#This Row],[export]]-표1[[#This Row],[import]])/(표1[[#This Row],[export]]+표1[[#This Row],[import]])</f>
        <v>0.26529849820194401</v>
      </c>
    </row>
    <row r="114" spans="1:8" x14ac:dyDescent="0.3">
      <c r="A114" s="5">
        <v>2018</v>
      </c>
      <c r="B114" s="5">
        <v>2902410000</v>
      </c>
      <c r="C114" s="5" t="s">
        <v>260</v>
      </c>
      <c r="D114" s="6">
        <v>17326.400000000001</v>
      </c>
      <c r="E114" s="6">
        <v>10340.700000000001</v>
      </c>
      <c r="F114" s="7">
        <f t="shared" si="1"/>
        <v>-6985.7000000000007</v>
      </c>
      <c r="G114" t="str">
        <f>IF(표1[[#This Row],[diff]]&gt;0,"import","export")</f>
        <v>export</v>
      </c>
      <c r="H114" s="15">
        <f>ABS(표1[[#This Row],[export]]-표1[[#This Row],[import]])/(표1[[#This Row],[export]]+표1[[#This Row],[import]])</f>
        <v>0.25249122604103791</v>
      </c>
    </row>
    <row r="115" spans="1:8" x14ac:dyDescent="0.3">
      <c r="A115" s="5">
        <v>2019</v>
      </c>
      <c r="B115" s="5">
        <v>2902410000</v>
      </c>
      <c r="C115" s="5" t="s">
        <v>260</v>
      </c>
      <c r="D115" s="6">
        <v>71036.800000000003</v>
      </c>
      <c r="E115" s="6">
        <v>5032.3</v>
      </c>
      <c r="F115" s="7">
        <f t="shared" si="1"/>
        <v>-66004.5</v>
      </c>
      <c r="G115" t="str">
        <f>IF(표1[[#This Row],[diff]]&gt;0,"import","export")</f>
        <v>export</v>
      </c>
      <c r="H115" s="15">
        <f>ABS(표1[[#This Row],[export]]-표1[[#This Row],[import]])/(표1[[#This Row],[export]]+표1[[#This Row],[import]])</f>
        <v>0.86769134904974554</v>
      </c>
    </row>
    <row r="116" spans="1:8" x14ac:dyDescent="0.3">
      <c r="A116" s="5">
        <v>2020</v>
      </c>
      <c r="B116" s="5">
        <v>2902410000</v>
      </c>
      <c r="C116" s="5" t="s">
        <v>260</v>
      </c>
      <c r="D116" s="6">
        <v>55974.6</v>
      </c>
      <c r="E116" s="6">
        <v>9057.2999999999993</v>
      </c>
      <c r="F116" s="7">
        <f t="shared" si="1"/>
        <v>-46917.3</v>
      </c>
      <c r="G116" t="str">
        <f>IF(표1[[#This Row],[diff]]&gt;0,"import","export")</f>
        <v>export</v>
      </c>
      <c r="H116" s="15">
        <f>ABS(표1[[#This Row],[export]]-표1[[#This Row],[import]])/(표1[[#This Row],[export]]+표1[[#This Row],[import]])</f>
        <v>0.72145054965332411</v>
      </c>
    </row>
    <row r="117" spans="1:8" x14ac:dyDescent="0.3">
      <c r="A117" s="5">
        <v>2021</v>
      </c>
      <c r="B117" s="5">
        <v>2902410000</v>
      </c>
      <c r="C117" s="5" t="s">
        <v>260</v>
      </c>
      <c r="D117" s="6">
        <v>37272.5</v>
      </c>
      <c r="E117" s="6">
        <v>9907.1</v>
      </c>
      <c r="F117" s="7">
        <f t="shared" si="1"/>
        <v>-27365.4</v>
      </c>
      <c r="G117" t="str">
        <f>IF(표1[[#This Row],[diff]]&gt;0,"import","export")</f>
        <v>export</v>
      </c>
      <c r="H117" s="15">
        <f>ABS(표1[[#This Row],[export]]-표1[[#This Row],[import]])/(표1[[#This Row],[export]]+표1[[#This Row],[import]])</f>
        <v>0.58002611298103424</v>
      </c>
    </row>
    <row r="118" spans="1:8" x14ac:dyDescent="0.3">
      <c r="A118" s="5">
        <v>2022</v>
      </c>
      <c r="B118" s="5">
        <v>2902410000</v>
      </c>
      <c r="C118" s="5" t="s">
        <v>260</v>
      </c>
      <c r="D118" s="6">
        <v>86293.2</v>
      </c>
      <c r="E118" s="6">
        <v>5984.5</v>
      </c>
      <c r="F118" s="7">
        <f t="shared" si="1"/>
        <v>-80308.7</v>
      </c>
      <c r="G118" t="str">
        <f>IF(표1[[#This Row],[diff]]&gt;0,"import","export")</f>
        <v>export</v>
      </c>
      <c r="H118" s="15">
        <f>ABS(표1[[#This Row],[export]]-표1[[#This Row],[import]])/(표1[[#This Row],[export]]+표1[[#This Row],[import]])</f>
        <v>0.8702936895913097</v>
      </c>
    </row>
    <row r="119" spans="1:8" x14ac:dyDescent="0.3">
      <c r="A119" s="5">
        <v>2023</v>
      </c>
      <c r="B119" s="5">
        <v>2902410000</v>
      </c>
      <c r="C119" s="5" t="s">
        <v>260</v>
      </c>
      <c r="D119" s="6">
        <v>116889</v>
      </c>
      <c r="E119" s="6">
        <v>20819.599999999999</v>
      </c>
      <c r="F119" s="7">
        <f t="shared" si="1"/>
        <v>-96069.4</v>
      </c>
      <c r="G119" t="str">
        <f>IF(표1[[#This Row],[diff]]&gt;0,"import","export")</f>
        <v>export</v>
      </c>
      <c r="H119" s="15">
        <f>ABS(표1[[#This Row],[export]]-표1[[#This Row],[import]])/(표1[[#This Row],[export]]+표1[[#This Row],[import]])</f>
        <v>0.69762818008461336</v>
      </c>
    </row>
    <row r="120" spans="1:8" x14ac:dyDescent="0.3">
      <c r="A120" s="5">
        <v>2024</v>
      </c>
      <c r="B120" s="5">
        <v>2902410000</v>
      </c>
      <c r="C120" s="5" t="s">
        <v>260</v>
      </c>
      <c r="D120" s="6">
        <v>87465.2</v>
      </c>
      <c r="E120" s="6">
        <v>7779.2</v>
      </c>
      <c r="F120" s="7">
        <f t="shared" si="1"/>
        <v>-79686</v>
      </c>
      <c r="G120" t="str">
        <f>IF(표1[[#This Row],[diff]]&gt;0,"import","export")</f>
        <v>export</v>
      </c>
      <c r="H120" s="15">
        <f>ABS(표1[[#This Row],[export]]-표1[[#This Row],[import]])/(표1[[#This Row],[export]]+표1[[#This Row],[import]])</f>
        <v>0.83664761392795806</v>
      </c>
    </row>
    <row r="121" spans="1:8" x14ac:dyDescent="0.3">
      <c r="A121" s="5">
        <v>2025</v>
      </c>
      <c r="B121" s="5">
        <v>2902410000</v>
      </c>
      <c r="C121" s="5" t="s">
        <v>260</v>
      </c>
      <c r="D121" s="6">
        <v>90993.3</v>
      </c>
      <c r="E121" s="6">
        <v>3918.1</v>
      </c>
      <c r="F121" s="7">
        <f t="shared" si="1"/>
        <v>-87075.199999999997</v>
      </c>
      <c r="G121" t="str">
        <f>IF(표1[[#This Row],[diff]]&gt;0,"import","export")</f>
        <v>export</v>
      </c>
      <c r="H121" s="15">
        <f>ABS(표1[[#This Row],[export]]-표1[[#This Row],[import]])/(표1[[#This Row],[export]]+표1[[#This Row],[import]])</f>
        <v>0.9174366830538796</v>
      </c>
    </row>
    <row r="122" spans="1:8" x14ac:dyDescent="0.3">
      <c r="A122" s="5">
        <v>2016</v>
      </c>
      <c r="B122" s="5">
        <v>2902420000</v>
      </c>
      <c r="C122" s="5" t="s">
        <v>261</v>
      </c>
      <c r="D122" s="5">
        <v>0</v>
      </c>
      <c r="E122" s="6">
        <v>47128.7</v>
      </c>
      <c r="F122" s="7">
        <f t="shared" si="1"/>
        <v>47128.7</v>
      </c>
      <c r="G122" t="str">
        <f>IF(표1[[#This Row],[diff]]&gt;0,"import","export")</f>
        <v>import</v>
      </c>
      <c r="H122" s="15">
        <f>ABS(표1[[#This Row],[export]]-표1[[#This Row],[import]])/(표1[[#This Row],[export]]+표1[[#This Row],[import]])</f>
        <v>1</v>
      </c>
    </row>
    <row r="123" spans="1:8" x14ac:dyDescent="0.3">
      <c r="A123" s="5">
        <v>2017</v>
      </c>
      <c r="B123" s="5">
        <v>2902420000</v>
      </c>
      <c r="C123" s="5" t="s">
        <v>261</v>
      </c>
      <c r="D123" s="5">
        <v>0</v>
      </c>
      <c r="E123" s="6">
        <v>87975.7</v>
      </c>
      <c r="F123" s="7">
        <f t="shared" si="1"/>
        <v>87975.7</v>
      </c>
      <c r="G123" t="str">
        <f>IF(표1[[#This Row],[diff]]&gt;0,"import","export")</f>
        <v>import</v>
      </c>
      <c r="H123" s="15">
        <f>ABS(표1[[#This Row],[export]]-표1[[#This Row],[import]])/(표1[[#This Row],[export]]+표1[[#This Row],[import]])</f>
        <v>1</v>
      </c>
    </row>
    <row r="124" spans="1:8" x14ac:dyDescent="0.3">
      <c r="A124" s="5">
        <v>2018</v>
      </c>
      <c r="B124" s="5">
        <v>2902420000</v>
      </c>
      <c r="C124" s="5" t="s">
        <v>261</v>
      </c>
      <c r="D124" s="5">
        <v>0.2</v>
      </c>
      <c r="E124" s="6">
        <v>80009.8</v>
      </c>
      <c r="F124" s="7">
        <f t="shared" si="1"/>
        <v>80009.600000000006</v>
      </c>
      <c r="G124" t="str">
        <f>IF(표1[[#This Row],[diff]]&gt;0,"import","export")</f>
        <v>import</v>
      </c>
      <c r="H124" s="15">
        <f>ABS(표1[[#This Row],[export]]-표1[[#This Row],[import]])/(표1[[#This Row],[export]]+표1[[#This Row],[import]])</f>
        <v>0.99999500062492197</v>
      </c>
    </row>
    <row r="125" spans="1:8" x14ac:dyDescent="0.3">
      <c r="A125" s="5">
        <v>2019</v>
      </c>
      <c r="B125" s="5">
        <v>2902420000</v>
      </c>
      <c r="C125" s="5" t="s">
        <v>261</v>
      </c>
      <c r="D125" s="6">
        <v>3781.3</v>
      </c>
      <c r="E125" s="6">
        <v>67839</v>
      </c>
      <c r="F125" s="7">
        <f t="shared" si="1"/>
        <v>64057.7</v>
      </c>
      <c r="G125" t="str">
        <f>IF(표1[[#This Row],[diff]]&gt;0,"import","export")</f>
        <v>import</v>
      </c>
      <c r="H125" s="15">
        <f>ABS(표1[[#This Row],[export]]-표1[[#This Row],[import]])/(표1[[#This Row],[export]]+표1[[#This Row],[import]])</f>
        <v>0.8944070326429796</v>
      </c>
    </row>
    <row r="126" spans="1:8" x14ac:dyDescent="0.3">
      <c r="A126" s="5">
        <v>2020</v>
      </c>
      <c r="B126" s="5">
        <v>2902420000</v>
      </c>
      <c r="C126" s="5" t="s">
        <v>261</v>
      </c>
      <c r="D126" s="6">
        <v>8939.7000000000007</v>
      </c>
      <c r="E126" s="6">
        <v>33301.699999999997</v>
      </c>
      <c r="F126" s="7">
        <f t="shared" si="1"/>
        <v>24361.999999999996</v>
      </c>
      <c r="G126" t="str">
        <f>IF(표1[[#This Row],[diff]]&gt;0,"import","export")</f>
        <v>import</v>
      </c>
      <c r="H126" s="15">
        <f>ABS(표1[[#This Row],[export]]-표1[[#This Row],[import]])/(표1[[#This Row],[export]]+표1[[#This Row],[import]])</f>
        <v>0.57673277874312878</v>
      </c>
    </row>
    <row r="127" spans="1:8" x14ac:dyDescent="0.3">
      <c r="A127" s="5">
        <v>2021</v>
      </c>
      <c r="B127" s="5">
        <v>2902420000</v>
      </c>
      <c r="C127" s="5" t="s">
        <v>261</v>
      </c>
      <c r="D127" s="6">
        <v>17305.900000000001</v>
      </c>
      <c r="E127" s="6">
        <v>22698.1</v>
      </c>
      <c r="F127" s="7">
        <f t="shared" si="1"/>
        <v>5392.1999999999971</v>
      </c>
      <c r="G127" t="str">
        <f>IF(표1[[#This Row],[diff]]&gt;0,"import","export")</f>
        <v>import</v>
      </c>
      <c r="H127" s="15">
        <f>ABS(표1[[#This Row],[export]]-표1[[#This Row],[import]])/(표1[[#This Row],[export]]+표1[[#This Row],[import]])</f>
        <v>0.13479152084791513</v>
      </c>
    </row>
    <row r="128" spans="1:8" x14ac:dyDescent="0.3">
      <c r="A128" s="5">
        <v>2022</v>
      </c>
      <c r="B128" s="5">
        <v>2902420000</v>
      </c>
      <c r="C128" s="5" t="s">
        <v>261</v>
      </c>
      <c r="D128" s="6">
        <v>6845.2</v>
      </c>
      <c r="E128" s="6">
        <v>13580.7</v>
      </c>
      <c r="F128" s="7">
        <f t="shared" si="1"/>
        <v>6735.5000000000009</v>
      </c>
      <c r="G128" t="str">
        <f>IF(표1[[#This Row],[diff]]&gt;0,"import","export")</f>
        <v>import</v>
      </c>
      <c r="H128" s="15">
        <f>ABS(표1[[#This Row],[export]]-표1[[#This Row],[import]])/(표1[[#This Row],[export]]+표1[[#This Row],[import]])</f>
        <v>0.32975291174440297</v>
      </c>
    </row>
    <row r="129" spans="1:8" x14ac:dyDescent="0.3">
      <c r="A129" s="5">
        <v>2023</v>
      </c>
      <c r="B129" s="5">
        <v>2902420000</v>
      </c>
      <c r="C129" s="5" t="s">
        <v>261</v>
      </c>
      <c r="D129" s="6">
        <v>4195.5</v>
      </c>
      <c r="E129" s="6">
        <v>20604.8</v>
      </c>
      <c r="F129" s="7">
        <f t="shared" si="1"/>
        <v>16409.3</v>
      </c>
      <c r="G129" t="str">
        <f>IF(표1[[#This Row],[diff]]&gt;0,"import","export")</f>
        <v>import</v>
      </c>
      <c r="H129" s="15">
        <f>ABS(표1[[#This Row],[export]]-표1[[#This Row],[import]])/(표1[[#This Row],[export]]+표1[[#This Row],[import]])</f>
        <v>0.66165731866146782</v>
      </c>
    </row>
    <row r="130" spans="1:8" x14ac:dyDescent="0.3">
      <c r="A130" s="5">
        <v>2024</v>
      </c>
      <c r="B130" s="5">
        <v>2902420000</v>
      </c>
      <c r="C130" s="5" t="s">
        <v>261</v>
      </c>
      <c r="D130" s="5">
        <v>0</v>
      </c>
      <c r="E130" s="6">
        <v>14425.7</v>
      </c>
      <c r="F130" s="7">
        <f t="shared" ref="F130:F193" si="2">E130-D130</f>
        <v>14425.7</v>
      </c>
      <c r="G130" t="str">
        <f>IF(표1[[#This Row],[diff]]&gt;0,"import","export")</f>
        <v>import</v>
      </c>
      <c r="H130" s="15">
        <f>ABS(표1[[#This Row],[export]]-표1[[#This Row],[import]])/(표1[[#This Row],[export]]+표1[[#This Row],[import]])</f>
        <v>1</v>
      </c>
    </row>
    <row r="131" spans="1:8" x14ac:dyDescent="0.3">
      <c r="A131" s="5">
        <v>2025</v>
      </c>
      <c r="B131" s="5">
        <v>2902420000</v>
      </c>
      <c r="C131" s="5" t="s">
        <v>261</v>
      </c>
      <c r="D131" s="5">
        <v>120</v>
      </c>
      <c r="E131" s="5">
        <v>0.1</v>
      </c>
      <c r="F131" s="7">
        <f t="shared" si="2"/>
        <v>-119.9</v>
      </c>
      <c r="G131" t="str">
        <f>IF(표1[[#This Row],[diff]]&gt;0,"import","export")</f>
        <v>export</v>
      </c>
      <c r="H131" s="15">
        <f>ABS(표1[[#This Row],[export]]-표1[[#This Row],[import]])/(표1[[#This Row],[export]]+표1[[#This Row],[import]])</f>
        <v>0.99833472106577859</v>
      </c>
    </row>
    <row r="132" spans="1:8" x14ac:dyDescent="0.3">
      <c r="A132" s="5">
        <v>2016</v>
      </c>
      <c r="B132" s="5">
        <v>2902430000</v>
      </c>
      <c r="C132" s="5" t="s">
        <v>262</v>
      </c>
      <c r="D132" s="6">
        <v>6434612.2000000002</v>
      </c>
      <c r="E132" s="6">
        <v>43589.7</v>
      </c>
      <c r="F132" s="7">
        <f t="shared" si="2"/>
        <v>-6391022.5</v>
      </c>
      <c r="G132" t="str">
        <f>IF(표1[[#This Row],[diff]]&gt;0,"import","export")</f>
        <v>export</v>
      </c>
      <c r="H132" s="15">
        <f>ABS(표1[[#This Row],[export]]-표1[[#This Row],[import]])/(표1[[#This Row],[export]]+표1[[#This Row],[import]])</f>
        <v>0.98654265468323854</v>
      </c>
    </row>
    <row r="133" spans="1:8" x14ac:dyDescent="0.3">
      <c r="A133" s="5">
        <v>2017</v>
      </c>
      <c r="B133" s="5">
        <v>2902430000</v>
      </c>
      <c r="C133" s="5" t="s">
        <v>262</v>
      </c>
      <c r="D133" s="6">
        <v>7315353.0999999996</v>
      </c>
      <c r="E133" s="6">
        <v>24764.2</v>
      </c>
      <c r="F133" s="7">
        <f t="shared" si="2"/>
        <v>-7290588.8999999994</v>
      </c>
      <c r="G133" t="str">
        <f>IF(표1[[#This Row],[diff]]&gt;0,"import","export")</f>
        <v>export</v>
      </c>
      <c r="H133" s="15">
        <f>ABS(표1[[#This Row],[export]]-표1[[#This Row],[import]])/(표1[[#This Row],[export]]+표1[[#This Row],[import]])</f>
        <v>0.99325236941376938</v>
      </c>
    </row>
    <row r="134" spans="1:8" x14ac:dyDescent="0.3">
      <c r="A134" s="5">
        <v>2018</v>
      </c>
      <c r="B134" s="5">
        <v>2902430000</v>
      </c>
      <c r="C134" s="5" t="s">
        <v>262</v>
      </c>
      <c r="D134" s="6">
        <v>7383514.7000000002</v>
      </c>
      <c r="E134" s="6">
        <v>24511.599999999999</v>
      </c>
      <c r="F134" s="7">
        <f t="shared" si="2"/>
        <v>-7359003.1000000006</v>
      </c>
      <c r="G134" t="str">
        <f>IF(표1[[#This Row],[diff]]&gt;0,"import","export")</f>
        <v>export</v>
      </c>
      <c r="H134" s="15">
        <f>ABS(표1[[#This Row],[export]]-표1[[#This Row],[import]])/(표1[[#This Row],[export]]+표1[[#This Row],[import]])</f>
        <v>0.99338242090204254</v>
      </c>
    </row>
    <row r="135" spans="1:8" x14ac:dyDescent="0.3">
      <c r="A135" s="5">
        <v>2019</v>
      </c>
      <c r="B135" s="5">
        <v>2902430000</v>
      </c>
      <c r="C135" s="5" t="s">
        <v>262</v>
      </c>
      <c r="D135" s="6">
        <v>7032497.4000000004</v>
      </c>
      <c r="E135" s="6">
        <v>20001.7</v>
      </c>
      <c r="F135" s="7">
        <f t="shared" si="2"/>
        <v>-7012495.7000000002</v>
      </c>
      <c r="G135" t="str">
        <f>IF(표1[[#This Row],[diff]]&gt;0,"import","export")</f>
        <v>export</v>
      </c>
      <c r="H135" s="15">
        <f>ABS(표1[[#This Row],[export]]-표1[[#This Row],[import]])/(표1[[#This Row],[export]]+표1[[#This Row],[import]])</f>
        <v>0.99432776957036406</v>
      </c>
    </row>
    <row r="136" spans="1:8" x14ac:dyDescent="0.3">
      <c r="A136" s="5">
        <v>2020</v>
      </c>
      <c r="B136" s="5">
        <v>2902430000</v>
      </c>
      <c r="C136" s="5" t="s">
        <v>262</v>
      </c>
      <c r="D136" s="6">
        <v>6075091.7000000002</v>
      </c>
      <c r="E136" s="6">
        <v>10003</v>
      </c>
      <c r="F136" s="7">
        <f t="shared" si="2"/>
        <v>-6065088.7000000002</v>
      </c>
      <c r="G136" t="str">
        <f>IF(표1[[#This Row],[diff]]&gt;0,"import","export")</f>
        <v>export</v>
      </c>
      <c r="H136" s="15">
        <f>ABS(표1[[#This Row],[export]]-표1[[#This Row],[import]])/(표1[[#This Row],[export]]+표1[[#This Row],[import]])</f>
        <v>0.99671229438713582</v>
      </c>
    </row>
    <row r="137" spans="1:8" x14ac:dyDescent="0.3">
      <c r="A137" s="5">
        <v>2021</v>
      </c>
      <c r="B137" s="5">
        <v>2902430000</v>
      </c>
      <c r="C137" s="5" t="s">
        <v>262</v>
      </c>
      <c r="D137" s="6">
        <v>6176790</v>
      </c>
      <c r="E137" s="6">
        <v>14268.2</v>
      </c>
      <c r="F137" s="7">
        <f t="shared" si="2"/>
        <v>-6162521.7999999998</v>
      </c>
      <c r="G137" t="str">
        <f>IF(표1[[#This Row],[diff]]&gt;0,"import","export")</f>
        <v>export</v>
      </c>
      <c r="H137" s="15">
        <f>ABS(표1[[#This Row],[export]]-표1[[#This Row],[import]])/(표1[[#This Row],[export]]+표1[[#This Row],[import]])</f>
        <v>0.99539070719768064</v>
      </c>
    </row>
    <row r="138" spans="1:8" x14ac:dyDescent="0.3">
      <c r="A138" s="5">
        <v>2022</v>
      </c>
      <c r="B138" s="5">
        <v>2902430000</v>
      </c>
      <c r="C138" s="5" t="s">
        <v>262</v>
      </c>
      <c r="D138" s="6">
        <v>5252790.7</v>
      </c>
      <c r="E138" s="6">
        <v>29015.8</v>
      </c>
      <c r="F138" s="7">
        <f t="shared" si="2"/>
        <v>-5223774.9000000004</v>
      </c>
      <c r="G138" t="str">
        <f>IF(표1[[#This Row],[diff]]&gt;0,"import","export")</f>
        <v>export</v>
      </c>
      <c r="H138" s="15">
        <f>ABS(표1[[#This Row],[export]]-표1[[#This Row],[import]])/(표1[[#This Row],[export]]+표1[[#This Row],[import]])</f>
        <v>0.98901292578590305</v>
      </c>
    </row>
    <row r="139" spans="1:8" x14ac:dyDescent="0.3">
      <c r="A139" s="5">
        <v>2023</v>
      </c>
      <c r="B139" s="5">
        <v>2902430000</v>
      </c>
      <c r="C139" s="5" t="s">
        <v>262</v>
      </c>
      <c r="D139" s="6">
        <v>4857276.5999999996</v>
      </c>
      <c r="E139" s="6">
        <v>54223</v>
      </c>
      <c r="F139" s="7">
        <f t="shared" si="2"/>
        <v>-4803053.5999999996</v>
      </c>
      <c r="G139" t="str">
        <f>IF(표1[[#This Row],[diff]]&gt;0,"import","export")</f>
        <v>export</v>
      </c>
      <c r="H139" s="15">
        <f>ABS(표1[[#This Row],[export]]-표1[[#This Row],[import]])/(표1[[#This Row],[export]]+표1[[#This Row],[import]])</f>
        <v>0.97791998191346696</v>
      </c>
    </row>
    <row r="140" spans="1:8" x14ac:dyDescent="0.3">
      <c r="A140" s="5">
        <v>2024</v>
      </c>
      <c r="B140" s="5">
        <v>2902430000</v>
      </c>
      <c r="C140" s="5" t="s">
        <v>262</v>
      </c>
      <c r="D140" s="6">
        <v>4900754.3</v>
      </c>
      <c r="E140" s="6">
        <v>74178</v>
      </c>
      <c r="F140" s="7">
        <f t="shared" si="2"/>
        <v>-4826576.3</v>
      </c>
      <c r="G140" t="str">
        <f>IF(표1[[#This Row],[diff]]&gt;0,"import","export")</f>
        <v>export</v>
      </c>
      <c r="H140" s="15">
        <f>ABS(표1[[#This Row],[export]]-표1[[#This Row],[import]])/(표1[[#This Row],[export]]+표1[[#This Row],[import]])</f>
        <v>0.97017929269107839</v>
      </c>
    </row>
    <row r="141" spans="1:8" x14ac:dyDescent="0.3">
      <c r="A141" s="5">
        <v>2025</v>
      </c>
      <c r="B141" s="5">
        <v>2902430000</v>
      </c>
      <c r="C141" s="5" t="s">
        <v>262</v>
      </c>
      <c r="D141" s="6">
        <v>4939749.5999999996</v>
      </c>
      <c r="E141" s="6">
        <v>92301.1</v>
      </c>
      <c r="F141" s="7">
        <f t="shared" si="2"/>
        <v>-4847448.5</v>
      </c>
      <c r="G141" t="str">
        <f>IF(표1[[#This Row],[diff]]&gt;0,"import","export")</f>
        <v>export</v>
      </c>
      <c r="H141" s="15">
        <f>ABS(표1[[#This Row],[export]]-표1[[#This Row],[import]])/(표1[[#This Row],[export]]+표1[[#This Row],[import]])</f>
        <v>0.96331471779487454</v>
      </c>
    </row>
    <row r="142" spans="1:8" x14ac:dyDescent="0.3">
      <c r="A142" s="5">
        <v>2016</v>
      </c>
      <c r="B142" s="5">
        <v>2902440000</v>
      </c>
      <c r="C142" s="5" t="s">
        <v>405</v>
      </c>
      <c r="D142" s="6">
        <v>37217.599999999999</v>
      </c>
      <c r="E142" s="6">
        <v>148.5</v>
      </c>
      <c r="F142" s="10">
        <f t="shared" si="2"/>
        <v>-37069.1</v>
      </c>
      <c r="G142" t="str">
        <f>IF(표1[[#This Row],[diff]]&gt;0,"import","export")</f>
        <v>export</v>
      </c>
      <c r="H142" s="15">
        <f>ABS(표1[[#This Row],[export]]-표1[[#This Row],[import]])/(표1[[#This Row],[export]]+표1[[#This Row],[import]])</f>
        <v>0.99205161898084093</v>
      </c>
    </row>
    <row r="143" spans="1:8" x14ac:dyDescent="0.3">
      <c r="A143" s="5">
        <v>2017</v>
      </c>
      <c r="B143" s="5">
        <v>2902440000</v>
      </c>
      <c r="C143" s="5" t="s">
        <v>405</v>
      </c>
      <c r="D143" s="6">
        <v>22863.3</v>
      </c>
      <c r="E143" s="6">
        <v>57.6</v>
      </c>
      <c r="F143" s="10">
        <f t="shared" si="2"/>
        <v>-22805.7</v>
      </c>
      <c r="G143" t="str">
        <f>IF(표1[[#This Row],[diff]]&gt;0,"import","export")</f>
        <v>export</v>
      </c>
      <c r="H143" s="15">
        <f>ABS(표1[[#This Row],[export]]-표1[[#This Row],[import]])/(표1[[#This Row],[export]]+표1[[#This Row],[import]])</f>
        <v>0.99497401934479024</v>
      </c>
    </row>
    <row r="144" spans="1:8" x14ac:dyDescent="0.3">
      <c r="A144" s="5">
        <v>2018</v>
      </c>
      <c r="B144" s="5">
        <v>2902440000</v>
      </c>
      <c r="C144" s="5" t="s">
        <v>405</v>
      </c>
      <c r="D144" s="6">
        <v>37509.800000000003</v>
      </c>
      <c r="E144" s="6">
        <v>18.600000000000001</v>
      </c>
      <c r="F144" s="10">
        <f t="shared" si="2"/>
        <v>-37491.200000000004</v>
      </c>
      <c r="G144" t="str">
        <f>IF(표1[[#This Row],[diff]]&gt;0,"import","export")</f>
        <v>export</v>
      </c>
      <c r="H144" s="15">
        <f>ABS(표1[[#This Row],[export]]-표1[[#This Row],[import]])/(표1[[#This Row],[export]]+표1[[#This Row],[import]])</f>
        <v>0.99900875070613193</v>
      </c>
    </row>
    <row r="145" spans="1:8" x14ac:dyDescent="0.3">
      <c r="A145" s="5">
        <v>2019</v>
      </c>
      <c r="B145" s="5">
        <v>2902440000</v>
      </c>
      <c r="C145" s="5" t="s">
        <v>405</v>
      </c>
      <c r="D145" s="6">
        <v>494.8</v>
      </c>
      <c r="E145" s="6">
        <v>18.5</v>
      </c>
      <c r="F145" s="10">
        <f t="shared" si="2"/>
        <v>-476.3</v>
      </c>
      <c r="G145" t="str">
        <f>IF(표1[[#This Row],[diff]]&gt;0,"import","export")</f>
        <v>export</v>
      </c>
      <c r="H145" s="15">
        <f>ABS(표1[[#This Row],[export]]-표1[[#This Row],[import]])/(표1[[#This Row],[export]]+표1[[#This Row],[import]])</f>
        <v>0.92791739723358668</v>
      </c>
    </row>
    <row r="146" spans="1:8" x14ac:dyDescent="0.3">
      <c r="A146" s="5">
        <v>2020</v>
      </c>
      <c r="B146" s="5">
        <v>2902440000</v>
      </c>
      <c r="C146" s="5" t="s">
        <v>405</v>
      </c>
      <c r="D146" s="6">
        <v>626.29999999999995</v>
      </c>
      <c r="E146" s="6">
        <v>5.9</v>
      </c>
      <c r="F146" s="10">
        <f t="shared" si="2"/>
        <v>-620.4</v>
      </c>
      <c r="G146" t="str">
        <f>IF(표1[[#This Row],[diff]]&gt;0,"import","export")</f>
        <v>export</v>
      </c>
      <c r="H146" s="15">
        <f>ABS(표1[[#This Row],[export]]-표1[[#This Row],[import]])/(표1[[#This Row],[export]]+표1[[#This Row],[import]])</f>
        <v>0.98133502056311306</v>
      </c>
    </row>
    <row r="147" spans="1:8" x14ac:dyDescent="0.3">
      <c r="A147" s="5">
        <v>2021</v>
      </c>
      <c r="B147" s="5">
        <v>2902440000</v>
      </c>
      <c r="C147" s="5" t="s">
        <v>405</v>
      </c>
      <c r="D147" s="6">
        <v>613.79999999999995</v>
      </c>
      <c r="E147" s="6">
        <v>5.6</v>
      </c>
      <c r="F147" s="10">
        <f t="shared" si="2"/>
        <v>-608.19999999999993</v>
      </c>
      <c r="G147" t="str">
        <f>IF(표1[[#This Row],[diff]]&gt;0,"import","export")</f>
        <v>export</v>
      </c>
      <c r="H147" s="15">
        <f>ABS(표1[[#This Row],[export]]-표1[[#This Row],[import]])/(표1[[#This Row],[export]]+표1[[#This Row],[import]])</f>
        <v>0.98191798514691631</v>
      </c>
    </row>
    <row r="148" spans="1:8" x14ac:dyDescent="0.3">
      <c r="A148" s="5">
        <v>2022</v>
      </c>
      <c r="B148" s="5">
        <v>2902440000</v>
      </c>
      <c r="C148" s="5" t="s">
        <v>405</v>
      </c>
      <c r="D148" s="6">
        <v>624.79999999999995</v>
      </c>
      <c r="E148" s="6">
        <v>7</v>
      </c>
      <c r="F148" s="10">
        <f t="shared" si="2"/>
        <v>-617.79999999999995</v>
      </c>
      <c r="G148" t="str">
        <f>IF(표1[[#This Row],[diff]]&gt;0,"import","export")</f>
        <v>export</v>
      </c>
      <c r="H148" s="15">
        <f>ABS(표1[[#This Row],[export]]-표1[[#This Row],[import]])/(표1[[#This Row],[export]]+표1[[#This Row],[import]])</f>
        <v>0.97784108895220001</v>
      </c>
    </row>
    <row r="149" spans="1:8" x14ac:dyDescent="0.3">
      <c r="A149" s="5">
        <v>2023</v>
      </c>
      <c r="B149" s="5">
        <v>2902440000</v>
      </c>
      <c r="C149" s="5" t="s">
        <v>405</v>
      </c>
      <c r="D149" s="6">
        <v>899.5</v>
      </c>
      <c r="E149" s="6">
        <v>2.2000000000000002</v>
      </c>
      <c r="F149" s="10">
        <f t="shared" si="2"/>
        <v>-897.3</v>
      </c>
      <c r="G149" t="str">
        <f>IF(표1[[#This Row],[diff]]&gt;0,"import","export")</f>
        <v>export</v>
      </c>
      <c r="H149" s="15">
        <f>ABS(표1[[#This Row],[export]]-표1[[#This Row],[import]])/(표1[[#This Row],[export]]+표1[[#This Row],[import]])</f>
        <v>0.99512032826882546</v>
      </c>
    </row>
    <row r="150" spans="1:8" x14ac:dyDescent="0.3">
      <c r="A150" s="5">
        <v>2024</v>
      </c>
      <c r="B150" s="5">
        <v>2902440000</v>
      </c>
      <c r="C150" s="5" t="s">
        <v>405</v>
      </c>
      <c r="D150" s="6">
        <v>769.3</v>
      </c>
      <c r="E150" s="6">
        <v>5902.7</v>
      </c>
      <c r="F150" s="10">
        <f t="shared" si="2"/>
        <v>5133.3999999999996</v>
      </c>
      <c r="G150" t="str">
        <f>IF(표1[[#This Row],[diff]]&gt;0,"import","export")</f>
        <v>import</v>
      </c>
      <c r="H150" s="15">
        <f>ABS(표1[[#This Row],[export]]-표1[[#This Row],[import]])/(표1[[#This Row],[export]]+표1[[#This Row],[import]])</f>
        <v>0.76939448441246994</v>
      </c>
    </row>
    <row r="151" spans="1:8" x14ac:dyDescent="0.3">
      <c r="A151" s="5">
        <v>2025</v>
      </c>
      <c r="B151" s="5">
        <v>2902440000</v>
      </c>
      <c r="C151" s="5" t="s">
        <v>405</v>
      </c>
      <c r="D151" s="6">
        <v>697.7</v>
      </c>
      <c r="E151" s="6">
        <v>1.6</v>
      </c>
      <c r="F151" s="10">
        <f t="shared" si="2"/>
        <v>-696.1</v>
      </c>
      <c r="G151" t="str">
        <f>IF(표1[[#This Row],[diff]]&gt;0,"import","export")</f>
        <v>export</v>
      </c>
      <c r="H151" s="15">
        <f>ABS(표1[[#This Row],[export]]-표1[[#This Row],[import]])/(표1[[#This Row],[export]]+표1[[#This Row],[import]])</f>
        <v>0.9954239954239954</v>
      </c>
    </row>
    <row r="152" spans="1:8" x14ac:dyDescent="0.3">
      <c r="A152" s="5">
        <v>2016</v>
      </c>
      <c r="B152" s="5">
        <v>2902500000</v>
      </c>
      <c r="C152" s="5" t="s">
        <v>263</v>
      </c>
      <c r="D152" s="6">
        <v>1292329.5</v>
      </c>
      <c r="E152" s="6">
        <v>806172.5</v>
      </c>
      <c r="F152" s="7">
        <f t="shared" si="2"/>
        <v>-486157</v>
      </c>
      <c r="G152" t="str">
        <f>IF(표1[[#This Row],[diff]]&gt;0,"import","export")</f>
        <v>export</v>
      </c>
      <c r="H152" s="15">
        <f>ABS(표1[[#This Row],[export]]-표1[[#This Row],[import]])/(표1[[#This Row],[export]]+표1[[#This Row],[import]])</f>
        <v>0.23166859026105288</v>
      </c>
    </row>
    <row r="153" spans="1:8" x14ac:dyDescent="0.3">
      <c r="A153" s="5">
        <v>2017</v>
      </c>
      <c r="B153" s="5">
        <v>2902500000</v>
      </c>
      <c r="C153" s="5" t="s">
        <v>263</v>
      </c>
      <c r="D153" s="6">
        <v>1261869.1000000001</v>
      </c>
      <c r="E153" s="6">
        <v>794030.1</v>
      </c>
      <c r="F153" s="7">
        <f t="shared" si="2"/>
        <v>-467839.00000000012</v>
      </c>
      <c r="G153" t="str">
        <f>IF(표1[[#This Row],[diff]]&gt;0,"import","export")</f>
        <v>export</v>
      </c>
      <c r="H153" s="15">
        <f>ABS(표1[[#This Row],[export]]-표1[[#This Row],[import]])/(표1[[#This Row],[export]]+표1[[#This Row],[import]])</f>
        <v>0.22755930835519567</v>
      </c>
    </row>
    <row r="154" spans="1:8" x14ac:dyDescent="0.3">
      <c r="A154" s="5">
        <v>2018</v>
      </c>
      <c r="B154" s="5">
        <v>2902500000</v>
      </c>
      <c r="C154" s="5" t="s">
        <v>263</v>
      </c>
      <c r="D154" s="6">
        <v>841001.5</v>
      </c>
      <c r="E154" s="6">
        <v>305442.2</v>
      </c>
      <c r="F154" s="7">
        <f t="shared" si="2"/>
        <v>-535559.30000000005</v>
      </c>
      <c r="G154" t="str">
        <f>IF(표1[[#This Row],[diff]]&gt;0,"import","export")</f>
        <v>export</v>
      </c>
      <c r="H154" s="15">
        <f>ABS(표1[[#This Row],[export]]-표1[[#This Row],[import]])/(표1[[#This Row],[export]]+표1[[#This Row],[import]])</f>
        <v>0.46714836498294687</v>
      </c>
    </row>
    <row r="155" spans="1:8" x14ac:dyDescent="0.3">
      <c r="A155" s="5">
        <v>2019</v>
      </c>
      <c r="B155" s="5">
        <v>2902500000</v>
      </c>
      <c r="C155" s="5" t="s">
        <v>263</v>
      </c>
      <c r="D155" s="6">
        <v>669698.80000000005</v>
      </c>
      <c r="E155" s="6">
        <v>489455.8</v>
      </c>
      <c r="F155" s="7">
        <f t="shared" si="2"/>
        <v>-180243.00000000006</v>
      </c>
      <c r="G155" t="str">
        <f>IF(표1[[#This Row],[diff]]&gt;0,"import","export")</f>
        <v>export</v>
      </c>
      <c r="H155" s="15">
        <f>ABS(표1[[#This Row],[export]]-표1[[#This Row],[import]])/(표1[[#This Row],[export]]+표1[[#This Row],[import]])</f>
        <v>0.15549522039596791</v>
      </c>
    </row>
    <row r="156" spans="1:8" x14ac:dyDescent="0.3">
      <c r="A156" s="5">
        <v>2020</v>
      </c>
      <c r="B156" s="5">
        <v>2902500000</v>
      </c>
      <c r="C156" s="5" t="s">
        <v>263</v>
      </c>
      <c r="D156" s="6">
        <v>765502.6</v>
      </c>
      <c r="E156" s="6">
        <v>726653.6</v>
      </c>
      <c r="F156" s="7">
        <f t="shared" si="2"/>
        <v>-38849</v>
      </c>
      <c r="G156" t="str">
        <f>IF(표1[[#This Row],[diff]]&gt;0,"import","export")</f>
        <v>export</v>
      </c>
      <c r="H156" s="15">
        <f>ABS(표1[[#This Row],[export]]-표1[[#This Row],[import]])/(표1[[#This Row],[export]]+표1[[#This Row],[import]])</f>
        <v>2.603547805517948E-2</v>
      </c>
    </row>
    <row r="157" spans="1:8" x14ac:dyDescent="0.3">
      <c r="A157" s="5">
        <v>2021</v>
      </c>
      <c r="B157" s="5">
        <v>2902500000</v>
      </c>
      <c r="C157" s="5" t="s">
        <v>263</v>
      </c>
      <c r="D157" s="6">
        <v>689110.8</v>
      </c>
      <c r="E157" s="6">
        <v>433677.4</v>
      </c>
      <c r="F157" s="7">
        <f t="shared" si="2"/>
        <v>-255433.40000000002</v>
      </c>
      <c r="G157" t="str">
        <f>IF(표1[[#This Row],[diff]]&gt;0,"import","export")</f>
        <v>export</v>
      </c>
      <c r="H157" s="15">
        <f>ABS(표1[[#This Row],[export]]-표1[[#This Row],[import]])/(표1[[#This Row],[export]]+표1[[#This Row],[import]])</f>
        <v>0.2274991846191472</v>
      </c>
    </row>
    <row r="158" spans="1:8" x14ac:dyDescent="0.3">
      <c r="A158" s="5">
        <v>2022</v>
      </c>
      <c r="B158" s="5">
        <v>2902500000</v>
      </c>
      <c r="C158" s="5" t="s">
        <v>263</v>
      </c>
      <c r="D158" s="6">
        <v>558108.19999999995</v>
      </c>
      <c r="E158" s="6">
        <v>478635.2</v>
      </c>
      <c r="F158" s="7">
        <f t="shared" si="2"/>
        <v>-79472.999999999942</v>
      </c>
      <c r="G158" t="str">
        <f>IF(표1[[#This Row],[diff]]&gt;0,"import","export")</f>
        <v>export</v>
      </c>
      <c r="H158" s="15">
        <f>ABS(표1[[#This Row],[export]]-표1[[#This Row],[import]])/(표1[[#This Row],[export]]+표1[[#This Row],[import]])</f>
        <v>7.6656383826508995E-2</v>
      </c>
    </row>
    <row r="159" spans="1:8" x14ac:dyDescent="0.3">
      <c r="A159" s="5">
        <v>2023</v>
      </c>
      <c r="B159" s="5">
        <v>2902500000</v>
      </c>
      <c r="C159" s="5" t="s">
        <v>263</v>
      </c>
      <c r="D159" s="6">
        <v>296982.2</v>
      </c>
      <c r="E159" s="6">
        <v>774897.6</v>
      </c>
      <c r="F159" s="7">
        <f t="shared" si="2"/>
        <v>477915.39999999997</v>
      </c>
      <c r="G159" t="str">
        <f>IF(표1[[#This Row],[diff]]&gt;0,"import","export")</f>
        <v>import</v>
      </c>
      <c r="H159" s="15">
        <f>ABS(표1[[#This Row],[export]]-표1[[#This Row],[import]])/(표1[[#This Row],[export]]+표1[[#This Row],[import]])</f>
        <v>0.44586659810176471</v>
      </c>
    </row>
    <row r="160" spans="1:8" x14ac:dyDescent="0.3">
      <c r="A160" s="5">
        <v>2024</v>
      </c>
      <c r="B160" s="5">
        <v>2902500000</v>
      </c>
      <c r="C160" s="5" t="s">
        <v>263</v>
      </c>
      <c r="D160" s="6">
        <v>301521.7</v>
      </c>
      <c r="E160" s="6">
        <v>586773.6</v>
      </c>
      <c r="F160" s="7">
        <f t="shared" si="2"/>
        <v>285251.89999999997</v>
      </c>
      <c r="G160" t="str">
        <f>IF(표1[[#This Row],[diff]]&gt;0,"import","export")</f>
        <v>import</v>
      </c>
      <c r="H160" s="15">
        <f>ABS(표1[[#This Row],[export]]-표1[[#This Row],[import]])/(표1[[#This Row],[export]]+표1[[#This Row],[import]])</f>
        <v>0.3211228293113787</v>
      </c>
    </row>
    <row r="161" spans="1:8" x14ac:dyDescent="0.3">
      <c r="A161" s="5">
        <v>2025</v>
      </c>
      <c r="B161" s="5">
        <v>2902500000</v>
      </c>
      <c r="C161" s="5" t="s">
        <v>263</v>
      </c>
      <c r="D161" s="6">
        <v>280523</v>
      </c>
      <c r="E161" s="6">
        <v>581273.9</v>
      </c>
      <c r="F161" s="7">
        <f t="shared" si="2"/>
        <v>300750.90000000002</v>
      </c>
      <c r="G161" t="str">
        <f>IF(표1[[#This Row],[diff]]&gt;0,"import","export")</f>
        <v>import</v>
      </c>
      <c r="H161" s="15">
        <f>ABS(표1[[#This Row],[export]]-표1[[#This Row],[import]])/(표1[[#This Row],[export]]+표1[[#This Row],[import]])</f>
        <v>0.34898118106481935</v>
      </c>
    </row>
    <row r="162" spans="1:8" x14ac:dyDescent="0.3">
      <c r="A162" s="5">
        <v>2016</v>
      </c>
      <c r="B162" s="5">
        <v>2902600000</v>
      </c>
      <c r="C162" s="5" t="s">
        <v>264</v>
      </c>
      <c r="D162" s="5">
        <v>17.899999999999999</v>
      </c>
      <c r="E162" s="5">
        <v>1.3</v>
      </c>
      <c r="F162" s="7">
        <f t="shared" si="2"/>
        <v>-16.599999999999998</v>
      </c>
      <c r="G162" t="str">
        <f>IF(표1[[#This Row],[diff]]&gt;0,"import","export")</f>
        <v>export</v>
      </c>
      <c r="H162" s="15">
        <f>ABS(표1[[#This Row],[export]]-표1[[#This Row],[import]])/(표1[[#This Row],[export]]+표1[[#This Row],[import]])</f>
        <v>0.86458333333333326</v>
      </c>
    </row>
    <row r="163" spans="1:8" x14ac:dyDescent="0.3">
      <c r="A163" s="5">
        <v>2017</v>
      </c>
      <c r="B163" s="5">
        <v>2902600000</v>
      </c>
      <c r="C163" s="5" t="s">
        <v>264</v>
      </c>
      <c r="D163" s="5">
        <v>36</v>
      </c>
      <c r="E163" s="5">
        <v>2.5</v>
      </c>
      <c r="F163" s="7">
        <f t="shared" si="2"/>
        <v>-33.5</v>
      </c>
      <c r="G163" t="str">
        <f>IF(표1[[#This Row],[diff]]&gt;0,"import","export")</f>
        <v>export</v>
      </c>
      <c r="H163" s="15">
        <f>ABS(표1[[#This Row],[export]]-표1[[#This Row],[import]])/(표1[[#This Row],[export]]+표1[[#This Row],[import]])</f>
        <v>0.87012987012987009</v>
      </c>
    </row>
    <row r="164" spans="1:8" x14ac:dyDescent="0.3">
      <c r="A164" s="5">
        <v>2018</v>
      </c>
      <c r="B164" s="5">
        <v>2902600000</v>
      </c>
      <c r="C164" s="5" t="s">
        <v>264</v>
      </c>
      <c r="D164" s="5">
        <v>71</v>
      </c>
      <c r="E164" s="5">
        <v>1.4</v>
      </c>
      <c r="F164" s="7">
        <f t="shared" si="2"/>
        <v>-69.599999999999994</v>
      </c>
      <c r="G164" t="str">
        <f>IF(표1[[#This Row],[diff]]&gt;0,"import","export")</f>
        <v>export</v>
      </c>
      <c r="H164" s="15">
        <f>ABS(표1[[#This Row],[export]]-표1[[#This Row],[import]])/(표1[[#This Row],[export]]+표1[[#This Row],[import]])</f>
        <v>0.96132596685082861</v>
      </c>
    </row>
    <row r="165" spans="1:8" x14ac:dyDescent="0.3">
      <c r="A165" s="5">
        <v>2019</v>
      </c>
      <c r="B165" s="5">
        <v>2902600000</v>
      </c>
      <c r="C165" s="5" t="s">
        <v>264</v>
      </c>
      <c r="D165" s="5">
        <v>53.9</v>
      </c>
      <c r="E165" s="5">
        <v>0.9</v>
      </c>
      <c r="F165" s="7">
        <f t="shared" si="2"/>
        <v>-53</v>
      </c>
      <c r="G165" t="str">
        <f>IF(표1[[#This Row],[diff]]&gt;0,"import","export")</f>
        <v>export</v>
      </c>
      <c r="H165" s="15">
        <f>ABS(표1[[#This Row],[export]]-표1[[#This Row],[import]])/(표1[[#This Row],[export]]+표1[[#This Row],[import]])</f>
        <v>0.96715328467153294</v>
      </c>
    </row>
    <row r="166" spans="1:8" x14ac:dyDescent="0.3">
      <c r="A166" s="5">
        <v>2020</v>
      </c>
      <c r="B166" s="5">
        <v>2902600000</v>
      </c>
      <c r="C166" s="5" t="s">
        <v>264</v>
      </c>
      <c r="D166" s="5">
        <v>72</v>
      </c>
      <c r="E166" s="5">
        <v>3.6</v>
      </c>
      <c r="F166" s="7">
        <f t="shared" si="2"/>
        <v>-68.400000000000006</v>
      </c>
      <c r="G166" t="str">
        <f>IF(표1[[#This Row],[diff]]&gt;0,"import","export")</f>
        <v>export</v>
      </c>
      <c r="H166" s="15">
        <f>ABS(표1[[#This Row],[export]]-표1[[#This Row],[import]])/(표1[[#This Row],[export]]+표1[[#This Row],[import]])</f>
        <v>0.90476190476190488</v>
      </c>
    </row>
    <row r="167" spans="1:8" x14ac:dyDescent="0.3">
      <c r="A167" s="5">
        <v>2021</v>
      </c>
      <c r="B167" s="5">
        <v>2902600000</v>
      </c>
      <c r="C167" s="5" t="s">
        <v>264</v>
      </c>
      <c r="D167" s="5">
        <v>56</v>
      </c>
      <c r="E167" s="5">
        <v>21.2</v>
      </c>
      <c r="F167" s="7">
        <f t="shared" si="2"/>
        <v>-34.799999999999997</v>
      </c>
      <c r="G167" t="str">
        <f>IF(표1[[#This Row],[diff]]&gt;0,"import","export")</f>
        <v>export</v>
      </c>
      <c r="H167" s="15">
        <f>ABS(표1[[#This Row],[export]]-표1[[#This Row],[import]])/(표1[[#This Row],[export]]+표1[[#This Row],[import]])</f>
        <v>0.4507772020725388</v>
      </c>
    </row>
    <row r="168" spans="1:8" x14ac:dyDescent="0.3">
      <c r="A168" s="5">
        <v>2022</v>
      </c>
      <c r="B168" s="5">
        <v>2902600000</v>
      </c>
      <c r="C168" s="5" t="s">
        <v>264</v>
      </c>
      <c r="D168" s="5">
        <v>53.1</v>
      </c>
      <c r="E168" s="5">
        <v>35.299999999999997</v>
      </c>
      <c r="F168" s="7">
        <f t="shared" si="2"/>
        <v>-17.800000000000004</v>
      </c>
      <c r="G168" t="str">
        <f>IF(표1[[#This Row],[diff]]&gt;0,"import","export")</f>
        <v>export</v>
      </c>
      <c r="H168" s="15">
        <f>ABS(표1[[#This Row],[export]]-표1[[#This Row],[import]])/(표1[[#This Row],[export]]+표1[[#This Row],[import]])</f>
        <v>0.20135746606334845</v>
      </c>
    </row>
    <row r="169" spans="1:8" x14ac:dyDescent="0.3">
      <c r="A169" s="5">
        <v>2023</v>
      </c>
      <c r="B169" s="5">
        <v>2902600000</v>
      </c>
      <c r="C169" s="5" t="s">
        <v>264</v>
      </c>
      <c r="D169" s="5">
        <v>54.1</v>
      </c>
      <c r="E169" s="5">
        <v>17.100000000000001</v>
      </c>
      <c r="F169" s="7">
        <f t="shared" si="2"/>
        <v>-37</v>
      </c>
      <c r="G169" t="str">
        <f>IF(표1[[#This Row],[diff]]&gt;0,"import","export")</f>
        <v>export</v>
      </c>
      <c r="H169" s="15">
        <f>ABS(표1[[#This Row],[export]]-표1[[#This Row],[import]])/(표1[[#This Row],[export]]+표1[[#This Row],[import]])</f>
        <v>0.5196629213483146</v>
      </c>
    </row>
    <row r="170" spans="1:8" x14ac:dyDescent="0.3">
      <c r="A170" s="5">
        <v>2024</v>
      </c>
      <c r="B170" s="5">
        <v>2902600000</v>
      </c>
      <c r="C170" s="5" t="s">
        <v>264</v>
      </c>
      <c r="D170" s="5">
        <v>18</v>
      </c>
      <c r="E170" s="5">
        <v>7.6</v>
      </c>
      <c r="F170" s="7">
        <f t="shared" si="2"/>
        <v>-10.4</v>
      </c>
      <c r="G170" t="str">
        <f>IF(표1[[#This Row],[diff]]&gt;0,"import","export")</f>
        <v>export</v>
      </c>
      <c r="H170" s="15">
        <f>ABS(표1[[#This Row],[export]]-표1[[#This Row],[import]])/(표1[[#This Row],[export]]+표1[[#This Row],[import]])</f>
        <v>0.40625</v>
      </c>
    </row>
    <row r="171" spans="1:8" x14ac:dyDescent="0.3">
      <c r="A171" s="5">
        <v>2025</v>
      </c>
      <c r="B171" s="5">
        <v>2902600000</v>
      </c>
      <c r="C171" s="5" t="s">
        <v>264</v>
      </c>
      <c r="D171" s="5">
        <v>0</v>
      </c>
      <c r="E171" s="5">
        <v>21</v>
      </c>
      <c r="F171" s="7">
        <f t="shared" si="2"/>
        <v>21</v>
      </c>
      <c r="G171" t="str">
        <f>IF(표1[[#This Row],[diff]]&gt;0,"import","export")</f>
        <v>import</v>
      </c>
      <c r="H171" s="15">
        <f>ABS(표1[[#This Row],[export]]-표1[[#This Row],[import]])/(표1[[#This Row],[export]]+표1[[#This Row],[import]])</f>
        <v>1</v>
      </c>
    </row>
    <row r="172" spans="1:8" x14ac:dyDescent="0.3">
      <c r="A172" s="5">
        <v>2016</v>
      </c>
      <c r="B172" s="5">
        <v>2902700000</v>
      </c>
      <c r="C172" s="5" t="s">
        <v>265</v>
      </c>
      <c r="D172" s="5">
        <v>959.1</v>
      </c>
      <c r="E172" s="6">
        <v>34733.5</v>
      </c>
      <c r="F172" s="7">
        <f t="shared" si="2"/>
        <v>33774.400000000001</v>
      </c>
      <c r="G172" t="str">
        <f>IF(표1[[#This Row],[diff]]&gt;0,"import","export")</f>
        <v>import</v>
      </c>
      <c r="H172" s="15">
        <f>ABS(표1[[#This Row],[export]]-표1[[#This Row],[import]])/(표1[[#This Row],[export]]+표1[[#This Row],[import]])</f>
        <v>0.94625776771655756</v>
      </c>
    </row>
    <row r="173" spans="1:8" x14ac:dyDescent="0.3">
      <c r="A173" s="5">
        <v>2017</v>
      </c>
      <c r="B173" s="5">
        <v>2902700000</v>
      </c>
      <c r="C173" s="5" t="s">
        <v>265</v>
      </c>
      <c r="D173" s="6">
        <v>7503.9</v>
      </c>
      <c r="E173" s="6">
        <v>16490.900000000001</v>
      </c>
      <c r="F173" s="7">
        <f t="shared" si="2"/>
        <v>8987.0000000000018</v>
      </c>
      <c r="G173" t="str">
        <f>IF(표1[[#This Row],[diff]]&gt;0,"import","export")</f>
        <v>import</v>
      </c>
      <c r="H173" s="15">
        <f>ABS(표1[[#This Row],[export]]-표1[[#This Row],[import]])/(표1[[#This Row],[export]]+표1[[#This Row],[import]])</f>
        <v>0.37453948355477024</v>
      </c>
    </row>
    <row r="174" spans="1:8" x14ac:dyDescent="0.3">
      <c r="A174" s="5">
        <v>2018</v>
      </c>
      <c r="B174" s="5">
        <v>2902700000</v>
      </c>
      <c r="C174" s="5" t="s">
        <v>265</v>
      </c>
      <c r="D174" s="6">
        <v>11081.2</v>
      </c>
      <c r="E174" s="6">
        <v>26961.8</v>
      </c>
      <c r="F174" s="7">
        <f t="shared" si="2"/>
        <v>15880.599999999999</v>
      </c>
      <c r="G174" t="str">
        <f>IF(표1[[#This Row],[diff]]&gt;0,"import","export")</f>
        <v>import</v>
      </c>
      <c r="H174" s="15">
        <f>ABS(표1[[#This Row],[export]]-표1[[#This Row],[import]])/(표1[[#This Row],[export]]+표1[[#This Row],[import]])</f>
        <v>0.41743816207975182</v>
      </c>
    </row>
    <row r="175" spans="1:8" x14ac:dyDescent="0.3">
      <c r="A175" s="5">
        <v>2019</v>
      </c>
      <c r="B175" s="5">
        <v>2902700000</v>
      </c>
      <c r="C175" s="5" t="s">
        <v>265</v>
      </c>
      <c r="D175" s="6">
        <v>10093.299999999999</v>
      </c>
      <c r="E175" s="6">
        <v>16957.099999999999</v>
      </c>
      <c r="F175" s="7">
        <f t="shared" si="2"/>
        <v>6863.7999999999993</v>
      </c>
      <c r="G175" t="str">
        <f>IF(표1[[#This Row],[diff]]&gt;0,"import","export")</f>
        <v>import</v>
      </c>
      <c r="H175" s="15">
        <f>ABS(표1[[#This Row],[export]]-표1[[#This Row],[import]])/(표1[[#This Row],[export]]+표1[[#This Row],[import]])</f>
        <v>0.25374116464081864</v>
      </c>
    </row>
    <row r="176" spans="1:8" x14ac:dyDescent="0.3">
      <c r="A176" s="5">
        <v>2020</v>
      </c>
      <c r="B176" s="5">
        <v>2902700000</v>
      </c>
      <c r="C176" s="5" t="s">
        <v>265</v>
      </c>
      <c r="D176" s="6">
        <v>29667.8</v>
      </c>
      <c r="E176" s="6">
        <v>13017.4</v>
      </c>
      <c r="F176" s="7">
        <f t="shared" si="2"/>
        <v>-16650.400000000001</v>
      </c>
      <c r="G176" t="str">
        <f>IF(표1[[#This Row],[diff]]&gt;0,"import","export")</f>
        <v>export</v>
      </c>
      <c r="H176" s="15">
        <f>ABS(표1[[#This Row],[export]]-표1[[#This Row],[import]])/(표1[[#This Row],[export]]+표1[[#This Row],[import]])</f>
        <v>0.39007431147095484</v>
      </c>
    </row>
    <row r="177" spans="1:8" x14ac:dyDescent="0.3">
      <c r="A177" s="5">
        <v>2021</v>
      </c>
      <c r="B177" s="5">
        <v>2902700000</v>
      </c>
      <c r="C177" s="5" t="s">
        <v>265</v>
      </c>
      <c r="D177" s="6">
        <v>30942.6</v>
      </c>
      <c r="E177" s="6">
        <v>25826.2</v>
      </c>
      <c r="F177" s="7">
        <f t="shared" si="2"/>
        <v>-5116.3999999999978</v>
      </c>
      <c r="G177" t="str">
        <f>IF(표1[[#This Row],[diff]]&gt;0,"import","export")</f>
        <v>export</v>
      </c>
      <c r="H177" s="15">
        <f>ABS(표1[[#This Row],[export]]-표1[[#This Row],[import]])/(표1[[#This Row],[export]]+표1[[#This Row],[import]])</f>
        <v>9.0126971153168603E-2</v>
      </c>
    </row>
    <row r="178" spans="1:8" x14ac:dyDescent="0.3">
      <c r="A178" s="5">
        <v>2022</v>
      </c>
      <c r="B178" s="5">
        <v>2902700000</v>
      </c>
      <c r="C178" s="5" t="s">
        <v>265</v>
      </c>
      <c r="D178" s="6">
        <v>5778.5</v>
      </c>
      <c r="E178" s="6">
        <v>8134.7</v>
      </c>
      <c r="F178" s="7">
        <f t="shared" si="2"/>
        <v>2356.1999999999998</v>
      </c>
      <c r="G178" t="str">
        <f>IF(표1[[#This Row],[diff]]&gt;0,"import","export")</f>
        <v>import</v>
      </c>
      <c r="H178" s="15">
        <f>ABS(표1[[#This Row],[export]]-표1[[#This Row],[import]])/(표1[[#This Row],[export]]+표1[[#This Row],[import]])</f>
        <v>0.16934996981283959</v>
      </c>
    </row>
    <row r="179" spans="1:8" x14ac:dyDescent="0.3">
      <c r="A179" s="5">
        <v>2023</v>
      </c>
      <c r="B179" s="5">
        <v>2902700000</v>
      </c>
      <c r="C179" s="5" t="s">
        <v>265</v>
      </c>
      <c r="D179" s="6">
        <v>56538.2</v>
      </c>
      <c r="E179" s="6">
        <v>9716.7000000000007</v>
      </c>
      <c r="F179" s="7">
        <f t="shared" si="2"/>
        <v>-46821.5</v>
      </c>
      <c r="G179" t="str">
        <f>IF(표1[[#This Row],[diff]]&gt;0,"import","export")</f>
        <v>export</v>
      </c>
      <c r="H179" s="15">
        <f>ABS(표1[[#This Row],[export]]-표1[[#This Row],[import]])/(표1[[#This Row],[export]]+표1[[#This Row],[import]])</f>
        <v>0.70668735444472797</v>
      </c>
    </row>
    <row r="180" spans="1:8" x14ac:dyDescent="0.3">
      <c r="A180" s="5">
        <v>2024</v>
      </c>
      <c r="B180" s="5">
        <v>2902700000</v>
      </c>
      <c r="C180" s="5" t="s">
        <v>265</v>
      </c>
      <c r="D180" s="6">
        <v>103627.2</v>
      </c>
      <c r="E180" s="6">
        <v>16849.5</v>
      </c>
      <c r="F180" s="7">
        <f t="shared" si="2"/>
        <v>-86777.7</v>
      </c>
      <c r="G180" t="str">
        <f>IF(표1[[#This Row],[diff]]&gt;0,"import","export")</f>
        <v>export</v>
      </c>
      <c r="H180" s="15">
        <f>ABS(표1[[#This Row],[export]]-표1[[#This Row],[import]])/(표1[[#This Row],[export]]+표1[[#This Row],[import]])</f>
        <v>0.72028616321662198</v>
      </c>
    </row>
    <row r="181" spans="1:8" x14ac:dyDescent="0.3">
      <c r="A181" s="5">
        <v>2025</v>
      </c>
      <c r="B181" s="5">
        <v>2902700000</v>
      </c>
      <c r="C181" s="5" t="s">
        <v>265</v>
      </c>
      <c r="D181" s="6">
        <v>173699.4</v>
      </c>
      <c r="E181" s="6">
        <v>8882.1</v>
      </c>
      <c r="F181" s="7">
        <f t="shared" si="2"/>
        <v>-164817.29999999999</v>
      </c>
      <c r="G181" t="str">
        <f>IF(표1[[#This Row],[diff]]&gt;0,"import","export")</f>
        <v>export</v>
      </c>
      <c r="H181" s="15">
        <f>ABS(표1[[#This Row],[export]]-표1[[#This Row],[import]])/(표1[[#This Row],[export]]+표1[[#This Row],[import]])</f>
        <v>0.9027053671921853</v>
      </c>
    </row>
    <row r="182" spans="1:8" x14ac:dyDescent="0.3">
      <c r="A182" s="5">
        <v>2016</v>
      </c>
      <c r="B182" s="5">
        <v>2903150000</v>
      </c>
      <c r="C182" s="5" t="s">
        <v>266</v>
      </c>
      <c r="D182" s="6">
        <v>199221.2</v>
      </c>
      <c r="E182" s="6">
        <v>200366.4</v>
      </c>
      <c r="F182" s="7">
        <f t="shared" si="2"/>
        <v>1145.1999999999825</v>
      </c>
      <c r="G182" t="str">
        <f>IF(표1[[#This Row],[diff]]&gt;0,"import","export")</f>
        <v>import</v>
      </c>
      <c r="H182" s="15">
        <f>ABS(표1[[#This Row],[export]]-표1[[#This Row],[import]])/(표1[[#This Row],[export]]+표1[[#This Row],[import]])</f>
        <v>2.8659547993981358E-3</v>
      </c>
    </row>
    <row r="183" spans="1:8" x14ac:dyDescent="0.3">
      <c r="A183" s="5">
        <v>2017</v>
      </c>
      <c r="B183" s="5">
        <v>2903150000</v>
      </c>
      <c r="C183" s="5" t="s">
        <v>266</v>
      </c>
      <c r="D183" s="6">
        <v>184368.8</v>
      </c>
      <c r="E183" s="6">
        <v>228287.3</v>
      </c>
      <c r="F183" s="7">
        <f t="shared" si="2"/>
        <v>43918.5</v>
      </c>
      <c r="G183" t="str">
        <f>IF(표1[[#This Row],[diff]]&gt;0,"import","export")</f>
        <v>import</v>
      </c>
      <c r="H183" s="15">
        <f>ABS(표1[[#This Row],[export]]-표1[[#This Row],[import]])/(표1[[#This Row],[export]]+표1[[#This Row],[import]])</f>
        <v>0.10642881566515072</v>
      </c>
    </row>
    <row r="184" spans="1:8" x14ac:dyDescent="0.3">
      <c r="A184" s="5">
        <v>2018</v>
      </c>
      <c r="B184" s="5">
        <v>2903150000</v>
      </c>
      <c r="C184" s="5" t="s">
        <v>266</v>
      </c>
      <c r="D184" s="6">
        <v>263442</v>
      </c>
      <c r="E184" s="6">
        <v>181851.4</v>
      </c>
      <c r="F184" s="7">
        <f t="shared" si="2"/>
        <v>-81590.600000000006</v>
      </c>
      <c r="G184" t="str">
        <f>IF(표1[[#This Row],[diff]]&gt;0,"import","export")</f>
        <v>export</v>
      </c>
      <c r="H184" s="15">
        <f>ABS(표1[[#This Row],[export]]-표1[[#This Row],[import]])/(표1[[#This Row],[export]]+표1[[#This Row],[import]])</f>
        <v>0.18322885540185416</v>
      </c>
    </row>
    <row r="185" spans="1:8" x14ac:dyDescent="0.3">
      <c r="A185" s="5">
        <v>2019</v>
      </c>
      <c r="B185" s="5">
        <v>2903150000</v>
      </c>
      <c r="C185" s="5" t="s">
        <v>266</v>
      </c>
      <c r="D185" s="6">
        <v>281004.09999999998</v>
      </c>
      <c r="E185" s="6">
        <v>159769.1</v>
      </c>
      <c r="F185" s="7">
        <f t="shared" si="2"/>
        <v>-121234.99999999997</v>
      </c>
      <c r="G185" t="str">
        <f>IF(표1[[#This Row],[diff]]&gt;0,"import","export")</f>
        <v>export</v>
      </c>
      <c r="H185" s="15">
        <f>ABS(표1[[#This Row],[export]]-표1[[#This Row],[import]])/(표1[[#This Row],[export]]+표1[[#This Row],[import]])</f>
        <v>0.27505075172446958</v>
      </c>
    </row>
    <row r="186" spans="1:8" x14ac:dyDescent="0.3">
      <c r="A186" s="5">
        <v>2020</v>
      </c>
      <c r="B186" s="5">
        <v>2903150000</v>
      </c>
      <c r="C186" s="5" t="s">
        <v>266</v>
      </c>
      <c r="D186" s="6">
        <v>342851.2</v>
      </c>
      <c r="E186" s="6">
        <v>144933.79999999999</v>
      </c>
      <c r="F186" s="7">
        <f t="shared" si="2"/>
        <v>-197917.40000000002</v>
      </c>
      <c r="G186" t="str">
        <f>IF(표1[[#This Row],[diff]]&gt;0,"import","export")</f>
        <v>export</v>
      </c>
      <c r="H186" s="15">
        <f>ABS(표1[[#This Row],[export]]-표1[[#This Row],[import]])/(표1[[#This Row],[export]]+표1[[#This Row],[import]])</f>
        <v>0.40574720419857113</v>
      </c>
    </row>
    <row r="187" spans="1:8" x14ac:dyDescent="0.3">
      <c r="A187" s="5">
        <v>2021</v>
      </c>
      <c r="B187" s="5">
        <v>2903150000</v>
      </c>
      <c r="C187" s="5" t="s">
        <v>266</v>
      </c>
      <c r="D187" s="6">
        <v>223015.3</v>
      </c>
      <c r="E187" s="6">
        <v>59237.5</v>
      </c>
      <c r="F187" s="7">
        <f t="shared" si="2"/>
        <v>-163777.79999999999</v>
      </c>
      <c r="G187" t="str">
        <f>IF(표1[[#This Row],[diff]]&gt;0,"import","export")</f>
        <v>export</v>
      </c>
      <c r="H187" s="15">
        <f>ABS(표1[[#This Row],[export]]-표1[[#This Row],[import]])/(표1[[#This Row],[export]]+표1[[#This Row],[import]])</f>
        <v>0.58025217110335126</v>
      </c>
    </row>
    <row r="188" spans="1:8" x14ac:dyDescent="0.3">
      <c r="A188" s="5">
        <v>2022</v>
      </c>
      <c r="B188" s="5">
        <v>2903150000</v>
      </c>
      <c r="C188" s="5" t="s">
        <v>266</v>
      </c>
      <c r="D188" s="6">
        <v>301383.7</v>
      </c>
      <c r="E188" s="6">
        <v>34516.400000000001</v>
      </c>
      <c r="F188" s="7">
        <f t="shared" si="2"/>
        <v>-266867.3</v>
      </c>
      <c r="G188" t="str">
        <f>IF(표1[[#This Row],[diff]]&gt;0,"import","export")</f>
        <v>export</v>
      </c>
      <c r="H188" s="15">
        <f>ABS(표1[[#This Row],[export]]-표1[[#This Row],[import]])/(표1[[#This Row],[export]]+표1[[#This Row],[import]])</f>
        <v>0.79448413382431249</v>
      </c>
    </row>
    <row r="189" spans="1:8" x14ac:dyDescent="0.3">
      <c r="A189" s="5">
        <v>2023</v>
      </c>
      <c r="B189" s="5">
        <v>2903150000</v>
      </c>
      <c r="C189" s="5" t="s">
        <v>266</v>
      </c>
      <c r="D189" s="6">
        <v>305663.8</v>
      </c>
      <c r="E189" s="6">
        <v>9146</v>
      </c>
      <c r="F189" s="7">
        <f t="shared" si="2"/>
        <v>-296517.8</v>
      </c>
      <c r="G189" t="str">
        <f>IF(표1[[#This Row],[diff]]&gt;0,"import","export")</f>
        <v>export</v>
      </c>
      <c r="H189" s="15">
        <f>ABS(표1[[#This Row],[export]]-표1[[#This Row],[import]])/(표1[[#This Row],[export]]+표1[[#This Row],[import]])</f>
        <v>0.94189507442271492</v>
      </c>
    </row>
    <row r="190" spans="1:8" x14ac:dyDescent="0.3">
      <c r="A190" s="5">
        <v>2024</v>
      </c>
      <c r="B190" s="5">
        <v>2903150000</v>
      </c>
      <c r="C190" s="5" t="s">
        <v>266</v>
      </c>
      <c r="D190" s="6">
        <v>294692</v>
      </c>
      <c r="E190" s="6">
        <v>26341</v>
      </c>
      <c r="F190" s="7">
        <f t="shared" si="2"/>
        <v>-268351</v>
      </c>
      <c r="G190" t="str">
        <f>IF(표1[[#This Row],[diff]]&gt;0,"import","export")</f>
        <v>export</v>
      </c>
      <c r="H190" s="15">
        <f>ABS(표1[[#This Row],[export]]-표1[[#This Row],[import]])/(표1[[#This Row],[export]]+표1[[#This Row],[import]])</f>
        <v>0.83589849018636708</v>
      </c>
    </row>
    <row r="191" spans="1:8" x14ac:dyDescent="0.3">
      <c r="A191" s="5">
        <v>2025</v>
      </c>
      <c r="B191" s="5">
        <v>2903150000</v>
      </c>
      <c r="C191" s="5" t="s">
        <v>266</v>
      </c>
      <c r="D191" s="6">
        <v>569259.19999999995</v>
      </c>
      <c r="E191" s="6">
        <v>43555.1</v>
      </c>
      <c r="F191" s="7">
        <f t="shared" si="2"/>
        <v>-525704.1</v>
      </c>
      <c r="G191" t="str">
        <f>IF(표1[[#This Row],[diff]]&gt;0,"import","export")</f>
        <v>export</v>
      </c>
      <c r="H191" s="15">
        <f>ABS(표1[[#This Row],[export]]-표1[[#This Row],[import]])/(표1[[#This Row],[export]]+표1[[#This Row],[import]])</f>
        <v>0.85785220743053814</v>
      </c>
    </row>
    <row r="192" spans="1:8" x14ac:dyDescent="0.3">
      <c r="A192" s="5">
        <v>2016</v>
      </c>
      <c r="B192" s="5">
        <v>2903210000</v>
      </c>
      <c r="C192" s="5" t="s">
        <v>267</v>
      </c>
      <c r="D192" s="6">
        <v>113073.2</v>
      </c>
      <c r="E192" s="6">
        <v>17255.3</v>
      </c>
      <c r="F192" s="7">
        <f t="shared" si="2"/>
        <v>-95817.9</v>
      </c>
      <c r="G192" t="str">
        <f>IF(표1[[#This Row],[diff]]&gt;0,"import","export")</f>
        <v>export</v>
      </c>
      <c r="H192" s="15">
        <f>ABS(표1[[#This Row],[export]]-표1[[#This Row],[import]])/(표1[[#This Row],[export]]+표1[[#This Row],[import]])</f>
        <v>0.73520296788499828</v>
      </c>
    </row>
    <row r="193" spans="1:8" x14ac:dyDescent="0.3">
      <c r="A193" s="5">
        <v>2017</v>
      </c>
      <c r="B193" s="5">
        <v>2903210000</v>
      </c>
      <c r="C193" s="5" t="s">
        <v>267</v>
      </c>
      <c r="D193" s="6">
        <v>57062.3</v>
      </c>
      <c r="E193" s="6">
        <v>40511.4</v>
      </c>
      <c r="F193" s="7">
        <f t="shared" si="2"/>
        <v>-16550.900000000001</v>
      </c>
      <c r="G193" t="str">
        <f>IF(표1[[#This Row],[diff]]&gt;0,"import","export")</f>
        <v>export</v>
      </c>
      <c r="H193" s="15">
        <f>ABS(표1[[#This Row],[export]]-표1[[#This Row],[import]])/(표1[[#This Row],[export]]+표1[[#This Row],[import]])</f>
        <v>0.16962460171132179</v>
      </c>
    </row>
    <row r="194" spans="1:8" x14ac:dyDescent="0.3">
      <c r="A194" s="5">
        <v>2018</v>
      </c>
      <c r="B194" s="5">
        <v>2903210000</v>
      </c>
      <c r="C194" s="5" t="s">
        <v>267</v>
      </c>
      <c r="D194" s="6">
        <v>56309</v>
      </c>
      <c r="E194" s="6">
        <v>18793.400000000001</v>
      </c>
      <c r="F194" s="7">
        <f t="shared" ref="F194:F257" si="3">E194-D194</f>
        <v>-37515.599999999999</v>
      </c>
      <c r="G194" t="str">
        <f>IF(표1[[#This Row],[diff]]&gt;0,"import","export")</f>
        <v>export</v>
      </c>
      <c r="H194" s="15">
        <f>ABS(표1[[#This Row],[export]]-표1[[#This Row],[import]])/(표1[[#This Row],[export]]+표1[[#This Row],[import]])</f>
        <v>0.49952598052791924</v>
      </c>
    </row>
    <row r="195" spans="1:8" x14ac:dyDescent="0.3">
      <c r="A195" s="5">
        <v>2019</v>
      </c>
      <c r="B195" s="5">
        <v>2903210000</v>
      </c>
      <c r="C195" s="5" t="s">
        <v>267</v>
      </c>
      <c r="D195" s="6">
        <v>212717.3</v>
      </c>
      <c r="E195" s="6">
        <v>36033.4</v>
      </c>
      <c r="F195" s="7">
        <f t="shared" si="3"/>
        <v>-176683.9</v>
      </c>
      <c r="G195" t="str">
        <f>IF(표1[[#This Row],[diff]]&gt;0,"import","export")</f>
        <v>export</v>
      </c>
      <c r="H195" s="15">
        <f>ABS(표1[[#This Row],[export]]-표1[[#This Row],[import]])/(표1[[#This Row],[export]]+표1[[#This Row],[import]])</f>
        <v>0.71028503638381724</v>
      </c>
    </row>
    <row r="196" spans="1:8" x14ac:dyDescent="0.3">
      <c r="A196" s="5">
        <v>2020</v>
      </c>
      <c r="B196" s="5">
        <v>2903210000</v>
      </c>
      <c r="C196" s="5" t="s">
        <v>267</v>
      </c>
      <c r="D196" s="6">
        <v>248303.9</v>
      </c>
      <c r="E196" s="6">
        <v>41265.4</v>
      </c>
      <c r="F196" s="7">
        <f t="shared" si="3"/>
        <v>-207038.5</v>
      </c>
      <c r="G196" t="str">
        <f>IF(표1[[#This Row],[diff]]&gt;0,"import","export")</f>
        <v>export</v>
      </c>
      <c r="H196" s="15">
        <f>ABS(표1[[#This Row],[export]]-표1[[#This Row],[import]])/(표1[[#This Row],[export]]+표1[[#This Row],[import]])</f>
        <v>0.71498774213979177</v>
      </c>
    </row>
    <row r="197" spans="1:8" x14ac:dyDescent="0.3">
      <c r="A197" s="5">
        <v>2021</v>
      </c>
      <c r="B197" s="5">
        <v>2903210000</v>
      </c>
      <c r="C197" s="5" t="s">
        <v>267</v>
      </c>
      <c r="D197" s="6">
        <v>240821.6</v>
      </c>
      <c r="E197" s="6">
        <v>105159.7</v>
      </c>
      <c r="F197" s="7">
        <f t="shared" si="3"/>
        <v>-135661.90000000002</v>
      </c>
      <c r="G197" t="str">
        <f>IF(표1[[#This Row],[diff]]&gt;0,"import","export")</f>
        <v>export</v>
      </c>
      <c r="H197" s="15">
        <f>ABS(표1[[#This Row],[export]]-표1[[#This Row],[import]])/(표1[[#This Row],[export]]+표1[[#This Row],[import]])</f>
        <v>0.39210760812795381</v>
      </c>
    </row>
    <row r="198" spans="1:8" x14ac:dyDescent="0.3">
      <c r="A198" s="5">
        <v>2022</v>
      </c>
      <c r="B198" s="5">
        <v>2903210000</v>
      </c>
      <c r="C198" s="5" t="s">
        <v>267</v>
      </c>
      <c r="D198" s="6">
        <v>149623.29999999999</v>
      </c>
      <c r="E198" s="6">
        <v>88374</v>
      </c>
      <c r="F198" s="7">
        <f t="shared" si="3"/>
        <v>-61249.299999999988</v>
      </c>
      <c r="G198" t="str">
        <f>IF(표1[[#This Row],[diff]]&gt;0,"import","export")</f>
        <v>export</v>
      </c>
      <c r="H198" s="15">
        <f>ABS(표1[[#This Row],[export]]-표1[[#This Row],[import]])/(표1[[#This Row],[export]]+표1[[#This Row],[import]])</f>
        <v>0.25735291954992762</v>
      </c>
    </row>
    <row r="199" spans="1:8" x14ac:dyDescent="0.3">
      <c r="A199" s="5">
        <v>2023</v>
      </c>
      <c r="B199" s="5">
        <v>2903210000</v>
      </c>
      <c r="C199" s="5" t="s">
        <v>267</v>
      </c>
      <c r="D199" s="6">
        <v>147549.4</v>
      </c>
      <c r="E199" s="6">
        <v>60150.9</v>
      </c>
      <c r="F199" s="7">
        <f t="shared" si="3"/>
        <v>-87398.5</v>
      </c>
      <c r="G199" t="str">
        <f>IF(표1[[#This Row],[diff]]&gt;0,"import","export")</f>
        <v>export</v>
      </c>
      <c r="H199" s="15">
        <f>ABS(표1[[#This Row],[export]]-표1[[#This Row],[import]])/(표1[[#This Row],[export]]+표1[[#This Row],[import]])</f>
        <v>0.42079139991612918</v>
      </c>
    </row>
    <row r="200" spans="1:8" x14ac:dyDescent="0.3">
      <c r="A200" s="5">
        <v>2024</v>
      </c>
      <c r="B200" s="5">
        <v>2903210000</v>
      </c>
      <c r="C200" s="5" t="s">
        <v>267</v>
      </c>
      <c r="D200" s="6">
        <v>225396</v>
      </c>
      <c r="E200" s="6">
        <v>56754.6</v>
      </c>
      <c r="F200" s="7">
        <f t="shared" si="3"/>
        <v>-168641.4</v>
      </c>
      <c r="G200" t="str">
        <f>IF(표1[[#This Row],[diff]]&gt;0,"import","export")</f>
        <v>export</v>
      </c>
      <c r="H200" s="15">
        <f>ABS(표1[[#This Row],[export]]-표1[[#This Row],[import]])/(표1[[#This Row],[export]]+표1[[#This Row],[import]])</f>
        <v>0.59769995172790702</v>
      </c>
    </row>
    <row r="201" spans="1:8" x14ac:dyDescent="0.3">
      <c r="A201" s="5">
        <v>2025</v>
      </c>
      <c r="B201" s="5">
        <v>2903210000</v>
      </c>
      <c r="C201" s="5" t="s">
        <v>267</v>
      </c>
      <c r="D201" s="6">
        <v>229212.7</v>
      </c>
      <c r="E201" s="6">
        <v>60173.2</v>
      </c>
      <c r="F201" s="7">
        <f t="shared" si="3"/>
        <v>-169039.5</v>
      </c>
      <c r="G201" t="str">
        <f>IF(표1[[#This Row],[diff]]&gt;0,"import","export")</f>
        <v>export</v>
      </c>
      <c r="H201" s="15">
        <f>ABS(표1[[#This Row],[export]]-표1[[#This Row],[import]])/(표1[[#This Row],[export]]+표1[[#This Row],[import]])</f>
        <v>0.58413177698014995</v>
      </c>
    </row>
    <row r="202" spans="1:8" x14ac:dyDescent="0.3">
      <c r="A202" s="5">
        <v>2016</v>
      </c>
      <c r="B202" s="5">
        <v>2903911000</v>
      </c>
      <c r="C202" s="5" t="s">
        <v>412</v>
      </c>
      <c r="D202" s="6">
        <v>5.4</v>
      </c>
      <c r="E202" s="6">
        <v>1837.8</v>
      </c>
      <c r="F202" s="10">
        <f t="shared" si="3"/>
        <v>1832.3999999999999</v>
      </c>
      <c r="G202" t="str">
        <f>IF(표1[[#This Row],[diff]]&gt;0,"import","export")</f>
        <v>import</v>
      </c>
      <c r="H202" s="15">
        <f>ABS(표1[[#This Row],[export]]-표1[[#This Row],[import]])/(표1[[#This Row],[export]]+표1[[#This Row],[import]])</f>
        <v>0.99414062499999989</v>
      </c>
    </row>
    <row r="203" spans="1:8" x14ac:dyDescent="0.3">
      <c r="A203" s="5">
        <v>2017</v>
      </c>
      <c r="B203" s="5">
        <v>2903911000</v>
      </c>
      <c r="C203" s="5" t="s">
        <v>412</v>
      </c>
      <c r="D203" s="6">
        <v>118.9</v>
      </c>
      <c r="E203" s="6">
        <v>1011.8</v>
      </c>
      <c r="F203" s="10">
        <f t="shared" si="3"/>
        <v>892.9</v>
      </c>
      <c r="G203" t="str">
        <f>IF(표1[[#This Row],[diff]]&gt;0,"import","export")</f>
        <v>import</v>
      </c>
      <c r="H203" s="15">
        <f>ABS(표1[[#This Row],[export]]-표1[[#This Row],[import]])/(표1[[#This Row],[export]]+표1[[#This Row],[import]])</f>
        <v>0.78968780401521177</v>
      </c>
    </row>
    <row r="204" spans="1:8" x14ac:dyDescent="0.3">
      <c r="A204" s="5">
        <v>2018</v>
      </c>
      <c r="B204" s="5">
        <v>2903911000</v>
      </c>
      <c r="C204" s="5" t="s">
        <v>412</v>
      </c>
      <c r="D204" s="6">
        <v>2.2999999999999998</v>
      </c>
      <c r="E204" s="6">
        <v>459.9</v>
      </c>
      <c r="F204" s="10">
        <f t="shared" si="3"/>
        <v>457.59999999999997</v>
      </c>
      <c r="G204" t="str">
        <f>IF(표1[[#This Row],[diff]]&gt;0,"import","export")</f>
        <v>import</v>
      </c>
      <c r="H204" s="15">
        <f>ABS(표1[[#This Row],[export]]-표1[[#This Row],[import]])/(표1[[#This Row],[export]]+표1[[#This Row],[import]])</f>
        <v>0.99004759844223278</v>
      </c>
    </row>
    <row r="205" spans="1:8" x14ac:dyDescent="0.3">
      <c r="A205" s="5">
        <v>2019</v>
      </c>
      <c r="B205" s="5">
        <v>2903911000</v>
      </c>
      <c r="C205" s="5" t="s">
        <v>412</v>
      </c>
      <c r="D205" s="6">
        <v>1</v>
      </c>
      <c r="E205" s="6">
        <v>682.7</v>
      </c>
      <c r="F205" s="10">
        <f t="shared" si="3"/>
        <v>681.7</v>
      </c>
      <c r="G205" t="str">
        <f>IF(표1[[#This Row],[diff]]&gt;0,"import","export")</f>
        <v>import</v>
      </c>
      <c r="H205" s="15">
        <f>ABS(표1[[#This Row],[export]]-표1[[#This Row],[import]])/(표1[[#This Row],[export]]+표1[[#This Row],[import]])</f>
        <v>0.99707474038320898</v>
      </c>
    </row>
    <row r="206" spans="1:8" x14ac:dyDescent="0.3">
      <c r="A206" s="5">
        <v>2020</v>
      </c>
      <c r="B206" s="5">
        <v>2903911000</v>
      </c>
      <c r="C206" s="5" t="s">
        <v>412</v>
      </c>
      <c r="D206" s="6">
        <v>1.5</v>
      </c>
      <c r="E206" s="6">
        <v>662.8</v>
      </c>
      <c r="F206" s="10">
        <f t="shared" si="3"/>
        <v>661.3</v>
      </c>
      <c r="G206" t="str">
        <f>IF(표1[[#This Row],[diff]]&gt;0,"import","export")</f>
        <v>import</v>
      </c>
      <c r="H206" s="15">
        <f>ABS(표1[[#This Row],[export]]-표1[[#This Row],[import]])/(표1[[#This Row],[export]]+표1[[#This Row],[import]])</f>
        <v>0.9954839680867078</v>
      </c>
    </row>
    <row r="207" spans="1:8" x14ac:dyDescent="0.3">
      <c r="A207" s="5">
        <v>2021</v>
      </c>
      <c r="B207" s="5">
        <v>2903911000</v>
      </c>
      <c r="C207" s="5" t="s">
        <v>412</v>
      </c>
      <c r="D207" s="6">
        <v>113</v>
      </c>
      <c r="E207" s="6">
        <v>709.6</v>
      </c>
      <c r="F207" s="10">
        <f t="shared" si="3"/>
        <v>596.6</v>
      </c>
      <c r="G207" t="str">
        <f>IF(표1[[#This Row],[diff]]&gt;0,"import","export")</f>
        <v>import</v>
      </c>
      <c r="H207" s="15">
        <f>ABS(표1[[#This Row],[export]]-표1[[#This Row],[import]])/(표1[[#This Row],[export]]+표1[[#This Row],[import]])</f>
        <v>0.72526136639922201</v>
      </c>
    </row>
    <row r="208" spans="1:8" x14ac:dyDescent="0.3">
      <c r="A208" s="5">
        <v>2016</v>
      </c>
      <c r="B208" s="5">
        <v>2905110000</v>
      </c>
      <c r="C208" s="5" t="s">
        <v>268</v>
      </c>
      <c r="D208" s="6">
        <v>3613.6</v>
      </c>
      <c r="E208" s="6">
        <v>1570487.8</v>
      </c>
      <c r="F208" s="7">
        <f t="shared" si="3"/>
        <v>1566874.2</v>
      </c>
      <c r="G208" t="str">
        <f>IF(표1[[#This Row],[diff]]&gt;0,"import","export")</f>
        <v>import</v>
      </c>
      <c r="H208" s="15">
        <f>ABS(표1[[#This Row],[export]]-표1[[#This Row],[import]])/(표1[[#This Row],[export]]+표1[[#This Row],[import]])</f>
        <v>0.99540868205822053</v>
      </c>
    </row>
    <row r="209" spans="1:8" x14ac:dyDescent="0.3">
      <c r="A209" s="5">
        <v>2017</v>
      </c>
      <c r="B209" s="5">
        <v>2905110000</v>
      </c>
      <c r="C209" s="5" t="s">
        <v>268</v>
      </c>
      <c r="D209" s="6">
        <v>3603.9</v>
      </c>
      <c r="E209" s="6">
        <v>1692017.8</v>
      </c>
      <c r="F209" s="7">
        <f t="shared" si="3"/>
        <v>1688413.9000000001</v>
      </c>
      <c r="G209" t="str">
        <f>IF(표1[[#This Row],[diff]]&gt;0,"import","export")</f>
        <v>import</v>
      </c>
      <c r="H209" s="15">
        <f>ABS(표1[[#This Row],[export]]-표1[[#This Row],[import]])/(표1[[#This Row],[export]]+표1[[#This Row],[import]])</f>
        <v>0.99574916975879713</v>
      </c>
    </row>
    <row r="210" spans="1:8" x14ac:dyDescent="0.3">
      <c r="A210" s="5">
        <v>2018</v>
      </c>
      <c r="B210" s="5">
        <v>2905110000</v>
      </c>
      <c r="C210" s="5" t="s">
        <v>268</v>
      </c>
      <c r="D210" s="5">
        <v>802.4</v>
      </c>
      <c r="E210" s="6">
        <v>1893151.6</v>
      </c>
      <c r="F210" s="7">
        <f t="shared" si="3"/>
        <v>1892349.2000000002</v>
      </c>
      <c r="G210" t="str">
        <f>IF(표1[[#This Row],[diff]]&gt;0,"import","export")</f>
        <v>import</v>
      </c>
      <c r="H210" s="15">
        <f>ABS(표1[[#This Row],[export]]-표1[[#This Row],[import]])/(표1[[#This Row],[export]]+표1[[#This Row],[import]])</f>
        <v>0.99915267213459258</v>
      </c>
    </row>
    <row r="211" spans="1:8" x14ac:dyDescent="0.3">
      <c r="A211" s="5">
        <v>2019</v>
      </c>
      <c r="B211" s="5">
        <v>2905110000</v>
      </c>
      <c r="C211" s="5" t="s">
        <v>268</v>
      </c>
      <c r="D211" s="6">
        <v>20276.099999999999</v>
      </c>
      <c r="E211" s="6">
        <v>1775385.9</v>
      </c>
      <c r="F211" s="7">
        <f t="shared" si="3"/>
        <v>1755109.7999999998</v>
      </c>
      <c r="G211" t="str">
        <f>IF(표1[[#This Row],[diff]]&gt;0,"import","export")</f>
        <v>import</v>
      </c>
      <c r="H211" s="15">
        <f>ABS(표1[[#This Row],[export]]-표1[[#This Row],[import]])/(표1[[#This Row],[export]]+표1[[#This Row],[import]])</f>
        <v>0.97741657394320303</v>
      </c>
    </row>
    <row r="212" spans="1:8" x14ac:dyDescent="0.3">
      <c r="A212" s="5">
        <v>2020</v>
      </c>
      <c r="B212" s="5">
        <v>2905110000</v>
      </c>
      <c r="C212" s="5" t="s">
        <v>268</v>
      </c>
      <c r="D212" s="6">
        <v>5053.8</v>
      </c>
      <c r="E212" s="6">
        <v>1783853.6</v>
      </c>
      <c r="F212" s="7">
        <f t="shared" si="3"/>
        <v>1778799.8</v>
      </c>
      <c r="G212" t="str">
        <f>IF(표1[[#This Row],[diff]]&gt;0,"import","export")</f>
        <v>import</v>
      </c>
      <c r="H212" s="15">
        <f>ABS(표1[[#This Row],[export]]-표1[[#This Row],[import]])/(표1[[#This Row],[export]]+표1[[#This Row],[import]])</f>
        <v>0.99434984728667342</v>
      </c>
    </row>
    <row r="213" spans="1:8" x14ac:dyDescent="0.3">
      <c r="A213" s="5">
        <v>2021</v>
      </c>
      <c r="B213" s="5">
        <v>2905110000</v>
      </c>
      <c r="C213" s="5" t="s">
        <v>268</v>
      </c>
      <c r="D213" s="6">
        <v>12301.8</v>
      </c>
      <c r="E213" s="6">
        <v>2017779.6</v>
      </c>
      <c r="F213" s="7">
        <f t="shared" si="3"/>
        <v>2005477.8</v>
      </c>
      <c r="G213" t="str">
        <f>IF(표1[[#This Row],[diff]]&gt;0,"import","export")</f>
        <v>import</v>
      </c>
      <c r="H213" s="15">
        <f>ABS(표1[[#This Row],[export]]-표1[[#This Row],[import]])/(표1[[#This Row],[export]]+표1[[#This Row],[import]])</f>
        <v>0.98788048597460176</v>
      </c>
    </row>
    <row r="214" spans="1:8" x14ac:dyDescent="0.3">
      <c r="A214" s="5">
        <v>2022</v>
      </c>
      <c r="B214" s="5">
        <v>2905110000</v>
      </c>
      <c r="C214" s="5" t="s">
        <v>268</v>
      </c>
      <c r="D214" s="5">
        <v>983.3</v>
      </c>
      <c r="E214" s="6">
        <v>2047431.2</v>
      </c>
      <c r="F214" s="7">
        <f t="shared" si="3"/>
        <v>2046447.9</v>
      </c>
      <c r="G214" t="str">
        <f>IF(표1[[#This Row],[diff]]&gt;0,"import","export")</f>
        <v>import</v>
      </c>
      <c r="H214" s="15">
        <f>ABS(표1[[#This Row],[export]]-표1[[#This Row],[import]])/(표1[[#This Row],[export]]+표1[[#This Row],[import]])</f>
        <v>0.99903994040268695</v>
      </c>
    </row>
    <row r="215" spans="1:8" x14ac:dyDescent="0.3">
      <c r="A215" s="5">
        <v>2023</v>
      </c>
      <c r="B215" s="5">
        <v>2905110000</v>
      </c>
      <c r="C215" s="5" t="s">
        <v>268</v>
      </c>
      <c r="D215" s="6">
        <v>1154.3</v>
      </c>
      <c r="E215" s="6">
        <v>1884646.3</v>
      </c>
      <c r="F215" s="7">
        <f t="shared" si="3"/>
        <v>1883492</v>
      </c>
      <c r="G215" t="str">
        <f>IF(표1[[#This Row],[diff]]&gt;0,"import","export")</f>
        <v>import</v>
      </c>
      <c r="H215" s="15">
        <f>ABS(표1[[#This Row],[export]]-표1[[#This Row],[import]])/(표1[[#This Row],[export]]+표1[[#This Row],[import]])</f>
        <v>0.99877579845928566</v>
      </c>
    </row>
    <row r="216" spans="1:8" x14ac:dyDescent="0.3">
      <c r="A216" s="5">
        <v>2024</v>
      </c>
      <c r="B216" s="5">
        <v>2905110000</v>
      </c>
      <c r="C216" s="5" t="s">
        <v>268</v>
      </c>
      <c r="D216" s="6">
        <v>1490.4</v>
      </c>
      <c r="E216" s="6">
        <v>2002709.1</v>
      </c>
      <c r="F216" s="7">
        <f t="shared" si="3"/>
        <v>2001218.7000000002</v>
      </c>
      <c r="G216" t="str">
        <f>IF(표1[[#This Row],[diff]]&gt;0,"import","export")</f>
        <v>import</v>
      </c>
      <c r="H216" s="15">
        <f>ABS(표1[[#This Row],[export]]-표1[[#This Row],[import]])/(표1[[#This Row],[export]]+표1[[#This Row],[import]])</f>
        <v>0.99851272291006965</v>
      </c>
    </row>
    <row r="217" spans="1:8" x14ac:dyDescent="0.3">
      <c r="A217" s="5">
        <v>2025</v>
      </c>
      <c r="B217" s="5">
        <v>2905110000</v>
      </c>
      <c r="C217" s="5" t="s">
        <v>268</v>
      </c>
      <c r="D217" s="6">
        <v>1450.6</v>
      </c>
      <c r="E217" s="6">
        <v>1991015.6</v>
      </c>
      <c r="F217" s="7">
        <f t="shared" si="3"/>
        <v>1989565</v>
      </c>
      <c r="G217" t="str">
        <f>IF(표1[[#This Row],[diff]]&gt;0,"import","export")</f>
        <v>import</v>
      </c>
      <c r="H217" s="15">
        <f>ABS(표1[[#This Row],[export]]-표1[[#This Row],[import]])/(표1[[#This Row],[export]]+표1[[#This Row],[import]])</f>
        <v>0.998543915073691</v>
      </c>
    </row>
    <row r="218" spans="1:8" x14ac:dyDescent="0.3">
      <c r="A218" s="5">
        <v>2016</v>
      </c>
      <c r="B218" s="5">
        <v>2905121000</v>
      </c>
      <c r="C218" s="5" t="s">
        <v>269</v>
      </c>
      <c r="D218" s="5">
        <v>14.4</v>
      </c>
      <c r="E218" s="5">
        <v>943.3</v>
      </c>
      <c r="F218" s="7">
        <f t="shared" si="3"/>
        <v>928.9</v>
      </c>
      <c r="G218" t="str">
        <f>IF(표1[[#This Row],[diff]]&gt;0,"import","export")</f>
        <v>import</v>
      </c>
      <c r="H218" s="15">
        <f>ABS(표1[[#This Row],[export]]-표1[[#This Row],[import]])/(표1[[#This Row],[export]]+표1[[#This Row],[import]])</f>
        <v>0.96992795238592466</v>
      </c>
    </row>
    <row r="219" spans="1:8" x14ac:dyDescent="0.3">
      <c r="A219" s="5">
        <v>2017</v>
      </c>
      <c r="B219" s="5">
        <v>2905121000</v>
      </c>
      <c r="C219" s="5" t="s">
        <v>269</v>
      </c>
      <c r="D219" s="5">
        <v>19.399999999999999</v>
      </c>
      <c r="E219" s="6">
        <v>2266.8000000000002</v>
      </c>
      <c r="F219" s="7">
        <f t="shared" si="3"/>
        <v>2247.4</v>
      </c>
      <c r="G219" t="str">
        <f>IF(표1[[#This Row],[diff]]&gt;0,"import","export")</f>
        <v>import</v>
      </c>
      <c r="H219" s="15">
        <f>ABS(표1[[#This Row],[export]]-표1[[#This Row],[import]])/(표1[[#This Row],[export]]+표1[[#This Row],[import]])</f>
        <v>0.98302860642113543</v>
      </c>
    </row>
    <row r="220" spans="1:8" x14ac:dyDescent="0.3">
      <c r="A220" s="5">
        <v>2018</v>
      </c>
      <c r="B220" s="5">
        <v>2905121000</v>
      </c>
      <c r="C220" s="5" t="s">
        <v>269</v>
      </c>
      <c r="D220" s="5">
        <v>4.8</v>
      </c>
      <c r="E220" s="6">
        <v>2055.3000000000002</v>
      </c>
      <c r="F220" s="7">
        <f t="shared" si="3"/>
        <v>2050.5</v>
      </c>
      <c r="G220" t="str">
        <f>IF(표1[[#This Row],[diff]]&gt;0,"import","export")</f>
        <v>import</v>
      </c>
      <c r="H220" s="15">
        <f>ABS(표1[[#This Row],[export]]-표1[[#This Row],[import]])/(표1[[#This Row],[export]]+표1[[#This Row],[import]])</f>
        <v>0.99534003203727961</v>
      </c>
    </row>
    <row r="221" spans="1:8" x14ac:dyDescent="0.3">
      <c r="A221" s="5">
        <v>2019</v>
      </c>
      <c r="B221" s="5">
        <v>2905121000</v>
      </c>
      <c r="C221" s="5" t="s">
        <v>269</v>
      </c>
      <c r="D221" s="5">
        <v>4.5999999999999996</v>
      </c>
      <c r="E221" s="6">
        <v>1587.3</v>
      </c>
      <c r="F221" s="7">
        <f t="shared" si="3"/>
        <v>1582.7</v>
      </c>
      <c r="G221" t="str">
        <f>IF(표1[[#This Row],[diff]]&gt;0,"import","export")</f>
        <v>import</v>
      </c>
      <c r="H221" s="15">
        <f>ABS(표1[[#This Row],[export]]-표1[[#This Row],[import]])/(표1[[#This Row],[export]]+표1[[#This Row],[import]])</f>
        <v>0.99422074250895165</v>
      </c>
    </row>
    <row r="222" spans="1:8" x14ac:dyDescent="0.3">
      <c r="A222" s="5">
        <v>2020</v>
      </c>
      <c r="B222" s="5">
        <v>2905121000</v>
      </c>
      <c r="C222" s="5" t="s">
        <v>269</v>
      </c>
      <c r="D222" s="5">
        <v>109.7</v>
      </c>
      <c r="E222" s="6">
        <v>2304.6</v>
      </c>
      <c r="F222" s="7">
        <f t="shared" si="3"/>
        <v>2194.9</v>
      </c>
      <c r="G222" t="str">
        <f>IF(표1[[#This Row],[diff]]&gt;0,"import","export")</f>
        <v>import</v>
      </c>
      <c r="H222" s="15">
        <f>ABS(표1[[#This Row],[export]]-표1[[#This Row],[import]])/(표1[[#This Row],[export]]+표1[[#This Row],[import]])</f>
        <v>0.90912479807811797</v>
      </c>
    </row>
    <row r="223" spans="1:8" x14ac:dyDescent="0.3">
      <c r="A223" s="5">
        <v>2021</v>
      </c>
      <c r="B223" s="5">
        <v>2905121000</v>
      </c>
      <c r="C223" s="5" t="s">
        <v>269</v>
      </c>
      <c r="D223" s="5">
        <v>390.2</v>
      </c>
      <c r="E223" s="6">
        <v>3619.7</v>
      </c>
      <c r="F223" s="7">
        <f t="shared" si="3"/>
        <v>3229.5</v>
      </c>
      <c r="G223" t="str">
        <f>IF(표1[[#This Row],[diff]]&gt;0,"import","export")</f>
        <v>import</v>
      </c>
      <c r="H223" s="15">
        <f>ABS(표1[[#This Row],[export]]-표1[[#This Row],[import]])/(표1[[#This Row],[export]]+표1[[#This Row],[import]])</f>
        <v>0.80538168034115576</v>
      </c>
    </row>
    <row r="224" spans="1:8" x14ac:dyDescent="0.3">
      <c r="A224" s="5">
        <v>2022</v>
      </c>
      <c r="B224" s="5">
        <v>2905121000</v>
      </c>
      <c r="C224" s="5" t="s">
        <v>269</v>
      </c>
      <c r="D224" s="5">
        <v>515.6</v>
      </c>
      <c r="E224" s="6">
        <v>2426.6999999999998</v>
      </c>
      <c r="F224" s="7">
        <f t="shared" si="3"/>
        <v>1911.1</v>
      </c>
      <c r="G224" t="str">
        <f>IF(표1[[#This Row],[diff]]&gt;0,"import","export")</f>
        <v>import</v>
      </c>
      <c r="H224" s="15">
        <f>ABS(표1[[#This Row],[export]]-표1[[#This Row],[import]])/(표1[[#This Row],[export]]+표1[[#This Row],[import]])</f>
        <v>0.64952588111341469</v>
      </c>
    </row>
    <row r="225" spans="1:8" x14ac:dyDescent="0.3">
      <c r="A225" s="5">
        <v>2023</v>
      </c>
      <c r="B225" s="5">
        <v>2905121000</v>
      </c>
      <c r="C225" s="5" t="s">
        <v>269</v>
      </c>
      <c r="D225" s="5">
        <v>267.39999999999998</v>
      </c>
      <c r="E225" s="6">
        <v>2849.9</v>
      </c>
      <c r="F225" s="7">
        <f t="shared" si="3"/>
        <v>2582.5</v>
      </c>
      <c r="G225" t="str">
        <f>IF(표1[[#This Row],[diff]]&gt;0,"import","export")</f>
        <v>import</v>
      </c>
      <c r="H225" s="15">
        <f>ABS(표1[[#This Row],[export]]-표1[[#This Row],[import]])/(표1[[#This Row],[export]]+표1[[#This Row],[import]])</f>
        <v>0.82844127931222522</v>
      </c>
    </row>
    <row r="226" spans="1:8" x14ac:dyDescent="0.3">
      <c r="A226" s="5">
        <v>2024</v>
      </c>
      <c r="B226" s="5">
        <v>2905121000</v>
      </c>
      <c r="C226" s="5" t="s">
        <v>269</v>
      </c>
      <c r="D226" s="5">
        <v>173.8</v>
      </c>
      <c r="E226" s="6">
        <v>2878.8</v>
      </c>
      <c r="F226" s="7">
        <f t="shared" si="3"/>
        <v>2705</v>
      </c>
      <c r="G226" t="str">
        <f>IF(표1[[#This Row],[diff]]&gt;0,"import","export")</f>
        <v>import</v>
      </c>
      <c r="H226" s="15">
        <f>ABS(표1[[#This Row],[export]]-표1[[#This Row],[import]])/(표1[[#This Row],[export]]+표1[[#This Row],[import]])</f>
        <v>0.88612985651575693</v>
      </c>
    </row>
    <row r="227" spans="1:8" x14ac:dyDescent="0.3">
      <c r="A227" s="5">
        <v>2025</v>
      </c>
      <c r="B227" s="5">
        <v>2905121000</v>
      </c>
      <c r="C227" s="5" t="s">
        <v>269</v>
      </c>
      <c r="D227" s="5">
        <v>243</v>
      </c>
      <c r="E227" s="6">
        <v>2730.7</v>
      </c>
      <c r="F227" s="7">
        <f t="shared" si="3"/>
        <v>2487.6999999999998</v>
      </c>
      <c r="G227" t="str">
        <f>IF(표1[[#This Row],[diff]]&gt;0,"import","export")</f>
        <v>import</v>
      </c>
      <c r="H227" s="15">
        <f>ABS(표1[[#This Row],[export]]-표1[[#This Row],[import]])/(표1[[#This Row],[export]]+표1[[#This Row],[import]])</f>
        <v>0.8365672394659851</v>
      </c>
    </row>
    <row r="228" spans="1:8" x14ac:dyDescent="0.3">
      <c r="A228" s="5">
        <v>2016</v>
      </c>
      <c r="B228" s="5">
        <v>2905130000</v>
      </c>
      <c r="C228" s="5" t="s">
        <v>270</v>
      </c>
      <c r="D228" s="5">
        <v>92.4</v>
      </c>
      <c r="E228" s="6">
        <v>88056.3</v>
      </c>
      <c r="F228" s="7">
        <f t="shared" si="3"/>
        <v>87963.900000000009</v>
      </c>
      <c r="G228" t="str">
        <f>IF(표1[[#This Row],[diff]]&gt;0,"import","export")</f>
        <v>import</v>
      </c>
      <c r="H228" s="15">
        <f>ABS(표1[[#This Row],[export]]-표1[[#This Row],[import]])/(표1[[#This Row],[export]]+표1[[#This Row],[import]])</f>
        <v>0.99790354253664559</v>
      </c>
    </row>
    <row r="229" spans="1:8" x14ac:dyDescent="0.3">
      <c r="A229" s="5">
        <v>2017</v>
      </c>
      <c r="B229" s="5">
        <v>2905130000</v>
      </c>
      <c r="C229" s="5" t="s">
        <v>270</v>
      </c>
      <c r="D229" s="5">
        <v>92.2</v>
      </c>
      <c r="E229" s="6">
        <v>74481.7</v>
      </c>
      <c r="F229" s="7">
        <f t="shared" si="3"/>
        <v>74389.5</v>
      </c>
      <c r="G229" t="str">
        <f>IF(표1[[#This Row],[diff]]&gt;0,"import","export")</f>
        <v>import</v>
      </c>
      <c r="H229" s="15">
        <f>ABS(표1[[#This Row],[export]]-표1[[#This Row],[import]])/(표1[[#This Row],[export]]+표1[[#This Row],[import]])</f>
        <v>0.99752728501526677</v>
      </c>
    </row>
    <row r="230" spans="1:8" x14ac:dyDescent="0.3">
      <c r="A230" s="5">
        <v>2018</v>
      </c>
      <c r="B230" s="5">
        <v>2905130000</v>
      </c>
      <c r="C230" s="5" t="s">
        <v>270</v>
      </c>
      <c r="D230" s="5">
        <v>193.4</v>
      </c>
      <c r="E230" s="6">
        <v>77541.100000000006</v>
      </c>
      <c r="F230" s="7">
        <f t="shared" si="3"/>
        <v>77347.700000000012</v>
      </c>
      <c r="G230" t="str">
        <f>IF(표1[[#This Row],[diff]]&gt;0,"import","export")</f>
        <v>import</v>
      </c>
      <c r="H230" s="15">
        <f>ABS(표1[[#This Row],[export]]-표1[[#This Row],[import]])/(표1[[#This Row],[export]]+표1[[#This Row],[import]])</f>
        <v>0.99502408840347611</v>
      </c>
    </row>
    <row r="231" spans="1:8" x14ac:dyDescent="0.3">
      <c r="A231" s="5">
        <v>2019</v>
      </c>
      <c r="B231" s="5">
        <v>2905130000</v>
      </c>
      <c r="C231" s="5" t="s">
        <v>270</v>
      </c>
      <c r="D231" s="5">
        <v>42</v>
      </c>
      <c r="E231" s="6">
        <v>67516.5</v>
      </c>
      <c r="F231" s="7">
        <f t="shared" si="3"/>
        <v>67474.5</v>
      </c>
      <c r="G231" t="str">
        <f>IF(표1[[#This Row],[diff]]&gt;0,"import","export")</f>
        <v>import</v>
      </c>
      <c r="H231" s="15">
        <f>ABS(표1[[#This Row],[export]]-표1[[#This Row],[import]])/(표1[[#This Row],[export]]+표1[[#This Row],[import]])</f>
        <v>0.99875663314016738</v>
      </c>
    </row>
    <row r="232" spans="1:8" x14ac:dyDescent="0.3">
      <c r="A232" s="5">
        <v>2020</v>
      </c>
      <c r="B232" s="5">
        <v>2905130000</v>
      </c>
      <c r="C232" s="5" t="s">
        <v>270</v>
      </c>
      <c r="D232" s="5">
        <v>274.8</v>
      </c>
      <c r="E232" s="6">
        <v>51887.4</v>
      </c>
      <c r="F232" s="7">
        <f t="shared" si="3"/>
        <v>51612.6</v>
      </c>
      <c r="G232" t="str">
        <f>IF(표1[[#This Row],[diff]]&gt;0,"import","export")</f>
        <v>import</v>
      </c>
      <c r="H232" s="15">
        <f>ABS(표1[[#This Row],[export]]-표1[[#This Row],[import]])/(표1[[#This Row],[export]]+표1[[#This Row],[import]])</f>
        <v>0.98946363458596442</v>
      </c>
    </row>
    <row r="233" spans="1:8" x14ac:dyDescent="0.3">
      <c r="A233" s="5">
        <v>2021</v>
      </c>
      <c r="B233" s="5">
        <v>2905130000</v>
      </c>
      <c r="C233" s="5" t="s">
        <v>270</v>
      </c>
      <c r="D233" s="5">
        <v>327.7</v>
      </c>
      <c r="E233" s="6">
        <v>56933.1</v>
      </c>
      <c r="F233" s="7">
        <f t="shared" si="3"/>
        <v>56605.4</v>
      </c>
      <c r="G233" t="str">
        <f>IF(표1[[#This Row],[diff]]&gt;0,"import","export")</f>
        <v>import</v>
      </c>
      <c r="H233" s="15">
        <f>ABS(표1[[#This Row],[export]]-표1[[#This Row],[import]])/(표1[[#This Row],[export]]+표1[[#This Row],[import]])</f>
        <v>0.9885541242874708</v>
      </c>
    </row>
    <row r="234" spans="1:8" x14ac:dyDescent="0.3">
      <c r="A234" s="5">
        <v>2022</v>
      </c>
      <c r="B234" s="5">
        <v>2905130000</v>
      </c>
      <c r="C234" s="5" t="s">
        <v>270</v>
      </c>
      <c r="D234" s="5">
        <v>110.1</v>
      </c>
      <c r="E234" s="6">
        <v>52201.2</v>
      </c>
      <c r="F234" s="7">
        <f t="shared" si="3"/>
        <v>52091.1</v>
      </c>
      <c r="G234" t="str">
        <f>IF(표1[[#This Row],[diff]]&gt;0,"import","export")</f>
        <v>import</v>
      </c>
      <c r="H234" s="15">
        <f>ABS(표1[[#This Row],[export]]-표1[[#This Row],[import]])/(표1[[#This Row],[export]]+표1[[#This Row],[import]])</f>
        <v>0.9957905844435142</v>
      </c>
    </row>
    <row r="235" spans="1:8" x14ac:dyDescent="0.3">
      <c r="A235" s="5">
        <v>2023</v>
      </c>
      <c r="B235" s="5">
        <v>2905130000</v>
      </c>
      <c r="C235" s="5" t="s">
        <v>270</v>
      </c>
      <c r="D235" s="5">
        <v>147.6</v>
      </c>
      <c r="E235" s="6">
        <v>64009.9</v>
      </c>
      <c r="F235" s="7">
        <f t="shared" si="3"/>
        <v>63862.3</v>
      </c>
      <c r="G235" t="str">
        <f>IF(표1[[#This Row],[diff]]&gt;0,"import","export")</f>
        <v>import</v>
      </c>
      <c r="H235" s="15">
        <f>ABS(표1[[#This Row],[export]]-표1[[#This Row],[import]])/(표1[[#This Row],[export]]+표1[[#This Row],[import]])</f>
        <v>0.99539882320851036</v>
      </c>
    </row>
    <row r="236" spans="1:8" x14ac:dyDescent="0.3">
      <c r="A236" s="5">
        <v>2024</v>
      </c>
      <c r="B236" s="5">
        <v>2905130000</v>
      </c>
      <c r="C236" s="5" t="s">
        <v>270</v>
      </c>
      <c r="D236" s="5">
        <v>119</v>
      </c>
      <c r="E236" s="6">
        <v>56516.9</v>
      </c>
      <c r="F236" s="7">
        <f t="shared" si="3"/>
        <v>56397.9</v>
      </c>
      <c r="G236" t="str">
        <f>IF(표1[[#This Row],[diff]]&gt;0,"import","export")</f>
        <v>import</v>
      </c>
      <c r="H236" s="15">
        <f>ABS(표1[[#This Row],[export]]-표1[[#This Row],[import]])/(표1[[#This Row],[export]]+표1[[#This Row],[import]])</f>
        <v>0.99579771840828879</v>
      </c>
    </row>
    <row r="237" spans="1:8" x14ac:dyDescent="0.3">
      <c r="A237" s="5">
        <v>2025</v>
      </c>
      <c r="B237" s="5">
        <v>2905130000</v>
      </c>
      <c r="C237" s="5" t="s">
        <v>270</v>
      </c>
      <c r="D237" s="5">
        <v>215.7</v>
      </c>
      <c r="E237" s="6">
        <v>67454.100000000006</v>
      </c>
      <c r="F237" s="7">
        <f t="shared" si="3"/>
        <v>67238.400000000009</v>
      </c>
      <c r="G237" t="str">
        <f>IF(표1[[#This Row],[diff]]&gt;0,"import","export")</f>
        <v>import</v>
      </c>
      <c r="H237" s="15">
        <f>ABS(표1[[#This Row],[export]]-표1[[#This Row],[import]])/(표1[[#This Row],[export]]+표1[[#This Row],[import]])</f>
        <v>0.99362492574235484</v>
      </c>
    </row>
    <row r="238" spans="1:8" x14ac:dyDescent="0.3">
      <c r="A238" s="5">
        <v>2016</v>
      </c>
      <c r="B238" s="5">
        <v>2905161000</v>
      </c>
      <c r="C238" s="5" t="s">
        <v>271</v>
      </c>
      <c r="D238" s="6">
        <v>104309.3</v>
      </c>
      <c r="E238" s="6">
        <v>156351.29999999999</v>
      </c>
      <c r="F238" s="7">
        <f t="shared" si="3"/>
        <v>52041.999999999985</v>
      </c>
      <c r="G238" t="str">
        <f>IF(표1[[#This Row],[diff]]&gt;0,"import","export")</f>
        <v>import</v>
      </c>
      <c r="H238" s="15">
        <f>ABS(표1[[#This Row],[export]]-표1[[#This Row],[import]])/(표1[[#This Row],[export]]+표1[[#This Row],[import]])</f>
        <v>0.19965426305318099</v>
      </c>
    </row>
    <row r="239" spans="1:8" x14ac:dyDescent="0.3">
      <c r="A239" s="5">
        <v>2017</v>
      </c>
      <c r="B239" s="5">
        <v>2905161000</v>
      </c>
      <c r="C239" s="5" t="s">
        <v>271</v>
      </c>
      <c r="D239" s="6">
        <v>48522.1</v>
      </c>
      <c r="E239" s="6">
        <v>126659.6</v>
      </c>
      <c r="F239" s="7">
        <f t="shared" si="3"/>
        <v>78137.5</v>
      </c>
      <c r="G239" t="str">
        <f>IF(표1[[#This Row],[diff]]&gt;0,"import","export")</f>
        <v>import</v>
      </c>
      <c r="H239" s="15">
        <f>ABS(표1[[#This Row],[export]]-표1[[#This Row],[import]])/(표1[[#This Row],[export]]+표1[[#This Row],[import]])</f>
        <v>0.4460368862729383</v>
      </c>
    </row>
    <row r="240" spans="1:8" x14ac:dyDescent="0.3">
      <c r="A240" s="5">
        <v>2018</v>
      </c>
      <c r="B240" s="5">
        <v>2905161000</v>
      </c>
      <c r="C240" s="5" t="s">
        <v>271</v>
      </c>
      <c r="D240" s="6">
        <v>47456</v>
      </c>
      <c r="E240" s="6">
        <v>125779.9</v>
      </c>
      <c r="F240" s="7">
        <f t="shared" si="3"/>
        <v>78323.899999999994</v>
      </c>
      <c r="G240" t="str">
        <f>IF(표1[[#This Row],[diff]]&gt;0,"import","export")</f>
        <v>import</v>
      </c>
      <c r="H240" s="15">
        <f>ABS(표1[[#This Row],[export]]-표1[[#This Row],[import]])/(표1[[#This Row],[export]]+표1[[#This Row],[import]])</f>
        <v>0.45212279902722241</v>
      </c>
    </row>
    <row r="241" spans="1:8" x14ac:dyDescent="0.3">
      <c r="A241" s="5">
        <v>2019</v>
      </c>
      <c r="B241" s="5">
        <v>2905161000</v>
      </c>
      <c r="C241" s="5" t="s">
        <v>271</v>
      </c>
      <c r="D241" s="6">
        <v>49152.1</v>
      </c>
      <c r="E241" s="6">
        <v>79272.5</v>
      </c>
      <c r="F241" s="7">
        <f t="shared" si="3"/>
        <v>30120.400000000001</v>
      </c>
      <c r="G241" t="str">
        <f>IF(표1[[#This Row],[diff]]&gt;0,"import","export")</f>
        <v>import</v>
      </c>
      <c r="H241" s="15">
        <f>ABS(표1[[#This Row],[export]]-표1[[#This Row],[import]])/(표1[[#This Row],[export]]+표1[[#This Row],[import]])</f>
        <v>0.23453761973952031</v>
      </c>
    </row>
    <row r="242" spans="1:8" x14ac:dyDescent="0.3">
      <c r="A242" s="5">
        <v>2020</v>
      </c>
      <c r="B242" s="5">
        <v>2905161000</v>
      </c>
      <c r="C242" s="5" t="s">
        <v>271</v>
      </c>
      <c r="D242" s="6">
        <v>67421.7</v>
      </c>
      <c r="E242" s="6">
        <v>73255.3</v>
      </c>
      <c r="F242" s="7">
        <f t="shared" si="3"/>
        <v>5833.6000000000058</v>
      </c>
      <c r="G242" t="str">
        <f>IF(표1[[#This Row],[diff]]&gt;0,"import","export")</f>
        <v>import</v>
      </c>
      <c r="H242" s="15">
        <f>ABS(표1[[#This Row],[export]]-표1[[#This Row],[import]])/(표1[[#This Row],[export]]+표1[[#This Row],[import]])</f>
        <v>4.1468043816686492E-2</v>
      </c>
    </row>
    <row r="243" spans="1:8" x14ac:dyDescent="0.3">
      <c r="A243" s="5">
        <v>2021</v>
      </c>
      <c r="B243" s="5">
        <v>2905161000</v>
      </c>
      <c r="C243" s="5" t="s">
        <v>271</v>
      </c>
      <c r="D243" s="6">
        <v>93770.1</v>
      </c>
      <c r="E243" s="6">
        <v>66394.2</v>
      </c>
      <c r="F243" s="7">
        <f t="shared" si="3"/>
        <v>-27375.900000000009</v>
      </c>
      <c r="G243" t="str">
        <f>IF(표1[[#This Row],[diff]]&gt;0,"import","export")</f>
        <v>export</v>
      </c>
      <c r="H243" s="15">
        <f>ABS(표1[[#This Row],[export]]-표1[[#This Row],[import]])/(표1[[#This Row],[export]]+표1[[#This Row],[import]])</f>
        <v>0.17092385756376427</v>
      </c>
    </row>
    <row r="244" spans="1:8" x14ac:dyDescent="0.3">
      <c r="A244" s="5">
        <v>2022</v>
      </c>
      <c r="B244" s="5">
        <v>2905161000</v>
      </c>
      <c r="C244" s="5" t="s">
        <v>271</v>
      </c>
      <c r="D244" s="6">
        <v>89003.4</v>
      </c>
      <c r="E244" s="6">
        <v>29010.7</v>
      </c>
      <c r="F244" s="7">
        <f t="shared" si="3"/>
        <v>-59992.7</v>
      </c>
      <c r="G244" t="str">
        <f>IF(표1[[#This Row],[diff]]&gt;0,"import","export")</f>
        <v>export</v>
      </c>
      <c r="H244" s="15">
        <f>ABS(표1[[#This Row],[export]]-표1[[#This Row],[import]])/(표1[[#This Row],[export]]+표1[[#This Row],[import]])</f>
        <v>0.50835196811228489</v>
      </c>
    </row>
    <row r="245" spans="1:8" x14ac:dyDescent="0.3">
      <c r="A245" s="5">
        <v>2023</v>
      </c>
      <c r="B245" s="5">
        <v>2905161000</v>
      </c>
      <c r="C245" s="5" t="s">
        <v>271</v>
      </c>
      <c r="D245" s="6">
        <v>97073.1</v>
      </c>
      <c r="E245" s="6">
        <v>40635.300000000003</v>
      </c>
      <c r="F245" s="7">
        <f t="shared" si="3"/>
        <v>-56437.8</v>
      </c>
      <c r="G245" t="str">
        <f>IF(표1[[#This Row],[diff]]&gt;0,"import","export")</f>
        <v>export</v>
      </c>
      <c r="H245" s="15">
        <f>ABS(표1[[#This Row],[export]]-표1[[#This Row],[import]])/(표1[[#This Row],[export]]+표1[[#This Row],[import]])</f>
        <v>0.40983556558641299</v>
      </c>
    </row>
    <row r="246" spans="1:8" x14ac:dyDescent="0.3">
      <c r="A246" s="5">
        <v>2024</v>
      </c>
      <c r="B246" s="5">
        <v>2905161000</v>
      </c>
      <c r="C246" s="5" t="s">
        <v>271</v>
      </c>
      <c r="D246" s="6">
        <v>136048.70000000001</v>
      </c>
      <c r="E246" s="6">
        <v>23995.3</v>
      </c>
      <c r="F246" s="7">
        <f t="shared" si="3"/>
        <v>-112053.40000000001</v>
      </c>
      <c r="G246" t="str">
        <f>IF(표1[[#This Row],[diff]]&gt;0,"import","export")</f>
        <v>export</v>
      </c>
      <c r="H246" s="15">
        <f>ABS(표1[[#This Row],[export]]-표1[[#This Row],[import]])/(표1[[#This Row],[export]]+표1[[#This Row],[import]])</f>
        <v>0.70014121116692918</v>
      </c>
    </row>
    <row r="247" spans="1:8" x14ac:dyDescent="0.3">
      <c r="A247" s="5">
        <v>2025</v>
      </c>
      <c r="B247" s="5">
        <v>2905161000</v>
      </c>
      <c r="C247" s="5" t="s">
        <v>271</v>
      </c>
      <c r="D247" s="6">
        <v>17677.400000000001</v>
      </c>
      <c r="E247" s="6">
        <v>59285.4</v>
      </c>
      <c r="F247" s="7">
        <f t="shared" si="3"/>
        <v>41608</v>
      </c>
      <c r="G247" t="str">
        <f>IF(표1[[#This Row],[diff]]&gt;0,"import","export")</f>
        <v>import</v>
      </c>
      <c r="H247" s="15">
        <f>ABS(표1[[#This Row],[export]]-표1[[#This Row],[import]])/(표1[[#This Row],[export]]+표1[[#This Row],[import]])</f>
        <v>0.54062482134225887</v>
      </c>
    </row>
    <row r="248" spans="1:8" x14ac:dyDescent="0.3">
      <c r="A248" s="5">
        <v>2016</v>
      </c>
      <c r="B248" s="5">
        <v>2905310000</v>
      </c>
      <c r="C248" s="5" t="s">
        <v>272</v>
      </c>
      <c r="D248" s="6">
        <v>480809.5</v>
      </c>
      <c r="E248" s="6">
        <v>276238.90000000002</v>
      </c>
      <c r="F248" s="7">
        <f t="shared" si="3"/>
        <v>-204570.59999999998</v>
      </c>
      <c r="G248" t="str">
        <f>IF(표1[[#This Row],[diff]]&gt;0,"import","export")</f>
        <v>export</v>
      </c>
      <c r="H248" s="15">
        <f>ABS(표1[[#This Row],[export]]-표1[[#This Row],[import]])/(표1[[#This Row],[export]]+표1[[#This Row],[import]])</f>
        <v>0.27022129628700092</v>
      </c>
    </row>
    <row r="249" spans="1:8" x14ac:dyDescent="0.3">
      <c r="A249" s="5">
        <v>2017</v>
      </c>
      <c r="B249" s="5">
        <v>2905310000</v>
      </c>
      <c r="C249" s="5" t="s">
        <v>272</v>
      </c>
      <c r="D249" s="6">
        <v>454531.6</v>
      </c>
      <c r="E249" s="6">
        <v>252794.8</v>
      </c>
      <c r="F249" s="7">
        <f t="shared" si="3"/>
        <v>-201736.8</v>
      </c>
      <c r="G249" t="str">
        <f>IF(표1[[#This Row],[diff]]&gt;0,"import","export")</f>
        <v>export</v>
      </c>
      <c r="H249" s="15">
        <f>ABS(표1[[#This Row],[export]]-표1[[#This Row],[import]])/(표1[[#This Row],[export]]+표1[[#This Row],[import]])</f>
        <v>0.28521033570922844</v>
      </c>
    </row>
    <row r="250" spans="1:8" x14ac:dyDescent="0.3">
      <c r="A250" s="5">
        <v>2018</v>
      </c>
      <c r="B250" s="5">
        <v>2905310000</v>
      </c>
      <c r="C250" s="5" t="s">
        <v>272</v>
      </c>
      <c r="D250" s="6">
        <v>504275.8</v>
      </c>
      <c r="E250" s="6">
        <v>237118.1</v>
      </c>
      <c r="F250" s="7">
        <f t="shared" si="3"/>
        <v>-267157.69999999995</v>
      </c>
      <c r="G250" t="str">
        <f>IF(표1[[#This Row],[diff]]&gt;0,"import","export")</f>
        <v>export</v>
      </c>
      <c r="H250" s="15">
        <f>ABS(표1[[#This Row],[export]]-표1[[#This Row],[import]])/(표1[[#This Row],[export]]+표1[[#This Row],[import]])</f>
        <v>0.36034515525417721</v>
      </c>
    </row>
    <row r="251" spans="1:8" x14ac:dyDescent="0.3">
      <c r="A251" s="5">
        <v>2019</v>
      </c>
      <c r="B251" s="5">
        <v>2905310000</v>
      </c>
      <c r="C251" s="5" t="s">
        <v>272</v>
      </c>
      <c r="D251" s="6">
        <v>569929.30000000005</v>
      </c>
      <c r="E251" s="6">
        <v>334344.7</v>
      </c>
      <c r="F251" s="7">
        <f t="shared" si="3"/>
        <v>-235584.60000000003</v>
      </c>
      <c r="G251" t="str">
        <f>IF(표1[[#This Row],[diff]]&gt;0,"import","export")</f>
        <v>export</v>
      </c>
      <c r="H251" s="15">
        <f>ABS(표1[[#This Row],[export]]-표1[[#This Row],[import]])/(표1[[#This Row],[export]]+표1[[#This Row],[import]])</f>
        <v>0.26052346965632101</v>
      </c>
    </row>
    <row r="252" spans="1:8" x14ac:dyDescent="0.3">
      <c r="A252" s="5">
        <v>2020</v>
      </c>
      <c r="B252" s="5">
        <v>2905310000</v>
      </c>
      <c r="C252" s="5" t="s">
        <v>272</v>
      </c>
      <c r="D252" s="6">
        <v>309231.7</v>
      </c>
      <c r="E252" s="6">
        <v>399106.3</v>
      </c>
      <c r="F252" s="7">
        <f t="shared" si="3"/>
        <v>89874.599999999977</v>
      </c>
      <c r="G252" t="str">
        <f>IF(표1[[#This Row],[diff]]&gt;0,"import","export")</f>
        <v>import</v>
      </c>
      <c r="H252" s="15">
        <f>ABS(표1[[#This Row],[export]]-표1[[#This Row],[import]])/(표1[[#This Row],[export]]+표1[[#This Row],[import]])</f>
        <v>0.1268809523137259</v>
      </c>
    </row>
    <row r="253" spans="1:8" x14ac:dyDescent="0.3">
      <c r="A253" s="5">
        <v>2021</v>
      </c>
      <c r="B253" s="5">
        <v>2905310000</v>
      </c>
      <c r="C253" s="5" t="s">
        <v>272</v>
      </c>
      <c r="D253" s="6">
        <v>342727.8</v>
      </c>
      <c r="E253" s="6">
        <v>354271.4</v>
      </c>
      <c r="F253" s="7">
        <f t="shared" si="3"/>
        <v>11543.600000000035</v>
      </c>
      <c r="G253" t="str">
        <f>IF(표1[[#This Row],[diff]]&gt;0,"import","export")</f>
        <v>import</v>
      </c>
      <c r="H253" s="15">
        <f>ABS(표1[[#This Row],[export]]-표1[[#This Row],[import]])/(표1[[#This Row],[export]]+표1[[#This Row],[import]])</f>
        <v>1.6561855451197125E-2</v>
      </c>
    </row>
    <row r="254" spans="1:8" x14ac:dyDescent="0.3">
      <c r="A254" s="5">
        <v>2022</v>
      </c>
      <c r="B254" s="5">
        <v>2905310000</v>
      </c>
      <c r="C254" s="5" t="s">
        <v>272</v>
      </c>
      <c r="D254" s="6">
        <v>181065.4</v>
      </c>
      <c r="E254" s="6">
        <v>280094.3</v>
      </c>
      <c r="F254" s="7">
        <f t="shared" si="3"/>
        <v>99028.9</v>
      </c>
      <c r="G254" t="str">
        <f>IF(표1[[#This Row],[diff]]&gt;0,"import","export")</f>
        <v>import</v>
      </c>
      <c r="H254" s="15">
        <f>ABS(표1[[#This Row],[export]]-표1[[#This Row],[import]])/(표1[[#This Row],[export]]+표1[[#This Row],[import]])</f>
        <v>0.21473884209743394</v>
      </c>
    </row>
    <row r="255" spans="1:8" x14ac:dyDescent="0.3">
      <c r="A255" s="5">
        <v>2023</v>
      </c>
      <c r="B255" s="5">
        <v>2905310000</v>
      </c>
      <c r="C255" s="5" t="s">
        <v>272</v>
      </c>
      <c r="D255" s="6">
        <v>229915.7</v>
      </c>
      <c r="E255" s="6">
        <v>338274</v>
      </c>
      <c r="F255" s="7">
        <f t="shared" si="3"/>
        <v>108358.29999999999</v>
      </c>
      <c r="G255" t="str">
        <f>IF(표1[[#This Row],[diff]]&gt;0,"import","export")</f>
        <v>import</v>
      </c>
      <c r="H255" s="15">
        <f>ABS(표1[[#This Row],[export]]-표1[[#This Row],[import]])/(표1[[#This Row],[export]]+표1[[#This Row],[import]])</f>
        <v>0.19070796249914421</v>
      </c>
    </row>
    <row r="256" spans="1:8" x14ac:dyDescent="0.3">
      <c r="A256" s="5">
        <v>2024</v>
      </c>
      <c r="B256" s="5">
        <v>2905310000</v>
      </c>
      <c r="C256" s="5" t="s">
        <v>272</v>
      </c>
      <c r="D256" s="6">
        <v>229243.4</v>
      </c>
      <c r="E256" s="6">
        <v>384521.5</v>
      </c>
      <c r="F256" s="7">
        <f t="shared" si="3"/>
        <v>155278.1</v>
      </c>
      <c r="G256" t="str">
        <f>IF(표1[[#This Row],[diff]]&gt;0,"import","export")</f>
        <v>import</v>
      </c>
      <c r="H256" s="15">
        <f>ABS(표1[[#This Row],[export]]-표1[[#This Row],[import]])/(표1[[#This Row],[export]]+표1[[#This Row],[import]])</f>
        <v>0.25299279903428823</v>
      </c>
    </row>
    <row r="257" spans="1:8" x14ac:dyDescent="0.3">
      <c r="A257" s="5">
        <v>2025</v>
      </c>
      <c r="B257" s="5">
        <v>2905310000</v>
      </c>
      <c r="C257" s="5" t="s">
        <v>272</v>
      </c>
      <c r="D257" s="6">
        <v>219949.9</v>
      </c>
      <c r="E257" s="6">
        <v>388764.6</v>
      </c>
      <c r="F257" s="7">
        <f t="shared" si="3"/>
        <v>168814.69999999998</v>
      </c>
      <c r="G257" t="str">
        <f>IF(표1[[#This Row],[diff]]&gt;0,"import","export")</f>
        <v>import</v>
      </c>
      <c r="H257" s="15">
        <f>ABS(표1[[#This Row],[export]]-표1[[#This Row],[import]])/(표1[[#This Row],[export]]+표1[[#This Row],[import]])</f>
        <v>0.2773298483936229</v>
      </c>
    </row>
    <row r="258" spans="1:8" x14ac:dyDescent="0.3">
      <c r="A258" s="5">
        <v>2016</v>
      </c>
      <c r="B258" s="5">
        <v>2905320000</v>
      </c>
      <c r="C258" s="5" t="s">
        <v>273</v>
      </c>
      <c r="D258" s="6">
        <v>60753.4</v>
      </c>
      <c r="E258" s="6">
        <v>15186.7</v>
      </c>
      <c r="F258" s="7">
        <f t="shared" ref="F258:F321" si="4">E258-D258</f>
        <v>-45566.7</v>
      </c>
      <c r="G258" t="str">
        <f>IF(표1[[#This Row],[diff]]&gt;0,"import","export")</f>
        <v>export</v>
      </c>
      <c r="H258" s="15">
        <f>ABS(표1[[#This Row],[export]]-표1[[#This Row],[import]])/(표1[[#This Row],[export]]+표1[[#This Row],[import]])</f>
        <v>0.60003476424181679</v>
      </c>
    </row>
    <row r="259" spans="1:8" x14ac:dyDescent="0.3">
      <c r="A259" s="5">
        <v>2017</v>
      </c>
      <c r="B259" s="5">
        <v>2905320000</v>
      </c>
      <c r="C259" s="5" t="s">
        <v>273</v>
      </c>
      <c r="D259" s="6">
        <v>65584.100000000006</v>
      </c>
      <c r="E259" s="6">
        <v>12967.7</v>
      </c>
      <c r="F259" s="7">
        <f t="shared" si="4"/>
        <v>-52616.400000000009</v>
      </c>
      <c r="G259" t="str">
        <f>IF(표1[[#This Row],[diff]]&gt;0,"import","export")</f>
        <v>export</v>
      </c>
      <c r="H259" s="15">
        <f>ABS(표1[[#This Row],[export]]-표1[[#This Row],[import]])/(표1[[#This Row],[export]]+표1[[#This Row],[import]])</f>
        <v>0.66983060859203747</v>
      </c>
    </row>
    <row r="260" spans="1:8" x14ac:dyDescent="0.3">
      <c r="A260" s="5">
        <v>2018</v>
      </c>
      <c r="B260" s="5">
        <v>2905320000</v>
      </c>
      <c r="C260" s="5" t="s">
        <v>273</v>
      </c>
      <c r="D260" s="6">
        <v>79931.199999999997</v>
      </c>
      <c r="E260" s="6">
        <v>14643.2</v>
      </c>
      <c r="F260" s="7">
        <f t="shared" si="4"/>
        <v>-65288</v>
      </c>
      <c r="G260" t="str">
        <f>IF(표1[[#This Row],[diff]]&gt;0,"import","export")</f>
        <v>export</v>
      </c>
      <c r="H260" s="15">
        <f>ABS(표1[[#This Row],[export]]-표1[[#This Row],[import]])/(표1[[#This Row],[export]]+표1[[#This Row],[import]])</f>
        <v>0.69033480519041102</v>
      </c>
    </row>
    <row r="261" spans="1:8" x14ac:dyDescent="0.3">
      <c r="A261" s="5">
        <v>2019</v>
      </c>
      <c r="B261" s="5">
        <v>2905320000</v>
      </c>
      <c r="C261" s="5" t="s">
        <v>273</v>
      </c>
      <c r="D261" s="6">
        <v>108523.4</v>
      </c>
      <c r="E261" s="6">
        <v>15925.4</v>
      </c>
      <c r="F261" s="7">
        <f t="shared" si="4"/>
        <v>-92598</v>
      </c>
      <c r="G261" t="str">
        <f>IF(표1[[#This Row],[diff]]&gt;0,"import","export")</f>
        <v>export</v>
      </c>
      <c r="H261" s="15">
        <f>ABS(표1[[#This Row],[export]]-표1[[#This Row],[import]])/(표1[[#This Row],[export]]+표1[[#This Row],[import]])</f>
        <v>0.74406502915255113</v>
      </c>
    </row>
    <row r="262" spans="1:8" x14ac:dyDescent="0.3">
      <c r="A262" s="5">
        <v>2020</v>
      </c>
      <c r="B262" s="5">
        <v>2905320000</v>
      </c>
      <c r="C262" s="5" t="s">
        <v>273</v>
      </c>
      <c r="D262" s="6">
        <v>105416.2</v>
      </c>
      <c r="E262" s="6">
        <v>15595.4</v>
      </c>
      <c r="F262" s="7">
        <f t="shared" si="4"/>
        <v>-89820.800000000003</v>
      </c>
      <c r="G262" t="str">
        <f>IF(표1[[#This Row],[diff]]&gt;0,"import","export")</f>
        <v>export</v>
      </c>
      <c r="H262" s="15">
        <f>ABS(표1[[#This Row],[export]]-표1[[#This Row],[import]])/(표1[[#This Row],[export]]+표1[[#This Row],[import]])</f>
        <v>0.74224950335339757</v>
      </c>
    </row>
    <row r="263" spans="1:8" x14ac:dyDescent="0.3">
      <c r="A263" s="5">
        <v>2021</v>
      </c>
      <c r="B263" s="5">
        <v>2905320000</v>
      </c>
      <c r="C263" s="5" t="s">
        <v>273</v>
      </c>
      <c r="D263" s="6">
        <v>121787.8</v>
      </c>
      <c r="E263" s="6">
        <v>10099.200000000001</v>
      </c>
      <c r="F263" s="7">
        <f t="shared" si="4"/>
        <v>-111688.6</v>
      </c>
      <c r="G263" t="str">
        <f>IF(표1[[#This Row],[diff]]&gt;0,"import","export")</f>
        <v>export</v>
      </c>
      <c r="H263" s="15">
        <f>ABS(표1[[#This Row],[export]]-표1[[#This Row],[import]])/(표1[[#This Row],[export]]+표1[[#This Row],[import]])</f>
        <v>0.84685071311046578</v>
      </c>
    </row>
    <row r="264" spans="1:8" x14ac:dyDescent="0.3">
      <c r="A264" s="5">
        <v>2022</v>
      </c>
      <c r="B264" s="5">
        <v>2905320000</v>
      </c>
      <c r="C264" s="5" t="s">
        <v>273</v>
      </c>
      <c r="D264" s="6">
        <v>104831.2</v>
      </c>
      <c r="E264" s="6">
        <v>10711.9</v>
      </c>
      <c r="F264" s="7">
        <f t="shared" si="4"/>
        <v>-94119.3</v>
      </c>
      <c r="G264" t="str">
        <f>IF(표1[[#This Row],[diff]]&gt;0,"import","export")</f>
        <v>export</v>
      </c>
      <c r="H264" s="15">
        <f>ABS(표1[[#This Row],[export]]-표1[[#This Row],[import]])/(표1[[#This Row],[export]]+표1[[#This Row],[import]])</f>
        <v>0.81458174482076395</v>
      </c>
    </row>
    <row r="265" spans="1:8" x14ac:dyDescent="0.3">
      <c r="A265" s="5">
        <v>2023</v>
      </c>
      <c r="B265" s="5">
        <v>2905320000</v>
      </c>
      <c r="C265" s="5" t="s">
        <v>273</v>
      </c>
      <c r="D265" s="6">
        <v>91716.5</v>
      </c>
      <c r="E265" s="6">
        <v>16272.3</v>
      </c>
      <c r="F265" s="7">
        <f t="shared" si="4"/>
        <v>-75444.2</v>
      </c>
      <c r="G265" t="str">
        <f>IF(표1[[#This Row],[diff]]&gt;0,"import","export")</f>
        <v>export</v>
      </c>
      <c r="H265" s="15">
        <f>ABS(표1[[#This Row],[export]]-표1[[#This Row],[import]])/(표1[[#This Row],[export]]+표1[[#This Row],[import]])</f>
        <v>0.6986298579111907</v>
      </c>
    </row>
    <row r="266" spans="1:8" x14ac:dyDescent="0.3">
      <c r="A266" s="5">
        <v>2024</v>
      </c>
      <c r="B266" s="5">
        <v>2905320000</v>
      </c>
      <c r="C266" s="5" t="s">
        <v>273</v>
      </c>
      <c r="D266" s="6">
        <v>117668.2</v>
      </c>
      <c r="E266" s="6">
        <v>19224.7</v>
      </c>
      <c r="F266" s="7">
        <f t="shared" si="4"/>
        <v>-98443.5</v>
      </c>
      <c r="G266" t="str">
        <f>IF(표1[[#This Row],[diff]]&gt;0,"import","export")</f>
        <v>export</v>
      </c>
      <c r="H266" s="15">
        <f>ABS(표1[[#This Row],[export]]-표1[[#This Row],[import]])/(표1[[#This Row],[export]]+표1[[#This Row],[import]])</f>
        <v>0.71912787295761871</v>
      </c>
    </row>
    <row r="267" spans="1:8" x14ac:dyDescent="0.3">
      <c r="A267" s="5">
        <v>2025</v>
      </c>
      <c r="B267" s="5">
        <v>2905320000</v>
      </c>
      <c r="C267" s="5" t="s">
        <v>273</v>
      </c>
      <c r="D267" s="6">
        <v>116934.7</v>
      </c>
      <c r="E267" s="6">
        <v>18569.2</v>
      </c>
      <c r="F267" s="7">
        <f t="shared" si="4"/>
        <v>-98365.5</v>
      </c>
      <c r="G267" t="str">
        <f>IF(표1[[#This Row],[diff]]&gt;0,"import","export")</f>
        <v>export</v>
      </c>
      <c r="H267" s="15">
        <f>ABS(표1[[#This Row],[export]]-표1[[#This Row],[import]])/(표1[[#This Row],[export]]+표1[[#This Row],[import]])</f>
        <v>0.72592375570002043</v>
      </c>
    </row>
    <row r="268" spans="1:8" x14ac:dyDescent="0.3">
      <c r="A268" s="5">
        <v>2016</v>
      </c>
      <c r="B268" s="5">
        <v>2907111000</v>
      </c>
      <c r="C268" s="5" t="s">
        <v>274</v>
      </c>
      <c r="D268" s="6">
        <v>259002.1</v>
      </c>
      <c r="E268" s="6">
        <v>29002.5</v>
      </c>
      <c r="F268" s="7">
        <f t="shared" si="4"/>
        <v>-229999.6</v>
      </c>
      <c r="G268" t="str">
        <f>IF(표1[[#This Row],[diff]]&gt;0,"import","export")</f>
        <v>export</v>
      </c>
      <c r="H268" s="15">
        <f>ABS(표1[[#This Row],[export]]-표1[[#This Row],[import]])/(표1[[#This Row],[export]]+표1[[#This Row],[import]])</f>
        <v>0.79859696685400172</v>
      </c>
    </row>
    <row r="269" spans="1:8" x14ac:dyDescent="0.3">
      <c r="A269" s="5">
        <v>2017</v>
      </c>
      <c r="B269" s="5">
        <v>2907111000</v>
      </c>
      <c r="C269" s="5" t="s">
        <v>274</v>
      </c>
      <c r="D269" s="6">
        <v>345950.6</v>
      </c>
      <c r="E269" s="6">
        <v>26283.9</v>
      </c>
      <c r="F269" s="7">
        <f t="shared" si="4"/>
        <v>-319666.69999999995</v>
      </c>
      <c r="G269" t="str">
        <f>IF(표1[[#This Row],[diff]]&gt;0,"import","export")</f>
        <v>export</v>
      </c>
      <c r="H269" s="15">
        <f>ABS(표1[[#This Row],[export]]-표1[[#This Row],[import]])/(표1[[#This Row],[export]]+표1[[#This Row],[import]])</f>
        <v>0.85877773285388637</v>
      </c>
    </row>
    <row r="270" spans="1:8" x14ac:dyDescent="0.3">
      <c r="A270" s="5">
        <v>2018</v>
      </c>
      <c r="B270" s="5">
        <v>2907111000</v>
      </c>
      <c r="C270" s="5" t="s">
        <v>274</v>
      </c>
      <c r="D270" s="6">
        <v>434660.2</v>
      </c>
      <c r="E270" s="6">
        <v>44984.6</v>
      </c>
      <c r="F270" s="7">
        <f t="shared" si="4"/>
        <v>-389675.60000000003</v>
      </c>
      <c r="G270" t="str">
        <f>IF(표1[[#This Row],[diff]]&gt;0,"import","export")</f>
        <v>export</v>
      </c>
      <c r="H270" s="15">
        <f>ABS(표1[[#This Row],[export]]-표1[[#This Row],[import]])/(표1[[#This Row],[export]]+표1[[#This Row],[import]])</f>
        <v>0.81242536143412802</v>
      </c>
    </row>
    <row r="271" spans="1:8" x14ac:dyDescent="0.3">
      <c r="A271" s="5">
        <v>2019</v>
      </c>
      <c r="B271" s="5">
        <v>2907111000</v>
      </c>
      <c r="C271" s="5" t="s">
        <v>274</v>
      </c>
      <c r="D271" s="6">
        <v>322960.90000000002</v>
      </c>
      <c r="E271" s="6">
        <v>61987.5</v>
      </c>
      <c r="F271" s="7">
        <f t="shared" si="4"/>
        <v>-260973.40000000002</v>
      </c>
      <c r="G271" t="str">
        <f>IF(표1[[#This Row],[diff]]&gt;0,"import","export")</f>
        <v>export</v>
      </c>
      <c r="H271" s="15">
        <f>ABS(표1[[#This Row],[export]]-표1[[#This Row],[import]])/(표1[[#This Row],[export]]+표1[[#This Row],[import]])</f>
        <v>0.67794384909769723</v>
      </c>
    </row>
    <row r="272" spans="1:8" x14ac:dyDescent="0.3">
      <c r="A272" s="5">
        <v>2020</v>
      </c>
      <c r="B272" s="5">
        <v>2907111000</v>
      </c>
      <c r="C272" s="5" t="s">
        <v>274</v>
      </c>
      <c r="D272" s="6">
        <v>266610.40000000002</v>
      </c>
      <c r="E272" s="6">
        <v>53081.3</v>
      </c>
      <c r="F272" s="7">
        <f t="shared" si="4"/>
        <v>-213529.10000000003</v>
      </c>
      <c r="G272" t="str">
        <f>IF(표1[[#This Row],[diff]]&gt;0,"import","export")</f>
        <v>export</v>
      </c>
      <c r="H272" s="15">
        <f>ABS(표1[[#This Row],[export]]-표1[[#This Row],[import]])/(표1[[#This Row],[export]]+표1[[#This Row],[import]])</f>
        <v>0.66792193854266479</v>
      </c>
    </row>
    <row r="273" spans="1:8" x14ac:dyDescent="0.3">
      <c r="A273" s="5">
        <v>2021</v>
      </c>
      <c r="B273" s="5">
        <v>2907111000</v>
      </c>
      <c r="C273" s="5" t="s">
        <v>274</v>
      </c>
      <c r="D273" s="6">
        <v>281661.5</v>
      </c>
      <c r="E273" s="6">
        <v>44720.800000000003</v>
      </c>
      <c r="F273" s="7">
        <f t="shared" si="4"/>
        <v>-236940.7</v>
      </c>
      <c r="G273" t="str">
        <f>IF(표1[[#This Row],[diff]]&gt;0,"import","export")</f>
        <v>export</v>
      </c>
      <c r="H273" s="15">
        <f>ABS(표1[[#This Row],[export]]-표1[[#This Row],[import]])/(표1[[#This Row],[export]]+표1[[#This Row],[import]])</f>
        <v>0.72596062960522068</v>
      </c>
    </row>
    <row r="274" spans="1:8" x14ac:dyDescent="0.3">
      <c r="A274" s="5">
        <v>2022</v>
      </c>
      <c r="B274" s="5">
        <v>2907111000</v>
      </c>
      <c r="C274" s="5" t="s">
        <v>274</v>
      </c>
      <c r="D274" s="6">
        <v>232764.7</v>
      </c>
      <c r="E274" s="6">
        <v>32502.7</v>
      </c>
      <c r="F274" s="7">
        <f t="shared" si="4"/>
        <v>-200262</v>
      </c>
      <c r="G274" t="str">
        <f>IF(표1[[#This Row],[diff]]&gt;0,"import","export")</f>
        <v>export</v>
      </c>
      <c r="H274" s="15">
        <f>ABS(표1[[#This Row],[export]]-표1[[#This Row],[import]])/(표1[[#This Row],[export]]+표1[[#This Row],[import]])</f>
        <v>0.75494387927050211</v>
      </c>
    </row>
    <row r="275" spans="1:8" x14ac:dyDescent="0.3">
      <c r="A275" s="5">
        <v>2023</v>
      </c>
      <c r="B275" s="5">
        <v>2907111000</v>
      </c>
      <c r="C275" s="5" t="s">
        <v>274</v>
      </c>
      <c r="D275" s="6">
        <v>65046.7</v>
      </c>
      <c r="E275" s="6">
        <v>71572.5</v>
      </c>
      <c r="F275" s="7">
        <f t="shared" si="4"/>
        <v>6525.8000000000029</v>
      </c>
      <c r="G275" t="str">
        <f>IF(표1[[#This Row],[diff]]&gt;0,"import","export")</f>
        <v>import</v>
      </c>
      <c r="H275" s="15">
        <f>ABS(표1[[#This Row],[export]]-표1[[#This Row],[import]])/(표1[[#This Row],[export]]+표1[[#This Row],[import]])</f>
        <v>4.7766346165107117E-2</v>
      </c>
    </row>
    <row r="276" spans="1:8" x14ac:dyDescent="0.3">
      <c r="A276" s="5">
        <v>2024</v>
      </c>
      <c r="B276" s="5">
        <v>2907111000</v>
      </c>
      <c r="C276" s="5" t="s">
        <v>274</v>
      </c>
      <c r="D276" s="6">
        <v>95763.8</v>
      </c>
      <c r="E276" s="6">
        <v>112659.9</v>
      </c>
      <c r="F276" s="7">
        <f t="shared" si="4"/>
        <v>16896.099999999991</v>
      </c>
      <c r="G276" t="str">
        <f>IF(표1[[#This Row],[diff]]&gt;0,"import","export")</f>
        <v>import</v>
      </c>
      <c r="H276" s="15">
        <f>ABS(표1[[#This Row],[export]]-표1[[#This Row],[import]])/(표1[[#This Row],[export]]+표1[[#This Row],[import]])</f>
        <v>8.1066116761193616E-2</v>
      </c>
    </row>
    <row r="277" spans="1:8" x14ac:dyDescent="0.3">
      <c r="A277" s="5">
        <v>2025</v>
      </c>
      <c r="B277" s="5">
        <v>2907111000</v>
      </c>
      <c r="C277" s="5" t="s">
        <v>274</v>
      </c>
      <c r="D277" s="6">
        <v>92034.6</v>
      </c>
      <c r="E277" s="6">
        <v>86760.2</v>
      </c>
      <c r="F277" s="7">
        <f t="shared" si="4"/>
        <v>-5274.4000000000087</v>
      </c>
      <c r="G277" t="str">
        <f>IF(표1[[#This Row],[diff]]&gt;0,"import","export")</f>
        <v>export</v>
      </c>
      <c r="H277" s="15">
        <f>ABS(표1[[#This Row],[export]]-표1[[#This Row],[import]])/(표1[[#This Row],[export]]+표1[[#This Row],[import]])</f>
        <v>2.949973936602188E-2</v>
      </c>
    </row>
    <row r="278" spans="1:8" x14ac:dyDescent="0.3">
      <c r="A278" s="5">
        <v>2016</v>
      </c>
      <c r="B278" s="5">
        <v>2907231000</v>
      </c>
      <c r="C278" s="5" t="s">
        <v>275</v>
      </c>
      <c r="D278" s="6">
        <v>271911.3</v>
      </c>
      <c r="E278" s="6">
        <v>107260.1</v>
      </c>
      <c r="F278" s="7">
        <f t="shared" si="4"/>
        <v>-164651.19999999998</v>
      </c>
      <c r="G278" t="str">
        <f>IF(표1[[#This Row],[diff]]&gt;0,"import","export")</f>
        <v>export</v>
      </c>
      <c r="H278" s="15">
        <f>ABS(표1[[#This Row],[export]]-표1[[#This Row],[import]])/(표1[[#This Row],[export]]+표1[[#This Row],[import]])</f>
        <v>0.43423950224093899</v>
      </c>
    </row>
    <row r="279" spans="1:8" x14ac:dyDescent="0.3">
      <c r="A279" s="5">
        <v>2017</v>
      </c>
      <c r="B279" s="5">
        <v>2907231000</v>
      </c>
      <c r="C279" s="5" t="s">
        <v>275</v>
      </c>
      <c r="D279" s="6">
        <v>303227.8</v>
      </c>
      <c r="E279" s="6">
        <v>108262.5</v>
      </c>
      <c r="F279" s="7">
        <f t="shared" si="4"/>
        <v>-194965.3</v>
      </c>
      <c r="G279" t="str">
        <f>IF(표1[[#This Row],[diff]]&gt;0,"import","export")</f>
        <v>export</v>
      </c>
      <c r="H279" s="15">
        <f>ABS(표1[[#This Row],[export]]-표1[[#This Row],[import]])/(표1[[#This Row],[export]]+표1[[#This Row],[import]])</f>
        <v>0.47380290616814053</v>
      </c>
    </row>
    <row r="280" spans="1:8" x14ac:dyDescent="0.3">
      <c r="A280" s="5">
        <v>2018</v>
      </c>
      <c r="B280" s="5">
        <v>2907231000</v>
      </c>
      <c r="C280" s="5" t="s">
        <v>275</v>
      </c>
      <c r="D280" s="6">
        <v>339250</v>
      </c>
      <c r="E280" s="6">
        <v>97355.4</v>
      </c>
      <c r="F280" s="7">
        <f t="shared" si="4"/>
        <v>-241894.6</v>
      </c>
      <c r="G280" t="str">
        <f>IF(표1[[#This Row],[diff]]&gt;0,"import","export")</f>
        <v>export</v>
      </c>
      <c r="H280" s="15">
        <f>ABS(표1[[#This Row],[export]]-표1[[#This Row],[import]])/(표1[[#This Row],[export]]+표1[[#This Row],[import]])</f>
        <v>0.55403483328424241</v>
      </c>
    </row>
    <row r="281" spans="1:8" x14ac:dyDescent="0.3">
      <c r="A281" s="5">
        <v>2019</v>
      </c>
      <c r="B281" s="5">
        <v>2907231000</v>
      </c>
      <c r="C281" s="5" t="s">
        <v>275</v>
      </c>
      <c r="D281" s="6">
        <v>354955.4</v>
      </c>
      <c r="E281" s="6">
        <v>119602.1</v>
      </c>
      <c r="F281" s="7">
        <f t="shared" si="4"/>
        <v>-235353.30000000002</v>
      </c>
      <c r="G281" t="str">
        <f>IF(표1[[#This Row],[diff]]&gt;0,"import","export")</f>
        <v>export</v>
      </c>
      <c r="H281" s="15">
        <f>ABS(표1[[#This Row],[export]]-표1[[#This Row],[import]])/(표1[[#This Row],[export]]+표1[[#This Row],[import]])</f>
        <v>0.49594264130268728</v>
      </c>
    </row>
    <row r="282" spans="1:8" x14ac:dyDescent="0.3">
      <c r="A282" s="5">
        <v>2020</v>
      </c>
      <c r="B282" s="5">
        <v>2907231000</v>
      </c>
      <c r="C282" s="5" t="s">
        <v>275</v>
      </c>
      <c r="D282" s="6">
        <v>309492.7</v>
      </c>
      <c r="E282" s="6">
        <v>139095.20000000001</v>
      </c>
      <c r="F282" s="7">
        <f t="shared" si="4"/>
        <v>-170397.5</v>
      </c>
      <c r="G282" t="str">
        <f>IF(표1[[#This Row],[diff]]&gt;0,"import","export")</f>
        <v>export</v>
      </c>
      <c r="H282" s="15">
        <f>ABS(표1[[#This Row],[export]]-표1[[#This Row],[import]])/(표1[[#This Row],[export]]+표1[[#This Row],[import]])</f>
        <v>0.37985309010786961</v>
      </c>
    </row>
    <row r="283" spans="1:8" x14ac:dyDescent="0.3">
      <c r="A283" s="5">
        <v>2021</v>
      </c>
      <c r="B283" s="5">
        <v>2907231000</v>
      </c>
      <c r="C283" s="5" t="s">
        <v>275</v>
      </c>
      <c r="D283" s="6">
        <v>286227</v>
      </c>
      <c r="E283" s="6">
        <v>117550.3</v>
      </c>
      <c r="F283" s="7">
        <f t="shared" si="4"/>
        <v>-168676.7</v>
      </c>
      <c r="G283" t="str">
        <f>IF(표1[[#This Row],[diff]]&gt;0,"import","export")</f>
        <v>export</v>
      </c>
      <c r="H283" s="15">
        <f>ABS(표1[[#This Row],[export]]-표1[[#This Row],[import]])/(표1[[#This Row],[export]]+표1[[#This Row],[import]])</f>
        <v>0.41774686194592914</v>
      </c>
    </row>
    <row r="284" spans="1:8" x14ac:dyDescent="0.3">
      <c r="A284" s="5">
        <v>2022</v>
      </c>
      <c r="B284" s="5">
        <v>2907231000</v>
      </c>
      <c r="C284" s="5" t="s">
        <v>275</v>
      </c>
      <c r="D284" s="6">
        <v>265934.90000000002</v>
      </c>
      <c r="E284" s="6">
        <v>101050.4</v>
      </c>
      <c r="F284" s="7">
        <f t="shared" si="4"/>
        <v>-164884.50000000003</v>
      </c>
      <c r="G284" t="str">
        <f>IF(표1[[#This Row],[diff]]&gt;0,"import","export")</f>
        <v>export</v>
      </c>
      <c r="H284" s="15">
        <f>ABS(표1[[#This Row],[export]]-표1[[#This Row],[import]])/(표1[[#This Row],[export]]+표1[[#This Row],[import]])</f>
        <v>0.44929456302473153</v>
      </c>
    </row>
    <row r="285" spans="1:8" x14ac:dyDescent="0.3">
      <c r="A285" s="5">
        <v>2023</v>
      </c>
      <c r="B285" s="5">
        <v>2907231000</v>
      </c>
      <c r="C285" s="5" t="s">
        <v>275</v>
      </c>
      <c r="D285" s="6">
        <v>244007.6</v>
      </c>
      <c r="E285" s="6">
        <v>86563.3</v>
      </c>
      <c r="F285" s="7">
        <f t="shared" si="4"/>
        <v>-157444.29999999999</v>
      </c>
      <c r="G285" t="str">
        <f>IF(표1[[#This Row],[diff]]&gt;0,"import","export")</f>
        <v>export</v>
      </c>
      <c r="H285" s="15">
        <f>ABS(표1[[#This Row],[export]]-표1[[#This Row],[import]])/(표1[[#This Row],[export]]+표1[[#This Row],[import]])</f>
        <v>0.4762799750371251</v>
      </c>
    </row>
    <row r="286" spans="1:8" x14ac:dyDescent="0.3">
      <c r="A286" s="5">
        <v>2024</v>
      </c>
      <c r="B286" s="5">
        <v>2907231000</v>
      </c>
      <c r="C286" s="5" t="s">
        <v>275</v>
      </c>
      <c r="D286" s="6">
        <v>256967.7</v>
      </c>
      <c r="E286" s="6">
        <v>74506.100000000006</v>
      </c>
      <c r="F286" s="7">
        <f t="shared" si="4"/>
        <v>-182461.6</v>
      </c>
      <c r="G286" t="str">
        <f>IF(표1[[#This Row],[diff]]&gt;0,"import","export")</f>
        <v>export</v>
      </c>
      <c r="H286" s="15">
        <f>ABS(표1[[#This Row],[export]]-표1[[#This Row],[import]])/(표1[[#This Row],[export]]+표1[[#This Row],[import]])</f>
        <v>0.55045557145089585</v>
      </c>
    </row>
    <row r="287" spans="1:8" x14ac:dyDescent="0.3">
      <c r="A287" s="5">
        <v>2025</v>
      </c>
      <c r="B287" s="5">
        <v>2907231000</v>
      </c>
      <c r="C287" s="5" t="s">
        <v>275</v>
      </c>
      <c r="D287" s="6">
        <v>252617.5</v>
      </c>
      <c r="E287" s="6">
        <v>45038.3</v>
      </c>
      <c r="F287" s="7">
        <f t="shared" si="4"/>
        <v>-207579.2</v>
      </c>
      <c r="G287" t="str">
        <f>IF(표1[[#This Row],[diff]]&gt;0,"import","export")</f>
        <v>export</v>
      </c>
      <c r="H287" s="15">
        <f>ABS(표1[[#This Row],[export]]-표1[[#This Row],[import]])/(표1[[#This Row],[export]]+표1[[#This Row],[import]])</f>
        <v>0.6973799939393085</v>
      </c>
    </row>
    <row r="288" spans="1:8" x14ac:dyDescent="0.3">
      <c r="A288" s="5">
        <v>2016</v>
      </c>
      <c r="B288" s="5">
        <v>2909192000</v>
      </c>
      <c r="C288" s="5" t="s">
        <v>276</v>
      </c>
      <c r="D288" s="6">
        <v>3660.3</v>
      </c>
      <c r="E288" s="6">
        <v>162085.1</v>
      </c>
      <c r="F288" s="7">
        <f t="shared" si="4"/>
        <v>158424.80000000002</v>
      </c>
      <c r="G288" t="str">
        <f>IF(표1[[#This Row],[diff]]&gt;0,"import","export")</f>
        <v>import</v>
      </c>
      <c r="H288" s="15">
        <f>ABS(표1[[#This Row],[export]]-표1[[#This Row],[import]])/(표1[[#This Row],[export]]+표1[[#This Row],[import]])</f>
        <v>0.95583225839148489</v>
      </c>
    </row>
    <row r="289" spans="1:8" x14ac:dyDescent="0.3">
      <c r="A289" s="5">
        <v>2017</v>
      </c>
      <c r="B289" s="5">
        <v>2909192000</v>
      </c>
      <c r="C289" s="5" t="s">
        <v>276</v>
      </c>
      <c r="D289" s="6">
        <v>3439.3</v>
      </c>
      <c r="E289" s="6">
        <v>153831.1</v>
      </c>
      <c r="F289" s="7">
        <f t="shared" si="4"/>
        <v>150391.80000000002</v>
      </c>
      <c r="G289" t="str">
        <f>IF(표1[[#This Row],[diff]]&gt;0,"import","export")</f>
        <v>import</v>
      </c>
      <c r="H289" s="15">
        <f>ABS(표1[[#This Row],[export]]-표1[[#This Row],[import]])/(표1[[#This Row],[export]]+표1[[#This Row],[import]])</f>
        <v>0.95626258978167555</v>
      </c>
    </row>
    <row r="290" spans="1:8" x14ac:dyDescent="0.3">
      <c r="A290" s="5">
        <v>2018</v>
      </c>
      <c r="B290" s="5">
        <v>2909192000</v>
      </c>
      <c r="C290" s="5" t="s">
        <v>276</v>
      </c>
      <c r="D290" s="6">
        <v>38148.800000000003</v>
      </c>
      <c r="E290" s="6">
        <v>146525.5</v>
      </c>
      <c r="F290" s="7">
        <f t="shared" si="4"/>
        <v>108376.7</v>
      </c>
      <c r="G290" t="str">
        <f>IF(표1[[#This Row],[diff]]&gt;0,"import","export")</f>
        <v>import</v>
      </c>
      <c r="H290" s="15">
        <f>ABS(표1[[#This Row],[export]]-표1[[#This Row],[import]])/(표1[[#This Row],[export]]+표1[[#This Row],[import]])</f>
        <v>0.58685317881264476</v>
      </c>
    </row>
    <row r="291" spans="1:8" x14ac:dyDescent="0.3">
      <c r="A291" s="5">
        <v>2019</v>
      </c>
      <c r="B291" s="5">
        <v>2909192000</v>
      </c>
      <c r="C291" s="5" t="s">
        <v>276</v>
      </c>
      <c r="D291" s="6">
        <v>49225.8</v>
      </c>
      <c r="E291" s="6">
        <v>138966.6</v>
      </c>
      <c r="F291" s="7">
        <f t="shared" si="4"/>
        <v>89740.800000000003</v>
      </c>
      <c r="G291" t="str">
        <f>IF(표1[[#This Row],[diff]]&gt;0,"import","export")</f>
        <v>import</v>
      </c>
      <c r="H291" s="15">
        <f>ABS(표1[[#This Row],[export]]-표1[[#This Row],[import]])/(표1[[#This Row],[export]]+표1[[#This Row],[import]])</f>
        <v>0.47685666371224339</v>
      </c>
    </row>
    <row r="292" spans="1:8" x14ac:dyDescent="0.3">
      <c r="A292" s="5">
        <v>2020</v>
      </c>
      <c r="B292" s="5">
        <v>2909192000</v>
      </c>
      <c r="C292" s="5" t="s">
        <v>276</v>
      </c>
      <c r="D292" s="6">
        <v>36316.699999999997</v>
      </c>
      <c r="E292" s="6">
        <v>179092.1</v>
      </c>
      <c r="F292" s="7">
        <f t="shared" si="4"/>
        <v>142775.40000000002</v>
      </c>
      <c r="G292" t="str">
        <f>IF(표1[[#This Row],[diff]]&gt;0,"import","export")</f>
        <v>import</v>
      </c>
      <c r="H292" s="15">
        <f>ABS(표1[[#This Row],[export]]-표1[[#This Row],[import]])/(표1[[#This Row],[export]]+표1[[#This Row],[import]])</f>
        <v>0.66281136146712682</v>
      </c>
    </row>
    <row r="293" spans="1:8" x14ac:dyDescent="0.3">
      <c r="A293" s="5">
        <v>2021</v>
      </c>
      <c r="B293" s="5">
        <v>2909192000</v>
      </c>
      <c r="C293" s="5" t="s">
        <v>276</v>
      </c>
      <c r="D293" s="6">
        <v>87689.1</v>
      </c>
      <c r="E293" s="6">
        <v>111996.5</v>
      </c>
      <c r="F293" s="7">
        <f t="shared" si="4"/>
        <v>24307.399999999994</v>
      </c>
      <c r="G293" t="str">
        <f>IF(표1[[#This Row],[diff]]&gt;0,"import","export")</f>
        <v>import</v>
      </c>
      <c r="H293" s="15">
        <f>ABS(표1[[#This Row],[export]]-표1[[#This Row],[import]])/(표1[[#This Row],[export]]+표1[[#This Row],[import]])</f>
        <v>0.12172835697716808</v>
      </c>
    </row>
    <row r="294" spans="1:8" x14ac:dyDescent="0.3">
      <c r="A294" s="5">
        <v>2022</v>
      </c>
      <c r="B294" s="5">
        <v>2909192000</v>
      </c>
      <c r="C294" s="5" t="s">
        <v>276</v>
      </c>
      <c r="D294" s="6">
        <v>124816</v>
      </c>
      <c r="E294" s="6">
        <v>20493.2</v>
      </c>
      <c r="F294" s="7">
        <f t="shared" si="4"/>
        <v>-104322.8</v>
      </c>
      <c r="G294" t="str">
        <f>IF(표1[[#This Row],[diff]]&gt;0,"import","export")</f>
        <v>export</v>
      </c>
      <c r="H294" s="15">
        <f>ABS(표1[[#This Row],[export]]-표1[[#This Row],[import]])/(표1[[#This Row],[export]]+표1[[#This Row],[import]])</f>
        <v>0.71793664819570957</v>
      </c>
    </row>
    <row r="295" spans="1:8" x14ac:dyDescent="0.3">
      <c r="A295" s="5">
        <v>2023</v>
      </c>
      <c r="B295" s="5">
        <v>2909192000</v>
      </c>
      <c r="C295" s="5" t="s">
        <v>276</v>
      </c>
      <c r="D295" s="6">
        <v>24880.3</v>
      </c>
      <c r="E295" s="6">
        <v>124649.3</v>
      </c>
      <c r="F295" s="7">
        <f t="shared" si="4"/>
        <v>99769</v>
      </c>
      <c r="G295" t="str">
        <f>IF(표1[[#This Row],[diff]]&gt;0,"import","export")</f>
        <v>import</v>
      </c>
      <c r="H295" s="15">
        <f>ABS(표1[[#This Row],[export]]-표1[[#This Row],[import]])/(표1[[#This Row],[export]]+표1[[#This Row],[import]])</f>
        <v>0.66721906565656564</v>
      </c>
    </row>
    <row r="296" spans="1:8" x14ac:dyDescent="0.3">
      <c r="A296" s="5">
        <v>2024</v>
      </c>
      <c r="B296" s="5">
        <v>2909192000</v>
      </c>
      <c r="C296" s="5" t="s">
        <v>276</v>
      </c>
      <c r="D296" s="6">
        <v>96826.3</v>
      </c>
      <c r="E296" s="6">
        <v>72154.100000000006</v>
      </c>
      <c r="F296" s="7">
        <f t="shared" si="4"/>
        <v>-24672.199999999997</v>
      </c>
      <c r="G296" t="str">
        <f>IF(표1[[#This Row],[diff]]&gt;0,"import","export")</f>
        <v>export</v>
      </c>
      <c r="H296" s="15">
        <f>ABS(표1[[#This Row],[export]]-표1[[#This Row],[import]])/(표1[[#This Row],[export]]+표1[[#This Row],[import]])</f>
        <v>0.14600628238541272</v>
      </c>
    </row>
    <row r="297" spans="1:8" x14ac:dyDescent="0.3">
      <c r="A297" s="5">
        <v>2025</v>
      </c>
      <c r="B297" s="5">
        <v>2909192000</v>
      </c>
      <c r="C297" s="5" t="s">
        <v>276</v>
      </c>
      <c r="D297" s="6">
        <v>35576.9</v>
      </c>
      <c r="E297" s="6">
        <v>57758.400000000001</v>
      </c>
      <c r="F297" s="7">
        <f t="shared" si="4"/>
        <v>22181.5</v>
      </c>
      <c r="G297" t="str">
        <f>IF(표1[[#This Row],[diff]]&gt;0,"import","export")</f>
        <v>import</v>
      </c>
      <c r="H297" s="15">
        <f>ABS(표1[[#This Row],[export]]-표1[[#This Row],[import]])/(표1[[#This Row],[export]]+표1[[#This Row],[import]])</f>
        <v>0.23765392086381038</v>
      </c>
    </row>
    <row r="298" spans="1:8" x14ac:dyDescent="0.3">
      <c r="A298" s="5">
        <v>2016</v>
      </c>
      <c r="B298" s="5">
        <v>2910100000</v>
      </c>
      <c r="C298" s="5" t="s">
        <v>277</v>
      </c>
      <c r="D298" s="5">
        <v>117.8</v>
      </c>
      <c r="E298" s="5">
        <v>55.8</v>
      </c>
      <c r="F298" s="7">
        <f t="shared" si="4"/>
        <v>-62</v>
      </c>
      <c r="G298" t="str">
        <f>IF(표1[[#This Row],[diff]]&gt;0,"import","export")</f>
        <v>export</v>
      </c>
      <c r="H298" s="15">
        <f>ABS(표1[[#This Row],[export]]-표1[[#This Row],[import]])/(표1[[#This Row],[export]]+표1[[#This Row],[import]])</f>
        <v>0.35714285714285715</v>
      </c>
    </row>
    <row r="299" spans="1:8" x14ac:dyDescent="0.3">
      <c r="A299" s="5">
        <v>2017</v>
      </c>
      <c r="B299" s="5">
        <v>2910100000</v>
      </c>
      <c r="C299" s="5" t="s">
        <v>277</v>
      </c>
      <c r="D299" s="5">
        <v>71.3</v>
      </c>
      <c r="E299" s="5">
        <v>63.1</v>
      </c>
      <c r="F299" s="7">
        <f t="shared" si="4"/>
        <v>-8.1999999999999957</v>
      </c>
      <c r="G299" t="str">
        <f>IF(표1[[#This Row],[diff]]&gt;0,"import","export")</f>
        <v>export</v>
      </c>
      <c r="H299" s="15">
        <f>ABS(표1[[#This Row],[export]]-표1[[#This Row],[import]])/(표1[[#This Row],[export]]+표1[[#This Row],[import]])</f>
        <v>6.1011904761904726E-2</v>
      </c>
    </row>
    <row r="300" spans="1:8" x14ac:dyDescent="0.3">
      <c r="A300" s="5">
        <v>2018</v>
      </c>
      <c r="B300" s="5">
        <v>2910100000</v>
      </c>
      <c r="C300" s="5" t="s">
        <v>277</v>
      </c>
      <c r="D300" s="5">
        <v>127.3</v>
      </c>
      <c r="E300" s="5">
        <v>60</v>
      </c>
      <c r="F300" s="7">
        <f t="shared" si="4"/>
        <v>-67.3</v>
      </c>
      <c r="G300" t="str">
        <f>IF(표1[[#This Row],[diff]]&gt;0,"import","export")</f>
        <v>export</v>
      </c>
      <c r="H300" s="15">
        <f>ABS(표1[[#This Row],[export]]-표1[[#This Row],[import]])/(표1[[#This Row],[export]]+표1[[#This Row],[import]])</f>
        <v>0.35931660437800317</v>
      </c>
    </row>
    <row r="301" spans="1:8" x14ac:dyDescent="0.3">
      <c r="A301" s="5">
        <v>2019</v>
      </c>
      <c r="B301" s="5">
        <v>2910100000</v>
      </c>
      <c r="C301" s="5" t="s">
        <v>277</v>
      </c>
      <c r="D301" s="5">
        <v>188.4</v>
      </c>
      <c r="E301" s="5">
        <v>59</v>
      </c>
      <c r="F301" s="7">
        <f t="shared" si="4"/>
        <v>-129.4</v>
      </c>
      <c r="G301" t="str">
        <f>IF(표1[[#This Row],[diff]]&gt;0,"import","export")</f>
        <v>export</v>
      </c>
      <c r="H301" s="15">
        <f>ABS(표1[[#This Row],[export]]-표1[[#This Row],[import]])/(표1[[#This Row],[export]]+표1[[#This Row],[import]])</f>
        <v>0.52303961196443005</v>
      </c>
    </row>
    <row r="302" spans="1:8" x14ac:dyDescent="0.3">
      <c r="A302" s="5">
        <v>2020</v>
      </c>
      <c r="B302" s="5">
        <v>2910100000</v>
      </c>
      <c r="C302" s="5" t="s">
        <v>277</v>
      </c>
      <c r="D302" s="5">
        <v>161.5</v>
      </c>
      <c r="E302" s="5">
        <v>46.3</v>
      </c>
      <c r="F302" s="7">
        <f t="shared" si="4"/>
        <v>-115.2</v>
      </c>
      <c r="G302" t="str">
        <f>IF(표1[[#This Row],[diff]]&gt;0,"import","export")</f>
        <v>export</v>
      </c>
      <c r="H302" s="15">
        <f>ABS(표1[[#This Row],[export]]-표1[[#This Row],[import]])/(표1[[#This Row],[export]]+표1[[#This Row],[import]])</f>
        <v>0.55437921077959573</v>
      </c>
    </row>
    <row r="303" spans="1:8" x14ac:dyDescent="0.3">
      <c r="A303" s="5">
        <v>2021</v>
      </c>
      <c r="B303" s="5">
        <v>2910100000</v>
      </c>
      <c r="C303" s="5" t="s">
        <v>277</v>
      </c>
      <c r="D303" s="5">
        <v>344.9</v>
      </c>
      <c r="E303" s="5">
        <v>58</v>
      </c>
      <c r="F303" s="7">
        <f t="shared" si="4"/>
        <v>-286.89999999999998</v>
      </c>
      <c r="G303" t="str">
        <f>IF(표1[[#This Row],[diff]]&gt;0,"import","export")</f>
        <v>export</v>
      </c>
      <c r="H303" s="15">
        <f>ABS(표1[[#This Row],[export]]-표1[[#This Row],[import]])/(표1[[#This Row],[export]]+표1[[#This Row],[import]])</f>
        <v>0.71208736659220651</v>
      </c>
    </row>
    <row r="304" spans="1:8" x14ac:dyDescent="0.3">
      <c r="A304" s="5">
        <v>2022</v>
      </c>
      <c r="B304" s="5">
        <v>2910100000</v>
      </c>
      <c r="C304" s="5" t="s">
        <v>277</v>
      </c>
      <c r="D304" s="5">
        <v>201.7</v>
      </c>
      <c r="E304" s="5">
        <v>58.9</v>
      </c>
      <c r="F304" s="7">
        <f t="shared" si="4"/>
        <v>-142.79999999999998</v>
      </c>
      <c r="G304" t="str">
        <f>IF(표1[[#This Row],[diff]]&gt;0,"import","export")</f>
        <v>export</v>
      </c>
      <c r="H304" s="15">
        <f>ABS(표1[[#This Row],[export]]-표1[[#This Row],[import]])/(표1[[#This Row],[export]]+표1[[#This Row],[import]])</f>
        <v>0.54796623177283188</v>
      </c>
    </row>
    <row r="305" spans="1:8" x14ac:dyDescent="0.3">
      <c r="A305" s="5">
        <v>2023</v>
      </c>
      <c r="B305" s="5">
        <v>2910100000</v>
      </c>
      <c r="C305" s="5" t="s">
        <v>277</v>
      </c>
      <c r="D305" s="5">
        <v>183.5</v>
      </c>
      <c r="E305" s="5">
        <v>42.4</v>
      </c>
      <c r="F305" s="7">
        <f t="shared" si="4"/>
        <v>-141.1</v>
      </c>
      <c r="G305" t="str">
        <f>IF(표1[[#This Row],[diff]]&gt;0,"import","export")</f>
        <v>export</v>
      </c>
      <c r="H305" s="15">
        <f>ABS(표1[[#This Row],[export]]-표1[[#This Row],[import]])/(표1[[#This Row],[export]]+표1[[#This Row],[import]])</f>
        <v>0.62461266046923414</v>
      </c>
    </row>
    <row r="306" spans="1:8" x14ac:dyDescent="0.3">
      <c r="A306" s="5">
        <v>2024</v>
      </c>
      <c r="B306" s="5">
        <v>2910100000</v>
      </c>
      <c r="C306" s="5" t="s">
        <v>277</v>
      </c>
      <c r="D306" s="5">
        <v>40.4</v>
      </c>
      <c r="E306" s="5">
        <v>51.9</v>
      </c>
      <c r="F306" s="7">
        <f t="shared" si="4"/>
        <v>11.5</v>
      </c>
      <c r="G306" t="str">
        <f>IF(표1[[#This Row],[diff]]&gt;0,"import","export")</f>
        <v>import</v>
      </c>
      <c r="H306" s="15">
        <f>ABS(표1[[#This Row],[export]]-표1[[#This Row],[import]])/(표1[[#This Row],[export]]+표1[[#This Row],[import]])</f>
        <v>0.12459371614301191</v>
      </c>
    </row>
    <row r="307" spans="1:8" x14ac:dyDescent="0.3">
      <c r="A307" s="5">
        <v>2025</v>
      </c>
      <c r="B307" s="5">
        <v>2910100000</v>
      </c>
      <c r="C307" s="5" t="s">
        <v>277</v>
      </c>
      <c r="D307" s="5">
        <v>36.299999999999997</v>
      </c>
      <c r="E307" s="5">
        <v>50.8</v>
      </c>
      <c r="F307" s="7">
        <f t="shared" si="4"/>
        <v>14.5</v>
      </c>
      <c r="G307" t="str">
        <f>IF(표1[[#This Row],[diff]]&gt;0,"import","export")</f>
        <v>import</v>
      </c>
      <c r="H307" s="15">
        <f>ABS(표1[[#This Row],[export]]-표1[[#This Row],[import]])/(표1[[#This Row],[export]]+표1[[#This Row],[import]])</f>
        <v>0.16647531572904709</v>
      </c>
    </row>
    <row r="308" spans="1:8" x14ac:dyDescent="0.3">
      <c r="A308" s="5">
        <v>2016</v>
      </c>
      <c r="B308" s="5">
        <v>2910200000</v>
      </c>
      <c r="C308" s="5" t="s">
        <v>278</v>
      </c>
      <c r="D308" s="6">
        <v>4972.7</v>
      </c>
      <c r="E308" s="6">
        <v>134626.29999999999</v>
      </c>
      <c r="F308" s="7">
        <f t="shared" si="4"/>
        <v>129653.59999999999</v>
      </c>
      <c r="G308" t="str">
        <f>IF(표1[[#This Row],[diff]]&gt;0,"import","export")</f>
        <v>import</v>
      </c>
      <c r="H308" s="15">
        <f>ABS(표1[[#This Row],[export]]-표1[[#This Row],[import]])/(표1[[#This Row],[export]]+표1[[#This Row],[import]])</f>
        <v>0.92875736932212971</v>
      </c>
    </row>
    <row r="309" spans="1:8" x14ac:dyDescent="0.3">
      <c r="A309" s="5">
        <v>2017</v>
      </c>
      <c r="B309" s="5">
        <v>2910200000</v>
      </c>
      <c r="C309" s="5" t="s">
        <v>278</v>
      </c>
      <c r="D309" s="6">
        <v>5149.5</v>
      </c>
      <c r="E309" s="6">
        <v>118890.1</v>
      </c>
      <c r="F309" s="7">
        <f t="shared" si="4"/>
        <v>113740.6</v>
      </c>
      <c r="G309" t="str">
        <f>IF(표1[[#This Row],[diff]]&gt;0,"import","export")</f>
        <v>import</v>
      </c>
      <c r="H309" s="15">
        <f>ABS(표1[[#This Row],[export]]-표1[[#This Row],[import]])/(표1[[#This Row],[export]]+표1[[#This Row],[import]])</f>
        <v>0.91697006439878881</v>
      </c>
    </row>
    <row r="310" spans="1:8" x14ac:dyDescent="0.3">
      <c r="A310" s="5">
        <v>2018</v>
      </c>
      <c r="B310" s="5">
        <v>2910200000</v>
      </c>
      <c r="C310" s="5" t="s">
        <v>278</v>
      </c>
      <c r="D310" s="6">
        <v>18820.099999999999</v>
      </c>
      <c r="E310" s="6">
        <v>102724.2</v>
      </c>
      <c r="F310" s="7">
        <f t="shared" si="4"/>
        <v>83904.1</v>
      </c>
      <c r="G310" t="str">
        <f>IF(표1[[#This Row],[diff]]&gt;0,"import","export")</f>
        <v>import</v>
      </c>
      <c r="H310" s="15">
        <f>ABS(표1[[#This Row],[export]]-표1[[#This Row],[import]])/(표1[[#This Row],[export]]+표1[[#This Row],[import]])</f>
        <v>0.69031702844148191</v>
      </c>
    </row>
    <row r="311" spans="1:8" x14ac:dyDescent="0.3">
      <c r="A311" s="5">
        <v>2019</v>
      </c>
      <c r="B311" s="5">
        <v>2910200000</v>
      </c>
      <c r="C311" s="5" t="s">
        <v>278</v>
      </c>
      <c r="D311" s="6">
        <v>143666.20000000001</v>
      </c>
      <c r="E311" s="6">
        <v>71777.8</v>
      </c>
      <c r="F311" s="7">
        <f t="shared" si="4"/>
        <v>-71888.400000000009</v>
      </c>
      <c r="G311" t="str">
        <f>IF(표1[[#This Row],[diff]]&gt;0,"import","export")</f>
        <v>export</v>
      </c>
      <c r="H311" s="15">
        <f>ABS(표1[[#This Row],[export]]-표1[[#This Row],[import]])/(표1[[#This Row],[export]]+표1[[#This Row],[import]])</f>
        <v>0.3336755723064927</v>
      </c>
    </row>
    <row r="312" spans="1:8" x14ac:dyDescent="0.3">
      <c r="A312" s="5">
        <v>2020</v>
      </c>
      <c r="B312" s="5">
        <v>2910200000</v>
      </c>
      <c r="C312" s="5" t="s">
        <v>278</v>
      </c>
      <c r="D312" s="6">
        <v>124437.6</v>
      </c>
      <c r="E312" s="6">
        <v>68528.3</v>
      </c>
      <c r="F312" s="7">
        <f t="shared" si="4"/>
        <v>-55909.3</v>
      </c>
      <c r="G312" t="str">
        <f>IF(표1[[#This Row],[diff]]&gt;0,"import","export")</f>
        <v>export</v>
      </c>
      <c r="H312" s="15">
        <f>ABS(표1[[#This Row],[export]]-표1[[#This Row],[import]])/(표1[[#This Row],[export]]+표1[[#This Row],[import]])</f>
        <v>0.28973668404624858</v>
      </c>
    </row>
    <row r="313" spans="1:8" x14ac:dyDescent="0.3">
      <c r="A313" s="5">
        <v>2021</v>
      </c>
      <c r="B313" s="5">
        <v>2910200000</v>
      </c>
      <c r="C313" s="5" t="s">
        <v>278</v>
      </c>
      <c r="D313" s="6">
        <v>117449.60000000001</v>
      </c>
      <c r="E313" s="6">
        <v>61679.1</v>
      </c>
      <c r="F313" s="7">
        <f t="shared" si="4"/>
        <v>-55770.500000000007</v>
      </c>
      <c r="G313" t="str">
        <f>IF(표1[[#This Row],[diff]]&gt;0,"import","export")</f>
        <v>export</v>
      </c>
      <c r="H313" s="15">
        <f>ABS(표1[[#This Row],[export]]-표1[[#This Row],[import]])/(표1[[#This Row],[export]]+표1[[#This Row],[import]])</f>
        <v>0.31134318509540909</v>
      </c>
    </row>
    <row r="314" spans="1:8" x14ac:dyDescent="0.3">
      <c r="A314" s="5">
        <v>2022</v>
      </c>
      <c r="B314" s="5">
        <v>2910200000</v>
      </c>
      <c r="C314" s="5" t="s">
        <v>278</v>
      </c>
      <c r="D314" s="6">
        <v>66782.3</v>
      </c>
      <c r="E314" s="6">
        <v>49649.2</v>
      </c>
      <c r="F314" s="7">
        <f t="shared" si="4"/>
        <v>-17133.100000000006</v>
      </c>
      <c r="G314" t="str">
        <f>IF(표1[[#This Row],[diff]]&gt;0,"import","export")</f>
        <v>export</v>
      </c>
      <c r="H314" s="15">
        <f>ABS(표1[[#This Row],[export]]-표1[[#This Row],[import]])/(표1[[#This Row],[export]]+표1[[#This Row],[import]])</f>
        <v>0.14715175875944231</v>
      </c>
    </row>
    <row r="315" spans="1:8" x14ac:dyDescent="0.3">
      <c r="A315" s="5">
        <v>2023</v>
      </c>
      <c r="B315" s="5">
        <v>2910200000</v>
      </c>
      <c r="C315" s="5" t="s">
        <v>278</v>
      </c>
      <c r="D315" s="6">
        <v>38327.300000000003</v>
      </c>
      <c r="E315" s="6">
        <v>57417.8</v>
      </c>
      <c r="F315" s="7">
        <f t="shared" si="4"/>
        <v>19090.5</v>
      </c>
      <c r="G315" t="str">
        <f>IF(표1[[#This Row],[diff]]&gt;0,"import","export")</f>
        <v>import</v>
      </c>
      <c r="H315" s="15">
        <f>ABS(표1[[#This Row],[export]]-표1[[#This Row],[import]])/(표1[[#This Row],[export]]+표1[[#This Row],[import]])</f>
        <v>0.19938879378683608</v>
      </c>
    </row>
    <row r="316" spans="1:8" x14ac:dyDescent="0.3">
      <c r="A316" s="5">
        <v>2024</v>
      </c>
      <c r="B316" s="5">
        <v>2910200000</v>
      </c>
      <c r="C316" s="5" t="s">
        <v>278</v>
      </c>
      <c r="D316" s="6">
        <v>42678.1</v>
      </c>
      <c r="E316" s="6">
        <v>56510.9</v>
      </c>
      <c r="F316" s="7">
        <f t="shared" si="4"/>
        <v>13832.800000000003</v>
      </c>
      <c r="G316" t="str">
        <f>IF(표1[[#This Row],[diff]]&gt;0,"import","export")</f>
        <v>import</v>
      </c>
      <c r="H316" s="15">
        <f>ABS(표1[[#This Row],[export]]-표1[[#This Row],[import]])/(표1[[#This Row],[export]]+표1[[#This Row],[import]])</f>
        <v>0.13945901259212215</v>
      </c>
    </row>
    <row r="317" spans="1:8" x14ac:dyDescent="0.3">
      <c r="A317" s="5">
        <v>2025</v>
      </c>
      <c r="B317" s="5">
        <v>2910200000</v>
      </c>
      <c r="C317" s="5" t="s">
        <v>278</v>
      </c>
      <c r="D317" s="6">
        <v>11957.9</v>
      </c>
      <c r="E317" s="6">
        <v>51458.5</v>
      </c>
      <c r="F317" s="7">
        <f t="shared" si="4"/>
        <v>39500.6</v>
      </c>
      <c r="G317" t="str">
        <f>IF(표1[[#This Row],[diff]]&gt;0,"import","export")</f>
        <v>import</v>
      </c>
      <c r="H317" s="15">
        <f>ABS(표1[[#This Row],[export]]-표1[[#This Row],[import]])/(표1[[#This Row],[export]]+표1[[#This Row],[import]])</f>
        <v>0.62287673220176476</v>
      </c>
    </row>
    <row r="318" spans="1:8" x14ac:dyDescent="0.3">
      <c r="A318" s="8">
        <v>2016</v>
      </c>
      <c r="B318" s="8">
        <v>2910300000</v>
      </c>
      <c r="C318" s="8" t="s">
        <v>325</v>
      </c>
      <c r="D318" s="9">
        <v>49700.6</v>
      </c>
      <c r="E318" s="9">
        <v>71227</v>
      </c>
      <c r="F318" s="10">
        <f t="shared" si="4"/>
        <v>21526.400000000001</v>
      </c>
      <c r="G318" t="str">
        <f>IF(표1[[#This Row],[diff]]&gt;0,"import","export")</f>
        <v>import</v>
      </c>
      <c r="H318" s="15">
        <f>ABS(표1[[#This Row],[export]]-표1[[#This Row],[import]])/(표1[[#This Row],[export]]+표1[[#This Row],[import]])</f>
        <v>0.17801064438556624</v>
      </c>
    </row>
    <row r="319" spans="1:8" x14ac:dyDescent="0.3">
      <c r="A319" s="8">
        <v>2017</v>
      </c>
      <c r="B319" s="8">
        <v>2910300000</v>
      </c>
      <c r="C319" s="8" t="s">
        <v>325</v>
      </c>
      <c r="D319" s="9">
        <v>46548.6</v>
      </c>
      <c r="E319" s="9">
        <v>67959.100000000006</v>
      </c>
      <c r="F319" s="10">
        <f t="shared" si="4"/>
        <v>21410.500000000007</v>
      </c>
      <c r="G319" t="str">
        <f>IF(표1[[#This Row],[diff]]&gt;0,"import","export")</f>
        <v>import</v>
      </c>
      <c r="H319" s="15">
        <f>ABS(표1[[#This Row],[export]]-표1[[#This Row],[import]])/(표1[[#This Row],[export]]+표1[[#This Row],[import]])</f>
        <v>0.18697869226261646</v>
      </c>
    </row>
    <row r="320" spans="1:8" x14ac:dyDescent="0.3">
      <c r="A320" s="8">
        <v>2018</v>
      </c>
      <c r="B320" s="8">
        <v>2910300000</v>
      </c>
      <c r="C320" s="8" t="s">
        <v>325</v>
      </c>
      <c r="D320" s="9">
        <v>42195.6</v>
      </c>
      <c r="E320" s="9">
        <v>75440.5</v>
      </c>
      <c r="F320" s="10">
        <f t="shared" si="4"/>
        <v>33244.9</v>
      </c>
      <c r="G320" t="str">
        <f>IF(표1[[#This Row],[diff]]&gt;0,"import","export")</f>
        <v>import</v>
      </c>
      <c r="H320" s="15">
        <f>ABS(표1[[#This Row],[export]]-표1[[#This Row],[import]])/(표1[[#This Row],[export]]+표1[[#This Row],[import]])</f>
        <v>0.28260797493286499</v>
      </c>
    </row>
    <row r="321" spans="1:8" x14ac:dyDescent="0.3">
      <c r="A321" s="8">
        <v>2019</v>
      </c>
      <c r="B321" s="8">
        <v>2910300000</v>
      </c>
      <c r="C321" s="8" t="s">
        <v>325</v>
      </c>
      <c r="D321" s="9">
        <v>37309.1</v>
      </c>
      <c r="E321" s="9">
        <v>81273.7</v>
      </c>
      <c r="F321" s="10">
        <f t="shared" si="4"/>
        <v>43964.6</v>
      </c>
      <c r="G321" t="str">
        <f>IF(표1[[#This Row],[diff]]&gt;0,"import","export")</f>
        <v>import</v>
      </c>
      <c r="H321" s="15">
        <f>ABS(표1[[#This Row],[export]]-표1[[#This Row],[import]])/(표1[[#This Row],[export]]+표1[[#This Row],[import]])</f>
        <v>0.37075022684571457</v>
      </c>
    </row>
    <row r="322" spans="1:8" x14ac:dyDescent="0.3">
      <c r="A322" s="8">
        <v>2020</v>
      </c>
      <c r="B322" s="8">
        <v>2910300000</v>
      </c>
      <c r="C322" s="8" t="s">
        <v>325</v>
      </c>
      <c r="D322" s="9">
        <v>32786.800000000003</v>
      </c>
      <c r="E322" s="9">
        <v>95229.3</v>
      </c>
      <c r="F322" s="10">
        <f t="shared" ref="F322:F385" si="5">E322-D322</f>
        <v>62442.5</v>
      </c>
      <c r="G322" t="str">
        <f>IF(표1[[#This Row],[diff]]&gt;0,"import","export")</f>
        <v>import</v>
      </c>
      <c r="H322" s="15">
        <f>ABS(표1[[#This Row],[export]]-표1[[#This Row],[import]])/(표1[[#This Row],[export]]+표1[[#This Row],[import]])</f>
        <v>0.48777067884430159</v>
      </c>
    </row>
    <row r="323" spans="1:8" x14ac:dyDescent="0.3">
      <c r="A323" s="8">
        <v>2021</v>
      </c>
      <c r="B323" s="8">
        <v>2910300000</v>
      </c>
      <c r="C323" s="8" t="s">
        <v>325</v>
      </c>
      <c r="D323" s="9">
        <v>26939.5</v>
      </c>
      <c r="E323" s="9">
        <v>102628.4</v>
      </c>
      <c r="F323" s="10">
        <f t="shared" si="5"/>
        <v>75688.899999999994</v>
      </c>
      <c r="G323" t="str">
        <f>IF(표1[[#This Row],[diff]]&gt;0,"import","export")</f>
        <v>import</v>
      </c>
      <c r="H323" s="15">
        <f>ABS(표1[[#This Row],[export]]-표1[[#This Row],[import]])/(표1[[#This Row],[export]]+표1[[#This Row],[import]])</f>
        <v>0.58416397888674587</v>
      </c>
    </row>
    <row r="324" spans="1:8" x14ac:dyDescent="0.3">
      <c r="A324" s="8">
        <v>2022</v>
      </c>
      <c r="B324" s="8">
        <v>2910300000</v>
      </c>
      <c r="C324" s="8" t="s">
        <v>325</v>
      </c>
      <c r="D324" s="9">
        <v>30333.8</v>
      </c>
      <c r="E324" s="9">
        <v>81871.600000000006</v>
      </c>
      <c r="F324" s="10">
        <f t="shared" si="5"/>
        <v>51537.8</v>
      </c>
      <c r="G324" t="str">
        <f>IF(표1[[#This Row],[diff]]&gt;0,"import","export")</f>
        <v>import</v>
      </c>
      <c r="H324" s="15">
        <f>ABS(표1[[#This Row],[export]]-표1[[#This Row],[import]])/(표1[[#This Row],[export]]+표1[[#This Row],[import]])</f>
        <v>0.45931657478160587</v>
      </c>
    </row>
    <row r="325" spans="1:8" x14ac:dyDescent="0.3">
      <c r="A325" s="8">
        <v>2023</v>
      </c>
      <c r="B325" s="8">
        <v>2910300000</v>
      </c>
      <c r="C325" s="8" t="s">
        <v>325</v>
      </c>
      <c r="D325" s="9">
        <v>39979.199999999997</v>
      </c>
      <c r="E325" s="9">
        <v>82633</v>
      </c>
      <c r="F325" s="10">
        <f t="shared" si="5"/>
        <v>42653.8</v>
      </c>
      <c r="G325" t="str">
        <f>IF(표1[[#This Row],[diff]]&gt;0,"import","export")</f>
        <v>import</v>
      </c>
      <c r="H325" s="15">
        <f>ABS(표1[[#This Row],[export]]-표1[[#This Row],[import]])/(표1[[#This Row],[export]]+표1[[#This Row],[import]])</f>
        <v>0.34787566000773174</v>
      </c>
    </row>
    <row r="326" spans="1:8" x14ac:dyDescent="0.3">
      <c r="A326" s="8">
        <v>2024</v>
      </c>
      <c r="B326" s="8">
        <v>2910300000</v>
      </c>
      <c r="C326" s="8" t="s">
        <v>325</v>
      </c>
      <c r="D326" s="9">
        <v>54978.8</v>
      </c>
      <c r="E326" s="9">
        <v>102562.8</v>
      </c>
      <c r="F326" s="10">
        <f t="shared" si="5"/>
        <v>47584</v>
      </c>
      <c r="G326" t="str">
        <f>IF(표1[[#This Row],[diff]]&gt;0,"import","export")</f>
        <v>import</v>
      </c>
      <c r="H326" s="15">
        <f>ABS(표1[[#This Row],[export]]-표1[[#This Row],[import]])/(표1[[#This Row],[export]]+표1[[#This Row],[import]])</f>
        <v>0.3020408577797864</v>
      </c>
    </row>
    <row r="327" spans="1:8" x14ac:dyDescent="0.3">
      <c r="A327" s="8">
        <v>2025</v>
      </c>
      <c r="B327" s="8">
        <v>2910300000</v>
      </c>
      <c r="C327" s="8" t="s">
        <v>325</v>
      </c>
      <c r="D327" s="9">
        <v>46799.199999999997</v>
      </c>
      <c r="E327" s="9">
        <v>102689.9</v>
      </c>
      <c r="F327" s="10">
        <f t="shared" si="5"/>
        <v>55890.7</v>
      </c>
      <c r="G327" t="str">
        <f>IF(표1[[#This Row],[diff]]&gt;0,"import","export")</f>
        <v>import</v>
      </c>
      <c r="H327" s="15">
        <f>ABS(표1[[#This Row],[export]]-표1[[#This Row],[import]])/(표1[[#This Row],[export]]+표1[[#This Row],[import]])</f>
        <v>0.37387809545980277</v>
      </c>
    </row>
    <row r="328" spans="1:8" x14ac:dyDescent="0.3">
      <c r="A328" s="5">
        <v>2016</v>
      </c>
      <c r="B328" s="5">
        <v>2912110000</v>
      </c>
      <c r="C328" s="5" t="s">
        <v>279</v>
      </c>
      <c r="D328" s="5">
        <v>172.4</v>
      </c>
      <c r="E328" s="5">
        <v>11.2</v>
      </c>
      <c r="F328" s="7">
        <f t="shared" si="5"/>
        <v>-161.20000000000002</v>
      </c>
      <c r="G328" t="str">
        <f>IF(표1[[#This Row],[diff]]&gt;0,"import","export")</f>
        <v>export</v>
      </c>
      <c r="H328" s="15">
        <f>ABS(표1[[#This Row],[export]]-표1[[#This Row],[import]])/(표1[[#This Row],[export]]+표1[[#This Row],[import]])</f>
        <v>0.87799564270152519</v>
      </c>
    </row>
    <row r="329" spans="1:8" x14ac:dyDescent="0.3">
      <c r="A329" s="5">
        <v>2017</v>
      </c>
      <c r="B329" s="5">
        <v>2912110000</v>
      </c>
      <c r="C329" s="5" t="s">
        <v>279</v>
      </c>
      <c r="D329" s="5">
        <v>139</v>
      </c>
      <c r="E329" s="5">
        <v>490.1</v>
      </c>
      <c r="F329" s="7">
        <f t="shared" si="5"/>
        <v>351.1</v>
      </c>
      <c r="G329" t="str">
        <f>IF(표1[[#This Row],[diff]]&gt;0,"import","export")</f>
        <v>import</v>
      </c>
      <c r="H329" s="15">
        <f>ABS(표1[[#This Row],[export]]-표1[[#This Row],[import]])/(표1[[#This Row],[export]]+표1[[#This Row],[import]])</f>
        <v>0.55809887140359249</v>
      </c>
    </row>
    <row r="330" spans="1:8" x14ac:dyDescent="0.3">
      <c r="A330" s="5">
        <v>2018</v>
      </c>
      <c r="B330" s="5">
        <v>2912110000</v>
      </c>
      <c r="C330" s="5" t="s">
        <v>279</v>
      </c>
      <c r="D330" s="5">
        <v>123.7</v>
      </c>
      <c r="E330" s="5">
        <v>578.79999999999995</v>
      </c>
      <c r="F330" s="7">
        <f t="shared" si="5"/>
        <v>455.09999999999997</v>
      </c>
      <c r="G330" t="str">
        <f>IF(표1[[#This Row],[diff]]&gt;0,"import","export")</f>
        <v>import</v>
      </c>
      <c r="H330" s="15">
        <f>ABS(표1[[#This Row],[export]]-표1[[#This Row],[import]])/(표1[[#This Row],[export]]+표1[[#This Row],[import]])</f>
        <v>0.64782918149466184</v>
      </c>
    </row>
    <row r="331" spans="1:8" x14ac:dyDescent="0.3">
      <c r="A331" s="5">
        <v>2019</v>
      </c>
      <c r="B331" s="5">
        <v>2912110000</v>
      </c>
      <c r="C331" s="5" t="s">
        <v>279</v>
      </c>
      <c r="D331" s="5">
        <v>156.30000000000001</v>
      </c>
      <c r="E331" s="5">
        <v>594.79999999999995</v>
      </c>
      <c r="F331" s="7">
        <f t="shared" si="5"/>
        <v>438.49999999999994</v>
      </c>
      <c r="G331" t="str">
        <f>IF(표1[[#This Row],[diff]]&gt;0,"import","export")</f>
        <v>import</v>
      </c>
      <c r="H331" s="15">
        <f>ABS(표1[[#This Row],[export]]-표1[[#This Row],[import]])/(표1[[#This Row],[export]]+표1[[#This Row],[import]])</f>
        <v>0.58381041139661827</v>
      </c>
    </row>
    <row r="332" spans="1:8" x14ac:dyDescent="0.3">
      <c r="A332" s="5">
        <v>2020</v>
      </c>
      <c r="B332" s="5">
        <v>2912110000</v>
      </c>
      <c r="C332" s="5" t="s">
        <v>279</v>
      </c>
      <c r="D332" s="5">
        <v>51.6</v>
      </c>
      <c r="E332" s="5">
        <v>490</v>
      </c>
      <c r="F332" s="7">
        <f t="shared" si="5"/>
        <v>438.4</v>
      </c>
      <c r="G332" t="str">
        <f>IF(표1[[#This Row],[diff]]&gt;0,"import","export")</f>
        <v>import</v>
      </c>
      <c r="H332" s="15">
        <f>ABS(표1[[#This Row],[export]]-표1[[#This Row],[import]])/(표1[[#This Row],[export]]+표1[[#This Row],[import]])</f>
        <v>0.80945347119645483</v>
      </c>
    </row>
    <row r="333" spans="1:8" x14ac:dyDescent="0.3">
      <c r="A333" s="5">
        <v>2021</v>
      </c>
      <c r="B333" s="5">
        <v>2912110000</v>
      </c>
      <c r="C333" s="5" t="s">
        <v>279</v>
      </c>
      <c r="D333" s="5">
        <v>44.3</v>
      </c>
      <c r="E333" s="5">
        <v>359.8</v>
      </c>
      <c r="F333" s="7">
        <f t="shared" si="5"/>
        <v>315.5</v>
      </c>
      <c r="G333" t="str">
        <f>IF(표1[[#This Row],[diff]]&gt;0,"import","export")</f>
        <v>import</v>
      </c>
      <c r="H333" s="15">
        <f>ABS(표1[[#This Row],[export]]-표1[[#This Row],[import]])/(표1[[#This Row],[export]]+표1[[#This Row],[import]])</f>
        <v>0.78074733976738431</v>
      </c>
    </row>
    <row r="334" spans="1:8" x14ac:dyDescent="0.3">
      <c r="A334" s="5">
        <v>2022</v>
      </c>
      <c r="B334" s="5">
        <v>2912110000</v>
      </c>
      <c r="C334" s="5" t="s">
        <v>279</v>
      </c>
      <c r="D334" s="5">
        <v>32.200000000000003</v>
      </c>
      <c r="E334" s="5">
        <v>337.5</v>
      </c>
      <c r="F334" s="7">
        <f t="shared" si="5"/>
        <v>305.3</v>
      </c>
      <c r="G334" t="str">
        <f>IF(표1[[#This Row],[diff]]&gt;0,"import","export")</f>
        <v>import</v>
      </c>
      <c r="H334" s="15">
        <f>ABS(표1[[#This Row],[export]]-표1[[#This Row],[import]])/(표1[[#This Row],[export]]+표1[[#This Row],[import]])</f>
        <v>0.82580470651879911</v>
      </c>
    </row>
    <row r="335" spans="1:8" x14ac:dyDescent="0.3">
      <c r="A335" s="5">
        <v>2023</v>
      </c>
      <c r="B335" s="5">
        <v>2912110000</v>
      </c>
      <c r="C335" s="5" t="s">
        <v>279</v>
      </c>
      <c r="D335" s="5">
        <v>74.3</v>
      </c>
      <c r="E335" s="5">
        <v>384.1</v>
      </c>
      <c r="F335" s="7">
        <f t="shared" si="5"/>
        <v>309.8</v>
      </c>
      <c r="G335" t="str">
        <f>IF(표1[[#This Row],[diff]]&gt;0,"import","export")</f>
        <v>import</v>
      </c>
      <c r="H335" s="15">
        <f>ABS(표1[[#This Row],[export]]-표1[[#This Row],[import]])/(표1[[#This Row],[export]]+표1[[#This Row],[import]])</f>
        <v>0.67582897033158806</v>
      </c>
    </row>
    <row r="336" spans="1:8" x14ac:dyDescent="0.3">
      <c r="A336" s="5">
        <v>2024</v>
      </c>
      <c r="B336" s="5">
        <v>2912110000</v>
      </c>
      <c r="C336" s="5" t="s">
        <v>279</v>
      </c>
      <c r="D336" s="5">
        <v>85.6</v>
      </c>
      <c r="E336" s="5">
        <v>346.8</v>
      </c>
      <c r="F336" s="7">
        <f t="shared" si="5"/>
        <v>261.20000000000005</v>
      </c>
      <c r="G336" t="str">
        <f>IF(표1[[#This Row],[diff]]&gt;0,"import","export")</f>
        <v>import</v>
      </c>
      <c r="H336" s="15">
        <f>ABS(표1[[#This Row],[export]]-표1[[#This Row],[import]])/(표1[[#This Row],[export]]+표1[[#This Row],[import]])</f>
        <v>0.60407030527289562</v>
      </c>
    </row>
    <row r="337" spans="1:8" x14ac:dyDescent="0.3">
      <c r="A337" s="5">
        <v>2025</v>
      </c>
      <c r="B337" s="5">
        <v>2912110000</v>
      </c>
      <c r="C337" s="5" t="s">
        <v>279</v>
      </c>
      <c r="D337" s="5">
        <v>115.1</v>
      </c>
      <c r="E337" s="5">
        <v>374</v>
      </c>
      <c r="F337" s="7">
        <f t="shared" si="5"/>
        <v>258.89999999999998</v>
      </c>
      <c r="G337" t="str">
        <f>IF(표1[[#This Row],[diff]]&gt;0,"import","export")</f>
        <v>import</v>
      </c>
      <c r="H337" s="15">
        <f>ABS(표1[[#This Row],[export]]-표1[[#This Row],[import]])/(표1[[#This Row],[export]]+표1[[#This Row],[import]])</f>
        <v>0.52933960335309749</v>
      </c>
    </row>
    <row r="338" spans="1:8" x14ac:dyDescent="0.3">
      <c r="A338" s="5">
        <v>2016</v>
      </c>
      <c r="B338" s="5">
        <v>2912120000</v>
      </c>
      <c r="C338" s="5" t="s">
        <v>280</v>
      </c>
      <c r="D338" s="5">
        <v>0</v>
      </c>
      <c r="E338" s="5">
        <v>77.3</v>
      </c>
      <c r="F338" s="7">
        <f t="shared" si="5"/>
        <v>77.3</v>
      </c>
      <c r="G338" t="str">
        <f>IF(표1[[#This Row],[diff]]&gt;0,"import","export")</f>
        <v>import</v>
      </c>
      <c r="H338" s="15">
        <f>ABS(표1[[#This Row],[export]]-표1[[#This Row],[import]])/(표1[[#This Row],[export]]+표1[[#This Row],[import]])</f>
        <v>1</v>
      </c>
    </row>
    <row r="339" spans="1:8" x14ac:dyDescent="0.3">
      <c r="A339" s="5">
        <v>2017</v>
      </c>
      <c r="B339" s="5">
        <v>2912120000</v>
      </c>
      <c r="C339" s="5" t="s">
        <v>280</v>
      </c>
      <c r="D339" s="5">
        <v>0</v>
      </c>
      <c r="E339" s="5">
        <v>19.8</v>
      </c>
      <c r="F339" s="7">
        <f t="shared" si="5"/>
        <v>19.8</v>
      </c>
      <c r="G339" t="str">
        <f>IF(표1[[#This Row],[diff]]&gt;0,"import","export")</f>
        <v>import</v>
      </c>
      <c r="H339" s="15">
        <f>ABS(표1[[#This Row],[export]]-표1[[#This Row],[import]])/(표1[[#This Row],[export]]+표1[[#This Row],[import]])</f>
        <v>1</v>
      </c>
    </row>
    <row r="340" spans="1:8" x14ac:dyDescent="0.3">
      <c r="A340" s="5">
        <v>2018</v>
      </c>
      <c r="B340" s="5">
        <v>2912120000</v>
      </c>
      <c r="C340" s="5" t="s">
        <v>280</v>
      </c>
      <c r="D340" s="5">
        <v>0</v>
      </c>
      <c r="E340" s="5">
        <v>13.6</v>
      </c>
      <c r="F340" s="7">
        <f t="shared" si="5"/>
        <v>13.6</v>
      </c>
      <c r="G340" t="str">
        <f>IF(표1[[#This Row],[diff]]&gt;0,"import","export")</f>
        <v>import</v>
      </c>
      <c r="H340" s="15">
        <f>ABS(표1[[#This Row],[export]]-표1[[#This Row],[import]])/(표1[[#This Row],[export]]+표1[[#This Row],[import]])</f>
        <v>1</v>
      </c>
    </row>
    <row r="341" spans="1:8" x14ac:dyDescent="0.3">
      <c r="A341" s="5">
        <v>2019</v>
      </c>
      <c r="B341" s="5">
        <v>2912120000</v>
      </c>
      <c r="C341" s="5" t="s">
        <v>280</v>
      </c>
      <c r="D341" s="5">
        <v>0</v>
      </c>
      <c r="E341" s="5">
        <v>33.4</v>
      </c>
      <c r="F341" s="7">
        <f t="shared" si="5"/>
        <v>33.4</v>
      </c>
      <c r="G341" t="str">
        <f>IF(표1[[#This Row],[diff]]&gt;0,"import","export")</f>
        <v>import</v>
      </c>
      <c r="H341" s="15">
        <f>ABS(표1[[#This Row],[export]]-표1[[#This Row],[import]])/(표1[[#This Row],[export]]+표1[[#This Row],[import]])</f>
        <v>1</v>
      </c>
    </row>
    <row r="342" spans="1:8" x14ac:dyDescent="0.3">
      <c r="A342" s="5">
        <v>2020</v>
      </c>
      <c r="B342" s="5">
        <v>2912120000</v>
      </c>
      <c r="C342" s="5" t="s">
        <v>280</v>
      </c>
      <c r="D342" s="5">
        <v>0.2</v>
      </c>
      <c r="E342" s="5">
        <v>25.6</v>
      </c>
      <c r="F342" s="7">
        <f t="shared" si="5"/>
        <v>25.400000000000002</v>
      </c>
      <c r="G342" t="str">
        <f>IF(표1[[#This Row],[diff]]&gt;0,"import","export")</f>
        <v>import</v>
      </c>
      <c r="H342" s="15">
        <f>ABS(표1[[#This Row],[export]]-표1[[#This Row],[import]])/(표1[[#This Row],[export]]+표1[[#This Row],[import]])</f>
        <v>0.98449612403100784</v>
      </c>
    </row>
    <row r="343" spans="1:8" x14ac:dyDescent="0.3">
      <c r="A343" s="5">
        <v>2021</v>
      </c>
      <c r="B343" s="5">
        <v>2912120000</v>
      </c>
      <c r="C343" s="5" t="s">
        <v>280</v>
      </c>
      <c r="D343" s="5">
        <v>0</v>
      </c>
      <c r="E343" s="5">
        <v>19.3</v>
      </c>
      <c r="F343" s="7">
        <f t="shared" si="5"/>
        <v>19.3</v>
      </c>
      <c r="G343" t="str">
        <f>IF(표1[[#This Row],[diff]]&gt;0,"import","export")</f>
        <v>import</v>
      </c>
      <c r="H343" s="15">
        <f>ABS(표1[[#This Row],[export]]-표1[[#This Row],[import]])/(표1[[#This Row],[export]]+표1[[#This Row],[import]])</f>
        <v>1</v>
      </c>
    </row>
    <row r="344" spans="1:8" x14ac:dyDescent="0.3">
      <c r="A344" s="5">
        <v>2022</v>
      </c>
      <c r="B344" s="5">
        <v>2912120000</v>
      </c>
      <c r="C344" s="5" t="s">
        <v>280</v>
      </c>
      <c r="D344" s="5">
        <v>0.2</v>
      </c>
      <c r="E344" s="5">
        <v>29</v>
      </c>
      <c r="F344" s="7">
        <f t="shared" si="5"/>
        <v>28.8</v>
      </c>
      <c r="G344" t="str">
        <f>IF(표1[[#This Row],[diff]]&gt;0,"import","export")</f>
        <v>import</v>
      </c>
      <c r="H344" s="15">
        <f>ABS(표1[[#This Row],[export]]-표1[[#This Row],[import]])/(표1[[#This Row],[export]]+표1[[#This Row],[import]])</f>
        <v>0.98630136986301375</v>
      </c>
    </row>
    <row r="345" spans="1:8" x14ac:dyDescent="0.3">
      <c r="A345" s="5">
        <v>2023</v>
      </c>
      <c r="B345" s="5">
        <v>2912120000</v>
      </c>
      <c r="C345" s="5" t="s">
        <v>280</v>
      </c>
      <c r="D345" s="5">
        <v>0</v>
      </c>
      <c r="E345" s="5">
        <v>31.2</v>
      </c>
      <c r="F345" s="7">
        <f t="shared" si="5"/>
        <v>31.2</v>
      </c>
      <c r="G345" t="str">
        <f>IF(표1[[#This Row],[diff]]&gt;0,"import","export")</f>
        <v>import</v>
      </c>
      <c r="H345" s="15">
        <f>ABS(표1[[#This Row],[export]]-표1[[#This Row],[import]])/(표1[[#This Row],[export]]+표1[[#This Row],[import]])</f>
        <v>1</v>
      </c>
    </row>
    <row r="346" spans="1:8" x14ac:dyDescent="0.3">
      <c r="A346" s="5">
        <v>2024</v>
      </c>
      <c r="B346" s="5">
        <v>2912120000</v>
      </c>
      <c r="C346" s="5" t="s">
        <v>280</v>
      </c>
      <c r="D346" s="5">
        <v>0.4</v>
      </c>
      <c r="E346" s="5">
        <v>37.9</v>
      </c>
      <c r="F346" s="7">
        <f t="shared" si="5"/>
        <v>37.5</v>
      </c>
      <c r="G346" t="str">
        <f>IF(표1[[#This Row],[diff]]&gt;0,"import","export")</f>
        <v>import</v>
      </c>
      <c r="H346" s="15">
        <f>ABS(표1[[#This Row],[export]]-표1[[#This Row],[import]])/(표1[[#This Row],[export]]+표1[[#This Row],[import]])</f>
        <v>0.97911227154047009</v>
      </c>
    </row>
    <row r="347" spans="1:8" x14ac:dyDescent="0.3">
      <c r="A347" s="5">
        <v>2025</v>
      </c>
      <c r="B347" s="5">
        <v>2912120000</v>
      </c>
      <c r="C347" s="5" t="s">
        <v>280</v>
      </c>
      <c r="D347" s="5">
        <v>0</v>
      </c>
      <c r="E347" s="5">
        <v>39.1</v>
      </c>
      <c r="F347" s="7">
        <f t="shared" si="5"/>
        <v>39.1</v>
      </c>
      <c r="G347" t="str">
        <f>IF(표1[[#This Row],[diff]]&gt;0,"import","export")</f>
        <v>import</v>
      </c>
      <c r="H347" s="15">
        <f>ABS(표1[[#This Row],[export]]-표1[[#This Row],[import]])/(표1[[#This Row],[export]]+표1[[#This Row],[import]])</f>
        <v>1</v>
      </c>
    </row>
    <row r="348" spans="1:8" x14ac:dyDescent="0.3">
      <c r="A348" s="5">
        <v>2016</v>
      </c>
      <c r="B348" s="5">
        <v>2912193000</v>
      </c>
      <c r="C348" s="5" t="s">
        <v>281</v>
      </c>
      <c r="D348" s="5">
        <v>0</v>
      </c>
      <c r="E348" s="6">
        <v>1193.0999999999999</v>
      </c>
      <c r="F348" s="7">
        <f t="shared" si="5"/>
        <v>1193.0999999999999</v>
      </c>
      <c r="G348" t="str">
        <f>IF(표1[[#This Row],[diff]]&gt;0,"import","export")</f>
        <v>import</v>
      </c>
      <c r="H348" s="15">
        <f>ABS(표1[[#This Row],[export]]-표1[[#This Row],[import]])/(표1[[#This Row],[export]]+표1[[#This Row],[import]])</f>
        <v>1</v>
      </c>
    </row>
    <row r="349" spans="1:8" x14ac:dyDescent="0.3">
      <c r="A349" s="5">
        <v>2017</v>
      </c>
      <c r="B349" s="5">
        <v>2912193000</v>
      </c>
      <c r="C349" s="5" t="s">
        <v>281</v>
      </c>
      <c r="D349" s="5">
        <v>595</v>
      </c>
      <c r="E349" s="6">
        <v>1378.5</v>
      </c>
      <c r="F349" s="7">
        <f t="shared" si="5"/>
        <v>783.5</v>
      </c>
      <c r="G349" t="str">
        <f>IF(표1[[#This Row],[diff]]&gt;0,"import","export")</f>
        <v>import</v>
      </c>
      <c r="H349" s="15">
        <f>ABS(표1[[#This Row],[export]]-표1[[#This Row],[import]])/(표1[[#This Row],[export]]+표1[[#This Row],[import]])</f>
        <v>0.39701038763617935</v>
      </c>
    </row>
    <row r="350" spans="1:8" x14ac:dyDescent="0.3">
      <c r="A350" s="5">
        <v>2018</v>
      </c>
      <c r="B350" s="5">
        <v>2912193000</v>
      </c>
      <c r="C350" s="5" t="s">
        <v>281</v>
      </c>
      <c r="D350" s="5">
        <v>0</v>
      </c>
      <c r="E350" s="5">
        <v>485.6</v>
      </c>
      <c r="F350" s="7">
        <f t="shared" si="5"/>
        <v>485.6</v>
      </c>
      <c r="G350" t="str">
        <f>IF(표1[[#This Row],[diff]]&gt;0,"import","export")</f>
        <v>import</v>
      </c>
      <c r="H350" s="15">
        <f>ABS(표1[[#This Row],[export]]-표1[[#This Row],[import]])/(표1[[#This Row],[export]]+표1[[#This Row],[import]])</f>
        <v>1</v>
      </c>
    </row>
    <row r="351" spans="1:8" x14ac:dyDescent="0.3">
      <c r="A351" s="5">
        <v>2019</v>
      </c>
      <c r="B351" s="5">
        <v>2912193000</v>
      </c>
      <c r="C351" s="5" t="s">
        <v>281</v>
      </c>
      <c r="D351" s="5">
        <v>0</v>
      </c>
      <c r="E351" s="5">
        <v>564.9</v>
      </c>
      <c r="F351" s="7">
        <f t="shared" si="5"/>
        <v>564.9</v>
      </c>
      <c r="G351" t="str">
        <f>IF(표1[[#This Row],[diff]]&gt;0,"import","export")</f>
        <v>import</v>
      </c>
      <c r="H351" s="15">
        <f>ABS(표1[[#This Row],[export]]-표1[[#This Row],[import]])/(표1[[#This Row],[export]]+표1[[#This Row],[import]])</f>
        <v>1</v>
      </c>
    </row>
    <row r="352" spans="1:8" x14ac:dyDescent="0.3">
      <c r="A352" s="5">
        <v>2020</v>
      </c>
      <c r="B352" s="5">
        <v>2912193000</v>
      </c>
      <c r="C352" s="5" t="s">
        <v>281</v>
      </c>
      <c r="D352" s="6">
        <v>2135</v>
      </c>
      <c r="E352" s="6">
        <v>1815.6</v>
      </c>
      <c r="F352" s="7">
        <f t="shared" si="5"/>
        <v>-319.40000000000009</v>
      </c>
      <c r="G352" t="str">
        <f>IF(표1[[#This Row],[diff]]&gt;0,"import","export")</f>
        <v>export</v>
      </c>
      <c r="H352" s="15">
        <f>ABS(표1[[#This Row],[export]]-표1[[#This Row],[import]])/(표1[[#This Row],[export]]+표1[[#This Row],[import]])</f>
        <v>8.0848478712094385E-2</v>
      </c>
    </row>
    <row r="353" spans="1:8" x14ac:dyDescent="0.3">
      <c r="A353" s="5">
        <v>2021</v>
      </c>
      <c r="B353" s="5">
        <v>2912193000</v>
      </c>
      <c r="C353" s="5" t="s">
        <v>281</v>
      </c>
      <c r="D353" s="6">
        <v>1505</v>
      </c>
      <c r="E353" s="5">
        <v>991.9</v>
      </c>
      <c r="F353" s="7">
        <f t="shared" si="5"/>
        <v>-513.1</v>
      </c>
      <c r="G353" t="str">
        <f>IF(표1[[#This Row],[diff]]&gt;0,"import","export")</f>
        <v>export</v>
      </c>
      <c r="H353" s="15">
        <f>ABS(표1[[#This Row],[export]]-표1[[#This Row],[import]])/(표1[[#This Row],[export]]+표1[[#This Row],[import]])</f>
        <v>0.20549481356882535</v>
      </c>
    </row>
    <row r="354" spans="1:8" x14ac:dyDescent="0.3">
      <c r="A354" s="5">
        <v>2022</v>
      </c>
      <c r="B354" s="5">
        <v>2912193000</v>
      </c>
      <c r="C354" s="5" t="s">
        <v>281</v>
      </c>
      <c r="D354" s="5">
        <v>0</v>
      </c>
      <c r="E354" s="6">
        <v>1183.4000000000001</v>
      </c>
      <c r="F354" s="7">
        <f t="shared" si="5"/>
        <v>1183.4000000000001</v>
      </c>
      <c r="G354" t="str">
        <f>IF(표1[[#This Row],[diff]]&gt;0,"import","export")</f>
        <v>import</v>
      </c>
      <c r="H354" s="15">
        <f>ABS(표1[[#This Row],[export]]-표1[[#This Row],[import]])/(표1[[#This Row],[export]]+표1[[#This Row],[import]])</f>
        <v>1</v>
      </c>
    </row>
    <row r="355" spans="1:8" x14ac:dyDescent="0.3">
      <c r="A355" s="5">
        <v>2023</v>
      </c>
      <c r="B355" s="5">
        <v>2912193000</v>
      </c>
      <c r="C355" s="5" t="s">
        <v>281</v>
      </c>
      <c r="D355" s="6">
        <v>5250</v>
      </c>
      <c r="E355" s="5">
        <v>126.8</v>
      </c>
      <c r="F355" s="7">
        <f t="shared" si="5"/>
        <v>-5123.2</v>
      </c>
      <c r="G355" t="str">
        <f>IF(표1[[#This Row],[diff]]&gt;0,"import","export")</f>
        <v>export</v>
      </c>
      <c r="H355" s="15">
        <f>ABS(표1[[#This Row],[export]]-표1[[#This Row],[import]])/(표1[[#This Row],[export]]+표1[[#This Row],[import]])</f>
        <v>0.95283439964291017</v>
      </c>
    </row>
    <row r="356" spans="1:8" x14ac:dyDescent="0.3">
      <c r="A356" s="5">
        <v>2024</v>
      </c>
      <c r="B356" s="5">
        <v>2912193000</v>
      </c>
      <c r="C356" s="5" t="s">
        <v>281</v>
      </c>
      <c r="D356" s="6">
        <v>4900</v>
      </c>
      <c r="E356" s="5">
        <v>459.2</v>
      </c>
      <c r="F356" s="7">
        <f t="shared" si="5"/>
        <v>-4440.8</v>
      </c>
      <c r="G356" t="str">
        <f>IF(표1[[#This Row],[diff]]&gt;0,"import","export")</f>
        <v>export</v>
      </c>
      <c r="H356" s="15">
        <f>ABS(표1[[#This Row],[export]]-표1[[#This Row],[import]])/(표1[[#This Row],[export]]+표1[[#This Row],[import]])</f>
        <v>0.82863113897596663</v>
      </c>
    </row>
    <row r="357" spans="1:8" x14ac:dyDescent="0.3">
      <c r="A357" s="5">
        <v>2025</v>
      </c>
      <c r="B357" s="5">
        <v>2912193000</v>
      </c>
      <c r="C357" s="5" t="s">
        <v>281</v>
      </c>
      <c r="D357" s="5">
        <v>0</v>
      </c>
      <c r="E357" s="5">
        <v>106.6</v>
      </c>
      <c r="F357" s="7">
        <f t="shared" si="5"/>
        <v>106.6</v>
      </c>
      <c r="G357" t="str">
        <f>IF(표1[[#This Row],[diff]]&gt;0,"import","export")</f>
        <v>import</v>
      </c>
      <c r="H357" s="15">
        <f>ABS(표1[[#This Row],[export]]-표1[[#This Row],[import]])/(표1[[#This Row],[export]]+표1[[#This Row],[import]])</f>
        <v>1</v>
      </c>
    </row>
    <row r="358" spans="1:8" x14ac:dyDescent="0.3">
      <c r="A358" s="5">
        <v>2016</v>
      </c>
      <c r="B358" s="5">
        <v>2914110000</v>
      </c>
      <c r="C358" s="5" t="s">
        <v>282</v>
      </c>
      <c r="D358" s="6">
        <v>236152.7</v>
      </c>
      <c r="E358" s="6">
        <v>8932.7999999999993</v>
      </c>
      <c r="F358" s="7">
        <f t="shared" si="5"/>
        <v>-227219.90000000002</v>
      </c>
      <c r="G358" t="str">
        <f>IF(표1[[#This Row],[diff]]&gt;0,"import","export")</f>
        <v>export</v>
      </c>
      <c r="H358" s="15">
        <f>ABS(표1[[#This Row],[export]]-표1[[#This Row],[import]])/(표1[[#This Row],[export]]+표1[[#This Row],[import]])</f>
        <v>0.92710462267249605</v>
      </c>
    </row>
    <row r="359" spans="1:8" x14ac:dyDescent="0.3">
      <c r="A359" s="5">
        <v>2017</v>
      </c>
      <c r="B359" s="5">
        <v>2914110000</v>
      </c>
      <c r="C359" s="5" t="s">
        <v>282</v>
      </c>
      <c r="D359" s="6">
        <v>287406.8</v>
      </c>
      <c r="E359" s="6">
        <v>15945.3</v>
      </c>
      <c r="F359" s="7">
        <f t="shared" si="5"/>
        <v>-271461.5</v>
      </c>
      <c r="G359" t="str">
        <f>IF(표1[[#This Row],[diff]]&gt;0,"import","export")</f>
        <v>export</v>
      </c>
      <c r="H359" s="15">
        <f>ABS(표1[[#This Row],[export]]-표1[[#This Row],[import]])/(표1[[#This Row],[export]]+표1[[#This Row],[import]])</f>
        <v>0.89487265787841919</v>
      </c>
    </row>
    <row r="360" spans="1:8" x14ac:dyDescent="0.3">
      <c r="A360" s="5">
        <v>2018</v>
      </c>
      <c r="B360" s="5">
        <v>2914110000</v>
      </c>
      <c r="C360" s="5" t="s">
        <v>282</v>
      </c>
      <c r="D360" s="6">
        <v>328381.40000000002</v>
      </c>
      <c r="E360" s="6">
        <v>17884.900000000001</v>
      </c>
      <c r="F360" s="7">
        <f t="shared" si="5"/>
        <v>-310496.5</v>
      </c>
      <c r="G360" t="str">
        <f>IF(표1[[#This Row],[diff]]&gt;0,"import","export")</f>
        <v>export</v>
      </c>
      <c r="H360" s="15">
        <f>ABS(표1[[#This Row],[export]]-표1[[#This Row],[import]])/(표1[[#This Row],[export]]+표1[[#This Row],[import]])</f>
        <v>0.89669858140974146</v>
      </c>
    </row>
    <row r="361" spans="1:8" x14ac:dyDescent="0.3">
      <c r="A361" s="5">
        <v>2019</v>
      </c>
      <c r="B361" s="5">
        <v>2914110000</v>
      </c>
      <c r="C361" s="5" t="s">
        <v>282</v>
      </c>
      <c r="D361" s="6">
        <v>219726.6</v>
      </c>
      <c r="E361" s="6">
        <v>20760.5</v>
      </c>
      <c r="F361" s="7">
        <f t="shared" si="5"/>
        <v>-198966.1</v>
      </c>
      <c r="G361" t="str">
        <f>IF(표1[[#This Row],[diff]]&gt;0,"import","export")</f>
        <v>export</v>
      </c>
      <c r="H361" s="15">
        <f>ABS(표1[[#This Row],[export]]-표1[[#This Row],[import]])/(표1[[#This Row],[export]]+표1[[#This Row],[import]])</f>
        <v>0.82734624850979532</v>
      </c>
    </row>
    <row r="362" spans="1:8" x14ac:dyDescent="0.3">
      <c r="A362" s="5">
        <v>2020</v>
      </c>
      <c r="B362" s="5">
        <v>2914110000</v>
      </c>
      <c r="C362" s="5" t="s">
        <v>282</v>
      </c>
      <c r="D362" s="6">
        <v>213689.1</v>
      </c>
      <c r="E362" s="6">
        <v>7938</v>
      </c>
      <c r="F362" s="7">
        <f t="shared" si="5"/>
        <v>-205751.1</v>
      </c>
      <c r="G362" t="str">
        <f>IF(표1[[#This Row],[diff]]&gt;0,"import","export")</f>
        <v>export</v>
      </c>
      <c r="H362" s="15">
        <f>ABS(표1[[#This Row],[export]]-표1[[#This Row],[import]])/(표1[[#This Row],[export]]+표1[[#This Row],[import]])</f>
        <v>0.92836616099745928</v>
      </c>
    </row>
    <row r="363" spans="1:8" x14ac:dyDescent="0.3">
      <c r="A363" s="5">
        <v>2021</v>
      </c>
      <c r="B363" s="5">
        <v>2914110000</v>
      </c>
      <c r="C363" s="5" t="s">
        <v>282</v>
      </c>
      <c r="D363" s="6">
        <v>229139.4</v>
      </c>
      <c r="E363" s="6">
        <v>6970.7</v>
      </c>
      <c r="F363" s="7">
        <f t="shared" si="5"/>
        <v>-222168.69999999998</v>
      </c>
      <c r="G363" t="str">
        <f>IF(표1[[#This Row],[diff]]&gt;0,"import","export")</f>
        <v>export</v>
      </c>
      <c r="H363" s="15">
        <f>ABS(표1[[#This Row],[export]]-표1[[#This Row],[import]])/(표1[[#This Row],[export]]+표1[[#This Row],[import]])</f>
        <v>0.94095381773164288</v>
      </c>
    </row>
    <row r="364" spans="1:8" x14ac:dyDescent="0.3">
      <c r="A364" s="5">
        <v>2022</v>
      </c>
      <c r="B364" s="5">
        <v>2914110000</v>
      </c>
      <c r="C364" s="5" t="s">
        <v>282</v>
      </c>
      <c r="D364" s="6">
        <v>211042.2</v>
      </c>
      <c r="E364" s="5">
        <v>52.1</v>
      </c>
      <c r="F364" s="7">
        <f t="shared" si="5"/>
        <v>-210990.1</v>
      </c>
      <c r="G364" t="str">
        <f>IF(표1[[#This Row],[diff]]&gt;0,"import","export")</f>
        <v>export</v>
      </c>
      <c r="H364" s="15">
        <f>ABS(표1[[#This Row],[export]]-표1[[#This Row],[import]])/(표1[[#This Row],[export]]+표1[[#This Row],[import]])</f>
        <v>0.99950638174503048</v>
      </c>
    </row>
    <row r="365" spans="1:8" x14ac:dyDescent="0.3">
      <c r="A365" s="5">
        <v>2023</v>
      </c>
      <c r="B365" s="5">
        <v>2914110000</v>
      </c>
      <c r="C365" s="5" t="s">
        <v>282</v>
      </c>
      <c r="D365" s="6">
        <v>108860</v>
      </c>
      <c r="E365" s="5">
        <v>8.1</v>
      </c>
      <c r="F365" s="7">
        <f t="shared" si="5"/>
        <v>-108851.9</v>
      </c>
      <c r="G365" t="str">
        <f>IF(표1[[#This Row],[diff]]&gt;0,"import","export")</f>
        <v>export</v>
      </c>
      <c r="H365" s="15">
        <f>ABS(표1[[#This Row],[export]]-표1[[#This Row],[import]])/(표1[[#This Row],[export]]+표1[[#This Row],[import]])</f>
        <v>0.99985119608039441</v>
      </c>
    </row>
    <row r="366" spans="1:8" x14ac:dyDescent="0.3">
      <c r="A366" s="5">
        <v>2024</v>
      </c>
      <c r="B366" s="5">
        <v>2914110000</v>
      </c>
      <c r="C366" s="5" t="s">
        <v>282</v>
      </c>
      <c r="D366" s="6">
        <v>133358.79999999999</v>
      </c>
      <c r="E366" s="6">
        <v>2017.6</v>
      </c>
      <c r="F366" s="7">
        <f t="shared" si="5"/>
        <v>-131341.19999999998</v>
      </c>
      <c r="G366" t="str">
        <f>IF(표1[[#This Row],[diff]]&gt;0,"import","export")</f>
        <v>export</v>
      </c>
      <c r="H366" s="15">
        <f>ABS(표1[[#This Row],[export]]-표1[[#This Row],[import]])/(표1[[#This Row],[export]]+표1[[#This Row],[import]])</f>
        <v>0.97019273669561301</v>
      </c>
    </row>
    <row r="367" spans="1:8" x14ac:dyDescent="0.3">
      <c r="A367" s="5">
        <v>2025</v>
      </c>
      <c r="B367" s="5">
        <v>2914110000</v>
      </c>
      <c r="C367" s="5" t="s">
        <v>282</v>
      </c>
      <c r="D367" s="6">
        <v>159735.6</v>
      </c>
      <c r="E367" s="6">
        <v>1954.1</v>
      </c>
      <c r="F367" s="7">
        <f t="shared" si="5"/>
        <v>-157781.5</v>
      </c>
      <c r="G367" t="str">
        <f>IF(표1[[#This Row],[diff]]&gt;0,"import","export")</f>
        <v>export</v>
      </c>
      <c r="H367" s="15">
        <f>ABS(표1[[#This Row],[export]]-표1[[#This Row],[import]])/(표1[[#This Row],[export]]+표1[[#This Row],[import]])</f>
        <v>0.97582901075331319</v>
      </c>
    </row>
    <row r="368" spans="1:8" x14ac:dyDescent="0.3">
      <c r="A368" s="5">
        <v>2016</v>
      </c>
      <c r="B368" s="5">
        <v>2914221000</v>
      </c>
      <c r="C368" s="5" t="s">
        <v>283</v>
      </c>
      <c r="D368" s="6">
        <v>1121.7</v>
      </c>
      <c r="E368" s="6">
        <v>15515.7</v>
      </c>
      <c r="F368" s="7">
        <f t="shared" si="5"/>
        <v>14394</v>
      </c>
      <c r="G368" t="str">
        <f>IF(표1[[#This Row],[diff]]&gt;0,"import","export")</f>
        <v>import</v>
      </c>
      <c r="H368" s="15">
        <f>ABS(표1[[#This Row],[export]]-표1[[#This Row],[import]])/(표1[[#This Row],[export]]+표1[[#This Row],[import]])</f>
        <v>0.86515921958959929</v>
      </c>
    </row>
    <row r="369" spans="1:8" x14ac:dyDescent="0.3">
      <c r="A369" s="5">
        <v>2017</v>
      </c>
      <c r="B369" s="5">
        <v>2914221000</v>
      </c>
      <c r="C369" s="5" t="s">
        <v>283</v>
      </c>
      <c r="D369" s="6">
        <v>1190.0999999999999</v>
      </c>
      <c r="E369" s="6">
        <v>30233.1</v>
      </c>
      <c r="F369" s="7">
        <f t="shared" si="5"/>
        <v>29043</v>
      </c>
      <c r="G369" t="str">
        <f>IF(표1[[#This Row],[diff]]&gt;0,"import","export")</f>
        <v>import</v>
      </c>
      <c r="H369" s="15">
        <f>ABS(표1[[#This Row],[export]]-표1[[#This Row],[import]])/(표1[[#This Row],[export]]+표1[[#This Row],[import]])</f>
        <v>0.92425341785687021</v>
      </c>
    </row>
    <row r="370" spans="1:8" x14ac:dyDescent="0.3">
      <c r="A370" s="5">
        <v>2018</v>
      </c>
      <c r="B370" s="5">
        <v>2914221000</v>
      </c>
      <c r="C370" s="5" t="s">
        <v>283</v>
      </c>
      <c r="D370" s="6">
        <v>1254.0999999999999</v>
      </c>
      <c r="E370" s="6">
        <v>6672.6</v>
      </c>
      <c r="F370" s="7">
        <f t="shared" si="5"/>
        <v>5418.5</v>
      </c>
      <c r="G370" t="str">
        <f>IF(표1[[#This Row],[diff]]&gt;0,"import","export")</f>
        <v>import</v>
      </c>
      <c r="H370" s="15">
        <f>ABS(표1[[#This Row],[export]]-표1[[#This Row],[import]])/(표1[[#This Row],[export]]+표1[[#This Row],[import]])</f>
        <v>0.68357576292782618</v>
      </c>
    </row>
    <row r="371" spans="1:8" x14ac:dyDescent="0.3">
      <c r="A371" s="5">
        <v>2019</v>
      </c>
      <c r="B371" s="5">
        <v>2914221000</v>
      </c>
      <c r="C371" s="5" t="s">
        <v>283</v>
      </c>
      <c r="D371" s="6">
        <v>2402.9</v>
      </c>
      <c r="E371" s="6">
        <v>5039.3</v>
      </c>
      <c r="F371" s="7">
        <f t="shared" si="5"/>
        <v>2636.4</v>
      </c>
      <c r="G371" t="str">
        <f>IF(표1[[#This Row],[diff]]&gt;0,"import","export")</f>
        <v>import</v>
      </c>
      <c r="H371" s="15">
        <f>ABS(표1[[#This Row],[export]]-표1[[#This Row],[import]])/(표1[[#This Row],[export]]+표1[[#This Row],[import]])</f>
        <v>0.3542500873397651</v>
      </c>
    </row>
    <row r="372" spans="1:8" x14ac:dyDescent="0.3">
      <c r="A372" s="5">
        <v>2020</v>
      </c>
      <c r="B372" s="5">
        <v>2914221000</v>
      </c>
      <c r="C372" s="5" t="s">
        <v>283</v>
      </c>
      <c r="D372" s="5">
        <v>908.2</v>
      </c>
      <c r="E372" s="6">
        <v>7723.8</v>
      </c>
      <c r="F372" s="7">
        <f t="shared" si="5"/>
        <v>6815.6</v>
      </c>
      <c r="G372" t="str">
        <f>IF(표1[[#This Row],[diff]]&gt;0,"import","export")</f>
        <v>import</v>
      </c>
      <c r="H372" s="15">
        <f>ABS(표1[[#This Row],[export]]-표1[[#This Row],[import]])/(표1[[#This Row],[export]]+표1[[#This Row],[import]])</f>
        <v>0.78957367933271549</v>
      </c>
    </row>
    <row r="373" spans="1:8" x14ac:dyDescent="0.3">
      <c r="A373" s="5">
        <v>2021</v>
      </c>
      <c r="B373" s="5">
        <v>2914221000</v>
      </c>
      <c r="C373" s="5" t="s">
        <v>283</v>
      </c>
      <c r="D373" s="5">
        <v>300.89999999999998</v>
      </c>
      <c r="E373" s="6">
        <v>13859</v>
      </c>
      <c r="F373" s="7">
        <f t="shared" si="5"/>
        <v>13558.1</v>
      </c>
      <c r="G373" t="str">
        <f>IF(표1[[#This Row],[diff]]&gt;0,"import","export")</f>
        <v>import</v>
      </c>
      <c r="H373" s="15">
        <f>ABS(표1[[#This Row],[export]]-표1[[#This Row],[import]])/(표1[[#This Row],[export]]+표1[[#This Row],[import]])</f>
        <v>0.95749969985663741</v>
      </c>
    </row>
    <row r="374" spans="1:8" x14ac:dyDescent="0.3">
      <c r="A374" s="5">
        <v>2022</v>
      </c>
      <c r="B374" s="5">
        <v>2914221000</v>
      </c>
      <c r="C374" s="5" t="s">
        <v>283</v>
      </c>
      <c r="D374" s="6">
        <v>3430.5</v>
      </c>
      <c r="E374" s="6">
        <v>7691.6</v>
      </c>
      <c r="F374" s="7">
        <f t="shared" si="5"/>
        <v>4261.1000000000004</v>
      </c>
      <c r="G374" t="str">
        <f>IF(표1[[#This Row],[diff]]&gt;0,"import","export")</f>
        <v>import</v>
      </c>
      <c r="H374" s="15">
        <f>ABS(표1[[#This Row],[export]]-표1[[#This Row],[import]])/(표1[[#This Row],[export]]+표1[[#This Row],[import]])</f>
        <v>0.3831200942268097</v>
      </c>
    </row>
    <row r="375" spans="1:8" x14ac:dyDescent="0.3">
      <c r="A375" s="5">
        <v>2023</v>
      </c>
      <c r="B375" s="5">
        <v>2914221000</v>
      </c>
      <c r="C375" s="5" t="s">
        <v>283</v>
      </c>
      <c r="D375" s="5">
        <v>164.4</v>
      </c>
      <c r="E375" s="6">
        <v>6186.3</v>
      </c>
      <c r="F375" s="7">
        <f t="shared" si="5"/>
        <v>6021.9000000000005</v>
      </c>
      <c r="G375" t="str">
        <f>IF(표1[[#This Row],[diff]]&gt;0,"import","export")</f>
        <v>import</v>
      </c>
      <c r="H375" s="15">
        <f>ABS(표1[[#This Row],[export]]-표1[[#This Row],[import]])/(표1[[#This Row],[export]]+표1[[#This Row],[import]])</f>
        <v>0.94822617979120427</v>
      </c>
    </row>
    <row r="376" spans="1:8" x14ac:dyDescent="0.3">
      <c r="A376" s="5">
        <v>2024</v>
      </c>
      <c r="B376" s="5">
        <v>2914221000</v>
      </c>
      <c r="C376" s="5" t="s">
        <v>283</v>
      </c>
      <c r="D376" s="5">
        <v>150.69999999999999</v>
      </c>
      <c r="E376" s="6">
        <v>8026.6</v>
      </c>
      <c r="F376" s="7">
        <f t="shared" si="5"/>
        <v>7875.9000000000005</v>
      </c>
      <c r="G376" t="str">
        <f>IF(표1[[#This Row],[diff]]&gt;0,"import","export")</f>
        <v>import</v>
      </c>
      <c r="H376" s="15">
        <f>ABS(표1[[#This Row],[export]]-표1[[#This Row],[import]])/(표1[[#This Row],[export]]+표1[[#This Row],[import]])</f>
        <v>0.96314186834285165</v>
      </c>
    </row>
    <row r="377" spans="1:8" x14ac:dyDescent="0.3">
      <c r="A377" s="5">
        <v>2025</v>
      </c>
      <c r="B377" s="5">
        <v>2914221000</v>
      </c>
      <c r="C377" s="5" t="s">
        <v>283</v>
      </c>
      <c r="D377" s="5">
        <v>169.9</v>
      </c>
      <c r="E377" s="6">
        <v>9967.9</v>
      </c>
      <c r="F377" s="7">
        <f t="shared" si="5"/>
        <v>9798</v>
      </c>
      <c r="G377" t="str">
        <f>IF(표1[[#This Row],[diff]]&gt;0,"import","export")</f>
        <v>import</v>
      </c>
      <c r="H377" s="15">
        <f>ABS(표1[[#This Row],[export]]-표1[[#This Row],[import]])/(표1[[#This Row],[export]]+표1[[#This Row],[import]])</f>
        <v>0.96648187969776489</v>
      </c>
    </row>
    <row r="378" spans="1:8" x14ac:dyDescent="0.3">
      <c r="A378" s="5">
        <v>2016</v>
      </c>
      <c r="B378" s="5">
        <v>2915210000</v>
      </c>
      <c r="C378" s="5" t="s">
        <v>284</v>
      </c>
      <c r="D378" s="6">
        <v>178866.7</v>
      </c>
      <c r="E378" s="6">
        <v>58774.5</v>
      </c>
      <c r="F378" s="7">
        <f t="shared" si="5"/>
        <v>-120092.20000000001</v>
      </c>
      <c r="G378" t="str">
        <f>IF(표1[[#This Row],[diff]]&gt;0,"import","export")</f>
        <v>export</v>
      </c>
      <c r="H378" s="15">
        <f>ABS(표1[[#This Row],[export]]-표1[[#This Row],[import]])/(표1[[#This Row],[export]]+표1[[#This Row],[import]])</f>
        <v>0.50535092399802728</v>
      </c>
    </row>
    <row r="379" spans="1:8" x14ac:dyDescent="0.3">
      <c r="A379" s="5">
        <v>2017</v>
      </c>
      <c r="B379" s="5">
        <v>2915210000</v>
      </c>
      <c r="C379" s="5" t="s">
        <v>284</v>
      </c>
      <c r="D379" s="6">
        <v>162859.70000000001</v>
      </c>
      <c r="E379" s="6">
        <v>63904.800000000003</v>
      </c>
      <c r="F379" s="7">
        <f t="shared" si="5"/>
        <v>-98954.900000000009</v>
      </c>
      <c r="G379" t="str">
        <f>IF(표1[[#This Row],[diff]]&gt;0,"import","export")</f>
        <v>export</v>
      </c>
      <c r="H379" s="15">
        <f>ABS(표1[[#This Row],[export]]-표1[[#This Row],[import]])/(표1[[#This Row],[export]]+표1[[#This Row],[import]])</f>
        <v>0.43637738711306229</v>
      </c>
    </row>
    <row r="380" spans="1:8" x14ac:dyDescent="0.3">
      <c r="A380" s="5">
        <v>2018</v>
      </c>
      <c r="B380" s="5">
        <v>2915210000</v>
      </c>
      <c r="C380" s="5" t="s">
        <v>284</v>
      </c>
      <c r="D380" s="6">
        <v>147763.79999999999</v>
      </c>
      <c r="E380" s="6">
        <v>47188.4</v>
      </c>
      <c r="F380" s="7">
        <f t="shared" si="5"/>
        <v>-100575.4</v>
      </c>
      <c r="G380" t="str">
        <f>IF(표1[[#This Row],[diff]]&gt;0,"import","export")</f>
        <v>export</v>
      </c>
      <c r="H380" s="15">
        <f>ABS(표1[[#This Row],[export]]-표1[[#This Row],[import]])/(표1[[#This Row],[export]]+표1[[#This Row],[import]])</f>
        <v>0.51589774313908743</v>
      </c>
    </row>
    <row r="381" spans="1:8" x14ac:dyDescent="0.3">
      <c r="A381" s="5">
        <v>2019</v>
      </c>
      <c r="B381" s="5">
        <v>2915210000</v>
      </c>
      <c r="C381" s="5" t="s">
        <v>284</v>
      </c>
      <c r="D381" s="6">
        <v>182214.3</v>
      </c>
      <c r="E381" s="6">
        <v>69406.600000000006</v>
      </c>
      <c r="F381" s="7">
        <f t="shared" si="5"/>
        <v>-112807.69999999998</v>
      </c>
      <c r="G381" t="str">
        <f>IF(표1[[#This Row],[diff]]&gt;0,"import","export")</f>
        <v>export</v>
      </c>
      <c r="H381" s="15">
        <f>ABS(표1[[#This Row],[export]]-표1[[#This Row],[import]])/(표1[[#This Row],[export]]+표1[[#This Row],[import]])</f>
        <v>0.44832404621396704</v>
      </c>
    </row>
    <row r="382" spans="1:8" x14ac:dyDescent="0.3">
      <c r="A382" s="5">
        <v>2020</v>
      </c>
      <c r="B382" s="5">
        <v>2915210000</v>
      </c>
      <c r="C382" s="5" t="s">
        <v>284</v>
      </c>
      <c r="D382" s="6">
        <v>200147.1</v>
      </c>
      <c r="E382" s="6">
        <v>53104.1</v>
      </c>
      <c r="F382" s="7">
        <f t="shared" si="5"/>
        <v>-147043</v>
      </c>
      <c r="G382" t="str">
        <f>IF(표1[[#This Row],[diff]]&gt;0,"import","export")</f>
        <v>export</v>
      </c>
      <c r="H382" s="15">
        <f>ABS(표1[[#This Row],[export]]-표1[[#This Row],[import]])/(표1[[#This Row],[export]]+표1[[#This Row],[import]])</f>
        <v>0.58062113822165495</v>
      </c>
    </row>
    <row r="383" spans="1:8" x14ac:dyDescent="0.3">
      <c r="A383" s="5">
        <v>2021</v>
      </c>
      <c r="B383" s="5">
        <v>2915210000</v>
      </c>
      <c r="C383" s="5" t="s">
        <v>284</v>
      </c>
      <c r="D383" s="6">
        <v>110837.4</v>
      </c>
      <c r="E383" s="6">
        <v>107717.2</v>
      </c>
      <c r="F383" s="7">
        <f t="shared" si="5"/>
        <v>-3120.1999999999971</v>
      </c>
      <c r="G383" t="str">
        <f>IF(표1[[#This Row],[diff]]&gt;0,"import","export")</f>
        <v>export</v>
      </c>
      <c r="H383" s="15">
        <f>ABS(표1[[#This Row],[export]]-표1[[#This Row],[import]])/(표1[[#This Row],[export]]+표1[[#This Row],[import]])</f>
        <v>1.4276524035641424E-2</v>
      </c>
    </row>
    <row r="384" spans="1:8" x14ac:dyDescent="0.3">
      <c r="A384" s="5">
        <v>2022</v>
      </c>
      <c r="B384" s="5">
        <v>2915210000</v>
      </c>
      <c r="C384" s="5" t="s">
        <v>284</v>
      </c>
      <c r="D384" s="6">
        <v>118879.5</v>
      </c>
      <c r="E384" s="6">
        <v>109782</v>
      </c>
      <c r="F384" s="7">
        <f t="shared" si="5"/>
        <v>-9097.5</v>
      </c>
      <c r="G384" t="str">
        <f>IF(표1[[#This Row],[diff]]&gt;0,"import","export")</f>
        <v>export</v>
      </c>
      <c r="H384" s="15">
        <f>ABS(표1[[#This Row],[export]]-표1[[#This Row],[import]])/(표1[[#This Row],[export]]+표1[[#This Row],[import]])</f>
        <v>3.9785884374938497E-2</v>
      </c>
    </row>
    <row r="385" spans="1:8" x14ac:dyDescent="0.3">
      <c r="A385" s="5">
        <v>2023</v>
      </c>
      <c r="B385" s="5">
        <v>2915210000</v>
      </c>
      <c r="C385" s="5" t="s">
        <v>284</v>
      </c>
      <c r="D385" s="6">
        <v>119657.1</v>
      </c>
      <c r="E385" s="6">
        <v>56707.4</v>
      </c>
      <c r="F385" s="7">
        <f t="shared" si="5"/>
        <v>-62949.700000000004</v>
      </c>
      <c r="G385" t="str">
        <f>IF(표1[[#This Row],[diff]]&gt;0,"import","export")</f>
        <v>export</v>
      </c>
      <c r="H385" s="15">
        <f>ABS(표1[[#This Row],[export]]-표1[[#This Row],[import]])/(표1[[#This Row],[export]]+표1[[#This Row],[import]])</f>
        <v>0.35692954080894967</v>
      </c>
    </row>
    <row r="386" spans="1:8" x14ac:dyDescent="0.3">
      <c r="A386" s="5">
        <v>2024</v>
      </c>
      <c r="B386" s="5">
        <v>2915210000</v>
      </c>
      <c r="C386" s="5" t="s">
        <v>284</v>
      </c>
      <c r="D386" s="6">
        <v>149031.4</v>
      </c>
      <c r="E386" s="6">
        <v>101764</v>
      </c>
      <c r="F386" s="7">
        <f t="shared" ref="F386:F449" si="6">E386-D386</f>
        <v>-47267.399999999994</v>
      </c>
      <c r="G386" t="str">
        <f>IF(표1[[#This Row],[diff]]&gt;0,"import","export")</f>
        <v>export</v>
      </c>
      <c r="H386" s="15">
        <f>ABS(표1[[#This Row],[export]]-표1[[#This Row],[import]])/(표1[[#This Row],[export]]+표1[[#This Row],[import]])</f>
        <v>0.18846996396265639</v>
      </c>
    </row>
    <row r="387" spans="1:8" x14ac:dyDescent="0.3">
      <c r="A387" s="5">
        <v>2025</v>
      </c>
      <c r="B387" s="5">
        <v>2915210000</v>
      </c>
      <c r="C387" s="5" t="s">
        <v>284</v>
      </c>
      <c r="D387" s="6">
        <v>139641.70000000001</v>
      </c>
      <c r="E387" s="6">
        <v>57484.7</v>
      </c>
      <c r="F387" s="7">
        <f t="shared" si="6"/>
        <v>-82157.000000000015</v>
      </c>
      <c r="G387" t="str">
        <f>IF(표1[[#This Row],[diff]]&gt;0,"import","export")</f>
        <v>export</v>
      </c>
      <c r="H387" s="15">
        <f>ABS(표1[[#This Row],[export]]-표1[[#This Row],[import]])/(표1[[#This Row],[export]]+표1[[#This Row],[import]])</f>
        <v>0.41677319729878903</v>
      </c>
    </row>
    <row r="388" spans="1:8" x14ac:dyDescent="0.3">
      <c r="A388" s="5">
        <v>2016</v>
      </c>
      <c r="B388" s="5">
        <v>2915310000</v>
      </c>
      <c r="C388" s="5" t="s">
        <v>401</v>
      </c>
      <c r="D388" s="6">
        <v>292.5</v>
      </c>
      <c r="E388" s="6">
        <v>77850</v>
      </c>
      <c r="F388" s="10">
        <f t="shared" si="6"/>
        <v>77557.5</v>
      </c>
      <c r="G388" t="str">
        <f>IF(표1[[#This Row],[diff]]&gt;0,"import","export")</f>
        <v>import</v>
      </c>
      <c r="H388" s="15">
        <f>ABS(표1[[#This Row],[export]]-표1[[#This Row],[import]])/(표1[[#This Row],[export]]+표1[[#This Row],[import]])</f>
        <v>0.99251367693636627</v>
      </c>
    </row>
    <row r="389" spans="1:8" x14ac:dyDescent="0.3">
      <c r="A389" s="5">
        <v>2017</v>
      </c>
      <c r="B389" s="5">
        <v>2915310000</v>
      </c>
      <c r="C389" s="5" t="s">
        <v>401</v>
      </c>
      <c r="D389" s="6">
        <v>300.3</v>
      </c>
      <c r="E389" s="6">
        <v>63266.9</v>
      </c>
      <c r="F389" s="10">
        <f t="shared" si="6"/>
        <v>62966.6</v>
      </c>
      <c r="G389" t="str">
        <f>IF(표1[[#This Row],[diff]]&gt;0,"import","export")</f>
        <v>import</v>
      </c>
      <c r="H389" s="15">
        <f>ABS(표1[[#This Row],[export]]-표1[[#This Row],[import]])/(표1[[#This Row],[export]]+표1[[#This Row],[import]])</f>
        <v>0.99055173108143812</v>
      </c>
    </row>
    <row r="390" spans="1:8" x14ac:dyDescent="0.3">
      <c r="A390" s="5">
        <v>2018</v>
      </c>
      <c r="B390" s="5">
        <v>2915310000</v>
      </c>
      <c r="C390" s="5" t="s">
        <v>401</v>
      </c>
      <c r="D390" s="6">
        <v>399.2</v>
      </c>
      <c r="E390" s="6">
        <v>54292.4</v>
      </c>
      <c r="F390" s="10">
        <f t="shared" si="6"/>
        <v>53893.200000000004</v>
      </c>
      <c r="G390" t="str">
        <f>IF(표1[[#This Row],[diff]]&gt;0,"import","export")</f>
        <v>import</v>
      </c>
      <c r="H390" s="15">
        <f>ABS(표1[[#This Row],[export]]-표1[[#This Row],[import]])/(표1[[#This Row],[export]]+표1[[#This Row],[import]])</f>
        <v>0.98540178016368152</v>
      </c>
    </row>
    <row r="391" spans="1:8" x14ac:dyDescent="0.3">
      <c r="A391" s="5">
        <v>2019</v>
      </c>
      <c r="B391" s="5">
        <v>2915310000</v>
      </c>
      <c r="C391" s="5" t="s">
        <v>401</v>
      </c>
      <c r="D391" s="6">
        <v>469</v>
      </c>
      <c r="E391" s="6">
        <v>34345.300000000003</v>
      </c>
      <c r="F391" s="10">
        <f t="shared" si="6"/>
        <v>33876.300000000003</v>
      </c>
      <c r="G391" t="str">
        <f>IF(표1[[#This Row],[diff]]&gt;0,"import","export")</f>
        <v>import</v>
      </c>
      <c r="H391" s="15">
        <f>ABS(표1[[#This Row],[export]]-표1[[#This Row],[import]])/(표1[[#This Row],[export]]+표1[[#This Row],[import]])</f>
        <v>0.97305704839677953</v>
      </c>
    </row>
    <row r="392" spans="1:8" x14ac:dyDescent="0.3">
      <c r="A392" s="5">
        <v>2020</v>
      </c>
      <c r="B392" s="5">
        <v>2915310000</v>
      </c>
      <c r="C392" s="5" t="s">
        <v>401</v>
      </c>
      <c r="D392" s="6">
        <v>8460</v>
      </c>
      <c r="E392" s="6">
        <v>33149.199999999997</v>
      </c>
      <c r="F392" s="10">
        <f t="shared" si="6"/>
        <v>24689.199999999997</v>
      </c>
      <c r="G392" t="str">
        <f>IF(표1[[#This Row],[diff]]&gt;0,"import","export")</f>
        <v>import</v>
      </c>
      <c r="H392" s="15">
        <f>ABS(표1[[#This Row],[export]]-표1[[#This Row],[import]])/(표1[[#This Row],[export]]+표1[[#This Row],[import]])</f>
        <v>0.5933591609547888</v>
      </c>
    </row>
    <row r="393" spans="1:8" x14ac:dyDescent="0.3">
      <c r="A393" s="5">
        <v>2021</v>
      </c>
      <c r="B393" s="5">
        <v>2915310000</v>
      </c>
      <c r="C393" s="5" t="s">
        <v>401</v>
      </c>
      <c r="D393" s="6">
        <v>2754.1</v>
      </c>
      <c r="E393" s="6">
        <v>30896.6</v>
      </c>
      <c r="F393" s="10">
        <f t="shared" si="6"/>
        <v>28142.5</v>
      </c>
      <c r="G393" t="str">
        <f>IF(표1[[#This Row],[diff]]&gt;0,"import","export")</f>
        <v>import</v>
      </c>
      <c r="H393" s="15">
        <f>ABS(표1[[#This Row],[export]]-표1[[#This Row],[import]])/(표1[[#This Row],[export]]+표1[[#This Row],[import]])</f>
        <v>0.83631246898281475</v>
      </c>
    </row>
    <row r="394" spans="1:8" x14ac:dyDescent="0.3">
      <c r="A394" s="5">
        <v>2022</v>
      </c>
      <c r="B394" s="5">
        <v>2915310000</v>
      </c>
      <c r="C394" s="5" t="s">
        <v>401</v>
      </c>
      <c r="D394" s="6">
        <v>8594</v>
      </c>
      <c r="E394" s="6">
        <v>24998.1</v>
      </c>
      <c r="F394" s="10">
        <f t="shared" si="6"/>
        <v>16404.099999999999</v>
      </c>
      <c r="G394" t="str">
        <f>IF(표1[[#This Row],[diff]]&gt;0,"import","export")</f>
        <v>import</v>
      </c>
      <c r="H394" s="15">
        <f>ABS(표1[[#This Row],[export]]-표1[[#This Row],[import]])/(표1[[#This Row],[export]]+표1[[#This Row],[import]])</f>
        <v>0.48833207807788137</v>
      </c>
    </row>
    <row r="395" spans="1:8" x14ac:dyDescent="0.3">
      <c r="A395" s="5">
        <v>2023</v>
      </c>
      <c r="B395" s="5">
        <v>2915310000</v>
      </c>
      <c r="C395" s="5" t="s">
        <v>401</v>
      </c>
      <c r="D395" s="6">
        <v>7022.7</v>
      </c>
      <c r="E395" s="6">
        <v>32542.5</v>
      </c>
      <c r="F395" s="10">
        <f t="shared" si="6"/>
        <v>25519.8</v>
      </c>
      <c r="G395" t="str">
        <f>IF(표1[[#This Row],[diff]]&gt;0,"import","export")</f>
        <v>import</v>
      </c>
      <c r="H395" s="15">
        <f>ABS(표1[[#This Row],[export]]-표1[[#This Row],[import]])/(표1[[#This Row],[export]]+표1[[#This Row],[import]])</f>
        <v>0.64500621758515064</v>
      </c>
    </row>
    <row r="396" spans="1:8" x14ac:dyDescent="0.3">
      <c r="A396" s="5">
        <v>2024</v>
      </c>
      <c r="B396" s="5">
        <v>2915310000</v>
      </c>
      <c r="C396" s="5" t="s">
        <v>401</v>
      </c>
      <c r="D396" s="6">
        <v>7520.2</v>
      </c>
      <c r="E396" s="6">
        <v>39088.400000000001</v>
      </c>
      <c r="F396" s="10">
        <f t="shared" si="6"/>
        <v>31568.2</v>
      </c>
      <c r="G396" t="str">
        <f>IF(표1[[#This Row],[diff]]&gt;0,"import","export")</f>
        <v>import</v>
      </c>
      <c r="H396" s="15">
        <f>ABS(표1[[#This Row],[export]]-표1[[#This Row],[import]])/(표1[[#This Row],[export]]+표1[[#This Row],[import]])</f>
        <v>0.67730418849740182</v>
      </c>
    </row>
    <row r="397" spans="1:8" x14ac:dyDescent="0.3">
      <c r="A397" s="5">
        <v>2025</v>
      </c>
      <c r="B397" s="5">
        <v>2915310000</v>
      </c>
      <c r="C397" s="5" t="s">
        <v>401</v>
      </c>
      <c r="D397" s="6">
        <v>2904.5</v>
      </c>
      <c r="E397" s="6">
        <v>55959.4</v>
      </c>
      <c r="F397" s="10">
        <f t="shared" si="6"/>
        <v>53054.9</v>
      </c>
      <c r="G397" t="str">
        <f>IF(표1[[#This Row],[diff]]&gt;0,"import","export")</f>
        <v>import</v>
      </c>
      <c r="H397" s="15">
        <f>ABS(표1[[#This Row],[export]]-표1[[#This Row],[import]])/(표1[[#This Row],[export]]+표1[[#This Row],[import]])</f>
        <v>0.90131472770237786</v>
      </c>
    </row>
    <row r="398" spans="1:8" x14ac:dyDescent="0.3">
      <c r="A398" s="5">
        <v>2016</v>
      </c>
      <c r="B398" s="5">
        <v>2915320000</v>
      </c>
      <c r="C398" s="5" t="s">
        <v>285</v>
      </c>
      <c r="D398" s="5">
        <v>112.3</v>
      </c>
      <c r="E398" s="6">
        <v>50863.6</v>
      </c>
      <c r="F398" s="7">
        <f t="shared" si="6"/>
        <v>50751.299999999996</v>
      </c>
      <c r="G398" t="str">
        <f>IF(표1[[#This Row],[diff]]&gt;0,"import","export")</f>
        <v>import</v>
      </c>
      <c r="H398" s="15">
        <f>ABS(표1[[#This Row],[export]]-표1[[#This Row],[import]])/(표1[[#This Row],[export]]+표1[[#This Row],[import]])</f>
        <v>0.99559399637868085</v>
      </c>
    </row>
    <row r="399" spans="1:8" x14ac:dyDescent="0.3">
      <c r="A399" s="5">
        <v>2017</v>
      </c>
      <c r="B399" s="5">
        <v>2915320000</v>
      </c>
      <c r="C399" s="5" t="s">
        <v>285</v>
      </c>
      <c r="D399" s="6">
        <v>7111.7</v>
      </c>
      <c r="E399" s="6">
        <v>84351.8</v>
      </c>
      <c r="F399" s="7">
        <f t="shared" si="6"/>
        <v>77240.100000000006</v>
      </c>
      <c r="G399" t="str">
        <f>IF(표1[[#This Row],[diff]]&gt;0,"import","export")</f>
        <v>import</v>
      </c>
      <c r="H399" s="15">
        <f>ABS(표1[[#This Row],[export]]-표1[[#This Row],[import]])/(표1[[#This Row],[export]]+표1[[#This Row],[import]])</f>
        <v>0.84449097180842636</v>
      </c>
    </row>
    <row r="400" spans="1:8" x14ac:dyDescent="0.3">
      <c r="A400" s="5">
        <v>2018</v>
      </c>
      <c r="B400" s="5">
        <v>2915320000</v>
      </c>
      <c r="C400" s="5" t="s">
        <v>285</v>
      </c>
      <c r="D400" s="6">
        <v>5014.8</v>
      </c>
      <c r="E400" s="6">
        <v>67695.3</v>
      </c>
      <c r="F400" s="7">
        <f t="shared" si="6"/>
        <v>62680.5</v>
      </c>
      <c r="G400" t="str">
        <f>IF(표1[[#This Row],[diff]]&gt;0,"import","export")</f>
        <v>import</v>
      </c>
      <c r="H400" s="15">
        <f>ABS(표1[[#This Row],[export]]-표1[[#This Row],[import]])/(표1[[#This Row],[export]]+표1[[#This Row],[import]])</f>
        <v>0.86206042901880198</v>
      </c>
    </row>
    <row r="401" spans="1:8" x14ac:dyDescent="0.3">
      <c r="A401" s="5">
        <v>2019</v>
      </c>
      <c r="B401" s="5">
        <v>2915320000</v>
      </c>
      <c r="C401" s="5" t="s">
        <v>285</v>
      </c>
      <c r="D401" s="6">
        <v>10278.799999999999</v>
      </c>
      <c r="E401" s="6">
        <v>70882.2</v>
      </c>
      <c r="F401" s="7">
        <f t="shared" si="6"/>
        <v>60603.399999999994</v>
      </c>
      <c r="G401" t="str">
        <f>IF(표1[[#This Row],[diff]]&gt;0,"import","export")</f>
        <v>import</v>
      </c>
      <c r="H401" s="15">
        <f>ABS(표1[[#This Row],[export]]-표1[[#This Row],[import]])/(표1[[#This Row],[export]]+표1[[#This Row],[import]])</f>
        <v>0.74670593018814446</v>
      </c>
    </row>
    <row r="402" spans="1:8" x14ac:dyDescent="0.3">
      <c r="A402" s="5">
        <v>2020</v>
      </c>
      <c r="B402" s="5">
        <v>2915320000</v>
      </c>
      <c r="C402" s="5" t="s">
        <v>285</v>
      </c>
      <c r="D402" s="6">
        <v>74829.100000000006</v>
      </c>
      <c r="E402" s="6">
        <v>82241.5</v>
      </c>
      <c r="F402" s="7">
        <f t="shared" si="6"/>
        <v>7412.3999999999942</v>
      </c>
      <c r="G402" t="str">
        <f>IF(표1[[#This Row],[diff]]&gt;0,"import","export")</f>
        <v>import</v>
      </c>
      <c r="H402" s="15">
        <f>ABS(표1[[#This Row],[export]]-표1[[#This Row],[import]])/(표1[[#This Row],[export]]+표1[[#This Row],[import]])</f>
        <v>4.7191517699684049E-2</v>
      </c>
    </row>
    <row r="403" spans="1:8" x14ac:dyDescent="0.3">
      <c r="A403" s="5">
        <v>2021</v>
      </c>
      <c r="B403" s="5">
        <v>2915320000</v>
      </c>
      <c r="C403" s="5" t="s">
        <v>285</v>
      </c>
      <c r="D403" s="6">
        <v>169625</v>
      </c>
      <c r="E403" s="6">
        <v>52447.6</v>
      </c>
      <c r="F403" s="7">
        <f t="shared" si="6"/>
        <v>-117177.4</v>
      </c>
      <c r="G403" t="str">
        <f>IF(표1[[#This Row],[diff]]&gt;0,"import","export")</f>
        <v>export</v>
      </c>
      <c r="H403" s="15">
        <f>ABS(표1[[#This Row],[export]]-표1[[#This Row],[import]])/(표1[[#This Row],[export]]+표1[[#This Row],[import]])</f>
        <v>0.52765356914810735</v>
      </c>
    </row>
    <row r="404" spans="1:8" x14ac:dyDescent="0.3">
      <c r="A404" s="5">
        <v>2022</v>
      </c>
      <c r="B404" s="5">
        <v>2915320000</v>
      </c>
      <c r="C404" s="5" t="s">
        <v>285</v>
      </c>
      <c r="D404" s="6">
        <v>90008.3</v>
      </c>
      <c r="E404" s="6">
        <v>48832.800000000003</v>
      </c>
      <c r="F404" s="7">
        <f t="shared" si="6"/>
        <v>-41175.5</v>
      </c>
      <c r="G404" t="str">
        <f>IF(표1[[#This Row],[diff]]&gt;0,"import","export")</f>
        <v>export</v>
      </c>
      <c r="H404" s="15">
        <f>ABS(표1[[#This Row],[export]]-표1[[#This Row],[import]])/(표1[[#This Row],[export]]+표1[[#This Row],[import]])</f>
        <v>0.29656564230620469</v>
      </c>
    </row>
    <row r="405" spans="1:8" x14ac:dyDescent="0.3">
      <c r="A405" s="5">
        <v>2023</v>
      </c>
      <c r="B405" s="5">
        <v>2915320000</v>
      </c>
      <c r="C405" s="5" t="s">
        <v>285</v>
      </c>
      <c r="D405" s="6">
        <v>166360.20000000001</v>
      </c>
      <c r="E405" s="6">
        <v>72797.600000000006</v>
      </c>
      <c r="F405" s="7">
        <f t="shared" si="6"/>
        <v>-93562.6</v>
      </c>
      <c r="G405" t="str">
        <f>IF(표1[[#This Row],[diff]]&gt;0,"import","export")</f>
        <v>export</v>
      </c>
      <c r="H405" s="15">
        <f>ABS(표1[[#This Row],[export]]-표1[[#This Row],[import]])/(표1[[#This Row],[export]]+표1[[#This Row],[import]])</f>
        <v>0.39121701236589396</v>
      </c>
    </row>
    <row r="406" spans="1:8" x14ac:dyDescent="0.3">
      <c r="A406" s="5">
        <v>2024</v>
      </c>
      <c r="B406" s="5">
        <v>2915320000</v>
      </c>
      <c r="C406" s="5" t="s">
        <v>285</v>
      </c>
      <c r="D406" s="6">
        <v>110434.1</v>
      </c>
      <c r="E406" s="6">
        <v>34632.199999999997</v>
      </c>
      <c r="F406" s="7">
        <f t="shared" si="6"/>
        <v>-75801.900000000009</v>
      </c>
      <c r="G406" t="str">
        <f>IF(표1[[#This Row],[diff]]&gt;0,"import","export")</f>
        <v>export</v>
      </c>
      <c r="H406" s="15">
        <f>ABS(표1[[#This Row],[export]]-표1[[#This Row],[import]])/(표1[[#This Row],[export]]+표1[[#This Row],[import]])</f>
        <v>0.5225328005194867</v>
      </c>
    </row>
    <row r="407" spans="1:8" x14ac:dyDescent="0.3">
      <c r="A407" s="5">
        <v>2025</v>
      </c>
      <c r="B407" s="5">
        <v>2915320000</v>
      </c>
      <c r="C407" s="5" t="s">
        <v>285</v>
      </c>
      <c r="D407" s="6">
        <v>144258.9</v>
      </c>
      <c r="E407" s="6">
        <v>27284.7</v>
      </c>
      <c r="F407" s="7">
        <f t="shared" si="6"/>
        <v>-116974.2</v>
      </c>
      <c r="G407" t="str">
        <f>IF(표1[[#This Row],[diff]]&gt;0,"import","export")</f>
        <v>export</v>
      </c>
      <c r="H407" s="15">
        <f>ABS(표1[[#This Row],[export]]-표1[[#This Row],[import]])/(표1[[#This Row],[export]]+표1[[#This Row],[import]])</f>
        <v>0.68189195050121365</v>
      </c>
    </row>
    <row r="408" spans="1:8" x14ac:dyDescent="0.3">
      <c r="A408" s="5">
        <v>2016</v>
      </c>
      <c r="B408" s="5">
        <v>2916111000</v>
      </c>
      <c r="C408" s="5" t="s">
        <v>286</v>
      </c>
      <c r="D408" s="6">
        <v>34004.199999999997</v>
      </c>
      <c r="E408" s="6">
        <v>23492.799999999999</v>
      </c>
      <c r="F408" s="7">
        <f t="shared" si="6"/>
        <v>-10511.399999999998</v>
      </c>
      <c r="G408" t="str">
        <f>IF(표1[[#This Row],[diff]]&gt;0,"import","export")</f>
        <v>export</v>
      </c>
      <c r="H408" s="15">
        <f>ABS(표1[[#This Row],[export]]-표1[[#This Row],[import]])/(표1[[#This Row],[export]]+표1[[#This Row],[import]])</f>
        <v>0.18281649477364031</v>
      </c>
    </row>
    <row r="409" spans="1:8" x14ac:dyDescent="0.3">
      <c r="A409" s="5">
        <v>2017</v>
      </c>
      <c r="B409" s="5">
        <v>2916111000</v>
      </c>
      <c r="C409" s="5" t="s">
        <v>286</v>
      </c>
      <c r="D409" s="6">
        <v>14005.8</v>
      </c>
      <c r="E409" s="6">
        <v>23581.200000000001</v>
      </c>
      <c r="F409" s="7">
        <f t="shared" si="6"/>
        <v>9575.4000000000015</v>
      </c>
      <c r="G409" t="str">
        <f>IF(표1[[#This Row],[diff]]&gt;0,"import","export")</f>
        <v>import</v>
      </c>
      <c r="H409" s="15">
        <f>ABS(표1[[#This Row],[export]]-표1[[#This Row],[import]])/(표1[[#This Row],[export]]+표1[[#This Row],[import]])</f>
        <v>0.25475297310240247</v>
      </c>
    </row>
    <row r="410" spans="1:8" x14ac:dyDescent="0.3">
      <c r="A410" s="5">
        <v>2018</v>
      </c>
      <c r="B410" s="5">
        <v>2916111000</v>
      </c>
      <c r="C410" s="5" t="s">
        <v>286</v>
      </c>
      <c r="D410" s="6">
        <v>17761.099999999999</v>
      </c>
      <c r="E410" s="6">
        <v>37564</v>
      </c>
      <c r="F410" s="7">
        <f t="shared" si="6"/>
        <v>19802.900000000001</v>
      </c>
      <c r="G410" t="str">
        <f>IF(표1[[#This Row],[diff]]&gt;0,"import","export")</f>
        <v>import</v>
      </c>
      <c r="H410" s="15">
        <f>ABS(표1[[#This Row],[export]]-표1[[#This Row],[import]])/(표1[[#This Row],[export]]+표1[[#This Row],[import]])</f>
        <v>0.35793699423950437</v>
      </c>
    </row>
    <row r="411" spans="1:8" x14ac:dyDescent="0.3">
      <c r="A411" s="5">
        <v>2019</v>
      </c>
      <c r="B411" s="5">
        <v>2916111000</v>
      </c>
      <c r="C411" s="5" t="s">
        <v>286</v>
      </c>
      <c r="D411" s="6">
        <v>22837.4</v>
      </c>
      <c r="E411" s="6">
        <v>47365.9</v>
      </c>
      <c r="F411" s="7">
        <f t="shared" si="6"/>
        <v>24528.5</v>
      </c>
      <c r="G411" t="str">
        <f>IF(표1[[#This Row],[diff]]&gt;0,"import","export")</f>
        <v>import</v>
      </c>
      <c r="H411" s="15">
        <f>ABS(표1[[#This Row],[export]]-표1[[#This Row],[import]])/(표1[[#This Row],[export]]+표1[[#This Row],[import]])</f>
        <v>0.34939240747942046</v>
      </c>
    </row>
    <row r="412" spans="1:8" x14ac:dyDescent="0.3">
      <c r="A412" s="5">
        <v>2020</v>
      </c>
      <c r="B412" s="5">
        <v>2916111000</v>
      </c>
      <c r="C412" s="5" t="s">
        <v>286</v>
      </c>
      <c r="D412" s="6">
        <v>39015.9</v>
      </c>
      <c r="E412" s="6">
        <v>34719.300000000003</v>
      </c>
      <c r="F412" s="7">
        <f t="shared" si="6"/>
        <v>-4296.5999999999985</v>
      </c>
      <c r="G412" t="str">
        <f>IF(표1[[#This Row],[diff]]&gt;0,"import","export")</f>
        <v>export</v>
      </c>
      <c r="H412" s="15">
        <f>ABS(표1[[#This Row],[export]]-표1[[#This Row],[import]])/(표1[[#This Row],[export]]+표1[[#This Row],[import]])</f>
        <v>5.8270676691729292E-2</v>
      </c>
    </row>
    <row r="413" spans="1:8" x14ac:dyDescent="0.3">
      <c r="A413" s="5">
        <v>2021</v>
      </c>
      <c r="B413" s="5">
        <v>2916111000</v>
      </c>
      <c r="C413" s="5" t="s">
        <v>286</v>
      </c>
      <c r="D413" s="6">
        <v>22705.599999999999</v>
      </c>
      <c r="E413" s="6">
        <v>28537</v>
      </c>
      <c r="F413" s="7">
        <f t="shared" si="6"/>
        <v>5831.4000000000015</v>
      </c>
      <c r="G413" t="str">
        <f>IF(표1[[#This Row],[diff]]&gt;0,"import","export")</f>
        <v>import</v>
      </c>
      <c r="H413" s="15">
        <f>ABS(표1[[#This Row],[export]]-표1[[#This Row],[import]])/(표1[[#This Row],[export]]+표1[[#This Row],[import]])</f>
        <v>0.11379984622169838</v>
      </c>
    </row>
    <row r="414" spans="1:8" x14ac:dyDescent="0.3">
      <c r="A414" s="5">
        <v>2022</v>
      </c>
      <c r="B414" s="5">
        <v>2916111000</v>
      </c>
      <c r="C414" s="5" t="s">
        <v>286</v>
      </c>
      <c r="D414" s="6">
        <v>28629.5</v>
      </c>
      <c r="E414" s="6">
        <v>24129.200000000001</v>
      </c>
      <c r="F414" s="7">
        <f t="shared" si="6"/>
        <v>-4500.2999999999993</v>
      </c>
      <c r="G414" t="str">
        <f>IF(표1[[#This Row],[diff]]&gt;0,"import","export")</f>
        <v>export</v>
      </c>
      <c r="H414" s="15">
        <f>ABS(표1[[#This Row],[export]]-표1[[#This Row],[import]])/(표1[[#This Row],[export]]+표1[[#This Row],[import]])</f>
        <v>8.5299675693297966E-2</v>
      </c>
    </row>
    <row r="415" spans="1:8" x14ac:dyDescent="0.3">
      <c r="A415" s="5">
        <v>2023</v>
      </c>
      <c r="B415" s="5">
        <v>2916111000</v>
      </c>
      <c r="C415" s="5" t="s">
        <v>286</v>
      </c>
      <c r="D415" s="6">
        <v>35687.800000000003</v>
      </c>
      <c r="E415" s="6">
        <v>35788.400000000001</v>
      </c>
      <c r="F415" s="7">
        <f t="shared" si="6"/>
        <v>100.59999999999854</v>
      </c>
      <c r="G415" t="str">
        <f>IF(표1[[#This Row],[diff]]&gt;0,"import","export")</f>
        <v>import</v>
      </c>
      <c r="H415" s="15">
        <f>ABS(표1[[#This Row],[export]]-표1[[#This Row],[import]])/(표1[[#This Row],[export]]+표1[[#This Row],[import]])</f>
        <v>1.4074615046686663E-3</v>
      </c>
    </row>
    <row r="416" spans="1:8" x14ac:dyDescent="0.3">
      <c r="A416" s="5">
        <v>2024</v>
      </c>
      <c r="B416" s="5">
        <v>2916111000</v>
      </c>
      <c r="C416" s="5" t="s">
        <v>286</v>
      </c>
      <c r="D416" s="6">
        <v>22865.1</v>
      </c>
      <c r="E416" s="6">
        <v>38428</v>
      </c>
      <c r="F416" s="7">
        <f t="shared" si="6"/>
        <v>15562.900000000001</v>
      </c>
      <c r="G416" t="str">
        <f>IF(표1[[#This Row],[diff]]&gt;0,"import","export")</f>
        <v>import</v>
      </c>
      <c r="H416" s="15">
        <f>ABS(표1[[#This Row],[export]]-표1[[#This Row],[import]])/(표1[[#This Row],[export]]+표1[[#This Row],[import]])</f>
        <v>0.25390949389082951</v>
      </c>
    </row>
    <row r="417" spans="1:8" x14ac:dyDescent="0.3">
      <c r="A417" s="5">
        <v>2025</v>
      </c>
      <c r="B417" s="5">
        <v>2916111000</v>
      </c>
      <c r="C417" s="5" t="s">
        <v>286</v>
      </c>
      <c r="D417" s="6">
        <v>48140.4</v>
      </c>
      <c r="E417" s="6">
        <v>32383.9</v>
      </c>
      <c r="F417" s="7">
        <f t="shared" si="6"/>
        <v>-15756.5</v>
      </c>
      <c r="G417" t="str">
        <f>IF(표1[[#This Row],[diff]]&gt;0,"import","export")</f>
        <v>export</v>
      </c>
      <c r="H417" s="15">
        <f>ABS(표1[[#This Row],[export]]-표1[[#This Row],[import]])/(표1[[#This Row],[export]]+표1[[#This Row],[import]])</f>
        <v>0.19567385248924857</v>
      </c>
    </row>
    <row r="418" spans="1:8" x14ac:dyDescent="0.3">
      <c r="A418" s="5">
        <v>2016</v>
      </c>
      <c r="B418" s="5">
        <v>2916121000</v>
      </c>
      <c r="C418" s="5" t="s">
        <v>287</v>
      </c>
      <c r="D418" s="6">
        <v>21125.8</v>
      </c>
      <c r="E418" s="6">
        <v>9909.2000000000007</v>
      </c>
      <c r="F418" s="7">
        <f t="shared" si="6"/>
        <v>-11216.599999999999</v>
      </c>
      <c r="G418" t="str">
        <f>IF(표1[[#This Row],[diff]]&gt;0,"import","export")</f>
        <v>export</v>
      </c>
      <c r="H418" s="15">
        <f>ABS(표1[[#This Row],[export]]-표1[[#This Row],[import]])/(표1[[#This Row],[export]]+표1[[#This Row],[import]])</f>
        <v>0.36141775414854194</v>
      </c>
    </row>
    <row r="419" spans="1:8" x14ac:dyDescent="0.3">
      <c r="A419" s="5">
        <v>2017</v>
      </c>
      <c r="B419" s="5">
        <v>2916121000</v>
      </c>
      <c r="C419" s="5" t="s">
        <v>287</v>
      </c>
      <c r="D419" s="6">
        <v>16279.6</v>
      </c>
      <c r="E419" s="6">
        <v>8047.7</v>
      </c>
      <c r="F419" s="7">
        <f t="shared" si="6"/>
        <v>-8231.9000000000015</v>
      </c>
      <c r="G419" t="str">
        <f>IF(표1[[#This Row],[diff]]&gt;0,"import","export")</f>
        <v>export</v>
      </c>
      <c r="H419" s="15">
        <f>ABS(표1[[#This Row],[export]]-표1[[#This Row],[import]])/(표1[[#This Row],[export]]+표1[[#This Row],[import]])</f>
        <v>0.33838116026028381</v>
      </c>
    </row>
    <row r="420" spans="1:8" x14ac:dyDescent="0.3">
      <c r="A420" s="5">
        <v>2018</v>
      </c>
      <c r="B420" s="5">
        <v>2916121000</v>
      </c>
      <c r="C420" s="5" t="s">
        <v>287</v>
      </c>
      <c r="D420" s="6">
        <v>20711.900000000001</v>
      </c>
      <c r="E420" s="6">
        <v>10772.7</v>
      </c>
      <c r="F420" s="7">
        <f t="shared" si="6"/>
        <v>-9939.2000000000007</v>
      </c>
      <c r="G420" t="str">
        <f>IF(표1[[#This Row],[diff]]&gt;0,"import","export")</f>
        <v>export</v>
      </c>
      <c r="H420" s="15">
        <f>ABS(표1[[#This Row],[export]]-표1[[#This Row],[import]])/(표1[[#This Row],[export]]+표1[[#This Row],[import]])</f>
        <v>0.31568449337136251</v>
      </c>
    </row>
    <row r="421" spans="1:8" x14ac:dyDescent="0.3">
      <c r="A421" s="5">
        <v>2019</v>
      </c>
      <c r="B421" s="5">
        <v>2916121000</v>
      </c>
      <c r="C421" s="5" t="s">
        <v>287</v>
      </c>
      <c r="D421" s="6">
        <v>16480.400000000001</v>
      </c>
      <c r="E421" s="6">
        <v>11288.8</v>
      </c>
      <c r="F421" s="7">
        <f t="shared" si="6"/>
        <v>-5191.6000000000022</v>
      </c>
      <c r="G421" t="str">
        <f>IF(표1[[#This Row],[diff]]&gt;0,"import","export")</f>
        <v>export</v>
      </c>
      <c r="H421" s="15">
        <f>ABS(표1[[#This Row],[export]]-표1[[#This Row],[import]])/(표1[[#This Row],[export]]+표1[[#This Row],[import]])</f>
        <v>0.1869553318064619</v>
      </c>
    </row>
    <row r="422" spans="1:8" x14ac:dyDescent="0.3">
      <c r="A422" s="5">
        <v>2020</v>
      </c>
      <c r="B422" s="5">
        <v>2916121000</v>
      </c>
      <c r="C422" s="5" t="s">
        <v>287</v>
      </c>
      <c r="D422" s="6">
        <v>15508.8</v>
      </c>
      <c r="E422" s="6">
        <v>13472.8</v>
      </c>
      <c r="F422" s="7">
        <f t="shared" si="6"/>
        <v>-2036</v>
      </c>
      <c r="G422" t="str">
        <f>IF(표1[[#This Row],[diff]]&gt;0,"import","export")</f>
        <v>export</v>
      </c>
      <c r="H422" s="15">
        <f>ABS(표1[[#This Row],[export]]-표1[[#This Row],[import]])/(표1[[#This Row],[export]]+표1[[#This Row],[import]])</f>
        <v>7.025146989814228E-2</v>
      </c>
    </row>
    <row r="423" spans="1:8" x14ac:dyDescent="0.3">
      <c r="A423" s="5">
        <v>2021</v>
      </c>
      <c r="B423" s="5">
        <v>2916121000</v>
      </c>
      <c r="C423" s="5" t="s">
        <v>287</v>
      </c>
      <c r="D423" s="6">
        <v>9342.7000000000007</v>
      </c>
      <c r="E423" s="6">
        <v>8195.1</v>
      </c>
      <c r="F423" s="7">
        <f t="shared" si="6"/>
        <v>-1147.6000000000004</v>
      </c>
      <c r="G423" t="str">
        <f>IF(표1[[#This Row],[diff]]&gt;0,"import","export")</f>
        <v>export</v>
      </c>
      <c r="H423" s="15">
        <f>ABS(표1[[#This Row],[export]]-표1[[#This Row],[import]])/(표1[[#This Row],[export]]+표1[[#This Row],[import]])</f>
        <v>6.5435801525847034E-2</v>
      </c>
    </row>
    <row r="424" spans="1:8" x14ac:dyDescent="0.3">
      <c r="A424" s="5">
        <v>2022</v>
      </c>
      <c r="B424" s="5">
        <v>2916121000</v>
      </c>
      <c r="C424" s="5" t="s">
        <v>287</v>
      </c>
      <c r="D424" s="6">
        <v>9226.4</v>
      </c>
      <c r="E424" s="6">
        <v>7030.3</v>
      </c>
      <c r="F424" s="7">
        <f t="shared" si="6"/>
        <v>-2196.0999999999995</v>
      </c>
      <c r="G424" t="str">
        <f>IF(표1[[#This Row],[diff]]&gt;0,"import","export")</f>
        <v>export</v>
      </c>
      <c r="H424" s="15">
        <f>ABS(표1[[#This Row],[export]]-표1[[#This Row],[import]])/(표1[[#This Row],[export]]+표1[[#This Row],[import]])</f>
        <v>0.13508891718491448</v>
      </c>
    </row>
    <row r="425" spans="1:8" x14ac:dyDescent="0.3">
      <c r="A425" s="5">
        <v>2023</v>
      </c>
      <c r="B425" s="5">
        <v>2916121000</v>
      </c>
      <c r="C425" s="5" t="s">
        <v>287</v>
      </c>
      <c r="D425" s="6">
        <v>11931.7</v>
      </c>
      <c r="E425" s="6">
        <v>7754.2</v>
      </c>
      <c r="F425" s="7">
        <f t="shared" si="6"/>
        <v>-4177.5000000000009</v>
      </c>
      <c r="G425" t="str">
        <f>IF(표1[[#This Row],[diff]]&gt;0,"import","export")</f>
        <v>export</v>
      </c>
      <c r="H425" s="15">
        <f>ABS(표1[[#This Row],[export]]-표1[[#This Row],[import]])/(표1[[#This Row],[export]]+표1[[#This Row],[import]])</f>
        <v>0.21220772227838203</v>
      </c>
    </row>
    <row r="426" spans="1:8" x14ac:dyDescent="0.3">
      <c r="A426" s="5">
        <v>2024</v>
      </c>
      <c r="B426" s="5">
        <v>2916121000</v>
      </c>
      <c r="C426" s="5" t="s">
        <v>287</v>
      </c>
      <c r="D426" s="6">
        <v>11014.3</v>
      </c>
      <c r="E426" s="6">
        <v>14205.3</v>
      </c>
      <c r="F426" s="7">
        <f t="shared" si="6"/>
        <v>3191</v>
      </c>
      <c r="G426" t="str">
        <f>IF(표1[[#This Row],[diff]]&gt;0,"import","export")</f>
        <v>import</v>
      </c>
      <c r="H426" s="15">
        <f>ABS(표1[[#This Row],[export]]-표1[[#This Row],[import]])/(표1[[#This Row],[export]]+표1[[#This Row],[import]])</f>
        <v>0.12652857301463941</v>
      </c>
    </row>
    <row r="427" spans="1:8" x14ac:dyDescent="0.3">
      <c r="A427" s="5">
        <v>2025</v>
      </c>
      <c r="B427" s="5">
        <v>2916121000</v>
      </c>
      <c r="C427" s="5" t="s">
        <v>287</v>
      </c>
      <c r="D427" s="6">
        <v>8580.2000000000007</v>
      </c>
      <c r="E427" s="6">
        <v>10011.9</v>
      </c>
      <c r="F427" s="7">
        <f t="shared" si="6"/>
        <v>1431.6999999999989</v>
      </c>
      <c r="G427" t="str">
        <f>IF(표1[[#This Row],[diff]]&gt;0,"import","export")</f>
        <v>import</v>
      </c>
      <c r="H427" s="15">
        <f>ABS(표1[[#This Row],[export]]-표1[[#This Row],[import]])/(표1[[#This Row],[export]]+표1[[#This Row],[import]])</f>
        <v>7.7005825054727486E-2</v>
      </c>
    </row>
    <row r="428" spans="1:8" x14ac:dyDescent="0.3">
      <c r="A428" s="5">
        <v>2016</v>
      </c>
      <c r="B428" s="5">
        <v>2916141000</v>
      </c>
      <c r="C428" s="5" t="s">
        <v>288</v>
      </c>
      <c r="D428" s="6">
        <v>41607.300000000003</v>
      </c>
      <c r="E428" s="6">
        <v>77088.3</v>
      </c>
      <c r="F428" s="7">
        <f t="shared" si="6"/>
        <v>35481</v>
      </c>
      <c r="G428" t="str">
        <f>IF(표1[[#This Row],[diff]]&gt;0,"import","export")</f>
        <v>import</v>
      </c>
      <c r="H428" s="15">
        <f>ABS(표1[[#This Row],[export]]-표1[[#This Row],[import]])/(표1[[#This Row],[export]]+표1[[#This Row],[import]])</f>
        <v>0.29892430721947566</v>
      </c>
    </row>
    <row r="429" spans="1:8" x14ac:dyDescent="0.3">
      <c r="A429" s="5">
        <v>2017</v>
      </c>
      <c r="B429" s="5">
        <v>2916141000</v>
      </c>
      <c r="C429" s="5" t="s">
        <v>288</v>
      </c>
      <c r="D429" s="6">
        <v>38297.599999999999</v>
      </c>
      <c r="E429" s="6">
        <v>98977.600000000006</v>
      </c>
      <c r="F429" s="7">
        <f t="shared" si="6"/>
        <v>60680.000000000007</v>
      </c>
      <c r="G429" t="str">
        <f>IF(표1[[#This Row],[diff]]&gt;0,"import","export")</f>
        <v>import</v>
      </c>
      <c r="H429" s="15">
        <f>ABS(표1[[#This Row],[export]]-표1[[#This Row],[import]])/(표1[[#This Row],[export]]+표1[[#This Row],[import]])</f>
        <v>0.44203177267270422</v>
      </c>
    </row>
    <row r="430" spans="1:8" x14ac:dyDescent="0.3">
      <c r="A430" s="5">
        <v>2018</v>
      </c>
      <c r="B430" s="5">
        <v>2916141000</v>
      </c>
      <c r="C430" s="5" t="s">
        <v>288</v>
      </c>
      <c r="D430" s="6">
        <v>24047.5</v>
      </c>
      <c r="E430" s="6">
        <v>79466.600000000006</v>
      </c>
      <c r="F430" s="7">
        <f t="shared" si="6"/>
        <v>55419.100000000006</v>
      </c>
      <c r="G430" t="str">
        <f>IF(표1[[#This Row],[diff]]&gt;0,"import","export")</f>
        <v>import</v>
      </c>
      <c r="H430" s="15">
        <f>ABS(표1[[#This Row],[export]]-표1[[#This Row],[import]])/(표1[[#This Row],[export]]+표1[[#This Row],[import]])</f>
        <v>0.53537730608680367</v>
      </c>
    </row>
    <row r="431" spans="1:8" x14ac:dyDescent="0.3">
      <c r="A431" s="5">
        <v>2019</v>
      </c>
      <c r="B431" s="5">
        <v>2916141000</v>
      </c>
      <c r="C431" s="5" t="s">
        <v>288</v>
      </c>
      <c r="D431" s="6">
        <v>36701.800000000003</v>
      </c>
      <c r="E431" s="6">
        <v>54633.8</v>
      </c>
      <c r="F431" s="7">
        <f t="shared" si="6"/>
        <v>17932</v>
      </c>
      <c r="G431" t="str">
        <f>IF(표1[[#This Row],[diff]]&gt;0,"import","export")</f>
        <v>import</v>
      </c>
      <c r="H431" s="15">
        <f>ABS(표1[[#This Row],[export]]-표1[[#This Row],[import]])/(표1[[#This Row],[export]]+표1[[#This Row],[import]])</f>
        <v>0.19633089397781367</v>
      </c>
    </row>
    <row r="432" spans="1:8" x14ac:dyDescent="0.3">
      <c r="A432" s="5">
        <v>2020</v>
      </c>
      <c r="B432" s="5">
        <v>2916141000</v>
      </c>
      <c r="C432" s="5" t="s">
        <v>288</v>
      </c>
      <c r="D432" s="6">
        <v>31522.400000000001</v>
      </c>
      <c r="E432" s="6">
        <v>30242.400000000001</v>
      </c>
      <c r="F432" s="7">
        <f t="shared" si="6"/>
        <v>-1280</v>
      </c>
      <c r="G432" t="str">
        <f>IF(표1[[#This Row],[diff]]&gt;0,"import","export")</f>
        <v>export</v>
      </c>
      <c r="H432" s="15">
        <f>ABS(표1[[#This Row],[export]]-표1[[#This Row],[import]])/(표1[[#This Row],[export]]+표1[[#This Row],[import]])</f>
        <v>2.0723777944719322E-2</v>
      </c>
    </row>
    <row r="433" spans="1:8" x14ac:dyDescent="0.3">
      <c r="A433" s="5">
        <v>2021</v>
      </c>
      <c r="B433" s="5">
        <v>2916141000</v>
      </c>
      <c r="C433" s="5" t="s">
        <v>288</v>
      </c>
      <c r="D433" s="6">
        <v>22512.1</v>
      </c>
      <c r="E433" s="6">
        <v>42182.7</v>
      </c>
      <c r="F433" s="7">
        <f t="shared" si="6"/>
        <v>19670.599999999999</v>
      </c>
      <c r="G433" t="str">
        <f>IF(표1[[#This Row],[diff]]&gt;0,"import","export")</f>
        <v>import</v>
      </c>
      <c r="H433" s="15">
        <f>ABS(표1[[#This Row],[export]]-표1[[#This Row],[import]])/(표1[[#This Row],[export]]+표1[[#This Row],[import]])</f>
        <v>0.3040522576775877</v>
      </c>
    </row>
    <row r="434" spans="1:8" x14ac:dyDescent="0.3">
      <c r="A434" s="5">
        <v>2022</v>
      </c>
      <c r="B434" s="5">
        <v>2916141000</v>
      </c>
      <c r="C434" s="5" t="s">
        <v>288</v>
      </c>
      <c r="D434" s="6">
        <v>27899.7</v>
      </c>
      <c r="E434" s="6">
        <v>37911.599999999999</v>
      </c>
      <c r="F434" s="7">
        <f t="shared" si="6"/>
        <v>10011.899999999998</v>
      </c>
      <c r="G434" t="str">
        <f>IF(표1[[#This Row],[diff]]&gt;0,"import","export")</f>
        <v>import</v>
      </c>
      <c r="H434" s="15">
        <f>ABS(표1[[#This Row],[export]]-표1[[#This Row],[import]])/(표1[[#This Row],[export]]+표1[[#This Row],[import]])</f>
        <v>0.15213040921543863</v>
      </c>
    </row>
    <row r="435" spans="1:8" x14ac:dyDescent="0.3">
      <c r="A435" s="5">
        <v>2023</v>
      </c>
      <c r="B435" s="5">
        <v>2916141000</v>
      </c>
      <c r="C435" s="5" t="s">
        <v>288</v>
      </c>
      <c r="D435" s="6">
        <v>22564.2</v>
      </c>
      <c r="E435" s="6">
        <v>21839.599999999999</v>
      </c>
      <c r="F435" s="7">
        <f t="shared" si="6"/>
        <v>-724.60000000000218</v>
      </c>
      <c r="G435" t="str">
        <f>IF(표1[[#This Row],[diff]]&gt;0,"import","export")</f>
        <v>export</v>
      </c>
      <c r="H435" s="15">
        <f>ABS(표1[[#This Row],[export]]-표1[[#This Row],[import]])/(표1[[#This Row],[export]]+표1[[#This Row],[import]])</f>
        <v>1.6318423198014631E-2</v>
      </c>
    </row>
    <row r="436" spans="1:8" x14ac:dyDescent="0.3">
      <c r="A436" s="5">
        <v>2024</v>
      </c>
      <c r="B436" s="5">
        <v>2916141000</v>
      </c>
      <c r="C436" s="5" t="s">
        <v>288</v>
      </c>
      <c r="D436" s="6">
        <v>20951.7</v>
      </c>
      <c r="E436" s="6">
        <v>55817.8</v>
      </c>
      <c r="F436" s="7">
        <f t="shared" si="6"/>
        <v>34866.100000000006</v>
      </c>
      <c r="G436" t="str">
        <f>IF(표1[[#This Row],[diff]]&gt;0,"import","export")</f>
        <v>import</v>
      </c>
      <c r="H436" s="15">
        <f>ABS(표1[[#This Row],[export]]-표1[[#This Row],[import]])/(표1[[#This Row],[export]]+표1[[#This Row],[import]])</f>
        <v>0.45416604250385906</v>
      </c>
    </row>
    <row r="437" spans="1:8" x14ac:dyDescent="0.3">
      <c r="A437" s="5">
        <v>2025</v>
      </c>
      <c r="B437" s="5">
        <v>2916141000</v>
      </c>
      <c r="C437" s="5" t="s">
        <v>288</v>
      </c>
      <c r="D437" s="6">
        <v>18546.900000000001</v>
      </c>
      <c r="E437" s="6">
        <v>40396.300000000003</v>
      </c>
      <c r="F437" s="7">
        <f t="shared" si="6"/>
        <v>21849.4</v>
      </c>
      <c r="G437" t="str">
        <f>IF(표1[[#This Row],[diff]]&gt;0,"import","export")</f>
        <v>import</v>
      </c>
      <c r="H437" s="15">
        <f>ABS(표1[[#This Row],[export]]-표1[[#This Row],[import]])/(표1[[#This Row],[export]]+표1[[#This Row],[import]])</f>
        <v>0.37068567705859201</v>
      </c>
    </row>
    <row r="438" spans="1:8" x14ac:dyDescent="0.3">
      <c r="A438" s="8">
        <v>2016</v>
      </c>
      <c r="B438" s="8">
        <v>2917121000</v>
      </c>
      <c r="C438" s="8" t="s">
        <v>326</v>
      </c>
      <c r="D438" s="9">
        <v>72494</v>
      </c>
      <c r="E438" s="9">
        <v>36569.699999999997</v>
      </c>
      <c r="F438" s="10">
        <f t="shared" si="6"/>
        <v>-35924.300000000003</v>
      </c>
      <c r="G438" t="str">
        <f>IF(표1[[#This Row],[diff]]&gt;0,"import","export")</f>
        <v>export</v>
      </c>
      <c r="H438" s="15">
        <f>ABS(표1[[#This Row],[export]]-표1[[#This Row],[import]])/(표1[[#This Row],[export]]+표1[[#This Row],[import]])</f>
        <v>0.32938823824975683</v>
      </c>
    </row>
    <row r="439" spans="1:8" x14ac:dyDescent="0.3">
      <c r="A439" s="8">
        <v>2017</v>
      </c>
      <c r="B439" s="8">
        <v>2917121000</v>
      </c>
      <c r="C439" s="8" t="s">
        <v>326</v>
      </c>
      <c r="D439" s="9">
        <v>79355.7</v>
      </c>
      <c r="E439" s="9">
        <v>39461.1</v>
      </c>
      <c r="F439" s="10">
        <f t="shared" si="6"/>
        <v>-39894.6</v>
      </c>
      <c r="G439" t="str">
        <f>IF(표1[[#This Row],[diff]]&gt;0,"import","export")</f>
        <v>export</v>
      </c>
      <c r="H439" s="15">
        <f>ABS(표1[[#This Row],[export]]-표1[[#This Row],[import]])/(표1[[#This Row],[export]]+표1[[#This Row],[import]])</f>
        <v>0.33576564930211894</v>
      </c>
    </row>
    <row r="440" spans="1:8" x14ac:dyDescent="0.3">
      <c r="A440" s="8">
        <v>2018</v>
      </c>
      <c r="B440" s="8">
        <v>2917121000</v>
      </c>
      <c r="C440" s="8" t="s">
        <v>326</v>
      </c>
      <c r="D440" s="9">
        <v>80545.100000000006</v>
      </c>
      <c r="E440" s="9">
        <v>38846.1</v>
      </c>
      <c r="F440" s="10">
        <f t="shared" si="6"/>
        <v>-41699.000000000007</v>
      </c>
      <c r="G440" t="str">
        <f>IF(표1[[#This Row],[diff]]&gt;0,"import","export")</f>
        <v>export</v>
      </c>
      <c r="H440" s="15">
        <f>ABS(표1[[#This Row],[export]]-표1[[#This Row],[import]])/(표1[[#This Row],[export]]+표1[[#This Row],[import]])</f>
        <v>0.3492635973170552</v>
      </c>
    </row>
    <row r="441" spans="1:8" x14ac:dyDescent="0.3">
      <c r="A441" s="8">
        <v>2019</v>
      </c>
      <c r="B441" s="8">
        <v>2917121000</v>
      </c>
      <c r="C441" s="8" t="s">
        <v>326</v>
      </c>
      <c r="D441" s="9">
        <v>62044</v>
      </c>
      <c r="E441" s="9">
        <v>36873.199999999997</v>
      </c>
      <c r="F441" s="10">
        <f t="shared" si="6"/>
        <v>-25170.800000000003</v>
      </c>
      <c r="G441" t="str">
        <f>IF(표1[[#This Row],[diff]]&gt;0,"import","export")</f>
        <v>export</v>
      </c>
      <c r="H441" s="15">
        <f>ABS(표1[[#This Row],[export]]-표1[[#This Row],[import]])/(표1[[#This Row],[export]]+표1[[#This Row],[import]])</f>
        <v>0.25446332892560652</v>
      </c>
    </row>
    <row r="442" spans="1:8" x14ac:dyDescent="0.3">
      <c r="A442" s="8">
        <v>2020</v>
      </c>
      <c r="B442" s="8">
        <v>2917121000</v>
      </c>
      <c r="C442" s="8" t="s">
        <v>326</v>
      </c>
      <c r="D442" s="9">
        <v>62793.9</v>
      </c>
      <c r="E442" s="9">
        <v>34357.199999999997</v>
      </c>
      <c r="F442" s="10">
        <f t="shared" si="6"/>
        <v>-28436.700000000004</v>
      </c>
      <c r="G442" t="str">
        <f>IF(표1[[#This Row],[diff]]&gt;0,"import","export")</f>
        <v>export</v>
      </c>
      <c r="H442" s="15">
        <f>ABS(표1[[#This Row],[export]]-표1[[#This Row],[import]])/(표1[[#This Row],[export]]+표1[[#This Row],[import]])</f>
        <v>0.29270589833774402</v>
      </c>
    </row>
    <row r="443" spans="1:8" x14ac:dyDescent="0.3">
      <c r="A443" s="8">
        <v>2021</v>
      </c>
      <c r="B443" s="8">
        <v>2917121000</v>
      </c>
      <c r="C443" s="8" t="s">
        <v>326</v>
      </c>
      <c r="D443" s="9">
        <v>79069.899999999994</v>
      </c>
      <c r="E443" s="9">
        <v>36357.9</v>
      </c>
      <c r="F443" s="10">
        <f t="shared" si="6"/>
        <v>-42711.999999999993</v>
      </c>
      <c r="G443" t="str">
        <f>IF(표1[[#This Row],[diff]]&gt;0,"import","export")</f>
        <v>export</v>
      </c>
      <c r="H443" s="15">
        <f>ABS(표1[[#This Row],[export]]-표1[[#This Row],[import]])/(표1[[#This Row],[export]]+표1[[#This Row],[import]])</f>
        <v>0.37003217595761156</v>
      </c>
    </row>
    <row r="444" spans="1:8" x14ac:dyDescent="0.3">
      <c r="A444" s="8">
        <v>2022</v>
      </c>
      <c r="B444" s="8">
        <v>2917121000</v>
      </c>
      <c r="C444" s="8" t="s">
        <v>326</v>
      </c>
      <c r="D444" s="9">
        <v>70067.899999999994</v>
      </c>
      <c r="E444" s="9">
        <v>28020.799999999999</v>
      </c>
      <c r="F444" s="10">
        <f t="shared" si="6"/>
        <v>-42047.099999999991</v>
      </c>
      <c r="G444" t="str">
        <f>IF(표1[[#This Row],[diff]]&gt;0,"import","export")</f>
        <v>export</v>
      </c>
      <c r="H444" s="15">
        <f>ABS(표1[[#This Row],[export]]-표1[[#This Row],[import]])/(표1[[#This Row],[export]]+표1[[#This Row],[import]])</f>
        <v>0.42866405610432184</v>
      </c>
    </row>
    <row r="445" spans="1:8" x14ac:dyDescent="0.3">
      <c r="A445" s="8">
        <v>2023</v>
      </c>
      <c r="B445" s="8">
        <v>2917121000</v>
      </c>
      <c r="C445" s="8" t="s">
        <v>326</v>
      </c>
      <c r="D445" s="9">
        <v>57976.2</v>
      </c>
      <c r="E445" s="9">
        <v>27264.799999999999</v>
      </c>
      <c r="F445" s="10">
        <f t="shared" si="6"/>
        <v>-30711.399999999998</v>
      </c>
      <c r="G445" t="str">
        <f>IF(표1[[#This Row],[diff]]&gt;0,"import","export")</f>
        <v>export</v>
      </c>
      <c r="H445" s="15">
        <f>ABS(표1[[#This Row],[export]]-표1[[#This Row],[import]])/(표1[[#This Row],[export]]+표1[[#This Row],[import]])</f>
        <v>0.3602890627749557</v>
      </c>
    </row>
    <row r="446" spans="1:8" x14ac:dyDescent="0.3">
      <c r="A446" s="8">
        <v>2024</v>
      </c>
      <c r="B446" s="8">
        <v>2917121000</v>
      </c>
      <c r="C446" s="8" t="s">
        <v>326</v>
      </c>
      <c r="D446" s="9">
        <v>56035.4</v>
      </c>
      <c r="E446" s="9">
        <v>32030.400000000001</v>
      </c>
      <c r="F446" s="10">
        <f t="shared" si="6"/>
        <v>-24005</v>
      </c>
      <c r="G446" t="str">
        <f>IF(표1[[#This Row],[diff]]&gt;0,"import","export")</f>
        <v>export</v>
      </c>
      <c r="H446" s="15">
        <f>ABS(표1[[#This Row],[export]]-표1[[#This Row],[import]])/(표1[[#This Row],[export]]+표1[[#This Row],[import]])</f>
        <v>0.2725802752033139</v>
      </c>
    </row>
    <row r="447" spans="1:8" x14ac:dyDescent="0.3">
      <c r="A447" s="8">
        <v>2025</v>
      </c>
      <c r="B447" s="8">
        <v>2917121000</v>
      </c>
      <c r="C447" s="8" t="s">
        <v>326</v>
      </c>
      <c r="D447" s="9">
        <v>25221.3</v>
      </c>
      <c r="E447" s="9">
        <v>28536.2</v>
      </c>
      <c r="F447" s="10">
        <f t="shared" si="6"/>
        <v>3314.9000000000015</v>
      </c>
      <c r="G447" t="str">
        <f>IF(표1[[#This Row],[diff]]&gt;0,"import","export")</f>
        <v>import</v>
      </c>
      <c r="H447" s="15">
        <f>ABS(표1[[#This Row],[export]]-표1[[#This Row],[import]])/(표1[[#This Row],[export]]+표1[[#This Row],[import]])</f>
        <v>6.1663953866902321E-2</v>
      </c>
    </row>
    <row r="448" spans="1:8" x14ac:dyDescent="0.3">
      <c r="A448" s="5">
        <v>2016</v>
      </c>
      <c r="B448" s="5">
        <v>2917140000</v>
      </c>
      <c r="C448" s="5" t="s">
        <v>289</v>
      </c>
      <c r="D448" s="6">
        <v>34878.1</v>
      </c>
      <c r="E448" s="6">
        <v>1303.0999999999999</v>
      </c>
      <c r="F448" s="7">
        <f t="shared" si="6"/>
        <v>-33575</v>
      </c>
      <c r="G448" t="str">
        <f>IF(표1[[#This Row],[diff]]&gt;0,"import","export")</f>
        <v>export</v>
      </c>
      <c r="H448" s="15">
        <f>ABS(표1[[#This Row],[export]]-표1[[#This Row],[import]])/(표1[[#This Row],[export]]+표1[[#This Row],[import]])</f>
        <v>0.92796811603816354</v>
      </c>
    </row>
    <row r="449" spans="1:8" x14ac:dyDescent="0.3">
      <c r="A449" s="5">
        <v>2017</v>
      </c>
      <c r="B449" s="5">
        <v>2917140000</v>
      </c>
      <c r="C449" s="5" t="s">
        <v>289</v>
      </c>
      <c r="D449" s="6">
        <v>35546.300000000003</v>
      </c>
      <c r="E449" s="5">
        <v>767.3</v>
      </c>
      <c r="F449" s="7">
        <f t="shared" si="6"/>
        <v>-34779</v>
      </c>
      <c r="G449" t="str">
        <f>IF(표1[[#This Row],[diff]]&gt;0,"import","export")</f>
        <v>export</v>
      </c>
      <c r="H449" s="15">
        <f>ABS(표1[[#This Row],[export]]-표1[[#This Row],[import]])/(표1[[#This Row],[export]]+표1[[#This Row],[import]])</f>
        <v>0.95774035072259411</v>
      </c>
    </row>
    <row r="450" spans="1:8" x14ac:dyDescent="0.3">
      <c r="A450" s="5">
        <v>2018</v>
      </c>
      <c r="B450" s="5">
        <v>2917140000</v>
      </c>
      <c r="C450" s="5" t="s">
        <v>289</v>
      </c>
      <c r="D450" s="6">
        <v>40921.199999999997</v>
      </c>
      <c r="E450" s="6">
        <v>1536.3</v>
      </c>
      <c r="F450" s="7">
        <f t="shared" ref="F450:F513" si="7">E450-D450</f>
        <v>-39384.899999999994</v>
      </c>
      <c r="G450" t="str">
        <f>IF(표1[[#This Row],[diff]]&gt;0,"import","export")</f>
        <v>export</v>
      </c>
      <c r="H450" s="15">
        <f>ABS(표1[[#This Row],[export]]-표1[[#This Row],[import]])/(표1[[#This Row],[export]]+표1[[#This Row],[import]])</f>
        <v>0.92763116057233685</v>
      </c>
    </row>
    <row r="451" spans="1:8" x14ac:dyDescent="0.3">
      <c r="A451" s="5">
        <v>2019</v>
      </c>
      <c r="B451" s="5">
        <v>2917140000</v>
      </c>
      <c r="C451" s="5" t="s">
        <v>289</v>
      </c>
      <c r="D451" s="6">
        <v>47904.2</v>
      </c>
      <c r="E451" s="6">
        <v>1620.1</v>
      </c>
      <c r="F451" s="7">
        <f t="shared" si="7"/>
        <v>-46284.1</v>
      </c>
      <c r="G451" t="str">
        <f>IF(표1[[#This Row],[diff]]&gt;0,"import","export")</f>
        <v>export</v>
      </c>
      <c r="H451" s="15">
        <f>ABS(표1[[#This Row],[export]]-표1[[#This Row],[import]])/(표1[[#This Row],[export]]+표1[[#This Row],[import]])</f>
        <v>0.93457353258905229</v>
      </c>
    </row>
    <row r="452" spans="1:8" x14ac:dyDescent="0.3">
      <c r="A452" s="5">
        <v>2020</v>
      </c>
      <c r="B452" s="5">
        <v>2917140000</v>
      </c>
      <c r="C452" s="5" t="s">
        <v>289</v>
      </c>
      <c r="D452" s="6">
        <v>42899.3</v>
      </c>
      <c r="E452" s="6">
        <v>3098.4</v>
      </c>
      <c r="F452" s="7">
        <f t="shared" si="7"/>
        <v>-39800.9</v>
      </c>
      <c r="G452" t="str">
        <f>IF(표1[[#This Row],[diff]]&gt;0,"import","export")</f>
        <v>export</v>
      </c>
      <c r="H452" s="15">
        <f>ABS(표1[[#This Row],[export]]-표1[[#This Row],[import]])/(표1[[#This Row],[export]]+표1[[#This Row],[import]])</f>
        <v>0.86528022053276576</v>
      </c>
    </row>
    <row r="453" spans="1:8" x14ac:dyDescent="0.3">
      <c r="A453" s="5">
        <v>2021</v>
      </c>
      <c r="B453" s="5">
        <v>2917140000</v>
      </c>
      <c r="C453" s="5" t="s">
        <v>289</v>
      </c>
      <c r="D453" s="6">
        <v>36199.300000000003</v>
      </c>
      <c r="E453" s="6">
        <v>3848.4</v>
      </c>
      <c r="F453" s="7">
        <f t="shared" si="7"/>
        <v>-32350.9</v>
      </c>
      <c r="G453" t="str">
        <f>IF(표1[[#This Row],[diff]]&gt;0,"import","export")</f>
        <v>export</v>
      </c>
      <c r="H453" s="15">
        <f>ABS(표1[[#This Row],[export]]-표1[[#This Row],[import]])/(표1[[#This Row],[export]]+표1[[#This Row],[import]])</f>
        <v>0.80780918754385389</v>
      </c>
    </row>
    <row r="454" spans="1:8" x14ac:dyDescent="0.3">
      <c r="A454" s="5">
        <v>2022</v>
      </c>
      <c r="B454" s="5">
        <v>2917140000</v>
      </c>
      <c r="C454" s="5" t="s">
        <v>289</v>
      </c>
      <c r="D454" s="6">
        <v>33965</v>
      </c>
      <c r="E454" s="6">
        <v>6527.4</v>
      </c>
      <c r="F454" s="7">
        <f t="shared" si="7"/>
        <v>-27437.599999999999</v>
      </c>
      <c r="G454" t="str">
        <f>IF(표1[[#This Row],[diff]]&gt;0,"import","export")</f>
        <v>export</v>
      </c>
      <c r="H454" s="15">
        <f>ABS(표1[[#This Row],[export]]-표1[[#This Row],[import]])/(표1[[#This Row],[export]]+표1[[#This Row],[import]])</f>
        <v>0.67759875927334501</v>
      </c>
    </row>
    <row r="455" spans="1:8" x14ac:dyDescent="0.3">
      <c r="A455" s="5">
        <v>2023</v>
      </c>
      <c r="B455" s="5">
        <v>2917140000</v>
      </c>
      <c r="C455" s="5" t="s">
        <v>289</v>
      </c>
      <c r="D455" s="6">
        <v>39025</v>
      </c>
      <c r="E455" s="6">
        <v>4228.6000000000004</v>
      </c>
      <c r="F455" s="7">
        <f t="shared" si="7"/>
        <v>-34796.400000000001</v>
      </c>
      <c r="G455" t="str">
        <f>IF(표1[[#This Row],[diff]]&gt;0,"import","export")</f>
        <v>export</v>
      </c>
      <c r="H455" s="15">
        <f>ABS(표1[[#This Row],[export]]-표1[[#This Row],[import]])/(표1[[#This Row],[export]]+표1[[#This Row],[import]])</f>
        <v>0.80447407845820929</v>
      </c>
    </row>
    <row r="456" spans="1:8" x14ac:dyDescent="0.3">
      <c r="A456" s="5">
        <v>2024</v>
      </c>
      <c r="B456" s="5">
        <v>2917140000</v>
      </c>
      <c r="C456" s="5" t="s">
        <v>289</v>
      </c>
      <c r="D456" s="6">
        <v>39184.800000000003</v>
      </c>
      <c r="E456" s="6">
        <v>4180.2</v>
      </c>
      <c r="F456" s="7">
        <f t="shared" si="7"/>
        <v>-35004.600000000006</v>
      </c>
      <c r="G456" t="str">
        <f>IF(표1[[#This Row],[diff]]&gt;0,"import","export")</f>
        <v>export</v>
      </c>
      <c r="H456" s="15">
        <f>ABS(표1[[#This Row],[export]]-표1[[#This Row],[import]])/(표1[[#This Row],[export]]+표1[[#This Row],[import]])</f>
        <v>0.80720857834659299</v>
      </c>
    </row>
    <row r="457" spans="1:8" x14ac:dyDescent="0.3">
      <c r="A457" s="5">
        <v>2025</v>
      </c>
      <c r="B457" s="5">
        <v>2917140000</v>
      </c>
      <c r="C457" s="5" t="s">
        <v>289</v>
      </c>
      <c r="D457" s="6">
        <v>37503.5</v>
      </c>
      <c r="E457" s="6">
        <v>3628</v>
      </c>
      <c r="F457" s="7">
        <f t="shared" si="7"/>
        <v>-33875.5</v>
      </c>
      <c r="G457" t="str">
        <f>IF(표1[[#This Row],[diff]]&gt;0,"import","export")</f>
        <v>export</v>
      </c>
      <c r="H457" s="15">
        <f>ABS(표1[[#This Row],[export]]-표1[[#This Row],[import]])/(표1[[#This Row],[export]]+표1[[#This Row],[import]])</f>
        <v>0.82359019243159137</v>
      </c>
    </row>
    <row r="458" spans="1:8" x14ac:dyDescent="0.3">
      <c r="A458" s="5">
        <v>2016</v>
      </c>
      <c r="B458" s="5">
        <v>2917350000</v>
      </c>
      <c r="C458" s="5" t="s">
        <v>290</v>
      </c>
      <c r="D458" s="6">
        <v>182623</v>
      </c>
      <c r="E458" s="5">
        <v>86</v>
      </c>
      <c r="F458" s="7">
        <f t="shared" si="7"/>
        <v>-182537</v>
      </c>
      <c r="G458" t="str">
        <f>IF(표1[[#This Row],[diff]]&gt;0,"import","export")</f>
        <v>export</v>
      </c>
      <c r="H458" s="15">
        <f>ABS(표1[[#This Row],[export]]-표1[[#This Row],[import]])/(표1[[#This Row],[export]]+표1[[#This Row],[import]])</f>
        <v>0.99905861232889459</v>
      </c>
    </row>
    <row r="459" spans="1:8" x14ac:dyDescent="0.3">
      <c r="A459" s="5">
        <v>2017</v>
      </c>
      <c r="B459" s="5">
        <v>2917350000</v>
      </c>
      <c r="C459" s="5" t="s">
        <v>290</v>
      </c>
      <c r="D459" s="6">
        <v>168670.5</v>
      </c>
      <c r="E459" s="5">
        <v>109.7</v>
      </c>
      <c r="F459" s="7">
        <f t="shared" si="7"/>
        <v>-168560.8</v>
      </c>
      <c r="G459" t="str">
        <f>IF(표1[[#This Row],[diff]]&gt;0,"import","export")</f>
        <v>export</v>
      </c>
      <c r="H459" s="15">
        <f>ABS(표1[[#This Row],[export]]-표1[[#This Row],[import]])/(표1[[#This Row],[export]]+표1[[#This Row],[import]])</f>
        <v>0.99870008448858327</v>
      </c>
    </row>
    <row r="460" spans="1:8" x14ac:dyDescent="0.3">
      <c r="A460" s="5">
        <v>2018</v>
      </c>
      <c r="B460" s="5">
        <v>2917350000</v>
      </c>
      <c r="C460" s="5" t="s">
        <v>290</v>
      </c>
      <c r="D460" s="6">
        <v>177915.4</v>
      </c>
      <c r="E460" s="5">
        <v>283.8</v>
      </c>
      <c r="F460" s="7">
        <f t="shared" si="7"/>
        <v>-177631.6</v>
      </c>
      <c r="G460" t="str">
        <f>IF(표1[[#This Row],[diff]]&gt;0,"import","export")</f>
        <v>export</v>
      </c>
      <c r="H460" s="15">
        <f>ABS(표1[[#This Row],[export]]-표1[[#This Row],[import]])/(표1[[#This Row],[export]]+표1[[#This Row],[import]])</f>
        <v>0.99681480051537841</v>
      </c>
    </row>
    <row r="461" spans="1:8" x14ac:dyDescent="0.3">
      <c r="A461" s="5">
        <v>2019</v>
      </c>
      <c r="B461" s="5">
        <v>2917350000</v>
      </c>
      <c r="C461" s="5" t="s">
        <v>290</v>
      </c>
      <c r="D461" s="6">
        <v>184391.7</v>
      </c>
      <c r="E461" s="6">
        <v>1098.5</v>
      </c>
      <c r="F461" s="7">
        <f t="shared" si="7"/>
        <v>-183293.2</v>
      </c>
      <c r="G461" t="str">
        <f>IF(표1[[#This Row],[diff]]&gt;0,"import","export")</f>
        <v>export</v>
      </c>
      <c r="H461" s="15">
        <f>ABS(표1[[#This Row],[export]]-표1[[#This Row],[import]])/(표1[[#This Row],[export]]+표1[[#This Row],[import]])</f>
        <v>0.98815570849565093</v>
      </c>
    </row>
    <row r="462" spans="1:8" x14ac:dyDescent="0.3">
      <c r="A462" s="5">
        <v>2020</v>
      </c>
      <c r="B462" s="5">
        <v>2917350000</v>
      </c>
      <c r="C462" s="5" t="s">
        <v>290</v>
      </c>
      <c r="D462" s="6">
        <v>187015.6</v>
      </c>
      <c r="E462" s="5">
        <v>15.6</v>
      </c>
      <c r="F462" s="7">
        <f t="shared" si="7"/>
        <v>-187000</v>
      </c>
      <c r="G462" t="str">
        <f>IF(표1[[#This Row],[diff]]&gt;0,"import","export")</f>
        <v>export</v>
      </c>
      <c r="H462" s="15">
        <f>ABS(표1[[#This Row],[export]]-표1[[#This Row],[import]])/(표1[[#This Row],[export]]+표1[[#This Row],[import]])</f>
        <v>0.99983318291279732</v>
      </c>
    </row>
    <row r="463" spans="1:8" x14ac:dyDescent="0.3">
      <c r="A463" s="5">
        <v>2021</v>
      </c>
      <c r="B463" s="5">
        <v>2917350000</v>
      </c>
      <c r="C463" s="5" t="s">
        <v>290</v>
      </c>
      <c r="D463" s="6">
        <v>169423.7</v>
      </c>
      <c r="E463" s="5">
        <v>34</v>
      </c>
      <c r="F463" s="7">
        <f t="shared" si="7"/>
        <v>-169389.7</v>
      </c>
      <c r="G463" t="str">
        <f>IF(표1[[#This Row],[diff]]&gt;0,"import","export")</f>
        <v>export</v>
      </c>
      <c r="H463" s="15">
        <f>ABS(표1[[#This Row],[export]]-표1[[#This Row],[import]])/(표1[[#This Row],[export]]+표1[[#This Row],[import]])</f>
        <v>0.99959871991653371</v>
      </c>
    </row>
    <row r="464" spans="1:8" x14ac:dyDescent="0.3">
      <c r="A464" s="5">
        <v>2022</v>
      </c>
      <c r="B464" s="5">
        <v>2917350000</v>
      </c>
      <c r="C464" s="5" t="s">
        <v>290</v>
      </c>
      <c r="D464" s="6">
        <v>165024</v>
      </c>
      <c r="E464" s="5">
        <v>20.8</v>
      </c>
      <c r="F464" s="7">
        <f t="shared" si="7"/>
        <v>-165003.20000000001</v>
      </c>
      <c r="G464" t="str">
        <f>IF(표1[[#This Row],[diff]]&gt;0,"import","export")</f>
        <v>export</v>
      </c>
      <c r="H464" s="15">
        <f>ABS(표1[[#This Row],[export]]-표1[[#This Row],[import]])/(표1[[#This Row],[export]]+표1[[#This Row],[import]])</f>
        <v>0.9997479472240266</v>
      </c>
    </row>
    <row r="465" spans="1:8" x14ac:dyDescent="0.3">
      <c r="A465" s="5">
        <v>2023</v>
      </c>
      <c r="B465" s="5">
        <v>2917350000</v>
      </c>
      <c r="C465" s="5" t="s">
        <v>290</v>
      </c>
      <c r="D465" s="6">
        <v>111508.6</v>
      </c>
      <c r="E465" s="5">
        <v>986.9</v>
      </c>
      <c r="F465" s="7">
        <f t="shared" si="7"/>
        <v>-110521.70000000001</v>
      </c>
      <c r="G465" t="str">
        <f>IF(표1[[#This Row],[diff]]&gt;0,"import","export")</f>
        <v>export</v>
      </c>
      <c r="H465" s="15">
        <f>ABS(표1[[#This Row],[export]]-표1[[#This Row],[import]])/(표1[[#This Row],[export]]+표1[[#This Row],[import]])</f>
        <v>0.98245440928748273</v>
      </c>
    </row>
    <row r="466" spans="1:8" x14ac:dyDescent="0.3">
      <c r="A466" s="5">
        <v>2024</v>
      </c>
      <c r="B466" s="5">
        <v>2917350000</v>
      </c>
      <c r="C466" s="5" t="s">
        <v>290</v>
      </c>
      <c r="D466" s="6">
        <v>101896.2</v>
      </c>
      <c r="E466" s="6">
        <v>2598.1999999999998</v>
      </c>
      <c r="F466" s="7">
        <f t="shared" si="7"/>
        <v>-99298</v>
      </c>
      <c r="G466" t="str">
        <f>IF(표1[[#This Row],[diff]]&gt;0,"import","export")</f>
        <v>export</v>
      </c>
      <c r="H466" s="15">
        <f>ABS(표1[[#This Row],[export]]-표1[[#This Row],[import]])/(표1[[#This Row],[export]]+표1[[#This Row],[import]])</f>
        <v>0.95027101930821178</v>
      </c>
    </row>
    <row r="467" spans="1:8" x14ac:dyDescent="0.3">
      <c r="A467" s="5">
        <v>2025</v>
      </c>
      <c r="B467" s="5">
        <v>2917350000</v>
      </c>
      <c r="C467" s="5" t="s">
        <v>290</v>
      </c>
      <c r="D467" s="6">
        <v>90676.1</v>
      </c>
      <c r="E467" s="6">
        <v>2650.8</v>
      </c>
      <c r="F467" s="7">
        <f t="shared" si="7"/>
        <v>-88025.3</v>
      </c>
      <c r="G467" t="str">
        <f>IF(표1[[#This Row],[diff]]&gt;0,"import","export")</f>
        <v>export</v>
      </c>
      <c r="H467" s="15">
        <f>ABS(표1[[#This Row],[export]]-표1[[#This Row],[import]])/(표1[[#This Row],[export]]+표1[[#This Row],[import]])</f>
        <v>0.94319322724744947</v>
      </c>
    </row>
    <row r="468" spans="1:8" x14ac:dyDescent="0.3">
      <c r="A468" s="5">
        <v>2016</v>
      </c>
      <c r="B468" s="5">
        <v>2917361000</v>
      </c>
      <c r="C468" s="5" t="s">
        <v>291</v>
      </c>
      <c r="D468" s="6">
        <v>1776318</v>
      </c>
      <c r="E468" s="6">
        <v>1167.2</v>
      </c>
      <c r="F468" s="7">
        <f t="shared" si="7"/>
        <v>-1775150.8</v>
      </c>
      <c r="G468" t="str">
        <f>IF(표1[[#This Row],[diff]]&gt;0,"import","export")</f>
        <v>export</v>
      </c>
      <c r="H468" s="15">
        <f>ABS(표1[[#This Row],[export]]-표1[[#This Row],[import]])/(표1[[#This Row],[export]]+표1[[#This Row],[import]])</f>
        <v>0.99868668386099646</v>
      </c>
    </row>
    <row r="469" spans="1:8" x14ac:dyDescent="0.3">
      <c r="A469" s="5">
        <v>2017</v>
      </c>
      <c r="B469" s="5">
        <v>2917361000</v>
      </c>
      <c r="C469" s="5" t="s">
        <v>291</v>
      </c>
      <c r="D469" s="6">
        <v>1939571.7</v>
      </c>
      <c r="E469" s="5">
        <v>323.89999999999998</v>
      </c>
      <c r="F469" s="7">
        <f t="shared" si="7"/>
        <v>-1939247.8</v>
      </c>
      <c r="G469" t="str">
        <f>IF(표1[[#This Row],[diff]]&gt;0,"import","export")</f>
        <v>export</v>
      </c>
      <c r="H469" s="15">
        <f>ABS(표1[[#This Row],[export]]-표1[[#This Row],[import]])/(표1[[#This Row],[export]]+표1[[#This Row],[import]])</f>
        <v>0.99966606450367756</v>
      </c>
    </row>
    <row r="470" spans="1:8" x14ac:dyDescent="0.3">
      <c r="A470" s="5">
        <v>2018</v>
      </c>
      <c r="B470" s="5">
        <v>2917361000</v>
      </c>
      <c r="C470" s="5" t="s">
        <v>291</v>
      </c>
      <c r="D470" s="6">
        <v>1745184.3</v>
      </c>
      <c r="E470" s="5">
        <v>0</v>
      </c>
      <c r="F470" s="7">
        <f t="shared" si="7"/>
        <v>-1745184.3</v>
      </c>
      <c r="G470" t="str">
        <f>IF(표1[[#This Row],[diff]]&gt;0,"import","export")</f>
        <v>export</v>
      </c>
      <c r="H470" s="15">
        <f>ABS(표1[[#This Row],[export]]-표1[[#This Row],[import]])/(표1[[#This Row],[export]]+표1[[#This Row],[import]])</f>
        <v>1</v>
      </c>
    </row>
    <row r="471" spans="1:8" x14ac:dyDescent="0.3">
      <c r="A471" s="5">
        <v>2019</v>
      </c>
      <c r="B471" s="5">
        <v>2917361000</v>
      </c>
      <c r="C471" s="5" t="s">
        <v>291</v>
      </c>
      <c r="D471" s="6">
        <v>2030586.2</v>
      </c>
      <c r="E471" s="5">
        <v>86.6</v>
      </c>
      <c r="F471" s="7">
        <f t="shared" si="7"/>
        <v>-2030499.5999999999</v>
      </c>
      <c r="G471" t="str">
        <f>IF(표1[[#This Row],[diff]]&gt;0,"import","export")</f>
        <v>export</v>
      </c>
      <c r="H471" s="15">
        <f>ABS(표1[[#This Row],[export]]-표1[[#This Row],[import]])/(표1[[#This Row],[export]]+표1[[#This Row],[import]])</f>
        <v>0.99991470807113769</v>
      </c>
    </row>
    <row r="472" spans="1:8" x14ac:dyDescent="0.3">
      <c r="A472" s="5">
        <v>2020</v>
      </c>
      <c r="B472" s="5">
        <v>2917361000</v>
      </c>
      <c r="C472" s="5" t="s">
        <v>291</v>
      </c>
      <c r="D472" s="6">
        <v>1950349.9</v>
      </c>
      <c r="E472" s="5">
        <v>620.9</v>
      </c>
      <c r="F472" s="7">
        <f t="shared" si="7"/>
        <v>-1949729</v>
      </c>
      <c r="G472" t="str">
        <f>IF(표1[[#This Row],[diff]]&gt;0,"import","export")</f>
        <v>export</v>
      </c>
      <c r="H472" s="15">
        <f>ABS(표1[[#This Row],[export]]-표1[[#This Row],[import]])/(표1[[#This Row],[export]]+표1[[#This Row],[import]])</f>
        <v>0.99936349636806465</v>
      </c>
    </row>
    <row r="473" spans="1:8" x14ac:dyDescent="0.3">
      <c r="A473" s="5">
        <v>2021</v>
      </c>
      <c r="B473" s="5">
        <v>2917361000</v>
      </c>
      <c r="C473" s="5" t="s">
        <v>291</v>
      </c>
      <c r="D473" s="6">
        <v>1412534.1</v>
      </c>
      <c r="E473" s="5">
        <v>176.2</v>
      </c>
      <c r="F473" s="7">
        <f t="shared" si="7"/>
        <v>-1412357.9000000001</v>
      </c>
      <c r="G473" t="str">
        <f>IF(표1[[#This Row],[diff]]&gt;0,"import","export")</f>
        <v>export</v>
      </c>
      <c r="H473" s="15">
        <f>ABS(표1[[#This Row],[export]]-표1[[#This Row],[import]])/(표1[[#This Row],[export]]+표1[[#This Row],[import]])</f>
        <v>0.99975055041362693</v>
      </c>
    </row>
    <row r="474" spans="1:8" x14ac:dyDescent="0.3">
      <c r="A474" s="5">
        <v>2022</v>
      </c>
      <c r="B474" s="5">
        <v>2917361000</v>
      </c>
      <c r="C474" s="5" t="s">
        <v>291</v>
      </c>
      <c r="D474" s="6">
        <v>1646206.9</v>
      </c>
      <c r="E474" s="5">
        <v>230.2</v>
      </c>
      <c r="F474" s="7">
        <f t="shared" si="7"/>
        <v>-1645976.7</v>
      </c>
      <c r="G474" t="str">
        <f>IF(표1[[#This Row],[diff]]&gt;0,"import","export")</f>
        <v>export</v>
      </c>
      <c r="H474" s="15">
        <f>ABS(표1[[#This Row],[export]]-표1[[#This Row],[import]])/(표1[[#This Row],[export]]+표1[[#This Row],[import]])</f>
        <v>0.99972036587367963</v>
      </c>
    </row>
    <row r="475" spans="1:8" x14ac:dyDescent="0.3">
      <c r="A475" s="5">
        <v>2023</v>
      </c>
      <c r="B475" s="5">
        <v>2917361000</v>
      </c>
      <c r="C475" s="5" t="s">
        <v>291</v>
      </c>
      <c r="D475" s="6">
        <v>2088362.2</v>
      </c>
      <c r="E475" s="5">
        <v>637.6</v>
      </c>
      <c r="F475" s="7">
        <f t="shared" si="7"/>
        <v>-2087724.5999999999</v>
      </c>
      <c r="G475" t="str">
        <f>IF(표1[[#This Row],[diff]]&gt;0,"import","export")</f>
        <v>export</v>
      </c>
      <c r="H475" s="15">
        <f>ABS(표1[[#This Row],[export]]-표1[[#This Row],[import]])/(표1[[#This Row],[export]]+표1[[#This Row],[import]])</f>
        <v>0.99938956432643022</v>
      </c>
    </row>
    <row r="476" spans="1:8" x14ac:dyDescent="0.3">
      <c r="A476" s="5">
        <v>2024</v>
      </c>
      <c r="B476" s="5">
        <v>2917361000</v>
      </c>
      <c r="C476" s="5" t="s">
        <v>291</v>
      </c>
      <c r="D476" s="6">
        <v>2198265.1</v>
      </c>
      <c r="E476" s="5">
        <v>975.6</v>
      </c>
      <c r="F476" s="7">
        <f t="shared" si="7"/>
        <v>-2197289.5</v>
      </c>
      <c r="G476" t="str">
        <f>IF(표1[[#This Row],[diff]]&gt;0,"import","export")</f>
        <v>export</v>
      </c>
      <c r="H476" s="15">
        <f>ABS(표1[[#This Row],[export]]-표1[[#This Row],[import]])/(표1[[#This Row],[export]]+표1[[#This Row],[import]])</f>
        <v>0.99911278469882803</v>
      </c>
    </row>
    <row r="477" spans="1:8" x14ac:dyDescent="0.3">
      <c r="A477" s="5">
        <v>2025</v>
      </c>
      <c r="B477" s="5">
        <v>2917361000</v>
      </c>
      <c r="C477" s="5" t="s">
        <v>291</v>
      </c>
      <c r="D477" s="6">
        <v>1999736.8</v>
      </c>
      <c r="E477" s="6">
        <v>2592.8000000000002</v>
      </c>
      <c r="F477" s="7">
        <f t="shared" si="7"/>
        <v>-1997144</v>
      </c>
      <c r="G477" t="str">
        <f>IF(표1[[#This Row],[diff]]&gt;0,"import","export")</f>
        <v>export</v>
      </c>
      <c r="H477" s="15">
        <f>ABS(표1[[#This Row],[export]]-표1[[#This Row],[import]])/(표1[[#This Row],[export]]+표1[[#This Row],[import]])</f>
        <v>0.99741021657972784</v>
      </c>
    </row>
    <row r="478" spans="1:8" x14ac:dyDescent="0.3">
      <c r="A478" s="5">
        <v>2016</v>
      </c>
      <c r="B478" s="5">
        <v>2917370000</v>
      </c>
      <c r="C478" s="5" t="s">
        <v>292</v>
      </c>
      <c r="D478" s="6">
        <v>37270.699999999997</v>
      </c>
      <c r="E478" s="5">
        <v>167.7</v>
      </c>
      <c r="F478" s="7">
        <f t="shared" si="7"/>
        <v>-37103</v>
      </c>
      <c r="G478" t="str">
        <f>IF(표1[[#This Row],[diff]]&gt;0,"import","export")</f>
        <v>export</v>
      </c>
      <c r="H478" s="15">
        <f>ABS(표1[[#This Row],[export]]-표1[[#This Row],[import]])/(표1[[#This Row],[export]]+표1[[#This Row],[import]])</f>
        <v>0.99104128381554779</v>
      </c>
    </row>
    <row r="479" spans="1:8" x14ac:dyDescent="0.3">
      <c r="A479" s="5">
        <v>2017</v>
      </c>
      <c r="B479" s="5">
        <v>2917370000</v>
      </c>
      <c r="C479" s="5" t="s">
        <v>292</v>
      </c>
      <c r="D479" s="6">
        <v>49480.5</v>
      </c>
      <c r="E479" s="5">
        <v>287</v>
      </c>
      <c r="F479" s="7">
        <f t="shared" si="7"/>
        <v>-49193.5</v>
      </c>
      <c r="G479" t="str">
        <f>IF(표1[[#This Row],[diff]]&gt;0,"import","export")</f>
        <v>export</v>
      </c>
      <c r="H479" s="15">
        <f>ABS(표1[[#This Row],[export]]-표1[[#This Row],[import]])/(표1[[#This Row],[export]]+표1[[#This Row],[import]])</f>
        <v>0.98846636861405535</v>
      </c>
    </row>
    <row r="480" spans="1:8" x14ac:dyDescent="0.3">
      <c r="A480" s="5">
        <v>2018</v>
      </c>
      <c r="B480" s="5">
        <v>2917370000</v>
      </c>
      <c r="C480" s="5" t="s">
        <v>292</v>
      </c>
      <c r="D480" s="6">
        <v>44276.9</v>
      </c>
      <c r="E480" s="5">
        <v>144.19999999999999</v>
      </c>
      <c r="F480" s="7">
        <f t="shared" si="7"/>
        <v>-44132.700000000004</v>
      </c>
      <c r="G480" t="str">
        <f>IF(표1[[#This Row],[diff]]&gt;0,"import","export")</f>
        <v>export</v>
      </c>
      <c r="H480" s="15">
        <f>ABS(표1[[#This Row],[export]]-표1[[#This Row],[import]])/(표1[[#This Row],[export]]+표1[[#This Row],[import]])</f>
        <v>0.99350758986157495</v>
      </c>
    </row>
    <row r="481" spans="1:8" x14ac:dyDescent="0.3">
      <c r="A481" s="5">
        <v>2019</v>
      </c>
      <c r="B481" s="5">
        <v>2917370000</v>
      </c>
      <c r="C481" s="5" t="s">
        <v>292</v>
      </c>
      <c r="D481" s="6">
        <v>40482.199999999997</v>
      </c>
      <c r="E481" s="5">
        <v>393.7</v>
      </c>
      <c r="F481" s="7">
        <f t="shared" si="7"/>
        <v>-40088.5</v>
      </c>
      <c r="G481" t="str">
        <f>IF(표1[[#This Row],[diff]]&gt;0,"import","export")</f>
        <v>export</v>
      </c>
      <c r="H481" s="15">
        <f>ABS(표1[[#This Row],[export]]-표1[[#This Row],[import]])/(표1[[#This Row],[export]]+표1[[#This Row],[import]])</f>
        <v>0.98073681558081915</v>
      </c>
    </row>
    <row r="482" spans="1:8" x14ac:dyDescent="0.3">
      <c r="A482" s="5">
        <v>2020</v>
      </c>
      <c r="B482" s="5">
        <v>2917370000</v>
      </c>
      <c r="C482" s="5" t="s">
        <v>292</v>
      </c>
      <c r="D482" s="6">
        <v>39620</v>
      </c>
      <c r="E482" s="5">
        <v>373.8</v>
      </c>
      <c r="F482" s="7">
        <f t="shared" si="7"/>
        <v>-39246.199999999997</v>
      </c>
      <c r="G482" t="str">
        <f>IF(표1[[#This Row],[diff]]&gt;0,"import","export")</f>
        <v>export</v>
      </c>
      <c r="H482" s="15">
        <f>ABS(표1[[#This Row],[export]]-표1[[#This Row],[import]])/(표1[[#This Row],[export]]+표1[[#This Row],[import]])</f>
        <v>0.98130710260090304</v>
      </c>
    </row>
    <row r="483" spans="1:8" x14ac:dyDescent="0.3">
      <c r="A483" s="5">
        <v>2021</v>
      </c>
      <c r="B483" s="5">
        <v>2917370000</v>
      </c>
      <c r="C483" s="5" t="s">
        <v>292</v>
      </c>
      <c r="D483" s="6">
        <v>45854.3</v>
      </c>
      <c r="E483" s="5">
        <v>359.7</v>
      </c>
      <c r="F483" s="7">
        <f t="shared" si="7"/>
        <v>-45494.600000000006</v>
      </c>
      <c r="G483" t="str">
        <f>IF(표1[[#This Row],[diff]]&gt;0,"import","export")</f>
        <v>export</v>
      </c>
      <c r="H483" s="15">
        <f>ABS(표1[[#This Row],[export]]-표1[[#This Row],[import]])/(표1[[#This Row],[export]]+표1[[#This Row],[import]])</f>
        <v>0.98443328861384005</v>
      </c>
    </row>
    <row r="484" spans="1:8" x14ac:dyDescent="0.3">
      <c r="A484" s="5">
        <v>2022</v>
      </c>
      <c r="B484" s="5">
        <v>2917370000</v>
      </c>
      <c r="C484" s="5" t="s">
        <v>292</v>
      </c>
      <c r="D484" s="6">
        <v>43649</v>
      </c>
      <c r="E484" s="5">
        <v>154.1</v>
      </c>
      <c r="F484" s="7">
        <f t="shared" si="7"/>
        <v>-43494.9</v>
      </c>
      <c r="G484" t="str">
        <f>IF(표1[[#This Row],[diff]]&gt;0,"import","export")</f>
        <v>export</v>
      </c>
      <c r="H484" s="15">
        <f>ABS(표1[[#This Row],[export]]-표1[[#This Row],[import]])/(표1[[#This Row],[export]]+표1[[#This Row],[import]])</f>
        <v>0.99296396830361333</v>
      </c>
    </row>
    <row r="485" spans="1:8" x14ac:dyDescent="0.3">
      <c r="A485" s="5">
        <v>2023</v>
      </c>
      <c r="B485" s="5">
        <v>2917370000</v>
      </c>
      <c r="C485" s="5" t="s">
        <v>292</v>
      </c>
      <c r="D485" s="6">
        <v>54360</v>
      </c>
      <c r="E485" s="5">
        <v>933.9</v>
      </c>
      <c r="F485" s="7">
        <f t="shared" si="7"/>
        <v>-53426.1</v>
      </c>
      <c r="G485" t="str">
        <f>IF(표1[[#This Row],[diff]]&gt;0,"import","export")</f>
        <v>export</v>
      </c>
      <c r="H485" s="15">
        <f>ABS(표1[[#This Row],[export]]-표1[[#This Row],[import]])/(표1[[#This Row],[export]]+표1[[#This Row],[import]])</f>
        <v>0.96622050533603154</v>
      </c>
    </row>
    <row r="486" spans="1:8" x14ac:dyDescent="0.3">
      <c r="A486" s="5">
        <v>2024</v>
      </c>
      <c r="B486" s="5">
        <v>2917370000</v>
      </c>
      <c r="C486" s="5" t="s">
        <v>292</v>
      </c>
      <c r="D486" s="6">
        <v>52785.7</v>
      </c>
      <c r="E486" s="5">
        <v>430.3</v>
      </c>
      <c r="F486" s="7">
        <f t="shared" si="7"/>
        <v>-52355.399999999994</v>
      </c>
      <c r="G486" t="str">
        <f>IF(표1[[#This Row],[diff]]&gt;0,"import","export")</f>
        <v>export</v>
      </c>
      <c r="H486" s="15">
        <f>ABS(표1[[#This Row],[export]]-표1[[#This Row],[import]])/(표1[[#This Row],[export]]+표1[[#This Row],[import]])</f>
        <v>0.98382817197835226</v>
      </c>
    </row>
    <row r="487" spans="1:8" x14ac:dyDescent="0.3">
      <c r="A487" s="5">
        <v>2025</v>
      </c>
      <c r="B487" s="5">
        <v>2917370000</v>
      </c>
      <c r="C487" s="5" t="s">
        <v>292</v>
      </c>
      <c r="D487" s="6">
        <v>56296.6</v>
      </c>
      <c r="E487" s="5">
        <v>0.1</v>
      </c>
      <c r="F487" s="7">
        <f t="shared" si="7"/>
        <v>-56296.5</v>
      </c>
      <c r="G487" t="str">
        <f>IF(표1[[#This Row],[diff]]&gt;0,"import","export")</f>
        <v>export</v>
      </c>
      <c r="H487" s="15">
        <f>ABS(표1[[#This Row],[export]]-표1[[#This Row],[import]])/(표1[[#This Row],[export]]+표1[[#This Row],[import]])</f>
        <v>0.99999644739389704</v>
      </c>
    </row>
    <row r="488" spans="1:8" x14ac:dyDescent="0.3">
      <c r="A488" s="5">
        <v>2016</v>
      </c>
      <c r="B488" s="5">
        <v>2921411000</v>
      </c>
      <c r="C488" s="5" t="s">
        <v>293</v>
      </c>
      <c r="D488" s="6">
        <v>1792.6</v>
      </c>
      <c r="E488" s="6">
        <v>16224.2</v>
      </c>
      <c r="F488" s="7">
        <f t="shared" si="7"/>
        <v>14431.6</v>
      </c>
      <c r="G488" t="str">
        <f>IF(표1[[#This Row],[diff]]&gt;0,"import","export")</f>
        <v>import</v>
      </c>
      <c r="H488" s="15">
        <f>ABS(표1[[#This Row],[export]]-표1[[#This Row],[import]])/(표1[[#This Row],[export]]+표1[[#This Row],[import]])</f>
        <v>0.80100794813729415</v>
      </c>
    </row>
    <row r="489" spans="1:8" x14ac:dyDescent="0.3">
      <c r="A489" s="5">
        <v>2017</v>
      </c>
      <c r="B489" s="5">
        <v>2921411000</v>
      </c>
      <c r="C489" s="5" t="s">
        <v>293</v>
      </c>
      <c r="D489" s="6">
        <v>3636.8</v>
      </c>
      <c r="E489" s="6">
        <v>17349.900000000001</v>
      </c>
      <c r="F489" s="7">
        <f t="shared" si="7"/>
        <v>13713.100000000002</v>
      </c>
      <c r="G489" t="str">
        <f>IF(표1[[#This Row],[diff]]&gt;0,"import","export")</f>
        <v>import</v>
      </c>
      <c r="H489" s="15">
        <f>ABS(표1[[#This Row],[export]]-표1[[#This Row],[import]])/(표1[[#This Row],[export]]+표1[[#This Row],[import]])</f>
        <v>0.65341859368075983</v>
      </c>
    </row>
    <row r="490" spans="1:8" x14ac:dyDescent="0.3">
      <c r="A490" s="5">
        <v>2018</v>
      </c>
      <c r="B490" s="5">
        <v>2921411000</v>
      </c>
      <c r="C490" s="5" t="s">
        <v>293</v>
      </c>
      <c r="D490" s="6">
        <v>4546.8999999999996</v>
      </c>
      <c r="E490" s="5">
        <v>125.3</v>
      </c>
      <c r="F490" s="7">
        <f t="shared" si="7"/>
        <v>-4421.5999999999995</v>
      </c>
      <c r="G490" t="str">
        <f>IF(표1[[#This Row],[diff]]&gt;0,"import","export")</f>
        <v>export</v>
      </c>
      <c r="H490" s="15">
        <f>ABS(표1[[#This Row],[export]]-표1[[#This Row],[import]])/(표1[[#This Row],[export]]+표1[[#This Row],[import]])</f>
        <v>0.94636359744873932</v>
      </c>
    </row>
    <row r="491" spans="1:8" x14ac:dyDescent="0.3">
      <c r="A491" s="5">
        <v>2019</v>
      </c>
      <c r="B491" s="5">
        <v>2921411000</v>
      </c>
      <c r="C491" s="5" t="s">
        <v>293</v>
      </c>
      <c r="D491" s="6">
        <v>2090.5</v>
      </c>
      <c r="E491" s="5">
        <v>167.2</v>
      </c>
      <c r="F491" s="7">
        <f t="shared" si="7"/>
        <v>-1923.3</v>
      </c>
      <c r="G491" t="str">
        <f>IF(표1[[#This Row],[diff]]&gt;0,"import","export")</f>
        <v>export</v>
      </c>
      <c r="H491" s="15">
        <f>ABS(표1[[#This Row],[export]]-표1[[#This Row],[import]])/(표1[[#This Row],[export]]+표1[[#This Row],[import]])</f>
        <v>0.85188466138105157</v>
      </c>
    </row>
    <row r="492" spans="1:8" x14ac:dyDescent="0.3">
      <c r="A492" s="5">
        <v>2020</v>
      </c>
      <c r="B492" s="5">
        <v>2921411000</v>
      </c>
      <c r="C492" s="5" t="s">
        <v>293</v>
      </c>
      <c r="D492" s="6">
        <v>1869.5</v>
      </c>
      <c r="E492" s="6">
        <v>4243.2</v>
      </c>
      <c r="F492" s="7">
        <f t="shared" si="7"/>
        <v>2373.6999999999998</v>
      </c>
      <c r="G492" t="str">
        <f>IF(표1[[#This Row],[diff]]&gt;0,"import","export")</f>
        <v>import</v>
      </c>
      <c r="H492" s="15">
        <f>ABS(표1[[#This Row],[export]]-표1[[#This Row],[import]])/(표1[[#This Row],[export]]+표1[[#This Row],[import]])</f>
        <v>0.38832267246879448</v>
      </c>
    </row>
    <row r="493" spans="1:8" x14ac:dyDescent="0.3">
      <c r="A493" s="5">
        <v>2021</v>
      </c>
      <c r="B493" s="5">
        <v>2921411000</v>
      </c>
      <c r="C493" s="5" t="s">
        <v>293</v>
      </c>
      <c r="D493" s="5">
        <v>689.8</v>
      </c>
      <c r="E493" s="6">
        <v>9977.7000000000007</v>
      </c>
      <c r="F493" s="7">
        <f t="shared" si="7"/>
        <v>9287.9000000000015</v>
      </c>
      <c r="G493" t="str">
        <f>IF(표1[[#This Row],[diff]]&gt;0,"import","export")</f>
        <v>import</v>
      </c>
      <c r="H493" s="15">
        <f>ABS(표1[[#This Row],[export]]-표1[[#This Row],[import]])/(표1[[#This Row],[export]]+표1[[#This Row],[import]])</f>
        <v>0.87067260370283583</v>
      </c>
    </row>
    <row r="494" spans="1:8" x14ac:dyDescent="0.3">
      <c r="A494" s="5">
        <v>2022</v>
      </c>
      <c r="B494" s="5">
        <v>2921411000</v>
      </c>
      <c r="C494" s="5" t="s">
        <v>293</v>
      </c>
      <c r="D494" s="5">
        <v>269</v>
      </c>
      <c r="E494" s="6">
        <v>7239.4</v>
      </c>
      <c r="F494" s="7">
        <f t="shared" si="7"/>
        <v>6970.4</v>
      </c>
      <c r="G494" t="str">
        <f>IF(표1[[#This Row],[diff]]&gt;0,"import","export")</f>
        <v>import</v>
      </c>
      <c r="H494" s="15">
        <f>ABS(표1[[#This Row],[export]]-표1[[#This Row],[import]])/(표1[[#This Row],[export]]+표1[[#This Row],[import]])</f>
        <v>0.92834691811837411</v>
      </c>
    </row>
    <row r="495" spans="1:8" x14ac:dyDescent="0.3">
      <c r="A495" s="5">
        <v>2023</v>
      </c>
      <c r="B495" s="5">
        <v>2921411000</v>
      </c>
      <c r="C495" s="5" t="s">
        <v>293</v>
      </c>
      <c r="D495" s="5">
        <v>90.4</v>
      </c>
      <c r="E495" s="6">
        <v>3300</v>
      </c>
      <c r="F495" s="7">
        <f t="shared" si="7"/>
        <v>3209.6</v>
      </c>
      <c r="G495" t="str">
        <f>IF(표1[[#This Row],[diff]]&gt;0,"import","export")</f>
        <v>import</v>
      </c>
      <c r="H495" s="15">
        <f>ABS(표1[[#This Row],[export]]-표1[[#This Row],[import]])/(표1[[#This Row],[export]]+표1[[#This Row],[import]])</f>
        <v>0.94667295894289749</v>
      </c>
    </row>
    <row r="496" spans="1:8" x14ac:dyDescent="0.3">
      <c r="A496" s="5">
        <v>2024</v>
      </c>
      <c r="B496" s="5">
        <v>2921411000</v>
      </c>
      <c r="C496" s="5" t="s">
        <v>293</v>
      </c>
      <c r="D496" s="5">
        <v>0.1</v>
      </c>
      <c r="E496" s="6">
        <v>15209</v>
      </c>
      <c r="F496" s="7">
        <f t="shared" si="7"/>
        <v>15208.9</v>
      </c>
      <c r="G496" t="str">
        <f>IF(표1[[#This Row],[diff]]&gt;0,"import","export")</f>
        <v>import</v>
      </c>
      <c r="H496" s="15">
        <f>ABS(표1[[#This Row],[export]]-표1[[#This Row],[import]])/(표1[[#This Row],[export]]+표1[[#This Row],[import]])</f>
        <v>0.99998684997797371</v>
      </c>
    </row>
    <row r="497" spans="1:8" x14ac:dyDescent="0.3">
      <c r="A497" s="5">
        <v>2025</v>
      </c>
      <c r="B497" s="5">
        <v>2921411000</v>
      </c>
      <c r="C497" s="5" t="s">
        <v>293</v>
      </c>
      <c r="D497" s="6">
        <v>1985.8</v>
      </c>
      <c r="E497" s="6">
        <v>5786.2</v>
      </c>
      <c r="F497" s="7">
        <f t="shared" si="7"/>
        <v>3800.3999999999996</v>
      </c>
      <c r="G497" t="str">
        <f>IF(표1[[#This Row],[diff]]&gt;0,"import","export")</f>
        <v>import</v>
      </c>
      <c r="H497" s="15">
        <f>ABS(표1[[#This Row],[export]]-표1[[#This Row],[import]])/(표1[[#This Row],[export]]+표1[[#This Row],[import]])</f>
        <v>0.48898610396294384</v>
      </c>
    </row>
    <row r="498" spans="1:8" x14ac:dyDescent="0.3">
      <c r="A498" s="5">
        <v>2016</v>
      </c>
      <c r="B498" s="5">
        <v>2922111000</v>
      </c>
      <c r="C498" s="5" t="s">
        <v>294</v>
      </c>
      <c r="D498" s="6">
        <v>1433.5</v>
      </c>
      <c r="E498" s="6">
        <v>3728.2</v>
      </c>
      <c r="F498" s="7">
        <f t="shared" si="7"/>
        <v>2294.6999999999998</v>
      </c>
      <c r="G498" t="str">
        <f>IF(표1[[#This Row],[diff]]&gt;0,"import","export")</f>
        <v>import</v>
      </c>
      <c r="H498" s="15">
        <f>ABS(표1[[#This Row],[export]]-표1[[#This Row],[import]])/(표1[[#This Row],[export]]+표1[[#This Row],[import]])</f>
        <v>0.44456283782474765</v>
      </c>
    </row>
    <row r="499" spans="1:8" x14ac:dyDescent="0.3">
      <c r="A499" s="5">
        <v>2017</v>
      </c>
      <c r="B499" s="5">
        <v>2922111000</v>
      </c>
      <c r="C499" s="5" t="s">
        <v>294</v>
      </c>
      <c r="D499" s="5">
        <v>429</v>
      </c>
      <c r="E499" s="6">
        <v>4901.6000000000004</v>
      </c>
      <c r="F499" s="7">
        <f t="shared" si="7"/>
        <v>4472.6000000000004</v>
      </c>
      <c r="G499" t="str">
        <f>IF(표1[[#This Row],[diff]]&gt;0,"import","export")</f>
        <v>import</v>
      </c>
      <c r="H499" s="15">
        <f>ABS(표1[[#This Row],[export]]-표1[[#This Row],[import]])/(표1[[#This Row],[export]]+표1[[#This Row],[import]])</f>
        <v>0.8390425092860091</v>
      </c>
    </row>
    <row r="500" spans="1:8" x14ac:dyDescent="0.3">
      <c r="A500" s="5">
        <v>2018</v>
      </c>
      <c r="B500" s="5">
        <v>2922111000</v>
      </c>
      <c r="C500" s="5" t="s">
        <v>294</v>
      </c>
      <c r="D500" s="5">
        <v>106.3</v>
      </c>
      <c r="E500" s="6">
        <v>5274.3</v>
      </c>
      <c r="F500" s="7">
        <f t="shared" si="7"/>
        <v>5168</v>
      </c>
      <c r="G500" t="str">
        <f>IF(표1[[#This Row],[diff]]&gt;0,"import","export")</f>
        <v>import</v>
      </c>
      <c r="H500" s="15">
        <f>ABS(표1[[#This Row],[export]]-표1[[#This Row],[import]])/(표1[[#This Row],[export]]+표1[[#This Row],[import]])</f>
        <v>0.96048767795413148</v>
      </c>
    </row>
    <row r="501" spans="1:8" x14ac:dyDescent="0.3">
      <c r="A501" s="5">
        <v>2019</v>
      </c>
      <c r="B501" s="5">
        <v>2922111000</v>
      </c>
      <c r="C501" s="5" t="s">
        <v>294</v>
      </c>
      <c r="D501" s="5">
        <v>346.4</v>
      </c>
      <c r="E501" s="6">
        <v>6934.8</v>
      </c>
      <c r="F501" s="7">
        <f t="shared" si="7"/>
        <v>6588.4000000000005</v>
      </c>
      <c r="G501" t="str">
        <f>IF(표1[[#This Row],[diff]]&gt;0,"import","export")</f>
        <v>import</v>
      </c>
      <c r="H501" s="15">
        <f>ABS(표1[[#This Row],[export]]-표1[[#This Row],[import]])/(표1[[#This Row],[export]]+표1[[#This Row],[import]])</f>
        <v>0.90485084876119326</v>
      </c>
    </row>
    <row r="502" spans="1:8" x14ac:dyDescent="0.3">
      <c r="A502" s="5">
        <v>2020</v>
      </c>
      <c r="B502" s="5">
        <v>2922111000</v>
      </c>
      <c r="C502" s="5" t="s">
        <v>294</v>
      </c>
      <c r="D502" s="5">
        <v>595.4</v>
      </c>
      <c r="E502" s="6">
        <v>6578.3</v>
      </c>
      <c r="F502" s="7">
        <f t="shared" si="7"/>
        <v>5982.9000000000005</v>
      </c>
      <c r="G502" t="str">
        <f>IF(표1[[#This Row],[diff]]&gt;0,"import","export")</f>
        <v>import</v>
      </c>
      <c r="H502" s="15">
        <f>ABS(표1[[#This Row],[export]]-표1[[#This Row],[import]])/(표1[[#This Row],[export]]+표1[[#This Row],[import]])</f>
        <v>0.83400476741430518</v>
      </c>
    </row>
    <row r="503" spans="1:8" x14ac:dyDescent="0.3">
      <c r="A503" s="5">
        <v>2021</v>
      </c>
      <c r="B503" s="5">
        <v>2922111000</v>
      </c>
      <c r="C503" s="5" t="s">
        <v>294</v>
      </c>
      <c r="D503" s="5">
        <v>676.6</v>
      </c>
      <c r="E503" s="6">
        <v>7180.1</v>
      </c>
      <c r="F503" s="7">
        <f t="shared" si="7"/>
        <v>6503.5</v>
      </c>
      <c r="G503" t="str">
        <f>IF(표1[[#This Row],[diff]]&gt;0,"import","export")</f>
        <v>import</v>
      </c>
      <c r="H503" s="15">
        <f>ABS(표1[[#This Row],[export]]-표1[[#This Row],[import]])/(표1[[#This Row],[export]]+표1[[#This Row],[import]])</f>
        <v>0.82776483765448594</v>
      </c>
    </row>
    <row r="504" spans="1:8" x14ac:dyDescent="0.3">
      <c r="A504" s="5">
        <v>2022</v>
      </c>
      <c r="B504" s="5">
        <v>2922111000</v>
      </c>
      <c r="C504" s="5" t="s">
        <v>294</v>
      </c>
      <c r="D504" s="5">
        <v>976</v>
      </c>
      <c r="E504" s="6">
        <v>9073.7999999999993</v>
      </c>
      <c r="F504" s="7">
        <f t="shared" si="7"/>
        <v>8097.7999999999993</v>
      </c>
      <c r="G504" t="str">
        <f>IF(표1[[#This Row],[diff]]&gt;0,"import","export")</f>
        <v>import</v>
      </c>
      <c r="H504" s="15">
        <f>ABS(표1[[#This Row],[export]]-표1[[#This Row],[import]])/(표1[[#This Row],[export]]+표1[[#This Row],[import]])</f>
        <v>0.80576727895082489</v>
      </c>
    </row>
    <row r="505" spans="1:8" x14ac:dyDescent="0.3">
      <c r="A505" s="5">
        <v>2023</v>
      </c>
      <c r="B505" s="5">
        <v>2922111000</v>
      </c>
      <c r="C505" s="5" t="s">
        <v>294</v>
      </c>
      <c r="D505" s="6">
        <v>2009.7</v>
      </c>
      <c r="E505" s="6">
        <v>6580.8</v>
      </c>
      <c r="F505" s="7">
        <f t="shared" si="7"/>
        <v>4571.1000000000004</v>
      </c>
      <c r="G505" t="str">
        <f>IF(표1[[#This Row],[diff]]&gt;0,"import","export")</f>
        <v>import</v>
      </c>
      <c r="H505" s="15">
        <f>ABS(표1[[#This Row],[export]]-표1[[#This Row],[import]])/(표1[[#This Row],[export]]+표1[[#This Row],[import]])</f>
        <v>0.53211105290728133</v>
      </c>
    </row>
    <row r="506" spans="1:8" x14ac:dyDescent="0.3">
      <c r="A506" s="5">
        <v>2024</v>
      </c>
      <c r="B506" s="5">
        <v>2922111000</v>
      </c>
      <c r="C506" s="5" t="s">
        <v>294</v>
      </c>
      <c r="D506" s="6">
        <v>1692.1</v>
      </c>
      <c r="E506" s="6">
        <v>7347.1</v>
      </c>
      <c r="F506" s="7">
        <f t="shared" si="7"/>
        <v>5655</v>
      </c>
      <c r="G506" t="str">
        <f>IF(표1[[#This Row],[diff]]&gt;0,"import","export")</f>
        <v>import</v>
      </c>
      <c r="H506" s="15">
        <f>ABS(표1[[#This Row],[export]]-표1[[#This Row],[import]])/(표1[[#This Row],[export]]+표1[[#This Row],[import]])</f>
        <v>0.62560846092574562</v>
      </c>
    </row>
    <row r="507" spans="1:8" x14ac:dyDescent="0.3">
      <c r="A507" s="5">
        <v>2025</v>
      </c>
      <c r="B507" s="5">
        <v>2922111000</v>
      </c>
      <c r="C507" s="5" t="s">
        <v>294</v>
      </c>
      <c r="D507" s="6">
        <v>1150.0999999999999</v>
      </c>
      <c r="E507" s="6">
        <v>8056.1</v>
      </c>
      <c r="F507" s="7">
        <f t="shared" si="7"/>
        <v>6906</v>
      </c>
      <c r="G507" t="str">
        <f>IF(표1[[#This Row],[diff]]&gt;0,"import","export")</f>
        <v>import</v>
      </c>
      <c r="H507" s="15">
        <f>ABS(표1[[#This Row],[export]]-표1[[#This Row],[import]])/(표1[[#This Row],[export]]+표1[[#This Row],[import]])</f>
        <v>0.75014664030761868</v>
      </c>
    </row>
    <row r="508" spans="1:8" x14ac:dyDescent="0.3">
      <c r="A508" s="5">
        <v>2016</v>
      </c>
      <c r="B508" s="5">
        <v>2922121000</v>
      </c>
      <c r="C508" s="5" t="s">
        <v>295</v>
      </c>
      <c r="D508" s="5">
        <v>812.5</v>
      </c>
      <c r="E508" s="6">
        <v>2481.8000000000002</v>
      </c>
      <c r="F508" s="7">
        <f t="shared" si="7"/>
        <v>1669.3000000000002</v>
      </c>
      <c r="G508" t="str">
        <f>IF(표1[[#This Row],[diff]]&gt;0,"import","export")</f>
        <v>import</v>
      </c>
      <c r="H508" s="15">
        <f>ABS(표1[[#This Row],[export]]-표1[[#This Row],[import]])/(표1[[#This Row],[export]]+표1[[#This Row],[import]])</f>
        <v>0.50672373493610179</v>
      </c>
    </row>
    <row r="509" spans="1:8" x14ac:dyDescent="0.3">
      <c r="A509" s="5">
        <v>2017</v>
      </c>
      <c r="B509" s="5">
        <v>2922121000</v>
      </c>
      <c r="C509" s="5" t="s">
        <v>295</v>
      </c>
      <c r="D509" s="5">
        <v>442.1</v>
      </c>
      <c r="E509" s="6">
        <v>2513</v>
      </c>
      <c r="F509" s="7">
        <f t="shared" si="7"/>
        <v>2070.9</v>
      </c>
      <c r="G509" t="str">
        <f>IF(표1[[#This Row],[diff]]&gt;0,"import","export")</f>
        <v>import</v>
      </c>
      <c r="H509" s="15">
        <f>ABS(표1[[#This Row],[export]]-표1[[#This Row],[import]])/(표1[[#This Row],[export]]+표1[[#This Row],[import]])</f>
        <v>0.7007884673953505</v>
      </c>
    </row>
    <row r="510" spans="1:8" x14ac:dyDescent="0.3">
      <c r="A510" s="5">
        <v>2018</v>
      </c>
      <c r="B510" s="5">
        <v>2922121000</v>
      </c>
      <c r="C510" s="5" t="s">
        <v>295</v>
      </c>
      <c r="D510" s="5">
        <v>228.4</v>
      </c>
      <c r="E510" s="6">
        <v>2800.3</v>
      </c>
      <c r="F510" s="7">
        <f t="shared" si="7"/>
        <v>2571.9</v>
      </c>
      <c r="G510" t="str">
        <f>IF(표1[[#This Row],[diff]]&gt;0,"import","export")</f>
        <v>import</v>
      </c>
      <c r="H510" s="15">
        <f>ABS(표1[[#This Row],[export]]-표1[[#This Row],[import]])/(표1[[#This Row],[export]]+표1[[#This Row],[import]])</f>
        <v>0.84917621421732092</v>
      </c>
    </row>
    <row r="511" spans="1:8" x14ac:dyDescent="0.3">
      <c r="A511" s="5">
        <v>2019</v>
      </c>
      <c r="B511" s="5">
        <v>2922121000</v>
      </c>
      <c r="C511" s="5" t="s">
        <v>295</v>
      </c>
      <c r="D511" s="5">
        <v>331.9</v>
      </c>
      <c r="E511" s="6">
        <v>3476</v>
      </c>
      <c r="F511" s="7">
        <f t="shared" si="7"/>
        <v>3144.1</v>
      </c>
      <c r="G511" t="str">
        <f>IF(표1[[#This Row],[diff]]&gt;0,"import","export")</f>
        <v>import</v>
      </c>
      <c r="H511" s="15">
        <f>ABS(표1[[#This Row],[export]]-표1[[#This Row],[import]])/(표1[[#This Row],[export]]+표1[[#This Row],[import]])</f>
        <v>0.8256781953307597</v>
      </c>
    </row>
    <row r="512" spans="1:8" x14ac:dyDescent="0.3">
      <c r="A512" s="5">
        <v>2020</v>
      </c>
      <c r="B512" s="5">
        <v>2922121000</v>
      </c>
      <c r="C512" s="5" t="s">
        <v>295</v>
      </c>
      <c r="D512" s="6">
        <v>1239</v>
      </c>
      <c r="E512" s="6">
        <v>3223.4</v>
      </c>
      <c r="F512" s="7">
        <f t="shared" si="7"/>
        <v>1984.4</v>
      </c>
      <c r="G512" t="str">
        <f>IF(표1[[#This Row],[diff]]&gt;0,"import","export")</f>
        <v>import</v>
      </c>
      <c r="H512" s="15">
        <f>ABS(표1[[#This Row],[export]]-표1[[#This Row],[import]])/(표1[[#This Row],[export]]+표1[[#This Row],[import]])</f>
        <v>0.44469343850842602</v>
      </c>
    </row>
    <row r="513" spans="1:8" x14ac:dyDescent="0.3">
      <c r="A513" s="5">
        <v>2021</v>
      </c>
      <c r="B513" s="5">
        <v>2922121000</v>
      </c>
      <c r="C513" s="5" t="s">
        <v>295</v>
      </c>
      <c r="D513" s="6">
        <v>1154.7</v>
      </c>
      <c r="E513" s="6">
        <v>3971.7</v>
      </c>
      <c r="F513" s="7">
        <f t="shared" si="7"/>
        <v>2817</v>
      </c>
      <c r="G513" t="str">
        <f>IF(표1[[#This Row],[diff]]&gt;0,"import","export")</f>
        <v>import</v>
      </c>
      <c r="H513" s="15">
        <f>ABS(표1[[#This Row],[export]]-표1[[#This Row],[import]])/(표1[[#This Row],[export]]+표1[[#This Row],[import]])</f>
        <v>0.54950842696629221</v>
      </c>
    </row>
    <row r="514" spans="1:8" x14ac:dyDescent="0.3">
      <c r="A514" s="5">
        <v>2022</v>
      </c>
      <c r="B514" s="5">
        <v>2922121000</v>
      </c>
      <c r="C514" s="5" t="s">
        <v>295</v>
      </c>
      <c r="D514" s="5">
        <v>763.9</v>
      </c>
      <c r="E514" s="6">
        <v>3139.9</v>
      </c>
      <c r="F514" s="7">
        <f t="shared" ref="F514:F577" si="8">E514-D514</f>
        <v>2376</v>
      </c>
      <c r="G514" t="str">
        <f>IF(표1[[#This Row],[diff]]&gt;0,"import","export")</f>
        <v>import</v>
      </c>
      <c r="H514" s="15">
        <f>ABS(표1[[#This Row],[export]]-표1[[#This Row],[import]])/(표1[[#This Row],[export]]+표1[[#This Row],[import]])</f>
        <v>0.60863773758901585</v>
      </c>
    </row>
    <row r="515" spans="1:8" x14ac:dyDescent="0.3">
      <c r="A515" s="5">
        <v>2023</v>
      </c>
      <c r="B515" s="5">
        <v>2922121000</v>
      </c>
      <c r="C515" s="5" t="s">
        <v>295</v>
      </c>
      <c r="D515" s="5">
        <v>825.2</v>
      </c>
      <c r="E515" s="6">
        <v>4850.7</v>
      </c>
      <c r="F515" s="7">
        <f t="shared" si="8"/>
        <v>4025.5</v>
      </c>
      <c r="G515" t="str">
        <f>IF(표1[[#This Row],[diff]]&gt;0,"import","export")</f>
        <v>import</v>
      </c>
      <c r="H515" s="15">
        <f>ABS(표1[[#This Row],[export]]-표1[[#This Row],[import]])/(표1[[#This Row],[export]]+표1[[#This Row],[import]])</f>
        <v>0.70922673056255403</v>
      </c>
    </row>
    <row r="516" spans="1:8" x14ac:dyDescent="0.3">
      <c r="A516" s="5">
        <v>2024</v>
      </c>
      <c r="B516" s="5">
        <v>2922121000</v>
      </c>
      <c r="C516" s="5" t="s">
        <v>295</v>
      </c>
      <c r="D516" s="6">
        <v>1340.8</v>
      </c>
      <c r="E516" s="6">
        <v>3891.1</v>
      </c>
      <c r="F516" s="7">
        <f t="shared" si="8"/>
        <v>2550.3000000000002</v>
      </c>
      <c r="G516" t="str">
        <f>IF(표1[[#This Row],[diff]]&gt;0,"import","export")</f>
        <v>import</v>
      </c>
      <c r="H516" s="15">
        <f>ABS(표1[[#This Row],[export]]-표1[[#This Row],[import]])/(표1[[#This Row],[export]]+표1[[#This Row],[import]])</f>
        <v>0.48745197729314405</v>
      </c>
    </row>
    <row r="517" spans="1:8" x14ac:dyDescent="0.3">
      <c r="A517" s="5">
        <v>2025</v>
      </c>
      <c r="B517" s="5">
        <v>2922121000</v>
      </c>
      <c r="C517" s="5" t="s">
        <v>295</v>
      </c>
      <c r="D517" s="5">
        <v>746.3</v>
      </c>
      <c r="E517" s="6">
        <v>3625.5</v>
      </c>
      <c r="F517" s="7">
        <f t="shared" si="8"/>
        <v>2879.2</v>
      </c>
      <c r="G517" t="str">
        <f>IF(표1[[#This Row],[diff]]&gt;0,"import","export")</f>
        <v>import</v>
      </c>
      <c r="H517" s="15">
        <f>ABS(표1[[#This Row],[export]]-표1[[#This Row],[import]])/(표1[[#This Row],[export]]+표1[[#This Row],[import]])</f>
        <v>0.658584564710188</v>
      </c>
    </row>
    <row r="518" spans="1:8" x14ac:dyDescent="0.3">
      <c r="A518" s="5">
        <v>2017</v>
      </c>
      <c r="B518" s="5">
        <v>2922150000</v>
      </c>
      <c r="C518" s="5" t="s">
        <v>296</v>
      </c>
      <c r="D518" s="6">
        <v>1110</v>
      </c>
      <c r="E518" s="6">
        <v>7909.9</v>
      </c>
      <c r="F518" s="7">
        <f t="shared" si="8"/>
        <v>6799.9</v>
      </c>
      <c r="G518" t="str">
        <f>IF(표1[[#This Row],[diff]]&gt;0,"import","export")</f>
        <v>import</v>
      </c>
      <c r="H518" s="15">
        <f>ABS(표1[[#This Row],[export]]-표1[[#This Row],[import]])/(표1[[#This Row],[export]]+표1[[#This Row],[import]])</f>
        <v>0.75387753744498276</v>
      </c>
    </row>
    <row r="519" spans="1:8" x14ac:dyDescent="0.3">
      <c r="A519" s="5">
        <v>2018</v>
      </c>
      <c r="B519" s="5">
        <v>2922150000</v>
      </c>
      <c r="C519" s="5" t="s">
        <v>296</v>
      </c>
      <c r="D519" s="5">
        <v>913.1</v>
      </c>
      <c r="E519" s="6">
        <v>7557.1</v>
      </c>
      <c r="F519" s="7">
        <f t="shared" si="8"/>
        <v>6644</v>
      </c>
      <c r="G519" t="str">
        <f>IF(표1[[#This Row],[diff]]&gt;0,"import","export")</f>
        <v>import</v>
      </c>
      <c r="H519" s="15">
        <f>ABS(표1[[#This Row],[export]]-표1[[#This Row],[import]])/(표1[[#This Row],[export]]+표1[[#This Row],[import]])</f>
        <v>0.7843970626431489</v>
      </c>
    </row>
    <row r="520" spans="1:8" x14ac:dyDescent="0.3">
      <c r="A520" s="5">
        <v>2019</v>
      </c>
      <c r="B520" s="5">
        <v>2922150000</v>
      </c>
      <c r="C520" s="5" t="s">
        <v>296</v>
      </c>
      <c r="D520" s="5">
        <v>718.2</v>
      </c>
      <c r="E520" s="6">
        <v>9925.2000000000007</v>
      </c>
      <c r="F520" s="7">
        <f t="shared" si="8"/>
        <v>9207</v>
      </c>
      <c r="G520" t="str">
        <f>IF(표1[[#This Row],[diff]]&gt;0,"import","export")</f>
        <v>import</v>
      </c>
      <c r="H520" s="15">
        <f>ABS(표1[[#This Row],[export]]-표1[[#This Row],[import]])/(표1[[#This Row],[export]]+표1[[#This Row],[import]])</f>
        <v>0.86504312531709782</v>
      </c>
    </row>
    <row r="521" spans="1:8" x14ac:dyDescent="0.3">
      <c r="A521" s="5">
        <v>2020</v>
      </c>
      <c r="B521" s="5">
        <v>2922150000</v>
      </c>
      <c r="C521" s="5" t="s">
        <v>296</v>
      </c>
      <c r="D521" s="6">
        <v>1402.9</v>
      </c>
      <c r="E521" s="6">
        <v>9098.5</v>
      </c>
      <c r="F521" s="7">
        <f t="shared" si="8"/>
        <v>7695.6</v>
      </c>
      <c r="G521" t="str">
        <f>IF(표1[[#This Row],[diff]]&gt;0,"import","export")</f>
        <v>import</v>
      </c>
      <c r="H521" s="15">
        <f>ABS(표1[[#This Row],[export]]-표1[[#This Row],[import]])/(표1[[#This Row],[export]]+표1[[#This Row],[import]])</f>
        <v>0.73281657683737411</v>
      </c>
    </row>
    <row r="522" spans="1:8" x14ac:dyDescent="0.3">
      <c r="A522" s="5">
        <v>2021</v>
      </c>
      <c r="B522" s="5">
        <v>2922150000</v>
      </c>
      <c r="C522" s="5" t="s">
        <v>296</v>
      </c>
      <c r="D522" s="6">
        <v>1664.7</v>
      </c>
      <c r="E522" s="6">
        <v>9986.7999999999993</v>
      </c>
      <c r="F522" s="7">
        <f t="shared" si="8"/>
        <v>8322.0999999999985</v>
      </c>
      <c r="G522" t="str">
        <f>IF(표1[[#This Row],[diff]]&gt;0,"import","export")</f>
        <v>import</v>
      </c>
      <c r="H522" s="15">
        <f>ABS(표1[[#This Row],[export]]-표1[[#This Row],[import]])/(표1[[#This Row],[export]]+표1[[#This Row],[import]])</f>
        <v>0.71425138394198162</v>
      </c>
    </row>
    <row r="523" spans="1:8" x14ac:dyDescent="0.3">
      <c r="A523" s="5">
        <v>2022</v>
      </c>
      <c r="B523" s="5">
        <v>2922150000</v>
      </c>
      <c r="C523" s="5" t="s">
        <v>296</v>
      </c>
      <c r="D523" s="6">
        <v>1600.7</v>
      </c>
      <c r="E523" s="6">
        <v>9570.7000000000007</v>
      </c>
      <c r="F523" s="7">
        <f t="shared" si="8"/>
        <v>7970.0000000000009</v>
      </c>
      <c r="G523" t="str">
        <f>IF(표1[[#This Row],[diff]]&gt;0,"import","export")</f>
        <v>import</v>
      </c>
      <c r="H523" s="15">
        <f>ABS(표1[[#This Row],[export]]-표1[[#This Row],[import]])/(표1[[#This Row],[export]]+표1[[#This Row],[import]])</f>
        <v>0.71342893460085577</v>
      </c>
    </row>
    <row r="524" spans="1:8" x14ac:dyDescent="0.3">
      <c r="A524" s="5">
        <v>2023</v>
      </c>
      <c r="B524" s="5">
        <v>2922150000</v>
      </c>
      <c r="C524" s="5" t="s">
        <v>296</v>
      </c>
      <c r="D524" s="6">
        <v>1559</v>
      </c>
      <c r="E524" s="6">
        <v>10525.8</v>
      </c>
      <c r="F524" s="7">
        <f t="shared" si="8"/>
        <v>8966.7999999999993</v>
      </c>
      <c r="G524" t="str">
        <f>IF(표1[[#This Row],[diff]]&gt;0,"import","export")</f>
        <v>import</v>
      </c>
      <c r="H524" s="15">
        <f>ABS(표1[[#This Row],[export]]-표1[[#This Row],[import]])/(표1[[#This Row],[export]]+표1[[#This Row],[import]])</f>
        <v>0.74198993777307032</v>
      </c>
    </row>
    <row r="525" spans="1:8" x14ac:dyDescent="0.3">
      <c r="A525" s="5">
        <v>2024</v>
      </c>
      <c r="B525" s="5">
        <v>2922150000</v>
      </c>
      <c r="C525" s="5" t="s">
        <v>296</v>
      </c>
      <c r="D525" s="6">
        <v>2763.8</v>
      </c>
      <c r="E525" s="6">
        <v>10779.6</v>
      </c>
      <c r="F525" s="7">
        <f t="shared" si="8"/>
        <v>8015.8</v>
      </c>
      <c r="G525" t="str">
        <f>IF(표1[[#This Row],[diff]]&gt;0,"import","export")</f>
        <v>import</v>
      </c>
      <c r="H525" s="15">
        <f>ABS(표1[[#This Row],[export]]-표1[[#This Row],[import]])/(표1[[#This Row],[export]]+표1[[#This Row],[import]])</f>
        <v>0.59186024188903819</v>
      </c>
    </row>
    <row r="526" spans="1:8" x14ac:dyDescent="0.3">
      <c r="A526" s="5">
        <v>2025</v>
      </c>
      <c r="B526" s="5">
        <v>2922150000</v>
      </c>
      <c r="C526" s="5" t="s">
        <v>296</v>
      </c>
      <c r="D526" s="6">
        <v>2398.1</v>
      </c>
      <c r="E526" s="6">
        <v>12068.7</v>
      </c>
      <c r="F526" s="7">
        <f t="shared" si="8"/>
        <v>9670.6</v>
      </c>
      <c r="G526" t="str">
        <f>IF(표1[[#This Row],[diff]]&gt;0,"import","export")</f>
        <v>import</v>
      </c>
      <c r="H526" s="15">
        <f>ABS(표1[[#This Row],[export]]-표1[[#This Row],[import]])/(표1[[#This Row],[export]]+표1[[#This Row],[import]])</f>
        <v>0.66846849337794123</v>
      </c>
    </row>
    <row r="527" spans="1:8" x14ac:dyDescent="0.3">
      <c r="A527" s="5">
        <v>2016</v>
      </c>
      <c r="B527" s="5">
        <v>2926100000</v>
      </c>
      <c r="C527" s="5" t="s">
        <v>297</v>
      </c>
      <c r="D527" s="6">
        <v>240908.79999999999</v>
      </c>
      <c r="E527" s="6">
        <v>134577.4</v>
      </c>
      <c r="F527" s="7">
        <f t="shared" si="8"/>
        <v>-106331.4</v>
      </c>
      <c r="G527" t="str">
        <f>IF(표1[[#This Row],[diff]]&gt;0,"import","export")</f>
        <v>export</v>
      </c>
      <c r="H527" s="15">
        <f>ABS(표1[[#This Row],[export]]-표1[[#This Row],[import]])/(표1[[#This Row],[export]]+표1[[#This Row],[import]])</f>
        <v>0.28318324348537977</v>
      </c>
    </row>
    <row r="528" spans="1:8" x14ac:dyDescent="0.3">
      <c r="A528" s="5">
        <v>2017</v>
      </c>
      <c r="B528" s="5">
        <v>2926100000</v>
      </c>
      <c r="C528" s="5" t="s">
        <v>297</v>
      </c>
      <c r="D528" s="6">
        <v>270592.40000000002</v>
      </c>
      <c r="E528" s="6">
        <v>150867.5</v>
      </c>
      <c r="F528" s="7">
        <f t="shared" si="8"/>
        <v>-119724.90000000002</v>
      </c>
      <c r="G528" t="str">
        <f>IF(표1[[#This Row],[diff]]&gt;0,"import","export")</f>
        <v>export</v>
      </c>
      <c r="H528" s="15">
        <f>ABS(표1[[#This Row],[export]]-표1[[#This Row],[import]])/(표1[[#This Row],[export]]+표1[[#This Row],[import]])</f>
        <v>0.28407186543725754</v>
      </c>
    </row>
    <row r="529" spans="1:8" x14ac:dyDescent="0.3">
      <c r="A529" s="5">
        <v>2018</v>
      </c>
      <c r="B529" s="5">
        <v>2926100000</v>
      </c>
      <c r="C529" s="5" t="s">
        <v>297</v>
      </c>
      <c r="D529" s="6">
        <v>231476.4</v>
      </c>
      <c r="E529" s="6">
        <v>169131.8</v>
      </c>
      <c r="F529" s="7">
        <f t="shared" si="8"/>
        <v>-62344.600000000006</v>
      </c>
      <c r="G529" t="str">
        <f>IF(표1[[#This Row],[diff]]&gt;0,"import","export")</f>
        <v>export</v>
      </c>
      <c r="H529" s="15">
        <f>ABS(표1[[#This Row],[export]]-표1[[#This Row],[import]])/(표1[[#This Row],[export]]+표1[[#This Row],[import]])</f>
        <v>0.15562487238154391</v>
      </c>
    </row>
    <row r="530" spans="1:8" x14ac:dyDescent="0.3">
      <c r="A530" s="5">
        <v>2019</v>
      </c>
      <c r="B530" s="5">
        <v>2926100000</v>
      </c>
      <c r="C530" s="5" t="s">
        <v>297</v>
      </c>
      <c r="D530" s="6">
        <v>248913.3</v>
      </c>
      <c r="E530" s="6">
        <v>165629</v>
      </c>
      <c r="F530" s="7">
        <f t="shared" si="8"/>
        <v>-83284.299999999988</v>
      </c>
      <c r="G530" t="str">
        <f>IF(표1[[#This Row],[diff]]&gt;0,"import","export")</f>
        <v>export</v>
      </c>
      <c r="H530" s="15">
        <f>ABS(표1[[#This Row],[export]]-표1[[#This Row],[import]])/(표1[[#This Row],[export]]+표1[[#This Row],[import]])</f>
        <v>0.20090663847814805</v>
      </c>
    </row>
    <row r="531" spans="1:8" x14ac:dyDescent="0.3">
      <c r="A531" s="5">
        <v>2020</v>
      </c>
      <c r="B531" s="5">
        <v>2926100000</v>
      </c>
      <c r="C531" s="5" t="s">
        <v>297</v>
      </c>
      <c r="D531" s="6">
        <v>204289.3</v>
      </c>
      <c r="E531" s="6">
        <v>187214</v>
      </c>
      <c r="F531" s="7">
        <f t="shared" si="8"/>
        <v>-17075.299999999988</v>
      </c>
      <c r="G531" t="str">
        <f>IF(표1[[#This Row],[diff]]&gt;0,"import","export")</f>
        <v>export</v>
      </c>
      <c r="H531" s="15">
        <f>ABS(표1[[#This Row],[export]]-표1[[#This Row],[import]])/(표1[[#This Row],[export]]+표1[[#This Row],[import]])</f>
        <v>4.3614702609147842E-2</v>
      </c>
    </row>
    <row r="532" spans="1:8" x14ac:dyDescent="0.3">
      <c r="A532" s="5">
        <v>2021</v>
      </c>
      <c r="B532" s="5">
        <v>2926100000</v>
      </c>
      <c r="C532" s="5" t="s">
        <v>297</v>
      </c>
      <c r="D532" s="6">
        <v>262081.9</v>
      </c>
      <c r="E532" s="6">
        <v>216038.7</v>
      </c>
      <c r="F532" s="7">
        <f t="shared" si="8"/>
        <v>-46043.199999999983</v>
      </c>
      <c r="G532" t="str">
        <f>IF(표1[[#This Row],[diff]]&gt;0,"import","export")</f>
        <v>export</v>
      </c>
      <c r="H532" s="15">
        <f>ABS(표1[[#This Row],[export]]-표1[[#This Row],[import]])/(표1[[#This Row],[export]]+표1[[#This Row],[import]])</f>
        <v>9.6300389483322799E-2</v>
      </c>
    </row>
    <row r="533" spans="1:8" x14ac:dyDescent="0.3">
      <c r="A533" s="5">
        <v>2022</v>
      </c>
      <c r="B533" s="5">
        <v>2926100000</v>
      </c>
      <c r="C533" s="5" t="s">
        <v>297</v>
      </c>
      <c r="D533" s="6">
        <v>235488.6</v>
      </c>
      <c r="E533" s="6">
        <v>173566.5</v>
      </c>
      <c r="F533" s="7">
        <f t="shared" si="8"/>
        <v>-61922.100000000006</v>
      </c>
      <c r="G533" t="str">
        <f>IF(표1[[#This Row],[diff]]&gt;0,"import","export")</f>
        <v>export</v>
      </c>
      <c r="H533" s="15">
        <f>ABS(표1[[#This Row],[export]]-표1[[#This Row],[import]])/(표1[[#This Row],[export]]+표1[[#This Row],[import]])</f>
        <v>0.15137838398787842</v>
      </c>
    </row>
    <row r="534" spans="1:8" x14ac:dyDescent="0.3">
      <c r="A534" s="5">
        <v>2023</v>
      </c>
      <c r="B534" s="5">
        <v>2926100000</v>
      </c>
      <c r="C534" s="5" t="s">
        <v>297</v>
      </c>
      <c r="D534" s="6">
        <v>193095.8</v>
      </c>
      <c r="E534" s="6">
        <v>167596.4</v>
      </c>
      <c r="F534" s="7">
        <f t="shared" si="8"/>
        <v>-25499.399999999994</v>
      </c>
      <c r="G534" t="str">
        <f>IF(표1[[#This Row],[diff]]&gt;0,"import","export")</f>
        <v>export</v>
      </c>
      <c r="H534" s="15">
        <f>ABS(표1[[#This Row],[export]]-표1[[#This Row],[import]])/(표1[[#This Row],[export]]+표1[[#This Row],[import]])</f>
        <v>7.069573447942594E-2</v>
      </c>
    </row>
    <row r="535" spans="1:8" x14ac:dyDescent="0.3">
      <c r="A535" s="5">
        <v>2024</v>
      </c>
      <c r="B535" s="5">
        <v>2926100000</v>
      </c>
      <c r="C535" s="5" t="s">
        <v>297</v>
      </c>
      <c r="D535" s="6">
        <v>175916</v>
      </c>
      <c r="E535" s="6">
        <v>184601.7</v>
      </c>
      <c r="F535" s="7">
        <f t="shared" si="8"/>
        <v>8685.7000000000116</v>
      </c>
      <c r="G535" t="str">
        <f>IF(표1[[#This Row],[diff]]&gt;0,"import","export")</f>
        <v>import</v>
      </c>
      <c r="H535" s="15">
        <f>ABS(표1[[#This Row],[export]]-표1[[#This Row],[import]])/(표1[[#This Row],[export]]+표1[[#This Row],[import]])</f>
        <v>2.4092298380911703E-2</v>
      </c>
    </row>
    <row r="536" spans="1:8" x14ac:dyDescent="0.3">
      <c r="A536" s="5">
        <v>2025</v>
      </c>
      <c r="B536" s="5">
        <v>2926100000</v>
      </c>
      <c r="C536" s="5" t="s">
        <v>297</v>
      </c>
      <c r="D536" s="6">
        <v>274022.90000000002</v>
      </c>
      <c r="E536" s="6">
        <v>213741.3</v>
      </c>
      <c r="F536" s="7">
        <f t="shared" si="8"/>
        <v>-60281.600000000035</v>
      </c>
      <c r="G536" t="str">
        <f>IF(표1[[#This Row],[diff]]&gt;0,"import","export")</f>
        <v>export</v>
      </c>
      <c r="H536" s="15">
        <f>ABS(표1[[#This Row],[export]]-표1[[#This Row],[import]])/(표1[[#This Row],[export]]+표1[[#This Row],[import]])</f>
        <v>0.123587585968794</v>
      </c>
    </row>
    <row r="537" spans="1:8" x14ac:dyDescent="0.3">
      <c r="A537" s="5">
        <v>2016</v>
      </c>
      <c r="B537" s="5">
        <v>2929101000</v>
      </c>
      <c r="C537" s="5" t="s">
        <v>298</v>
      </c>
      <c r="D537" s="6">
        <v>264816.7</v>
      </c>
      <c r="E537" s="6">
        <v>1722.2</v>
      </c>
      <c r="F537" s="7">
        <f t="shared" si="8"/>
        <v>-263094.5</v>
      </c>
      <c r="G537" t="str">
        <f>IF(표1[[#This Row],[diff]]&gt;0,"import","export")</f>
        <v>export</v>
      </c>
      <c r="H537" s="15">
        <f>ABS(표1[[#This Row],[export]]-표1[[#This Row],[import]])/(표1[[#This Row],[export]]+표1[[#This Row],[import]])</f>
        <v>0.98707730841539443</v>
      </c>
    </row>
    <row r="538" spans="1:8" x14ac:dyDescent="0.3">
      <c r="A538" s="5">
        <v>2017</v>
      </c>
      <c r="B538" s="5">
        <v>2929101000</v>
      </c>
      <c r="C538" s="5" t="s">
        <v>298</v>
      </c>
      <c r="D538" s="6">
        <v>297926.8</v>
      </c>
      <c r="E538" s="5">
        <v>534.20000000000005</v>
      </c>
      <c r="F538" s="7">
        <f t="shared" si="8"/>
        <v>-297392.59999999998</v>
      </c>
      <c r="G538" t="str">
        <f>IF(표1[[#This Row],[diff]]&gt;0,"import","export")</f>
        <v>export</v>
      </c>
      <c r="H538" s="15">
        <f>ABS(표1[[#This Row],[export]]-표1[[#This Row],[import]])/(표1[[#This Row],[export]]+표1[[#This Row],[import]])</f>
        <v>0.99642030282013383</v>
      </c>
    </row>
    <row r="539" spans="1:8" x14ac:dyDescent="0.3">
      <c r="A539" s="5">
        <v>2018</v>
      </c>
      <c r="B539" s="5">
        <v>2929101000</v>
      </c>
      <c r="C539" s="5" t="s">
        <v>298</v>
      </c>
      <c r="D539" s="6">
        <v>274601.3</v>
      </c>
      <c r="E539" s="6">
        <v>2525.6999999999998</v>
      </c>
      <c r="F539" s="7">
        <f t="shared" si="8"/>
        <v>-272075.59999999998</v>
      </c>
      <c r="G539" t="str">
        <f>IF(표1[[#This Row],[diff]]&gt;0,"import","export")</f>
        <v>export</v>
      </c>
      <c r="H539" s="15">
        <f>ABS(표1[[#This Row],[export]]-표1[[#This Row],[import]])/(표1[[#This Row],[export]]+표1[[#This Row],[import]])</f>
        <v>0.98177225604145379</v>
      </c>
    </row>
    <row r="540" spans="1:8" x14ac:dyDescent="0.3">
      <c r="A540" s="5">
        <v>2019</v>
      </c>
      <c r="B540" s="5">
        <v>2929101000</v>
      </c>
      <c r="C540" s="5" t="s">
        <v>298</v>
      </c>
      <c r="D540" s="6">
        <v>252735</v>
      </c>
      <c r="E540" s="6">
        <v>7004.7</v>
      </c>
      <c r="F540" s="7">
        <f t="shared" si="8"/>
        <v>-245730.3</v>
      </c>
      <c r="G540" t="str">
        <f>IF(표1[[#This Row],[diff]]&gt;0,"import","export")</f>
        <v>export</v>
      </c>
      <c r="H540" s="15">
        <f>ABS(표1[[#This Row],[export]]-표1[[#This Row],[import]])/(표1[[#This Row],[export]]+표1[[#This Row],[import]])</f>
        <v>0.94606369376725996</v>
      </c>
    </row>
    <row r="541" spans="1:8" x14ac:dyDescent="0.3">
      <c r="A541" s="5">
        <v>2020</v>
      </c>
      <c r="B541" s="5">
        <v>2929101000</v>
      </c>
      <c r="C541" s="5" t="s">
        <v>298</v>
      </c>
      <c r="D541" s="6">
        <v>211185.4</v>
      </c>
      <c r="E541" s="6">
        <v>2706.1</v>
      </c>
      <c r="F541" s="7">
        <f t="shared" si="8"/>
        <v>-208479.3</v>
      </c>
      <c r="G541" t="str">
        <f>IF(표1[[#This Row],[diff]]&gt;0,"import","export")</f>
        <v>export</v>
      </c>
      <c r="H541" s="15">
        <f>ABS(표1[[#This Row],[export]]-표1[[#This Row],[import]])/(표1[[#This Row],[export]]+표1[[#This Row],[import]])</f>
        <v>0.97469651669187407</v>
      </c>
    </row>
    <row r="542" spans="1:8" x14ac:dyDescent="0.3">
      <c r="A542" s="5">
        <v>2021</v>
      </c>
      <c r="B542" s="5">
        <v>2929101000</v>
      </c>
      <c r="C542" s="5" t="s">
        <v>298</v>
      </c>
      <c r="D542" s="6">
        <v>233260.9</v>
      </c>
      <c r="E542" s="6">
        <v>2153.1</v>
      </c>
      <c r="F542" s="7">
        <f t="shared" si="8"/>
        <v>-231107.8</v>
      </c>
      <c r="G542" t="str">
        <f>IF(표1[[#This Row],[diff]]&gt;0,"import","export")</f>
        <v>export</v>
      </c>
      <c r="H542" s="15">
        <f>ABS(표1[[#This Row],[export]]-표1[[#This Row],[import]])/(표1[[#This Row],[export]]+표1[[#This Row],[import]])</f>
        <v>0.98170796978939223</v>
      </c>
    </row>
    <row r="543" spans="1:8" x14ac:dyDescent="0.3">
      <c r="A543" s="5">
        <v>2022</v>
      </c>
      <c r="B543" s="5">
        <v>2929101000</v>
      </c>
      <c r="C543" s="5" t="s">
        <v>298</v>
      </c>
      <c r="D543" s="6">
        <v>247489.8</v>
      </c>
      <c r="E543" s="6">
        <v>1493.7</v>
      </c>
      <c r="F543" s="7">
        <f t="shared" si="8"/>
        <v>-245996.09999999998</v>
      </c>
      <c r="G543" t="str">
        <f>IF(표1[[#This Row],[diff]]&gt;0,"import","export")</f>
        <v>export</v>
      </c>
      <c r="H543" s="15">
        <f>ABS(표1[[#This Row],[export]]-표1[[#This Row],[import]])/(표1[[#This Row],[export]]+표1[[#This Row],[import]])</f>
        <v>0.9880016145648205</v>
      </c>
    </row>
    <row r="544" spans="1:8" x14ac:dyDescent="0.3">
      <c r="A544" s="5">
        <v>2023</v>
      </c>
      <c r="B544" s="5">
        <v>2929101000</v>
      </c>
      <c r="C544" s="5" t="s">
        <v>298</v>
      </c>
      <c r="D544" s="6">
        <v>296970.90000000002</v>
      </c>
      <c r="E544" s="6">
        <v>2312.3000000000002</v>
      </c>
      <c r="F544" s="7">
        <f t="shared" si="8"/>
        <v>-294658.60000000003</v>
      </c>
      <c r="G544" t="str">
        <f>IF(표1[[#This Row],[diff]]&gt;0,"import","export")</f>
        <v>export</v>
      </c>
      <c r="H544" s="15">
        <f>ABS(표1[[#This Row],[export]]-표1[[#This Row],[import]])/(표1[[#This Row],[export]]+표1[[#This Row],[import]])</f>
        <v>0.98454774608130369</v>
      </c>
    </row>
    <row r="545" spans="1:8" x14ac:dyDescent="0.3">
      <c r="A545" s="5">
        <v>2024</v>
      </c>
      <c r="B545" s="5">
        <v>2929101000</v>
      </c>
      <c r="C545" s="5" t="s">
        <v>298</v>
      </c>
      <c r="D545" s="6">
        <v>300874.09999999998</v>
      </c>
      <c r="E545" s="6">
        <v>2306.5</v>
      </c>
      <c r="F545" s="7">
        <f t="shared" si="8"/>
        <v>-298567.59999999998</v>
      </c>
      <c r="G545" t="str">
        <f>IF(표1[[#This Row],[diff]]&gt;0,"import","export")</f>
        <v>export</v>
      </c>
      <c r="H545" s="15">
        <f>ABS(표1[[#This Row],[export]]-표1[[#This Row],[import]])/(표1[[#This Row],[export]]+표1[[#This Row],[import]])</f>
        <v>0.98478464651102349</v>
      </c>
    </row>
    <row r="546" spans="1:8" x14ac:dyDescent="0.3">
      <c r="A546" s="5">
        <v>2025</v>
      </c>
      <c r="B546" s="5">
        <v>2929101000</v>
      </c>
      <c r="C546" s="5" t="s">
        <v>298</v>
      </c>
      <c r="D546" s="6">
        <v>273663.2</v>
      </c>
      <c r="E546" s="6">
        <v>2725.5</v>
      </c>
      <c r="F546" s="7">
        <f t="shared" si="8"/>
        <v>-270937.7</v>
      </c>
      <c r="G546" t="str">
        <f>IF(표1[[#This Row],[diff]]&gt;0,"import","export")</f>
        <v>export</v>
      </c>
      <c r="H546" s="15">
        <f>ABS(표1[[#This Row],[export]]-표1[[#This Row],[import]])/(표1[[#This Row],[export]]+표1[[#This Row],[import]])</f>
        <v>0.98027777546621842</v>
      </c>
    </row>
    <row r="547" spans="1:8" x14ac:dyDescent="0.3">
      <c r="A547" s="5">
        <v>2016</v>
      </c>
      <c r="B547" s="5">
        <v>2929102000</v>
      </c>
      <c r="C547" s="5" t="s">
        <v>299</v>
      </c>
      <c r="D547" s="6">
        <v>62561</v>
      </c>
      <c r="E547" s="6">
        <v>1427.4</v>
      </c>
      <c r="F547" s="7">
        <f t="shared" si="8"/>
        <v>-61133.599999999999</v>
      </c>
      <c r="G547" t="str">
        <f>IF(표1[[#This Row],[diff]]&gt;0,"import","export")</f>
        <v>export</v>
      </c>
      <c r="H547" s="15">
        <f>ABS(표1[[#This Row],[export]]-표1[[#This Row],[import]])/(표1[[#This Row],[export]]+표1[[#This Row],[import]])</f>
        <v>0.95538566365153677</v>
      </c>
    </row>
    <row r="548" spans="1:8" x14ac:dyDescent="0.3">
      <c r="A548" s="5">
        <v>2017</v>
      </c>
      <c r="B548" s="5">
        <v>2929102000</v>
      </c>
      <c r="C548" s="5" t="s">
        <v>299</v>
      </c>
      <c r="D548" s="6">
        <v>59042.2</v>
      </c>
      <c r="E548" s="6">
        <v>1679.4</v>
      </c>
      <c r="F548" s="7">
        <f t="shared" si="8"/>
        <v>-57362.799999999996</v>
      </c>
      <c r="G548" t="str">
        <f>IF(표1[[#This Row],[diff]]&gt;0,"import","export")</f>
        <v>export</v>
      </c>
      <c r="H548" s="15">
        <f>ABS(표1[[#This Row],[export]]-표1[[#This Row],[import]])/(표1[[#This Row],[export]]+표1[[#This Row],[import]])</f>
        <v>0.94468525203551945</v>
      </c>
    </row>
    <row r="549" spans="1:8" x14ac:dyDescent="0.3">
      <c r="A549" s="5">
        <v>2018</v>
      </c>
      <c r="B549" s="5">
        <v>2929102000</v>
      </c>
      <c r="C549" s="5" t="s">
        <v>299</v>
      </c>
      <c r="D549" s="6">
        <v>84411</v>
      </c>
      <c r="E549" s="6">
        <v>2189.6</v>
      </c>
      <c r="F549" s="7">
        <f t="shared" si="8"/>
        <v>-82221.399999999994</v>
      </c>
      <c r="G549" t="str">
        <f>IF(표1[[#This Row],[diff]]&gt;0,"import","export")</f>
        <v>export</v>
      </c>
      <c r="H549" s="15">
        <f>ABS(표1[[#This Row],[export]]-표1[[#This Row],[import]])/(표1[[#This Row],[export]]+표1[[#This Row],[import]])</f>
        <v>0.9494322210238727</v>
      </c>
    </row>
    <row r="550" spans="1:8" x14ac:dyDescent="0.3">
      <c r="A550" s="5">
        <v>2019</v>
      </c>
      <c r="B550" s="5">
        <v>2929102000</v>
      </c>
      <c r="C550" s="5" t="s">
        <v>299</v>
      </c>
      <c r="D550" s="6">
        <v>89539.199999999997</v>
      </c>
      <c r="E550" s="6">
        <v>2046</v>
      </c>
      <c r="F550" s="7">
        <f t="shared" si="8"/>
        <v>-87493.2</v>
      </c>
      <c r="G550" t="str">
        <f>IF(표1[[#This Row],[diff]]&gt;0,"import","export")</f>
        <v>export</v>
      </c>
      <c r="H550" s="15">
        <f>ABS(표1[[#This Row],[export]]-표1[[#This Row],[import]])/(표1[[#This Row],[export]]+표1[[#This Row],[import]])</f>
        <v>0.9553202919248962</v>
      </c>
    </row>
    <row r="551" spans="1:8" x14ac:dyDescent="0.3">
      <c r="A551" s="5">
        <v>2020</v>
      </c>
      <c r="B551" s="5">
        <v>2929102000</v>
      </c>
      <c r="C551" s="5" t="s">
        <v>299</v>
      </c>
      <c r="D551" s="6">
        <v>96044.9</v>
      </c>
      <c r="E551" s="6">
        <v>2150.1999999999998</v>
      </c>
      <c r="F551" s="7">
        <f t="shared" si="8"/>
        <v>-93894.7</v>
      </c>
      <c r="G551" t="str">
        <f>IF(표1[[#This Row],[diff]]&gt;0,"import","export")</f>
        <v>export</v>
      </c>
      <c r="H551" s="15">
        <f>ABS(표1[[#This Row],[export]]-표1[[#This Row],[import]])/(표1[[#This Row],[export]]+표1[[#This Row],[import]])</f>
        <v>0.95620555404495744</v>
      </c>
    </row>
    <row r="552" spans="1:8" x14ac:dyDescent="0.3">
      <c r="A552" s="5">
        <v>2021</v>
      </c>
      <c r="B552" s="5">
        <v>2929102000</v>
      </c>
      <c r="C552" s="5" t="s">
        <v>299</v>
      </c>
      <c r="D552" s="6">
        <v>101744.7</v>
      </c>
      <c r="E552" s="6">
        <v>1494.9</v>
      </c>
      <c r="F552" s="7">
        <f t="shared" si="8"/>
        <v>-100249.8</v>
      </c>
      <c r="G552" t="str">
        <f>IF(표1[[#This Row],[diff]]&gt;0,"import","export")</f>
        <v>export</v>
      </c>
      <c r="H552" s="15">
        <f>ABS(표1[[#This Row],[export]]-표1[[#This Row],[import]])/(표1[[#This Row],[export]]+표1[[#This Row],[import]])</f>
        <v>0.97104018225564614</v>
      </c>
    </row>
    <row r="553" spans="1:8" x14ac:dyDescent="0.3">
      <c r="A553" s="5">
        <v>2022</v>
      </c>
      <c r="B553" s="5">
        <v>2929102000</v>
      </c>
      <c r="C553" s="5" t="s">
        <v>299</v>
      </c>
      <c r="D553" s="6">
        <v>95721.2</v>
      </c>
      <c r="E553" s="6">
        <v>1612.9</v>
      </c>
      <c r="F553" s="7">
        <f t="shared" si="8"/>
        <v>-94108.3</v>
      </c>
      <c r="G553" t="str">
        <f>IF(표1[[#This Row],[diff]]&gt;0,"import","export")</f>
        <v>export</v>
      </c>
      <c r="H553" s="15">
        <f>ABS(표1[[#This Row],[export]]-표1[[#This Row],[import]])/(표1[[#This Row],[export]]+표1[[#This Row],[import]])</f>
        <v>0.96685848022429977</v>
      </c>
    </row>
    <row r="554" spans="1:8" x14ac:dyDescent="0.3">
      <c r="A554" s="5">
        <v>2023</v>
      </c>
      <c r="B554" s="5">
        <v>2929102000</v>
      </c>
      <c r="C554" s="5" t="s">
        <v>299</v>
      </c>
      <c r="D554" s="6">
        <v>110104</v>
      </c>
      <c r="E554" s="6">
        <v>1429.8</v>
      </c>
      <c r="F554" s="7">
        <f t="shared" si="8"/>
        <v>-108674.2</v>
      </c>
      <c r="G554" t="str">
        <f>IF(표1[[#This Row],[diff]]&gt;0,"import","export")</f>
        <v>export</v>
      </c>
      <c r="H554" s="15">
        <f>ABS(표1[[#This Row],[export]]-표1[[#This Row],[import]])/(표1[[#This Row],[export]]+표1[[#This Row],[import]])</f>
        <v>0.97436113536882984</v>
      </c>
    </row>
    <row r="555" spans="1:8" x14ac:dyDescent="0.3">
      <c r="A555" s="5">
        <v>2024</v>
      </c>
      <c r="B555" s="5">
        <v>2929102000</v>
      </c>
      <c r="C555" s="5" t="s">
        <v>299</v>
      </c>
      <c r="D555" s="6">
        <v>132592.79999999999</v>
      </c>
      <c r="E555" s="6">
        <v>1672.6</v>
      </c>
      <c r="F555" s="7">
        <f t="shared" si="8"/>
        <v>-130920.19999999998</v>
      </c>
      <c r="G555" t="str">
        <f>IF(표1[[#This Row],[diff]]&gt;0,"import","export")</f>
        <v>export</v>
      </c>
      <c r="H555" s="15">
        <f>ABS(표1[[#This Row],[export]]-표1[[#This Row],[import]])/(표1[[#This Row],[export]]+표1[[#This Row],[import]])</f>
        <v>0.97508516713911397</v>
      </c>
    </row>
    <row r="556" spans="1:8" x14ac:dyDescent="0.3">
      <c r="A556" s="5">
        <v>2025</v>
      </c>
      <c r="B556" s="5">
        <v>2929102000</v>
      </c>
      <c r="C556" s="5" t="s">
        <v>299</v>
      </c>
      <c r="D556" s="6">
        <v>156973.5</v>
      </c>
      <c r="E556" s="6">
        <v>1458.2</v>
      </c>
      <c r="F556" s="7">
        <f t="shared" si="8"/>
        <v>-155515.29999999999</v>
      </c>
      <c r="G556" t="str">
        <f>IF(표1[[#This Row],[diff]]&gt;0,"import","export")</f>
        <v>export</v>
      </c>
      <c r="H556" s="15">
        <f>ABS(표1[[#This Row],[export]]-표1[[#This Row],[import]])/(표1[[#This Row],[export]]+표1[[#This Row],[import]])</f>
        <v>0.98159206774906771</v>
      </c>
    </row>
    <row r="557" spans="1:8" x14ac:dyDescent="0.3">
      <c r="A557" s="5">
        <v>2016</v>
      </c>
      <c r="B557" s="5">
        <v>2933710000</v>
      </c>
      <c r="C557" s="5" t="s">
        <v>300</v>
      </c>
      <c r="D557" s="6">
        <v>37265</v>
      </c>
      <c r="E557" s="6">
        <v>35903.599999999999</v>
      </c>
      <c r="F557" s="7">
        <f t="shared" si="8"/>
        <v>-1361.4000000000015</v>
      </c>
      <c r="G557" t="str">
        <f>IF(표1[[#This Row],[diff]]&gt;0,"import","export")</f>
        <v>export</v>
      </c>
      <c r="H557" s="15">
        <f>ABS(표1[[#This Row],[export]]-표1[[#This Row],[import]])/(표1[[#This Row],[export]]+표1[[#This Row],[import]])</f>
        <v>1.8606342064765507E-2</v>
      </c>
    </row>
    <row r="558" spans="1:8" x14ac:dyDescent="0.3">
      <c r="A558" s="5">
        <v>2017</v>
      </c>
      <c r="B558" s="5">
        <v>2933710000</v>
      </c>
      <c r="C558" s="5" t="s">
        <v>300</v>
      </c>
      <c r="D558" s="6">
        <v>51781.1</v>
      </c>
      <c r="E558" s="6">
        <v>26417.5</v>
      </c>
      <c r="F558" s="7">
        <f t="shared" si="8"/>
        <v>-25363.599999999999</v>
      </c>
      <c r="G558" t="str">
        <f>IF(표1[[#This Row],[diff]]&gt;0,"import","export")</f>
        <v>export</v>
      </c>
      <c r="H558" s="15">
        <f>ABS(표1[[#This Row],[export]]-표1[[#This Row],[import]])/(표1[[#This Row],[export]]+표1[[#This Row],[import]])</f>
        <v>0.32434851774839957</v>
      </c>
    </row>
    <row r="559" spans="1:8" x14ac:dyDescent="0.3">
      <c r="A559" s="5">
        <v>2018</v>
      </c>
      <c r="B559" s="5">
        <v>2933710000</v>
      </c>
      <c r="C559" s="5" t="s">
        <v>300</v>
      </c>
      <c r="D559" s="6">
        <v>38256</v>
      </c>
      <c r="E559" s="6">
        <v>16638.3</v>
      </c>
      <c r="F559" s="7">
        <f t="shared" si="8"/>
        <v>-21617.7</v>
      </c>
      <c r="G559" t="str">
        <f>IF(표1[[#This Row],[diff]]&gt;0,"import","export")</f>
        <v>export</v>
      </c>
      <c r="H559" s="15">
        <f>ABS(표1[[#This Row],[export]]-표1[[#This Row],[import]])/(표1[[#This Row],[export]]+표1[[#This Row],[import]])</f>
        <v>0.39380591427525263</v>
      </c>
    </row>
    <row r="560" spans="1:8" x14ac:dyDescent="0.3">
      <c r="A560" s="5">
        <v>2019</v>
      </c>
      <c r="B560" s="5">
        <v>2933710000</v>
      </c>
      <c r="C560" s="5" t="s">
        <v>300</v>
      </c>
      <c r="D560" s="6">
        <v>43735.4</v>
      </c>
      <c r="E560" s="6">
        <v>22217.8</v>
      </c>
      <c r="F560" s="7">
        <f t="shared" si="8"/>
        <v>-21517.600000000002</v>
      </c>
      <c r="G560" t="str">
        <f>IF(표1[[#This Row],[diff]]&gt;0,"import","export")</f>
        <v>export</v>
      </c>
      <c r="H560" s="15">
        <f>ABS(표1[[#This Row],[export]]-표1[[#This Row],[import]])/(표1[[#This Row],[export]]+표1[[#This Row],[import]])</f>
        <v>0.32625558729523363</v>
      </c>
    </row>
    <row r="561" spans="1:8" x14ac:dyDescent="0.3">
      <c r="A561" s="5">
        <v>2020</v>
      </c>
      <c r="B561" s="5">
        <v>2933710000</v>
      </c>
      <c r="C561" s="5" t="s">
        <v>300</v>
      </c>
      <c r="D561" s="6">
        <v>46321</v>
      </c>
      <c r="E561" s="6">
        <v>22287.599999999999</v>
      </c>
      <c r="F561" s="13">
        <f t="shared" si="8"/>
        <v>-24033.4</v>
      </c>
      <c r="G561" t="str">
        <f>IF(표1[[#This Row],[diff]]&gt;0,"import","export")</f>
        <v>export</v>
      </c>
      <c r="H561" s="15">
        <f>ABS(표1[[#This Row],[export]]-표1[[#This Row],[import]])/(표1[[#This Row],[export]]+표1[[#This Row],[import]])</f>
        <v>0.35029719306326029</v>
      </c>
    </row>
    <row r="562" spans="1:8" x14ac:dyDescent="0.3">
      <c r="A562" s="5">
        <v>2021</v>
      </c>
      <c r="B562" s="5">
        <v>2933710000</v>
      </c>
      <c r="C562" s="5" t="s">
        <v>300</v>
      </c>
      <c r="D562" s="6">
        <v>41425</v>
      </c>
      <c r="E562" s="6">
        <v>19447.7</v>
      </c>
      <c r="F562" s="13">
        <f t="shared" si="8"/>
        <v>-21977.3</v>
      </c>
      <c r="G562" t="str">
        <f>IF(표1[[#This Row],[diff]]&gt;0,"import","export")</f>
        <v>export</v>
      </c>
      <c r="H562" s="15">
        <f>ABS(표1[[#This Row],[export]]-표1[[#This Row],[import]])/(표1[[#This Row],[export]]+표1[[#This Row],[import]])</f>
        <v>0.36103704944909626</v>
      </c>
    </row>
    <row r="563" spans="1:8" x14ac:dyDescent="0.3">
      <c r="A563" s="5">
        <v>2022</v>
      </c>
      <c r="B563" s="5">
        <v>2933710000</v>
      </c>
      <c r="C563" s="5" t="s">
        <v>300</v>
      </c>
      <c r="D563" s="6">
        <v>14789</v>
      </c>
      <c r="E563" s="6">
        <v>28995</v>
      </c>
      <c r="F563" s="13">
        <f t="shared" si="8"/>
        <v>14206</v>
      </c>
      <c r="G563" t="str">
        <f>IF(표1[[#This Row],[diff]]&gt;0,"import","export")</f>
        <v>import</v>
      </c>
      <c r="H563" s="15">
        <f>ABS(표1[[#This Row],[export]]-표1[[#This Row],[import]])/(표1[[#This Row],[export]]+표1[[#This Row],[import]])</f>
        <v>0.32445642243742007</v>
      </c>
    </row>
    <row r="564" spans="1:8" x14ac:dyDescent="0.3">
      <c r="A564" s="5">
        <v>2023</v>
      </c>
      <c r="B564" s="5">
        <v>2933710000</v>
      </c>
      <c r="C564" s="5" t="s">
        <v>300</v>
      </c>
      <c r="D564" s="5">
        <v>48</v>
      </c>
      <c r="E564" s="6">
        <v>42076.3</v>
      </c>
      <c r="F564" s="13">
        <f t="shared" si="8"/>
        <v>42028.3</v>
      </c>
      <c r="G564" t="str">
        <f>IF(표1[[#This Row],[diff]]&gt;0,"import","export")</f>
        <v>import</v>
      </c>
      <c r="H564" s="15">
        <f>ABS(표1[[#This Row],[export]]-표1[[#This Row],[import]])/(표1[[#This Row],[export]]+표1[[#This Row],[import]])</f>
        <v>0.99772103037913984</v>
      </c>
    </row>
    <row r="565" spans="1:8" x14ac:dyDescent="0.3">
      <c r="A565" s="5">
        <v>2024</v>
      </c>
      <c r="B565" s="5">
        <v>2933710000</v>
      </c>
      <c r="C565" s="5" t="s">
        <v>300</v>
      </c>
      <c r="D565" s="5">
        <v>34</v>
      </c>
      <c r="E565" s="6">
        <v>16528.5</v>
      </c>
      <c r="F565" s="14">
        <f t="shared" si="8"/>
        <v>16494.5</v>
      </c>
      <c r="G565" t="str">
        <f>IF(표1[[#This Row],[diff]]&gt;0,"import","export")</f>
        <v>import</v>
      </c>
      <c r="H565" s="15">
        <f>ABS(표1[[#This Row],[export]]-표1[[#This Row],[import]])/(표1[[#This Row],[export]]+표1[[#This Row],[import]])</f>
        <v>0.99589433962264151</v>
      </c>
    </row>
    <row r="566" spans="1:8" x14ac:dyDescent="0.3">
      <c r="A566" s="5">
        <v>2025</v>
      </c>
      <c r="B566" s="5">
        <v>2933710000</v>
      </c>
      <c r="C566" s="5" t="s">
        <v>300</v>
      </c>
      <c r="D566" s="5">
        <v>0.3</v>
      </c>
      <c r="E566" s="6">
        <v>9068.2999999999993</v>
      </c>
      <c r="F566" s="7">
        <f t="shared" si="8"/>
        <v>9068</v>
      </c>
      <c r="G566" t="str">
        <f>IF(표1[[#This Row],[diff]]&gt;0,"import","export")</f>
        <v>import</v>
      </c>
      <c r="H566" s="15">
        <f>ABS(표1[[#This Row],[export]]-표1[[#This Row],[import]])/(표1[[#This Row],[export]]+표1[[#This Row],[import]])</f>
        <v>0.99993383763756272</v>
      </c>
    </row>
    <row r="567" spans="1:8" x14ac:dyDescent="0.3">
      <c r="A567" s="5">
        <v>2016</v>
      </c>
      <c r="B567" s="5">
        <v>3901101000</v>
      </c>
      <c r="C567" s="5" t="s">
        <v>301</v>
      </c>
      <c r="D567" s="6">
        <v>552332.6</v>
      </c>
      <c r="E567" s="6">
        <v>12545.3</v>
      </c>
      <c r="F567" s="7">
        <f t="shared" si="8"/>
        <v>-539787.29999999993</v>
      </c>
      <c r="G567" t="str">
        <f>IF(표1[[#This Row],[diff]]&gt;0,"import","export")</f>
        <v>export</v>
      </c>
      <c r="H567" s="15">
        <f>ABS(표1[[#This Row],[export]]-표1[[#This Row],[import]])/(표1[[#This Row],[export]]+표1[[#This Row],[import]])</f>
        <v>0.95558225945819431</v>
      </c>
    </row>
    <row r="568" spans="1:8" x14ac:dyDescent="0.3">
      <c r="A568" s="5">
        <v>2017</v>
      </c>
      <c r="B568" s="5">
        <v>3901101000</v>
      </c>
      <c r="C568" s="5" t="s">
        <v>301</v>
      </c>
      <c r="D568" s="6">
        <v>505708.2</v>
      </c>
      <c r="E568" s="6">
        <v>23654.799999999999</v>
      </c>
      <c r="F568" s="7">
        <f t="shared" si="8"/>
        <v>-482053.4</v>
      </c>
      <c r="G568" t="str">
        <f>IF(표1[[#This Row],[diff]]&gt;0,"import","export")</f>
        <v>export</v>
      </c>
      <c r="H568" s="15">
        <f>ABS(표1[[#This Row],[export]]-표1[[#This Row],[import]])/(표1[[#This Row],[export]]+표1[[#This Row],[import]])</f>
        <v>0.91062919017762867</v>
      </c>
    </row>
    <row r="569" spans="1:8" x14ac:dyDescent="0.3">
      <c r="A569" s="5">
        <v>2018</v>
      </c>
      <c r="B569" s="5">
        <v>3901101000</v>
      </c>
      <c r="C569" s="5" t="s">
        <v>301</v>
      </c>
      <c r="D569" s="6">
        <v>427497.4</v>
      </c>
      <c r="E569" s="6">
        <v>34465.599999999999</v>
      </c>
      <c r="F569" s="7">
        <f t="shared" si="8"/>
        <v>-393031.80000000005</v>
      </c>
      <c r="G569" t="str">
        <f>IF(표1[[#This Row],[diff]]&gt;0,"import","export")</f>
        <v>export</v>
      </c>
      <c r="H569" s="15">
        <f>ABS(표1[[#This Row],[export]]-표1[[#This Row],[import]])/(표1[[#This Row],[export]]+표1[[#This Row],[import]])</f>
        <v>0.85078631838480578</v>
      </c>
    </row>
    <row r="570" spans="1:8" x14ac:dyDescent="0.3">
      <c r="A570" s="5">
        <v>2019</v>
      </c>
      <c r="B570" s="5">
        <v>3901101000</v>
      </c>
      <c r="C570" s="5" t="s">
        <v>301</v>
      </c>
      <c r="D570" s="6">
        <v>388323.2</v>
      </c>
      <c r="E570" s="6">
        <v>50033.9</v>
      </c>
      <c r="F570" s="7">
        <f t="shared" si="8"/>
        <v>-338289.3</v>
      </c>
      <c r="G570" t="str">
        <f>IF(표1[[#This Row],[diff]]&gt;0,"import","export")</f>
        <v>export</v>
      </c>
      <c r="H570" s="15">
        <f>ABS(표1[[#This Row],[export]]-표1[[#This Row],[import]])/(표1[[#This Row],[export]]+표1[[#This Row],[import]])</f>
        <v>0.77172081848337792</v>
      </c>
    </row>
    <row r="571" spans="1:8" x14ac:dyDescent="0.3">
      <c r="A571" s="5">
        <v>2020</v>
      </c>
      <c r="B571" s="5">
        <v>3901101000</v>
      </c>
      <c r="C571" s="5" t="s">
        <v>301</v>
      </c>
      <c r="D571" s="6">
        <v>278665.40000000002</v>
      </c>
      <c r="E571" s="6">
        <v>58581.2</v>
      </c>
      <c r="F571" s="7">
        <f t="shared" si="8"/>
        <v>-220084.2</v>
      </c>
      <c r="G571" t="str">
        <f>IF(표1[[#This Row],[diff]]&gt;0,"import","export")</f>
        <v>export</v>
      </c>
      <c r="H571" s="15">
        <f>ABS(표1[[#This Row],[export]]-표1[[#This Row],[import]])/(표1[[#This Row],[export]]+표1[[#This Row],[import]])</f>
        <v>0.65259130855581637</v>
      </c>
    </row>
    <row r="572" spans="1:8" x14ac:dyDescent="0.3">
      <c r="A572" s="5">
        <v>2021</v>
      </c>
      <c r="B572" s="5">
        <v>3901101000</v>
      </c>
      <c r="C572" s="5" t="s">
        <v>301</v>
      </c>
      <c r="D572" s="6">
        <v>468172.5</v>
      </c>
      <c r="E572" s="6">
        <v>37919.5</v>
      </c>
      <c r="F572" s="7">
        <f t="shared" si="8"/>
        <v>-430253</v>
      </c>
      <c r="G572" t="str">
        <f>IF(표1[[#This Row],[diff]]&gt;0,"import","export")</f>
        <v>export</v>
      </c>
      <c r="H572" s="15">
        <f>ABS(표1[[#This Row],[export]]-표1[[#This Row],[import]])/(표1[[#This Row],[export]]+표1[[#This Row],[import]])</f>
        <v>0.85014779921437211</v>
      </c>
    </row>
    <row r="573" spans="1:8" x14ac:dyDescent="0.3">
      <c r="A573" s="5">
        <v>2022</v>
      </c>
      <c r="B573" s="5">
        <v>3901101000</v>
      </c>
      <c r="C573" s="5" t="s">
        <v>301</v>
      </c>
      <c r="D573" s="6">
        <v>339520.1</v>
      </c>
      <c r="E573" s="6">
        <v>23887.8</v>
      </c>
      <c r="F573" s="7">
        <f t="shared" si="8"/>
        <v>-315632.3</v>
      </c>
      <c r="G573" t="str">
        <f>IF(표1[[#This Row],[diff]]&gt;0,"import","export")</f>
        <v>export</v>
      </c>
      <c r="H573" s="15">
        <f>ABS(표1[[#This Row],[export]]-표1[[#This Row],[import]])/(표1[[#This Row],[export]]+표1[[#This Row],[import]])</f>
        <v>0.86853450351519601</v>
      </c>
    </row>
    <row r="574" spans="1:8" x14ac:dyDescent="0.3">
      <c r="A574" s="5">
        <v>2023</v>
      </c>
      <c r="B574" s="5">
        <v>3901101000</v>
      </c>
      <c r="C574" s="5" t="s">
        <v>301</v>
      </c>
      <c r="D574" s="6">
        <v>283336.7</v>
      </c>
      <c r="E574" s="6">
        <v>36077.199999999997</v>
      </c>
      <c r="F574" s="7">
        <f t="shared" si="8"/>
        <v>-247259.5</v>
      </c>
      <c r="G574" t="str">
        <f>IF(표1[[#This Row],[diff]]&gt;0,"import","export")</f>
        <v>export</v>
      </c>
      <c r="H574" s="15">
        <f>ABS(표1[[#This Row],[export]]-표1[[#This Row],[import]])/(표1[[#This Row],[export]]+표1[[#This Row],[import]])</f>
        <v>0.77410375691226962</v>
      </c>
    </row>
    <row r="575" spans="1:8" x14ac:dyDescent="0.3">
      <c r="A575" s="5">
        <v>2024</v>
      </c>
      <c r="B575" s="5">
        <v>3901101000</v>
      </c>
      <c r="C575" s="5" t="s">
        <v>301</v>
      </c>
      <c r="D575" s="6">
        <v>239921.9</v>
      </c>
      <c r="E575" s="6">
        <v>34515.4</v>
      </c>
      <c r="F575" s="7">
        <f t="shared" si="8"/>
        <v>-205406.5</v>
      </c>
      <c r="G575" t="str">
        <f>IF(표1[[#This Row],[diff]]&gt;0,"import","export")</f>
        <v>export</v>
      </c>
      <c r="H575" s="15">
        <f>ABS(표1[[#This Row],[export]]-표1[[#This Row],[import]])/(표1[[#This Row],[export]]+표1[[#This Row],[import]])</f>
        <v>0.74846422115361144</v>
      </c>
    </row>
    <row r="576" spans="1:8" x14ac:dyDescent="0.3">
      <c r="A576" s="5">
        <v>2025</v>
      </c>
      <c r="B576" s="5">
        <v>3901101000</v>
      </c>
      <c r="C576" s="5" t="s">
        <v>301</v>
      </c>
      <c r="D576" s="6">
        <v>177360.3</v>
      </c>
      <c r="E576" s="6">
        <v>38144.800000000003</v>
      </c>
      <c r="F576" s="7">
        <f t="shared" si="8"/>
        <v>-139215.5</v>
      </c>
      <c r="G576" t="str">
        <f>IF(표1[[#This Row],[diff]]&gt;0,"import","export")</f>
        <v>export</v>
      </c>
      <c r="H576" s="15">
        <f>ABS(표1[[#This Row],[export]]-표1[[#This Row],[import]])/(표1[[#This Row],[export]]+표1[[#This Row],[import]])</f>
        <v>0.64599631284828074</v>
      </c>
    </row>
    <row r="577" spans="1:8" x14ac:dyDescent="0.3">
      <c r="A577" s="5">
        <v>2016</v>
      </c>
      <c r="B577" s="5">
        <v>3901109000</v>
      </c>
      <c r="C577" s="5" t="s">
        <v>400</v>
      </c>
      <c r="D577" s="6">
        <v>402626.7</v>
      </c>
      <c r="E577" s="6">
        <v>98862.1</v>
      </c>
      <c r="F577" s="10">
        <f t="shared" si="8"/>
        <v>-303764.59999999998</v>
      </c>
      <c r="G577" t="str">
        <f>IF(표1[[#This Row],[diff]]&gt;0,"import","export")</f>
        <v>export</v>
      </c>
      <c r="H577" s="15">
        <f>ABS(표1[[#This Row],[export]]-표1[[#This Row],[import]])/(표1[[#This Row],[export]]+표1[[#This Row],[import]])</f>
        <v>0.60572559147881255</v>
      </c>
    </row>
    <row r="578" spans="1:8" x14ac:dyDescent="0.3">
      <c r="A578" s="5">
        <v>2017</v>
      </c>
      <c r="B578" s="5">
        <v>3901109000</v>
      </c>
      <c r="C578" s="5" t="s">
        <v>400</v>
      </c>
      <c r="D578" s="6">
        <v>401514.6</v>
      </c>
      <c r="E578" s="6">
        <v>126079</v>
      </c>
      <c r="F578" s="10">
        <f t="shared" ref="F578:F641" si="9">E578-D578</f>
        <v>-275435.59999999998</v>
      </c>
      <c r="G578" t="str">
        <f>IF(표1[[#This Row],[diff]]&gt;0,"import","export")</f>
        <v>export</v>
      </c>
      <c r="H578" s="15">
        <f>ABS(표1[[#This Row],[export]]-표1[[#This Row],[import]])/(표1[[#This Row],[export]]+표1[[#This Row],[import]])</f>
        <v>0.5220601614576067</v>
      </c>
    </row>
    <row r="579" spans="1:8" x14ac:dyDescent="0.3">
      <c r="A579" s="5">
        <v>2018</v>
      </c>
      <c r="B579" s="5">
        <v>3901109000</v>
      </c>
      <c r="C579" s="5" t="s">
        <v>400</v>
      </c>
      <c r="D579" s="6">
        <v>468010</v>
      </c>
      <c r="E579" s="6">
        <v>129685.1</v>
      </c>
      <c r="F579" s="10">
        <f t="shared" si="9"/>
        <v>-338324.9</v>
      </c>
      <c r="G579" t="str">
        <f>IF(표1[[#This Row],[diff]]&gt;0,"import","export")</f>
        <v>export</v>
      </c>
      <c r="H579" s="15">
        <f>ABS(표1[[#This Row],[export]]-표1[[#This Row],[import]])/(표1[[#This Row],[export]]+표1[[#This Row],[import]])</f>
        <v>0.56604931176447659</v>
      </c>
    </row>
    <row r="580" spans="1:8" x14ac:dyDescent="0.3">
      <c r="A580" s="11">
        <v>2019</v>
      </c>
      <c r="B580" s="11">
        <v>3901109000</v>
      </c>
      <c r="C580" s="11" t="s">
        <v>400</v>
      </c>
      <c r="D580" s="12">
        <v>412871.7</v>
      </c>
      <c r="E580" s="12">
        <v>159805</v>
      </c>
      <c r="F580" s="10">
        <f t="shared" si="9"/>
        <v>-253066.7</v>
      </c>
      <c r="G580" t="str">
        <f>IF(표1[[#This Row],[diff]]&gt;0,"import","export")</f>
        <v>export</v>
      </c>
      <c r="H580" s="15">
        <f>ABS(표1[[#This Row],[export]]-표1[[#This Row],[import]])/(표1[[#This Row],[export]]+표1[[#This Row],[import]])</f>
        <v>0.4419015126684917</v>
      </c>
    </row>
    <row r="581" spans="1:8" x14ac:dyDescent="0.3">
      <c r="A581" s="5">
        <v>2020</v>
      </c>
      <c r="B581" s="5">
        <v>3901109000</v>
      </c>
      <c r="C581" s="5" t="s">
        <v>400</v>
      </c>
      <c r="D581" s="6">
        <v>370398.9</v>
      </c>
      <c r="E581" s="6">
        <v>138517.6</v>
      </c>
      <c r="F581" s="10">
        <f t="shared" si="9"/>
        <v>-231881.30000000002</v>
      </c>
      <c r="G581" t="str">
        <f>IF(표1[[#This Row],[diff]]&gt;0,"import","export")</f>
        <v>export</v>
      </c>
      <c r="H581" s="15">
        <f>ABS(표1[[#This Row],[export]]-표1[[#This Row],[import]])/(표1[[#This Row],[export]]+표1[[#This Row],[import]])</f>
        <v>0.45563722143023466</v>
      </c>
    </row>
    <row r="582" spans="1:8" x14ac:dyDescent="0.3">
      <c r="A582" s="5">
        <v>2021</v>
      </c>
      <c r="B582" s="5">
        <v>3901109000</v>
      </c>
      <c r="C582" s="5" t="s">
        <v>400</v>
      </c>
      <c r="D582" s="6">
        <v>315841.09999999998</v>
      </c>
      <c r="E582" s="6">
        <v>142573.4</v>
      </c>
      <c r="F582" s="10">
        <f t="shared" si="9"/>
        <v>-173267.69999999998</v>
      </c>
      <c r="G582" t="str">
        <f>IF(표1[[#This Row],[diff]]&gt;0,"import","export")</f>
        <v>export</v>
      </c>
      <c r="H582" s="15">
        <f>ABS(표1[[#This Row],[export]]-표1[[#This Row],[import]])/(표1[[#This Row],[export]]+표1[[#This Row],[import]])</f>
        <v>0.37797168283289467</v>
      </c>
    </row>
    <row r="583" spans="1:8" x14ac:dyDescent="0.3">
      <c r="A583" s="5">
        <v>2022</v>
      </c>
      <c r="B583" s="5">
        <v>3901109000</v>
      </c>
      <c r="C583" s="5" t="s">
        <v>400</v>
      </c>
      <c r="D583" s="6">
        <v>364661.4</v>
      </c>
      <c r="E583" s="6">
        <v>102742.6</v>
      </c>
      <c r="F583" s="10">
        <f t="shared" si="9"/>
        <v>-261918.80000000002</v>
      </c>
      <c r="G583" t="str">
        <f>IF(표1[[#This Row],[diff]]&gt;0,"import","export")</f>
        <v>export</v>
      </c>
      <c r="H583" s="15">
        <f>ABS(표1[[#This Row],[export]]-표1[[#This Row],[import]])/(표1[[#This Row],[export]]+표1[[#This Row],[import]])</f>
        <v>0.5603691881113555</v>
      </c>
    </row>
    <row r="584" spans="1:8" x14ac:dyDescent="0.3">
      <c r="A584" s="5">
        <v>2023</v>
      </c>
      <c r="B584" s="5">
        <v>3901109000</v>
      </c>
      <c r="C584" s="5" t="s">
        <v>400</v>
      </c>
      <c r="D584" s="6">
        <v>356753.8</v>
      </c>
      <c r="E584" s="6">
        <v>121419.7</v>
      </c>
      <c r="F584" s="10">
        <f t="shared" si="9"/>
        <v>-235334.09999999998</v>
      </c>
      <c r="G584" t="str">
        <f>IF(표1[[#This Row],[diff]]&gt;0,"import","export")</f>
        <v>export</v>
      </c>
      <c r="H584" s="15">
        <f>ABS(표1[[#This Row],[export]]-표1[[#This Row],[import]])/(표1[[#This Row],[export]]+표1[[#This Row],[import]])</f>
        <v>0.49215211633434303</v>
      </c>
    </row>
    <row r="585" spans="1:8" x14ac:dyDescent="0.3">
      <c r="A585" s="11">
        <v>2024</v>
      </c>
      <c r="B585" s="5">
        <v>3901109000</v>
      </c>
      <c r="C585" s="11" t="s">
        <v>400</v>
      </c>
      <c r="D585" s="6">
        <v>446858.7</v>
      </c>
      <c r="E585" s="6">
        <v>97866.5</v>
      </c>
      <c r="F585" s="10">
        <f t="shared" si="9"/>
        <v>-348992.2</v>
      </c>
      <c r="G585" t="str">
        <f>IF(표1[[#This Row],[diff]]&gt;0,"import","export")</f>
        <v>export</v>
      </c>
      <c r="H585" s="15">
        <f>ABS(표1[[#This Row],[export]]-표1[[#This Row],[import]])/(표1[[#This Row],[export]]+표1[[#This Row],[import]])</f>
        <v>0.64067570217056236</v>
      </c>
    </row>
    <row r="586" spans="1:8" x14ac:dyDescent="0.3">
      <c r="A586" s="11">
        <v>2025</v>
      </c>
      <c r="B586" s="5">
        <v>3901109000</v>
      </c>
      <c r="C586" s="11" t="s">
        <v>400</v>
      </c>
      <c r="D586" s="6">
        <v>433554.7</v>
      </c>
      <c r="E586" s="6">
        <v>77880.600000000006</v>
      </c>
      <c r="F586" s="10">
        <f t="shared" si="9"/>
        <v>-355674.1</v>
      </c>
      <c r="G586" t="str">
        <f>IF(표1[[#This Row],[diff]]&gt;0,"import","export")</f>
        <v>export</v>
      </c>
      <c r="H586" s="15">
        <f>ABS(표1[[#This Row],[export]]-표1[[#This Row],[import]])/(표1[[#This Row],[export]]+표1[[#This Row],[import]])</f>
        <v>0.6954430012945918</v>
      </c>
    </row>
    <row r="587" spans="1:8" x14ac:dyDescent="0.3">
      <c r="A587" s="11">
        <v>2016</v>
      </c>
      <c r="B587" s="5">
        <v>3902100000</v>
      </c>
      <c r="C587" s="11" t="s">
        <v>302</v>
      </c>
      <c r="D587" s="6">
        <v>1408291</v>
      </c>
      <c r="E587" s="6">
        <v>14296.1</v>
      </c>
      <c r="F587" s="7">
        <f t="shared" si="9"/>
        <v>-1393994.9</v>
      </c>
      <c r="G587" t="str">
        <f>IF(표1[[#This Row],[diff]]&gt;0,"import","export")</f>
        <v>export</v>
      </c>
      <c r="H587" s="15">
        <f>ABS(표1[[#This Row],[export]]-표1[[#This Row],[import]])/(표1[[#This Row],[export]]+표1[[#This Row],[import]])</f>
        <v>0.97990126579947179</v>
      </c>
    </row>
    <row r="588" spans="1:8" x14ac:dyDescent="0.3">
      <c r="A588" s="11">
        <v>2017</v>
      </c>
      <c r="B588" s="5">
        <v>3902100000</v>
      </c>
      <c r="C588" s="11" t="s">
        <v>302</v>
      </c>
      <c r="D588" s="6">
        <v>1639691.7</v>
      </c>
      <c r="E588" s="6">
        <v>18168.099999999999</v>
      </c>
      <c r="F588" s="7">
        <f t="shared" si="9"/>
        <v>-1621523.5999999999</v>
      </c>
      <c r="G588" t="str">
        <f>IF(표1[[#This Row],[diff]]&gt;0,"import","export")</f>
        <v>export</v>
      </c>
      <c r="H588" s="15">
        <f>ABS(표1[[#This Row],[export]]-표1[[#This Row],[import]])/(표1[[#This Row],[export]]+표1[[#This Row],[import]])</f>
        <v>0.9780824651155664</v>
      </c>
    </row>
    <row r="589" spans="1:8" x14ac:dyDescent="0.3">
      <c r="A589" s="11">
        <v>2018</v>
      </c>
      <c r="B589" s="5">
        <v>3902100000</v>
      </c>
      <c r="C589" s="11" t="s">
        <v>302</v>
      </c>
      <c r="D589" s="6">
        <v>1741083.4</v>
      </c>
      <c r="E589" s="6">
        <v>18147.099999999999</v>
      </c>
      <c r="F589" s="7">
        <f t="shared" si="9"/>
        <v>-1722936.2999999998</v>
      </c>
      <c r="G589" t="str">
        <f>IF(표1[[#This Row],[diff]]&gt;0,"import","export")</f>
        <v>export</v>
      </c>
      <c r="H589" s="15">
        <f>ABS(표1[[#This Row],[export]]-표1[[#This Row],[import]])/(표1[[#This Row],[export]]+표1[[#This Row],[import]])</f>
        <v>0.97936927537352259</v>
      </c>
    </row>
    <row r="590" spans="1:8" x14ac:dyDescent="0.3">
      <c r="A590" s="11">
        <v>2019</v>
      </c>
      <c r="B590" s="5">
        <v>3902100000</v>
      </c>
      <c r="C590" s="11" t="s">
        <v>302</v>
      </c>
      <c r="D590" s="6">
        <v>1755997.7</v>
      </c>
      <c r="E590" s="6">
        <v>19182.8</v>
      </c>
      <c r="F590" s="7">
        <f t="shared" si="9"/>
        <v>-1736814.9</v>
      </c>
      <c r="G590" t="str">
        <f>IF(표1[[#This Row],[diff]]&gt;0,"import","export")</f>
        <v>export</v>
      </c>
      <c r="H590" s="15">
        <f>ABS(표1[[#This Row],[export]]-표1[[#This Row],[import]])/(표1[[#This Row],[export]]+표1[[#This Row],[import]])</f>
        <v>0.978387775214971</v>
      </c>
    </row>
    <row r="591" spans="1:8" x14ac:dyDescent="0.3">
      <c r="A591" s="11">
        <v>2020</v>
      </c>
      <c r="B591" s="5">
        <v>3902100000</v>
      </c>
      <c r="C591" s="11" t="s">
        <v>302</v>
      </c>
      <c r="D591" s="6">
        <v>1767085.2</v>
      </c>
      <c r="E591" s="6">
        <v>12168.8</v>
      </c>
      <c r="F591" s="7">
        <f t="shared" si="9"/>
        <v>-1754916.4</v>
      </c>
      <c r="G591" t="str">
        <f>IF(표1[[#This Row],[diff]]&gt;0,"import","export")</f>
        <v>export</v>
      </c>
      <c r="H591" s="15">
        <f>ABS(표1[[#This Row],[export]]-표1[[#This Row],[import]])/(표1[[#This Row],[export]]+표1[[#This Row],[import]])</f>
        <v>0.98632145831904827</v>
      </c>
    </row>
    <row r="592" spans="1:8" x14ac:dyDescent="0.3">
      <c r="A592" s="11">
        <v>2021</v>
      </c>
      <c r="B592" s="5">
        <v>3902100000</v>
      </c>
      <c r="C592" s="11" t="s">
        <v>302</v>
      </c>
      <c r="D592" s="6">
        <v>2040691.3</v>
      </c>
      <c r="E592" s="6">
        <v>15319</v>
      </c>
      <c r="F592" s="7">
        <f t="shared" si="9"/>
        <v>-2025372.3</v>
      </c>
      <c r="G592" t="str">
        <f>IF(표1[[#This Row],[diff]]&gt;0,"import","export")</f>
        <v>export</v>
      </c>
      <c r="H592" s="15">
        <f>ABS(표1[[#This Row],[export]]-표1[[#This Row],[import]])/(표1[[#This Row],[export]]+표1[[#This Row],[import]])</f>
        <v>0.98509832368057693</v>
      </c>
    </row>
    <row r="593" spans="1:8" x14ac:dyDescent="0.3">
      <c r="A593" s="11">
        <v>2022</v>
      </c>
      <c r="B593" s="5">
        <v>3902100000</v>
      </c>
      <c r="C593" s="11" t="s">
        <v>302</v>
      </c>
      <c r="D593" s="6">
        <v>1970530.7</v>
      </c>
      <c r="E593" s="6">
        <v>15108.5</v>
      </c>
      <c r="F593" s="7">
        <f t="shared" si="9"/>
        <v>-1955422.2</v>
      </c>
      <c r="G593" t="str">
        <f>IF(표1[[#This Row],[diff]]&gt;0,"import","export")</f>
        <v>export</v>
      </c>
      <c r="H593" s="15">
        <f>ABS(표1[[#This Row],[export]]-표1[[#This Row],[import]])/(표1[[#This Row],[export]]+표1[[#This Row],[import]])</f>
        <v>0.98478223032663736</v>
      </c>
    </row>
    <row r="594" spans="1:8" x14ac:dyDescent="0.3">
      <c r="A594" s="11">
        <v>2023</v>
      </c>
      <c r="B594" s="5">
        <v>3902100000</v>
      </c>
      <c r="C594" s="11" t="s">
        <v>302</v>
      </c>
      <c r="D594" s="6">
        <v>1798511.3</v>
      </c>
      <c r="E594" s="6">
        <v>28715.200000000001</v>
      </c>
      <c r="F594" s="7">
        <f t="shared" si="9"/>
        <v>-1769796.1</v>
      </c>
      <c r="G594" t="str">
        <f>IF(표1[[#This Row],[diff]]&gt;0,"import","export")</f>
        <v>export</v>
      </c>
      <c r="H594" s="15">
        <f>ABS(표1[[#This Row],[export]]-표1[[#This Row],[import]])/(표1[[#This Row],[export]]+표1[[#This Row],[import]])</f>
        <v>0.9685696327193154</v>
      </c>
    </row>
    <row r="595" spans="1:8" x14ac:dyDescent="0.3">
      <c r="A595" s="11">
        <v>2024</v>
      </c>
      <c r="B595" s="5">
        <v>3902100000</v>
      </c>
      <c r="C595" s="11" t="s">
        <v>302</v>
      </c>
      <c r="D595" s="6">
        <v>1918054.3</v>
      </c>
      <c r="E595" s="6">
        <v>29943.9</v>
      </c>
      <c r="F595" s="7">
        <f t="shared" si="9"/>
        <v>-1888110.4000000001</v>
      </c>
      <c r="G595" t="str">
        <f>IF(표1[[#This Row],[diff]]&gt;0,"import","export")</f>
        <v>export</v>
      </c>
      <c r="H595" s="15">
        <f>ABS(표1[[#This Row],[export]]-표1[[#This Row],[import]])/(표1[[#This Row],[export]]+표1[[#This Row],[import]])</f>
        <v>0.96925674777317561</v>
      </c>
    </row>
    <row r="596" spans="1:8" x14ac:dyDescent="0.3">
      <c r="A596" s="11">
        <v>2025</v>
      </c>
      <c r="B596" s="5">
        <v>3902100000</v>
      </c>
      <c r="C596" s="11" t="s">
        <v>302</v>
      </c>
      <c r="D596" s="6">
        <v>1755653.8</v>
      </c>
      <c r="E596" s="6">
        <v>34078.300000000003</v>
      </c>
      <c r="F596" s="7">
        <f t="shared" si="9"/>
        <v>-1721575.5</v>
      </c>
      <c r="G596" t="str">
        <f>IF(표1[[#This Row],[diff]]&gt;0,"import","export")</f>
        <v>export</v>
      </c>
      <c r="H596" s="15">
        <f>ABS(표1[[#This Row],[export]]-표1[[#This Row],[import]])/(표1[[#This Row],[export]]+표1[[#This Row],[import]])</f>
        <v>0.96191798761390035</v>
      </c>
    </row>
    <row r="597" spans="1:8" x14ac:dyDescent="0.3">
      <c r="A597" s="11">
        <v>2016</v>
      </c>
      <c r="B597" s="5">
        <v>3902200000</v>
      </c>
      <c r="C597" s="11" t="s">
        <v>303</v>
      </c>
      <c r="D597" s="6">
        <v>158533.5</v>
      </c>
      <c r="E597" s="6">
        <v>1308.7</v>
      </c>
      <c r="F597" s="7">
        <f t="shared" si="9"/>
        <v>-157224.79999999999</v>
      </c>
      <c r="G597" t="str">
        <f>IF(표1[[#This Row],[diff]]&gt;0,"import","export")</f>
        <v>export</v>
      </c>
      <c r="H597" s="15">
        <f>ABS(표1[[#This Row],[export]]-표1[[#This Row],[import]])/(표1[[#This Row],[export]]+표1[[#This Row],[import]])</f>
        <v>0.98362510025512651</v>
      </c>
    </row>
    <row r="598" spans="1:8" x14ac:dyDescent="0.3">
      <c r="A598" s="11">
        <v>2017</v>
      </c>
      <c r="B598" s="11">
        <v>3902200000</v>
      </c>
      <c r="C598" s="11" t="s">
        <v>303</v>
      </c>
      <c r="D598" s="6">
        <v>172267.2</v>
      </c>
      <c r="E598" s="6">
        <v>1441.4</v>
      </c>
      <c r="F598" s="7">
        <f t="shared" si="9"/>
        <v>-170825.80000000002</v>
      </c>
      <c r="G598" t="str">
        <f>IF(표1[[#This Row],[diff]]&gt;0,"import","export")</f>
        <v>export</v>
      </c>
      <c r="H598" s="15">
        <f>ABS(표1[[#This Row],[export]]-표1[[#This Row],[import]])/(표1[[#This Row],[export]]+표1[[#This Row],[import]])</f>
        <v>0.9834043910318776</v>
      </c>
    </row>
    <row r="599" spans="1:8" x14ac:dyDescent="0.3">
      <c r="A599" s="11">
        <v>2018</v>
      </c>
      <c r="B599" s="11">
        <v>3902200000</v>
      </c>
      <c r="C599" s="11" t="s">
        <v>303</v>
      </c>
      <c r="D599" s="6">
        <v>188657.7</v>
      </c>
      <c r="E599" s="6">
        <v>1850.3</v>
      </c>
      <c r="F599" s="7">
        <f t="shared" si="9"/>
        <v>-186807.40000000002</v>
      </c>
      <c r="G599" t="str">
        <f>IF(표1[[#This Row],[diff]]&gt;0,"import","export")</f>
        <v>export</v>
      </c>
      <c r="H599" s="15">
        <f>ABS(표1[[#This Row],[export]]-표1[[#This Row],[import]])/(표1[[#This Row],[export]]+표1[[#This Row],[import]])</f>
        <v>0.98057509395930886</v>
      </c>
    </row>
    <row r="600" spans="1:8" x14ac:dyDescent="0.3">
      <c r="A600" s="11">
        <v>2019</v>
      </c>
      <c r="B600" s="11">
        <v>3902200000</v>
      </c>
      <c r="C600" s="11" t="s">
        <v>303</v>
      </c>
      <c r="D600" s="6">
        <v>165124.20000000001</v>
      </c>
      <c r="E600" s="6">
        <v>1755.2</v>
      </c>
      <c r="F600" s="7">
        <f t="shared" si="9"/>
        <v>-163369</v>
      </c>
      <c r="G600" t="str">
        <f>IF(표1[[#This Row],[diff]]&gt;0,"import","export")</f>
        <v>export</v>
      </c>
      <c r="H600" s="15">
        <f>ABS(표1[[#This Row],[export]]-표1[[#This Row],[import]])/(표1[[#This Row],[export]]+표1[[#This Row],[import]])</f>
        <v>0.97896444977630537</v>
      </c>
    </row>
    <row r="601" spans="1:8" x14ac:dyDescent="0.3">
      <c r="A601" s="11">
        <v>2020</v>
      </c>
      <c r="B601" s="11">
        <v>3902200000</v>
      </c>
      <c r="C601" s="11" t="s">
        <v>303</v>
      </c>
      <c r="D601" s="6">
        <v>154733.29999999999</v>
      </c>
      <c r="E601" s="6">
        <v>1055.7</v>
      </c>
      <c r="F601" s="7">
        <f t="shared" si="9"/>
        <v>-153677.59999999998</v>
      </c>
      <c r="G601" t="str">
        <f>IF(표1[[#This Row],[diff]]&gt;0,"import","export")</f>
        <v>export</v>
      </c>
      <c r="H601" s="15">
        <f>ABS(표1[[#This Row],[export]]-표1[[#This Row],[import]])/(표1[[#This Row],[export]]+표1[[#This Row],[import]])</f>
        <v>0.98644705338631078</v>
      </c>
    </row>
    <row r="602" spans="1:8" x14ac:dyDescent="0.3">
      <c r="A602" s="11">
        <v>2021</v>
      </c>
      <c r="B602" s="11">
        <v>3902200000</v>
      </c>
      <c r="C602" s="11" t="s">
        <v>303</v>
      </c>
      <c r="D602" s="6">
        <v>194268.3</v>
      </c>
      <c r="E602" s="6">
        <v>1256.3</v>
      </c>
      <c r="F602" s="7">
        <f t="shared" si="9"/>
        <v>-193012</v>
      </c>
      <c r="G602" t="str">
        <f>IF(표1[[#This Row],[diff]]&gt;0,"import","export")</f>
        <v>export</v>
      </c>
      <c r="H602" s="15">
        <f>ABS(표1[[#This Row],[export]]-표1[[#This Row],[import]])/(표1[[#This Row],[export]]+표1[[#This Row],[import]])</f>
        <v>0.98714944308797981</v>
      </c>
    </row>
    <row r="603" spans="1:8" x14ac:dyDescent="0.3">
      <c r="A603" s="11">
        <v>2022</v>
      </c>
      <c r="B603" s="11">
        <v>3902200000</v>
      </c>
      <c r="C603" s="11" t="s">
        <v>303</v>
      </c>
      <c r="D603" s="6">
        <v>195332.8</v>
      </c>
      <c r="E603" s="6">
        <v>1134.7</v>
      </c>
      <c r="F603" s="7">
        <f t="shared" si="9"/>
        <v>-194198.09999999998</v>
      </c>
      <c r="G603" t="str">
        <f>IF(표1[[#This Row],[diff]]&gt;0,"import","export")</f>
        <v>export</v>
      </c>
      <c r="H603" s="15">
        <f>ABS(표1[[#This Row],[export]]-표1[[#This Row],[import]])/(표1[[#This Row],[export]]+표1[[#This Row],[import]])</f>
        <v>0.98844898011121418</v>
      </c>
    </row>
    <row r="604" spans="1:8" x14ac:dyDescent="0.3">
      <c r="A604" s="11">
        <v>2023</v>
      </c>
      <c r="B604" s="11">
        <v>3902200000</v>
      </c>
      <c r="C604" s="11" t="s">
        <v>303</v>
      </c>
      <c r="D604" s="6">
        <v>163109</v>
      </c>
      <c r="E604" s="6">
        <v>1211</v>
      </c>
      <c r="F604" s="7">
        <f t="shared" si="9"/>
        <v>-161898</v>
      </c>
      <c r="G604" t="str">
        <f>IF(표1[[#This Row],[diff]]&gt;0,"import","export")</f>
        <v>export</v>
      </c>
      <c r="H604" s="15">
        <f>ABS(표1[[#This Row],[export]]-표1[[#This Row],[import]])/(표1[[#This Row],[export]]+표1[[#This Row],[import]])</f>
        <v>0.98526046738072059</v>
      </c>
    </row>
    <row r="605" spans="1:8" x14ac:dyDescent="0.3">
      <c r="A605" s="11">
        <v>2024</v>
      </c>
      <c r="B605" s="11">
        <v>3902200000</v>
      </c>
      <c r="C605" s="11" t="s">
        <v>303</v>
      </c>
      <c r="D605" s="6">
        <v>209117.5</v>
      </c>
      <c r="E605" s="6">
        <v>1861</v>
      </c>
      <c r="F605" s="7">
        <f t="shared" si="9"/>
        <v>-207256.5</v>
      </c>
      <c r="G605" t="str">
        <f>IF(표1[[#This Row],[diff]]&gt;0,"import","export")</f>
        <v>export</v>
      </c>
      <c r="H605" s="15">
        <f>ABS(표1[[#This Row],[export]]-표1[[#This Row],[import]])/(표1[[#This Row],[export]]+표1[[#This Row],[import]])</f>
        <v>0.98235839196884989</v>
      </c>
    </row>
    <row r="606" spans="1:8" x14ac:dyDescent="0.3">
      <c r="A606" s="11">
        <v>2025</v>
      </c>
      <c r="B606" s="11">
        <v>3902200000</v>
      </c>
      <c r="C606" s="11" t="s">
        <v>303</v>
      </c>
      <c r="D606" s="6">
        <v>195306.9</v>
      </c>
      <c r="E606" s="6">
        <v>1728.7</v>
      </c>
      <c r="F606" s="7">
        <f t="shared" si="9"/>
        <v>-193578.19999999998</v>
      </c>
      <c r="G606" t="str">
        <f>IF(표1[[#This Row],[diff]]&gt;0,"import","export")</f>
        <v>export</v>
      </c>
      <c r="H606" s="15">
        <f>ABS(표1[[#This Row],[export]]-표1[[#This Row],[import]])/(표1[[#This Row],[export]]+표1[[#This Row],[import]])</f>
        <v>0.98245291713781657</v>
      </c>
    </row>
    <row r="607" spans="1:8" x14ac:dyDescent="0.3">
      <c r="A607" s="11">
        <v>2016</v>
      </c>
      <c r="B607" s="11">
        <v>3903200000</v>
      </c>
      <c r="C607" s="11" t="s">
        <v>304</v>
      </c>
      <c r="D607" s="6">
        <v>132524.9</v>
      </c>
      <c r="E607" s="6">
        <v>5571.4</v>
      </c>
      <c r="F607" s="7">
        <f t="shared" si="9"/>
        <v>-126953.5</v>
      </c>
      <c r="G607" t="str">
        <f>IF(표1[[#This Row],[diff]]&gt;0,"import","export")</f>
        <v>export</v>
      </c>
      <c r="H607" s="15">
        <f>ABS(표1[[#This Row],[export]]-표1[[#This Row],[import]])/(표1[[#This Row],[export]]+표1[[#This Row],[import]])</f>
        <v>0.91931137908836091</v>
      </c>
    </row>
    <row r="608" spans="1:8" x14ac:dyDescent="0.3">
      <c r="A608" s="11">
        <v>2017</v>
      </c>
      <c r="B608" s="11">
        <v>3903200000</v>
      </c>
      <c r="C608" s="11" t="s">
        <v>304</v>
      </c>
      <c r="D608" s="6">
        <v>132396.6</v>
      </c>
      <c r="E608" s="6">
        <v>7037.8</v>
      </c>
      <c r="F608" s="7">
        <f t="shared" si="9"/>
        <v>-125358.8</v>
      </c>
      <c r="G608" t="str">
        <f>IF(표1[[#This Row],[diff]]&gt;0,"import","export")</f>
        <v>export</v>
      </c>
      <c r="H608" s="15">
        <f>ABS(표1[[#This Row],[export]]-표1[[#This Row],[import]])/(표1[[#This Row],[export]]+표1[[#This Row],[import]])</f>
        <v>0.89905217076991051</v>
      </c>
    </row>
    <row r="609" spans="1:8" x14ac:dyDescent="0.3">
      <c r="A609" s="11">
        <v>2018</v>
      </c>
      <c r="B609" s="11">
        <v>3903200000</v>
      </c>
      <c r="C609" s="11" t="s">
        <v>304</v>
      </c>
      <c r="D609" s="6">
        <v>157492.4</v>
      </c>
      <c r="E609" s="6">
        <v>6094.3</v>
      </c>
      <c r="F609" s="7">
        <f t="shared" si="9"/>
        <v>-151398.1</v>
      </c>
      <c r="G609" t="str">
        <f>IF(표1[[#This Row],[diff]]&gt;0,"import","export")</f>
        <v>export</v>
      </c>
      <c r="H609" s="15">
        <f>ABS(표1[[#This Row],[export]]-표1[[#This Row],[import]])/(표1[[#This Row],[export]]+표1[[#This Row],[import]])</f>
        <v>0.92549149778068773</v>
      </c>
    </row>
    <row r="610" spans="1:8" x14ac:dyDescent="0.3">
      <c r="A610" s="11">
        <v>2019</v>
      </c>
      <c r="B610" s="11">
        <v>3903200000</v>
      </c>
      <c r="C610" s="11" t="s">
        <v>304</v>
      </c>
      <c r="D610" s="6">
        <v>183018.4</v>
      </c>
      <c r="E610" s="6">
        <v>5550.8</v>
      </c>
      <c r="F610" s="7">
        <f t="shared" si="9"/>
        <v>-177467.6</v>
      </c>
      <c r="G610" t="str">
        <f>IF(표1[[#This Row],[diff]]&gt;0,"import","export")</f>
        <v>export</v>
      </c>
      <c r="H610" s="15">
        <f>ABS(표1[[#This Row],[export]]-표1[[#This Row],[import]])/(표1[[#This Row],[export]]+표1[[#This Row],[import]])</f>
        <v>0.94112718301822362</v>
      </c>
    </row>
    <row r="611" spans="1:8" x14ac:dyDescent="0.3">
      <c r="A611" s="5">
        <v>2020</v>
      </c>
      <c r="B611" s="5">
        <v>3903200000</v>
      </c>
      <c r="C611" s="5" t="s">
        <v>304</v>
      </c>
      <c r="D611" s="6">
        <v>198865.7</v>
      </c>
      <c r="E611" s="6">
        <v>5314.8</v>
      </c>
      <c r="F611" s="7">
        <f t="shared" si="9"/>
        <v>-193550.90000000002</v>
      </c>
      <c r="G611" t="str">
        <f>IF(표1[[#This Row],[diff]]&gt;0,"import","export")</f>
        <v>export</v>
      </c>
      <c r="H611" s="15">
        <f>ABS(표1[[#This Row],[export]]-표1[[#This Row],[import]])/(표1[[#This Row],[export]]+표1[[#This Row],[import]])</f>
        <v>0.94794018037961525</v>
      </c>
    </row>
    <row r="612" spans="1:8" x14ac:dyDescent="0.3">
      <c r="A612" s="5">
        <v>2021</v>
      </c>
      <c r="B612" s="5">
        <v>3903200000</v>
      </c>
      <c r="C612" s="5" t="s">
        <v>304</v>
      </c>
      <c r="D612" s="6">
        <v>208849.9</v>
      </c>
      <c r="E612" s="6">
        <v>10862.3</v>
      </c>
      <c r="F612" s="7">
        <f t="shared" si="9"/>
        <v>-197987.6</v>
      </c>
      <c r="G612" t="str">
        <f>IF(표1[[#This Row],[diff]]&gt;0,"import","export")</f>
        <v>export</v>
      </c>
      <c r="H612" s="15">
        <f>ABS(표1[[#This Row],[export]]-표1[[#This Row],[import]])/(표1[[#This Row],[export]]+표1[[#This Row],[import]])</f>
        <v>0.90112246839274301</v>
      </c>
    </row>
    <row r="613" spans="1:8" x14ac:dyDescent="0.3">
      <c r="A613" s="5">
        <v>2022</v>
      </c>
      <c r="B613" s="5">
        <v>3903200000</v>
      </c>
      <c r="C613" s="5" t="s">
        <v>304</v>
      </c>
      <c r="D613" s="6">
        <v>175503.4</v>
      </c>
      <c r="E613" s="6">
        <v>6528.7</v>
      </c>
      <c r="F613" s="7">
        <f t="shared" si="9"/>
        <v>-168974.69999999998</v>
      </c>
      <c r="G613" t="str">
        <f>IF(표1[[#This Row],[diff]]&gt;0,"import","export")</f>
        <v>export</v>
      </c>
      <c r="H613" s="15">
        <f>ABS(표1[[#This Row],[export]]-표1[[#This Row],[import]])/(표1[[#This Row],[export]]+표1[[#This Row],[import]])</f>
        <v>0.92826869546634894</v>
      </c>
    </row>
    <row r="614" spans="1:8" x14ac:dyDescent="0.3">
      <c r="A614" s="5">
        <v>2023</v>
      </c>
      <c r="B614" s="5">
        <v>3903200000</v>
      </c>
      <c r="C614" s="5" t="s">
        <v>304</v>
      </c>
      <c r="D614" s="6">
        <v>160984.4</v>
      </c>
      <c r="E614" s="6">
        <v>7141.5</v>
      </c>
      <c r="F614" s="7">
        <f t="shared" si="9"/>
        <v>-153842.9</v>
      </c>
      <c r="G614" t="str">
        <f>IF(표1[[#This Row],[diff]]&gt;0,"import","export")</f>
        <v>export</v>
      </c>
      <c r="H614" s="15">
        <f>ABS(표1[[#This Row],[export]]-표1[[#This Row],[import]])/(표1[[#This Row],[export]]+표1[[#This Row],[import]])</f>
        <v>0.91504580793322143</v>
      </c>
    </row>
    <row r="615" spans="1:8" x14ac:dyDescent="0.3">
      <c r="A615" s="5">
        <v>2024</v>
      </c>
      <c r="B615" s="5">
        <v>3903200000</v>
      </c>
      <c r="C615" s="5" t="s">
        <v>304</v>
      </c>
      <c r="D615" s="6">
        <v>186685.1</v>
      </c>
      <c r="E615" s="6">
        <v>7241.7</v>
      </c>
      <c r="F615" s="7">
        <f t="shared" si="9"/>
        <v>-179443.4</v>
      </c>
      <c r="G615" t="str">
        <f>IF(표1[[#This Row],[diff]]&gt;0,"import","export")</f>
        <v>export</v>
      </c>
      <c r="H615" s="15">
        <f>ABS(표1[[#This Row],[export]]-표1[[#This Row],[import]])/(표1[[#This Row],[export]]+표1[[#This Row],[import]])</f>
        <v>0.92531511890053353</v>
      </c>
    </row>
    <row r="616" spans="1:8" x14ac:dyDescent="0.3">
      <c r="A616" s="5">
        <v>2025</v>
      </c>
      <c r="B616" s="5">
        <v>3903200000</v>
      </c>
      <c r="C616" s="5" t="s">
        <v>304</v>
      </c>
      <c r="D616" s="6">
        <v>193709.9</v>
      </c>
      <c r="E616" s="6">
        <v>6657.6</v>
      </c>
      <c r="F616" s="7">
        <f t="shared" si="9"/>
        <v>-187052.3</v>
      </c>
      <c r="G616" t="str">
        <f>IF(표1[[#This Row],[diff]]&gt;0,"import","export")</f>
        <v>export</v>
      </c>
      <c r="H616" s="15">
        <f>ABS(표1[[#This Row],[export]]-표1[[#This Row],[import]])/(표1[[#This Row],[export]]+표1[[#This Row],[import]])</f>
        <v>0.93354610902466717</v>
      </c>
    </row>
    <row r="617" spans="1:8" x14ac:dyDescent="0.3">
      <c r="A617" s="5">
        <v>2016</v>
      </c>
      <c r="B617" s="5">
        <v>3903300000</v>
      </c>
      <c r="C617" s="5" t="s">
        <v>305</v>
      </c>
      <c r="D617" s="6">
        <v>1351793.8</v>
      </c>
      <c r="E617" s="6">
        <v>10357</v>
      </c>
      <c r="F617" s="7">
        <f t="shared" si="9"/>
        <v>-1341436.8</v>
      </c>
      <c r="G617" t="str">
        <f>IF(표1[[#This Row],[diff]]&gt;0,"import","export")</f>
        <v>export</v>
      </c>
      <c r="H617" s="15">
        <f>ABS(표1[[#This Row],[export]]-표1[[#This Row],[import]])/(표1[[#This Row],[export]]+표1[[#This Row],[import]])</f>
        <v>0.98479316680649454</v>
      </c>
    </row>
    <row r="618" spans="1:8" x14ac:dyDescent="0.3">
      <c r="A618" s="5">
        <v>2017</v>
      </c>
      <c r="B618" s="5">
        <v>3903300000</v>
      </c>
      <c r="C618" s="5" t="s">
        <v>305</v>
      </c>
      <c r="D618" s="6">
        <v>1389971.7</v>
      </c>
      <c r="E618" s="6">
        <v>11515.4</v>
      </c>
      <c r="F618" s="7">
        <f t="shared" si="9"/>
        <v>-1378456.3</v>
      </c>
      <c r="G618" t="str">
        <f>IF(표1[[#This Row],[diff]]&gt;0,"import","export")</f>
        <v>export</v>
      </c>
      <c r="H618" s="15">
        <f>ABS(표1[[#This Row],[export]]-표1[[#This Row],[import]])/(표1[[#This Row],[export]]+표1[[#This Row],[import]])</f>
        <v>0.98356688406193693</v>
      </c>
    </row>
    <row r="619" spans="1:8" x14ac:dyDescent="0.3">
      <c r="A619" s="5">
        <v>2018</v>
      </c>
      <c r="B619" s="11">
        <v>3903300000</v>
      </c>
      <c r="C619" s="5" t="s">
        <v>305</v>
      </c>
      <c r="D619" s="6">
        <v>1381869.7</v>
      </c>
      <c r="E619" s="6">
        <v>9205.2999999999993</v>
      </c>
      <c r="F619" s="7">
        <f t="shared" si="9"/>
        <v>-1372664.4</v>
      </c>
      <c r="G619" t="str">
        <f>IF(표1[[#This Row],[diff]]&gt;0,"import","export")</f>
        <v>export</v>
      </c>
      <c r="H619" s="15">
        <f>ABS(표1[[#This Row],[export]]-표1[[#This Row],[import]])/(표1[[#This Row],[export]]+표1[[#This Row],[import]])</f>
        <v>0.9867651995758675</v>
      </c>
    </row>
    <row r="620" spans="1:8" x14ac:dyDescent="0.3">
      <c r="A620" s="11">
        <v>2019</v>
      </c>
      <c r="B620" s="11">
        <v>3903300000</v>
      </c>
      <c r="C620" s="5" t="s">
        <v>305</v>
      </c>
      <c r="D620" s="12">
        <v>1359590.8</v>
      </c>
      <c r="E620" s="12">
        <v>11074.6</v>
      </c>
      <c r="F620" s="7">
        <f t="shared" si="9"/>
        <v>-1348516.2</v>
      </c>
      <c r="G620" t="str">
        <f>IF(표1[[#This Row],[diff]]&gt;0,"import","export")</f>
        <v>export</v>
      </c>
      <c r="H620" s="15">
        <f>ABS(표1[[#This Row],[export]]-표1[[#This Row],[import]])/(표1[[#This Row],[export]]+표1[[#This Row],[import]])</f>
        <v>0.98384054926898989</v>
      </c>
    </row>
    <row r="621" spans="1:8" x14ac:dyDescent="0.3">
      <c r="A621" s="11">
        <v>2020</v>
      </c>
      <c r="B621" s="11">
        <v>3903300000</v>
      </c>
      <c r="C621" s="5" t="s">
        <v>305</v>
      </c>
      <c r="D621" s="12">
        <v>1348427.7</v>
      </c>
      <c r="E621" s="12">
        <v>9315.2999999999993</v>
      </c>
      <c r="F621" s="7">
        <f t="shared" si="9"/>
        <v>-1339112.3999999999</v>
      </c>
      <c r="G621" t="str">
        <f>IF(표1[[#This Row],[diff]]&gt;0,"import","export")</f>
        <v>export</v>
      </c>
      <c r="H621" s="15">
        <f>ABS(표1[[#This Row],[export]]-표1[[#This Row],[import]])/(표1[[#This Row],[export]]+표1[[#This Row],[import]])</f>
        <v>0.98627825737271335</v>
      </c>
    </row>
    <row r="622" spans="1:8" x14ac:dyDescent="0.3">
      <c r="A622" s="11">
        <v>2021</v>
      </c>
      <c r="B622" s="11">
        <v>3903300000</v>
      </c>
      <c r="C622" s="5" t="s">
        <v>305</v>
      </c>
      <c r="D622" s="12">
        <v>1260171.3</v>
      </c>
      <c r="E622" s="12">
        <v>14562.9</v>
      </c>
      <c r="F622" s="7">
        <f t="shared" si="9"/>
        <v>-1245608.4000000001</v>
      </c>
      <c r="G622" t="str">
        <f>IF(표1[[#This Row],[diff]]&gt;0,"import","export")</f>
        <v>export</v>
      </c>
      <c r="H622" s="15">
        <f>ABS(표1[[#This Row],[export]]-표1[[#This Row],[import]])/(표1[[#This Row],[export]]+표1[[#This Row],[import]])</f>
        <v>0.9771514720480553</v>
      </c>
    </row>
    <row r="623" spans="1:8" x14ac:dyDescent="0.3">
      <c r="A623" s="11">
        <v>2022</v>
      </c>
      <c r="B623" s="11">
        <v>3903300000</v>
      </c>
      <c r="C623" s="5" t="s">
        <v>305</v>
      </c>
      <c r="D623" s="12">
        <v>1075950.8</v>
      </c>
      <c r="E623" s="12">
        <v>11900.1</v>
      </c>
      <c r="F623" s="7">
        <f t="shared" si="9"/>
        <v>-1064050.7</v>
      </c>
      <c r="G623" t="str">
        <f>IF(표1[[#This Row],[diff]]&gt;0,"import","export")</f>
        <v>export</v>
      </c>
      <c r="H623" s="15">
        <f>ABS(표1[[#This Row],[export]]-표1[[#This Row],[import]])/(표1[[#This Row],[export]]+표1[[#This Row],[import]])</f>
        <v>0.97812181798075437</v>
      </c>
    </row>
    <row r="624" spans="1:8" x14ac:dyDescent="0.3">
      <c r="A624" s="11">
        <v>2023</v>
      </c>
      <c r="B624" s="11">
        <v>3903300000</v>
      </c>
      <c r="C624" s="5" t="s">
        <v>305</v>
      </c>
      <c r="D624" s="12">
        <v>1056634.8999999999</v>
      </c>
      <c r="E624" s="12">
        <v>10241.4</v>
      </c>
      <c r="F624" s="7">
        <f t="shared" si="9"/>
        <v>-1046393.4999999999</v>
      </c>
      <c r="G624" t="str">
        <f>IF(표1[[#This Row],[diff]]&gt;0,"import","export")</f>
        <v>export</v>
      </c>
      <c r="H624" s="15">
        <f>ABS(표1[[#This Row],[export]]-표1[[#This Row],[import]])/(표1[[#This Row],[export]]+표1[[#This Row],[import]])</f>
        <v>0.98080114817434794</v>
      </c>
    </row>
    <row r="625" spans="1:8" x14ac:dyDescent="0.3">
      <c r="A625" s="11">
        <v>2024</v>
      </c>
      <c r="B625" s="11">
        <v>3903300000</v>
      </c>
      <c r="C625" s="5" t="s">
        <v>305</v>
      </c>
      <c r="D625" s="12">
        <v>1096781.8999999999</v>
      </c>
      <c r="E625" s="12">
        <v>14563.3</v>
      </c>
      <c r="F625" s="7">
        <f t="shared" si="9"/>
        <v>-1082218.5999999999</v>
      </c>
      <c r="G625" t="str">
        <f>IF(표1[[#This Row],[diff]]&gt;0,"import","export")</f>
        <v>export</v>
      </c>
      <c r="H625" s="15">
        <f>ABS(표1[[#This Row],[export]]-표1[[#This Row],[import]])/(표1[[#This Row],[export]]+표1[[#This Row],[import]])</f>
        <v>0.97379158158959067</v>
      </c>
    </row>
    <row r="626" spans="1:8" x14ac:dyDescent="0.3">
      <c r="A626" s="11">
        <v>2025</v>
      </c>
      <c r="B626" s="11">
        <v>3903300000</v>
      </c>
      <c r="C626" s="5" t="s">
        <v>305</v>
      </c>
      <c r="D626" s="12">
        <v>1028204.4</v>
      </c>
      <c r="E626" s="12">
        <v>11972.8</v>
      </c>
      <c r="F626" s="7">
        <f t="shared" si="9"/>
        <v>-1016231.6</v>
      </c>
      <c r="G626" t="str">
        <f>IF(표1[[#This Row],[diff]]&gt;0,"import","export")</f>
        <v>export</v>
      </c>
      <c r="H626" s="15">
        <f>ABS(표1[[#This Row],[export]]-표1[[#This Row],[import]])/(표1[[#This Row],[export]]+표1[[#This Row],[import]])</f>
        <v>0.97697930698730939</v>
      </c>
    </row>
    <row r="627" spans="1:8" x14ac:dyDescent="0.3">
      <c r="A627" s="11">
        <v>2016</v>
      </c>
      <c r="B627" s="11">
        <v>3903901000</v>
      </c>
      <c r="C627" s="5" t="s">
        <v>306</v>
      </c>
      <c r="D627" s="12">
        <v>277123.59999999998</v>
      </c>
      <c r="E627" s="12">
        <v>7176</v>
      </c>
      <c r="F627" s="7">
        <f t="shared" si="9"/>
        <v>-269947.59999999998</v>
      </c>
      <c r="G627" t="str">
        <f>IF(표1[[#This Row],[diff]]&gt;0,"import","export")</f>
        <v>export</v>
      </c>
      <c r="H627" s="15">
        <f>ABS(표1[[#This Row],[export]]-표1[[#This Row],[import]])/(표1[[#This Row],[export]]+표1[[#This Row],[import]])</f>
        <v>0.94951804364128545</v>
      </c>
    </row>
    <row r="628" spans="1:8" x14ac:dyDescent="0.3">
      <c r="A628" s="11">
        <v>2017</v>
      </c>
      <c r="B628" s="11">
        <v>3903901000</v>
      </c>
      <c r="C628" s="5" t="s">
        <v>306</v>
      </c>
      <c r="D628" s="12">
        <v>268138.8</v>
      </c>
      <c r="E628" s="12">
        <v>6516.5</v>
      </c>
      <c r="F628" s="7">
        <f t="shared" si="9"/>
        <v>-261622.3</v>
      </c>
      <c r="G628" t="str">
        <f>IF(표1[[#This Row],[diff]]&gt;0,"import","export")</f>
        <v>export</v>
      </c>
      <c r="H628" s="15">
        <f>ABS(표1[[#This Row],[export]]-표1[[#This Row],[import]])/(표1[[#This Row],[export]]+표1[[#This Row],[import]])</f>
        <v>0.9525477935433978</v>
      </c>
    </row>
    <row r="629" spans="1:8" x14ac:dyDescent="0.3">
      <c r="A629" s="11">
        <v>2018</v>
      </c>
      <c r="B629" s="11">
        <v>3903901000</v>
      </c>
      <c r="C629" s="11" t="s">
        <v>306</v>
      </c>
      <c r="D629" s="12">
        <v>276409.7</v>
      </c>
      <c r="E629" s="12">
        <v>6809.2</v>
      </c>
      <c r="F629" s="7">
        <f t="shared" si="9"/>
        <v>-269600.5</v>
      </c>
      <c r="G629" t="str">
        <f>IF(표1[[#This Row],[diff]]&gt;0,"import","export")</f>
        <v>export</v>
      </c>
      <c r="H629" s="15">
        <f>ABS(표1[[#This Row],[export]]-표1[[#This Row],[import]])/(표1[[#This Row],[export]]+표1[[#This Row],[import]])</f>
        <v>0.95191563839842597</v>
      </c>
    </row>
    <row r="630" spans="1:8" x14ac:dyDescent="0.3">
      <c r="A630" s="11">
        <v>2019</v>
      </c>
      <c r="B630" s="11">
        <v>3903901000</v>
      </c>
      <c r="C630" s="11" t="s">
        <v>306</v>
      </c>
      <c r="D630" s="12">
        <v>287423.90000000002</v>
      </c>
      <c r="E630" s="12">
        <v>6062.4</v>
      </c>
      <c r="F630" s="7">
        <f t="shared" si="9"/>
        <v>-281361.5</v>
      </c>
      <c r="G630" t="str">
        <f>IF(표1[[#This Row],[diff]]&gt;0,"import","export")</f>
        <v>export</v>
      </c>
      <c r="H630" s="15">
        <f>ABS(표1[[#This Row],[export]]-표1[[#This Row],[import]])/(표1[[#This Row],[export]]+표1[[#This Row],[import]])</f>
        <v>0.95868699833688986</v>
      </c>
    </row>
    <row r="631" spans="1:8" x14ac:dyDescent="0.3">
      <c r="A631" s="11">
        <v>2020</v>
      </c>
      <c r="B631" s="11">
        <v>3903901000</v>
      </c>
      <c r="C631" s="11" t="s">
        <v>306</v>
      </c>
      <c r="D631" s="12">
        <v>307087.3</v>
      </c>
      <c r="E631" s="12">
        <v>6891.7</v>
      </c>
      <c r="F631" s="7">
        <f t="shared" si="9"/>
        <v>-300195.59999999998</v>
      </c>
      <c r="G631" t="str">
        <f>IF(표1[[#This Row],[diff]]&gt;0,"import","export")</f>
        <v>export</v>
      </c>
      <c r="H631" s="15">
        <f>ABS(표1[[#This Row],[export]]-표1[[#This Row],[import]])/(표1[[#This Row],[export]]+표1[[#This Row],[import]])</f>
        <v>0.95610088572802632</v>
      </c>
    </row>
    <row r="632" spans="1:8" x14ac:dyDescent="0.3">
      <c r="A632" s="11">
        <v>2021</v>
      </c>
      <c r="B632" s="11">
        <v>3903901000</v>
      </c>
      <c r="C632" s="11" t="s">
        <v>306</v>
      </c>
      <c r="D632" s="12">
        <v>276885.40000000002</v>
      </c>
      <c r="E632" s="12">
        <v>6500.2</v>
      </c>
      <c r="F632" s="7">
        <f t="shared" si="9"/>
        <v>-270385.2</v>
      </c>
      <c r="G632" t="str">
        <f>IF(표1[[#This Row],[diff]]&gt;0,"import","export")</f>
        <v>export</v>
      </c>
      <c r="H632" s="15">
        <f>ABS(표1[[#This Row],[export]]-표1[[#This Row],[import]])/(표1[[#This Row],[export]]+표1[[#This Row],[import]])</f>
        <v>0.95412469793807442</v>
      </c>
    </row>
    <row r="633" spans="1:8" x14ac:dyDescent="0.3">
      <c r="A633" s="11">
        <v>2022</v>
      </c>
      <c r="B633" s="11">
        <v>3903901000</v>
      </c>
      <c r="C633" s="11" t="s">
        <v>306</v>
      </c>
      <c r="D633" s="12">
        <v>297506.7</v>
      </c>
      <c r="E633" s="12">
        <v>4405</v>
      </c>
      <c r="F633" s="7">
        <f t="shared" si="9"/>
        <v>-293101.7</v>
      </c>
      <c r="G633" t="str">
        <f>IF(표1[[#This Row],[diff]]&gt;0,"import","export")</f>
        <v>export</v>
      </c>
      <c r="H633" s="15">
        <f>ABS(표1[[#This Row],[export]]-표1[[#This Row],[import]])/(표1[[#This Row],[export]]+표1[[#This Row],[import]])</f>
        <v>0.97081928259156569</v>
      </c>
    </row>
    <row r="634" spans="1:8" x14ac:dyDescent="0.3">
      <c r="A634" s="11">
        <v>2023</v>
      </c>
      <c r="B634" s="11">
        <v>3903901000</v>
      </c>
      <c r="C634" s="11" t="s">
        <v>306</v>
      </c>
      <c r="D634" s="12">
        <v>284974.40000000002</v>
      </c>
      <c r="E634" s="12">
        <v>4335.3</v>
      </c>
      <c r="F634" s="7">
        <f t="shared" si="9"/>
        <v>-280639.10000000003</v>
      </c>
      <c r="G634" t="str">
        <f>IF(표1[[#This Row],[diff]]&gt;0,"import","export")</f>
        <v>export</v>
      </c>
      <c r="H634" s="15">
        <f>ABS(표1[[#This Row],[export]]-표1[[#This Row],[import]])/(표1[[#This Row],[export]]+표1[[#This Row],[import]])</f>
        <v>0.97003004047219998</v>
      </c>
    </row>
    <row r="635" spans="1:8" x14ac:dyDescent="0.3">
      <c r="A635" s="11">
        <v>2024</v>
      </c>
      <c r="B635" s="11">
        <v>3903901000</v>
      </c>
      <c r="C635" s="11" t="s">
        <v>306</v>
      </c>
      <c r="D635" s="12">
        <v>281269.40000000002</v>
      </c>
      <c r="E635" s="12">
        <v>4855.3999999999996</v>
      </c>
      <c r="F635" s="7">
        <f t="shared" si="9"/>
        <v>-276414</v>
      </c>
      <c r="G635" t="str">
        <f>IF(표1[[#This Row],[diff]]&gt;0,"import","export")</f>
        <v>export</v>
      </c>
      <c r="H635" s="15">
        <f>ABS(표1[[#This Row],[export]]-표1[[#This Row],[import]])/(표1[[#This Row],[export]]+표1[[#This Row],[import]])</f>
        <v>0.96606096360748861</v>
      </c>
    </row>
    <row r="636" spans="1:8" x14ac:dyDescent="0.3">
      <c r="A636" s="11">
        <v>2025</v>
      </c>
      <c r="B636" s="11">
        <v>3903901000</v>
      </c>
      <c r="C636" s="11" t="s">
        <v>306</v>
      </c>
      <c r="D636" s="12">
        <v>262754.90000000002</v>
      </c>
      <c r="E636" s="12">
        <v>3269</v>
      </c>
      <c r="F636" s="7">
        <f t="shared" si="9"/>
        <v>-259485.90000000002</v>
      </c>
      <c r="G636" t="str">
        <f>IF(표1[[#This Row],[diff]]&gt;0,"import","export")</f>
        <v>export</v>
      </c>
      <c r="H636" s="15">
        <f>ABS(표1[[#This Row],[export]]-표1[[#This Row],[import]])/(표1[[#This Row],[export]]+표1[[#This Row],[import]])</f>
        <v>0.97542326084235287</v>
      </c>
    </row>
    <row r="637" spans="1:8" x14ac:dyDescent="0.3">
      <c r="A637" s="11">
        <v>2016</v>
      </c>
      <c r="B637" s="11">
        <v>3904100000</v>
      </c>
      <c r="C637" s="11" t="s">
        <v>399</v>
      </c>
      <c r="D637" s="12">
        <v>535525</v>
      </c>
      <c r="E637" s="12">
        <v>124099.5</v>
      </c>
      <c r="F637" s="10">
        <f t="shared" si="9"/>
        <v>-411425.5</v>
      </c>
      <c r="G637" t="str">
        <f>IF(표1[[#This Row],[diff]]&gt;0,"import","export")</f>
        <v>export</v>
      </c>
      <c r="H637" s="15">
        <f>ABS(표1[[#This Row],[export]]-표1[[#This Row],[import]])/(표1[[#This Row],[export]]+표1[[#This Row],[import]])</f>
        <v>0.62372683246301497</v>
      </c>
    </row>
    <row r="638" spans="1:8" x14ac:dyDescent="0.3">
      <c r="A638" s="11">
        <v>2017</v>
      </c>
      <c r="B638" s="11">
        <v>3904100000</v>
      </c>
      <c r="C638" s="11" t="s">
        <v>399</v>
      </c>
      <c r="D638" s="12">
        <v>514127.4</v>
      </c>
      <c r="E638" s="12">
        <v>126457.4</v>
      </c>
      <c r="F638" s="10">
        <f t="shared" si="9"/>
        <v>-387670</v>
      </c>
      <c r="G638" t="str">
        <f>IF(표1[[#This Row],[diff]]&gt;0,"import","export")</f>
        <v>export</v>
      </c>
      <c r="H638" s="15">
        <f>ABS(표1[[#This Row],[export]]-표1[[#This Row],[import]])/(표1[[#This Row],[export]]+표1[[#This Row],[import]])</f>
        <v>0.60518139050442654</v>
      </c>
    </row>
    <row r="639" spans="1:8" x14ac:dyDescent="0.3">
      <c r="A639" s="11">
        <v>2018</v>
      </c>
      <c r="B639" s="11">
        <v>3904100000</v>
      </c>
      <c r="C639" s="11" t="s">
        <v>399</v>
      </c>
      <c r="D639" s="12">
        <v>584380.5</v>
      </c>
      <c r="E639" s="12">
        <v>123571.4</v>
      </c>
      <c r="F639" s="10">
        <f t="shared" si="9"/>
        <v>-460809.1</v>
      </c>
      <c r="G639" t="str">
        <f>IF(표1[[#This Row],[diff]]&gt;0,"import","export")</f>
        <v>export</v>
      </c>
      <c r="H639" s="15">
        <f>ABS(표1[[#This Row],[export]]-표1[[#This Row],[import]])/(표1[[#This Row],[export]]+표1[[#This Row],[import]])</f>
        <v>0.65090453179093088</v>
      </c>
    </row>
    <row r="640" spans="1:8" x14ac:dyDescent="0.3">
      <c r="A640" s="11">
        <v>2019</v>
      </c>
      <c r="B640" s="11">
        <v>3904100000</v>
      </c>
      <c r="C640" s="11" t="s">
        <v>399</v>
      </c>
      <c r="D640" s="12">
        <v>466899.1</v>
      </c>
      <c r="E640" s="12">
        <v>98872.5</v>
      </c>
      <c r="F640" s="10">
        <f t="shared" si="9"/>
        <v>-368026.6</v>
      </c>
      <c r="G640" t="str">
        <f>IF(표1[[#This Row],[diff]]&gt;0,"import","export")</f>
        <v>export</v>
      </c>
      <c r="H640" s="15">
        <f>ABS(표1[[#This Row],[export]]-표1[[#This Row],[import]])/(표1[[#This Row],[export]]+표1[[#This Row],[import]])</f>
        <v>0.65048616791652314</v>
      </c>
    </row>
    <row r="641" spans="1:8" x14ac:dyDescent="0.3">
      <c r="A641" s="11">
        <v>2020</v>
      </c>
      <c r="B641" s="11">
        <v>3904100000</v>
      </c>
      <c r="C641" s="11" t="s">
        <v>399</v>
      </c>
      <c r="D641" s="12">
        <v>538958.80000000005</v>
      </c>
      <c r="E641" s="12">
        <v>87067.3</v>
      </c>
      <c r="F641" s="10">
        <f t="shared" si="9"/>
        <v>-451891.50000000006</v>
      </c>
      <c r="G641" t="str">
        <f>IF(표1[[#This Row],[diff]]&gt;0,"import","export")</f>
        <v>export</v>
      </c>
      <c r="H641" s="15">
        <f>ABS(표1[[#This Row],[export]]-표1[[#This Row],[import]])/(표1[[#This Row],[export]]+표1[[#This Row],[import]])</f>
        <v>0.72184130981120431</v>
      </c>
    </row>
    <row r="642" spans="1:8" x14ac:dyDescent="0.3">
      <c r="A642" s="11">
        <v>2021</v>
      </c>
      <c r="B642" s="11">
        <v>3904100000</v>
      </c>
      <c r="C642" s="11" t="s">
        <v>399</v>
      </c>
      <c r="D642" s="12">
        <v>529667.9</v>
      </c>
      <c r="E642" s="12">
        <v>33516.1</v>
      </c>
      <c r="F642" s="10">
        <f t="shared" ref="F642:F705" si="10">E642-D642</f>
        <v>-496151.80000000005</v>
      </c>
      <c r="G642" t="str">
        <f>IF(표1[[#This Row],[diff]]&gt;0,"import","export")</f>
        <v>export</v>
      </c>
      <c r="H642" s="15">
        <f>ABS(표1[[#This Row],[export]]-표1[[#This Row],[import]])/(표1[[#This Row],[export]]+표1[[#This Row],[import]])</f>
        <v>0.88097637716980604</v>
      </c>
    </row>
    <row r="643" spans="1:8" x14ac:dyDescent="0.3">
      <c r="A643" s="11">
        <v>2022</v>
      </c>
      <c r="B643" s="11">
        <v>3904100000</v>
      </c>
      <c r="C643" s="11" t="s">
        <v>399</v>
      </c>
      <c r="D643" s="12">
        <v>554806.19999999995</v>
      </c>
      <c r="E643" s="12">
        <v>35769</v>
      </c>
      <c r="F643" s="10">
        <f t="shared" si="10"/>
        <v>-519037.19999999995</v>
      </c>
      <c r="G643" t="str">
        <f>IF(표1[[#This Row],[diff]]&gt;0,"import","export")</f>
        <v>export</v>
      </c>
      <c r="H643" s="15">
        <f>ABS(표1[[#This Row],[export]]-표1[[#This Row],[import]])/(표1[[#This Row],[export]]+표1[[#This Row],[import]])</f>
        <v>0.87886724671134175</v>
      </c>
    </row>
    <row r="644" spans="1:8" x14ac:dyDescent="0.3">
      <c r="A644" s="11">
        <v>2023</v>
      </c>
      <c r="B644" s="11">
        <v>3904100000</v>
      </c>
      <c r="C644" s="11" t="s">
        <v>399</v>
      </c>
      <c r="D644" s="12">
        <v>683644.5</v>
      </c>
      <c r="E644" s="12">
        <v>32915.4</v>
      </c>
      <c r="F644" s="10">
        <f t="shared" si="10"/>
        <v>-650729.1</v>
      </c>
      <c r="G644" t="str">
        <f>IF(표1[[#This Row],[diff]]&gt;0,"import","export")</f>
        <v>export</v>
      </c>
      <c r="H644" s="15">
        <f>ABS(표1[[#This Row],[export]]-표1[[#This Row],[import]])/(표1[[#This Row],[export]]+표1[[#This Row],[import]])</f>
        <v>0.90812938318206193</v>
      </c>
    </row>
    <row r="645" spans="1:8" x14ac:dyDescent="0.3">
      <c r="A645" s="11">
        <v>2024</v>
      </c>
      <c r="B645" s="11">
        <v>3904100000</v>
      </c>
      <c r="C645" s="11" t="s">
        <v>399</v>
      </c>
      <c r="D645" s="12">
        <v>631994.69999999995</v>
      </c>
      <c r="E645" s="12">
        <v>38099.699999999997</v>
      </c>
      <c r="F645" s="10">
        <f t="shared" si="10"/>
        <v>-593895</v>
      </c>
      <c r="G645" t="str">
        <f>IF(표1[[#This Row],[diff]]&gt;0,"import","export")</f>
        <v>export</v>
      </c>
      <c r="H645" s="15">
        <f>ABS(표1[[#This Row],[export]]-표1[[#This Row],[import]])/(표1[[#This Row],[export]]+표1[[#This Row],[import]])</f>
        <v>0.8862855740922474</v>
      </c>
    </row>
    <row r="646" spans="1:8" x14ac:dyDescent="0.3">
      <c r="A646" s="11">
        <v>2025</v>
      </c>
      <c r="B646" s="11">
        <v>3904100000</v>
      </c>
      <c r="C646" s="11" t="s">
        <v>399</v>
      </c>
      <c r="D646" s="12">
        <v>653764.30000000005</v>
      </c>
      <c r="E646" s="12">
        <v>77024.5</v>
      </c>
      <c r="F646" s="10">
        <f t="shared" si="10"/>
        <v>-576739.80000000005</v>
      </c>
      <c r="G646" t="str">
        <f>IF(표1[[#This Row],[diff]]&gt;0,"import","export")</f>
        <v>export</v>
      </c>
      <c r="H646" s="15">
        <f>ABS(표1[[#This Row],[export]]-표1[[#This Row],[import]])/(표1[[#This Row],[export]]+표1[[#This Row],[import]])</f>
        <v>0.78920175021839412</v>
      </c>
    </row>
    <row r="647" spans="1:8" x14ac:dyDescent="0.3">
      <c r="A647" s="11">
        <v>2016</v>
      </c>
      <c r="B647" s="11">
        <v>3905300000</v>
      </c>
      <c r="C647" s="11" t="s">
        <v>411</v>
      </c>
      <c r="D647" s="12">
        <v>284.2</v>
      </c>
      <c r="E647" s="12">
        <v>17490.5</v>
      </c>
      <c r="F647" s="10">
        <f t="shared" si="10"/>
        <v>17206.3</v>
      </c>
      <c r="G647" t="str">
        <f>IF(표1[[#This Row],[diff]]&gt;0,"import","export")</f>
        <v>import</v>
      </c>
      <c r="H647" s="15">
        <f>ABS(표1[[#This Row],[export]]-표1[[#This Row],[import]])/(표1[[#This Row],[export]]+표1[[#This Row],[import]])</f>
        <v>0.96802196380248318</v>
      </c>
    </row>
    <row r="648" spans="1:8" x14ac:dyDescent="0.3">
      <c r="A648" s="11">
        <v>2017</v>
      </c>
      <c r="B648" s="11">
        <v>3905300000</v>
      </c>
      <c r="C648" s="11" t="s">
        <v>411</v>
      </c>
      <c r="D648" s="12">
        <v>217.9</v>
      </c>
      <c r="E648" s="12">
        <v>17077.3</v>
      </c>
      <c r="F648" s="10">
        <f t="shared" si="10"/>
        <v>16859.399999999998</v>
      </c>
      <c r="G648" t="str">
        <f>IF(표1[[#This Row],[diff]]&gt;0,"import","export")</f>
        <v>import</v>
      </c>
      <c r="H648" s="15">
        <f>ABS(표1[[#This Row],[export]]-표1[[#This Row],[import]])/(표1[[#This Row],[export]]+표1[[#This Row],[import]])</f>
        <v>0.97480225727369429</v>
      </c>
    </row>
    <row r="649" spans="1:8" x14ac:dyDescent="0.3">
      <c r="A649" s="11">
        <v>2018</v>
      </c>
      <c r="B649" s="11">
        <v>3905300000</v>
      </c>
      <c r="C649" s="11" t="s">
        <v>411</v>
      </c>
      <c r="D649" s="12">
        <v>201.4</v>
      </c>
      <c r="E649" s="12">
        <v>17732.599999999999</v>
      </c>
      <c r="F649" s="10">
        <f t="shared" si="10"/>
        <v>17531.199999999997</v>
      </c>
      <c r="G649" t="str">
        <f>IF(표1[[#This Row],[diff]]&gt;0,"import","export")</f>
        <v>import</v>
      </c>
      <c r="H649" s="15">
        <f>ABS(표1[[#This Row],[export]]-표1[[#This Row],[import]])/(표1[[#This Row],[export]]+표1[[#This Row],[import]])</f>
        <v>0.97753986840637874</v>
      </c>
    </row>
    <row r="650" spans="1:8" x14ac:dyDescent="0.3">
      <c r="A650" s="11">
        <v>2019</v>
      </c>
      <c r="B650" s="11">
        <v>3905300000</v>
      </c>
      <c r="C650" s="11" t="s">
        <v>411</v>
      </c>
      <c r="D650" s="12">
        <v>1058.5</v>
      </c>
      <c r="E650" s="12">
        <v>17693.599999999999</v>
      </c>
      <c r="F650" s="10">
        <f t="shared" si="10"/>
        <v>16635.099999999999</v>
      </c>
      <c r="G650" t="str">
        <f>IF(표1[[#This Row],[diff]]&gt;0,"import","export")</f>
        <v>import</v>
      </c>
      <c r="H650" s="15">
        <f>ABS(표1[[#This Row],[export]]-표1[[#This Row],[import]])/(표1[[#This Row],[export]]+표1[[#This Row],[import]])</f>
        <v>0.88710597746385733</v>
      </c>
    </row>
    <row r="651" spans="1:8" x14ac:dyDescent="0.3">
      <c r="A651" s="11">
        <v>2020</v>
      </c>
      <c r="B651" s="11">
        <v>3905300000</v>
      </c>
      <c r="C651" s="11" t="s">
        <v>411</v>
      </c>
      <c r="D651" s="12">
        <v>1010.4</v>
      </c>
      <c r="E651" s="12">
        <v>18948.7</v>
      </c>
      <c r="F651" s="10">
        <f t="shared" si="10"/>
        <v>17938.3</v>
      </c>
      <c r="G651" t="str">
        <f>IF(표1[[#This Row],[diff]]&gt;0,"import","export")</f>
        <v>import</v>
      </c>
      <c r="H651" s="15">
        <f>ABS(표1[[#This Row],[export]]-표1[[#This Row],[import]])/(표1[[#This Row],[export]]+표1[[#This Row],[import]])</f>
        <v>0.89875294978230469</v>
      </c>
    </row>
    <row r="652" spans="1:8" x14ac:dyDescent="0.3">
      <c r="A652" s="11">
        <v>2021</v>
      </c>
      <c r="B652" s="11">
        <v>3905300000</v>
      </c>
      <c r="C652" s="11" t="s">
        <v>411</v>
      </c>
      <c r="D652" s="12">
        <v>401.9</v>
      </c>
      <c r="E652" s="12">
        <v>23708.7</v>
      </c>
      <c r="F652" s="10">
        <f t="shared" si="10"/>
        <v>23306.799999999999</v>
      </c>
      <c r="G652" t="str">
        <f>IF(표1[[#This Row],[diff]]&gt;0,"import","export")</f>
        <v>import</v>
      </c>
      <c r="H652" s="15">
        <f>ABS(표1[[#This Row],[export]]-표1[[#This Row],[import]])/(표1[[#This Row],[export]]+표1[[#This Row],[import]])</f>
        <v>0.96666196610619382</v>
      </c>
    </row>
    <row r="653" spans="1:8" x14ac:dyDescent="0.3">
      <c r="A653" s="11">
        <v>2022</v>
      </c>
      <c r="B653" s="11">
        <v>3905300000</v>
      </c>
      <c r="C653" s="11" t="s">
        <v>411</v>
      </c>
      <c r="D653" s="12">
        <v>752.3</v>
      </c>
      <c r="E653" s="12">
        <v>21142.1</v>
      </c>
      <c r="F653" s="10">
        <f t="shared" si="10"/>
        <v>20389.8</v>
      </c>
      <c r="G653" t="str">
        <f>IF(표1[[#This Row],[diff]]&gt;0,"import","export")</f>
        <v>import</v>
      </c>
      <c r="H653" s="15">
        <f>ABS(표1[[#This Row],[export]]-표1[[#This Row],[import]])/(표1[[#This Row],[export]]+표1[[#This Row],[import]])</f>
        <v>0.93127923121894185</v>
      </c>
    </row>
    <row r="654" spans="1:8" x14ac:dyDescent="0.3">
      <c r="A654" s="11">
        <v>2023</v>
      </c>
      <c r="B654" s="11">
        <v>3905300000</v>
      </c>
      <c r="C654" s="11" t="s">
        <v>411</v>
      </c>
      <c r="D654" s="12">
        <v>926.9</v>
      </c>
      <c r="E654" s="12">
        <v>21085.5</v>
      </c>
      <c r="F654" s="10">
        <f t="shared" si="10"/>
        <v>20158.599999999999</v>
      </c>
      <c r="G654" t="str">
        <f>IF(표1[[#This Row],[diff]]&gt;0,"import","export")</f>
        <v>import</v>
      </c>
      <c r="H654" s="15">
        <f>ABS(표1[[#This Row],[export]]-표1[[#This Row],[import]])/(표1[[#This Row],[export]]+표1[[#This Row],[import]])</f>
        <v>0.91578383093165661</v>
      </c>
    </row>
    <row r="655" spans="1:8" x14ac:dyDescent="0.3">
      <c r="A655" s="11">
        <v>2024</v>
      </c>
      <c r="B655" s="11">
        <v>3905300000</v>
      </c>
      <c r="C655" s="11" t="s">
        <v>411</v>
      </c>
      <c r="D655" s="12">
        <v>1383.2</v>
      </c>
      <c r="E655" s="12">
        <v>22031.200000000001</v>
      </c>
      <c r="F655" s="10">
        <f t="shared" si="10"/>
        <v>20648</v>
      </c>
      <c r="G655" t="str">
        <f>IF(표1[[#This Row],[diff]]&gt;0,"import","export")</f>
        <v>import</v>
      </c>
      <c r="H655" s="15">
        <f>ABS(표1[[#This Row],[export]]-표1[[#This Row],[import]])/(표1[[#This Row],[export]]+표1[[#This Row],[import]])</f>
        <v>0.88185048517151832</v>
      </c>
    </row>
    <row r="656" spans="1:8" x14ac:dyDescent="0.3">
      <c r="A656" s="11">
        <v>2025</v>
      </c>
      <c r="B656" s="11">
        <v>3905300000</v>
      </c>
      <c r="C656" s="11" t="s">
        <v>411</v>
      </c>
      <c r="D656" s="12">
        <v>1689.6</v>
      </c>
      <c r="E656" s="12">
        <v>20288.3</v>
      </c>
      <c r="F656" s="10">
        <f t="shared" si="10"/>
        <v>18598.7</v>
      </c>
      <c r="G656" t="str">
        <f>IF(표1[[#This Row],[diff]]&gt;0,"import","export")</f>
        <v>import</v>
      </c>
      <c r="H656" s="15">
        <f>ABS(표1[[#This Row],[export]]-표1[[#This Row],[import]])/(표1[[#This Row],[export]]+표1[[#This Row],[import]])</f>
        <v>0.84624554666278407</v>
      </c>
    </row>
    <row r="657" spans="1:8" x14ac:dyDescent="0.3">
      <c r="A657" s="11">
        <v>2016</v>
      </c>
      <c r="B657" s="11">
        <v>3906100000</v>
      </c>
      <c r="C657" s="11" t="s">
        <v>307</v>
      </c>
      <c r="D657" s="12">
        <v>143639.79999999999</v>
      </c>
      <c r="E657" s="12">
        <v>10627.9</v>
      </c>
      <c r="F657" s="7">
        <f t="shared" si="10"/>
        <v>-133011.9</v>
      </c>
      <c r="G657" t="str">
        <f>IF(표1[[#This Row],[diff]]&gt;0,"import","export")</f>
        <v>export</v>
      </c>
      <c r="H657" s="15">
        <f>ABS(표1[[#This Row],[export]]-표1[[#This Row],[import]])/(표1[[#This Row],[export]]+표1[[#This Row],[import]])</f>
        <v>0.86221483823250111</v>
      </c>
    </row>
    <row r="658" spans="1:8" x14ac:dyDescent="0.3">
      <c r="A658" s="11">
        <v>2017</v>
      </c>
      <c r="B658" s="11">
        <v>3906100000</v>
      </c>
      <c r="C658" s="11" t="s">
        <v>307</v>
      </c>
      <c r="D658" s="12">
        <v>126387.5</v>
      </c>
      <c r="E658" s="12">
        <v>9786.4</v>
      </c>
      <c r="F658" s="7">
        <f t="shared" si="10"/>
        <v>-116601.1</v>
      </c>
      <c r="G658" t="str">
        <f>IF(표1[[#This Row],[diff]]&gt;0,"import","export")</f>
        <v>export</v>
      </c>
      <c r="H658" s="15">
        <f>ABS(표1[[#This Row],[export]]-표1[[#This Row],[import]])/(표1[[#This Row],[export]]+표1[[#This Row],[import]])</f>
        <v>0.85626614204337259</v>
      </c>
    </row>
    <row r="659" spans="1:8" x14ac:dyDescent="0.3">
      <c r="A659" s="11">
        <v>2018</v>
      </c>
      <c r="B659" s="11">
        <v>3906100000</v>
      </c>
      <c r="C659" s="11" t="s">
        <v>307</v>
      </c>
      <c r="D659" s="12">
        <v>114193.5</v>
      </c>
      <c r="E659" s="12">
        <v>8827.6</v>
      </c>
      <c r="F659" s="7">
        <f t="shared" si="10"/>
        <v>-105365.9</v>
      </c>
      <c r="G659" t="str">
        <f>IF(표1[[#This Row],[diff]]&gt;0,"import","export")</f>
        <v>export</v>
      </c>
      <c r="H659" s="15">
        <f>ABS(표1[[#This Row],[export]]-표1[[#This Row],[import]])/(표1[[#This Row],[export]]+표1[[#This Row],[import]])</f>
        <v>0.85648640761625439</v>
      </c>
    </row>
    <row r="660" spans="1:8" x14ac:dyDescent="0.3">
      <c r="A660" s="11">
        <v>2019</v>
      </c>
      <c r="B660" s="11">
        <v>3906100000</v>
      </c>
      <c r="C660" s="11" t="s">
        <v>307</v>
      </c>
      <c r="D660" s="12">
        <v>127757.6</v>
      </c>
      <c r="E660" s="12">
        <v>7040.7</v>
      </c>
      <c r="F660" s="7">
        <f t="shared" si="10"/>
        <v>-120716.90000000001</v>
      </c>
      <c r="G660" t="str">
        <f>IF(표1[[#This Row],[diff]]&gt;0,"import","export")</f>
        <v>export</v>
      </c>
      <c r="H660" s="15">
        <f>ABS(표1[[#This Row],[export]]-표1[[#This Row],[import]])/(표1[[#This Row],[export]]+표1[[#This Row],[import]])</f>
        <v>0.89553725825919162</v>
      </c>
    </row>
    <row r="661" spans="1:8" x14ac:dyDescent="0.3">
      <c r="A661" s="11">
        <v>2020</v>
      </c>
      <c r="B661" s="11">
        <v>3906100000</v>
      </c>
      <c r="C661" s="11" t="s">
        <v>307</v>
      </c>
      <c r="D661" s="12">
        <v>131257.1</v>
      </c>
      <c r="E661" s="12">
        <v>4618.6000000000004</v>
      </c>
      <c r="F661" s="7">
        <f t="shared" si="10"/>
        <v>-126638.5</v>
      </c>
      <c r="G661" t="str">
        <f>IF(표1[[#This Row],[diff]]&gt;0,"import","export")</f>
        <v>export</v>
      </c>
      <c r="H661" s="15">
        <f>ABS(표1[[#This Row],[export]]-표1[[#This Row],[import]])/(표1[[#This Row],[export]]+표1[[#This Row],[import]])</f>
        <v>0.93201727755588371</v>
      </c>
    </row>
    <row r="662" spans="1:8" x14ac:dyDescent="0.3">
      <c r="A662" s="11">
        <v>2021</v>
      </c>
      <c r="B662" s="11">
        <v>3906100000</v>
      </c>
      <c r="C662" s="11" t="s">
        <v>307</v>
      </c>
      <c r="D662" s="12">
        <v>136300.5</v>
      </c>
      <c r="E662" s="12">
        <v>5152.6000000000004</v>
      </c>
      <c r="F662" s="7">
        <f t="shared" si="10"/>
        <v>-131147.9</v>
      </c>
      <c r="G662" t="str">
        <f>IF(표1[[#This Row],[diff]]&gt;0,"import","export")</f>
        <v>export</v>
      </c>
      <c r="H662" s="15">
        <f>ABS(표1[[#This Row],[export]]-표1[[#This Row],[import]])/(표1[[#This Row],[export]]+표1[[#This Row],[import]])</f>
        <v>0.92714758460578095</v>
      </c>
    </row>
    <row r="663" spans="1:8" x14ac:dyDescent="0.3">
      <c r="A663" s="11">
        <v>2022</v>
      </c>
      <c r="B663" s="11">
        <v>3906100000</v>
      </c>
      <c r="C663" s="11" t="s">
        <v>307</v>
      </c>
      <c r="D663" s="12">
        <v>119666.6</v>
      </c>
      <c r="E663" s="12">
        <v>3828.5</v>
      </c>
      <c r="F663" s="7">
        <f t="shared" si="10"/>
        <v>-115838.1</v>
      </c>
      <c r="G663" t="str">
        <f>IF(표1[[#This Row],[diff]]&gt;0,"import","export")</f>
        <v>export</v>
      </c>
      <c r="H663" s="15">
        <f>ABS(표1[[#This Row],[export]]-표1[[#This Row],[import]])/(표1[[#This Row],[export]]+표1[[#This Row],[import]])</f>
        <v>0.93799753998336777</v>
      </c>
    </row>
    <row r="664" spans="1:8" x14ac:dyDescent="0.3">
      <c r="A664" s="11">
        <v>2023</v>
      </c>
      <c r="B664" s="11">
        <v>3906100000</v>
      </c>
      <c r="C664" s="11" t="s">
        <v>307</v>
      </c>
      <c r="D664" s="12">
        <v>114809.9</v>
      </c>
      <c r="E664" s="12">
        <v>3225.6</v>
      </c>
      <c r="F664" s="7">
        <f t="shared" si="10"/>
        <v>-111584.29999999999</v>
      </c>
      <c r="G664" t="str">
        <f>IF(표1[[#This Row],[diff]]&gt;0,"import","export")</f>
        <v>export</v>
      </c>
      <c r="H664" s="15">
        <f>ABS(표1[[#This Row],[export]]-표1[[#This Row],[import]])/(표1[[#This Row],[export]]+표1[[#This Row],[import]])</f>
        <v>0.94534525630001132</v>
      </c>
    </row>
    <row r="665" spans="1:8" x14ac:dyDescent="0.3">
      <c r="A665" s="11">
        <v>2024</v>
      </c>
      <c r="B665" s="11">
        <v>3906100000</v>
      </c>
      <c r="C665" s="11" t="s">
        <v>307</v>
      </c>
      <c r="D665" s="12">
        <v>120788.4</v>
      </c>
      <c r="E665" s="12">
        <v>5928.7</v>
      </c>
      <c r="F665" s="7">
        <f t="shared" si="10"/>
        <v>-114859.7</v>
      </c>
      <c r="G665" t="str">
        <f>IF(표1[[#This Row],[diff]]&gt;0,"import","export")</f>
        <v>export</v>
      </c>
      <c r="H665" s="15">
        <f>ABS(표1[[#This Row],[export]]-표1[[#This Row],[import]])/(표1[[#This Row],[export]]+표1[[#This Row],[import]])</f>
        <v>0.90642620451383438</v>
      </c>
    </row>
    <row r="666" spans="1:8" x14ac:dyDescent="0.3">
      <c r="A666" s="11">
        <v>2025</v>
      </c>
      <c r="B666" s="11">
        <v>3906100000</v>
      </c>
      <c r="C666" s="11" t="s">
        <v>307</v>
      </c>
      <c r="D666" s="12">
        <v>95600.1</v>
      </c>
      <c r="E666" s="12">
        <v>9260.1</v>
      </c>
      <c r="F666" s="7">
        <f t="shared" si="10"/>
        <v>-86340</v>
      </c>
      <c r="G666" t="str">
        <f>IF(표1[[#This Row],[diff]]&gt;0,"import","export")</f>
        <v>export</v>
      </c>
      <c r="H666" s="15">
        <f>ABS(표1[[#This Row],[export]]-표1[[#This Row],[import]])/(표1[[#This Row],[export]]+표1[[#This Row],[import]])</f>
        <v>0.82338198859052325</v>
      </c>
    </row>
    <row r="667" spans="1:8" x14ac:dyDescent="0.3">
      <c r="A667" s="11">
        <v>2016</v>
      </c>
      <c r="B667" s="11">
        <v>3907202000</v>
      </c>
      <c r="C667" s="11" t="s">
        <v>408</v>
      </c>
      <c r="D667" s="12">
        <v>330546.59999999998</v>
      </c>
      <c r="E667" s="12">
        <v>24359.599999999999</v>
      </c>
      <c r="F667" s="10">
        <f t="shared" si="10"/>
        <v>-306187</v>
      </c>
      <c r="G667" t="str">
        <f>IF(표1[[#This Row],[diff]]&gt;0,"import","export")</f>
        <v>export</v>
      </c>
      <c r="H667" s="15">
        <f>ABS(표1[[#This Row],[export]]-표1[[#This Row],[import]])/(표1[[#This Row],[export]]+표1[[#This Row],[import]])</f>
        <v>0.86272654577463015</v>
      </c>
    </row>
    <row r="668" spans="1:8" x14ac:dyDescent="0.3">
      <c r="A668" s="11">
        <v>2017</v>
      </c>
      <c r="B668" s="11">
        <v>3907202000</v>
      </c>
      <c r="C668" s="11" t="s">
        <v>408</v>
      </c>
      <c r="D668" s="12">
        <v>325838.09999999998</v>
      </c>
      <c r="E668" s="12">
        <v>61253.2</v>
      </c>
      <c r="F668" s="10">
        <f t="shared" si="10"/>
        <v>-264584.89999999997</v>
      </c>
      <c r="G668" t="str">
        <f>IF(표1[[#This Row],[diff]]&gt;0,"import","export")</f>
        <v>export</v>
      </c>
      <c r="H668" s="15">
        <f>ABS(표1[[#This Row],[export]]-표1[[#This Row],[import]])/(표1[[#This Row],[export]]+표1[[#This Row],[import]])</f>
        <v>0.68352065778796878</v>
      </c>
    </row>
    <row r="669" spans="1:8" x14ac:dyDescent="0.3">
      <c r="A669" s="11">
        <v>2018</v>
      </c>
      <c r="B669" s="11">
        <v>3907202000</v>
      </c>
      <c r="C669" s="11" t="s">
        <v>408</v>
      </c>
      <c r="D669" s="12">
        <v>328607.40000000002</v>
      </c>
      <c r="E669" s="12">
        <v>61660.800000000003</v>
      </c>
      <c r="F669" s="10">
        <f t="shared" si="10"/>
        <v>-266946.60000000003</v>
      </c>
      <c r="G669" t="str">
        <f>IF(표1[[#This Row],[diff]]&gt;0,"import","export")</f>
        <v>export</v>
      </c>
      <c r="H669" s="15">
        <f>ABS(표1[[#This Row],[export]]-표1[[#This Row],[import]])/(표1[[#This Row],[export]]+표1[[#This Row],[import]])</f>
        <v>0.68400807444726475</v>
      </c>
    </row>
    <row r="670" spans="1:8" x14ac:dyDescent="0.3">
      <c r="A670" s="11">
        <v>2019</v>
      </c>
      <c r="B670" s="11">
        <v>3907202000</v>
      </c>
      <c r="C670" s="11" t="s">
        <v>408</v>
      </c>
      <c r="D670" s="12">
        <v>398620.7</v>
      </c>
      <c r="E670" s="12">
        <v>53557.2</v>
      </c>
      <c r="F670" s="10">
        <f t="shared" si="10"/>
        <v>-345063.5</v>
      </c>
      <c r="G670" t="str">
        <f>IF(표1[[#This Row],[diff]]&gt;0,"import","export")</f>
        <v>export</v>
      </c>
      <c r="H670" s="15">
        <f>ABS(표1[[#This Row],[export]]-표1[[#This Row],[import]])/(표1[[#This Row],[export]]+표1[[#This Row],[import]])</f>
        <v>0.76311447330796123</v>
      </c>
    </row>
    <row r="671" spans="1:8" x14ac:dyDescent="0.3">
      <c r="A671" s="11">
        <v>2020</v>
      </c>
      <c r="B671" s="11">
        <v>3907202000</v>
      </c>
      <c r="C671" s="11" t="s">
        <v>408</v>
      </c>
      <c r="D671" s="12">
        <v>400884.6</v>
      </c>
      <c r="E671" s="12">
        <v>35161.4</v>
      </c>
      <c r="F671" s="10">
        <f t="shared" si="10"/>
        <v>-365723.19999999995</v>
      </c>
      <c r="G671" t="str">
        <f>IF(표1[[#This Row],[diff]]&gt;0,"import","export")</f>
        <v>export</v>
      </c>
      <c r="H671" s="15">
        <f>ABS(표1[[#This Row],[export]]-표1[[#This Row],[import]])/(표1[[#This Row],[export]]+표1[[#This Row],[import]])</f>
        <v>0.83872618943872879</v>
      </c>
    </row>
    <row r="672" spans="1:8" x14ac:dyDescent="0.3">
      <c r="A672" s="11">
        <v>2021</v>
      </c>
      <c r="B672" s="11">
        <v>3907202000</v>
      </c>
      <c r="C672" s="11" t="s">
        <v>408</v>
      </c>
      <c r="D672" s="12">
        <v>424585.7</v>
      </c>
      <c r="E672" s="12">
        <v>29635.599999999999</v>
      </c>
      <c r="F672" s="10">
        <f t="shared" si="10"/>
        <v>-394950.10000000003</v>
      </c>
      <c r="G672" t="str">
        <f>IF(표1[[#This Row],[diff]]&gt;0,"import","export")</f>
        <v>export</v>
      </c>
      <c r="H672" s="15">
        <f>ABS(표1[[#This Row],[export]]-표1[[#This Row],[import]])/(표1[[#This Row],[export]]+표1[[#This Row],[import]])</f>
        <v>0.86951030257717998</v>
      </c>
    </row>
    <row r="673" spans="1:8" x14ac:dyDescent="0.3">
      <c r="A673" s="11">
        <v>2016</v>
      </c>
      <c r="B673" s="11">
        <v>3907400000</v>
      </c>
      <c r="C673" s="11" t="s">
        <v>308</v>
      </c>
      <c r="D673" s="12">
        <v>592535.6</v>
      </c>
      <c r="E673" s="12">
        <v>82813.8</v>
      </c>
      <c r="F673" s="7">
        <f t="shared" si="10"/>
        <v>-509721.8</v>
      </c>
      <c r="G673" t="str">
        <f>IF(표1[[#This Row],[diff]]&gt;0,"import","export")</f>
        <v>export</v>
      </c>
      <c r="H673" s="15">
        <f>ABS(표1[[#This Row],[export]]-표1[[#This Row],[import]])/(표1[[#This Row],[export]]+표1[[#This Row],[import]])</f>
        <v>0.75475272503388613</v>
      </c>
    </row>
    <row r="674" spans="1:8" x14ac:dyDescent="0.3">
      <c r="A674" s="11">
        <v>2017</v>
      </c>
      <c r="B674" s="11">
        <v>3907400000</v>
      </c>
      <c r="C674" s="11" t="s">
        <v>308</v>
      </c>
      <c r="D674" s="12">
        <v>592999.30000000005</v>
      </c>
      <c r="E674" s="12">
        <v>78143.199999999997</v>
      </c>
      <c r="F674" s="7">
        <f t="shared" si="10"/>
        <v>-514856.10000000003</v>
      </c>
      <c r="G674" t="str">
        <f>IF(표1[[#This Row],[diff]]&gt;0,"import","export")</f>
        <v>export</v>
      </c>
      <c r="H674" s="15">
        <f>ABS(표1[[#This Row],[export]]-표1[[#This Row],[import]])/(표1[[#This Row],[export]]+표1[[#This Row],[import]])</f>
        <v>0.76713380541390241</v>
      </c>
    </row>
    <row r="675" spans="1:8" x14ac:dyDescent="0.3">
      <c r="A675" s="11">
        <v>2018</v>
      </c>
      <c r="B675" s="11">
        <v>3907400000</v>
      </c>
      <c r="C675" s="11" t="s">
        <v>308</v>
      </c>
      <c r="D675" s="12">
        <v>597388.9</v>
      </c>
      <c r="E675" s="12">
        <v>86752.1</v>
      </c>
      <c r="F675" s="7">
        <f t="shared" si="10"/>
        <v>-510636.80000000005</v>
      </c>
      <c r="G675" t="str">
        <f>IF(표1[[#This Row],[diff]]&gt;0,"import","export")</f>
        <v>export</v>
      </c>
      <c r="H675" s="15">
        <f>ABS(표1[[#This Row],[export]]-표1[[#This Row],[import]])/(표1[[#This Row],[export]]+표1[[#This Row],[import]])</f>
        <v>0.74639116790252313</v>
      </c>
    </row>
    <row r="676" spans="1:8" x14ac:dyDescent="0.3">
      <c r="A676" s="11">
        <v>2019</v>
      </c>
      <c r="B676" s="11">
        <v>3907400000</v>
      </c>
      <c r="C676" s="11" t="s">
        <v>308</v>
      </c>
      <c r="D676" s="12">
        <v>632851.30000000005</v>
      </c>
      <c r="E676" s="12">
        <v>69644</v>
      </c>
      <c r="F676" s="7">
        <f t="shared" si="10"/>
        <v>-563207.30000000005</v>
      </c>
      <c r="G676" t="str">
        <f>IF(표1[[#This Row],[diff]]&gt;0,"import","export")</f>
        <v>export</v>
      </c>
      <c r="H676" s="15">
        <f>ABS(표1[[#This Row],[export]]-표1[[#This Row],[import]])/(표1[[#This Row],[export]]+표1[[#This Row],[import]])</f>
        <v>0.8017239403594586</v>
      </c>
    </row>
    <row r="677" spans="1:8" x14ac:dyDescent="0.3">
      <c r="A677" s="11">
        <v>2020</v>
      </c>
      <c r="B677" s="11">
        <v>3907400000</v>
      </c>
      <c r="C677" s="11" t="s">
        <v>308</v>
      </c>
      <c r="D677" s="12">
        <v>718689.6</v>
      </c>
      <c r="E677" s="12">
        <v>74702.5</v>
      </c>
      <c r="F677" s="7">
        <f t="shared" si="10"/>
        <v>-643987.1</v>
      </c>
      <c r="G677" t="str">
        <f>IF(표1[[#This Row],[diff]]&gt;0,"import","export")</f>
        <v>export</v>
      </c>
      <c r="H677" s="15">
        <f>ABS(표1[[#This Row],[export]]-표1[[#This Row],[import]])/(표1[[#This Row],[export]]+표1[[#This Row],[import]])</f>
        <v>0.81168831905434902</v>
      </c>
    </row>
    <row r="678" spans="1:8" x14ac:dyDescent="0.3">
      <c r="A678" s="11">
        <v>2021</v>
      </c>
      <c r="B678" s="11">
        <v>3907400000</v>
      </c>
      <c r="C678" s="11" t="s">
        <v>308</v>
      </c>
      <c r="D678" s="12">
        <v>696550.2</v>
      </c>
      <c r="E678" s="12">
        <v>73327.399999999994</v>
      </c>
      <c r="F678" s="7">
        <f t="shared" si="10"/>
        <v>-623222.79999999993</v>
      </c>
      <c r="G678" t="str">
        <f>IF(표1[[#This Row],[diff]]&gt;0,"import","export")</f>
        <v>export</v>
      </c>
      <c r="H678" s="15">
        <f>ABS(표1[[#This Row],[export]]-표1[[#This Row],[import]])/(표1[[#This Row],[export]]+표1[[#This Row],[import]])</f>
        <v>0.8095089401224298</v>
      </c>
    </row>
    <row r="679" spans="1:8" x14ac:dyDescent="0.3">
      <c r="A679" s="11">
        <v>2022</v>
      </c>
      <c r="B679" s="11">
        <v>3907400000</v>
      </c>
      <c r="C679" s="11" t="s">
        <v>308</v>
      </c>
      <c r="D679" s="12">
        <v>636962.80000000005</v>
      </c>
      <c r="E679" s="12">
        <v>66408.7</v>
      </c>
      <c r="F679" s="7">
        <f t="shared" si="10"/>
        <v>-570554.10000000009</v>
      </c>
      <c r="G679" t="str">
        <f>IF(표1[[#This Row],[diff]]&gt;0,"import","export")</f>
        <v>export</v>
      </c>
      <c r="H679" s="15">
        <f>ABS(표1[[#This Row],[export]]-표1[[#This Row],[import]])/(표1[[#This Row],[export]]+표1[[#This Row],[import]])</f>
        <v>0.81117034170420621</v>
      </c>
    </row>
    <row r="680" spans="1:8" x14ac:dyDescent="0.3">
      <c r="A680" s="11">
        <v>2023</v>
      </c>
      <c r="B680" s="11">
        <v>3907400000</v>
      </c>
      <c r="C680" s="11" t="s">
        <v>308</v>
      </c>
      <c r="D680" s="12">
        <v>683700.1</v>
      </c>
      <c r="E680" s="12">
        <v>78761.100000000006</v>
      </c>
      <c r="F680" s="7">
        <f t="shared" si="10"/>
        <v>-604939</v>
      </c>
      <c r="G680" t="str">
        <f>IF(표1[[#This Row],[diff]]&gt;0,"import","export")</f>
        <v>export</v>
      </c>
      <c r="H680" s="15">
        <f>ABS(표1[[#This Row],[export]]-표1[[#This Row],[import]])/(표1[[#This Row],[export]]+표1[[#This Row],[import]])</f>
        <v>0.79340299545734272</v>
      </c>
    </row>
    <row r="681" spans="1:8" x14ac:dyDescent="0.3">
      <c r="A681" s="11">
        <v>2024</v>
      </c>
      <c r="B681" s="11">
        <v>3907400000</v>
      </c>
      <c r="C681" s="11" t="s">
        <v>308</v>
      </c>
      <c r="D681" s="12">
        <v>692931</v>
      </c>
      <c r="E681" s="12">
        <v>95754.1</v>
      </c>
      <c r="F681" s="7">
        <f t="shared" si="10"/>
        <v>-597176.9</v>
      </c>
      <c r="G681" t="str">
        <f>IF(표1[[#This Row],[diff]]&gt;0,"import","export")</f>
        <v>export</v>
      </c>
      <c r="H681" s="15">
        <f>ABS(표1[[#This Row],[export]]-표1[[#This Row],[import]])/(표1[[#This Row],[export]]+표1[[#This Row],[import]])</f>
        <v>0.75718040064405934</v>
      </c>
    </row>
    <row r="682" spans="1:8" x14ac:dyDescent="0.3">
      <c r="A682" s="11">
        <v>2025</v>
      </c>
      <c r="B682" s="11">
        <v>3907400000</v>
      </c>
      <c r="C682" s="11" t="s">
        <v>308</v>
      </c>
      <c r="D682" s="12">
        <v>653450.4</v>
      </c>
      <c r="E682" s="12">
        <v>95847.8</v>
      </c>
      <c r="F682" s="7">
        <f t="shared" si="10"/>
        <v>-557602.6</v>
      </c>
      <c r="G682" t="str">
        <f>IF(표1[[#This Row],[diff]]&gt;0,"import","export")</f>
        <v>export</v>
      </c>
      <c r="H682" s="15">
        <f>ABS(표1[[#This Row],[export]]-표1[[#This Row],[import]])/(표1[[#This Row],[export]]+표1[[#This Row],[import]])</f>
        <v>0.74416647470926789</v>
      </c>
    </row>
    <row r="683" spans="1:8" x14ac:dyDescent="0.3">
      <c r="A683" s="11">
        <v>2016</v>
      </c>
      <c r="B683" s="11">
        <v>3909500000</v>
      </c>
      <c r="C683" s="11" t="s">
        <v>309</v>
      </c>
      <c r="D683" s="12">
        <v>76228.100000000006</v>
      </c>
      <c r="E683" s="12">
        <v>24093.9</v>
      </c>
      <c r="F683" s="7">
        <f t="shared" si="10"/>
        <v>-52134.200000000004</v>
      </c>
      <c r="G683" t="str">
        <f>IF(표1[[#This Row],[diff]]&gt;0,"import","export")</f>
        <v>export</v>
      </c>
      <c r="H683" s="15">
        <f>ABS(표1[[#This Row],[export]]-표1[[#This Row],[import]])/(표1[[#This Row],[export]]+표1[[#This Row],[import]])</f>
        <v>0.51966866689260582</v>
      </c>
    </row>
    <row r="684" spans="1:8" x14ac:dyDescent="0.3">
      <c r="A684" s="11">
        <v>2017</v>
      </c>
      <c r="B684" s="11">
        <v>3909500000</v>
      </c>
      <c r="C684" s="11" t="s">
        <v>309</v>
      </c>
      <c r="D684" s="12">
        <v>85840.6</v>
      </c>
      <c r="E684" s="12">
        <v>24679.3</v>
      </c>
      <c r="F684" s="7">
        <f t="shared" si="10"/>
        <v>-61161.3</v>
      </c>
      <c r="G684" t="str">
        <f>IF(표1[[#This Row],[diff]]&gt;0,"import","export")</f>
        <v>export</v>
      </c>
      <c r="H684" s="15">
        <f>ABS(표1[[#This Row],[export]]-표1[[#This Row],[import]])/(표1[[#This Row],[export]]+표1[[#This Row],[import]])</f>
        <v>0.55339626619278515</v>
      </c>
    </row>
    <row r="685" spans="1:8" x14ac:dyDescent="0.3">
      <c r="A685" s="11">
        <v>2018</v>
      </c>
      <c r="B685" s="11">
        <v>3909500000</v>
      </c>
      <c r="C685" s="11" t="s">
        <v>309</v>
      </c>
      <c r="D685" s="12">
        <v>86348.9</v>
      </c>
      <c r="E685" s="12">
        <v>25314.2</v>
      </c>
      <c r="F685" s="7">
        <f t="shared" si="10"/>
        <v>-61034.7</v>
      </c>
      <c r="G685" t="str">
        <f>IF(표1[[#This Row],[diff]]&gt;0,"import","export")</f>
        <v>export</v>
      </c>
      <c r="H685" s="15">
        <f>ABS(표1[[#This Row],[export]]-표1[[#This Row],[import]])/(표1[[#This Row],[export]]+표1[[#This Row],[import]])</f>
        <v>0.54659686145199271</v>
      </c>
    </row>
    <row r="686" spans="1:8" x14ac:dyDescent="0.3">
      <c r="A686" s="11">
        <v>2019</v>
      </c>
      <c r="B686" s="11">
        <v>3909500000</v>
      </c>
      <c r="C686" s="11" t="s">
        <v>309</v>
      </c>
      <c r="D686" s="12">
        <v>86554.1</v>
      </c>
      <c r="E686" s="12">
        <v>26843.1</v>
      </c>
      <c r="F686" s="7">
        <f t="shared" si="10"/>
        <v>-59711.000000000007</v>
      </c>
      <c r="G686" t="str">
        <f>IF(표1[[#This Row],[diff]]&gt;0,"import","export")</f>
        <v>export</v>
      </c>
      <c r="H686" s="15">
        <f>ABS(표1[[#This Row],[export]]-표1[[#This Row],[import]])/(표1[[#This Row],[export]]+표1[[#This Row],[import]])</f>
        <v>0.52656502982436959</v>
      </c>
    </row>
    <row r="687" spans="1:8" x14ac:dyDescent="0.3">
      <c r="A687" s="11">
        <v>2020</v>
      </c>
      <c r="B687" s="11">
        <v>3909500000</v>
      </c>
      <c r="C687" s="11" t="s">
        <v>309</v>
      </c>
      <c r="D687" s="12">
        <v>77715.600000000006</v>
      </c>
      <c r="E687" s="12">
        <v>26521.4</v>
      </c>
      <c r="F687" s="7">
        <f t="shared" si="10"/>
        <v>-51194.200000000004</v>
      </c>
      <c r="G687" t="str">
        <f>IF(표1[[#This Row],[diff]]&gt;0,"import","export")</f>
        <v>export</v>
      </c>
      <c r="H687" s="15">
        <f>ABS(표1[[#This Row],[export]]-표1[[#This Row],[import]])/(표1[[#This Row],[export]]+표1[[#This Row],[import]])</f>
        <v>0.49113270719610125</v>
      </c>
    </row>
    <row r="688" spans="1:8" x14ac:dyDescent="0.3">
      <c r="A688" s="11">
        <v>2021</v>
      </c>
      <c r="B688" s="11">
        <v>3909500000</v>
      </c>
      <c r="C688" s="11" t="s">
        <v>309</v>
      </c>
      <c r="D688" s="12">
        <v>85707.6</v>
      </c>
      <c r="E688" s="12">
        <v>31971.5</v>
      </c>
      <c r="F688" s="7">
        <f t="shared" si="10"/>
        <v>-53736.100000000006</v>
      </c>
      <c r="G688" t="str">
        <f>IF(표1[[#This Row],[diff]]&gt;0,"import","export")</f>
        <v>export</v>
      </c>
      <c r="H688" s="15">
        <f>ABS(표1[[#This Row],[export]]-표1[[#This Row],[import]])/(표1[[#This Row],[export]]+표1[[#This Row],[import]])</f>
        <v>0.45663248614239915</v>
      </c>
    </row>
    <row r="689" spans="1:8" x14ac:dyDescent="0.3">
      <c r="A689" s="11">
        <v>2022</v>
      </c>
      <c r="B689" s="11">
        <v>3909500000</v>
      </c>
      <c r="C689" s="11" t="s">
        <v>309</v>
      </c>
      <c r="D689" s="12">
        <v>80632.2</v>
      </c>
      <c r="E689" s="12">
        <v>29082.3</v>
      </c>
      <c r="F689" s="7">
        <f t="shared" si="10"/>
        <v>-51549.899999999994</v>
      </c>
      <c r="G689" t="str">
        <f>IF(표1[[#This Row],[diff]]&gt;0,"import","export")</f>
        <v>export</v>
      </c>
      <c r="H689" s="15">
        <f>ABS(표1[[#This Row],[export]]-표1[[#This Row],[import]])/(표1[[#This Row],[export]]+표1[[#This Row],[import]])</f>
        <v>0.46985494168956699</v>
      </c>
    </row>
    <row r="690" spans="1:8" x14ac:dyDescent="0.3">
      <c r="A690" s="11">
        <v>2023</v>
      </c>
      <c r="B690" s="11">
        <v>3909500000</v>
      </c>
      <c r="C690" s="11" t="s">
        <v>309</v>
      </c>
      <c r="D690" s="12">
        <v>74309</v>
      </c>
      <c r="E690" s="12">
        <v>26876.799999999999</v>
      </c>
      <c r="F690" s="7">
        <f t="shared" si="10"/>
        <v>-47432.2</v>
      </c>
      <c r="G690" t="str">
        <f>IF(표1[[#This Row],[diff]]&gt;0,"import","export")</f>
        <v>export</v>
      </c>
      <c r="H690" s="15">
        <f>ABS(표1[[#This Row],[export]]-표1[[#This Row],[import]])/(표1[[#This Row],[export]]+표1[[#This Row],[import]])</f>
        <v>0.46876340356057861</v>
      </c>
    </row>
    <row r="691" spans="1:8" x14ac:dyDescent="0.3">
      <c r="A691" s="11">
        <v>2024</v>
      </c>
      <c r="B691" s="11">
        <v>3909500000</v>
      </c>
      <c r="C691" s="11" t="s">
        <v>309</v>
      </c>
      <c r="D691" s="12">
        <v>72555.100000000006</v>
      </c>
      <c r="E691" s="12">
        <v>29261.5</v>
      </c>
      <c r="F691" s="7">
        <f t="shared" si="10"/>
        <v>-43293.600000000006</v>
      </c>
      <c r="G691" t="str">
        <f>IF(표1[[#This Row],[diff]]&gt;0,"import","export")</f>
        <v>export</v>
      </c>
      <c r="H691" s="15">
        <f>ABS(표1[[#This Row],[export]]-표1[[#This Row],[import]])/(표1[[#This Row],[export]]+표1[[#This Row],[import]])</f>
        <v>0.42521160596602131</v>
      </c>
    </row>
    <row r="692" spans="1:8" x14ac:dyDescent="0.3">
      <c r="A692" s="11">
        <v>2025</v>
      </c>
      <c r="B692" s="11">
        <v>3909500000</v>
      </c>
      <c r="C692" s="11" t="s">
        <v>309</v>
      </c>
      <c r="D692" s="12">
        <v>69802.2</v>
      </c>
      <c r="E692" s="12">
        <v>30132.3</v>
      </c>
      <c r="F692" s="7">
        <f t="shared" si="10"/>
        <v>-39669.899999999994</v>
      </c>
      <c r="G692" t="str">
        <f>IF(표1[[#This Row],[diff]]&gt;0,"import","export")</f>
        <v>export</v>
      </c>
      <c r="H692" s="15">
        <f>ABS(표1[[#This Row],[export]]-표1[[#This Row],[import]])/(표1[[#This Row],[export]]+표1[[#This Row],[import]])</f>
        <v>0.39695900815033841</v>
      </c>
    </row>
    <row r="693" spans="1:8" x14ac:dyDescent="0.3">
      <c r="A693" s="11">
        <v>2016</v>
      </c>
      <c r="B693" s="11">
        <v>4002590000</v>
      </c>
      <c r="C693" s="11" t="s">
        <v>403</v>
      </c>
      <c r="D693" s="12">
        <v>118313.2</v>
      </c>
      <c r="E693" s="12">
        <v>2301</v>
      </c>
      <c r="F693" s="10">
        <f t="shared" si="10"/>
        <v>-116012.2</v>
      </c>
      <c r="G693" t="str">
        <f>IF(표1[[#This Row],[diff]]&gt;0,"import","export")</f>
        <v>export</v>
      </c>
      <c r="H693" s="15">
        <f>ABS(표1[[#This Row],[export]]-표1[[#This Row],[import]])/(표1[[#This Row],[export]]+표1[[#This Row],[import]])</f>
        <v>0.96184528853153273</v>
      </c>
    </row>
    <row r="694" spans="1:8" x14ac:dyDescent="0.3">
      <c r="A694" s="11">
        <v>2017</v>
      </c>
      <c r="B694" s="11">
        <v>4002590000</v>
      </c>
      <c r="C694" s="11" t="s">
        <v>403</v>
      </c>
      <c r="D694" s="12">
        <v>126086</v>
      </c>
      <c r="E694" s="12">
        <v>2941.4</v>
      </c>
      <c r="F694" s="10">
        <f t="shared" si="10"/>
        <v>-123144.6</v>
      </c>
      <c r="G694" t="str">
        <f>IF(표1[[#This Row],[diff]]&gt;0,"import","export")</f>
        <v>export</v>
      </c>
      <c r="H694" s="15">
        <f>ABS(표1[[#This Row],[export]]-표1[[#This Row],[import]])/(표1[[#This Row],[export]]+표1[[#This Row],[import]])</f>
        <v>0.95440658340786544</v>
      </c>
    </row>
    <row r="695" spans="1:8" x14ac:dyDescent="0.3">
      <c r="A695" s="11">
        <v>2018</v>
      </c>
      <c r="B695" s="11">
        <v>4002590000</v>
      </c>
      <c r="C695" s="11" t="s">
        <v>403</v>
      </c>
      <c r="D695" s="12">
        <v>133926.20000000001</v>
      </c>
      <c r="E695" s="12">
        <v>2254.6999999999998</v>
      </c>
      <c r="F695" s="10">
        <f t="shared" si="10"/>
        <v>-131671.5</v>
      </c>
      <c r="G695" t="str">
        <f>IF(표1[[#This Row],[diff]]&gt;0,"import","export")</f>
        <v>export</v>
      </c>
      <c r="H695" s="15">
        <f>ABS(표1[[#This Row],[export]]-표1[[#This Row],[import]])/(표1[[#This Row],[export]]+표1[[#This Row],[import]])</f>
        <v>0.96688669262723315</v>
      </c>
    </row>
    <row r="696" spans="1:8" x14ac:dyDescent="0.3">
      <c r="A696" s="11">
        <v>2019</v>
      </c>
      <c r="B696" s="11">
        <v>4002590000</v>
      </c>
      <c r="C696" s="11" t="s">
        <v>403</v>
      </c>
      <c r="D696" s="12">
        <v>125936.6</v>
      </c>
      <c r="E696" s="12">
        <v>2009.4</v>
      </c>
      <c r="F696" s="10">
        <f t="shared" si="10"/>
        <v>-123927.20000000001</v>
      </c>
      <c r="G696" t="str">
        <f>IF(표1[[#This Row],[diff]]&gt;0,"import","export")</f>
        <v>export</v>
      </c>
      <c r="H696" s="15">
        <f>ABS(표1[[#This Row],[export]]-표1[[#This Row],[import]])/(표1[[#This Row],[export]]+표1[[#This Row],[import]])</f>
        <v>0.96858987385303186</v>
      </c>
    </row>
    <row r="697" spans="1:8" x14ac:dyDescent="0.3">
      <c r="A697" s="11">
        <v>2020</v>
      </c>
      <c r="B697" s="11">
        <v>4002590000</v>
      </c>
      <c r="C697" s="11" t="s">
        <v>403</v>
      </c>
      <c r="D697" s="12">
        <v>131136.6</v>
      </c>
      <c r="E697" s="12">
        <v>2042.6</v>
      </c>
      <c r="F697" s="10">
        <f t="shared" si="10"/>
        <v>-129094</v>
      </c>
      <c r="G697" t="str">
        <f>IF(표1[[#This Row],[diff]]&gt;0,"import","export")</f>
        <v>export</v>
      </c>
      <c r="H697" s="15">
        <f>ABS(표1[[#This Row],[export]]-표1[[#This Row],[import]])/(표1[[#This Row],[export]]+표1[[#This Row],[import]])</f>
        <v>0.96932554032461515</v>
      </c>
    </row>
    <row r="698" spans="1:8" x14ac:dyDescent="0.3">
      <c r="A698" s="11">
        <v>2021</v>
      </c>
      <c r="B698" s="11">
        <v>4002590000</v>
      </c>
      <c r="C698" s="11" t="s">
        <v>403</v>
      </c>
      <c r="D698" s="12">
        <v>133790.39999999999</v>
      </c>
      <c r="E698" s="12">
        <v>2605.1999999999998</v>
      </c>
      <c r="F698" s="10">
        <f t="shared" si="10"/>
        <v>-131185.19999999998</v>
      </c>
      <c r="G698" t="str">
        <f>IF(표1[[#This Row],[diff]]&gt;0,"import","export")</f>
        <v>export</v>
      </c>
      <c r="H698" s="15">
        <f>ABS(표1[[#This Row],[export]]-표1[[#This Row],[import]])/(표1[[#This Row],[export]]+표1[[#This Row],[import]])</f>
        <v>0.96179935423136798</v>
      </c>
    </row>
    <row r="699" spans="1:8" x14ac:dyDescent="0.3">
      <c r="A699" s="11">
        <v>2022</v>
      </c>
      <c r="B699" s="11">
        <v>4002590000</v>
      </c>
      <c r="C699" s="11" t="s">
        <v>403</v>
      </c>
      <c r="D699" s="12">
        <v>120475.2</v>
      </c>
      <c r="E699" s="12">
        <v>1817.9</v>
      </c>
      <c r="F699" s="10">
        <f t="shared" si="10"/>
        <v>-118657.3</v>
      </c>
      <c r="G699" t="str">
        <f>IF(표1[[#This Row],[diff]]&gt;0,"import","export")</f>
        <v>export</v>
      </c>
      <c r="H699" s="15">
        <f>ABS(표1[[#This Row],[export]]-표1[[#This Row],[import]])/(표1[[#This Row],[export]]+표1[[#This Row],[import]])</f>
        <v>0.97026978627575888</v>
      </c>
    </row>
    <row r="700" spans="1:8" x14ac:dyDescent="0.3">
      <c r="A700" s="11">
        <v>2023</v>
      </c>
      <c r="B700" s="11">
        <v>4002590000</v>
      </c>
      <c r="C700" s="11" t="s">
        <v>403</v>
      </c>
      <c r="D700" s="12">
        <v>129318.7</v>
      </c>
      <c r="E700" s="12">
        <v>2004.8</v>
      </c>
      <c r="F700" s="10">
        <f t="shared" si="10"/>
        <v>-127313.9</v>
      </c>
      <c r="G700" t="str">
        <f>IF(표1[[#This Row],[diff]]&gt;0,"import","export")</f>
        <v>export</v>
      </c>
      <c r="H700" s="15">
        <f>ABS(표1[[#This Row],[export]]-표1[[#This Row],[import]])/(표1[[#This Row],[export]]+표1[[#This Row],[import]])</f>
        <v>0.96946776471842433</v>
      </c>
    </row>
    <row r="701" spans="1:8" x14ac:dyDescent="0.3">
      <c r="A701" s="11">
        <v>2024</v>
      </c>
      <c r="B701" s="11">
        <v>4002590000</v>
      </c>
      <c r="C701" s="11" t="s">
        <v>403</v>
      </c>
      <c r="D701" s="12">
        <v>125730.6</v>
      </c>
      <c r="E701" s="12">
        <v>1725.4</v>
      </c>
      <c r="F701" s="10">
        <f t="shared" si="10"/>
        <v>-124005.20000000001</v>
      </c>
      <c r="G701" t="str">
        <f>IF(표1[[#This Row],[diff]]&gt;0,"import","export")</f>
        <v>export</v>
      </c>
      <c r="H701" s="15">
        <f>ABS(표1[[#This Row],[export]]-표1[[#This Row],[import]])/(표1[[#This Row],[export]]+표1[[#This Row],[import]])</f>
        <v>0.97292555862415275</v>
      </c>
    </row>
    <row r="702" spans="1:8" x14ac:dyDescent="0.3">
      <c r="A702" s="11">
        <v>2025</v>
      </c>
      <c r="B702" s="11">
        <v>4002590000</v>
      </c>
      <c r="C702" s="11" t="s">
        <v>403</v>
      </c>
      <c r="D702" s="12">
        <v>135282.4</v>
      </c>
      <c r="E702" s="12">
        <v>2037.5</v>
      </c>
      <c r="F702" s="10">
        <f t="shared" si="10"/>
        <v>-133244.9</v>
      </c>
      <c r="G702" t="str">
        <f>IF(표1[[#This Row],[diff]]&gt;0,"import","export")</f>
        <v>export</v>
      </c>
      <c r="H702" s="15">
        <f>ABS(표1[[#This Row],[export]]-표1[[#This Row],[import]])/(표1[[#This Row],[export]]+표1[[#This Row],[import]])</f>
        <v>0.97032476720417071</v>
      </c>
    </row>
    <row r="703" spans="1:8" x14ac:dyDescent="0.3">
      <c r="A703" s="11">
        <v>2022</v>
      </c>
      <c r="B703" s="11">
        <v>4002600000</v>
      </c>
      <c r="C703" s="11" t="s">
        <v>410</v>
      </c>
      <c r="D703" s="12">
        <v>110.3</v>
      </c>
      <c r="E703" s="12">
        <v>1465</v>
      </c>
      <c r="F703" s="10">
        <f t="shared" si="10"/>
        <v>1354.7</v>
      </c>
      <c r="G703" t="str">
        <f>IF(표1[[#This Row],[diff]]&gt;0,"import","export")</f>
        <v>import</v>
      </c>
      <c r="H703" s="15">
        <f>ABS(표1[[#This Row],[export]]-표1[[#This Row],[import]])/(표1[[#This Row],[export]]+표1[[#This Row],[import]])</f>
        <v>0.85996318161620011</v>
      </c>
    </row>
    <row r="704" spans="1:8" x14ac:dyDescent="0.3">
      <c r="A704" s="11">
        <v>2023</v>
      </c>
      <c r="B704" s="11">
        <v>4002600000</v>
      </c>
      <c r="C704" s="11" t="s">
        <v>410</v>
      </c>
      <c r="D704" s="12">
        <v>79.099999999999994</v>
      </c>
      <c r="E704" s="12">
        <v>1206.9000000000001</v>
      </c>
      <c r="F704" s="10">
        <f t="shared" si="10"/>
        <v>1127.8000000000002</v>
      </c>
      <c r="G704" t="str">
        <f>IF(표1[[#This Row],[diff]]&gt;0,"import","export")</f>
        <v>import</v>
      </c>
      <c r="H704" s="15">
        <f>ABS(표1[[#This Row],[export]]-표1[[#This Row],[import]])/(표1[[#This Row],[export]]+표1[[#This Row],[import]])</f>
        <v>0.87698289269051333</v>
      </c>
    </row>
    <row r="705" spans="1:8" x14ac:dyDescent="0.3">
      <c r="A705" s="11">
        <v>2024</v>
      </c>
      <c r="B705" s="11">
        <v>4002600000</v>
      </c>
      <c r="C705" s="11" t="s">
        <v>410</v>
      </c>
      <c r="D705" s="12">
        <v>205</v>
      </c>
      <c r="E705" s="12">
        <v>1747.4</v>
      </c>
      <c r="F705" s="10">
        <f t="shared" si="10"/>
        <v>1542.4</v>
      </c>
      <c r="G705" t="str">
        <f>IF(표1[[#This Row],[diff]]&gt;0,"import","export")</f>
        <v>import</v>
      </c>
      <c r="H705" s="15">
        <f>ABS(표1[[#This Row],[export]]-표1[[#This Row],[import]])/(표1[[#This Row],[export]]+표1[[#This Row],[import]])</f>
        <v>0.79000204876049995</v>
      </c>
    </row>
    <row r="706" spans="1:8" x14ac:dyDescent="0.3">
      <c r="A706" s="11">
        <v>2025</v>
      </c>
      <c r="B706" s="11">
        <v>4002600000</v>
      </c>
      <c r="C706" s="11" t="s">
        <v>413</v>
      </c>
      <c r="D706" s="12">
        <v>117.7</v>
      </c>
      <c r="E706" s="12">
        <v>1400</v>
      </c>
      <c r="F706" s="10">
        <f t="shared" ref="F706:F769" si="11">E706-D706</f>
        <v>1282.3</v>
      </c>
      <c r="G706" t="str">
        <f>IF(표1[[#This Row],[diff]]&gt;0,"import","export")</f>
        <v>import</v>
      </c>
      <c r="H706" s="15">
        <f>ABS(표1[[#This Row],[export]]-표1[[#This Row],[import]])/(표1[[#This Row],[export]]+표1[[#This Row],[import]])</f>
        <v>0.84489688344205038</v>
      </c>
    </row>
    <row r="707" spans="1:8" x14ac:dyDescent="0.3">
      <c r="A707" s="5">
        <v>2016</v>
      </c>
      <c r="B707" s="5">
        <v>4002319000</v>
      </c>
      <c r="C707" s="16" t="s">
        <v>414</v>
      </c>
      <c r="D707" s="6">
        <v>406.6</v>
      </c>
      <c r="E707" s="6">
        <v>15706.5</v>
      </c>
      <c r="F707" s="10">
        <f t="shared" ref="F707:F716" si="12">E707-D707</f>
        <v>15299.9</v>
      </c>
      <c r="G707" t="str">
        <f>IF(표1[[#This Row],[diff]]&gt;0,"import","export")</f>
        <v>import</v>
      </c>
      <c r="H707" s="15">
        <f>ABS(표1[[#This Row],[export]]-표1[[#This Row],[import]])/(표1[[#This Row],[export]]+표1[[#This Row],[import]])</f>
        <v>0.94953174746014113</v>
      </c>
    </row>
    <row r="708" spans="1:8" x14ac:dyDescent="0.3">
      <c r="A708" s="5">
        <v>2017</v>
      </c>
      <c r="B708" s="5">
        <v>4002319000</v>
      </c>
      <c r="C708" s="16" t="s">
        <v>414</v>
      </c>
      <c r="D708" s="6">
        <v>423.1</v>
      </c>
      <c r="E708" s="6">
        <v>16181.7</v>
      </c>
      <c r="F708" s="10">
        <f t="shared" si="12"/>
        <v>15758.6</v>
      </c>
      <c r="G708" t="str">
        <f>IF(표1[[#This Row],[diff]]&gt;0,"import","export")</f>
        <v>import</v>
      </c>
      <c r="H708" s="15">
        <f>ABS(표1[[#This Row],[export]]-표1[[#This Row],[import]])/(표1[[#This Row],[export]]+표1[[#This Row],[import]])</f>
        <v>0.94903883214492202</v>
      </c>
    </row>
    <row r="709" spans="1:8" x14ac:dyDescent="0.3">
      <c r="A709" s="5">
        <v>2018</v>
      </c>
      <c r="B709" s="5">
        <v>4002319000</v>
      </c>
      <c r="C709" s="16" t="s">
        <v>414</v>
      </c>
      <c r="D709" s="6">
        <v>280.7</v>
      </c>
      <c r="E709" s="6">
        <v>13302.8</v>
      </c>
      <c r="F709" s="10">
        <f t="shared" si="12"/>
        <v>13022.099999999999</v>
      </c>
      <c r="G709" t="str">
        <f>IF(표1[[#This Row],[diff]]&gt;0,"import","export")</f>
        <v>import</v>
      </c>
      <c r="H709" s="15">
        <f>ABS(표1[[#This Row],[export]]-표1[[#This Row],[import]])/(표1[[#This Row],[export]]+표1[[#This Row],[import]])</f>
        <v>0.95867044576140159</v>
      </c>
    </row>
    <row r="710" spans="1:8" x14ac:dyDescent="0.3">
      <c r="A710" s="5">
        <v>2019</v>
      </c>
      <c r="B710" s="5">
        <v>4002319000</v>
      </c>
      <c r="C710" s="16" t="s">
        <v>414</v>
      </c>
      <c r="D710" s="6">
        <v>619.6</v>
      </c>
      <c r="E710" s="6">
        <v>12039.9</v>
      </c>
      <c r="F710" s="10">
        <f t="shared" si="12"/>
        <v>11420.3</v>
      </c>
      <c r="G710" t="str">
        <f>IF(표1[[#This Row],[diff]]&gt;0,"import","export")</f>
        <v>import</v>
      </c>
      <c r="H710" s="15">
        <f>ABS(표1[[#This Row],[export]]-표1[[#This Row],[import]])/(표1[[#This Row],[export]]+표1[[#This Row],[import]])</f>
        <v>0.90211303763971717</v>
      </c>
    </row>
    <row r="711" spans="1:8" x14ac:dyDescent="0.3">
      <c r="A711" s="5">
        <v>2020</v>
      </c>
      <c r="B711" s="5">
        <v>4002319000</v>
      </c>
      <c r="C711" s="16" t="s">
        <v>414</v>
      </c>
      <c r="D711" s="6">
        <v>446.9</v>
      </c>
      <c r="E711" s="6">
        <v>11050.5</v>
      </c>
      <c r="F711" s="10">
        <f t="shared" si="12"/>
        <v>10603.6</v>
      </c>
      <c r="G711" t="str">
        <f>IF(표1[[#This Row],[diff]]&gt;0,"import","export")</f>
        <v>import</v>
      </c>
      <c r="H711" s="15">
        <f>ABS(표1[[#This Row],[export]]-표1[[#This Row],[import]])/(표1[[#This Row],[export]]+표1[[#This Row],[import]])</f>
        <v>0.92226068502444036</v>
      </c>
    </row>
    <row r="712" spans="1:8" x14ac:dyDescent="0.3">
      <c r="A712" s="5">
        <v>2021</v>
      </c>
      <c r="B712" s="5">
        <v>4002319000</v>
      </c>
      <c r="C712" s="16" t="s">
        <v>414</v>
      </c>
      <c r="D712" s="6">
        <v>247.1</v>
      </c>
      <c r="E712" s="6">
        <v>14574.5</v>
      </c>
      <c r="F712" s="10">
        <f t="shared" si="12"/>
        <v>14327.4</v>
      </c>
      <c r="G712" t="str">
        <f>IF(표1[[#This Row],[diff]]&gt;0,"import","export")</f>
        <v>import</v>
      </c>
      <c r="H712" s="15">
        <f>ABS(표1[[#This Row],[export]]-표1[[#This Row],[import]])/(표1[[#This Row],[export]]+표1[[#This Row],[import]])</f>
        <v>0.9666567711987909</v>
      </c>
    </row>
    <row r="713" spans="1:8" x14ac:dyDescent="0.3">
      <c r="A713" s="5">
        <v>2022</v>
      </c>
      <c r="B713" s="5">
        <v>4002319000</v>
      </c>
      <c r="C713" s="16" t="s">
        <v>414</v>
      </c>
      <c r="D713" s="6">
        <v>545.4</v>
      </c>
      <c r="E713" s="6">
        <v>12539.8</v>
      </c>
      <c r="F713" s="10">
        <f t="shared" si="12"/>
        <v>11994.4</v>
      </c>
      <c r="G713" t="str">
        <f>IF(표1[[#This Row],[diff]]&gt;0,"import","export")</f>
        <v>import</v>
      </c>
      <c r="H713" s="15">
        <f>ABS(표1[[#This Row],[export]]-표1[[#This Row],[import]])/(표1[[#This Row],[export]]+표1[[#This Row],[import]])</f>
        <v>0.91663864518692884</v>
      </c>
    </row>
    <row r="714" spans="1:8" x14ac:dyDescent="0.3">
      <c r="A714" s="5">
        <v>2023</v>
      </c>
      <c r="B714" s="5">
        <v>4002319000</v>
      </c>
      <c r="C714" s="16" t="s">
        <v>414</v>
      </c>
      <c r="D714" s="6">
        <v>524.29999999999995</v>
      </c>
      <c r="E714" s="6">
        <v>8659.1</v>
      </c>
      <c r="F714" s="10">
        <f t="shared" si="12"/>
        <v>8134.8</v>
      </c>
      <c r="G714" t="str">
        <f>IF(표1[[#This Row],[diff]]&gt;0,"import","export")</f>
        <v>import</v>
      </c>
      <c r="H714" s="15">
        <f>ABS(표1[[#This Row],[export]]-표1[[#This Row],[import]])/(표1[[#This Row],[export]]+표1[[#This Row],[import]])</f>
        <v>0.88581571095672629</v>
      </c>
    </row>
    <row r="715" spans="1:8" x14ac:dyDescent="0.3">
      <c r="A715" s="5">
        <v>2024</v>
      </c>
      <c r="B715" s="5">
        <v>4002319000</v>
      </c>
      <c r="C715" s="16" t="s">
        <v>414</v>
      </c>
      <c r="D715" s="6">
        <v>280.89999999999998</v>
      </c>
      <c r="E715" s="6">
        <v>9073.6</v>
      </c>
      <c r="F715" s="10">
        <f t="shared" si="12"/>
        <v>8792.7000000000007</v>
      </c>
      <c r="G715" t="str">
        <f>IF(표1[[#This Row],[diff]]&gt;0,"import","export")</f>
        <v>import</v>
      </c>
      <c r="H715" s="15">
        <f>ABS(표1[[#This Row],[export]]-표1[[#This Row],[import]])/(표1[[#This Row],[export]]+표1[[#This Row],[import]])</f>
        <v>0.93994334277620406</v>
      </c>
    </row>
    <row r="716" spans="1:8" x14ac:dyDescent="0.3">
      <c r="A716" s="11">
        <v>2025</v>
      </c>
      <c r="B716" s="11">
        <v>4002319000</v>
      </c>
      <c r="C716" s="16" t="s">
        <v>414</v>
      </c>
      <c r="D716" s="12">
        <v>178.5</v>
      </c>
      <c r="E716" s="12">
        <v>8239.4</v>
      </c>
      <c r="F716" s="10">
        <f t="shared" si="12"/>
        <v>8060.9</v>
      </c>
      <c r="G716" t="str">
        <f>IF(표1[[#This Row],[diff]]&gt;0,"import","export")</f>
        <v>import</v>
      </c>
      <c r="H716" s="15">
        <f>ABS(표1[[#This Row],[export]]-표1[[#This Row],[import]])/(표1[[#This Row],[export]]+표1[[#This Row],[import]])</f>
        <v>0.95759037289585291</v>
      </c>
    </row>
  </sheetData>
  <phoneticPr fontId="1" type="noConversion"/>
  <conditionalFormatting sqref="H2:H716">
    <cfRule type="cellIs" dxfId="0" priority="1" operator="lessThan">
      <formula>0.3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a56ec2f6-49a6-4260-b291-cddfa4fb07f3}" enabled="1" method="Privileged" siteId="{a2d478ac-b585-41c5-a681-f7383808fa1a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material_master(optional)</vt:lpstr>
      <vt:lpstr>trade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이원일(W.I. Lee)</cp:lastModifiedBy>
  <dcterms:created xsi:type="dcterms:W3CDTF">2015-06-05T18:19:34Z</dcterms:created>
  <dcterms:modified xsi:type="dcterms:W3CDTF">2026-07-06T09:15:02Z</dcterms:modified>
</cp:coreProperties>
</file>