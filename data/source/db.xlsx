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comments/comment2.xml" ContentType="application/vnd.openxmlformats-officedocument.spreadsheetml.comments+xml"/>
  <Override PartName="/xl/tables/table22.xml" ContentType="application/vnd.openxmlformats-officedocument.spreadsheetml.tabl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20" yWindow="-120" windowWidth="29040" windowHeight="15720" tabRatio="600" firstSheet="10" activeTab="11" autoFilterDateGrouping="1"/>
  </bookViews>
  <sheets>
    <sheet name="supply_value_overall_score" sheetId="1" state="visible" r:id="rId1"/>
    <sheet name="supply_score" sheetId="2" state="visible" r:id="rId2"/>
    <sheet name="value_chain_score" sheetId="3" state="visible" r:id="rId3"/>
    <sheet name="rating" sheetId="4" state="visible" r:id="rId4"/>
    <sheet name="end_use_id" sheetId="5" state="visible" r:id="rId5"/>
    <sheet name="end_use_specialty" sheetId="6" state="visible" r:id="rId6"/>
    <sheet name="app_id" sheetId="7" state="visible" r:id="rId7"/>
    <sheet name="app_master" sheetId="8" state="visible" r:id="rId8"/>
    <sheet name="app_rating" sheetId="9" state="visible" r:id="rId9"/>
    <sheet name="group_master" sheetId="10" state="visible" r:id="rId10"/>
    <sheet name="specialty_master" sheetId="11" state="visible" r:id="rId11"/>
    <sheet name="material_master" sheetId="12" state="visible" r:id="rId12"/>
    <sheet name="route_master" sheetId="13" state="visible" r:id="rId13"/>
    <sheet name="route_input_link" sheetId="14" state="visible" r:id="rId14"/>
    <sheet name="route_output_link" sheetId="15" state="visible" r:id="rId15"/>
    <sheet name="licensor_master" sheetId="16" state="visible" r:id="rId16"/>
    <sheet name="route_licensor_link" sheetId="17" state="visible" r:id="rId17"/>
    <sheet name="supplier_master" sheetId="18" state="visible" r:id="rId18"/>
    <sheet name="material_supplier_link" sheetId="19" state="visible" r:id="rId19"/>
    <sheet name="location_master" sheetId="20" state="visible" r:id="rId20"/>
    <sheet name="ccma_list" sheetId="21" state="visible" r:id="rId21"/>
    <sheet name="ceh_list" sheetId="22" state="visible" r:id="rId22"/>
  </sheets>
  <externalReferences>
    <externalReference r:id="rId25"/>
    <externalReference r:id="rId26"/>
  </externalReferences>
  <definedNames>
    <definedName name="__123Graph_A" hidden="1">#REF!</definedName>
    <definedName name="__123Graph_AAROPOL" hidden="1">#REF!</definedName>
    <definedName name="__123Graph_ACHART1" hidden="1">#REF!</definedName>
    <definedName name="__123Graph_ACHART10" hidden="1">#REF!</definedName>
    <definedName name="__123Graph_ACHART11" hidden="1">#REF!</definedName>
    <definedName name="__123Graph_ACHART12" hidden="1">#REF!</definedName>
    <definedName name="__123Graph_ACHART13" hidden="1">#REF!</definedName>
    <definedName name="__123Graph_ACHART14" hidden="1">#REF!</definedName>
    <definedName name="__123Graph_ACHART15" hidden="1">#REF!</definedName>
    <definedName name="__123Graph_ACHART16" hidden="1">#REF!</definedName>
    <definedName name="__123Graph_ACHART17" hidden="1">#REF!</definedName>
    <definedName name="__123Graph_ACHART18" hidden="1">#REF!</definedName>
    <definedName name="__123Graph_ACHART19" hidden="1">#REF!</definedName>
    <definedName name="__123Graph_ACHART2" hidden="1">#REF!</definedName>
    <definedName name="__123Graph_ACHART20" hidden="1">#REF!</definedName>
    <definedName name="__123Graph_ACHART21" hidden="1">#REF!</definedName>
    <definedName name="__123Graph_ACHART22" hidden="1">#REF!</definedName>
    <definedName name="__123Graph_ACHART3" hidden="1">#REF!</definedName>
    <definedName name="__123Graph_ACHART4" hidden="1">#REF!</definedName>
    <definedName name="__123Graph_ACHART5" hidden="1">#REF!</definedName>
    <definedName name="__123Graph_ACHART6" hidden="1">#REF!</definedName>
    <definedName name="__123Graph_ACHART7" hidden="1">#REF!</definedName>
    <definedName name="__123Graph_ACHART8" hidden="1">#REF!</definedName>
    <definedName name="__123Graph_ACHART9" hidden="1">#REF!</definedName>
    <definedName name="__123Graph_AEXP2" hidden="1">#REF!</definedName>
    <definedName name="__123Graph_AEXPORTS" hidden="1">#REF!</definedName>
    <definedName name="__123Graph_AMDI" hidden="1">#REF!</definedName>
    <definedName name="__123Graph_AMDIANN" hidden="1">#REF!</definedName>
    <definedName name="__123Graph_AMDISP" hidden="1">#REF!</definedName>
    <definedName name="__123Graph_ASLIDE17" hidden="1">#REF!</definedName>
    <definedName name="__123Graph_ASLIDEIII15" hidden="1">#REF!</definedName>
    <definedName name="__123Graph_ASLIDEIII25" hidden="1">#REF!</definedName>
    <definedName name="__123Graph_ASLIDEIII26" hidden="1">#REF!</definedName>
    <definedName name="__123Graph_B" hidden="1">#REF!</definedName>
    <definedName name="__123Graph_BCHART1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16" hidden="1">#REF!</definedName>
    <definedName name="__123Graph_BCHART17" hidden="1">#REF!</definedName>
    <definedName name="__123Graph_BCHART18" hidden="1">#REF!</definedName>
    <definedName name="__123Graph_BCHART19" hidden="1">#REF!</definedName>
    <definedName name="__123Graph_BCHART2" hidden="1">#REF!</definedName>
    <definedName name="__123Graph_BCHART20" hidden="1">#REF!</definedName>
    <definedName name="__123Graph_BCHART22" hidden="1">#REF!</definedName>
    <definedName name="__123Graph_BCHART3" hidden="1">#REF!</definedName>
    <definedName name="__123Graph_BCHART4" hidden="1">#REF!</definedName>
    <definedName name="__123Graph_BCHART6" hidden="1">#REF!</definedName>
    <definedName name="__123Graph_BCHART7" hidden="1">#REF!</definedName>
    <definedName name="__123Graph_BCHART8" hidden="1">#REF!</definedName>
    <definedName name="__123Graph_BCHART9" hidden="1">#REF!</definedName>
    <definedName name="__123Graph_BEXPORTS" hidden="1">#REF!</definedName>
    <definedName name="__123Graph_BGDPTRKRTM" hidden="1">#REF!</definedName>
    <definedName name="__123Graph_BMDI" hidden="1">#REF!</definedName>
    <definedName name="__123Graph_BMDIANN" hidden="1">#REF!</definedName>
    <definedName name="__123Graph_BMDISP" hidden="1">#REF!</definedName>
    <definedName name="__123Graph_BSLIDE17" hidden="1">#REF!</definedName>
    <definedName name="__123Graph_BSLIDEIII15" hidden="1">#REF!</definedName>
    <definedName name="__123Graph_BSLIDEIII25" hidden="1">#REF!</definedName>
    <definedName name="__123Graph_BSLIDEIII26" hidden="1">#REF!</definedName>
    <definedName name="__123Graph_C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4" hidden="1">#REF!</definedName>
    <definedName name="__123Graph_CCHART15" hidden="1">#REF!</definedName>
    <definedName name="__123Graph_CCHART2" hidden="1">#REF!</definedName>
    <definedName name="__123Graph_CCHART22" hidden="1">#REF!</definedName>
    <definedName name="__123Graph_CCHART3" hidden="1">#REF!</definedName>
    <definedName name="__123Graph_CCHART6" hidden="1">#REF!</definedName>
    <definedName name="__123Graph_CCHART7" hidden="1">#REF!</definedName>
    <definedName name="__123Graph_CCHART8" hidden="1">#REF!</definedName>
    <definedName name="__123Graph_CEXPORTS" hidden="1">#REF!</definedName>
    <definedName name="__123Graph_CINDICES" hidden="1">#REF!</definedName>
    <definedName name="__123Graph_CMDIANN" hidden="1">#REF!</definedName>
    <definedName name="__123Graph_CMDISP" hidden="1">#REF!</definedName>
    <definedName name="__123Graph_CSLIDEIII25" hidden="1">#REF!</definedName>
    <definedName name="__123Graph_CSLIDEIII26" hidden="1">#REF!</definedName>
    <definedName name="__123Graph_DCHART10" hidden="1">#REF!</definedName>
    <definedName name="__123Graph_DCHART14" hidden="1">#REF!</definedName>
    <definedName name="__123Graph_DSLIDEIII25" hidden="1">#REF!</definedName>
    <definedName name="__123Graph_LBL_CCHART22" hidden="1">#REF!</definedName>
    <definedName name="__123Graph_X" hidden="1">#REF!</definedName>
    <definedName name="__123Graph_XAROPOL" hidden="1">#REF!</definedName>
    <definedName name="__123Graph_XCHART1" hidden="1">#REF!</definedName>
    <definedName name="__123Graph_XCHART10" hidden="1">#REF!</definedName>
    <definedName name="__123Graph_XCHART11" hidden="1">#REF!</definedName>
    <definedName name="__123Graph_XCHART12" hidden="1">#REF!</definedName>
    <definedName name="__123Graph_XCHART13" hidden="1">#REF!</definedName>
    <definedName name="__123Graph_XCHART14" hidden="1">#REF!</definedName>
    <definedName name="__123Graph_XCHART15" hidden="1">#REF!</definedName>
    <definedName name="__123Graph_XCHART16" hidden="1">#REF!</definedName>
    <definedName name="__123Graph_XCHART17" hidden="1">#REF!</definedName>
    <definedName name="__123Graph_XCHART18" hidden="1">#REF!</definedName>
    <definedName name="__123Graph_XCHART19" hidden="1">#REF!</definedName>
    <definedName name="__123Graph_XCHART2" hidden="1">#REF!</definedName>
    <definedName name="__123Graph_XCHART20" hidden="1">#REF!</definedName>
    <definedName name="__123Graph_XCHART21" hidden="1">#REF!</definedName>
    <definedName name="__123Graph_XCHART22" hidden="1">#REF!</definedName>
    <definedName name="__123Graph_XCHART3" hidden="1">#REF!</definedName>
    <definedName name="__123Graph_XCHART4" hidden="1">#REF!</definedName>
    <definedName name="__123Graph_XCHART5" hidden="1">#REF!</definedName>
    <definedName name="__123Graph_XCHART6" hidden="1">#REF!</definedName>
    <definedName name="__123Graph_XCHART7" hidden="1">#REF!</definedName>
    <definedName name="__123Graph_XCHART8" hidden="1">#REF!</definedName>
    <definedName name="__123Graph_XCHART9" hidden="1">#REF!</definedName>
    <definedName name="__123Graph_XEXP2" hidden="1">#REF!</definedName>
    <definedName name="__123Graph_XEXPORTS" hidden="1">#REF!</definedName>
    <definedName name="__123Graph_XMDI" hidden="1">#REF!</definedName>
    <definedName name="__123Graph_XMDIANN" hidden="1">#REF!</definedName>
    <definedName name="__123Graph_XMDISP" hidden="1">#REF!</definedName>
    <definedName name="__123Graph_XSLIDE17" hidden="1">#REF!</definedName>
    <definedName name="__123Graph_XSLIDEIII15" hidden="1">#REF!</definedName>
    <definedName name="__123Graph_XSLIDEIII25" hidden="1">#REF!</definedName>
    <definedName name="__123Graph_XSLIDEIII26" hidden="1">#REF!</definedName>
    <definedName name="_1__123Graph_ACHART_1" hidden="1">#REF!</definedName>
    <definedName name="_1__123Graph_ACHART_15" hidden="1">#REF!</definedName>
    <definedName name="_10__123Graph_ACHART_7" hidden="1">#REF!</definedName>
    <definedName name="_10__123Graph_XCHART_15" hidden="1">#REF!</definedName>
    <definedName name="_11__123Graph_BCHART_10" hidden="1">#REF!</definedName>
    <definedName name="_12__123Graph_BCHART_13" hidden="1">#REF!</definedName>
    <definedName name="_13__123Graph_BCHART_15" hidden="1">#REF!</definedName>
    <definedName name="_14__123Graph_BCHART_18" hidden="1">#REF!</definedName>
    <definedName name="_15__123Graph_BCHART_20" hidden="1">#REF!</definedName>
    <definedName name="_16__123Graph_BCHART_23" hidden="1">#REF!</definedName>
    <definedName name="_17__123Graph_BCHART_28" hidden="1">#REF!</definedName>
    <definedName name="_18__123Graph_BCHART_29" hidden="1">#REF!</definedName>
    <definedName name="_19__123Graph_BCHART_30" hidden="1">#REF!</definedName>
    <definedName name="_2__123Graph_ACHART_18" hidden="1">#REF!</definedName>
    <definedName name="_2__123Graph_BCHART_1" hidden="1">#REF!</definedName>
    <definedName name="_2__123Graph_BCHART_10" hidden="1">#REF!</definedName>
    <definedName name="_20__123Graph_BCHART_5" hidden="1">#REF!</definedName>
    <definedName name="_21__123Graph_BCHART_6" hidden="1">#REF!</definedName>
    <definedName name="_22__123Graph_BCHART_7" hidden="1">#REF!</definedName>
    <definedName name="_23__123Graph_CCHART_10" hidden="1">#REF!</definedName>
    <definedName name="_24__123Graph_CCHART_13" hidden="1">#REF!</definedName>
    <definedName name="_25__123Graph_CCHART_15" hidden="1">#REF!</definedName>
    <definedName name="_26__123Graph_CCHART_20" hidden="1">#REF!</definedName>
    <definedName name="_27__123Graph_CCHART_23" hidden="1">#REF!</definedName>
    <definedName name="_28__123Graph_CCHART_28" hidden="1">#REF!</definedName>
    <definedName name="_29__123Graph_CCHART_29" hidden="1">#REF!</definedName>
    <definedName name="_3__123Graph_ACHART_20" hidden="1">#REF!</definedName>
    <definedName name="_3__123Graph_BCHART_13" hidden="1">#REF!</definedName>
    <definedName name="_3__123Graph_CCHART_1" hidden="1">#REF!</definedName>
    <definedName name="_30__123Graph_CCHART_30" hidden="1">#REF!</definedName>
    <definedName name="_31__123Graph_CCHART_5" hidden="1">#REF!</definedName>
    <definedName name="_32__123Graph_CCHART_6" hidden="1">#REF!</definedName>
    <definedName name="_33__123Graph_CCHART_7" hidden="1">#REF!</definedName>
    <definedName name="_34__123Graph_XCHART_10" hidden="1">#REF!</definedName>
    <definedName name="_35__123Graph_XCHART_13" hidden="1">#REF!</definedName>
    <definedName name="_36__123Graph_XCHART_15" hidden="1">#REF!</definedName>
    <definedName name="_37__123Graph_XCHART_23" hidden="1">#REF!</definedName>
    <definedName name="_38__123Graph_XCHART_28" hidden="1">#REF!</definedName>
    <definedName name="_39__123Graph_XCHART_29" hidden="1">#REF!</definedName>
    <definedName name="_4__123Graph_ACHART_23" hidden="1">#REF!</definedName>
    <definedName name="_4__123Graph_BCHART_15" hidden="1">#REF!</definedName>
    <definedName name="_4__123Graph_LBL_CCHART_1" hidden="1">#REF!</definedName>
    <definedName name="_40__123Graph_XCHART_30" hidden="1">#REF!</definedName>
    <definedName name="_5__123Graph_ACHART_28" hidden="1">#REF!</definedName>
    <definedName name="_5__123Graph_CCHART_10" hidden="1">#REF!</definedName>
    <definedName name="_5__123Graph_XCHART_1" hidden="1">#REF!</definedName>
    <definedName name="_6__123Graph_ACHART_29" hidden="1">#REF!</definedName>
    <definedName name="_6__123Graph_CCHART_13" hidden="1">#REF!</definedName>
    <definedName name="_7__123Graph_ACHART_30" hidden="1">#REF!</definedName>
    <definedName name="_7__123Graph_CCHART_15" hidden="1">#REF!</definedName>
    <definedName name="_8__123Graph_ACHART_5" hidden="1">#REF!</definedName>
    <definedName name="_8__123Graph_XCHART_10" hidden="1">#REF!</definedName>
    <definedName name="_9__123Graph_ACHART_6" hidden="1">#REF!</definedName>
    <definedName name="_9__123Graph_XCHART_13" hidden="1">#REF!</definedName>
    <definedName name="_bdm.5C43BCF7431342879A9206C542F711FD.edm" hidden="1">#REF!</definedName>
    <definedName name="_Fill" hidden="1">#REF!</definedName>
    <definedName name="_Fill_2" hidden="1">#REF!</definedName>
    <definedName name="_Fill2" hidden="1">#REF!</definedName>
    <definedName name="_Key1" hidden="1">#REF!</definedName>
    <definedName name="_Key1b" hidden="1">#REF!</definedName>
    <definedName name="_Key2" hidden="1">#REF!</definedName>
    <definedName name="_MatMult_A" hidden="1">[1]POLYOLEFINS!#REF!</definedName>
    <definedName name="_MatMult_B" hidden="1">[1]POLYOLEFINS!#REF!</definedName>
    <definedName name="_Order1" hidden="1">255</definedName>
    <definedName name="_Order2" hidden="1">255</definedName>
    <definedName name="_Order2_1" hidden="1">0</definedName>
    <definedName name="_Regression_Int" hidden="1">1</definedName>
    <definedName name="_Regression_Out" hidden="1">#REF!</definedName>
    <definedName name="_Regression_Out_2" hidden="1">#REF!</definedName>
    <definedName name="_Regression_out2" hidden="1">#REF!</definedName>
    <definedName name="_Regression_X" hidden="1">#REF!</definedName>
    <definedName name="_Regression_X2" hidden="1">#REF!</definedName>
    <definedName name="_Regression_Y" hidden="1">#REF!</definedName>
    <definedName name="_Regression_y2" hidden="1">#REF!</definedName>
    <definedName name="_Sort" hidden="1">#REF!</definedName>
    <definedName name="_Sortb" hidden="1">#REF!</definedName>
    <definedName name="a" hidden="1">#REF!</definedName>
    <definedName name="aa" hidden="1">{"Gasoline",#N/A,FALSE,"HOUSTON";"GasolineBPD",#N/A,FALSE,"BPD"}</definedName>
    <definedName name="aa_1" hidden="1">{"Gasoline",#N/A,FALSE,"HOUSTON";"GasolineBPD",#N/A,FALSE,"BPD"}</definedName>
    <definedName name="aa_1_1" hidden="1">{"Gasoline",#N/A,FALSE,"HOUSTON";"GasolineBPD",#N/A,FALSE,"BPD"}</definedName>
    <definedName name="aa_2" hidden="1">{"Gasoline",#N/A,FALSE,"HOUSTON";"GasolineBPD",#N/A,FALSE,"BPD"}</definedName>
    <definedName name="aa_2_1" hidden="1">{"Gasoline",#N/A,FALSE,"HOUSTON";"GasolineBPD",#N/A,FALSE,"BPD"}</definedName>
    <definedName name="ab" hidden="1">{"MatBal",#N/A,FALSE,"Houston Matrl Balance"}</definedName>
    <definedName name="ab_1" hidden="1">{"MatBal",#N/A,FALSE,"Houston Matrl Balance"}</definedName>
    <definedName name="ab_1_1" hidden="1">{"MatBal",#N/A,FALSE,"Houston Matrl Balance"}</definedName>
    <definedName name="ab_2" hidden="1">{"MatBal",#N/A,FALSE,"Houston Matrl Balance"}</definedName>
    <definedName name="ab_2_1" hidden="1">{"MatBal",#N/A,FALSE,"Houston Matrl Balance"}</definedName>
    <definedName name="abc" hidden="1">{"japcurrent1",#N/A,FALSE,"JAPAN PRODUCTS";"japcurrent2",#N/A,FALSE,"JAPAN PRODUCTS"}</definedName>
    <definedName name="abcd" hidden="1">{"japcurrent1",#N/A,FALSE,"JAPAN PRODUCTS";"japcurrent2",#N/A,FALSE,"JAPAN PRODUCTS"}</definedName>
    <definedName name="ac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1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1_1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2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2_1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nscount" hidden="1">1</definedName>
    <definedName name="Can_trade" hidden="1">#REF!</definedName>
    <definedName name="CHartA" hidden="1">#REF!</definedName>
    <definedName name="CIQWBGuid" hidden="1">"d5478d2e-4960-4aa9-b51f-b57792b0e820"</definedName>
    <definedName name="CIQWBInfo" hidden="1">"{ ""CIQVersion"":""9.45.614.5792"" }"</definedName>
    <definedName name="Dollars" hidden="1">{"japcurrent1",#N/A,FALSE,"JAPAN PRODUCTS";"japcurrent2",#N/A,FALSE,"JAPAN PRODUCTS"}</definedName>
    <definedName name="Dummy" hidden="1">#REF!</definedName>
    <definedName name="Fig4_2" hidden="1">{"monthly",#N/A,FALSE,"GASODEM";"qtr to yr",#N/A,FALSE,"GASODEM"}</definedName>
    <definedName name="Fig4_2_1" hidden="1">{"monthly",#N/A,FALSE,"GASODEM";"qtr to yr",#N/A,FALSE,"GASODEM"}</definedName>
    <definedName name="Fig4_2_1_1" hidden="1">{"monthly",#N/A,FALSE,"GASODEM";"qtr to yr",#N/A,FALSE,"GASODEM"}</definedName>
    <definedName name="Fig4_2_2" hidden="1">{"monthly",#N/A,FALSE,"GASODEM";"qtr to yr",#N/A,FALSE,"GASODEM"}</definedName>
    <definedName name="Fig4_2_2_1" hidden="1">{"monthly",#N/A,FALSE,"GASODEM";"qtr to yr",#N/A,FALSE,"GASODEM"}</definedName>
    <definedName name="Fill" hidden="1">#REF!</definedName>
    <definedName name="Global_Prices_2" hidden="1">#REF!</definedName>
    <definedName name="graph" hidden="1">{"monthly",#N/A,FALSE,"GASODEM";"qtr to yr",#N/A,FALSE,"GASODEM"}</definedName>
    <definedName name="graph_1" hidden="1">{"monthly",#N/A,FALSE,"GASODEM";"qtr to yr",#N/A,FALSE,"GASODEM"}</definedName>
    <definedName name="graph_1_1" hidden="1">{"monthly",#N/A,FALSE,"GASODEM";"qtr to yr",#N/A,FALSE,"GASODEM"}</definedName>
    <definedName name="graph_2" hidden="1">{"monthly",#N/A,FALSE,"GASODEM";"qtr to yr",#N/A,FALSE,"GASODEM"}</definedName>
    <definedName name="graph_2_1" hidden="1">{"monthly",#N/A,FALSE,"GASODEM";"qtr to yr",#N/A,FALSE,"GASODEM"}</definedName>
    <definedName name="HTML_CodePage" hidden="1">1252</definedName>
    <definedName name="HTML_Control" hidden="1">{"'Sheet1'!$A$1:$J$121"}</definedName>
    <definedName name="HTML_Description" hidden="1">""</definedName>
    <definedName name="HTML_Email" hidden="1">""</definedName>
    <definedName name="HTML_Header" hidden="1">"Sheet1"</definedName>
    <definedName name="HTML_LastUpdate" hidden="1">"10/21/99"</definedName>
    <definedName name="HTML_LineAfter" hidden="1">FALSE</definedName>
    <definedName name="HTML_LineBefore" hidden="1">FALSE</definedName>
    <definedName name="HTML_Name" hidden="1">"Paulette Peoples"</definedName>
    <definedName name="HTML_OBDlg2" hidden="1">TRUE</definedName>
    <definedName name="HTML_OBDlg4" hidden="1">TRUE</definedName>
    <definedName name="HTML_OS" hidden="1">0</definedName>
    <definedName name="HTML_PathFile" hidden="1">"\\Bhincres01\groups\Mkt_Dev\EXECMKTR\RIGS\RigBible\Web NA.htm"</definedName>
    <definedName name="HTML_Title" hidden="1">"Total North America"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40504.4285532407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38876.5673726852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limcount" hidden="1">1</definedName>
    <definedName name="lowsulfurdiesel" hidden="1">{"PAGE1",#N/A,FALSE,"YIELDS";"PAGE2",#N/A,FALSE,"YIELDS";"PAGE3",#N/A,FALSE,"YIELDS"}</definedName>
    <definedName name="lowsulfurdiesel_1" hidden="1">{"PAGE1",#N/A,FALSE,"YIELDS";"PAGE2",#N/A,FALSE,"YIELDS";"PAGE3",#N/A,FALSE,"YIELDS"}</definedName>
    <definedName name="lowsulfurdiesel_1_1" hidden="1">{"PAGE1",#N/A,FALSE,"YIELDS";"PAGE2",#N/A,FALSE,"YIELDS";"PAGE3",#N/A,FALSE,"YIELDS"}</definedName>
    <definedName name="lowsulfurdiesel_2" hidden="1">{"PAGE1",#N/A,FALSE,"YIELDS";"PAGE2",#N/A,FALSE,"YIELDS";"PAGE3",#N/A,FALSE,"YIELDS"}</definedName>
    <definedName name="lowsulfurdiesel_2_1" hidden="1">{"PAGE1",#N/A,FALSE,"YIELDS";"PAGE2",#N/A,FALSE,"YIELDS";"PAGE3",#N/A,FALSE,"YIELDS"}</definedName>
    <definedName name="lowsulphurdiesel" hidden="1">{"PAGE1",#N/A,FALSE,"YIELDS";"PAGE2",#N/A,FALSE,"YIELDS";"PAGE3",#N/A,FALSE,"YIELDS"}</definedName>
    <definedName name="lowsulphurdiesel_1" hidden="1">{"PAGE1",#N/A,FALSE,"YIELDS";"PAGE2",#N/A,FALSE,"YIELDS";"PAGE3",#N/A,FALSE,"YIELDS"}</definedName>
    <definedName name="lowsulphurdiesel_1_1" hidden="1">{"PAGE1",#N/A,FALSE,"YIELDS";"PAGE2",#N/A,FALSE,"YIELDS";"PAGE3",#N/A,FALSE,"YIELDS"}</definedName>
    <definedName name="lowsulphurdiesel_2" hidden="1">{"PAGE1",#N/A,FALSE,"YIELDS";"PAGE2",#N/A,FALSE,"YIELDS";"PAGE3",#N/A,FALSE,"YIELDS"}</definedName>
    <definedName name="lowsulphurdiesel_2_1" hidden="1">{"PAGE1",#N/A,FALSE,"YIELDS";"PAGE2",#N/A,FALSE,"YIELDS";"PAGE3",#N/A,FALSE,"YIELDS"}</definedName>
    <definedName name="Mx_cons" hidden="1">#REF!</definedName>
    <definedName name="mx_cons_2" hidden="1">#REF!</definedName>
    <definedName name="new" hidden="1">{"japlpg1",#N/A,FALSE,"JAPAN LPG ";"japllpg2",#N/A,FALSE,"JAPAN LPG "}</definedName>
    <definedName name="NN" hidden="1">#REF!</definedName>
    <definedName name="nnnn" hidden="1">#REF!</definedName>
    <definedName name="North_America" hidden="1">#REF!</definedName>
    <definedName name="pooh" hidden="1">{"PAGE1",#N/A,FALSE,"YIELDS";"PAGE2",#N/A,FALSE,"YIELDS";"PAGE3",#N/A,FALSE,"YIELDS"}</definedName>
    <definedName name="SAPBEXrevision" hidden="1">1</definedName>
    <definedName name="SAPBEXsysID" hidden="1">"BWP"</definedName>
    <definedName name="SAPBEXwbID" hidden="1">"3MZNM3C23R632FL2DM4ZHU39I"</definedName>
    <definedName name="sd" hidden="1">{"PAGE1",#N/A,FALSE,"YIELDS";"PAGE2",#N/A,FALSE,"YIELDS";"PAGE3",#N/A,FALSE,"YIELDS"}</definedName>
    <definedName name="sd_1" hidden="1">{"PAGE1",#N/A,FALSE,"YIELDS";"PAGE2",#N/A,FALSE,"YIELDS";"PAGE3",#N/A,FALSE,"YIELDS"}</definedName>
    <definedName name="sd_1_1" hidden="1">{"PAGE1",#N/A,FALSE,"YIELDS";"PAGE2",#N/A,FALSE,"YIELDS";"PAGE3",#N/A,FALSE,"YIELDS"}</definedName>
    <definedName name="sd_2" hidden="1">{"PAGE1",#N/A,FALSE,"YIELDS";"PAGE2",#N/A,FALSE,"YIELDS";"PAGE3",#N/A,FALSE,"YIELDS"}</definedName>
    <definedName name="sd_2_1" hidden="1">{"PAGE1",#N/A,FALSE,"YIELDS";"PAGE2",#N/A,FALSE,"YIELDS";"PAGE3",#N/A,FALSE,"YIELDS"}</definedName>
    <definedName name="sencount" hidden="1">1</definedName>
    <definedName name="sha" hidden="1">#REF!</definedName>
    <definedName name="Sportsman" hidden="1">#REF!</definedName>
    <definedName name="steven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1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2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2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able_Summary" hidden="1">{"PAGE1",#N/A,FALSE,"YIELDS";"PAGE2",#N/A,FALSE,"YIELDS";"PAGE3",#N/A,FALSE,"YIELDS"}</definedName>
    <definedName name="Table_Summary_1" hidden="1">{"PAGE1",#N/A,FALSE,"YIELDS";"PAGE2",#N/A,FALSE,"YIELDS";"PAGE3",#N/A,FALSE,"YIELDS"}</definedName>
    <definedName name="Table_Summary_1_1" hidden="1">{"PAGE1",#N/A,FALSE,"YIELDS";"PAGE2",#N/A,FALSE,"YIELDS";"PAGE3",#N/A,FALSE,"YIELDS"}</definedName>
    <definedName name="Table_Summary_2" hidden="1">{"PAGE1",#N/A,FALSE,"YIELDS";"PAGE2",#N/A,FALSE,"YIELDS";"PAGE3",#N/A,FALSE,"YIELDS"}</definedName>
    <definedName name="Table_Summary_2_1" hidden="1">{"PAGE1",#N/A,FALSE,"YIELDS";"PAGE2",#N/A,FALSE,"YIELDS";"PAGE3",#N/A,FALSE,"YIELDS"}</definedName>
    <definedName name="tagggg" hidden="1">#REF!</definedName>
    <definedName name="TAX" hidden="1">{"japcurrent1",#N/A,FALSE,"JAPAN PRODUCTS";"japcurrent2",#N/A,FALSE,"JAPAN PRODUCTS"}</definedName>
    <definedName name="test" hidden="1">{"PAGE1",#N/A,FALSE,"YIELDS";"PAGE2",#N/A,FALSE,"YIELDS";"PAGE3",#N/A,FALSE,"YIELDS"}</definedName>
    <definedName name="test.4" hidden="1">{"Padd I to III",#N/A,FALSE,"REFINERY";"Padd IV to US",#N/A,FALSE,"REFINERY";"Crude Balance I",#N/A,FALSE,"REFINERY";"Crude Balance II",#N/A,FALSE,"REFINERY"}</definedName>
    <definedName name="test.4_1" hidden="1">{"Padd I to III",#N/A,FALSE,"REFINERY";"Padd IV to US",#N/A,FALSE,"REFINERY";"Crude Balance I",#N/A,FALSE,"REFINERY";"Crude Balance II",#N/A,FALSE,"REFINERY"}</definedName>
    <definedName name="test.4_1_1" hidden="1">{"Padd I to III",#N/A,FALSE,"REFINERY";"Padd IV to US",#N/A,FALSE,"REFINERY";"Crude Balance I",#N/A,FALSE,"REFINERY";"Crude Balance II",#N/A,FALSE,"REFINERY"}</definedName>
    <definedName name="test.4_2" hidden="1">{"Padd I to III",#N/A,FALSE,"REFINERY";"Padd IV to US",#N/A,FALSE,"REFINERY";"Crude Balance I",#N/A,FALSE,"REFINERY";"Crude Balance II",#N/A,FALSE,"REFINERY"}</definedName>
    <definedName name="test.4_2_1" hidden="1">{"Padd I to III",#N/A,FALSE,"REFINERY";"Padd IV to US",#N/A,FALSE,"REFINERY";"Crude Balance I",#N/A,FALSE,"REFINERY";"Crude Balance II",#N/A,FALSE,"REFINERY"}</definedName>
    <definedName name="test.all" hidden="1">{"PAGE1",#N/A,FALSE,"YIELDS";"PAGE2",#N/A,FALSE,"YIELDS";"PAGE3",#N/A,FALSE,"YIELDS"}</definedName>
    <definedName name="test.all_1" hidden="1">{"PAGE1",#N/A,FALSE,"YIELDS";"PAGE2",#N/A,FALSE,"YIELDS";"PAGE3",#N/A,FALSE,"YIELDS"}</definedName>
    <definedName name="test.all_1_1" hidden="1">{"PAGE1",#N/A,FALSE,"YIELDS";"PAGE2",#N/A,FALSE,"YIELDS";"PAGE3",#N/A,FALSE,"YIELDS"}</definedName>
    <definedName name="test.all_2" hidden="1">{"PAGE1",#N/A,FALSE,"YIELDS";"PAGE2",#N/A,FALSE,"YIELDS";"PAGE3",#N/A,FALSE,"YIELDS"}</definedName>
    <definedName name="test.all_2_1" hidden="1">{"PAGE1",#N/A,FALSE,"YIELDS";"PAGE2",#N/A,FALSE,"YIELDS";"PAGE3",#N/A,FALSE,"YIELDS"}</definedName>
    <definedName name="test_1" hidden="1">{"PAGE1",#N/A,FALSE,"YIELDS";"PAGE2",#N/A,FALSE,"YIELDS";"PAGE3",#N/A,FALSE,"YIELDS"}</definedName>
    <definedName name="test_1_1" hidden="1">{"PAGE1",#N/A,FALSE,"YIELDS";"PAGE2",#N/A,FALSE,"YIELDS";"PAGE3",#N/A,FALSE,"YIELDS"}</definedName>
    <definedName name="test_2" hidden="1">{"PAGE1",#N/A,FALSE,"YIELDS";"PAGE2",#N/A,FALSE,"YIELDS";"PAGE3",#N/A,FALSE,"YIELDS"}</definedName>
    <definedName name="test_2_1" hidden="1">{"PAGE1",#N/A,FALSE,"YIELDS";"PAGE2",#N/A,FALSE,"YIELDS";"PAGE3",#N/A,FALSE,"YIELDS"}</definedName>
    <definedName name="test3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1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2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2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5" hidden="1">{"Current",#N/A,FALSE,"Currentcal";"Current B",#N/A,FALSE,"Currentcal";"Constant",#N/A,FALSE,"Constantcal";"Constant B",#N/A,FALSE,"Constantcal"}</definedName>
    <definedName name="test5_1" hidden="1">{"Current",#N/A,FALSE,"Currentcal";"Current B",#N/A,FALSE,"Currentcal";"Constant",#N/A,FALSE,"Constantcal";"Constant B",#N/A,FALSE,"Constantcal"}</definedName>
    <definedName name="test5_1_1" hidden="1">{"Current",#N/A,FALSE,"Currentcal";"Current B",#N/A,FALSE,"Currentcal";"Constant",#N/A,FALSE,"Constantcal";"Constant B",#N/A,FALSE,"Constantcal"}</definedName>
    <definedName name="test5_2" hidden="1">{"Current",#N/A,FALSE,"Currentcal";"Current B",#N/A,FALSE,"Currentcal";"Constant",#N/A,FALSE,"Constantcal";"Constant B",#N/A,FALSE,"Constantcal"}</definedName>
    <definedName name="test5_2_1" hidden="1">{"Current",#N/A,FALSE,"Currentcal";"Current B",#N/A,FALSE,"Currentcal";"Constant",#N/A,FALSE,"Constantcal";"Constant B",#N/A,FALSE,"Constantcal"}</definedName>
    <definedName name="three" hidden="1">{"midlpg1",#N/A,FALSE,"MIDEAST LPG";"midlpg2",#N/A,FALSE,"MIDEAST LPG"}</definedName>
    <definedName name="three2" hidden="1">{"midlpg1",#N/A,FALSE,"MIDEAST LPG";"midlpg2",#N/A,FALSE,"MIDEAST LPG"}</definedName>
    <definedName name="time" hidden="1">{"japcurrent1",#N/A,FALSE,"JAPAN PRODUCTS";"japcurrent2",#N/A,FALSE,"JAPAN PRODUCTS"}</definedName>
    <definedName name="two" hidden="1">{"japlpg1",#N/A,FALSE,"JAPAN LPG ";"japllpg2",#N/A,FALSE,"JAPAN LPG 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wrn.all" hidden="1">{"PAGE1",#N/A,FALSE,"YIELDS";"PAGE2",#N/A,FALSE,"YIELDS";"PAGE3",#N/A,FALSE,"YIELDS"}</definedName>
    <definedName name="wrn.ALL." hidden="1">{"PAGE1",#N/A,FALSE,"YIELDS";"PAGE2",#N/A,FALSE,"YIELDS";"PAGE3",#N/A,FALSE,"YIELDS"}</definedName>
    <definedName name="wrn.ALL._1" hidden="1">{"PAGE1",#N/A,FALSE,"YIELDS";"PAGE2",#N/A,FALSE,"YIELDS";"PAGE3",#N/A,FALSE,"YIELDS"}</definedName>
    <definedName name="wrn.ALL._1_1" hidden="1">{"PAGE1",#N/A,FALSE,"YIELDS";"PAGE2",#N/A,FALSE,"YIELDS";"PAGE3",#N/A,FALSE,"YIELDS"}</definedName>
    <definedName name="wrn.ALL._2" hidden="1">{"PAGE1",#N/A,FALSE,"YIELDS";"PAGE2",#N/A,FALSE,"YIELDS";"PAGE3",#N/A,FALSE,"YIELDS"}</definedName>
    <definedName name="wrn.ALL._2_1" hidden="1">{"PAGE1",#N/A,FALSE,"YIELDS";"PAGE2",#N/A,FALSE,"YIELDS";"PAGE3",#N/A,FALSE,"YIELDS"}</definedName>
    <definedName name="wrn.C4._.BDE._.Supplement._.Trade." hidden="1">{"ExpTonsWE9698",#N/A,FALSE,"U.S. BDE Exp (Tons)WE abv";"ExpTonsWE9598",#N/A,FALSE,"U.S. BDE Exp (Tons)WE abv";"ExpLbsWE9698",#N/A,FALSE,"U.S. BDE Exp (Pounds)WE abv";"ExpLbsWE9598",#N/A,FALSE,"U.S. BDE Exp (Pounds)WE abv";"ImpTonsWE9698",#N/A,FALSE,"U.S. BDE Imp (Tons)WE abv";"ImpTonsWE9598",#N/A,FALSE,"U.S. BDE Imp (Tons)WE abv";"ImpLbsWE9698",#N/A,FALSE,"U.S. BDE Imp (Tons)WE abv";"ImpLbsWE9598",#N/A,FALSE,"U.S. BDE Imp (Tons)WE abv"}</definedName>
    <definedName name="wrn.charts." hidden="1">{"newyork",#N/A,FALSE,"Plots-Annually";"florida",#N/A,FALSE,"Plots-Annually"}</definedName>
    <definedName name="wrn.charts._1" hidden="1">{"newyork",#N/A,FALSE,"Plots-Annually";"florida",#N/A,FALSE,"Plots-Annually"}</definedName>
    <definedName name="wrn.charts._1_1" hidden="1">{"newyork",#N/A,FALSE,"Plots-Annually";"florida",#N/A,FALSE,"Plots-Annually"}</definedName>
    <definedName name="wrn.charts._2" hidden="1">{"newyork",#N/A,FALSE,"Plots-Annually";"florida",#N/A,FALSE,"Plots-Annually"}</definedName>
    <definedName name="wrn.charts._2_1" hidden="1">{"newyork",#N/A,FALSE,"Plots-Annually";"florida",#N/A,FALSE,"Plots-Annually"}</definedName>
    <definedName name="wrn.condensate." hidden="1">{"condensate",#N/A,FALSE,"CNTRYTYPE"}</definedName>
    <definedName name="wrn.condensate._1" hidden="1">{"condensate",#N/A,FALSE,"CNTRYTYPE"}</definedName>
    <definedName name="wrn.condensate._1_1" hidden="1">{"condensate",#N/A,FALSE,"CNTRYTYPE"}</definedName>
    <definedName name="wrn.condensate._2" hidden="1">{"condensate",#N/A,FALSE,"CNTRYTYPE"}</definedName>
    <definedName name="wrn.condensate._2_1" hidden="1">{"condensate",#N/A,FALSE,"CNTRYTYPE"}</definedName>
    <definedName name="wrn.crude." hidden="1">{"current1",#N/A,FALSE,"CRUDE";"current2",#N/A,FALSE,"CRUDE";"CONSTANT",#N/A,FALSE,"CRUDE"}</definedName>
    <definedName name="wrn.crude._1" hidden="1">{"Padd1crd",#N/A,FALSE,"REFINERY";"padd2crd",#N/A,FALSE,"REFINERY";"padd3crd",#N/A,FALSE,"REFINERY";"padd4crd",#N/A,FALSE,"REFINERY";"padd5crd",#N/A,FALSE,"REFINERY"}</definedName>
    <definedName name="wrn.crude._1_1" hidden="1">{"Padd1crd",#N/A,FALSE,"REFINERY";"padd2crd",#N/A,FALSE,"REFINERY";"padd3crd",#N/A,FALSE,"REFINERY";"padd4crd",#N/A,FALSE,"REFINERY";"padd5crd",#N/A,FALSE,"REFINERY"}</definedName>
    <definedName name="wrn.crude._2" hidden="1">{"Padd1crd",#N/A,FALSE,"REFINERY";"padd2crd",#N/A,FALSE,"REFINERY";"padd3crd",#N/A,FALSE,"REFINERY";"padd4crd",#N/A,FALSE,"REFINERY";"padd5crd",#N/A,FALSE,"REFINERY"}</definedName>
    <definedName name="wrn.crude._2_1" hidden="1">{"Padd1crd",#N/A,FALSE,"REFINERY";"padd2crd",#N/A,FALSE,"REFINERY";"padd3crd",#N/A,FALSE,"REFINERY";"padd4crd",#N/A,FALSE,"REFINERY";"padd5crd",#N/A,FALSE,"REFINERY"}</definedName>
    <definedName name="wrn.CRUDE1." hidden="1">{"int85",#N/A,FALSE,"CRUDE";"crude2000",#N/A,FALSE,"CRUDE";"int98",#N/A,FALSE,"CRUDE";"usng85",#N/A,FALSE,"u.s. Natural Gas";"usng2000",#N/A,FALSE,"u.s. Natural Gas";"sing85",#N/A,FALSE,"SING MARG";"Sing2000",#N/A,FALSE,"SING MARG";"sing10",#N/A,FALSE,"SING MARG";"west2000",#N/A,FALSE,"europe LPG";"WEST85",#N/A,FALSE,"europe LPG";"Japan2000",#N/A,FALSE,"JAPAN PRODUCTS";"japan85",#N/A,FALSE,"JAPAN PRODUCTS";"jlpg2000",#N/A,FALSE,"JAPAN LPG ";"Jlpg85",#N/A,FALSE,"JAPAN LPG ";"ME85",#N/A,FALSE,"MIDEAST LPG";"me2000",#N/A,FALSE,"MIDEAST LPG";"MD85",#N/A,FALSE,"MED MARGINS";"MD2000",#N/A,FALSE,"MED MARGINS";"md98",#N/A,FALSE,"MED MARGINS";"MD85",#N/A,FALSE,"ARAB GULF PRODUCTS";"MD2000",#N/A,FALSE,"ARAB GULF PRODUCTS";"ngl85",#N/A,FALSE,"u.s. NGL";"ngl2000",#N/A,FALSE,"u.s. NGL";"nw85",#N/A,FALSE,"NWE MARGINS";"nw2000",#N/A,FALSE,"NWE MARGINS";"NW98",#N/A,FALSE,"NWE MARGINS";"US85",#N/A,FALSE,"US PRODUCTS";"US98",#N/A,FALSE,"US PRODUCTS";"us2000",#N/A,FALSE,"US PRODUCTS"}</definedName>
    <definedName name="wrn.DELTA." hidden="1">{"delta II 1",#N/A,FALSE,"DELTA";"delta II 2",#N/A,FALSE,"DELTA";"delta II 3",#N/A,FALSE,"DELTA"}</definedName>
    <definedName name="wrn.DELTA._1" hidden="1">{"table II 1",#N/A,FALSE,"DTables";"table II 2",#N/A,FALSE,"DTables";"table III 3",#N/A,FALSE,"DTables";"table III 4",#N/A,FALSE,"DTables"}</definedName>
    <definedName name="wrn.DELTA._1_1" hidden="1">{"table II 1",#N/A,FALSE,"DTables";"table II 2",#N/A,FALSE,"DTables";"table III 3",#N/A,FALSE,"DTables";"table III 4",#N/A,FALSE,"DTables"}</definedName>
    <definedName name="wrn.DELTA._2" hidden="1">{"table II 1",#N/A,FALSE,"DTables";"table II 2",#N/A,FALSE,"DTables";"table III 3",#N/A,FALSE,"DTables";"table III 4",#N/A,FALSE,"DTables"}</definedName>
    <definedName name="wrn.DELTA._2_1" hidden="1">{"table II 1",#N/A,FALSE,"DTables";"table II 2",#N/A,FALSE,"DTables";"table III 3",#N/A,FALSE,"DTables";"table III 4",#N/A,FALSE,"DTables"}</definedName>
    <definedName name="wrn.DELVTAB.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1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1_1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2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2_1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mand._.MT." hidden="1">{"Demand by Product MT",#N/A,TRUE,"PRDEMPOR";"Demand by Sector MT",#N/A,TRUE,"PRDEMPOR"}</definedName>
    <definedName name="wrn.Demand._.MT._1" hidden="1">{"Demand by Product MT",#N/A,TRUE,"PRDEMPOR";"Demand by Sector MT",#N/A,TRUE,"PRDEMPOR"}</definedName>
    <definedName name="wrn.Demand._.MT._1_1" hidden="1">{"Demand by Product MT",#N/A,TRUE,"PRDEMPOR";"Demand by Sector MT",#N/A,TRUE,"PRDEMPOR"}</definedName>
    <definedName name="wrn.Demand._.MT._2" hidden="1">{"Demand by Product MT",#N/A,TRUE,"PRDEMPOR";"Demand by Sector MT",#N/A,TRUE,"PRDEMPOR"}</definedName>
    <definedName name="wrn.Demand._.MT._2_1" hidden="1">{"Demand by Product MT",#N/A,TRUE,"PRDEMPOR";"Demand by Sector MT",#N/A,TRUE,"PRDEMPOR"}</definedName>
    <definedName name="wrn.Demand._.MTOE." hidden="1">{"Demand by Product MTOE",#N/A,TRUE,"PRDEMPOR";"Demand by Sector MTOE",#N/A,TRUE,"PRDEMPOR"}</definedName>
    <definedName name="wrn.Demand._.MTOE._1" hidden="1">{"Demand by Product MTOE",#N/A,TRUE,"PRDEMPOR";"Demand by Sector MTOE",#N/A,TRUE,"PRDEMPOR"}</definedName>
    <definedName name="wrn.Demand._.MTOE._1_1" hidden="1">{"Demand by Product MTOE",#N/A,TRUE,"PRDEMPOR";"Demand by Sector MTOE",#N/A,TRUE,"PRDEMPOR"}</definedName>
    <definedName name="wrn.Demand._.MTOE._2" hidden="1">{"Demand by Product MTOE",#N/A,TRUE,"PRDEMPOR";"Demand by Sector MTOE",#N/A,TRUE,"PRDEMPOR"}</definedName>
    <definedName name="wrn.Demand._.MTOE._2_1" hidden="1">{"Demand by Product MTOE",#N/A,TRUE,"PRDEMPOR";"Demand by Sector MTOE",#N/A,TRUE,"PRDEMPOR"}</definedName>
    <definedName name="wrn.FOBCALC.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1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1_1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2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2_1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lder._.00." hidden="1">{#N/A,#N/A,FALSE,"NBRIMX";#N/A,#N/A,FALSE,"PBRIMX";#N/A,#N/A,FALSE,"PCRIMX";#N/A,#N/A,FALSE,"SBRIMX";#N/A,#N/A,FALSE,"SBLIMX";"ExpTonsWe9800",#N/A,FALSE,"SBLIMX";"ExpLbsWe9800",#N/A,FALSE,"SBLIMX";"ImpTonsWe9800",#N/A,FALSE,"SBLIMX";"ImpLbsWe9800",#N/A,FALSE,"SBLIMX";"U.S. Bde Deriv Trd 9900",#N/A,FALSE,"SBLIMX"}</definedName>
    <definedName name="wrn.Folder._.01." hidden="1">{"SynRub9901Print",#N/A,FALSE,"SYNRUBPR";"PrintSBRNET87",#N/A,FALSE,"SYNRUBPR"}</definedName>
    <definedName name="wrn.Folder._.99." hidden="1">{"SynRub9799Print",#N/A,FALSE,"SYNRUBPR";"PrintSBRNET87",#N/A,FALSE,"SYNRUBPR"}</definedName>
    <definedName name="wrn.GASCOND." hidden="1">{"GASCOND",#N/A,FALSE,"CONDENSATE";"CRUDECOND",#N/A,FALSE,"CONDENSATE";"TOTALCOND",#N/A,FALSE,"CONDENSATE"}</definedName>
    <definedName name="wrn.GASCOND._1" hidden="1">{"GASCOND",#N/A,FALSE,"CONDENSATE";"CRUDECOND",#N/A,FALSE,"CONDENSATE";"TOTALCOND",#N/A,FALSE,"CONDENSATE"}</definedName>
    <definedName name="wrn.GASCOND._1_1" hidden="1">{"GASCOND",#N/A,FALSE,"CONDENSATE";"CRUDECOND",#N/A,FALSE,"CONDENSATE";"TOTALCOND",#N/A,FALSE,"CONDENSATE"}</definedName>
    <definedName name="wrn.GASCOND._2" hidden="1">{"GASCOND",#N/A,FALSE,"CONDENSATE";"CRUDECOND",#N/A,FALSE,"CONDENSATE";"TOTALCOND",#N/A,FALSE,"CONDENSATE"}</definedName>
    <definedName name="wrn.GASCOND._2_1" hidden="1">{"GASCOND",#N/A,FALSE,"CONDENSATE";"CRUDECOND",#N/A,FALSE,"CONDENSATE";"TOTALCOND",#N/A,FALSE,"CONDENSATE"}</definedName>
    <definedName name="wrn.GASODEM." hidden="1">{"monthly",#N/A,FALSE,"GASODEM";"qtr to yr",#N/A,FALSE,"GASODEM"}</definedName>
    <definedName name="wrn.GASODEM._1" hidden="1">{"monthly",#N/A,FALSE,"GASODEM";"qtr to yr",#N/A,FALSE,"GASODEM"}</definedName>
    <definedName name="wrn.GASODEM._1_1" hidden="1">{"monthly",#N/A,FALSE,"GASODEM";"qtr to yr",#N/A,FALSE,"GASODEM"}</definedName>
    <definedName name="wrn.GASODEM._2" hidden="1">{"monthly",#N/A,FALSE,"GASODEM";"qtr to yr",#N/A,FALSE,"GASODEM"}</definedName>
    <definedName name="wrn.GASODEM._2_1" hidden="1">{"monthly",#N/A,FALSE,"GASODEM";"qtr to yr",#N/A,FALSE,"GASODEM"}</definedName>
    <definedName name="wrn.heavy." hidden="1">{"heavy",#N/A,FALSE,"CNTRYTYPE"}</definedName>
    <definedName name="wrn.heavy._1" hidden="1">{"heavy",#N/A,FALSE,"CNTRYTYPE"}</definedName>
    <definedName name="wrn.heavy._1_1" hidden="1">{"heavy",#N/A,FALSE,"CNTRYTYPE"}</definedName>
    <definedName name="wrn.heavy._2" hidden="1">{"heavy",#N/A,FALSE,"CNTRYTYPE"}</definedName>
    <definedName name="wrn.heavy._2_1" hidden="1">{"heavy",#N/A,FALSE,"CNTRYTYPE"}</definedName>
    <definedName name="wrn.Input._.and._.Growths." hidden="1">{"Product Demands Input",#N/A,TRUE,"PRDEMPOR";"Annual Growth Rates",#N/A,TRUE,"PRDEMPOR"}</definedName>
    <definedName name="wrn.Input._.and._.Growths._1" hidden="1">{"Product Demands Input",#N/A,TRUE,"PRDEMPOR";"Annual Growth Rates",#N/A,TRUE,"PRDEMPOR"}</definedName>
    <definedName name="wrn.Input._.and._.Growths._1_1" hidden="1">{"Product Demands Input",#N/A,TRUE,"PRDEMPOR";"Annual Growth Rates",#N/A,TRUE,"PRDEMPOR"}</definedName>
    <definedName name="wrn.Input._.and._.Growths._2" hidden="1">{"Product Demands Input",#N/A,TRUE,"PRDEMPOR";"Annual Growth Rates",#N/A,TRUE,"PRDEMPOR"}</definedName>
    <definedName name="wrn.Input._.and._.Growths._2_1" hidden="1">{"Product Demands Input",#N/A,TRUE,"PRDEMPOR";"Annual Growth Rates",#N/A,TRUE,"PRDEMPOR"}</definedName>
    <definedName name="wrn.light._.sour." hidden="1">{"light sour",#N/A,FALSE,"CNTRYTYPE"}</definedName>
    <definedName name="wrn.light._.sour._1" hidden="1">{"light sour",#N/A,FALSE,"CNTRYTYPE"}</definedName>
    <definedName name="wrn.light._.sour._1_1" hidden="1">{"light sour",#N/A,FALSE,"CNTRYTYPE"}</definedName>
    <definedName name="wrn.light._.sour._2" hidden="1">{"light sour",#N/A,FALSE,"CNTRYTYPE"}</definedName>
    <definedName name="wrn.light._.sour._2_1" hidden="1">{"light sour",#N/A,FALSE,"CNTRYTYPE"}</definedName>
    <definedName name="wrn.natgastab." hidden="1">{"natgas1",#N/A,FALSE,"u.s. Natural Gas";"natgas2",#N/A,FALSE,"u.s. Natural Gas"}</definedName>
    <definedName name="wrn.New._.York." hidden="1">{"NY PRICES",#N/A,FALSE,"CURRENT";"NY PRICES B",#N/A,FALSE,"CURRENT";"NY PRICES",#N/A,FALSE,"CONSTANT";"NY PRICES B",#N/A,FALSE,"CONSTANT"}</definedName>
    <definedName name="wrn.New._.York._1" hidden="1">{"NY PRICES",#N/A,FALSE,"CURRENT";"NY PRICES B",#N/A,FALSE,"CURRENT";"NY PRICES",#N/A,FALSE,"CONSTANT";"NY PRICES B",#N/A,FALSE,"CONSTANT"}</definedName>
    <definedName name="wrn.New._.York._1_1" hidden="1">{"NY PRICES",#N/A,FALSE,"CURRENT";"NY PRICES B",#N/A,FALSE,"CURRENT";"NY PRICES",#N/A,FALSE,"CONSTANT";"NY PRICES B",#N/A,FALSE,"CONSTANT"}</definedName>
    <definedName name="wrn.New._.York._2" hidden="1">{"NY PRICES",#N/A,FALSE,"CURRENT";"NY PRICES B",#N/A,FALSE,"CURRENT";"NY PRICES",#N/A,FALSE,"CONSTANT";"NY PRICES B",#N/A,FALSE,"CONSTANT"}</definedName>
    <definedName name="wrn.New._.York._2_1" hidden="1">{"NY PRICES",#N/A,FALSE,"CURRENT";"NY PRICES B",#N/A,FALSE,"CURRENT";"NY PRICES",#N/A,FALSE,"CONSTANT";"NY PRICES B",#N/A,FALSE,"CONSTANT"}</definedName>
    <definedName name="wrn.NWE._.1995." hidden="1">{"input",#N/A,TRUE,"1995 Quality";"basedata",#N/A,TRUE,"1995 Quality";"diff",#N/A,TRUE,"1995 Quality"}</definedName>
    <definedName name="wrn.NWE._.2000." hidden="1">{"input",#N/A,FALSE,"Year 2000";"basedata",#N/A,FALSE,"Year 2000";"diff",#N/A,FALSE,"Year 2000"}</definedName>
    <definedName name="wrn.print." hidden="1">{"yields",#N/A,TRUE,"Yields";"diff",#N/A,TRUE,"Differentials"}</definedName>
    <definedName name="wrn.Print._.NWE._.Condensates." hidden="1">{"NWE Condensate 01",#N/A,FALSE,"Plots Condensates (NWE)";"NWE Condensate 02",#N/A,FALSE,"Plots Condensates (NWE)";"NWE Condensate 03",#N/A,FALSE,"Plots Condensates (NWE)"}</definedName>
    <definedName name="wrn.Print._.NWE._.Condensates._1" hidden="1">{"NWE Condensate 01",#N/A,FALSE,"Plots Condensates (NWE)";"NWE Condensate 02",#N/A,FALSE,"Plots Condensates (NWE)";"NWE Condensate 03",#N/A,FALSE,"Plots Condensates (NWE)"}</definedName>
    <definedName name="wrn.Print._.NWE._.Condensates._1_1" hidden="1">{"NWE Condensate 01",#N/A,FALSE,"Plots Condensates (NWE)";"NWE Condensate 02",#N/A,FALSE,"Plots Condensates (NWE)";"NWE Condensate 03",#N/A,FALSE,"Plots Condensates (NWE)"}</definedName>
    <definedName name="wrn.Print._.NWE._.Condensates._2" hidden="1">{"NWE Condensate 01",#N/A,FALSE,"Plots Condensates (NWE)";"NWE Condensate 02",#N/A,FALSE,"Plots Condensates (NWE)";"NWE Condensate 03",#N/A,FALSE,"Plots Condensates (NWE)"}</definedName>
    <definedName name="wrn.Print._.NWE._.Condensates._2_1" hidden="1">{"NWE Condensate 01",#N/A,FALSE,"Plots Condensates (NWE)";"NWE Condensate 02",#N/A,FALSE,"Plots Condensates (NWE)";"NWE Condensate 03",#N/A,FALSE,"Plots Condensates (NWE)"}</definedName>
    <definedName name="wrn.Print._.Plots." hidden="1">{"Plot1",#N/A,FALSE,"Plots";"plot2",#N/A,FALSE,"Plots";"plot3",#N/A,FALSE,"Plots";"plot4",#N/A,FALSE,"Plots";"plot5",#N/A,FALSE,"Plots";"plot6",#N/A,FALSE,"Plots"}</definedName>
    <definedName name="wrn.Print._.Plots._.Summary.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1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1_1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2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2_1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1" hidden="1">{"Plot1",#N/A,FALSE,"Plots";"plot2",#N/A,FALSE,"Plots";"plot3",#N/A,FALSE,"Plots";"plot4",#N/A,FALSE,"Plots";"plot5",#N/A,FALSE,"Plots";"plot6",#N/A,FALSE,"Plots"}</definedName>
    <definedName name="wrn.Print._.Plots._1_1" hidden="1">{"Plot1",#N/A,FALSE,"Plots";"plot2",#N/A,FALSE,"Plots";"plot3",#N/A,FALSE,"Plots";"plot4",#N/A,FALSE,"Plots";"plot5",#N/A,FALSE,"Plots";"plot6",#N/A,FALSE,"Plots"}</definedName>
    <definedName name="wrn.Print._.Plots._2" hidden="1">{"Plot1",#N/A,FALSE,"Plots";"plot2",#N/A,FALSE,"Plots";"plot3",#N/A,FALSE,"Plots";"plot4",#N/A,FALSE,"Plots";"plot5",#N/A,FALSE,"Plots";"plot6",#N/A,FALSE,"Plots"}</definedName>
    <definedName name="wrn.Print._.Plots._2_1" hidden="1">{"Plot1",#N/A,FALSE,"Plots";"plot2",#N/A,FALSE,"Plots";"plot3",#N/A,FALSE,"Plots";"plot4",#N/A,FALSE,"Plots";"plot5",#N/A,FALSE,"Plots";"plot6",#N/A,FALSE,"Plots"}</definedName>
    <definedName name="wrn.Print._.Sing._.Condensates.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1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1_1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2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2_1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USGC._.Condensates.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1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1_1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2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2_1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ODTABLES.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1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2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2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REFINERY." hidden="1">{"Padd I to III",#N/A,FALSE,"REFINERY";"Padd IV to US",#N/A,FALSE,"REFINERY";"Crude Balance I",#N/A,FALSE,"REFINERY";"Crude Balance II",#N/A,FALSE,"REFINERY"}</definedName>
    <definedName name="wrn.REFINERY._1" hidden="1">{"Padd I to III",#N/A,FALSE,"REFINERY";"Padd IV to US",#N/A,FALSE,"REFINERY";"Crude Balance I",#N/A,FALSE,"REFINERY";"Crude Balance II",#N/A,FALSE,"REFINERY"}</definedName>
    <definedName name="wrn.REFINERY._1_1" hidden="1">{"Padd I to III",#N/A,FALSE,"REFINERY";"Padd IV to US",#N/A,FALSE,"REFINERY";"Crude Balance I",#N/A,FALSE,"REFINERY";"Crude Balance II",#N/A,FALSE,"REFINERY"}</definedName>
    <definedName name="wrn.REFINERY._2" hidden="1">{"Padd I to III",#N/A,FALSE,"REFINERY";"Padd IV to US",#N/A,FALSE,"REFINERY";"Crude Balance I",#N/A,FALSE,"REFINERY";"Crude Balance II",#N/A,FALSE,"REFINERY"}</definedName>
    <definedName name="wrn.REFINERY._2_1" hidden="1">{"Padd I to III",#N/A,FALSE,"REFINERY";"Padd IV to US",#N/A,FALSE,"REFINERY";"Crude Balance I",#N/A,FALSE,"REFINERY";"Crude Balance II",#N/A,FALSE,"REFINERY"}</definedName>
    <definedName name="wrn.region." hidden="1">{"Region",#N/A,FALSE,"CNTRYTYPE"}</definedName>
    <definedName name="wrn.region._1" hidden="1">{"Region",#N/A,FALSE,"CNTRYTYPE"}</definedName>
    <definedName name="wrn.region._1_1" hidden="1">{"Region",#N/A,FALSE,"CNTRYTYPE"}</definedName>
    <definedName name="wrn.region._2" hidden="1">{"Region",#N/A,FALSE,"CNTRYTYPE"}</definedName>
    <definedName name="wrn.region._2_1" hidden="1">{"Region",#N/A,FALSE,"CNTRYTYPE"}</definedName>
    <definedName name="wrn.report." hidden="1">{#N/A,#N/A,FALSE,"Summary_netback";#N/A,#N/A,FALSE,"Summary_value"}</definedName>
    <definedName name="wrn.report._1" hidden="1">{#N/A,#N/A,FALSE,"Summary_netback";#N/A,#N/A,FALSE,"Summary_value"}</definedName>
    <definedName name="wrn.report._1_1" hidden="1">{#N/A,#N/A,FALSE,"Summary_netback";#N/A,#N/A,FALSE,"Summary_value"}</definedName>
    <definedName name="wrn.report._2" hidden="1">{#N/A,#N/A,FALSE,"Summary_netback";#N/A,#N/A,FALSE,"Summary_value"}</definedName>
    <definedName name="wrn.report._2_1" hidden="1">{#N/A,#N/A,FALSE,"Summary_netback";#N/A,#N/A,FALSE,"Summary_value"}</definedName>
    <definedName name="wrn.REVENUES." hidden="1">{"revenue",#N/A,FALSE,"lls hydro";"revenue",#N/A,FALSE,"lls crack";"revenue",#N/A,FALSE,"lls coke"}</definedName>
    <definedName name="wrn.RUBIMXYYYY." hidden="1">{"NBRIMX_PRINT",#N/A,FALSE,"NBRIMX";"PBRIMX_PRINT",#N/A,FALSE,"PBRIMX";"PCRIMX_PRINT",#N/A,FALSE,"PCRIMX";"SBRIMX_PRINT",#N/A,FALSE,"SBRIMX";"SBLIMX_PRINT",#N/A,FALSE,"SBLIMX"}</definedName>
    <definedName name="wrn.SAMPLE." hidden="1">{#N/A,#N/A,TRUE,"Crude";#N/A,#N/A,TRUE,"Products"}</definedName>
    <definedName name="wrn.SAMPLE._1" hidden="1">{#N/A,#N/A,TRUE,"Crude";#N/A,#N/A,TRUE,"Products"}</definedName>
    <definedName name="wrn.SAMPLE._1_1" hidden="1">{#N/A,#N/A,TRUE,"Crude";#N/A,#N/A,TRUE,"Products"}</definedName>
    <definedName name="wrn.SAMPLE._2" hidden="1">{#N/A,#N/A,TRUE,"Crude";#N/A,#N/A,TRUE,"Products"}</definedName>
    <definedName name="wrn.SAMPLE._2_1" hidden="1">{#N/A,#N/A,TRUE,"Crude";#N/A,#N/A,TRUE,"Products"}</definedName>
    <definedName name="wrn.SINGPROD." hidden="1">{"singcurrent1",#N/A,FALSE,"SING MARG";"SINGCURRENT2",#N/A,FALSE,"SING MARG";"SINGCONSTANT",#N/A,FALSE,"SING MARG"}</definedName>
    <definedName name="wrn.SUBREGION." hidden="1">{"SUBREGION",#N/A,FALSE,"CNTRYTYPE"}</definedName>
    <definedName name="wrn.SUBREGION._1" hidden="1">{"SUBREGION",#N/A,FALSE,"CNTRYTYPE"}</definedName>
    <definedName name="wrn.SUBREGION._1_1" hidden="1">{"SUBREGION",#N/A,FALSE,"CNTRYTYPE"}</definedName>
    <definedName name="wrn.SUBREGION._2" hidden="1">{"SUBREGION",#N/A,FALSE,"CNTRYTYPE"}</definedName>
    <definedName name="wrn.SUBREGION._2_1" hidden="1">{"SUBREGION",#N/A,FALSE,"CNTRYTYPE"}</definedName>
    <definedName name="wrn.Summary." hidden="1">{"Growth Supply Demand",#N/A,TRUE,"Summary";"Primary Energy Balance",#N/A,TRUE,"Summary"}</definedName>
    <definedName name="wrn.Summary._1" hidden="1">{"Growth Supply Demand",#N/A,TRUE,"Summary";"Primary Energy Balance",#N/A,TRUE,"Summary"}</definedName>
    <definedName name="wrn.Summary._1_1" hidden="1">{"Growth Supply Demand",#N/A,TRUE,"Summary";"Primary Energy Balance",#N/A,TRUE,"Summary"}</definedName>
    <definedName name="wrn.Summary._2" hidden="1">{"Growth Supply Demand",#N/A,TRUE,"Summary";"Primary Energy Balance",#N/A,TRUE,"Summary"}</definedName>
    <definedName name="wrn.Summary._2_1" hidden="1">{"Growth Supply Demand",#N/A,TRUE,"Summary";"Primary Energy Balance",#N/A,TRUE,"Summary"}</definedName>
    <definedName name="wrn.Sup._.Folder._.98." hidden="1">{"U.S. Bde Deriv Trd",#N/A,FALSE,"US Trade Growth";"ImpTonsWE9698",#N/A,FALSE,"US Trade Growth";"ExpTonsWe9698",#N/A,FALSE,"US Trade Growth";"ImpLbsWE9698",#N/A,FALSE,"US Trade Growth";"ExpLbsWE9698",#N/A,FALSE,"US Trade Growth"}</definedName>
    <definedName name="wrn.Sup._.Folder._.99." hidden="1">{"U.S. Bde Deriv Trd 9899",#N/A,FALSE,"U.S. BDE Exp (Tons)WE abv";"ImpLbsWE9799",#N/A,FALSE,"U.S. BDE Exp (Tons)WE abv";"ImpTonsWE9799",#N/A,FALSE,"U.S. BDE Exp (Tons)WE abv";"ExpLbsWE9799",#N/A,FALSE,"U.S. BDE Exp (Tons)WE abv";"ExpTonsWE9799",#N/A,FALSE,"U.S. BDE Exp (Tons)WE abv"}</definedName>
    <definedName name="wrn.sweet." hidden="1">{"sweet",#N/A,FALSE,"CNTRYTYPE"}</definedName>
    <definedName name="wrn.sweet._1" hidden="1">{"sweet",#N/A,FALSE,"CNTRYTYPE"}</definedName>
    <definedName name="wrn.sweet._1_1" hidden="1">{"sweet",#N/A,FALSE,"CNTRYTYPE"}</definedName>
    <definedName name="wrn.sweet._2" hidden="1">{"sweet",#N/A,FALSE,"CNTRYTYPE"}</definedName>
    <definedName name="wrn.sweet._2_1" hidden="1">{"sweet",#N/A,FALSE,"CNTRYTYPE"}</definedName>
    <definedName name="wrn.tableeurlpg." hidden="1">{"eurlpg1",#N/A,FALSE,"europe LPG";"eurlpg2",#N/A,FALSE,"europe LPG"}</definedName>
    <definedName name="wrn.tablejap." hidden="1">{"japcurrent1",#N/A,FALSE,"JAPAN PRODUCTS";"japcurrent2",#N/A,FALSE,"JAPAN PRODUCTS"}</definedName>
    <definedName name="wrn.tablejaplpg." hidden="1">{"japlpg1",#N/A,FALSE,"JAPAN LPG ";"japllpg2",#N/A,FALSE,"JAPAN LPG "}</definedName>
    <definedName name="wrn.tablemeastlpg." hidden="1">{"midlpg1",#N/A,FALSE,"MIDEAST LPG";"midlpg2",#N/A,FALSE,"MIDEAST LPG"}</definedName>
    <definedName name="wrn.TABLEMED." hidden="1">{"medcurrent1",#N/A,FALSE,"MED MARGINS";"medcurrent2",#N/A,FALSE,"MED MARGINS";"medconstant",#N/A,FALSE,"MED MARGINS"}</definedName>
    <definedName name="wrn.tablemideast." hidden="1">{"midcurrent1",#N/A,FALSE,"ARAB GULF PRODUCTS";"midcurrent2",#N/A,FALSE,"ARAB GULF PRODUCTS"}</definedName>
    <definedName name="wrn.tablengl." hidden="1">{"ngl1",#N/A,FALSE,"u.s. NGL";"ngl2",#N/A,FALSE,"u.s. NGL"}</definedName>
    <definedName name="wrn.TABLENWE." hidden="1">{"nwecurrent1",#N/A,FALSE,"NWE MARGINS";"nwecurrent2",#N/A,FALSE,"NWE MARGINS";"nweconstant",#N/A,FALSE,"NWE MARGINS"}</definedName>
    <definedName name="wrn.tableprod." hidden="1">{"current1",#N/A,FALSE,"US PRODUCTS";"current2",#N/A,FALSE,"US PRODUCTS";"constant",#N/A,FALSE,"US PRODUCTS"}</definedName>
    <definedName name="wrn.Tables." hidden="1">{"Current",#N/A,FALSE,"Currentcal";"Current B",#N/A,FALSE,"Currentcal";"Constant",#N/A,FALSE,"Constantcal";"Constant B",#N/A,FALSE,"Constantcal"}</definedName>
    <definedName name="wrn.Tables._1" hidden="1">{"Current",#N/A,FALSE,"Currentcal";"Current B",#N/A,FALSE,"Currentcal";"Constant",#N/A,FALSE,"Constantcal";"Constant B",#N/A,FALSE,"Constantcal"}</definedName>
    <definedName name="wrn.Tables._1_1" hidden="1">{"Current",#N/A,FALSE,"Currentcal";"Current B",#N/A,FALSE,"Currentcal";"Constant",#N/A,FALSE,"Constantcal";"Constant B",#N/A,FALSE,"Constantcal"}</definedName>
    <definedName name="wrn.Tables._2" hidden="1">{"Current",#N/A,FALSE,"Currentcal";"Current B",#N/A,FALSE,"Currentcal";"Constant",#N/A,FALSE,"Constantcal";"Constant B",#N/A,FALSE,"Constantcal"}</definedName>
    <definedName name="wrn.Tables._2_1" hidden="1">{"Current",#N/A,FALSE,"Currentcal";"Current B",#N/A,FALSE,"Currentcal";"Constant",#N/A,FALSE,"Constantcal";"Constant B",#N/A,FALSE,"Constantcal"}</definedName>
    <definedName name="wrn.total." hidden="1">{"total",#N/A,FALSE,"CNTRYTYPE"}</definedName>
    <definedName name="wrn.total._1" hidden="1">{"total",#N/A,FALSE,"CNTRYTYPE"}</definedName>
    <definedName name="wrn.total._1_1" hidden="1">{"total",#N/A,FALSE,"CNTRYTYPE"}</definedName>
    <definedName name="wrn.total._2" hidden="1">{"total",#N/A,FALSE,"CNTRYTYPE"}</definedName>
    <definedName name="wrn.total._2_1" hidden="1">{"total",#N/A,FALSE,"CNTRYTYPE"}</definedName>
    <definedName name="wrn2.all" hidden="1">{"PAGE1",#N/A,FALSE,"YIELDS";"PAGE2",#N/A,FALSE,"YIELDS";"PAGE3",#N/A,FALSE,"YIELDS"}</definedName>
    <definedName name="wrn2.all." hidden="1">{"PAGE1",#N/A,FALSE,"YIELDS";"PAGE2",#N/A,FALSE,"YIELDS";"PAGE3",#N/A,FALSE,"YIELDS"}</definedName>
    <definedName name="wrn2.all._1" hidden="1">{"PAGE1",#N/A,FALSE,"YIELDS";"PAGE2",#N/A,FALSE,"YIELDS";"PAGE3",#N/A,FALSE,"YIELDS"}</definedName>
    <definedName name="wrn2.all._1_1" hidden="1">{"PAGE1",#N/A,FALSE,"YIELDS";"PAGE2",#N/A,FALSE,"YIELDS";"PAGE3",#N/A,FALSE,"YIELDS"}</definedName>
    <definedName name="wrn2.all._2" hidden="1">{"PAGE1",#N/A,FALSE,"YIELDS";"PAGE2",#N/A,FALSE,"YIELDS";"PAGE3",#N/A,FALSE,"YIELDS"}</definedName>
    <definedName name="wrn2.all._2_1" hidden="1">{"PAGE1",#N/A,FALSE,"YIELDS";"PAGE2",#N/A,FALSE,"YIELDS";"PAGE3",#N/A,FALSE,"YIELDS"}</definedName>
    <definedName name="wrn2.all_1" hidden="1">{"PAGE1",#N/A,FALSE,"YIELDS";"PAGE2",#N/A,FALSE,"YIELDS";"PAGE3",#N/A,FALSE,"YIELDS"}</definedName>
    <definedName name="wrn2.all_1_1" hidden="1">{"PAGE1",#N/A,FALSE,"YIELDS";"PAGE2",#N/A,FALSE,"YIELDS";"PAGE3",#N/A,FALSE,"YIELDS"}</definedName>
    <definedName name="wrn2.all_2" hidden="1">{"PAGE1",#N/A,FALSE,"YIELDS";"PAGE2",#N/A,FALSE,"YIELDS";"PAGE3",#N/A,FALSE,"YIELDS"}</definedName>
    <definedName name="wrn2.all_2_1" hidden="1">{"PAGE1",#N/A,FALSE,"YIELDS";"PAGE2",#N/A,FALSE,"YIELDS";"PAGE3",#N/A,FALSE,"YIELDS"}</definedName>
    <definedName name="wrn2.gasodem." hidden="1">{"monthly",#N/A,FALSE,"GASODEM";"qtr to yr",#N/A,FALSE,"GASODEM"}</definedName>
    <definedName name="wrn2.gasodem._1" hidden="1">{"monthly",#N/A,FALSE,"GASODEM";"qtr to yr",#N/A,FALSE,"GASODEM"}</definedName>
    <definedName name="wrn2.gasodem._1_1" hidden="1">{"monthly",#N/A,FALSE,"GASODEM";"qtr to yr",#N/A,FALSE,"GASODEM"}</definedName>
    <definedName name="wrn2.gasodem._2" hidden="1">{"monthly",#N/A,FALSE,"GASODEM";"qtr to yr",#N/A,FALSE,"GASODEM"}</definedName>
    <definedName name="wrn2.gasodem._2_1" hidden="1">{"monthly",#N/A,FALSE,"GASODEM";"qtr to yr",#N/A,FALSE,"GASODEM"}</definedName>
    <definedName name="x" hidden="1">{"Capacities",#N/A,FALSE,"HOUSTON"}</definedName>
    <definedName name="x_1" hidden="1">{"Capacities",#N/A,FALSE,"HOUSTON"}</definedName>
    <definedName name="x_1_1" hidden="1">{"Capacities",#N/A,FALSE,"HOUSTON"}</definedName>
    <definedName name="x_2" hidden="1">{"Capacities",#N/A,FALSE,"HOUSTON"}</definedName>
    <definedName name="x_2_1" hidden="1">{"Capacities",#N/A,FALSE,"HOUSTON"}</definedName>
    <definedName name="xxxxx" hidden="1">{"monthly",#N/A,FALSE,"GASODEM";"qtr to yr",#N/A,FALSE,"GASODEM"}</definedName>
    <definedName name="xxxxx_1" hidden="1">{"monthly",#N/A,FALSE,"GASODEM";"qtr to yr",#N/A,FALSE,"GASODEM"}</definedName>
    <definedName name="xxxxx_1_1" hidden="1">{"monthly",#N/A,FALSE,"GASODEM";"qtr to yr",#N/A,FALSE,"GASODEM"}</definedName>
    <definedName name="xxxxx_2" hidden="1">{"monthly",#N/A,FALSE,"GASODEM";"qtr to yr",#N/A,FALSE,"GASODEM"}</definedName>
    <definedName name="xxxxx_2_1" hidden="1">{"monthly",#N/A,FALSE,"GASODEM";"qtr to yr",#N/A,FALSE,"GASODEM"}</definedName>
    <definedName name="xyz" hidden="1">{"midlpg1",#N/A,FALSE,"MIDEAST LPG";"midlpg2",#N/A,FALSE,"MIDEAST LPG"}</definedName>
    <definedName name="y" hidden="1">{"Diesel",#N/A,FALSE,"HOUSTON"}</definedName>
    <definedName name="y_1" hidden="1">{"Diesel",#N/A,FALSE,"HOUSTON"}</definedName>
    <definedName name="y_1_1" hidden="1">{"Diesel",#N/A,FALSE,"HOUSTON"}</definedName>
    <definedName name="y_2" hidden="1">{"Diesel",#N/A,FALSE,"HOUSTON"}</definedName>
    <definedName name="y_2_1" hidden="1">{"Diesel",#N/A,FALSE,"HOUSTON"}</definedName>
    <definedName name="z" hidden="1">{"Fuel Oil",#N/A,FALSE,"HOUSTON";"Fuel Oil BPD",#N/A,FALSE,"BPD"}</definedName>
    <definedName name="z_1" hidden="1">{"Fuel Oil",#N/A,FALSE,"HOUSTON";"Fuel Oil BPD",#N/A,FALSE,"BPD"}</definedName>
    <definedName name="z_1_1" hidden="1">{"Fuel Oil",#N/A,FALSE,"HOUSTON";"Fuel Oil BPD",#N/A,FALSE,"BPD"}</definedName>
    <definedName name="z_2" hidden="1">{"Fuel Oil",#N/A,FALSE,"HOUSTON";"Fuel Oil BPD",#N/A,FALSE,"BPD"}</definedName>
    <definedName name="z_2_1" hidden="1">{"Fuel Oil",#N/A,FALSE,"HOUSTON";"Fuel Oil BPD",#N/A,FALSE,"BPD"}</definedName>
    <definedName name="aa" localSheetId="10" hidden="1">{"Gasoline",#N/A,FALSE,"HOUSTON";"GasolineBPD",#N/A,FALSE,"BPD"}</definedName>
    <definedName name="aa_1" localSheetId="10" hidden="1">{"Gasoline",#N/A,FALSE,"HOUSTON";"GasolineBPD",#N/A,FALSE,"BPD"}</definedName>
    <definedName name="aa_1_1" localSheetId="10" hidden="1">{"Gasoline",#N/A,FALSE,"HOUSTON";"GasolineBPD",#N/A,FALSE,"BPD"}</definedName>
    <definedName name="aa_2" localSheetId="10" hidden="1">{"Gasoline",#N/A,FALSE,"HOUSTON";"GasolineBPD",#N/A,FALSE,"BPD"}</definedName>
    <definedName name="aa_2_1" localSheetId="10" hidden="1">{"Gasoline",#N/A,FALSE,"HOUSTON";"GasolineBPD",#N/A,FALSE,"BPD"}</definedName>
    <definedName name="ab" localSheetId="10" hidden="1">{"MatBal",#N/A,FALSE,"Houston Matrl Balance"}</definedName>
    <definedName name="ab_1" localSheetId="10" hidden="1">{"MatBal",#N/A,FALSE,"Houston Matrl Balance"}</definedName>
    <definedName name="ab_1_1" localSheetId="10" hidden="1">{"MatBal",#N/A,FALSE,"Houston Matrl Balance"}</definedName>
    <definedName name="ab_2" localSheetId="10" hidden="1">{"MatBal",#N/A,FALSE,"Houston Matrl Balance"}</definedName>
    <definedName name="ab_2_1" localSheetId="10" hidden="1">{"MatBal",#N/A,FALSE,"Houston Matrl Balance"}</definedName>
    <definedName name="abc" localSheetId="10" hidden="1">{"japcurrent1",#N/A,FALSE,"JAPAN PRODUCTS";"japcurrent2",#N/A,FALSE,"JAPAN PRODUCTS"}</definedName>
    <definedName name="abcd" localSheetId="10" hidden="1">{"japcurrent1",#N/A,FALSE,"JAPAN PRODUCTS";"japcurrent2",#N/A,FALSE,"JAPAN PRODUCTS"}</definedName>
    <definedName name="ac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1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1_1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2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2_1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Dollars" localSheetId="10" hidden="1">{"japcurrent1",#N/A,FALSE,"JAPAN PRODUCTS";"japcurrent2",#N/A,FALSE,"JAPAN PRODUCTS"}</definedName>
    <definedName name="Fig4_2" localSheetId="10" hidden="1">{"monthly",#N/A,FALSE,"GASODEM";"qtr to yr",#N/A,FALSE,"GASODEM"}</definedName>
    <definedName name="Fig4_2_1" localSheetId="10" hidden="1">{"monthly",#N/A,FALSE,"GASODEM";"qtr to yr",#N/A,FALSE,"GASODEM"}</definedName>
    <definedName name="Fig4_2_1_1" localSheetId="10" hidden="1">{"monthly",#N/A,FALSE,"GASODEM";"qtr to yr",#N/A,FALSE,"GASODEM"}</definedName>
    <definedName name="Fig4_2_2" localSheetId="10" hidden="1">{"monthly",#N/A,FALSE,"GASODEM";"qtr to yr",#N/A,FALSE,"GASODEM"}</definedName>
    <definedName name="Fig4_2_2_1" localSheetId="10" hidden="1">{"monthly",#N/A,FALSE,"GASODEM";"qtr to yr",#N/A,FALSE,"GASODEM"}</definedName>
    <definedName name="graph" localSheetId="10" hidden="1">{"monthly",#N/A,FALSE,"GASODEM";"qtr to yr",#N/A,FALSE,"GASODEM"}</definedName>
    <definedName name="graph_1" localSheetId="10" hidden="1">{"monthly",#N/A,FALSE,"GASODEM";"qtr to yr",#N/A,FALSE,"GASODEM"}</definedName>
    <definedName name="graph_1_1" localSheetId="10" hidden="1">{"monthly",#N/A,FALSE,"GASODEM";"qtr to yr",#N/A,FALSE,"GASODEM"}</definedName>
    <definedName name="graph_2" localSheetId="10" hidden="1">{"monthly",#N/A,FALSE,"GASODEM";"qtr to yr",#N/A,FALSE,"GASODEM"}</definedName>
    <definedName name="graph_2_1" localSheetId="10" hidden="1">{"monthly",#N/A,FALSE,"GASODEM";"qtr to yr",#N/A,FALSE,"GASODEM"}</definedName>
    <definedName name="HTML_Control" localSheetId="10" hidden="1">{"'Sheet1'!$A$1:$J$121"}</definedName>
    <definedName name="lowsulfurdiesel" localSheetId="10" hidden="1">{"PAGE1",#N/A,FALSE,"YIELDS";"PAGE2",#N/A,FALSE,"YIELDS";"PAGE3",#N/A,FALSE,"YIELDS"}</definedName>
    <definedName name="lowsulfurdiesel_1" localSheetId="10" hidden="1">{"PAGE1",#N/A,FALSE,"YIELDS";"PAGE2",#N/A,FALSE,"YIELDS";"PAGE3",#N/A,FALSE,"YIELDS"}</definedName>
    <definedName name="lowsulfurdiesel_1_1" localSheetId="10" hidden="1">{"PAGE1",#N/A,FALSE,"YIELDS";"PAGE2",#N/A,FALSE,"YIELDS";"PAGE3",#N/A,FALSE,"YIELDS"}</definedName>
    <definedName name="lowsulfurdiesel_2" localSheetId="10" hidden="1">{"PAGE1",#N/A,FALSE,"YIELDS";"PAGE2",#N/A,FALSE,"YIELDS";"PAGE3",#N/A,FALSE,"YIELDS"}</definedName>
    <definedName name="lowsulfurdiesel_2_1" localSheetId="10" hidden="1">{"PAGE1",#N/A,FALSE,"YIELDS";"PAGE2",#N/A,FALSE,"YIELDS";"PAGE3",#N/A,FALSE,"YIELDS"}</definedName>
    <definedName name="lowsulphurdiesel" localSheetId="10" hidden="1">{"PAGE1",#N/A,FALSE,"YIELDS";"PAGE2",#N/A,FALSE,"YIELDS";"PAGE3",#N/A,FALSE,"YIELDS"}</definedName>
    <definedName name="lowsulphurdiesel_1" localSheetId="10" hidden="1">{"PAGE1",#N/A,FALSE,"YIELDS";"PAGE2",#N/A,FALSE,"YIELDS";"PAGE3",#N/A,FALSE,"YIELDS"}</definedName>
    <definedName name="lowsulphurdiesel_1_1" localSheetId="10" hidden="1">{"PAGE1",#N/A,FALSE,"YIELDS";"PAGE2",#N/A,FALSE,"YIELDS";"PAGE3",#N/A,FALSE,"YIELDS"}</definedName>
    <definedName name="lowsulphurdiesel_2" localSheetId="10" hidden="1">{"PAGE1",#N/A,FALSE,"YIELDS";"PAGE2",#N/A,FALSE,"YIELDS";"PAGE3",#N/A,FALSE,"YIELDS"}</definedName>
    <definedName name="lowsulphurdiesel_2_1" localSheetId="10" hidden="1">{"PAGE1",#N/A,FALSE,"YIELDS";"PAGE2",#N/A,FALSE,"YIELDS";"PAGE3",#N/A,FALSE,"YIELDS"}</definedName>
    <definedName name="new" localSheetId="10" hidden="1">{"japlpg1",#N/A,FALSE,"JAPAN LPG ";"japllpg2",#N/A,FALSE,"JAPAN LPG "}</definedName>
    <definedName name="pooh" localSheetId="10" hidden="1">{"PAGE1",#N/A,FALSE,"YIELDS";"PAGE2",#N/A,FALSE,"YIELDS";"PAGE3",#N/A,FALSE,"YIELDS"}</definedName>
    <definedName name="sd" localSheetId="10" hidden="1">{"PAGE1",#N/A,FALSE,"YIELDS";"PAGE2",#N/A,FALSE,"YIELDS";"PAGE3",#N/A,FALSE,"YIELDS"}</definedName>
    <definedName name="sd_1" localSheetId="10" hidden="1">{"PAGE1",#N/A,FALSE,"YIELDS";"PAGE2",#N/A,FALSE,"YIELDS";"PAGE3",#N/A,FALSE,"YIELDS"}</definedName>
    <definedName name="sd_1_1" localSheetId="10" hidden="1">{"PAGE1",#N/A,FALSE,"YIELDS";"PAGE2",#N/A,FALSE,"YIELDS";"PAGE3",#N/A,FALSE,"YIELDS"}</definedName>
    <definedName name="sd_2" localSheetId="10" hidden="1">{"PAGE1",#N/A,FALSE,"YIELDS";"PAGE2",#N/A,FALSE,"YIELDS";"PAGE3",#N/A,FALSE,"YIELDS"}</definedName>
    <definedName name="sd_2_1" localSheetId="10" hidden="1">{"PAGE1",#N/A,FALSE,"YIELDS";"PAGE2",#N/A,FALSE,"YIELDS";"PAGE3",#N/A,FALSE,"YIELDS"}</definedName>
    <definedName name="steven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1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2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2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able_Summary" localSheetId="10" hidden="1">{"PAGE1",#N/A,FALSE,"YIELDS";"PAGE2",#N/A,FALSE,"YIELDS";"PAGE3",#N/A,FALSE,"YIELDS"}</definedName>
    <definedName name="Table_Summary_1" localSheetId="10" hidden="1">{"PAGE1",#N/A,FALSE,"YIELDS";"PAGE2",#N/A,FALSE,"YIELDS";"PAGE3",#N/A,FALSE,"YIELDS"}</definedName>
    <definedName name="Table_Summary_1_1" localSheetId="10" hidden="1">{"PAGE1",#N/A,FALSE,"YIELDS";"PAGE2",#N/A,FALSE,"YIELDS";"PAGE3",#N/A,FALSE,"YIELDS"}</definedName>
    <definedName name="Table_Summary_2" localSheetId="10" hidden="1">{"PAGE1",#N/A,FALSE,"YIELDS";"PAGE2",#N/A,FALSE,"YIELDS";"PAGE3",#N/A,FALSE,"YIELDS"}</definedName>
    <definedName name="Table_Summary_2_1" localSheetId="10" hidden="1">{"PAGE1",#N/A,FALSE,"YIELDS";"PAGE2",#N/A,FALSE,"YIELDS";"PAGE3",#N/A,FALSE,"YIELDS"}</definedName>
    <definedName name="TAX" localSheetId="10" hidden="1">{"japcurrent1",#N/A,FALSE,"JAPAN PRODUCTS";"japcurrent2",#N/A,FALSE,"JAPAN PRODUCTS"}</definedName>
    <definedName name="test" localSheetId="10" hidden="1">{"PAGE1",#N/A,FALSE,"YIELDS";"PAGE2",#N/A,FALSE,"YIELDS";"PAGE3",#N/A,FALSE,"YIELDS"}</definedName>
    <definedName name="test.4" localSheetId="10" hidden="1">{"Padd I to III",#N/A,FALSE,"REFINERY";"Padd IV to US",#N/A,FALSE,"REFINERY";"Crude Balance I",#N/A,FALSE,"REFINERY";"Crude Balance II",#N/A,FALSE,"REFINERY"}</definedName>
    <definedName name="test.4_1" localSheetId="10" hidden="1">{"Padd I to III",#N/A,FALSE,"REFINERY";"Padd IV to US",#N/A,FALSE,"REFINERY";"Crude Balance I",#N/A,FALSE,"REFINERY";"Crude Balance II",#N/A,FALSE,"REFINERY"}</definedName>
    <definedName name="test.4_1_1" localSheetId="10" hidden="1">{"Padd I to III",#N/A,FALSE,"REFINERY";"Padd IV to US",#N/A,FALSE,"REFINERY";"Crude Balance I",#N/A,FALSE,"REFINERY";"Crude Balance II",#N/A,FALSE,"REFINERY"}</definedName>
    <definedName name="test.4_2" localSheetId="10" hidden="1">{"Padd I to III",#N/A,FALSE,"REFINERY";"Padd IV to US",#N/A,FALSE,"REFINERY";"Crude Balance I",#N/A,FALSE,"REFINERY";"Crude Balance II",#N/A,FALSE,"REFINERY"}</definedName>
    <definedName name="test.4_2_1" localSheetId="10" hidden="1">{"Padd I to III",#N/A,FALSE,"REFINERY";"Padd IV to US",#N/A,FALSE,"REFINERY";"Crude Balance I",#N/A,FALSE,"REFINERY";"Crude Balance II",#N/A,FALSE,"REFINERY"}</definedName>
    <definedName name="test.all" localSheetId="10" hidden="1">{"PAGE1",#N/A,FALSE,"YIELDS";"PAGE2",#N/A,FALSE,"YIELDS";"PAGE3",#N/A,FALSE,"YIELDS"}</definedName>
    <definedName name="test.all_1" localSheetId="10" hidden="1">{"PAGE1",#N/A,FALSE,"YIELDS";"PAGE2",#N/A,FALSE,"YIELDS";"PAGE3",#N/A,FALSE,"YIELDS"}</definedName>
    <definedName name="test.all_1_1" localSheetId="10" hidden="1">{"PAGE1",#N/A,FALSE,"YIELDS";"PAGE2",#N/A,FALSE,"YIELDS";"PAGE3",#N/A,FALSE,"YIELDS"}</definedName>
    <definedName name="test.all_2" localSheetId="10" hidden="1">{"PAGE1",#N/A,FALSE,"YIELDS";"PAGE2",#N/A,FALSE,"YIELDS";"PAGE3",#N/A,FALSE,"YIELDS"}</definedName>
    <definedName name="test.all_2_1" localSheetId="10" hidden="1">{"PAGE1",#N/A,FALSE,"YIELDS";"PAGE2",#N/A,FALSE,"YIELDS";"PAGE3",#N/A,FALSE,"YIELDS"}</definedName>
    <definedName name="test_1" localSheetId="10" hidden="1">{"PAGE1",#N/A,FALSE,"YIELDS";"PAGE2",#N/A,FALSE,"YIELDS";"PAGE3",#N/A,FALSE,"YIELDS"}</definedName>
    <definedName name="test_1_1" localSheetId="10" hidden="1">{"PAGE1",#N/A,FALSE,"YIELDS";"PAGE2",#N/A,FALSE,"YIELDS";"PAGE3",#N/A,FALSE,"YIELDS"}</definedName>
    <definedName name="test_2" localSheetId="10" hidden="1">{"PAGE1",#N/A,FALSE,"YIELDS";"PAGE2",#N/A,FALSE,"YIELDS";"PAGE3",#N/A,FALSE,"YIELDS"}</definedName>
    <definedName name="test_2_1" localSheetId="10" hidden="1">{"PAGE1",#N/A,FALSE,"YIELDS";"PAGE2",#N/A,FALSE,"YIELDS";"PAGE3",#N/A,FALSE,"YIELDS"}</definedName>
    <definedName name="test3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1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2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2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5" localSheetId="10" hidden="1">{"Current",#N/A,FALSE,"Currentcal";"Current B",#N/A,FALSE,"Currentcal";"Constant",#N/A,FALSE,"Constantcal";"Constant B",#N/A,FALSE,"Constantcal"}</definedName>
    <definedName name="test5_1" localSheetId="10" hidden="1">{"Current",#N/A,FALSE,"Currentcal";"Current B",#N/A,FALSE,"Currentcal";"Constant",#N/A,FALSE,"Constantcal";"Constant B",#N/A,FALSE,"Constantcal"}</definedName>
    <definedName name="test5_1_1" localSheetId="10" hidden="1">{"Current",#N/A,FALSE,"Currentcal";"Current B",#N/A,FALSE,"Currentcal";"Constant",#N/A,FALSE,"Constantcal";"Constant B",#N/A,FALSE,"Constantcal"}</definedName>
    <definedName name="test5_2" localSheetId="10" hidden="1">{"Current",#N/A,FALSE,"Currentcal";"Current B",#N/A,FALSE,"Currentcal";"Constant",#N/A,FALSE,"Constantcal";"Constant B",#N/A,FALSE,"Constantcal"}</definedName>
    <definedName name="test5_2_1" localSheetId="10" hidden="1">{"Current",#N/A,FALSE,"Currentcal";"Current B",#N/A,FALSE,"Currentcal";"Constant",#N/A,FALSE,"Constantcal";"Constant B",#N/A,FALSE,"Constantcal"}</definedName>
    <definedName name="three" localSheetId="10" hidden="1">{"midlpg1",#N/A,FALSE,"MIDEAST LPG";"midlpg2",#N/A,FALSE,"MIDEAST LPG"}</definedName>
    <definedName name="three2" localSheetId="10" hidden="1">{"midlpg1",#N/A,FALSE,"MIDEAST LPG";"midlpg2",#N/A,FALSE,"MIDEAST LPG"}</definedName>
    <definedName name="time" localSheetId="10" hidden="1">{"japcurrent1",#N/A,FALSE,"JAPAN PRODUCTS";"japcurrent2",#N/A,FALSE,"JAPAN PRODUCTS"}</definedName>
    <definedName name="two" localSheetId="10" hidden="1">{"japlpg1",#N/A,FALSE,"JAPAN LPG ";"japllpg2",#N/A,FALSE,"JAPAN LPG "}</definedName>
    <definedName name="wrn.all" localSheetId="10" hidden="1">{"PAGE1",#N/A,FALSE,"YIELDS";"PAGE2",#N/A,FALSE,"YIELDS";"PAGE3",#N/A,FALSE,"YIELDS"}</definedName>
    <definedName name="wrn.ALL." localSheetId="10" hidden="1">{"PAGE1",#N/A,FALSE,"YIELDS";"PAGE2",#N/A,FALSE,"YIELDS";"PAGE3",#N/A,FALSE,"YIELDS"}</definedName>
    <definedName name="wrn.ALL._1" localSheetId="10" hidden="1">{"PAGE1",#N/A,FALSE,"YIELDS";"PAGE2",#N/A,FALSE,"YIELDS";"PAGE3",#N/A,FALSE,"YIELDS"}</definedName>
    <definedName name="wrn.ALL._1_1" localSheetId="10" hidden="1">{"PAGE1",#N/A,FALSE,"YIELDS";"PAGE2",#N/A,FALSE,"YIELDS";"PAGE3",#N/A,FALSE,"YIELDS"}</definedName>
    <definedName name="wrn.ALL._2" localSheetId="10" hidden="1">{"PAGE1",#N/A,FALSE,"YIELDS";"PAGE2",#N/A,FALSE,"YIELDS";"PAGE3",#N/A,FALSE,"YIELDS"}</definedName>
    <definedName name="wrn.ALL._2_1" localSheetId="10" hidden="1">{"PAGE1",#N/A,FALSE,"YIELDS";"PAGE2",#N/A,FALSE,"YIELDS";"PAGE3",#N/A,FALSE,"YIELDS"}</definedName>
    <definedName name="wrn.C4._.BDE._.Supplement._.Trade." localSheetId="10" hidden="1">{"ExpTonsWE9698",#N/A,FALSE,"U.S. BDE Exp (Tons)WE abv";"ExpTonsWE9598",#N/A,FALSE,"U.S. BDE Exp (Tons)WE abv";"ExpLbsWE9698",#N/A,FALSE,"U.S. BDE Exp (Pounds)WE abv";"ExpLbsWE9598",#N/A,FALSE,"U.S. BDE Exp (Pounds)WE abv";"ImpTonsWE9698",#N/A,FALSE,"U.S. BDE Imp (Tons)WE abv";"ImpTonsWE9598",#N/A,FALSE,"U.S. BDE Imp (Tons)WE abv";"ImpLbsWE9698",#N/A,FALSE,"U.S. BDE Imp (Tons)WE abv";"ImpLbsWE9598",#N/A,FALSE,"U.S. BDE Imp (Tons)WE abv"}</definedName>
    <definedName name="wrn.charts." localSheetId="10" hidden="1">{"newyork",#N/A,FALSE,"Plots-Annually";"florida",#N/A,FALSE,"Plots-Annually"}</definedName>
    <definedName name="wrn.charts._1" localSheetId="10" hidden="1">{"newyork",#N/A,FALSE,"Plots-Annually";"florida",#N/A,FALSE,"Plots-Annually"}</definedName>
    <definedName name="wrn.charts._1_1" localSheetId="10" hidden="1">{"newyork",#N/A,FALSE,"Plots-Annually";"florida",#N/A,FALSE,"Plots-Annually"}</definedName>
    <definedName name="wrn.charts._2" localSheetId="10" hidden="1">{"newyork",#N/A,FALSE,"Plots-Annually";"florida",#N/A,FALSE,"Plots-Annually"}</definedName>
    <definedName name="wrn.charts._2_1" localSheetId="10" hidden="1">{"newyork",#N/A,FALSE,"Plots-Annually";"florida",#N/A,FALSE,"Plots-Annually"}</definedName>
    <definedName name="wrn.condensate." localSheetId="10" hidden="1">{"condensate",#N/A,FALSE,"CNTRYTYPE"}</definedName>
    <definedName name="wrn.condensate._1" localSheetId="10" hidden="1">{"condensate",#N/A,FALSE,"CNTRYTYPE"}</definedName>
    <definedName name="wrn.condensate._1_1" localSheetId="10" hidden="1">{"condensate",#N/A,FALSE,"CNTRYTYPE"}</definedName>
    <definedName name="wrn.condensate._2" localSheetId="10" hidden="1">{"condensate",#N/A,FALSE,"CNTRYTYPE"}</definedName>
    <definedName name="wrn.condensate._2_1" localSheetId="10" hidden="1">{"condensate",#N/A,FALSE,"CNTRYTYPE"}</definedName>
    <definedName name="wrn.crude." localSheetId="10" hidden="1">{"current1",#N/A,FALSE,"CRUDE";"current2",#N/A,FALSE,"CRUDE";"CONSTANT",#N/A,FALSE,"CRUDE"}</definedName>
    <definedName name="wrn.crude._1" localSheetId="10" hidden="1">{"Padd1crd",#N/A,FALSE,"REFINERY";"padd2crd",#N/A,FALSE,"REFINERY";"padd3crd",#N/A,FALSE,"REFINERY";"padd4crd",#N/A,FALSE,"REFINERY";"padd5crd",#N/A,FALSE,"REFINERY"}</definedName>
    <definedName name="wrn.crude._1_1" localSheetId="10" hidden="1">{"Padd1crd",#N/A,FALSE,"REFINERY";"padd2crd",#N/A,FALSE,"REFINERY";"padd3crd",#N/A,FALSE,"REFINERY";"padd4crd",#N/A,FALSE,"REFINERY";"padd5crd",#N/A,FALSE,"REFINERY"}</definedName>
    <definedName name="wrn.crude._2" localSheetId="10" hidden="1">{"Padd1crd",#N/A,FALSE,"REFINERY";"padd2crd",#N/A,FALSE,"REFINERY";"padd3crd",#N/A,FALSE,"REFINERY";"padd4crd",#N/A,FALSE,"REFINERY";"padd5crd",#N/A,FALSE,"REFINERY"}</definedName>
    <definedName name="wrn.crude._2_1" localSheetId="10" hidden="1">{"Padd1crd",#N/A,FALSE,"REFINERY";"padd2crd",#N/A,FALSE,"REFINERY";"padd3crd",#N/A,FALSE,"REFINERY";"padd4crd",#N/A,FALSE,"REFINERY";"padd5crd",#N/A,FALSE,"REFINERY"}</definedName>
    <definedName name="wrn.CRUDE1." localSheetId="10" hidden="1">{"int85",#N/A,FALSE,"CRUDE";"crude2000",#N/A,FALSE,"CRUDE";"int98",#N/A,FALSE,"CRUDE";"usng85",#N/A,FALSE,"u.s. Natural Gas";"usng2000",#N/A,FALSE,"u.s. Natural Gas";"sing85",#N/A,FALSE,"SING MARG";"Sing2000",#N/A,FALSE,"SING MARG";"sing10",#N/A,FALSE,"SING MARG";"west2000",#N/A,FALSE,"europe LPG";"WEST85",#N/A,FALSE,"europe LPG";"Japan2000",#N/A,FALSE,"JAPAN PRODUCTS";"japan85",#N/A,FALSE,"JAPAN PRODUCTS";"jlpg2000",#N/A,FALSE,"JAPAN LPG ";"Jlpg85",#N/A,FALSE,"JAPAN LPG ";"ME85",#N/A,FALSE,"MIDEAST LPG";"me2000",#N/A,FALSE,"MIDEAST LPG";"MD85",#N/A,FALSE,"MED MARGINS";"MD2000",#N/A,FALSE,"MED MARGINS";"md98",#N/A,FALSE,"MED MARGINS";"MD85",#N/A,FALSE,"ARAB GULF PRODUCTS";"MD2000",#N/A,FALSE,"ARAB GULF PRODUCTS";"ngl85",#N/A,FALSE,"u.s. NGL";"ngl2000",#N/A,FALSE,"u.s. NGL";"nw85",#N/A,FALSE,"NWE MARGINS";"nw2000",#N/A,FALSE,"NWE MARGINS";"NW98",#N/A,FALSE,"NWE MARGINS";"US85",#N/A,FALSE,"US PRODUCTS";"US98",#N/A,FALSE,"US PRODUCTS";"us2000",#N/A,FALSE,"US PRODUCTS"}</definedName>
    <definedName name="wrn.DELTA." localSheetId="10" hidden="1">{"delta II 1",#N/A,FALSE,"DELTA";"delta II 2",#N/A,FALSE,"DELTA";"delta II 3",#N/A,FALSE,"DELTA"}</definedName>
    <definedName name="wrn.DELTA._1" localSheetId="10" hidden="1">{"table II 1",#N/A,FALSE,"DTables";"table II 2",#N/A,FALSE,"DTables";"table III 3",#N/A,FALSE,"DTables";"table III 4",#N/A,FALSE,"DTables"}</definedName>
    <definedName name="wrn.DELTA._1_1" localSheetId="10" hidden="1">{"table II 1",#N/A,FALSE,"DTables";"table II 2",#N/A,FALSE,"DTables";"table III 3",#N/A,FALSE,"DTables";"table III 4",#N/A,FALSE,"DTables"}</definedName>
    <definedName name="wrn.DELTA._2" localSheetId="10" hidden="1">{"table II 1",#N/A,FALSE,"DTables";"table II 2",#N/A,FALSE,"DTables";"table III 3",#N/A,FALSE,"DTables";"table III 4",#N/A,FALSE,"DTables"}</definedName>
    <definedName name="wrn.DELTA._2_1" localSheetId="10" hidden="1">{"table II 1",#N/A,FALSE,"DTables";"table II 2",#N/A,FALSE,"DTables";"table III 3",#N/A,FALSE,"DTables";"table III 4",#N/A,FALSE,"DTables"}</definedName>
    <definedName name="wrn.DELVTAB.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1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1_1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2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2_1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mand._.MT." localSheetId="10" hidden="1">{"Demand by Product MT",#N/A,TRUE,"PRDEMPOR";"Demand by Sector MT",#N/A,TRUE,"PRDEMPOR"}</definedName>
    <definedName name="wrn.Demand._.MT._1" localSheetId="10" hidden="1">{"Demand by Product MT",#N/A,TRUE,"PRDEMPOR";"Demand by Sector MT",#N/A,TRUE,"PRDEMPOR"}</definedName>
    <definedName name="wrn.Demand._.MT._1_1" localSheetId="10" hidden="1">{"Demand by Product MT",#N/A,TRUE,"PRDEMPOR";"Demand by Sector MT",#N/A,TRUE,"PRDEMPOR"}</definedName>
    <definedName name="wrn.Demand._.MT._2" localSheetId="10" hidden="1">{"Demand by Product MT",#N/A,TRUE,"PRDEMPOR";"Demand by Sector MT",#N/A,TRUE,"PRDEMPOR"}</definedName>
    <definedName name="wrn.Demand._.MT._2_1" localSheetId="10" hidden="1">{"Demand by Product MT",#N/A,TRUE,"PRDEMPOR";"Demand by Sector MT",#N/A,TRUE,"PRDEMPOR"}</definedName>
    <definedName name="wrn.Demand._.MTOE." localSheetId="10" hidden="1">{"Demand by Product MTOE",#N/A,TRUE,"PRDEMPOR";"Demand by Sector MTOE",#N/A,TRUE,"PRDEMPOR"}</definedName>
    <definedName name="wrn.Demand._.MTOE._1" localSheetId="10" hidden="1">{"Demand by Product MTOE",#N/A,TRUE,"PRDEMPOR";"Demand by Sector MTOE",#N/A,TRUE,"PRDEMPOR"}</definedName>
    <definedName name="wrn.Demand._.MTOE._1_1" localSheetId="10" hidden="1">{"Demand by Product MTOE",#N/A,TRUE,"PRDEMPOR";"Demand by Sector MTOE",#N/A,TRUE,"PRDEMPOR"}</definedName>
    <definedName name="wrn.Demand._.MTOE._2" localSheetId="10" hidden="1">{"Demand by Product MTOE",#N/A,TRUE,"PRDEMPOR";"Demand by Sector MTOE",#N/A,TRUE,"PRDEMPOR"}</definedName>
    <definedName name="wrn.Demand._.MTOE._2_1" localSheetId="10" hidden="1">{"Demand by Product MTOE",#N/A,TRUE,"PRDEMPOR";"Demand by Sector MTOE",#N/A,TRUE,"PRDEMPOR"}</definedName>
    <definedName name="wrn.FOBCALC.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1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1_1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2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2_1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lder._.00." localSheetId="10" hidden="1">{#N/A,#N/A,FALSE,"NBRIMX";#N/A,#N/A,FALSE,"PBRIMX";#N/A,#N/A,FALSE,"PCRIMX";#N/A,#N/A,FALSE,"SBRIMX";#N/A,#N/A,FALSE,"SBLIMX";"ExpTonsWe9800",#N/A,FALSE,"SBLIMX";"ExpLbsWe9800",#N/A,FALSE,"SBLIMX";"ImpTonsWe9800",#N/A,FALSE,"SBLIMX";"ImpLbsWe9800",#N/A,FALSE,"SBLIMX";"U.S. Bde Deriv Trd 9900",#N/A,FALSE,"SBLIMX"}</definedName>
    <definedName name="wrn.Folder._.01." localSheetId="10" hidden="1">{"SynRub9901Print",#N/A,FALSE,"SYNRUBPR";"PrintSBRNET87",#N/A,FALSE,"SYNRUBPR"}</definedName>
    <definedName name="wrn.Folder._.99." localSheetId="10" hidden="1">{"SynRub9799Print",#N/A,FALSE,"SYNRUBPR";"PrintSBRNET87",#N/A,FALSE,"SYNRUBPR"}</definedName>
    <definedName name="wrn.GASCOND." localSheetId="10" hidden="1">{"GASCOND",#N/A,FALSE,"CONDENSATE";"CRUDECOND",#N/A,FALSE,"CONDENSATE";"TOTALCOND",#N/A,FALSE,"CONDENSATE"}</definedName>
    <definedName name="wrn.GASCOND._1" localSheetId="10" hidden="1">{"GASCOND",#N/A,FALSE,"CONDENSATE";"CRUDECOND",#N/A,FALSE,"CONDENSATE";"TOTALCOND",#N/A,FALSE,"CONDENSATE"}</definedName>
    <definedName name="wrn.GASCOND._1_1" localSheetId="10" hidden="1">{"GASCOND",#N/A,FALSE,"CONDENSATE";"CRUDECOND",#N/A,FALSE,"CONDENSATE";"TOTALCOND",#N/A,FALSE,"CONDENSATE"}</definedName>
    <definedName name="wrn.GASCOND._2" localSheetId="10" hidden="1">{"GASCOND",#N/A,FALSE,"CONDENSATE";"CRUDECOND",#N/A,FALSE,"CONDENSATE";"TOTALCOND",#N/A,FALSE,"CONDENSATE"}</definedName>
    <definedName name="wrn.GASCOND._2_1" localSheetId="10" hidden="1">{"GASCOND",#N/A,FALSE,"CONDENSATE";"CRUDECOND",#N/A,FALSE,"CONDENSATE";"TOTALCOND",#N/A,FALSE,"CONDENSATE"}</definedName>
    <definedName name="wrn.GASODEM." localSheetId="10" hidden="1">{"monthly",#N/A,FALSE,"GASODEM";"qtr to yr",#N/A,FALSE,"GASODEM"}</definedName>
    <definedName name="wrn.GASODEM._1" localSheetId="10" hidden="1">{"monthly",#N/A,FALSE,"GASODEM";"qtr to yr",#N/A,FALSE,"GASODEM"}</definedName>
    <definedName name="wrn.GASODEM._1_1" localSheetId="10" hidden="1">{"monthly",#N/A,FALSE,"GASODEM";"qtr to yr",#N/A,FALSE,"GASODEM"}</definedName>
    <definedName name="wrn.GASODEM._2" localSheetId="10" hidden="1">{"monthly",#N/A,FALSE,"GASODEM";"qtr to yr",#N/A,FALSE,"GASODEM"}</definedName>
    <definedName name="wrn.GASODEM._2_1" localSheetId="10" hidden="1">{"monthly",#N/A,FALSE,"GASODEM";"qtr to yr",#N/A,FALSE,"GASODEM"}</definedName>
    <definedName name="wrn.heavy." localSheetId="10" hidden="1">{"heavy",#N/A,FALSE,"CNTRYTYPE"}</definedName>
    <definedName name="wrn.heavy._1" localSheetId="10" hidden="1">{"heavy",#N/A,FALSE,"CNTRYTYPE"}</definedName>
    <definedName name="wrn.heavy._1_1" localSheetId="10" hidden="1">{"heavy",#N/A,FALSE,"CNTRYTYPE"}</definedName>
    <definedName name="wrn.heavy._2" localSheetId="10" hidden="1">{"heavy",#N/A,FALSE,"CNTRYTYPE"}</definedName>
    <definedName name="wrn.heavy._2_1" localSheetId="10" hidden="1">{"heavy",#N/A,FALSE,"CNTRYTYPE"}</definedName>
    <definedName name="wrn.Input._.and._.Growths." localSheetId="10" hidden="1">{"Product Demands Input",#N/A,TRUE,"PRDEMPOR";"Annual Growth Rates",#N/A,TRUE,"PRDEMPOR"}</definedName>
    <definedName name="wrn.Input._.and._.Growths._1" localSheetId="10" hidden="1">{"Product Demands Input",#N/A,TRUE,"PRDEMPOR";"Annual Growth Rates",#N/A,TRUE,"PRDEMPOR"}</definedName>
    <definedName name="wrn.Input._.and._.Growths._1_1" localSheetId="10" hidden="1">{"Product Demands Input",#N/A,TRUE,"PRDEMPOR";"Annual Growth Rates",#N/A,TRUE,"PRDEMPOR"}</definedName>
    <definedName name="wrn.Input._.and._.Growths._2" localSheetId="10" hidden="1">{"Product Demands Input",#N/A,TRUE,"PRDEMPOR";"Annual Growth Rates",#N/A,TRUE,"PRDEMPOR"}</definedName>
    <definedName name="wrn.Input._.and._.Growths._2_1" localSheetId="10" hidden="1">{"Product Demands Input",#N/A,TRUE,"PRDEMPOR";"Annual Growth Rates",#N/A,TRUE,"PRDEMPOR"}</definedName>
    <definedName name="wrn.light._.sour." localSheetId="10" hidden="1">{"light sour",#N/A,FALSE,"CNTRYTYPE"}</definedName>
    <definedName name="wrn.light._.sour._1" localSheetId="10" hidden="1">{"light sour",#N/A,FALSE,"CNTRYTYPE"}</definedName>
    <definedName name="wrn.light._.sour._1_1" localSheetId="10" hidden="1">{"light sour",#N/A,FALSE,"CNTRYTYPE"}</definedName>
    <definedName name="wrn.light._.sour._2" localSheetId="10" hidden="1">{"light sour",#N/A,FALSE,"CNTRYTYPE"}</definedName>
    <definedName name="wrn.light._.sour._2_1" localSheetId="10" hidden="1">{"light sour",#N/A,FALSE,"CNTRYTYPE"}</definedName>
    <definedName name="wrn.natgastab." localSheetId="10" hidden="1">{"natgas1",#N/A,FALSE,"u.s. Natural Gas";"natgas2",#N/A,FALSE,"u.s. Natural Gas"}</definedName>
    <definedName name="wrn.New._.York." localSheetId="10" hidden="1">{"NY PRICES",#N/A,FALSE,"CURRENT";"NY PRICES B",#N/A,FALSE,"CURRENT";"NY PRICES",#N/A,FALSE,"CONSTANT";"NY PRICES B",#N/A,FALSE,"CONSTANT"}</definedName>
    <definedName name="wrn.New._.York._1" localSheetId="10" hidden="1">{"NY PRICES",#N/A,FALSE,"CURRENT";"NY PRICES B",#N/A,FALSE,"CURRENT";"NY PRICES",#N/A,FALSE,"CONSTANT";"NY PRICES B",#N/A,FALSE,"CONSTANT"}</definedName>
    <definedName name="wrn.New._.York._1_1" localSheetId="10" hidden="1">{"NY PRICES",#N/A,FALSE,"CURRENT";"NY PRICES B",#N/A,FALSE,"CURRENT";"NY PRICES",#N/A,FALSE,"CONSTANT";"NY PRICES B",#N/A,FALSE,"CONSTANT"}</definedName>
    <definedName name="wrn.New._.York._2" localSheetId="10" hidden="1">{"NY PRICES",#N/A,FALSE,"CURRENT";"NY PRICES B",#N/A,FALSE,"CURRENT";"NY PRICES",#N/A,FALSE,"CONSTANT";"NY PRICES B",#N/A,FALSE,"CONSTANT"}</definedName>
    <definedName name="wrn.New._.York._2_1" localSheetId="10" hidden="1">{"NY PRICES",#N/A,FALSE,"CURRENT";"NY PRICES B",#N/A,FALSE,"CURRENT";"NY PRICES",#N/A,FALSE,"CONSTANT";"NY PRICES B",#N/A,FALSE,"CONSTANT"}</definedName>
    <definedName name="wrn.NWE._.1995." localSheetId="10" hidden="1">{"input",#N/A,TRUE,"1995 Quality";"basedata",#N/A,TRUE,"1995 Quality";"diff",#N/A,TRUE,"1995 Quality"}</definedName>
    <definedName name="wrn.NWE._.2000." localSheetId="10" hidden="1">{"input",#N/A,FALSE,"Year 2000";"basedata",#N/A,FALSE,"Year 2000";"diff",#N/A,FALSE,"Year 2000"}</definedName>
    <definedName name="wrn.print." localSheetId="10" hidden="1">{"yields",#N/A,TRUE,"Yields";"diff",#N/A,TRUE,"Differentials"}</definedName>
    <definedName name="wrn.Print._.NWE._.Condensates." localSheetId="10" hidden="1">{"NWE Condensate 01",#N/A,FALSE,"Plots Condensates (NWE)";"NWE Condensate 02",#N/A,FALSE,"Plots Condensates (NWE)";"NWE Condensate 03",#N/A,FALSE,"Plots Condensates (NWE)"}</definedName>
    <definedName name="wrn.Print._.NWE._.Condensates._1" localSheetId="10" hidden="1">{"NWE Condensate 01",#N/A,FALSE,"Plots Condensates (NWE)";"NWE Condensate 02",#N/A,FALSE,"Plots Condensates (NWE)";"NWE Condensate 03",#N/A,FALSE,"Plots Condensates (NWE)"}</definedName>
    <definedName name="wrn.Print._.NWE._.Condensates._1_1" localSheetId="10" hidden="1">{"NWE Condensate 01",#N/A,FALSE,"Plots Condensates (NWE)";"NWE Condensate 02",#N/A,FALSE,"Plots Condensates (NWE)";"NWE Condensate 03",#N/A,FALSE,"Plots Condensates (NWE)"}</definedName>
    <definedName name="wrn.Print._.NWE._.Condensates._2" localSheetId="10" hidden="1">{"NWE Condensate 01",#N/A,FALSE,"Plots Condensates (NWE)";"NWE Condensate 02",#N/A,FALSE,"Plots Condensates (NWE)";"NWE Condensate 03",#N/A,FALSE,"Plots Condensates (NWE)"}</definedName>
    <definedName name="wrn.Print._.NWE._.Condensates._2_1" localSheetId="10" hidden="1">{"NWE Condensate 01",#N/A,FALSE,"Plots Condensates (NWE)";"NWE Condensate 02",#N/A,FALSE,"Plots Condensates (NWE)";"NWE Condensate 03",#N/A,FALSE,"Plots Condensates (NWE)"}</definedName>
    <definedName name="wrn.Print._.Plots." localSheetId="10" hidden="1">{"Plot1",#N/A,FALSE,"Plots";"plot2",#N/A,FALSE,"Plots";"plot3",#N/A,FALSE,"Plots";"plot4",#N/A,FALSE,"Plots";"plot5",#N/A,FALSE,"Plots";"plot6",#N/A,FALSE,"Plots"}</definedName>
    <definedName name="wrn.Print._.Plots._.Summary.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1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1_1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2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2_1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1" localSheetId="10" hidden="1">{"Plot1",#N/A,FALSE,"Plots";"plot2",#N/A,FALSE,"Plots";"plot3",#N/A,FALSE,"Plots";"plot4",#N/A,FALSE,"Plots";"plot5",#N/A,FALSE,"Plots";"plot6",#N/A,FALSE,"Plots"}</definedName>
    <definedName name="wrn.Print._.Plots._1_1" localSheetId="10" hidden="1">{"Plot1",#N/A,FALSE,"Plots";"plot2",#N/A,FALSE,"Plots";"plot3",#N/A,FALSE,"Plots";"plot4",#N/A,FALSE,"Plots";"plot5",#N/A,FALSE,"Plots";"plot6",#N/A,FALSE,"Plots"}</definedName>
    <definedName name="wrn.Print._.Plots._2" localSheetId="10" hidden="1">{"Plot1",#N/A,FALSE,"Plots";"plot2",#N/A,FALSE,"Plots";"plot3",#N/A,FALSE,"Plots";"plot4",#N/A,FALSE,"Plots";"plot5",#N/A,FALSE,"Plots";"plot6",#N/A,FALSE,"Plots"}</definedName>
    <definedName name="wrn.Print._.Plots._2_1" localSheetId="10" hidden="1">{"Plot1",#N/A,FALSE,"Plots";"plot2",#N/A,FALSE,"Plots";"plot3",#N/A,FALSE,"Plots";"plot4",#N/A,FALSE,"Plots";"plot5",#N/A,FALSE,"Plots";"plot6",#N/A,FALSE,"Plots"}</definedName>
    <definedName name="wrn.Print._.Sing._.Condensates.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1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1_1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2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2_1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USGC._.Condensates.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1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1_1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2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2_1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ODTABLES.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1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2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2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REFINERY." localSheetId="10" hidden="1">{"Padd I to III",#N/A,FALSE,"REFINERY";"Padd IV to US",#N/A,FALSE,"REFINERY";"Crude Balance I",#N/A,FALSE,"REFINERY";"Crude Balance II",#N/A,FALSE,"REFINERY"}</definedName>
    <definedName name="wrn.REFINERY._1" localSheetId="10" hidden="1">{"Padd I to III",#N/A,FALSE,"REFINERY";"Padd IV to US",#N/A,FALSE,"REFINERY";"Crude Balance I",#N/A,FALSE,"REFINERY";"Crude Balance II",#N/A,FALSE,"REFINERY"}</definedName>
    <definedName name="wrn.REFINERY._1_1" localSheetId="10" hidden="1">{"Padd I to III",#N/A,FALSE,"REFINERY";"Padd IV to US",#N/A,FALSE,"REFINERY";"Crude Balance I",#N/A,FALSE,"REFINERY";"Crude Balance II",#N/A,FALSE,"REFINERY"}</definedName>
    <definedName name="wrn.REFINERY._2" localSheetId="10" hidden="1">{"Padd I to III",#N/A,FALSE,"REFINERY";"Padd IV to US",#N/A,FALSE,"REFINERY";"Crude Balance I",#N/A,FALSE,"REFINERY";"Crude Balance II",#N/A,FALSE,"REFINERY"}</definedName>
    <definedName name="wrn.REFINERY._2_1" localSheetId="10" hidden="1">{"Padd I to III",#N/A,FALSE,"REFINERY";"Padd IV to US",#N/A,FALSE,"REFINERY";"Crude Balance I",#N/A,FALSE,"REFINERY";"Crude Balance II",#N/A,FALSE,"REFINERY"}</definedName>
    <definedName name="wrn.region." localSheetId="10" hidden="1">{"Region",#N/A,FALSE,"CNTRYTYPE"}</definedName>
    <definedName name="wrn.region._1" localSheetId="10" hidden="1">{"Region",#N/A,FALSE,"CNTRYTYPE"}</definedName>
    <definedName name="wrn.region._1_1" localSheetId="10" hidden="1">{"Region",#N/A,FALSE,"CNTRYTYPE"}</definedName>
    <definedName name="wrn.region._2" localSheetId="10" hidden="1">{"Region",#N/A,FALSE,"CNTRYTYPE"}</definedName>
    <definedName name="wrn.region._2_1" localSheetId="10" hidden="1">{"Region",#N/A,FALSE,"CNTRYTYPE"}</definedName>
    <definedName name="wrn.report." localSheetId="10" hidden="1">{#N/A,#N/A,FALSE,"Summary_netback";#N/A,#N/A,FALSE,"Summary_value"}</definedName>
    <definedName name="wrn.report._1" localSheetId="10" hidden="1">{#N/A,#N/A,FALSE,"Summary_netback";#N/A,#N/A,FALSE,"Summary_value"}</definedName>
    <definedName name="wrn.report._1_1" localSheetId="10" hidden="1">{#N/A,#N/A,FALSE,"Summary_netback";#N/A,#N/A,FALSE,"Summary_value"}</definedName>
    <definedName name="wrn.report._2" localSheetId="10" hidden="1">{#N/A,#N/A,FALSE,"Summary_netback";#N/A,#N/A,FALSE,"Summary_value"}</definedName>
    <definedName name="wrn.report._2_1" localSheetId="10" hidden="1">{#N/A,#N/A,FALSE,"Summary_netback";#N/A,#N/A,FALSE,"Summary_value"}</definedName>
    <definedName name="wrn.REVENUES." localSheetId="10" hidden="1">{"revenue",#N/A,FALSE,"lls hydro";"revenue",#N/A,FALSE,"lls crack";"revenue",#N/A,FALSE,"lls coke"}</definedName>
    <definedName name="wrn.RUBIMXYYYY." localSheetId="10" hidden="1">{"NBRIMX_PRINT",#N/A,FALSE,"NBRIMX";"PBRIMX_PRINT",#N/A,FALSE,"PBRIMX";"PCRIMX_PRINT",#N/A,FALSE,"PCRIMX";"SBRIMX_PRINT",#N/A,FALSE,"SBRIMX";"SBLIMX_PRINT",#N/A,FALSE,"SBLIMX"}</definedName>
    <definedName name="wrn.SAMPLE." localSheetId="10" hidden="1">{#N/A,#N/A,TRUE,"Crude";#N/A,#N/A,TRUE,"Products"}</definedName>
    <definedName name="wrn.SAMPLE._1" localSheetId="10" hidden="1">{#N/A,#N/A,TRUE,"Crude";#N/A,#N/A,TRUE,"Products"}</definedName>
    <definedName name="wrn.SAMPLE._1_1" localSheetId="10" hidden="1">{#N/A,#N/A,TRUE,"Crude";#N/A,#N/A,TRUE,"Products"}</definedName>
    <definedName name="wrn.SAMPLE._2" localSheetId="10" hidden="1">{#N/A,#N/A,TRUE,"Crude";#N/A,#N/A,TRUE,"Products"}</definedName>
    <definedName name="wrn.SAMPLE._2_1" localSheetId="10" hidden="1">{#N/A,#N/A,TRUE,"Crude";#N/A,#N/A,TRUE,"Products"}</definedName>
    <definedName name="wrn.SINGPROD." localSheetId="10" hidden="1">{"singcurrent1",#N/A,FALSE,"SING MARG";"SINGCURRENT2",#N/A,FALSE,"SING MARG";"SINGCONSTANT",#N/A,FALSE,"SING MARG"}</definedName>
    <definedName name="wrn.SUBREGION." localSheetId="10" hidden="1">{"SUBREGION",#N/A,FALSE,"CNTRYTYPE"}</definedName>
    <definedName name="wrn.SUBREGION._1" localSheetId="10" hidden="1">{"SUBREGION",#N/A,FALSE,"CNTRYTYPE"}</definedName>
    <definedName name="wrn.SUBREGION._1_1" localSheetId="10" hidden="1">{"SUBREGION",#N/A,FALSE,"CNTRYTYPE"}</definedName>
    <definedName name="wrn.SUBREGION._2" localSheetId="10" hidden="1">{"SUBREGION",#N/A,FALSE,"CNTRYTYPE"}</definedName>
    <definedName name="wrn.SUBREGION._2_1" localSheetId="10" hidden="1">{"SUBREGION",#N/A,FALSE,"CNTRYTYPE"}</definedName>
    <definedName name="wrn.Summary." localSheetId="10" hidden="1">{"Growth Supply Demand",#N/A,TRUE,"Summary";"Primary Energy Balance",#N/A,TRUE,"Summary"}</definedName>
    <definedName name="wrn.Summary._1" localSheetId="10" hidden="1">{"Growth Supply Demand",#N/A,TRUE,"Summary";"Primary Energy Balance",#N/A,TRUE,"Summary"}</definedName>
    <definedName name="wrn.Summary._1_1" localSheetId="10" hidden="1">{"Growth Supply Demand",#N/A,TRUE,"Summary";"Primary Energy Balance",#N/A,TRUE,"Summary"}</definedName>
    <definedName name="wrn.Summary._2" localSheetId="10" hidden="1">{"Growth Supply Demand",#N/A,TRUE,"Summary";"Primary Energy Balance",#N/A,TRUE,"Summary"}</definedName>
    <definedName name="wrn.Summary._2_1" localSheetId="10" hidden="1">{"Growth Supply Demand",#N/A,TRUE,"Summary";"Primary Energy Balance",#N/A,TRUE,"Summary"}</definedName>
    <definedName name="wrn.Sup._.Folder._.98." localSheetId="10" hidden="1">{"U.S. Bde Deriv Trd",#N/A,FALSE,"US Trade Growth";"ImpTonsWE9698",#N/A,FALSE,"US Trade Growth";"ExpTonsWe9698",#N/A,FALSE,"US Trade Growth";"ImpLbsWE9698",#N/A,FALSE,"US Trade Growth";"ExpLbsWE9698",#N/A,FALSE,"US Trade Growth"}</definedName>
    <definedName name="wrn.Sup._.Folder._.99." localSheetId="10" hidden="1">{"U.S. Bde Deriv Trd 9899",#N/A,FALSE,"U.S. BDE Exp (Tons)WE abv";"ImpLbsWE9799",#N/A,FALSE,"U.S. BDE Exp (Tons)WE abv";"ImpTonsWE9799",#N/A,FALSE,"U.S. BDE Exp (Tons)WE abv";"ExpLbsWE9799",#N/A,FALSE,"U.S. BDE Exp (Tons)WE abv";"ExpTonsWE9799",#N/A,FALSE,"U.S. BDE Exp (Tons)WE abv"}</definedName>
    <definedName name="wrn.sweet." localSheetId="10" hidden="1">{"sweet",#N/A,FALSE,"CNTRYTYPE"}</definedName>
    <definedName name="wrn.sweet._1" localSheetId="10" hidden="1">{"sweet",#N/A,FALSE,"CNTRYTYPE"}</definedName>
    <definedName name="wrn.sweet._1_1" localSheetId="10" hidden="1">{"sweet",#N/A,FALSE,"CNTRYTYPE"}</definedName>
    <definedName name="wrn.sweet._2" localSheetId="10" hidden="1">{"sweet",#N/A,FALSE,"CNTRYTYPE"}</definedName>
    <definedName name="wrn.sweet._2_1" localSheetId="10" hidden="1">{"sweet",#N/A,FALSE,"CNTRYTYPE"}</definedName>
    <definedName name="wrn.tableeurlpg." localSheetId="10" hidden="1">{"eurlpg1",#N/A,FALSE,"europe LPG";"eurlpg2",#N/A,FALSE,"europe LPG"}</definedName>
    <definedName name="wrn.tablejap." localSheetId="10" hidden="1">{"japcurrent1",#N/A,FALSE,"JAPAN PRODUCTS";"japcurrent2",#N/A,FALSE,"JAPAN PRODUCTS"}</definedName>
    <definedName name="wrn.tablejaplpg." localSheetId="10" hidden="1">{"japlpg1",#N/A,FALSE,"JAPAN LPG ";"japllpg2",#N/A,FALSE,"JAPAN LPG "}</definedName>
    <definedName name="wrn.tablemeastlpg." localSheetId="10" hidden="1">{"midlpg1",#N/A,FALSE,"MIDEAST LPG";"midlpg2",#N/A,FALSE,"MIDEAST LPG"}</definedName>
    <definedName name="wrn.TABLEMED." localSheetId="10" hidden="1">{"medcurrent1",#N/A,FALSE,"MED MARGINS";"medcurrent2",#N/A,FALSE,"MED MARGINS";"medconstant",#N/A,FALSE,"MED MARGINS"}</definedName>
    <definedName name="wrn.tablemideast." localSheetId="10" hidden="1">{"midcurrent1",#N/A,FALSE,"ARAB GULF PRODUCTS";"midcurrent2",#N/A,FALSE,"ARAB GULF PRODUCTS"}</definedName>
    <definedName name="wrn.tablengl." localSheetId="10" hidden="1">{"ngl1",#N/A,FALSE,"u.s. NGL";"ngl2",#N/A,FALSE,"u.s. NGL"}</definedName>
    <definedName name="wrn.TABLENWE." localSheetId="10" hidden="1">{"nwecurrent1",#N/A,FALSE,"NWE MARGINS";"nwecurrent2",#N/A,FALSE,"NWE MARGINS";"nweconstant",#N/A,FALSE,"NWE MARGINS"}</definedName>
    <definedName name="wrn.tableprod." localSheetId="10" hidden="1">{"current1",#N/A,FALSE,"US PRODUCTS";"current2",#N/A,FALSE,"US PRODUCTS";"constant",#N/A,FALSE,"US PRODUCTS"}</definedName>
    <definedName name="wrn.Tables." localSheetId="10" hidden="1">{"Current",#N/A,FALSE,"Currentcal";"Current B",#N/A,FALSE,"Currentcal";"Constant",#N/A,FALSE,"Constantcal";"Constant B",#N/A,FALSE,"Constantcal"}</definedName>
    <definedName name="wrn.Tables._1" localSheetId="10" hidden="1">{"Current",#N/A,FALSE,"Currentcal";"Current B",#N/A,FALSE,"Currentcal";"Constant",#N/A,FALSE,"Constantcal";"Constant B",#N/A,FALSE,"Constantcal"}</definedName>
    <definedName name="wrn.Tables._1_1" localSheetId="10" hidden="1">{"Current",#N/A,FALSE,"Currentcal";"Current B",#N/A,FALSE,"Currentcal";"Constant",#N/A,FALSE,"Constantcal";"Constant B",#N/A,FALSE,"Constantcal"}</definedName>
    <definedName name="wrn.Tables._2" localSheetId="10" hidden="1">{"Current",#N/A,FALSE,"Currentcal";"Current B",#N/A,FALSE,"Currentcal";"Constant",#N/A,FALSE,"Constantcal";"Constant B",#N/A,FALSE,"Constantcal"}</definedName>
    <definedName name="wrn.Tables._2_1" localSheetId="10" hidden="1">{"Current",#N/A,FALSE,"Currentcal";"Current B",#N/A,FALSE,"Currentcal";"Constant",#N/A,FALSE,"Constantcal";"Constant B",#N/A,FALSE,"Constantcal"}</definedName>
    <definedName name="wrn.total." localSheetId="10" hidden="1">{"total",#N/A,FALSE,"CNTRYTYPE"}</definedName>
    <definedName name="wrn.total._1" localSheetId="10" hidden="1">{"total",#N/A,FALSE,"CNTRYTYPE"}</definedName>
    <definedName name="wrn.total._1_1" localSheetId="10" hidden="1">{"total",#N/A,FALSE,"CNTRYTYPE"}</definedName>
    <definedName name="wrn.total._2" localSheetId="10" hidden="1">{"total",#N/A,FALSE,"CNTRYTYPE"}</definedName>
    <definedName name="wrn.total._2_1" localSheetId="10" hidden="1">{"total",#N/A,FALSE,"CNTRYTYPE"}</definedName>
    <definedName name="wrn2.all" localSheetId="10" hidden="1">{"PAGE1",#N/A,FALSE,"YIELDS";"PAGE2",#N/A,FALSE,"YIELDS";"PAGE3",#N/A,FALSE,"YIELDS"}</definedName>
    <definedName name="wrn2.all." localSheetId="10" hidden="1">{"PAGE1",#N/A,FALSE,"YIELDS";"PAGE2",#N/A,FALSE,"YIELDS";"PAGE3",#N/A,FALSE,"YIELDS"}</definedName>
    <definedName name="wrn2.all._1" localSheetId="10" hidden="1">{"PAGE1",#N/A,FALSE,"YIELDS";"PAGE2",#N/A,FALSE,"YIELDS";"PAGE3",#N/A,FALSE,"YIELDS"}</definedName>
    <definedName name="wrn2.all._1_1" localSheetId="10" hidden="1">{"PAGE1",#N/A,FALSE,"YIELDS";"PAGE2",#N/A,FALSE,"YIELDS";"PAGE3",#N/A,FALSE,"YIELDS"}</definedName>
    <definedName name="wrn2.all._2" localSheetId="10" hidden="1">{"PAGE1",#N/A,FALSE,"YIELDS";"PAGE2",#N/A,FALSE,"YIELDS";"PAGE3",#N/A,FALSE,"YIELDS"}</definedName>
    <definedName name="wrn2.all._2_1" localSheetId="10" hidden="1">{"PAGE1",#N/A,FALSE,"YIELDS";"PAGE2",#N/A,FALSE,"YIELDS";"PAGE3",#N/A,FALSE,"YIELDS"}</definedName>
    <definedName name="wrn2.all_1" localSheetId="10" hidden="1">{"PAGE1",#N/A,FALSE,"YIELDS";"PAGE2",#N/A,FALSE,"YIELDS";"PAGE3",#N/A,FALSE,"YIELDS"}</definedName>
    <definedName name="wrn2.all_1_1" localSheetId="10" hidden="1">{"PAGE1",#N/A,FALSE,"YIELDS";"PAGE2",#N/A,FALSE,"YIELDS";"PAGE3",#N/A,FALSE,"YIELDS"}</definedName>
    <definedName name="wrn2.all_2" localSheetId="10" hidden="1">{"PAGE1",#N/A,FALSE,"YIELDS";"PAGE2",#N/A,FALSE,"YIELDS";"PAGE3",#N/A,FALSE,"YIELDS"}</definedName>
    <definedName name="wrn2.all_2_1" localSheetId="10" hidden="1">{"PAGE1",#N/A,FALSE,"YIELDS";"PAGE2",#N/A,FALSE,"YIELDS";"PAGE3",#N/A,FALSE,"YIELDS"}</definedName>
    <definedName name="wrn2.gasodem." localSheetId="10" hidden="1">{"monthly",#N/A,FALSE,"GASODEM";"qtr to yr",#N/A,FALSE,"GASODEM"}</definedName>
    <definedName name="wrn2.gasodem._1" localSheetId="10" hidden="1">{"monthly",#N/A,FALSE,"GASODEM";"qtr to yr",#N/A,FALSE,"GASODEM"}</definedName>
    <definedName name="wrn2.gasodem._1_1" localSheetId="10" hidden="1">{"monthly",#N/A,FALSE,"GASODEM";"qtr to yr",#N/A,FALSE,"GASODEM"}</definedName>
    <definedName name="wrn2.gasodem._2" localSheetId="10" hidden="1">{"monthly",#N/A,FALSE,"GASODEM";"qtr to yr",#N/A,FALSE,"GASODEM"}</definedName>
    <definedName name="wrn2.gasodem._2_1" localSheetId="10" hidden="1">{"monthly",#N/A,FALSE,"GASODEM";"qtr to yr",#N/A,FALSE,"GASODEM"}</definedName>
    <definedName name="x" localSheetId="10" hidden="1">{"Capacities",#N/A,FALSE,"HOUSTON"}</definedName>
    <definedName name="x_1" localSheetId="10" hidden="1">{"Capacities",#N/A,FALSE,"HOUSTON"}</definedName>
    <definedName name="x_1_1" localSheetId="10" hidden="1">{"Capacities",#N/A,FALSE,"HOUSTON"}</definedName>
    <definedName name="x_2" localSheetId="10" hidden="1">{"Capacities",#N/A,FALSE,"HOUSTON"}</definedName>
    <definedName name="x_2_1" localSheetId="10" hidden="1">{"Capacities",#N/A,FALSE,"HOUSTON"}</definedName>
    <definedName name="xxxxx" localSheetId="10" hidden="1">{"monthly",#N/A,FALSE,"GASODEM";"qtr to yr",#N/A,FALSE,"GASODEM"}</definedName>
    <definedName name="xxxxx_1" localSheetId="10" hidden="1">{"monthly",#N/A,FALSE,"GASODEM";"qtr to yr",#N/A,FALSE,"GASODEM"}</definedName>
    <definedName name="xxxxx_1_1" localSheetId="10" hidden="1">{"monthly",#N/A,FALSE,"GASODEM";"qtr to yr",#N/A,FALSE,"GASODEM"}</definedName>
    <definedName name="xxxxx_2" localSheetId="10" hidden="1">{"monthly",#N/A,FALSE,"GASODEM";"qtr to yr",#N/A,FALSE,"GASODEM"}</definedName>
    <definedName name="xxxxx_2_1" localSheetId="10" hidden="1">{"monthly",#N/A,FALSE,"GASODEM";"qtr to yr",#N/A,FALSE,"GASODEM"}</definedName>
    <definedName name="xyz" localSheetId="10" hidden="1">{"midlpg1",#N/A,FALSE,"MIDEAST LPG";"midlpg2",#N/A,FALSE,"MIDEAST LPG"}</definedName>
    <definedName name="y" localSheetId="10" hidden="1">{"Diesel",#N/A,FALSE,"HOUSTON"}</definedName>
    <definedName name="y_1" localSheetId="10" hidden="1">{"Diesel",#N/A,FALSE,"HOUSTON"}</definedName>
    <definedName name="y_1_1" localSheetId="10" hidden="1">{"Diesel",#N/A,FALSE,"HOUSTON"}</definedName>
    <definedName name="y_2" localSheetId="10" hidden="1">{"Diesel",#N/A,FALSE,"HOUSTON"}</definedName>
    <definedName name="y_2_1" localSheetId="10" hidden="1">{"Diesel",#N/A,FALSE,"HOUSTON"}</definedName>
    <definedName name="z" localSheetId="10" hidden="1">{"Fuel Oil",#N/A,FALSE,"HOUSTON";"Fuel Oil BPD",#N/A,FALSE,"BPD"}</definedName>
    <definedName name="z_1" localSheetId="10" hidden="1">{"Fuel Oil",#N/A,FALSE,"HOUSTON";"Fuel Oil BPD",#N/A,FALSE,"BPD"}</definedName>
    <definedName name="z_1_1" localSheetId="10" hidden="1">{"Fuel Oil",#N/A,FALSE,"HOUSTON";"Fuel Oil BPD",#N/A,FALSE,"BPD"}</definedName>
    <definedName name="z_2" localSheetId="10" hidden="1">{"Fuel Oil",#N/A,FALSE,"HOUSTON";"Fuel Oil BPD",#N/A,FALSE,"BPD"}</definedName>
    <definedName name="z_2_1" localSheetId="10" hidden="1">{"Fuel Oil",#N/A,FALSE,"HOUSTON";"Fuel Oil BPD",#N/A,FALSE,"BPD"}</definedName>
  </definedNames>
  <calcPr calcId="191029" fullCalcOnLoad="1"/>
  <pivotCaches>
    <pivotCache cacheId="0" r:id="rId23"/>
    <pivotCache cacheId="6" r:id="rId24"/>
  </pivotCaches>
</workbook>
</file>

<file path=xl/styles.xml><?xml version="1.0" encoding="utf-8"?>
<styleSheet xmlns="http://schemas.openxmlformats.org/spreadsheetml/2006/main">
  <numFmts count="3">
    <numFmt numFmtId="164" formatCode="0.0%"/>
    <numFmt numFmtId="165" formatCode="0.0_);[Red]\(0.0\)"/>
    <numFmt numFmtId="166" formatCode="_-* #,##0_-;\-* #,##0_-;_-* &quot;-&quot;_-;_-@_-"/>
  </numFmts>
  <fonts count="48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family val="2"/>
      <b val="1"/>
      <color theme="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3"/>
      <color rgb="FF000000"/>
      <sz val="11"/>
      <scheme val="major"/>
    </font>
    <font>
      <name val="맑은 고딕"/>
      <charset val="129"/>
      <family val="3"/>
      <color rgb="FF000000"/>
      <sz val="11"/>
      <vertAlign val="subscript"/>
      <scheme val="major"/>
    </font>
    <font>
      <name val="맑은 고딕"/>
      <charset val="129"/>
      <family val="3"/>
      <strike val="1"/>
      <color rgb="FFFF0000"/>
      <sz val="11"/>
      <scheme val="minor"/>
    </font>
    <font>
      <name val="맑은 고딕"/>
      <family val="2"/>
      <color rgb="FFFF0000"/>
      <sz val="11"/>
      <scheme val="minor"/>
    </font>
    <font>
      <name val="Arial"/>
      <charset val="238"/>
      <family val="2"/>
      <sz val="8"/>
    </font>
    <font>
      <name val="Arial"/>
      <family val="2"/>
      <color theme="1"/>
      <sz val="7"/>
    </font>
    <font>
      <name val="Arial"/>
      <family val="2"/>
      <sz val="8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Arial"/>
      <family val="2"/>
      <b val="1"/>
      <color rgb="FF000000"/>
      <sz val="7"/>
    </font>
    <font>
      <name val="맑은 고딕"/>
      <charset val="129"/>
      <family val="2"/>
      <b val="1"/>
      <color rgb="FF000000"/>
      <sz val="7"/>
    </font>
    <font>
      <name val="Arial"/>
      <family val="2"/>
      <color theme="1"/>
      <sz val="8"/>
    </font>
    <font>
      <name val="맑은 고딕"/>
      <charset val="129"/>
      <family val="2"/>
      <sz val="8"/>
    </font>
    <font>
      <name val="Arial"/>
      <charset val="238"/>
      <family val="2"/>
      <b val="1"/>
      <sz val="8"/>
    </font>
    <font>
      <name val="Arial"/>
      <charset val="161"/>
      <family val="3"/>
      <color theme="1"/>
      <sz val="8"/>
    </font>
    <font>
      <name val="Segoe UI Symbol"/>
      <family val="2"/>
      <sz val="8"/>
    </font>
    <font>
      <name val="맑은 고딕"/>
      <charset val="129"/>
      <family val="2"/>
      <color theme="1"/>
      <sz val="8"/>
    </font>
    <font>
      <name val="Segoe UI Symbol"/>
      <family val="2"/>
      <color theme="1"/>
      <sz val="8"/>
    </font>
    <font>
      <name val="Arial"/>
      <family val="2"/>
      <color rgb="FFFF0000"/>
      <sz val="8"/>
    </font>
    <font>
      <name val="맑은 고딕"/>
      <charset val="129"/>
      <family val="2"/>
      <color rgb="FFFF0000"/>
      <sz val="8"/>
    </font>
    <font>
      <name val="맑은 고딕"/>
      <family val="2"/>
      <color theme="10"/>
      <sz val="11"/>
      <u val="single"/>
      <scheme val="minor"/>
    </font>
    <font>
      <name val="맑은 고딕"/>
      <family val="2"/>
      <color theme="1"/>
      <sz val="11"/>
    </font>
    <font>
      <name val="맑은 고딕"/>
      <family val="2"/>
      <color rgb="FF0000FF"/>
      <sz val="11"/>
    </font>
    <font>
      <name val="맑은 고딕"/>
      <family val="2"/>
      <sz val="11"/>
    </font>
    <font>
      <name val="Carlito"/>
      <sz val="11"/>
    </font>
    <font>
      <name val="Carlito"/>
      <b val="1"/>
      <color rgb="FFFFFFFF"/>
      <sz val="16"/>
    </font>
    <font>
      <name val="Carlito"/>
      <i val="1"/>
      <color rgb="FF244B2A"/>
      <sz val="10"/>
    </font>
    <font>
      <name val="Carlito"/>
      <b val="1"/>
      <sz val="11"/>
    </font>
    <font>
      <name val="Carlito"/>
      <b val="1"/>
      <color rgb="FF1F1F1F"/>
      <sz val="11"/>
    </font>
    <font>
      <name val="돋움"/>
      <charset val="129"/>
      <family val="3"/>
      <sz val="8"/>
    </font>
    <font>
      <name val="맑은 고딕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Carlito"/>
      <color rgb="FF274E13"/>
      <sz val="11"/>
    </font>
    <font>
      <name val="Carlito"/>
      <color rgb="FF990000"/>
      <sz val="11"/>
    </font>
    <font>
      <name val="Carlito"/>
      <sz val="10"/>
    </font>
    <font>
      <name val="맑은 고딕"/>
      <charset val="129"/>
      <family val="3"/>
      <sz val="10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1"/>
      </patternFill>
    </fill>
    <fill>
      <patternFill patternType="solid">
        <fgColor rgb="FFD9D9D9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2F6B3A"/>
      </patternFill>
    </fill>
    <fill>
      <patternFill patternType="solid">
        <fgColor rgb="FFDCEFD8"/>
      </patternFill>
    </fill>
    <fill>
      <patternFill patternType="solid">
        <fgColor rgb="FFF3F7F1"/>
      </patternFill>
    </fill>
    <fill>
      <patternFill patternType="solid">
        <fgColor rgb="FFB7D7A8"/>
      </patternFill>
    </fill>
    <fill>
      <patternFill patternType="solid">
        <fgColor rgb="FFFF00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FFFFFF"/>
      </patternFill>
    </fill>
    <fill>
      <patternFill patternType="solid">
        <fgColor rgb="FFB7E1F2"/>
      </patternFill>
    </fill>
    <fill>
      <patternFill patternType="solid">
        <fgColor rgb="FFBFE3F2"/>
      </patternFill>
    </fill>
  </fills>
  <borders count="3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8B6A2"/>
      </left>
      <right/>
      <top style="thin">
        <color rgb="FFA8B6A2"/>
      </top>
      <bottom style="thin">
        <color rgb="FFA8B6A2"/>
      </bottom>
      <diagonal/>
    </border>
    <border>
      <left/>
      <right/>
      <top style="thin">
        <color rgb="FFA8B6A2"/>
      </top>
      <bottom style="thin">
        <color rgb="FFA8B6A2"/>
      </bottom>
      <diagonal/>
    </border>
    <border>
      <left/>
      <right style="thin">
        <color rgb="FFA8B6A2"/>
      </right>
      <top style="thin">
        <color rgb="FFA8B6A2"/>
      </top>
      <bottom style="thin">
        <color rgb="FFA8B6A2"/>
      </bottom>
      <diagonal/>
    </border>
    <border>
      <left style="thin">
        <color rgb="FF6B7C63"/>
      </left>
      <right/>
      <top style="thin">
        <color rgb="FF6B7C63"/>
      </top>
      <bottom style="thin">
        <color rgb="FF6B7C63"/>
      </bottom>
      <diagonal/>
    </border>
    <border>
      <left/>
      <right/>
      <top style="thin">
        <color rgb="FF6B7C63"/>
      </top>
      <bottom style="thin">
        <color rgb="FF6B7C63"/>
      </bottom>
      <diagonal/>
    </border>
    <border>
      <left/>
      <right style="thin">
        <color rgb="FF6B7C63"/>
      </right>
      <top style="thin">
        <color rgb="FF6B7C63"/>
      </top>
      <bottom style="thin">
        <color rgb="FF6B7C63"/>
      </bottom>
      <diagonal/>
    </border>
    <border>
      <left style="hair">
        <color rgb="FFD9D9D9"/>
      </left>
      <right/>
      <top style="hair">
        <color rgb="FFD9D9D9"/>
      </top>
      <bottom/>
      <diagonal/>
    </border>
    <border>
      <left/>
      <right/>
      <top style="hair">
        <color rgb="FFD9D9D9"/>
      </top>
      <bottom/>
      <diagonal/>
    </border>
    <border>
      <left/>
      <right style="hair">
        <color rgb="FFD9D9D9"/>
      </right>
      <top style="hair">
        <color rgb="FFD9D9D9"/>
      </top>
      <bottom/>
      <diagonal/>
    </border>
    <border>
      <left style="hair">
        <color rgb="FFD9D9D9"/>
      </left>
      <right/>
      <top/>
      <bottom/>
      <diagonal/>
    </border>
    <border>
      <left/>
      <right style="hair">
        <color rgb="FFD9D9D9"/>
      </right>
      <top/>
      <bottom/>
      <diagonal/>
    </border>
    <border>
      <left style="hair">
        <color rgb="FFD9D9D9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/>
      <right style="hair">
        <color rgb="FFD9D9D9"/>
      </right>
      <top/>
      <bottom style="hair">
        <color rgb="FFD9D9D9"/>
      </bottom>
      <diagonal/>
    </border>
    <border>
      <left/>
      <right/>
      <top/>
      <bottom style="thin">
        <color rgb="FF00B0F0"/>
      </bottom>
      <diagonal/>
    </border>
    <border>
      <left/>
      <right/>
      <top style="thin">
        <color rgb="FF00A6D6"/>
      </top>
      <bottom/>
      <diagonal/>
    </border>
    <border>
      <left/>
      <right/>
      <top/>
      <bottom style="thin">
        <color rgb="FF00A6D6"/>
      </bottom>
      <diagonal/>
    </border>
  </borders>
  <cellStyleXfs count="14">
    <xf numFmtId="0" fontId="17" fillId="0" borderId="0"/>
    <xf numFmtId="0" fontId="14" fillId="0" borderId="0" applyAlignment="1">
      <alignment horizontal="left" vertical="top" indent="1"/>
    </xf>
    <xf numFmtId="0" fontId="15" fillId="0" borderId="0" applyAlignment="1">
      <alignment horizontal="left" vertical="center" wrapText="1"/>
    </xf>
    <xf numFmtId="0" fontId="16" fillId="7" borderId="0" applyAlignment="1">
      <alignment horizontal="left" vertical="center"/>
    </xf>
    <xf numFmtId="9" fontId="17" fillId="0" borderId="0" applyAlignment="1">
      <alignment vertical="center"/>
    </xf>
    <xf numFmtId="0" fontId="4" fillId="0" borderId="0" applyAlignment="1">
      <alignment vertical="center"/>
    </xf>
    <xf numFmtId="0" fontId="17" fillId="0" borderId="0"/>
    <xf numFmtId="0" fontId="23" fillId="0" borderId="12" applyAlignment="1">
      <alignment horizontal="left" vertical="center"/>
    </xf>
    <xf numFmtId="0" fontId="30" fillId="0" borderId="0"/>
    <xf numFmtId="0" fontId="4" fillId="0" borderId="0" applyAlignment="1">
      <alignment vertical="center"/>
    </xf>
    <xf numFmtId="41" fontId="17" fillId="0" borderId="0" applyAlignment="1">
      <alignment vertical="center"/>
    </xf>
    <xf numFmtId="0" fontId="34" fillId="0" borderId="0"/>
    <xf numFmtId="0" fontId="34" fillId="0" borderId="0"/>
    <xf numFmtId="0" fontId="4" fillId="0" borderId="0" applyAlignment="1">
      <alignment vertical="center"/>
    </xf>
  </cellStyleXfs>
  <cellXfs count="201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6" fillId="2" borderId="4" pivotButton="0" quotePrefix="0" xfId="0"/>
    <xf numFmtId="0" fontId="6" fillId="2" borderId="0" pivotButton="0" quotePrefix="0" xfId="0"/>
    <xf numFmtId="0" fontId="6" fillId="2" borderId="5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2" pivotButton="0" quotePrefix="0" xfId="0"/>
    <xf numFmtId="0" fontId="0" fillId="0" borderId="0" applyAlignment="1" pivotButton="0" quotePrefix="0" xfId="0">
      <alignment vertical="center"/>
    </xf>
    <xf numFmtId="15" fontId="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/>
    </xf>
    <xf numFmtId="0" fontId="12" fillId="0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vertical="center" wrapText="1"/>
    </xf>
    <xf numFmtId="0" fontId="12" fillId="3" borderId="0" pivotButton="0" quotePrefix="0" xfId="0"/>
    <xf numFmtId="0" fontId="12" fillId="0" borderId="0" applyAlignment="1" pivotButton="0" quotePrefix="0" xfId="0">
      <alignment vertical="center" wrapText="1"/>
    </xf>
    <xf numFmtId="0" fontId="0" fillId="4" borderId="0" pivotButton="0" quotePrefix="0" xfId="0"/>
    <xf numFmtId="0" fontId="0" fillId="4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6" fillId="6" borderId="0" pivotButton="0" quotePrefix="0" xfId="0"/>
    <xf numFmtId="0" fontId="6" fillId="6" borderId="4" pivotButton="0" quotePrefix="0" xfId="0"/>
    <xf numFmtId="0" fontId="6" fillId="2" borderId="4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0" applyAlignment="1" pivotButton="0" quotePrefix="0" xfId="0">
      <alignment horizontal="left"/>
    </xf>
    <xf numFmtId="0" fontId="4" fillId="0" borderId="0" applyAlignment="1" pivotButton="0" quotePrefix="0" xfId="5">
      <alignment vertical="center"/>
    </xf>
    <xf numFmtId="0" fontId="6" fillId="2" borderId="1" pivotButton="0" quotePrefix="0" xfId="0"/>
    <xf numFmtId="0" fontId="6" fillId="2" borderId="2" pivotButton="0" quotePrefix="0" xfId="0"/>
    <xf numFmtId="0" fontId="4" fillId="0" borderId="8" applyAlignment="1" pivotButton="0" quotePrefix="0" xfId="5">
      <alignment vertical="center"/>
    </xf>
    <xf numFmtId="0" fontId="17" fillId="0" borderId="8" applyAlignment="1" pivotButton="0" quotePrefix="0" xfId="6">
      <alignment vertical="center"/>
    </xf>
    <xf numFmtId="0" fontId="18" fillId="0" borderId="10" applyAlignment="1" pivotButton="0" quotePrefix="0" xfId="5">
      <alignment horizontal="center" vertical="center"/>
    </xf>
    <xf numFmtId="0" fontId="4" fillId="0" borderId="10" applyAlignment="1" pivotButton="0" quotePrefix="0" xfId="5">
      <alignment vertical="center"/>
    </xf>
    <xf numFmtId="0" fontId="18" fillId="0" borderId="10" applyAlignment="1" pivotButton="0" quotePrefix="0" xfId="6">
      <alignment horizontal="center"/>
    </xf>
    <xf numFmtId="0" fontId="21" fillId="0" borderId="6" applyAlignment="1" pivotButton="0" quotePrefix="0" xfId="5">
      <alignment horizontal="left" vertical="center" wrapText="1"/>
    </xf>
    <xf numFmtId="0" fontId="14" fillId="0" borderId="6" applyAlignment="1" pivotButton="0" quotePrefix="0" xfId="1">
      <alignment horizontal="left" vertical="center"/>
    </xf>
    <xf numFmtId="0" fontId="14" fillId="0" borderId="7" applyAlignment="1" pivotButton="0" quotePrefix="0" xfId="1">
      <alignment horizontal="left" vertical="center"/>
    </xf>
    <xf numFmtId="0" fontId="22" fillId="0" borderId="7" applyAlignment="1" pivotButton="0" quotePrefix="0" xfId="1">
      <alignment horizontal="center" vertical="center"/>
    </xf>
    <xf numFmtId="164" fontId="21" fillId="0" borderId="7" applyAlignment="1" pivotButton="0" quotePrefix="0" xfId="7">
      <alignment horizontal="right"/>
    </xf>
    <xf numFmtId="0" fontId="14" fillId="0" borderId="7" applyAlignment="1" pivotButton="0" quotePrefix="0" xfId="1">
      <alignment horizontal="center" vertical="center"/>
    </xf>
    <xf numFmtId="0" fontId="25" fillId="0" borderId="7" applyAlignment="1" pivotButton="0" quotePrefix="0" xfId="1">
      <alignment horizontal="center" vertical="center"/>
    </xf>
    <xf numFmtId="0" fontId="21" fillId="0" borderId="7" applyAlignment="1" pivotButton="0" quotePrefix="0" xfId="5">
      <alignment horizontal="left" vertical="center" wrapText="1"/>
    </xf>
    <xf numFmtId="0" fontId="21" fillId="0" borderId="7" applyAlignment="1" pivotButton="0" quotePrefix="0" xfId="5">
      <alignment horizontal="center" vertical="center" wrapText="1"/>
    </xf>
    <xf numFmtId="0" fontId="21" fillId="0" borderId="6" applyAlignment="1" pivotButton="0" quotePrefix="0" xfId="1">
      <alignment horizontal="left" vertical="center"/>
    </xf>
    <xf numFmtId="0" fontId="21" fillId="0" borderId="7" applyAlignment="1" pivotButton="0" quotePrefix="0" xfId="1">
      <alignment horizontal="left" vertical="center"/>
    </xf>
    <xf numFmtId="164" fontId="21" fillId="0" borderId="7" applyAlignment="1" pivotButton="0" quotePrefix="0" xfId="7">
      <alignment horizontal="center"/>
    </xf>
    <xf numFmtId="0" fontId="21" fillId="0" borderId="7" applyAlignment="1" pivotButton="0" quotePrefix="0" xfId="1">
      <alignment horizontal="center" vertical="center"/>
    </xf>
    <xf numFmtId="0" fontId="21" fillId="0" borderId="0" applyAlignment="1" pivotButton="0" quotePrefix="0" xfId="2">
      <alignment horizontal="left" vertical="center" wrapText="1"/>
    </xf>
    <xf numFmtId="0" fontId="21" fillId="0" borderId="6" applyAlignment="1" pivotButton="0" quotePrefix="0" xfId="2">
      <alignment horizontal="left" vertical="center" wrapText="1"/>
    </xf>
    <xf numFmtId="0" fontId="21" fillId="0" borderId="7" applyAlignment="1" pivotButton="0" quotePrefix="0" xfId="2">
      <alignment horizontal="left" vertical="center" wrapText="1"/>
    </xf>
    <xf numFmtId="0" fontId="21" fillId="0" borderId="6" applyAlignment="1" pivotButton="0" quotePrefix="0" xfId="1">
      <alignment horizontal="left" vertical="center" wrapText="1"/>
    </xf>
    <xf numFmtId="0" fontId="21" fillId="0" borderId="7" applyAlignment="1" pivotButton="0" quotePrefix="0" xfId="1">
      <alignment horizontal="left" vertical="center" wrapText="1"/>
    </xf>
    <xf numFmtId="0" fontId="27" fillId="0" borderId="7" applyAlignment="1" pivotButton="0" quotePrefix="0" xfId="5">
      <alignment horizontal="center" vertical="center" wrapText="1"/>
    </xf>
    <xf numFmtId="0" fontId="21" fillId="0" borderId="6" applyAlignment="1" pivotButton="0" quotePrefix="0" xfId="5">
      <alignment horizontal="left" vertical="center"/>
    </xf>
    <xf numFmtId="0" fontId="21" fillId="0" borderId="7" applyAlignment="1" pivotButton="0" quotePrefix="0" xfId="5">
      <alignment horizontal="left" vertical="center"/>
    </xf>
    <xf numFmtId="0" fontId="21" fillId="0" borderId="7" applyAlignment="1" pivotButton="0" quotePrefix="0" xfId="5">
      <alignment horizontal="center" vertical="center"/>
    </xf>
    <xf numFmtId="0" fontId="21" fillId="0" borderId="7" applyAlignment="1" pivotButton="0" quotePrefix="1" xfId="5">
      <alignment horizontal="left" vertical="center" wrapText="1"/>
    </xf>
    <xf numFmtId="0" fontId="26" fillId="0" borderId="7" applyAlignment="1" pivotButton="0" quotePrefix="0" xfId="5">
      <alignment horizontal="center" vertical="center"/>
    </xf>
    <xf numFmtId="0" fontId="21" fillId="0" borderId="7" applyAlignment="1" pivotButton="0" quotePrefix="0" xfId="1">
      <alignment horizontal="center" vertical="center" wrapText="1"/>
    </xf>
    <xf numFmtId="0" fontId="4" fillId="0" borderId="0" applyAlignment="1" pivotButton="0" quotePrefix="0" xfId="5">
      <alignment horizontal="center" vertical="center"/>
    </xf>
    <xf numFmtId="164" fontId="24" fillId="0" borderId="12" applyAlignment="1" pivotButton="0" quotePrefix="0" xfId="7">
      <alignment horizontal="center"/>
    </xf>
    <xf numFmtId="164" fontId="21" fillId="0" borderId="12" applyAlignment="1" pivotButton="0" quotePrefix="0" xfId="7">
      <alignment horizontal="right"/>
    </xf>
    <xf numFmtId="164" fontId="21" fillId="0" borderId="12" applyAlignment="1" pivotButton="0" quotePrefix="0" xfId="7">
      <alignment horizontal="center"/>
    </xf>
    <xf numFmtId="0" fontId="19" fillId="3" borderId="13" applyAlignment="1" pivotButton="0" quotePrefix="0" xfId="3">
      <alignment horizontal="center" vertical="center"/>
    </xf>
    <xf numFmtId="0" fontId="19" fillId="3" borderId="9" applyAlignment="1" pivotButton="0" quotePrefix="0" xfId="3">
      <alignment horizontal="center" vertical="center"/>
    </xf>
    <xf numFmtId="0" fontId="20" fillId="3" borderId="9" applyAlignment="1" pivotButton="0" quotePrefix="0" xfId="3">
      <alignment horizontal="center" vertical="center"/>
    </xf>
    <xf numFmtId="0" fontId="19" fillId="3" borderId="14" applyAlignment="1" pivotButton="0" quotePrefix="0" xfId="3">
      <alignment horizontal="center" vertical="center"/>
    </xf>
    <xf numFmtId="0" fontId="21" fillId="0" borderId="15" applyAlignment="1" pivotButton="0" quotePrefix="0" xfId="5">
      <alignment horizontal="center" vertical="center" wrapText="1"/>
    </xf>
    <xf numFmtId="0" fontId="21" fillId="0" borderId="8" applyAlignment="1" pivotButton="0" quotePrefix="0" xfId="5">
      <alignment horizontal="left" vertical="center" wrapText="1"/>
    </xf>
    <xf numFmtId="0" fontId="21" fillId="0" borderId="8" applyAlignment="1" pivotButton="0" quotePrefix="0" xfId="1">
      <alignment horizontal="left" vertical="center"/>
    </xf>
    <xf numFmtId="0" fontId="21" fillId="0" borderId="15" applyAlignment="1" pivotButton="0" quotePrefix="0" xfId="1">
      <alignment horizontal="left" vertical="center"/>
    </xf>
    <xf numFmtId="0" fontId="21" fillId="0" borderId="15" applyAlignment="1" pivotButton="0" quotePrefix="0" xfId="1">
      <alignment horizontal="center" vertical="center"/>
    </xf>
    <xf numFmtId="164" fontId="21" fillId="0" borderId="15" applyAlignment="1" pivotButton="0" quotePrefix="0" xfId="7">
      <alignment horizontal="right"/>
    </xf>
    <xf numFmtId="164" fontId="21" fillId="0" borderId="16" applyAlignment="1" pivotButton="0" quotePrefix="0" xfId="7">
      <alignment horizontal="right"/>
    </xf>
    <xf numFmtId="10" fontId="17" fillId="0" borderId="10" pivotButton="0" quotePrefix="0" xfId="4"/>
    <xf numFmtId="0" fontId="7" fillId="0" borderId="2" applyAlignment="1" pivotButton="0" quotePrefix="0" xfId="0">
      <alignment vertical="center" wrapText="1"/>
    </xf>
    <xf numFmtId="165" fontId="0" fillId="5" borderId="0" pivotButton="0" quotePrefix="0" xfId="4"/>
    <xf numFmtId="0" fontId="0" fillId="0" borderId="0" pivotButton="1" quotePrefix="0" xfId="0"/>
    <xf numFmtId="165" fontId="0" fillId="8" borderId="0" pivotButton="0" quotePrefix="0" xfId="4"/>
    <xf numFmtId="0" fontId="0" fillId="0" borderId="6" pivotButton="0" quotePrefix="0" xfId="6"/>
    <xf numFmtId="0" fontId="9" fillId="0" borderId="11" applyAlignment="1" pivotButton="0" quotePrefix="0" xfId="6">
      <alignment vertical="center"/>
    </xf>
    <xf numFmtId="0" fontId="6" fillId="2" borderId="2" applyAlignment="1" pivotButton="0" quotePrefix="0" xfId="0">
      <alignment wrapText="1"/>
    </xf>
    <xf numFmtId="0" fontId="18" fillId="0" borderId="6" applyAlignment="1" pivotButton="0" quotePrefix="0" xfId="6">
      <alignment horizontal="center" wrapText="1"/>
    </xf>
    <xf numFmtId="0" fontId="17" fillId="0" borderId="6" applyAlignment="1" pivotButton="0" quotePrefix="0" xfId="6">
      <alignment wrapText="1"/>
    </xf>
    <xf numFmtId="0" fontId="0" fillId="0" borderId="6" applyAlignment="1" pivotButton="0" quotePrefix="0" xfId="6">
      <alignment wrapText="1"/>
    </xf>
    <xf numFmtId="0" fontId="9" fillId="0" borderId="11" applyAlignment="1" pivotButton="0" quotePrefix="0" xfId="6">
      <alignment vertical="center" wrapText="1"/>
    </xf>
    <xf numFmtId="0" fontId="0" fillId="0" borderId="0" applyAlignment="1" pivotButton="0" quotePrefix="0" xfId="0">
      <alignment wrapText="1"/>
    </xf>
    <xf numFmtId="0" fontId="4" fillId="0" borderId="0" applyAlignment="1" pivotButton="0" quotePrefix="0" xfId="5">
      <alignment vertical="center" wrapText="1"/>
    </xf>
    <xf numFmtId="0" fontId="6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0" applyAlignment="1" pivotButton="0" quotePrefix="0" xfId="4">
      <alignment horizontal="center" vertical="center"/>
    </xf>
    <xf numFmtId="164" fontId="9" fillId="0" borderId="11" applyAlignment="1" pivotButton="0" quotePrefix="0" xfId="4">
      <alignment horizontal="center" vertical="center"/>
    </xf>
    <xf numFmtId="164" fontId="9" fillId="8" borderId="11" applyAlignment="1" pivotButton="0" quotePrefix="0" xfId="4">
      <alignment horizontal="center" vertical="center"/>
    </xf>
    <xf numFmtId="0" fontId="3" fillId="0" borderId="0" applyAlignment="1" pivotButton="0" quotePrefix="0" xfId="5">
      <alignment vertical="center"/>
    </xf>
    <xf numFmtId="0" fontId="3" fillId="3" borderId="0" applyAlignment="1" pivotButton="0" quotePrefix="0" xfId="5">
      <alignment vertical="center"/>
    </xf>
    <xf numFmtId="0" fontId="4" fillId="3" borderId="0" applyAlignment="1" pivotButton="0" quotePrefix="0" xfId="5">
      <alignment vertical="center"/>
    </xf>
    <xf numFmtId="0" fontId="30" fillId="0" borderId="0" pivotButton="0" quotePrefix="0" xfId="8"/>
    <xf numFmtId="0" fontId="7" fillId="0" borderId="5" pivotButton="0" quotePrefix="0" xfId="0"/>
    <xf numFmtId="0" fontId="7" fillId="0" borderId="3" pivotButton="0" quotePrefix="0" xfId="0"/>
    <xf numFmtId="0" fontId="0" fillId="0" borderId="0" applyAlignment="1" pivotButton="0" quotePrefix="0" xfId="0">
      <alignment horizontal="center" vertical="center" wrapText="1"/>
    </xf>
    <xf numFmtId="0" fontId="6" fillId="2" borderId="17" pivotButton="0" quotePrefix="0" xfId="0"/>
    <xf numFmtId="0" fontId="0" fillId="0" borderId="2" applyAlignment="1" pivotButton="0" quotePrefix="0" xfId="0">
      <alignment horizontal="center" vertical="center" wrapText="1"/>
    </xf>
    <xf numFmtId="0" fontId="32" fillId="0" borderId="0" applyAlignment="1" pivotButton="0" quotePrefix="0" xfId="9">
      <alignment horizontal="center"/>
    </xf>
    <xf numFmtId="0" fontId="31" fillId="0" borderId="0" applyAlignment="1" pivotButton="0" quotePrefix="0" xfId="9">
      <alignment horizontal="center"/>
    </xf>
    <xf numFmtId="0" fontId="0" fillId="5" borderId="6" pivotButton="0" quotePrefix="0" xfId="6"/>
    <xf numFmtId="0" fontId="4" fillId="0" borderId="18" applyAlignment="1" pivotButton="0" quotePrefix="0" xfId="5">
      <alignment vertical="center"/>
    </xf>
    <xf numFmtId="0" fontId="17" fillId="0" borderId="18" applyAlignment="1" pivotButton="0" quotePrefix="0" xfId="6">
      <alignment vertical="center"/>
    </xf>
    <xf numFmtId="164" fontId="0" fillId="0" borderId="10" pivotButton="0" quotePrefix="0" xfId="4"/>
    <xf numFmtId="164" fontId="4" fillId="0" borderId="0" applyAlignment="1" pivotButton="0" quotePrefix="0" xfId="5">
      <alignment vertical="center"/>
    </xf>
    <xf numFmtId="0" fontId="18" fillId="0" borderId="0" applyAlignment="1" pivotButton="0" quotePrefix="0" xfId="5">
      <alignment vertical="center"/>
    </xf>
    <xf numFmtId="166" fontId="0" fillId="0" borderId="6" applyAlignment="1" pivotButton="0" quotePrefix="0" xfId="10">
      <alignment wrapText="1"/>
    </xf>
    <xf numFmtId="2" fontId="0" fillId="9" borderId="0" pivotButton="0" quotePrefix="0" xfId="0"/>
    <xf numFmtId="0" fontId="34" fillId="0" borderId="0" pivotButton="0" quotePrefix="0" xfId="12"/>
    <xf numFmtId="0" fontId="37" fillId="12" borderId="19" applyAlignment="1" pivotButton="0" quotePrefix="0" xfId="11">
      <alignment horizontal="center" vertical="center"/>
    </xf>
    <xf numFmtId="0" fontId="37" fillId="12" borderId="20" applyAlignment="1" pivotButton="0" quotePrefix="0" xfId="11">
      <alignment horizontal="center" vertical="center"/>
    </xf>
    <xf numFmtId="0" fontId="38" fillId="13" borderId="22" applyAlignment="1" pivotButton="0" quotePrefix="0" xfId="11">
      <alignment horizontal="center" vertical="center" wrapText="1"/>
    </xf>
    <xf numFmtId="0" fontId="38" fillId="13" borderId="23" applyAlignment="1" pivotButton="0" quotePrefix="0" xfId="11">
      <alignment horizontal="center" vertical="center" wrapText="1"/>
    </xf>
    <xf numFmtId="0" fontId="38" fillId="13" borderId="24" applyAlignment="1" pivotButton="0" quotePrefix="0" xfId="11">
      <alignment horizontal="center" vertical="center" wrapText="1"/>
    </xf>
    <xf numFmtId="0" fontId="0" fillId="0" borderId="25" applyAlignment="1" pivotButton="0" quotePrefix="0" xfId="11">
      <alignment horizontal="center" vertical="center"/>
    </xf>
    <xf numFmtId="0" fontId="0" fillId="0" borderId="26" applyAlignment="1" pivotButton="0" quotePrefix="0" xfId="11">
      <alignment vertical="center"/>
    </xf>
    <xf numFmtId="0" fontId="0" fillId="0" borderId="26" applyAlignment="1" pivotButton="0" quotePrefix="0" xfId="11">
      <alignment horizontal="center" vertical="center"/>
    </xf>
    <xf numFmtId="0" fontId="0" fillId="0" borderId="26" applyAlignment="1" pivotButton="0" quotePrefix="0" xfId="11">
      <alignment vertical="center" wrapText="1"/>
    </xf>
    <xf numFmtId="0" fontId="0" fillId="0" borderId="27" applyAlignment="1" pivotButton="0" quotePrefix="0" xfId="11">
      <alignment horizontal="center" vertical="center"/>
    </xf>
    <xf numFmtId="0" fontId="0" fillId="0" borderId="28" applyAlignment="1" pivotButton="0" quotePrefix="0" xfId="11">
      <alignment horizontal="center" vertical="center"/>
    </xf>
    <xf numFmtId="0" fontId="0" fillId="0" borderId="0" applyAlignment="1" pivotButton="0" quotePrefix="0" xfId="11">
      <alignment vertical="center"/>
    </xf>
    <xf numFmtId="0" fontId="0" fillId="0" borderId="0" applyAlignment="1" pivotButton="0" quotePrefix="0" xfId="11">
      <alignment horizontal="center" vertical="center"/>
    </xf>
    <xf numFmtId="0" fontId="0" fillId="0" borderId="0" applyAlignment="1" pivotButton="0" quotePrefix="0" xfId="11">
      <alignment vertical="center" wrapText="1"/>
    </xf>
    <xf numFmtId="0" fontId="0" fillId="0" borderId="29" applyAlignment="1" pivotButton="0" quotePrefix="0" xfId="11">
      <alignment horizontal="center" vertical="center"/>
    </xf>
    <xf numFmtId="0" fontId="0" fillId="0" borderId="30" applyAlignment="1" pivotButton="0" quotePrefix="0" xfId="11">
      <alignment horizontal="center" vertical="center"/>
    </xf>
    <xf numFmtId="0" fontId="0" fillId="0" borderId="31" applyAlignment="1" pivotButton="0" quotePrefix="0" xfId="11">
      <alignment vertical="center"/>
    </xf>
    <xf numFmtId="0" fontId="0" fillId="0" borderId="31" applyAlignment="1" pivotButton="0" quotePrefix="0" xfId="11">
      <alignment horizontal="center" vertical="center"/>
    </xf>
    <xf numFmtId="0" fontId="0" fillId="0" borderId="31" applyAlignment="1" pivotButton="0" quotePrefix="0" xfId="11">
      <alignment vertical="center" wrapText="1"/>
    </xf>
    <xf numFmtId="0" fontId="0" fillId="0" borderId="32" applyAlignment="1" pivotButton="0" quotePrefix="0" xfId="11">
      <alignment horizontal="center" vertical="center"/>
    </xf>
    <xf numFmtId="0" fontId="34" fillId="0" borderId="0" applyAlignment="1" pivotButton="0" quotePrefix="0" xfId="12">
      <alignment vertical="center"/>
    </xf>
    <xf numFmtId="0" fontId="31" fillId="5" borderId="6" applyAlignment="1" pivotButton="0" quotePrefix="0" xfId="13">
      <alignment vertical="center"/>
    </xf>
    <xf numFmtId="0" fontId="33" fillId="14" borderId="6" applyAlignment="1" pivotButton="0" quotePrefix="0" xfId="13">
      <alignment vertical="center"/>
    </xf>
    <xf numFmtId="0" fontId="31" fillId="14" borderId="6" applyAlignment="1" pivotButton="0" quotePrefix="0" xfId="13">
      <alignment vertical="center"/>
    </xf>
    <xf numFmtId="0" fontId="1" fillId="0" borderId="0" applyAlignment="1" pivotButton="0" quotePrefix="0" xfId="13">
      <alignment vertical="center"/>
    </xf>
    <xf numFmtId="0" fontId="31" fillId="0" borderId="6" applyAlignment="1" pivotButton="0" quotePrefix="0" xfId="13">
      <alignment horizontal="center" vertical="center" wrapText="1"/>
    </xf>
    <xf numFmtId="0" fontId="31" fillId="0" borderId="6" applyAlignment="1" pivotButton="0" quotePrefix="0" xfId="13">
      <alignment horizontal="center" vertical="center"/>
    </xf>
    <xf numFmtId="0" fontId="32" fillId="0" borderId="6" applyAlignment="1" pivotButton="0" quotePrefix="0" xfId="13">
      <alignment horizontal="center" vertical="center"/>
    </xf>
    <xf numFmtId="0" fontId="33" fillId="0" borderId="6" applyAlignment="1" pivotButton="0" quotePrefix="0" xfId="13">
      <alignment horizontal="center" vertical="center"/>
    </xf>
    <xf numFmtId="0" fontId="42" fillId="0" borderId="6" applyAlignment="1" pivotButton="0" quotePrefix="0" xfId="13">
      <alignment horizontal="center" vertical="center"/>
    </xf>
    <xf numFmtId="0" fontId="33" fillId="0" borderId="6" applyAlignment="1" pivotButton="0" quotePrefix="0" xfId="13">
      <alignment horizontal="left" vertical="center" wrapText="1"/>
    </xf>
    <xf numFmtId="0" fontId="1" fillId="0" borderId="0" applyAlignment="1" pivotButton="0" quotePrefix="0" xfId="13">
      <alignment horizontal="center" vertical="center"/>
    </xf>
    <xf numFmtId="0" fontId="7" fillId="0" borderId="0" applyAlignment="1" pivotButton="0" quotePrefix="0" xfId="13">
      <alignment horizontal="center" vertical="center"/>
    </xf>
    <xf numFmtId="0" fontId="1" fillId="0" borderId="0" applyAlignment="1" pivotButton="0" quotePrefix="0" xfId="13">
      <alignment horizontal="left" vertical="center"/>
    </xf>
    <xf numFmtId="0" fontId="0" fillId="12" borderId="21" applyAlignment="1" pivotButton="0" quotePrefix="0" xfId="11">
      <alignment horizontal="center" vertical="center"/>
    </xf>
    <xf numFmtId="0" fontId="0" fillId="12" borderId="20" applyAlignment="1" pivotButton="0" quotePrefix="0" xfId="11">
      <alignment horizontal="center" vertical="center"/>
    </xf>
    <xf numFmtId="0" fontId="40" fillId="15" borderId="9" applyAlignment="1" pivotButton="0" quotePrefix="0" xfId="13">
      <alignment horizontal="center" vertical="center"/>
    </xf>
    <xf numFmtId="0" fontId="41" fillId="15" borderId="9" applyAlignment="1" pivotButton="0" quotePrefix="0" xfId="13">
      <alignment horizontal="center" vertical="center"/>
    </xf>
    <xf numFmtId="0" fontId="40" fillId="15" borderId="9" applyAlignment="1" pivotButton="0" quotePrefix="0" xfId="13">
      <alignment horizontal="left" vertical="center"/>
    </xf>
    <xf numFmtId="166" fontId="0" fillId="0" borderId="0" pivotButton="0" quotePrefix="0" xfId="10"/>
    <xf numFmtId="166" fontId="0" fillId="0" borderId="0" pivotButton="0" quotePrefix="0" xfId="0"/>
    <xf numFmtId="0" fontId="43" fillId="16" borderId="33" applyAlignment="1" pivotButton="0" quotePrefix="0" xfId="11">
      <alignment horizontal="center" vertical="center"/>
    </xf>
    <xf numFmtId="0" fontId="44" fillId="17" borderId="33" applyAlignment="1" pivotButton="0" quotePrefix="0" xfId="11">
      <alignment horizontal="center" vertical="center"/>
    </xf>
    <xf numFmtId="0" fontId="34" fillId="18" borderId="33" applyAlignment="1" pivotButton="0" quotePrefix="0" xfId="11">
      <alignment horizontal="left" vertical="center" wrapText="1"/>
    </xf>
    <xf numFmtId="0" fontId="34" fillId="18" borderId="33" applyAlignment="1" pivotButton="0" quotePrefix="0" xfId="11">
      <alignment horizontal="center" vertical="center"/>
    </xf>
    <xf numFmtId="0" fontId="34" fillId="19" borderId="33" applyAlignment="1" pivotButton="0" quotePrefix="0" xfId="11">
      <alignment horizontal="left" vertical="center" wrapText="1"/>
    </xf>
    <xf numFmtId="0" fontId="34" fillId="19" borderId="33" applyAlignment="1" pivotButton="0" quotePrefix="0" xfId="11">
      <alignment horizontal="center" vertical="center"/>
    </xf>
    <xf numFmtId="0" fontId="45" fillId="18" borderId="34" applyAlignment="1" pivotButton="0" quotePrefix="0" xfId="11">
      <alignment horizontal="center" vertical="center"/>
    </xf>
    <xf numFmtId="0" fontId="45" fillId="20" borderId="0" applyAlignment="1" pivotButton="0" quotePrefix="0" xfId="11">
      <alignment horizontal="center" vertical="center"/>
    </xf>
    <xf numFmtId="0" fontId="45" fillId="18" borderId="0" applyAlignment="1" pivotButton="0" quotePrefix="0" xfId="11">
      <alignment horizontal="center" vertical="center"/>
    </xf>
    <xf numFmtId="0" fontId="45" fillId="18" borderId="35" applyAlignment="1" pivotButton="0" quotePrefix="0" xfId="11">
      <alignment horizontal="center" vertical="center"/>
    </xf>
    <xf numFmtId="0" fontId="31" fillId="0" borderId="6" applyAlignment="1" pivotButton="0" quotePrefix="0" xfId="0">
      <alignment horizontal="center" vertical="center"/>
    </xf>
    <xf numFmtId="0" fontId="33" fillId="0" borderId="6" applyAlignment="1" pivotButton="0" quotePrefix="0" xfId="0">
      <alignment horizontal="left" vertical="center" wrapText="1"/>
    </xf>
    <xf numFmtId="0" fontId="31" fillId="0" borderId="6" applyAlignment="1" pivotButton="0" quotePrefix="0" xfId="0">
      <alignment horizontal="center" vertical="center" wrapText="1"/>
    </xf>
    <xf numFmtId="0" fontId="35" fillId="10" borderId="0" applyAlignment="1" pivotButton="0" quotePrefix="0" xfId="11">
      <alignment horizontal="center" vertical="center"/>
    </xf>
    <xf numFmtId="0" fontId="36" fillId="11" borderId="0" applyAlignment="1" pivotButton="0" quotePrefix="0" xfId="11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0" fillId="0" borderId="2" pivotButton="0" quotePrefix="0" xfId="0"/>
    <xf numFmtId="0" fontId="7" fillId="0" borderId="0" pivotButton="0" quotePrefix="0" xfId="0"/>
    <xf numFmtId="0" fontId="0" fillId="0" borderId="0" pivotButton="0" quotePrefix="0" xfId="0"/>
    <xf numFmtId="0" fontId="7" fillId="0" borderId="0" pivotButton="0" quotePrefix="0" xfId="0"/>
    <xf numFmtId="0" fontId="0" fillId="0" borderId="5" pivotButton="0" quotePrefix="0" xfId="0"/>
    <xf numFmtId="165" fontId="0" fillId="8" borderId="0" pivotButton="0" quotePrefix="0" xfId="4"/>
    <xf numFmtId="165" fontId="0" fillId="5" borderId="0" pivotButton="0" quotePrefix="0" xfId="4"/>
    <xf numFmtId="164" fontId="0" fillId="0" borderId="0" pivotButton="0" quotePrefix="0" xfId="0"/>
    <xf numFmtId="164" fontId="0" fillId="0" borderId="10" pivotButton="0" quotePrefix="0" xfId="4"/>
    <xf numFmtId="166" fontId="0" fillId="0" borderId="6" applyAlignment="1" pivotButton="0" quotePrefix="0" xfId="10">
      <alignment wrapText="1"/>
    </xf>
    <xf numFmtId="164" fontId="4" fillId="0" borderId="0" applyAlignment="1" pivotButton="0" quotePrefix="0" xfId="5">
      <alignment vertical="center"/>
    </xf>
    <xf numFmtId="164" fontId="0" fillId="0" borderId="10" applyAlignment="1" pivotButton="0" quotePrefix="0" xfId="4">
      <alignment horizontal="center" vertical="center"/>
    </xf>
    <xf numFmtId="164" fontId="9" fillId="0" borderId="11" applyAlignment="1" pivotButton="0" quotePrefix="0" xfId="4">
      <alignment horizontal="center" vertical="center"/>
    </xf>
    <xf numFmtId="164" fontId="9" fillId="8" borderId="11" applyAlignment="1" pivotButton="0" quotePrefix="0" xfId="4">
      <alignment horizontal="center" vertical="center"/>
    </xf>
    <xf numFmtId="166" fontId="0" fillId="0" borderId="0" pivotButton="0" quotePrefix="0" xfId="10"/>
    <xf numFmtId="166" fontId="0" fillId="0" borderId="0" pivotButton="0" quotePrefix="0" xfId="0"/>
    <xf numFmtId="49" fontId="0" fillId="0" borderId="0" pivotButton="0" quotePrefix="0" xfId="0"/>
    <xf numFmtId="164" fontId="21" fillId="0" borderId="7" applyAlignment="1" pivotButton="0" quotePrefix="0" xfId="7">
      <alignment horizontal="right"/>
    </xf>
    <xf numFmtId="164" fontId="24" fillId="0" borderId="12" applyAlignment="1" pivotButton="0" quotePrefix="0" xfId="7">
      <alignment horizontal="center"/>
    </xf>
    <xf numFmtId="164" fontId="21" fillId="0" borderId="12" applyAlignment="1" pivotButton="0" quotePrefix="0" xfId="7">
      <alignment horizontal="right"/>
    </xf>
    <xf numFmtId="164" fontId="21" fillId="0" borderId="12" applyAlignment="1" pivotButton="0" quotePrefix="0" xfId="7">
      <alignment horizontal="center"/>
    </xf>
    <xf numFmtId="164" fontId="21" fillId="0" borderId="15" applyAlignment="1" pivotButton="0" quotePrefix="0" xfId="7">
      <alignment horizontal="right"/>
    </xf>
    <xf numFmtId="164" fontId="21" fillId="0" borderId="16" applyAlignment="1" pivotButton="0" quotePrefix="0" xfId="7">
      <alignment horizontal="right"/>
    </xf>
    <xf numFmtId="164" fontId="21" fillId="0" borderId="7" applyAlignment="1" pivotButton="0" quotePrefix="0" xfId="7">
      <alignment horizontal="center"/>
    </xf>
  </cellXfs>
  <cellStyles count="14">
    <cellStyle name="표준" xfId="0" builtinId="0"/>
    <cellStyle name="phx-level1" xfId="1"/>
    <cellStyle name="Normal 2 2" xfId="2"/>
    <cellStyle name="phx-HL-cell" xfId="3"/>
    <cellStyle name="백분율" xfId="4" builtinId="5"/>
    <cellStyle name="표준 2" xfId="5"/>
    <cellStyle name="표준 4" xfId="6"/>
    <cellStyle name="phx-HL-row" xfId="7"/>
    <cellStyle name="하이퍼링크" xfId="8" builtinId="8"/>
    <cellStyle name="표준 3" xfId="9"/>
    <cellStyle name="쉼표 [0]" xfId="10" builtinId="6"/>
    <cellStyle name="Normal" xfId="11"/>
    <cellStyle name="표준 2 2" xfId="12"/>
    <cellStyle name="표준 3 2" xfId="13"/>
  </cellStyles>
  <dxfs count="137">
    <dxf>
      <numFmt numFmtId="0" formatCode="General"/>
    </dxf>
    <dxf>
      <numFmt numFmtId="0" formatCode="General"/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border>
        <left/>
        <right/>
        <top style="thin">
          <color theme="1"/>
        </top>
        <bottom/>
        <vertical/>
        <horizontal/>
      </border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name val="맑은 고딕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1"/>
          <bgColor theme="1"/>
        </patternFill>
      </fill>
      <border outline="0">
        <left style="thin">
          <color theme="1"/>
        </left>
        <right style="thin">
          <color theme="1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555555"/>
      </font>
      <fill>
        <patternFill patternType="solid">
          <bgColor rgb="FFEDEDED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783F04"/>
      </font>
      <fill>
        <patternFill patternType="solid">
          <bgColor rgb="FFFCE5CD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alignment horizontal="general" vertical="center"/>
    </dxf>
    <dxf>
      <alignment horizontal="general" vertical="center"/>
    </dxf>
    <dxf>
      <alignment horizontal="general" vertical="center"/>
    </dxf>
    <dxf>
      <alignment horizontal="general" vertical="center"/>
    </dxf>
    <dxf>
      <font>
        <name val="맑은 고딕"/>
        <charset val="129"/>
        <family val="3"/>
        <strike val="0"/>
        <outline val="0"/>
        <shadow val="0"/>
        <sz val="11"/>
        <scheme val="major"/>
      </font>
      <alignment horizontal="general" vertical="center"/>
    </dxf>
    <dxf>
      <font>
        <name val="맑은 고딕"/>
        <charset val="129"/>
        <family val="3"/>
        <strike val="0"/>
        <outline val="0"/>
        <shadow val="0"/>
        <color rgb="FF000000"/>
        <sz val="11"/>
        <scheme val="major"/>
      </font>
      <alignment horizontal="left" vertical="center" wrapText="1"/>
    </dxf>
    <dxf>
      <font>
        <name val="맑은 고딕"/>
        <charset val="129"/>
        <family val="3"/>
        <strike val="0"/>
        <outline val="0"/>
        <shadow val="0"/>
        <sz val="11"/>
        <scheme val="major"/>
      </font>
      <alignment horizontal="general" vertical="center"/>
    </dxf>
    <dxf>
      <font>
        <name val="맑은 고딕"/>
        <charset val="129"/>
        <family val="3"/>
        <strike val="0"/>
        <outline val="0"/>
        <shadow val="0"/>
        <sz val="11"/>
        <scheme val="major"/>
      </font>
      <alignment horizontal="general" vertical="center"/>
    </dxf>
    <dxf>
      <border outline="0">
        <top style="thin">
          <color rgb="FF000000"/>
        </top>
      </border>
    </dxf>
    <dxf>
      <font>
        <name val="맑은 고딕"/>
        <charset val="129"/>
        <family val="3"/>
        <strike val="0"/>
        <outline val="0"/>
        <shadow val="0"/>
        <sz val="11"/>
        <scheme val="major"/>
      </font>
      <alignment horizontal="general" vertical="center"/>
    </dxf>
    <dxf>
      <font>
        <name val="맑은 고딕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1"/>
          <bgColor theme="1"/>
        </patternFill>
      </fill>
    </dxf>
    <dxf>
      <alignment horizontal="general" vertical="center"/>
    </dxf>
    <dxf>
      <alignment horizontal="general" vertical="center"/>
    </dxf>
    <dxf>
      <numFmt numFmtId="20" formatCode="dd/mmm/yy"/>
      <alignment horizontal="general" vertical="center"/>
    </dxf>
    <dxf>
      <alignment horizontal="general" vertical="center"/>
    </dxf>
    <dxf>
      <alignment horizontal="general" vertical="center"/>
    </dxf>
    <dxf>
      <border outline="0">
        <top style="thin">
          <color theme="1"/>
        </top>
      </border>
    </dxf>
    <dxf>
      <alignment horizontal="general" vertical="center"/>
    </dxf>
    <dxf>
      <font>
        <name val="맑은 고딕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1"/>
          <bgColor theme="1"/>
        </patternFill>
      </fill>
    </dxf>
    <dxf>
      <alignment horizontal="center" vertical="center" wrapText="1"/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center" vertical="center" wrapText="1"/>
      <border outline="0">
        <left/>
        <right/>
        <top style="thin">
          <color theme="1"/>
        </top>
        <bottom/>
      </border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 outline="0">
        <left/>
        <right/>
        <top style="thin">
          <color theme="1"/>
        </top>
        <bottom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name val="맑은 고딕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1"/>
          <bgColor theme="1"/>
        </patternFill>
      </fill>
      <border outline="0">
        <left style="thin">
          <color theme="1"/>
        </left>
        <right style="thin">
          <color theme="1"/>
        </right>
        <top/>
        <bottom/>
      </border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name val="맑은 고딕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1"/>
          <bgColor theme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0" formatCode="General"/>
    </dxf>
    <dxf>
      <numFmt numFmtId="0" formatCode="General"/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numFmt numFmtId="176" formatCode="0.0%"/>
      <alignment horizontal="right" vertical="bottom"/>
      <border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numFmt numFmtId="176" formatCode="0.0%"/>
      <alignment horizontal="right" vertical="bottom"/>
      <border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fill>
        <patternFill>
          <fgColor indexed="64"/>
          <bgColor indexed="65"/>
        </patternFill>
      </fill>
      <alignment horizontal="left" vertical="center"/>
      <border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fill>
        <patternFill>
          <fgColor indexed="64"/>
          <bgColor indexed="65"/>
        </patternFill>
      </fill>
      <alignment horizontal="left" vertical="center"/>
      <border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fill>
        <patternFill>
          <fgColor indexed="64"/>
          <bgColor indexed="65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fill>
        <patternFill>
          <fgColor indexed="64"/>
          <bgColor indexed="65"/>
        </patternFill>
      </fill>
      <alignment horizontal="left" vertical="center"/>
      <border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fill>
        <patternFill>
          <fgColor indexed="64"/>
          <bgColor indexed="65"/>
        </patternFill>
      </fill>
      <alignment horizontal="left" vertical="center"/>
      <border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8"/>
        <vertAlign val="baseline"/>
      </font>
      <alignment horizontal="center" vertical="center" wrapText="1"/>
      <border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auto="1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rgb="FF000000"/>
        <extend val="0"/>
        <sz val="7"/>
        <vertAlign val="baseline"/>
      </font>
      <fill>
        <patternFill patternType="solid">
          <fgColor indexed="64"/>
          <bgColor theme="9" tint="0.799981688894314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9"/>
        </patternFill>
      </fill>
    </dxf>
    <dxf>
      <numFmt numFmtId="0" formatCode="General"/>
      <alignment horizontal="left" vertical="bottom"/>
    </dxf>
    <dxf>
      <alignment horizontal="left" vertical="bottom"/>
    </dxf>
    <dxf>
      <alignment horizontal="left" vertical="bottom"/>
    </dxf>
    <dxf>
      <alignment horizontal="general" vertical="center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border outline="0">
        <top style="thin">
          <color theme="1"/>
        </top>
      </border>
    </dxf>
    <dxf>
      <alignment horizontal="general" vertical="center" wrapText="1"/>
    </dxf>
    <dxf>
      <font>
        <name val="맑은 고딕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1"/>
          <bgColor theme="1"/>
        </patternFill>
      </fill>
    </dxf>
    <dxf>
      <border outline="0">
        <left/>
        <right/>
        <top style="thin">
          <color indexed="64"/>
        </top>
        <bottom style="thin">
          <color indexed="64"/>
        </bottom>
      </border>
    </dxf>
    <dxf>
      <numFmt numFmtId="14" formatCode="0.00%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numFmt numFmtId="177" formatCode="0.0_);[Red]\(0.0\)"/>
      <fill>
        <patternFill patternType="solid">
          <fgColor indexed="64"/>
          <bgColor rgb="FFFFFF00"/>
        </patternFill>
      </fill>
      <alignment horizontal="general" vertical="bottom"/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7" formatCode="0.0_);[Red]\(0.0\)"/>
      <fill>
        <patternFill patternType="solid">
          <fgColor indexed="64"/>
          <bgColor rgb="FFFFFF00"/>
        </patternFill>
      </fill>
      <alignment horizontal="general" vertical="bottom"/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7" formatCode="0.0_);[Red]\(0.0\)"/>
      <fill>
        <patternFill patternType="solid">
          <fgColor indexed="64"/>
          <bgColor rgb="FF92D050"/>
        </patternFill>
      </fill>
      <alignment horizontal="general" vertical="bottom"/>
    </dxf>
    <dxf>
      <numFmt numFmtId="177" formatCode="0.0_);[Red]\(0.0\)"/>
      <fill>
        <patternFill patternType="solid">
          <fgColor indexed="64"/>
          <bgColor rgb="FF92D050"/>
        </patternFill>
      </fill>
      <alignment horizontal="general" vertical="bottom"/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 wrapText="1"/>
      <border outline="0">
        <left/>
        <right/>
        <top style="thin">
          <color theme="1"/>
        </top>
        <bottom/>
      </border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 wrapText="1"/>
      <border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 wrapText="1"/>
    </dxf>
    <dxf>
      <font>
        <name val="맑은 고딕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1"/>
          <bgColor theme="1"/>
        </patternFill>
      </fill>
      <alignment horizontal="general" vertical="center"/>
    </dxf>
    <dxf>
      <alignment horizontal="left" vertical="center"/>
    </dxf>
    <dxf>
      <alignment horizontal="left" vertical="center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33" formatCode="_-* #,##0_-;\-* #,##0_-;_-* &quot;-&quot;_-;_-@_-"/>
      <alignment horizontal="center" vertical="bottom"/>
    </dxf>
    <dxf>
      <numFmt numFmtId="0" formatCode="General"/>
    </dxf>
    <dxf>
      <numFmt numFmtId="33" formatCode="_-* #,##0_-;\-* #,##0_-;_-* &quot;-&quot;_-;_-@_-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pivotCacheDefinition" Target="/xl/pivotCache/pivotCacheDefinition1.xml" Id="rId23" /><Relationship Type="http://schemas.openxmlformats.org/officeDocument/2006/relationships/pivotCacheDefinition" Target="/xl/pivotCache/pivotCacheDefinition2.xml" Id="rId24" /><Relationship Type="http://schemas.openxmlformats.org/officeDocument/2006/relationships/externalLink" Target="/xl/externalLinks/externalLink1.xml" Id="rId25" /><Relationship Type="http://schemas.openxmlformats.org/officeDocument/2006/relationships/externalLink" Target="/xl/externalLinks/externalLink2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tc={F66435ED-0C9E-43FE-890A-A90FBEE07CAB}</author>
    <author>tc={583DACAD-58E4-4A7B-BBE0-F54E7FD002A2}</author>
    <author>tc={527C89FA-3535-45ED-AB16-7B5845EE7CC2}</author>
  </authors>
  <commentList>
    <comment ref="K36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Oxo chemical의 일부</t>
      </text>
    </comment>
    <comment ref="G73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Mixed 인지 불명확</t>
      </text>
    </comment>
    <comment ref="G77" authorId="2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1-hexene인지 불분명</t>
      </text>
    </comment>
  </commentList>
</comments>
</file>

<file path=xl/comments/comment2.xml><?xml version="1.0" encoding="utf-8"?>
<comments xmlns="http://schemas.openxmlformats.org/spreadsheetml/2006/main">
  <authors>
    <author>tc={E2D63A4D-75CA-4AB4-BFE5-3E605F209520}</author>
  </authors>
  <commentList>
    <comment ref="A71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C3: Propionaldehyde
C4: n-Butyraldehyde, isobutyraldehyde
C5: Valeraldehyde, isovaleraldehyde
C7: Heptanoic Acid
C9: Pelargonic Acid
C8~C13 Branched acids: isooctanoic, isononanoic, isodecanoic, isotridecanoic
C9~C28 Neo acids: neopentanoic, neoheptanoic, neooctanoic, neononanoic, neodecanoic
Oxo plasticizer and detergent alcohols (branched C6-C13 and linear oxo C7-C15)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X:\MMR\Poly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S-OIL\Downloads\260702_%20&#52488;&#44592;%20&#54637;&#47785;%20rating%20(9&#44060;%20&#52628;&#44032;)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D Price Chg"/>
      <sheetName val="LL Price Chg"/>
      <sheetName val="HD Price Chg"/>
      <sheetName val="PP FS Margin"/>
      <sheetName val="HDPE FS Margin"/>
      <sheetName val="LLDPE FS Margin"/>
      <sheetName val="LDPE FS Margin"/>
      <sheetName val="POLYOLEFINS"/>
      <sheetName val="POLYOLEFINS_Q"/>
      <sheetName val="POLYOLEFINS_Y"/>
      <sheetName val="Poly_Grades_M"/>
      <sheetName val="Poly_Grades_Q"/>
      <sheetName val="Poly_Grades_Y"/>
      <sheetName val="ASPprcM"/>
      <sheetName val="ASPprcQ"/>
      <sheetName val="ASPprcY"/>
      <sheetName val="Asia PE Prices"/>
      <sheetName val="Asia PE Prices (2)"/>
      <sheetName val="Asia LDPE Prices QTR"/>
      <sheetName val="Asia HDPE Prices QTR"/>
      <sheetName val="Asia LLDPE Prices QTR"/>
      <sheetName val="Volume Weighted PEE"/>
      <sheetName val="LDPE25yrs"/>
      <sheetName val="HDPE25yrs"/>
      <sheetName val="WEP HDPE BM_Y"/>
      <sheetName val="LDPECON_ANN (Non Int)"/>
      <sheetName val="LDPECON_ANN (Int)"/>
      <sheetName val="LLDECON_ANN (Non Int)"/>
      <sheetName val="LLDECON_ANN (Int)"/>
      <sheetName val="HDPECON_ANN (Non Int)"/>
      <sheetName val="HDPECON_ANN (Int)"/>
      <sheetName val="Graph Data"/>
      <sheetName val="US vs SEA PPE Prc"/>
      <sheetName val="HDPETH"/>
      <sheetName val="HDPETH_QTR"/>
      <sheetName val="HDPETH_QTR (2)"/>
      <sheetName val="LLDPETH"/>
      <sheetName val="hdprvdsoCPP"/>
      <sheetName val="hdprvdsoMT"/>
      <sheetName val="hdprvdsCPPQtr"/>
      <sheetName val="HD prc v pi Q91-9↸"/>
      <sheetName val="llprvdsoCPP"/>
      <sheetName val="llprvdsoMT"/>
      <sheetName val="qllprvds"/>
      <sheetName val="LLD prc v pi Q91-98"/>
      <sheetName val="ldprvdsoCPP"/>
      <sheetName val="ldprvdsoMT"/>
      <sheetName val="qldprvds"/>
      <sheetName val="LD prc v pi Q91-98 "/>
      <sheetName val="ppucpvdsCPPm_Proj"/>
      <sheetName val="Eth vs PE"/>
      <sheetName val="Eth vs PE (2)"/>
      <sheetName val="POPRCEethoprateQ"/>
      <sheetName val="POPRCEethoprateQ (3)"/>
      <sheetName val="POPRCEethoprateQ (2)"/>
      <sheetName val="C2vsPE"/>
      <sheetName val="POPRCE_ANN99"/>
      <sheetName val="HDPECON_Y"/>
      <sheetName val="Polyole_Prices (4)"/>
      <sheetName val="Polyole_Prices (5)"/>
      <sheetName val="Chase"/>
      <sheetName val="C3PPCM00_Q"/>
      <sheetName val="C3PPcombCM02"/>
      <sheetName val="C3PPcombCM01"/>
      <sheetName val="LLDCM"/>
      <sheetName val="C2LLCM88"/>
      <sheetName val="C2LLCM02"/>
      <sheetName val="C2LLCM01"/>
      <sheetName val="C2LDCM88"/>
      <sheetName val="C2LDCM02"/>
      <sheetName val="C2LDCM01"/>
      <sheetName val="C2HDCM88"/>
      <sheetName val="C2HDCM02"/>
      <sheetName val="C2HDCM01"/>
      <sheetName val="DO_HUB"/>
      <sheetName val="DI_HUB"/>
      <sheetName val="INFO"/>
      <sheetName val="DI_NAM"/>
      <sheetName val="WorkSpace"/>
      <sheetName val="DataIn_M"/>
      <sheetName val="USPP prc v oprate"/>
      <sheetName val="PPE Contr. vs. Exp."/>
      <sheetName val="hdprvdso"/>
      <sheetName val="hdprvdso (3)"/>
      <sheetName val="hdprvdso (2)"/>
      <sheetName val="qhdprvds"/>
      <sheetName val="HD prc v pi Q91-98"/>
      <sheetName val="llprvdso"/>
      <sheetName val="llprvdso (2)"/>
      <sheetName val="ldprvdso"/>
      <sheetName val="ldprvdso (3)"/>
      <sheetName val="ldprvdso (2)"/>
      <sheetName val="PP prc v pi Q91-98"/>
      <sheetName val="ppucpvds"/>
      <sheetName val="ppucpvds (3)"/>
      <sheetName val="ppucpvds (2ⶔ"/>
      <sheetName val="ppdso"/>
      <sheetName val="Pro vs PPE (5)"/>
      <sheetName val="Pro vs PPE (6)"/>
      <sheetName val="Pro vs PPE (7)"/>
      <sheetName val="Pro vs PPE (3)"/>
      <sheetName val="Pro vs PPE (4)"/>
      <sheetName val="qppprvds"/>
      <sheetName val="ppprvdso"/>
      <sheetName val="HDNPRAQ97(2)"/>
      <sheetName val="Pro vs PPE"/>
      <sheetName val="Pro vs PPE (2)"/>
      <sheetName val="PPECON_ANN"/>
      <sheetName val="PPECON_ANN 03"/>
      <sheetName val="PPECON_ANN (Color)"/>
      <sheetName val="PPECON_ANN 03 (Color)"/>
      <sheetName val="PPECON_ANN 01 (Color)"/>
      <sheetName val="LDPECON_ANN (91-06)"/>
      <sheetName val="LDPECON_ANN (87-05) (Color)"/>
      <sheetName val="LDPECON_ANN 03"/>
      <sheetName val="LLDECON_ANN"/>
      <sheetName val="LLD_ANN (87-05) (Color)"/>
      <sheetName val="LLDECON_ANN 03"/>
      <sheetName val="HDPECON_ANN"/>
      <sheetName val="HDPECON_ANN (87-05) (Color)"/>
      <sheetName val="HDPECON_ANN 03"/>
      <sheetName val="Polyole_Prices (3)"/>
      <sheetName val="Polyole_Prices (2)"/>
      <sheetName val="Polyole_Prices"/>
      <sheetName val="PPNPRAQT7"/>
      <sheetName val="PPNPRAQT9 (2)"/>
      <sheetName val="PPNPRAQT9 (color)"/>
      <sheetName val="PPNPRAQT8"/>
      <sheetName val="PPNPRAQT8 (2)"/>
      <sheetName val="PPNPRAQT8 (Color)"/>
      <sheetName val="LLNPRAQ97"/>
      <sheetName val="LLNPRAQ99"/>
      <sheetName val="LLNPRAQ98"/>
      <sheetName val="LDNPRAQ97"/>
      <sheetName val="LDNPRAQ99"/>
      <sheetName val="LDNPRAQ98"/>
      <sheetName val="HDNPRAQ99"/>
      <sheetName val="HDNPRAQ98"/>
      <sheetName val="Chart2"/>
      <sheetName val="C3PPCM88"/>
      <sheetName val="C3PPCM99"/>
      <sheetName val="C3PPCM99 (2)"/>
      <sheetName val="C3PPCM88 (2)"/>
      <sheetName val="C3PPCM88 (3)"/>
      <sheetName val="C2LLCM"/>
      <sheetName val="C2LLCM99"/>
      <sheetName val="C2LLCM99 (2)"/>
      <sheetName val="C2LDCM"/>
      <sheetName val="C2LDCM99"/>
      <sheetName val="C2LDCM99 (2)"/>
      <sheetName val="C2HDCM"/>
      <sheetName val="C2HDCM99"/>
      <sheetName val="C2HDCM99 (2)"/>
      <sheetName val="C2HDCM88 (Mnthly)"/>
      <sheetName val="DataIn_Y"/>
      <sheetName val="Module2"/>
      <sheetName val="Module1"/>
      <sheetName val="DataOut_Y"/>
      <sheetName val="DataOut_M"/>
      <sheetName val="ppucpvdsCPPm"/>
      <sheetName val="ppucpvdsMT"/>
      <sheetName val="PP prc v pi Q91-98 (2)"/>
      <sheetName val="POPRCE_ANN 04ppt"/>
      <sheetName val="POPRCE_ANN 04"/>
      <sheetName val="PPECON_Y04"/>
      <sheetName val="LDPECON_ANN 04"/>
      <sheetName val="LDPECON_ANN 04ppt"/>
      <sheetName val="LLDECON_ANN 04"/>
      <sheetName val="LLDECON_ANN 04ppt"/>
      <sheetName val="HDPECON_Y04"/>
      <sheetName val="HDPECON_ANN 04ppt"/>
      <sheetName val="PPPRCE_ANN 04"/>
      <sheetName val="PPPRCE_ANN99"/>
      <sheetName val="PPNPRAQT8ppt"/>
      <sheetName val="LLNPRAQ98 (2)"/>
      <sheetName val="LDNPRAQ98 (2)"/>
      <sheetName val="HDNPRAQ98 (2)"/>
      <sheetName val="HDNPRAQppt"/>
      <sheetName val="C3PPCM8899q"/>
      <sheetName val="PPCMq"/>
      <sheetName val="LLNPRAQppt"/>
      <sheetName val="LDNPRAQppt"/>
      <sheetName val="PPECON_ANN 04ppt"/>
      <sheetName val="C3PPcombCM00_Q"/>
      <sheetName val="C2LLCM00"/>
      <sheetName val="C2LDCM00"/>
      <sheetName val="C2HDCM00"/>
      <sheetName val="PPNPRAQT8 (3)"/>
      <sheetName val="LDPE27yrs"/>
      <sheetName val="C3PPCM99ppt"/>
      <sheetName val="POPRCE_ANN 03"/>
      <sheetName val="PPECON_ANN 03ppt"/>
      <sheetName val="LDPECON_ANN 03ppt"/>
      <sheetName val="LLDECON_ANN 03ppt"/>
      <sheetName val="HDPECON_ANN 03ppt"/>
      <sheetName val="PPECON_ANN 04"/>
      <sheetName val="Chart3"/>
      <sheetName val="hdprcvrpi qtr91-98"/>
      <sheetName val="ldprcvrpi qtr91-98 "/>
      <sheetName val="PPprcvpi qtr91-98"/>
      <sheetName val="C3PPCM99 (3)"/>
      <sheetName val="C2LLCM99 (3)"/>
      <sheetName val="ppucpvds (2)"/>
      <sheetName val="C3PPCM88 (4)"/>
      <sheetName val="C2HDCM88 (2)"/>
      <sheetName val="C2LDCM99 (3)"/>
      <sheetName val="POLY"/>
      <sheetName val="PPECON_ANN 02"/>
      <sheetName val="LDPECON_ANN 02"/>
      <sheetName val="LLDECON_ANN 02"/>
      <sheetName val="HDPECON_ANN 02"/>
      <sheetName val="PPNPRAQT9"/>
      <sheetName val="Char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Pivot"/>
      <sheetName val="Summary"/>
      <sheetName val="Sheet1 (2)"/>
      <sheetName val="ValueChain_BD"/>
      <sheetName val="산업수급_BD"/>
      <sheetName val="260702_ 초기 항목 rating (9개 추가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-OIL" refreshedDate="46182.59381967592" createdVersion="8" refreshedVersion="8" minRefreshableVersion="3" recordCount="290" r:id="rId1">
  <cacheSource type="worksheet">
    <worksheetSource name="표17"/>
  </cacheSource>
  <cacheFields count="12">
    <cacheField name="No" uniqueList="1" numFmtId="0" sqlType="0" hierarchy="0" level="0" databaseField="1">
      <sharedItems count="0" containsInteger="1" containsNumber="1" containsSemiMixedTypes="0" containsString="0" minValue="1" maxValue="280"/>
    </cacheField>
    <cacheField name="Category" uniqueList="1" numFmtId="0" sqlType="0" hierarchy="0" level="0" databaseField="1">
      <sharedItems count="0"/>
    </cacheField>
    <cacheField name="Category2" uniqueList="1" numFmtId="0" sqlType="0" hierarchy="0" level="0" databaseField="1">
      <sharedItems count="30">
        <s v="Semiconductors, silicon and IC process chemicals"/>
        <s v="Display materials"/>
        <s v="Printed circuit boards and packaging"/>
        <s v="Nutraceutical ingredients"/>
        <s v="High-performance thermoplastics"/>
        <s v="Compounded engineering thermoplastics"/>
        <s v="Specialty films"/>
        <s v="Coatings, radiation curable"/>
        <s v="Coatings, thermosetting powder"/>
        <s v="Coatings, high-performance anticorrosion"/>
        <s v="Green power materials"/>
        <s v="Water management chemicals"/>
        <s v="Cosmetic/personal care chemicals"/>
        <s v="Cleaners, industrial and institutional"/>
        <s v="Plastics additives"/>
        <s v="Specialty adhesives and sealants"/>
        <s v="Rubber-processing chemicals"/>
        <s v="Textile chemicals"/>
        <s v="Printing inks"/>
        <s v="Flavors and fragrances"/>
        <s v="Food additives"/>
        <s v="Feed additives"/>
        <s v="Lubricants, synthetic"/>
        <s v="Paper chemicals"/>
        <s v="Construction chemicals"/>
        <s v="Mining chemicals"/>
        <s v="Lubricating oil additives"/>
        <s v="Oil field chemicals"/>
        <s v="Petroleum refining/chemical process"/>
        <s v="Emission control"/>
      </sharedItems>
    </cacheField>
    <cacheField name="Category3" uniqueList="1" numFmtId="0" sqlType="0" hierarchy="0" level="0" databaseField="1">
      <sharedItems count="0"/>
    </cacheField>
    <cacheField name="Category4" uniqueList="1" numFmtId="0" sqlType="0" hierarchy="0" level="0" databaseField="1">
      <sharedItems count="0" containsBlank="1"/>
    </cacheField>
    <cacheField name="Main product" uniqueList="1" numFmtId="0" sqlType="0" hierarchy="0" level="0" databaseField="1">
      <sharedItems count="0"/>
    </cacheField>
    <cacheField name="Starting Material" uniqueList="1" numFmtId="0" sqlType="0" hierarchy="0" level="0" databaseField="1">
      <sharedItems count="0"/>
    </cacheField>
    <cacheField name="Petrochemical 연관성" uniqueList="1" numFmtId="0" sqlType="0" hierarchy="0" level="0" databaseField="1">
      <sharedItems count="0"/>
    </cacheField>
    <cacheField name="Intermediate" uniqueList="1" numFmtId="0" sqlType="0" hierarchy="0" level="0" databaseField="1">
      <sharedItems count="0"/>
    </cacheField>
    <cacheField name="main petrochemical chain" uniqueList="1" numFmtId="0" sqlType="0" hierarchy="0" level="0" databaseField="1">
      <sharedItems count="0"/>
    </cacheField>
    <cacheField name="Compound annual growth rate. 2025-30(percent)" uniqueList="1" numFmtId="176" sqlType="0" hierarchy="0" level="0" databaseField="1">
      <sharedItems count="0" containsNumber="1" containsSemiMixedTypes="0" containsString="0" minValue="-0.0409732414884565" maxValue="0.34047761089009"/>
    </cacheField>
    <cacheField name="Selected" uniqueList="1" numFmtId="176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S-OIL" refreshedDate="46209.39217974537" createdVersion="8" refreshedVersion="8" minRefreshableVersion="3" recordCount="465" r:id="rId1">
  <cacheSource type="worksheet">
    <worksheetSource name="표14"/>
  </cacheSource>
  <cacheFields count="12">
    <cacheField name="material_id" uniqueList="1" numFmtId="0" sqlType="0" hierarchy="0" level="0" databaseField="1">
      <sharedItems count="98">
        <s v="M002"/>
        <s v="M003"/>
        <s v="M004"/>
        <s v="M005"/>
        <s v="M006"/>
        <s v="M007"/>
        <s v="M008"/>
        <s v="M010"/>
        <s v="M012"/>
        <s v="M014"/>
        <s v="M015"/>
        <s v="M016"/>
        <s v="M017"/>
        <s v="M019"/>
        <s v="M021"/>
        <s v="M022"/>
        <s v="M023"/>
        <s v="M024"/>
        <s v="M025"/>
        <s v="M026"/>
        <s v="M027"/>
        <s v="M028"/>
        <s v="M029"/>
        <s v="M030"/>
        <s v="M031"/>
        <s v="M033"/>
        <s v="M034"/>
        <s v="M035"/>
        <s v="M036"/>
        <s v="M037"/>
        <s v="M038"/>
        <s v="M039"/>
        <s v="M040"/>
        <s v="M041"/>
        <s v="M042"/>
        <s v="M043"/>
        <s v="M044"/>
        <s v="M045"/>
        <s v="M046"/>
        <s v="M047"/>
        <s v="M048"/>
        <s v="M049"/>
        <s v="M050"/>
        <s v="M052"/>
        <s v="M055"/>
        <s v="M056"/>
        <s v="M057"/>
        <s v="M058"/>
        <s v="M059"/>
        <s v="M060"/>
        <s v="M061"/>
        <s v="M062"/>
        <s v="M063"/>
        <s v="M064"/>
        <s v="M065"/>
        <s v="M066"/>
        <s v="M067"/>
        <s v="M068"/>
        <s v="M069"/>
        <s v="M070"/>
        <s v="M073"/>
        <s v="M074"/>
        <s v="M075"/>
        <s v="M077"/>
        <s v="M078"/>
        <s v="M079"/>
        <s v="M080"/>
        <s v="M081"/>
        <s v="M082"/>
        <s v="M083"/>
        <s v="M084"/>
        <s v="M085"/>
        <s v="M086"/>
        <s v="M087"/>
        <s v="M088"/>
        <s v="M089"/>
        <s v="M090"/>
        <s v="M091"/>
        <s v="M092"/>
        <s v="M093"/>
        <s v="M097"/>
        <s v="M098"/>
        <s v="M100"/>
        <s v="M101"/>
        <s v="M102"/>
        <s v="M103"/>
        <s v="M104"/>
        <s v="M105"/>
        <s v="M106"/>
        <s v="M107"/>
        <s v="M108"/>
        <s v="M109"/>
        <s v="M110"/>
        <s v="M111"/>
        <s v="M112"/>
        <s v="M113"/>
        <s v="M114"/>
        <e v="#N/A" u="1"/>
      </sharedItems>
    </cacheField>
    <cacheField name="app_id" uniqueList="1" numFmtId="0" sqlType="0" hierarchy="0" level="0" databaseField="1">
      <sharedItems count="0"/>
    </cacheField>
    <cacheField name="end_use_id" uniqueList="1" numFmtId="0" sqlType="0" hierarchy="0" level="0" databaseField="1">
      <sharedItems count="0"/>
    </cacheField>
    <cacheField name="rating" uniqueList="1" numFmtId="0" sqlType="0" hierarchy="0" level="0" databaseField="1">
      <sharedItems count="0" containsNumber="1" containsSemiMixedTypes="0" containsString="0" minValue="0.1" maxValue="0.6"/>
    </cacheField>
    <cacheField name="material_name" uniqueList="1" numFmtId="0" sqlType="0" hierarchy="0" level="0" databaseField="1">
      <sharedItems count="0"/>
    </cacheField>
    <cacheField name="raw application" uniqueList="1" numFmtId="0" sqlType="0" hierarchy="0" level="0" databaseField="1">
      <sharedItems count="0"/>
    </cacheField>
    <cacheField name="application_taxonomy" uniqueList="1" numFmtId="0" sqlType="0" hierarchy="0" level="0" databaseField="1">
      <sharedItems count="0"/>
    </cacheField>
    <cacheField name="end_use_industry" uniqueList="1" numFmtId="0" sqlType="0" hierarchy="0" level="0" databaseField="1">
      <sharedItems count="8">
        <s v="Consumer Products &amp; Packaging"/>
        <s v="Construction &amp; Infrastructure"/>
        <s v="Automotive &amp; Future Mobility"/>
        <s v="Energy, Power &amp; Utilities"/>
        <s v="Industrial Goods &amp; Advanced Manufacturing"/>
        <s v="Agriculture"/>
        <s v="Healthcare &amp; Life Sciences"/>
        <s v="Electronics, Semiconductors &amp; Digital Infrastructure"/>
      </sharedItems>
    </cacheField>
    <cacheField name="importance" uniqueList="1" numFmtId="0" sqlType="0" hierarchy="0" level="0" databaseField="1">
      <sharedItems count="0"/>
    </cacheField>
    <cacheField name="reasoning" uniqueList="1" numFmtId="0" sqlType="0" hierarchy="0" level="0" databaseField="1">
      <sharedItems count="0"/>
    </cacheField>
    <cacheField name="taxonomy_action" uniqueList="1" numFmtId="0" sqlType="0" hierarchy="0" level="0" databaseField="1">
      <sharedItems count="0"/>
    </cacheField>
    <cacheField name="source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290">
  <r>
    <n v="1"/>
    <s v="Electronic chemicals"/>
    <x v="0"/>
    <s v="Wafer substrates"/>
    <s v="Silicon wafers"/>
    <s v="Logic/Memory용 300 mm silicon wafer"/>
    <s v="Quartz/Silica"/>
    <s v="-"/>
    <s v="Polysilicon, Single-crystal silicon ingot"/>
    <s v="Quartz/Silica → Metallurgical silicon → Polysilicon → Silicon ingot → Silicon wafer"/>
    <n v="0.059391140093721"/>
    <s v="Δ"/>
  </r>
  <r>
    <n v="2"/>
    <s v="Electronic chemicals"/>
    <x v="0"/>
    <s v="Wafer substrates"/>
    <s v="Silicon carbide (SiC) wafers"/>
    <s v="EV power semiconductor용 SiC wafer"/>
    <s v="Quartz/Silica, Petroleum coke"/>
    <s v="-"/>
    <s v="SiC powder/crystal boule"/>
    <s v="Silica + Carbon source → SiC crystal → SiC wafer"/>
    <n v="0.140048345465254"/>
    <s v="Δ"/>
  </r>
  <r>
    <n v="3"/>
    <s v="Electronic chemicals"/>
    <x v="0"/>
    <s v="Wafer substrates"/>
    <s v="Sapphire wafers"/>
    <s v="LED/RF/compound semiconductor substrate"/>
    <s v="Alumina/Bauxite"/>
    <s v="-"/>
    <s v="High-purity alumina, Sapphire ingot"/>
    <s v="Bauxite → Alumina → Sapphire crystal → Sapphire wafer"/>
    <n v="-0.0030534879842905"/>
    <s v="Δ"/>
  </r>
  <r>
    <n v="4"/>
    <s v="Electronic chemicals"/>
    <x v="0"/>
    <s v="Wafer substrates"/>
    <s v="Other semiconductor wafers"/>
    <s v="GaAs/InP compound semiconductor wafer"/>
    <s v="Gallium, Arsenic, Indium, Phosphorus"/>
    <s v="-"/>
    <s v="GaAs/InP crystal ingot"/>
    <s v="Specialty metals → Compound semiconductor crystal → Wafer"/>
    <n v="0.0611786455688943"/>
    <s v="Δ"/>
  </r>
  <r>
    <n v="5"/>
    <s v="Electronic chemicals"/>
    <x v="0"/>
    <s v="Electronic gases"/>
    <s v="Atmospheric gases"/>
    <s v="High-purity N2/O2/Ar for purge, oxidation and process atmosphere"/>
    <s v="Air"/>
    <s v="-"/>
    <s v="High-purity nitrogen, oxygen, argon"/>
    <s v="Air separation → Electronic-grade atmospheric gas"/>
    <n v="0.0608745677764162"/>
    <s v="Δ"/>
  </r>
  <r>
    <n v="6"/>
    <s v="Electronic chemicals"/>
    <x v="0"/>
    <s v="Electronic gases"/>
    <s v="Specialty gases"/>
    <s v="Deposition/etching/cleaning gases for CVD/etch process"/>
    <s v="Silicon, Fluorine, Chlorine, Ammonia"/>
    <s v="△"/>
    <s v="Silane, NF3, WF6, HCl, NH3, TEOS-type precursors"/>
    <s v="Inorganic/silicon/fluorine chemistry → Specialty electronic gas"/>
    <n v="0.0527681134021383"/>
    <s v="Δ"/>
  </r>
  <r>
    <n v="7"/>
    <s v="Electronic chemicals"/>
    <x v="0"/>
    <s v="Metal and dielectric materials"/>
    <s v="Thin-film metals (sputtering targets)"/>
    <s v="Cu/Al/Ta/Ti/W sputtering target for interconnect/barrier layer"/>
    <s v="Copper, Aluminum, Titanium, Tantalum, Tungsten"/>
    <s v="-"/>
    <s v="High-purity metal target"/>
    <s v="Metal refining → Ultra-high-purity target → Thin-film deposition"/>
    <n v="0.0648604004453766"/>
    <s v="Δ"/>
  </r>
  <r>
    <n v="8"/>
    <s v="Electronic chemicals"/>
    <x v="0"/>
    <s v="Metal and dielectric materials"/>
    <s v="Dielectric materialsc"/>
    <s v="Low-k / High-k dielectric precursor for insulating layer"/>
    <s v="Silicon, Hafnium/Zirconium, Organosilicon"/>
    <s v="-"/>
    <s v="TEOS, silane precursor, Hf/Zr precursor"/>
    <s v="Silicon/metal-organic chemistry → Dielectric precursor → Thin-film dielectric"/>
    <n v="0.0674183907746784"/>
    <s v="Δ"/>
  </r>
  <r>
    <n v="9"/>
    <s v="Electronic chemicals"/>
    <x v="0"/>
    <s v="Photoresists"/>
    <s v="g-/i-line (436/365 nm)"/>
    <s v="Mature-node photoresist for display/legacy semiconductor process"/>
    <s v="Benzene, Phenol, Naphthalene"/>
    <s v="○"/>
    <s v="Novolac resin, DNQ sensitizer"/>
    <s v="BTX → Phenolic resin/DNQ chemistry → g-/i-line photoresist"/>
    <n v="0.053194208153124"/>
    <s v="Δ"/>
  </r>
  <r>
    <n v="10"/>
    <s v="Electronic chemicals"/>
    <x v="0"/>
    <s v="Photoresists"/>
    <s v="KrF (248 nm)"/>
    <s v="DUV photoresist for semiconductor lithography"/>
    <s v="Benzene, Styrene"/>
    <s v="○"/>
    <s v="Hydroxystyrene polymer, Photoacid generator"/>
    <s v="BTX → Styrenic polymer/PAG → KrF photoresist"/>
    <n v="0.0677625560336101"/>
    <s v="Δ"/>
  </r>
  <r>
    <n v="11"/>
    <s v="Electronic chemicals"/>
    <x v="0"/>
    <s v="Photoresists"/>
    <s v="ArF (193 nm)"/>
    <s v="Advanced DUV photoresist for fine patterning"/>
    <s v="Propylene, Fluorochemical feed"/>
    <s v="△"/>
    <s v="Acrylate/methacrylate polymer, PAG"/>
    <s v="Propylene/acrylate + fluorochemical chain → ArF photoresist"/>
    <n v="0.0830924446956347"/>
    <s v="Δ"/>
  </r>
  <r>
    <n v="12"/>
    <s v="Electronic chemicals"/>
    <x v="0"/>
    <s v="Photoresists"/>
    <s v="EUV (13.5 nm)"/>
    <s v="Leading-edge EUV photoresist for advanced logic/memory"/>
    <s v="Aromatics, Fluorochemicals, Metal precursors"/>
    <s v="△"/>
    <s v="Chemically amplified resist, PAG, Metal-oxide resist precursor"/>
    <s v="Specialty organic/fluorine/metal precursor → EUV resist"/>
    <n v="0.171053794211024"/>
    <s v="Δ"/>
  </r>
  <r>
    <n v="13"/>
    <s v="Electronic chemicals"/>
    <x v="0"/>
    <s v="Wet-processing chemicals"/>
    <s v="Standard electronic grade - Acids and bases"/>
    <s v="Cleaning/etching acids and bases for mature process"/>
    <s v="Sulfur, Chlorine, Fluorspar, Ammonia"/>
    <s v="△"/>
    <s v="H2SO4, HCl, HF, NH4OH"/>
    <s v="Inorganic acid/base chain → Electronic-grade wet chemical"/>
    <n v="0.034904309243446"/>
    <s v="Δ"/>
  </r>
  <r>
    <n v="14"/>
    <s v="Electronic chemicals"/>
    <x v="0"/>
    <s v="Wet-processing chemicals"/>
    <s v="Standard electronic grade - Solvents"/>
    <s v="Cleaning and resist process solvent"/>
    <s v="Propylene, Methanol, Acetone"/>
    <s v="○"/>
    <s v="IPA, Acetone, PGME/PGMEA"/>
    <s v="Olefin/alcohol/ketone chain → Electronic-grade solvent"/>
    <n v="0.0417491609754834"/>
    <s v="Δ"/>
  </r>
  <r>
    <n v="15"/>
    <s v="Electronic chemicals"/>
    <x v="0"/>
    <s v="Wet-processing chemicals"/>
    <s v="Ultra-high purity - Acids and bases"/>
    <s v="Advanced-node UHP cleaning/etch chemical"/>
    <s v="Sulfur, Chlorine, Fluorspar, Ammonia"/>
    <s v="△"/>
    <s v="UHP H2SO4, HF, HCl, NH4OH, H2O2"/>
    <s v="Inorganic chain → Ultra-high-purity purification → UHP wet chemical"/>
    <n v="0.0777313877792551"/>
    <s v="Δ"/>
  </r>
  <r>
    <n v="16"/>
    <s v="Electronic chemicals"/>
    <x v="0"/>
    <s v="Wet-processing chemicals"/>
    <s v="Ultra-high purity - Solvents"/>
    <s v="Advanced-node UHP solvent for lithography/cleaning"/>
    <s v="Propylene, EO/PO, Methanol"/>
    <s v="○"/>
    <s v="UHP IPA, PGMEA, NMP-type solvent"/>
    <s v="Petrochemical solvent chain → Ultra-high-purity purification → UHP solvent"/>
    <n v="0.0883174015939576"/>
    <s v="Δ"/>
  </r>
  <r>
    <n v="17"/>
    <s v="Electronic chemicals"/>
    <x v="0"/>
    <s v="Formulated products"/>
    <s v="Copper-plating chemicals"/>
    <s v="Cu electroplating bath for interconnect formation"/>
    <s v="Copper, Sulfuric acid, Organic additives"/>
    <s v="-"/>
    <s v="Copper sulfate, Leveler, Suppressor, Brightener"/>
    <s v="Copper/inorganic acid + organic additive → Cu plating formulation"/>
    <n v="0.0587053184557504"/>
    <s v="Δ"/>
  </r>
  <r>
    <n v="18"/>
    <s v="Electronic chemicals"/>
    <x v="0"/>
    <s v="Formulated products"/>
    <s v="Photoresist ancillaries"/>
    <s v="Developer/stripper/edge-bead remover for lithography process"/>
    <s v="TMA, Solvents, Amines"/>
    <s v="△"/>
    <s v="TMAH developer, Stripper, Rinse/EBR solvent"/>
    <s v="Amine/solvent chemistry → Lithography ancillary formulation"/>
    <n v="0.0728899342451057"/>
    <s v="Δ"/>
  </r>
  <r>
    <n v="19"/>
    <s v="Electronic chemicals"/>
    <x v="0"/>
    <s v="Formulated products"/>
    <s v="CMP products"/>
    <s v="CMP slurry/pad/post-CMP cleaner for planarization"/>
    <s v="Silica/Ceria/Alumina, PU, Surfactant"/>
    <s v="△"/>
    <s v="CMP slurry, Polyurethane pad, Post-CMP cleaner"/>
    <s v="Inorganic abrasive + PU/surfactant chemistry → CMP consumable"/>
    <n v="0.0930439916982182"/>
    <s v="Δ"/>
  </r>
  <r>
    <n v="20"/>
    <s v="Electronic chemicals"/>
    <x v="1"/>
    <s v="Substrates"/>
    <s v="Substrates for LCD"/>
    <s v="TFT-LCD glass substrate"/>
    <s v="Silica, Soda ash, Alumina"/>
    <s v="-"/>
    <s v="High-purity display glass"/>
    <s v="Inorganic minerals → Specialty glass → LCD substrate"/>
    <n v="0.00906862054080881"/>
    <s v="Δ"/>
  </r>
  <r>
    <n v="21"/>
    <s v="Electronic chemicals"/>
    <x v="1"/>
    <s v="Substrates"/>
    <s v="Substrates for OLED"/>
    <s v="OLED glass / flexible PI substrate"/>
    <s v="Silica, Benzene, PX"/>
    <s v="△"/>
    <s v="Display glass, Polyimide substrate"/>
    <s v="Inorganic glass or Aromatics → PI film → OLED substrate"/>
    <n v="0.07466220275910281"/>
    <s v="Δ"/>
  </r>
  <r>
    <n v="22"/>
    <s v="Electronic chemicals"/>
    <x v="1"/>
    <s v="Optical and functional films "/>
    <s v="LCD - Light guide plate (LGP)"/>
    <s v="PMMA/PC light guide plate"/>
    <s v="Propylene, Methanol, Benzene"/>
    <s v="△"/>
    <s v="MMA/PMMA resin, PC resin"/>
    <s v="Propylene/Methanol → MMA/PMMA or BTX/propylene → PC → LGP"/>
    <n v="0.00452363023589952"/>
    <s v="Δ"/>
  </r>
  <r>
    <n v="23"/>
    <s v="Electronic chemicals"/>
    <x v="1"/>
    <s v="Optical and functional films "/>
    <s v="LCD - Light guide plate (LGP) Reflective film"/>
    <s v="White PET reflective film"/>
    <s v="PX, Ethylene, TiO₂"/>
    <s v="△"/>
    <s v="PET film, White masterbatch"/>
    <s v="PX/Ethylene → PET film → Reflective film"/>
    <n v="0.0104139153277554"/>
    <s v="Δ"/>
  </r>
  <r>
    <n v="24"/>
    <s v="Electronic chemicals"/>
    <x v="1"/>
    <s v="Optical and functional films "/>
    <s v="LCD - Light guide plate (LGP) Diffusion film"/>
    <s v="PET/PC diffusion film"/>
    <s v="PX, Ethylene, Propylene, Styrene"/>
    <s v="○"/>
    <s v="PET film, Acrylic/PS diffusion beads"/>
    <s v="PET/PC base film + Acrylic/PS particles → Diffusion film"/>
    <n v="0.014256416572187"/>
    <s v="Δ"/>
  </r>
  <r>
    <n v="25"/>
    <s v="Electronic chemicals"/>
    <x v="1"/>
    <s v="Optical and functional films "/>
    <s v="LCD - Brightness enhancement film (BEF)"/>
    <s v="Prism optical film"/>
    <s v="PX, Ethylene, Propylene"/>
    <s v="○"/>
    <s v="PET base film, UV acrylate resin"/>
    <s v="PET film + Acrylate coating → BEF prism film"/>
    <n v="0.0123721786576609"/>
    <s v="Δ"/>
  </r>
  <r>
    <n v="26"/>
    <s v="Electronic chemicals"/>
    <x v="1"/>
    <s v="Optical and functional films "/>
    <s v="LCD - Linear polarizers (LPL)"/>
    <s v="PVA/TAC polarizer film"/>
    <s v="Ethylene, Acetic acid, Cellulose"/>
    <s v="△"/>
    <s v="PVA film, TAC film, Iodine"/>
    <s v="Ethylene → VAM → PVA + Cellulose → TAC → Polarizer"/>
    <n v="0.00838034382440167"/>
    <s v="Δ"/>
  </r>
  <r>
    <n v="27"/>
    <s v="Electronic chemicals"/>
    <x v="1"/>
    <s v="Optical and functional films "/>
    <s v="LCD - Linear polarizers (LPL) Alignment film "/>
    <s v="LCD polyimide alignment film"/>
    <s v="Benzene, PX"/>
    <s v="○"/>
    <s v="Dianhydride, Diamine, PI varnish"/>
    <s v="Aromatics → PI precursor → Alignment film"/>
    <n v="0.00473403040848663"/>
    <s v="Δ"/>
  </r>
  <r>
    <n v="28"/>
    <s v="Electronic chemicals"/>
    <x v="1"/>
    <s v="Optical and functional films "/>
    <s v="LCD - Anisotropic conductive film (ACF)"/>
    <s v="Conductive adhesive film for panel bonding"/>
    <s v="Benzene, Propylene, Metal particles"/>
    <s v="△"/>
    <s v="Epoxy/acrylic adhesive, Conductive particles"/>
    <s v="BTX/propylene → Adhesive resin + Metal particles → ACF"/>
    <n v="0.0107295659162325"/>
    <s v="Δ"/>
  </r>
  <r>
    <n v="29"/>
    <s v="Electronic chemicals"/>
    <x v="1"/>
    <s v="Optical and functional films "/>
    <s v="OLED - Circular polarizers (CPL)"/>
    <s v="OLED anti-reflection circular polarizer"/>
    <s v="Ethylene, Cellulose, C5/Cyclic olefin"/>
    <s v="△"/>
    <s v="PVA, TAC, COP/retardation film"/>
    <s v="PVA/TAC/COP film chain → Circular polarizer"/>
    <n v="0.0547313200216362"/>
    <s v="Δ"/>
  </r>
  <r>
    <n v="30"/>
    <s v="Electronic chemicals"/>
    <x v="1"/>
    <s v="Optical and functional films "/>
    <s v="OLED - Anisotropic conductive film (ACF)"/>
    <s v="Conductive bonding film for OLED module"/>
    <s v="Benzene, Propylene, Metal particles"/>
    <s v="△"/>
    <s v="Epoxy/acrylic adhesive, Conductive particles"/>
    <s v="BTX/propylene → Adhesive resin + Metal particles → ACF"/>
    <n v="0.07172620810765171"/>
    <s v="Δ"/>
  </r>
  <r>
    <n v="31"/>
    <s v="Electronic chemicals"/>
    <x v="1"/>
    <s v="Liquid crystals"/>
    <m/>
    <s v="LCD liquid crystal mixture"/>
    <s v="Benzene, Toluene, Fluorochemicals"/>
    <s v="△"/>
    <s v="Fluorinated biphenyl/cyclohexane LC intermediates"/>
    <s v="BTX/fluorochemical chain → Mesogenic intermediates → LC mixture"/>
    <n v="0.008999999999999999"/>
    <s v="Δ"/>
  </r>
  <r>
    <n v="32"/>
    <s v="Electronic chemicals"/>
    <x v="1"/>
    <s v="Organic materials for OLED"/>
    <s v="EML host material"/>
    <s v="OLED emission-layer host"/>
    <s v="Benzene, Toluene, Naphthalene"/>
    <s v="○"/>
    <s v="Carbazole, Anthracene, Triazine, Phosphine oxide derivatives"/>
    <s v="Aromatics → Organic semiconductor intermediate → OLED host"/>
    <n v="0.0724519608502929"/>
    <s v="Δ"/>
  </r>
  <r>
    <n v="33"/>
    <s v="Electronic chemicals"/>
    <x v="1"/>
    <s v="Organic materials for OLED"/>
    <s v="EML host material - EML dopant"/>
    <s v="OLED emitter/dopant"/>
    <s v="Aromatics, Iridium/Platinum"/>
    <s v="△"/>
    <s v="Phosphorescent/fluorescent dopant complex"/>
    <s v="Aromatics + Precious metal complex → OLED dopant"/>
    <n v="0.0724519608502929"/>
    <s v="Δ"/>
  </r>
  <r>
    <n v="34"/>
    <s v="Electronic chemicals"/>
    <x v="1"/>
    <s v="Organic materials for OLED"/>
    <s v="EML host material - Other layers"/>
    <s v="HTL/ETL/HIL/EIL materials"/>
    <s v="Aromatics, Fluorochemicals, Metal precursors"/>
    <s v="△"/>
    <s v="Amine, Spiro, Oxadiazole, Metal oxide/complex materials"/>
    <s v="Specialty aromatics/metal precursor → OLED functional layer material"/>
    <n v="0.0730089893520509"/>
    <s v="Δ"/>
  </r>
  <r>
    <n v="35"/>
    <s v="Electronic chemicals"/>
    <x v="1"/>
    <s v="Electrode materials "/>
    <m/>
    <s v="ITO/Ag/Al/Cu electrode material"/>
    <s v="Indium, Tin, Silver, Aluminum, Copper"/>
    <s v="-"/>
    <s v="ITO target, Metal sputtering target"/>
    <s v="High-purity metals → Sputtering target → Display electrode"/>
    <n v="0.0132742713147342"/>
    <s v="Δ"/>
  </r>
  <r>
    <n v="36"/>
    <s v="Electronic chemicals"/>
    <x v="1"/>
    <s v="Color filter resists"/>
    <m/>
    <s v="RGB color filter photoresist"/>
    <s v="Benzene, Propylene, Pigments"/>
    <s v="△"/>
    <s v="Acrylic resin, Pigment dispersion, Photoinitiator"/>
    <s v="BTX/propylene → Acrylic resist resin + Pigments → Color filter resist"/>
    <n v="0.00850424732539712"/>
    <s v="Δ"/>
  </r>
  <r>
    <n v="37"/>
    <s v="Electronic chemicals"/>
    <x v="1"/>
    <s v="Processing chemicals "/>
    <s v="Photoresists "/>
    <s v="Display photoresist"/>
    <s v="Benzene, Propylene"/>
    <s v="○"/>
    <s v="Novolac/acrylic resin, PAG, Solvent"/>
    <s v="BTX/propylene → Photoresist resin/formulation → Display PR"/>
    <n v="0.0164407719660888"/>
    <s v="Δ"/>
  </r>
  <r>
    <n v="38"/>
    <s v="Electronic chemicals"/>
    <x v="1"/>
    <s v="Processing chemicals "/>
    <s v="Electronic gases "/>
    <s v="Process gas for display panel manufacturing"/>
    <s v="Air, Silicon, Fluorine, Chlorine"/>
    <s v="-"/>
    <s v="N₂/O₂/Ar, Silane, NF₃, HCl, NH₃"/>
    <s v="Air separation / Inorganic chemistry → Electronic-grade gases"/>
    <n v="0.0130786126864046"/>
    <s v="Δ"/>
  </r>
  <r>
    <n v="39"/>
    <s v="Electronic chemicals"/>
    <x v="1"/>
    <s v="Processing chemicals "/>
    <s v="Wet-processing chemicals"/>
    <s v="Cleaning/etching chemicals for display process"/>
    <s v="Sulfur, Chlorine, Fluorspar, Propylene"/>
    <s v="△"/>
    <s v="H₂SO₄, HCl, HF, IPA, PGMEA"/>
    <s v="Inorganic acid/base + Solvent chain → Wet-process chemical"/>
    <n v="0.0340052741920989"/>
    <s v="Δ"/>
  </r>
  <r>
    <n v="40"/>
    <s v="Electronic chemicals"/>
    <x v="2"/>
    <s v="PCB chemicals"/>
    <s v="PCB base materials"/>
    <s v="Copper-clad laminate / build-up substrate base"/>
    <s v="Benzene, Propylene, Glass fiber, Copper"/>
    <s v="△"/>
    <s v="Epoxy resin, BT resin, Glass cloth, Copper foil"/>
    <s v="BTX/propylene → Epoxy/BT resin + Glass/Cu → PCB laminate"/>
    <n v="0.0506245225666149"/>
    <s v="Δ"/>
  </r>
  <r>
    <n v="41"/>
    <s v="Electronic chemicals"/>
    <x v="2"/>
    <s v="PCB chemicals"/>
    <s v="PCB resists"/>
    <s v="Dry film resist / solder mask"/>
    <s v="Propylene, Benzene"/>
    <s v="○"/>
    <s v="Acrylate oligomer, Epoxy acrylate, Photoinitiator"/>
    <s v="Propylene/acrylate + BTX → Photoimageable resist"/>
    <n v="0.0487742238192328"/>
    <s v="Δ"/>
  </r>
  <r>
    <n v="42"/>
    <s v="Electronic chemicals"/>
    <x v="2"/>
    <s v="PCB chemicals"/>
    <s v="Wet-processing chemicals"/>
    <s v="Etchant, cleaner and desmear chemical"/>
    <s v="Chlorine, Sulfur, Fluorspar, Solvent feed"/>
    <s v="△"/>
    <s v="Cu etchant, H₂SO₄, HCl, HF, Solvent cleaner"/>
    <s v="Inorganic acid/base + Solvent chain → PCB wet chemical"/>
    <n v="0.0575138741564658"/>
    <s v="Δ"/>
  </r>
  <r>
    <n v="43"/>
    <s v="Electronic chemicals"/>
    <x v="2"/>
    <s v="PCB chemicals"/>
    <s v="Plating chemicals"/>
    <s v="Copper/electroless plating bath"/>
    <s v="Copper, Sulfur, Formaldehyde, Organic additives"/>
    <s v="-"/>
    <s v="Copper sulfate, Chelant, Leveler, Suppressor"/>
    <s v="Copper/inorganic acid + Organic additive → PCB plating chemical"/>
    <n v="0.0512152033412605"/>
    <s v="Δ"/>
  </r>
  <r>
    <n v="44"/>
    <s v="Electronic chemicals"/>
    <x v="2"/>
    <s v="PCB chemicals"/>
    <s v="Thick-film pastes"/>
    <s v="Conductive/dielectric paste"/>
    <s v="Silver, Copper, Nickel, Epoxy/Acrylic resin"/>
    <s v="-"/>
    <s v="Metal powder, Binder resin, Solvent"/>
    <s v="Metal powder + Organic binder → Thin-film paste"/>
    <n v="0.0446293206964981"/>
    <s v="Δ"/>
  </r>
  <r>
    <n v="45"/>
    <s v="Electronic chemicals"/>
    <x v="2"/>
    <s v="Semiconductor packaging materials"/>
    <s v="Substrates and interposer materials"/>
    <s v="IC substrate / ABF substrate / silicon interposer"/>
    <s v="Benzene, Propylene, Silica, Copper"/>
    <s v="△"/>
    <s v="ABF resin, BT resin, Cu foil, Silicon wafer"/>
    <s v="Epoxy/BT resin + Cu/Si → IC substrate/interposer"/>
    <n v="0.069449861594213"/>
    <s v="Δ"/>
  </r>
  <r>
    <n v="46"/>
    <s v="Electronic chemicals"/>
    <x v="2"/>
    <s v="Semiconductor packaging materials"/>
    <s v="Encapsulants"/>
    <s v="Epoxy molding compound for semiconductor package"/>
    <s v="Benzene, Propylene, Silica"/>
    <s v="△"/>
    <s v="Epoxy resin, Phenolic hardener, Silica filler"/>
    <s v="BTX/propylene → Epoxy resin + Silica filler → EMC"/>
    <n v="0.0687227896225491"/>
    <s v="Δ"/>
  </r>
  <r>
    <n v="47"/>
    <s v="Electronic chemicals"/>
    <x v="2"/>
    <s v="Semiconductor packaging materials"/>
    <s v="Adhesives"/>
    <s v="Die attach adhesive / underfill"/>
    <s v="Benzene, Propylene, Silicon"/>
    <s v="△"/>
    <s v="Epoxy resin, Acrylic resin, Silicone resin"/>
    <s v="Epoxy/acrylic/silicone chemistry → Semiconductor adhesive"/>
    <n v="0.0602238646991007"/>
    <s v="Δ"/>
  </r>
  <r>
    <n v="48"/>
    <s v="Electronic chemicals"/>
    <x v="2"/>
    <s v="Semiconductor packaging materials"/>
    <s v="Solder bump materials"/>
    <s v="Solder ball / bumping material"/>
    <s v="Tin, Silver, Copper"/>
    <s v="-"/>
    <s v="Sn-Ag-Cu alloy, Solder powder/ball"/>
    <s v="High-purity metals → Solder alloy → Solder bump"/>
    <n v="0.0726375975835538"/>
    <s v="Δ"/>
  </r>
  <r>
    <n v="49"/>
    <s v="Electronic chemicals"/>
    <x v="2"/>
    <s v="Semiconductor packaging materials"/>
    <s v="Other materials"/>
    <s v="Bonding wire, leadframe, TIM, release film"/>
    <s v="Copper, Gold, Silver, Silicon, Benzene"/>
    <s v="△"/>
    <s v="Bonding wire, Leadframe, Thermal interface material"/>
    <s v="High-purity metal + Polymer formulation → Packaging auxiliary material"/>
    <n v="0.0671582070669203"/>
    <s v="Δ"/>
  </r>
  <r>
    <n v="50"/>
    <s v="Nutraceutical ingredients"/>
    <x v="3"/>
    <s v="Amino acids, peptidesand proteins"/>
    <m/>
    <s v="Health supplement amino acid/protein ingredient"/>
    <s v="Glucose, Ammonia, Natural protein"/>
    <s v="-"/>
    <s v="Amino acids, Peptides, Protein hydrolysate"/>
    <s v="Biomass/sugar → Fermentation or hydrolysis → Amino acid/protein ingredient"/>
    <n v="0.0402287766442251"/>
    <m/>
  </r>
  <r>
    <n v="51"/>
    <s v="Nutraceutical ingredients"/>
    <x v="3"/>
    <s v="Carotenoids"/>
    <m/>
    <s v="Eye-health / antioxidant nutraceutical ingredient"/>
    <s v="C5 isoprene, Natural extracts"/>
    <s v="-"/>
    <s v="Beta-carotene, Lutein, Astaxanthin"/>
    <s v="Isoprene/natural extraction → Carotenoid active → Nutraceutical formulation"/>
    <n v="0.0402287766442251"/>
    <m/>
  </r>
  <r>
    <n v="52"/>
    <s v="Nutraceutical ingredients"/>
    <x v="3"/>
    <s v="Mineralsand traceelements"/>
    <m/>
    <s v="Mineral supplement ingredient"/>
    <s v="Inorganic minerals"/>
    <s v="-"/>
    <s v="Calcium, Magnesium, Zinc, Iron salts"/>
    <s v="Mineral refining → Food-grade mineral salt → Supplement ingredient"/>
    <n v="0.0402287766442251"/>
    <m/>
  </r>
  <r>
    <n v="53"/>
    <s v="Nutraceutical ingredients"/>
    <x v="3"/>
    <s v="Polyphenols andflavonoids"/>
    <m/>
    <s v="Antioxidant botanical extract"/>
    <s v="Botanical feedstock"/>
    <s v="-"/>
    <s v="Tea catechin, Grape polyphenol, Isoflavone"/>
    <s v="Plant extraction → Purification → Functional polyphenol ingredient"/>
    <n v="0.0402287766442251"/>
    <m/>
  </r>
  <r>
    <n v="54"/>
    <s v="Nutraceutical ingredients"/>
    <x v="3"/>
    <s v="Probiotics"/>
    <m/>
    <s v="Digestive/immune health probiotic culture"/>
    <s v="Sugar, Fermentation medium"/>
    <s v="-"/>
    <s v="Lactobacillus, Bifidobacterium strain"/>
    <s v="Sugar/biomass → Fermentation → Probiotic culture"/>
    <n v="0.0402287766442251"/>
    <m/>
  </r>
  <r>
    <n v="55"/>
    <s v="Nutraceutical ingredients"/>
    <x v="3"/>
    <s v="Specialty carbohydratesand fibers"/>
    <m/>
    <s v="Prebiotic fiber / dietary fiber ingredient"/>
    <s v="Starch, Sugar, Cellulose"/>
    <s v="-"/>
    <s v="Inulin, Resistant dextrin, Polydextrose"/>
    <s v="Biomass/starch → Hydrolysis/modification → Functional fiber"/>
    <n v="0.0402287766442251"/>
    <m/>
  </r>
  <r>
    <n v="56"/>
    <s v="Nutraceutical ingredients"/>
    <x v="3"/>
    <s v="Specialtyfattyacids"/>
    <m/>
    <s v="Omega-3 / functional lipid ingredient"/>
    <s v="Fish oil, Algae oil, Oleochemical"/>
    <s v="-"/>
    <s v="EPA, DHA, CLA"/>
    <s v="Natural oil/algae fermentation → Fatty acid concentration → Nutraceutical oil"/>
    <n v="0.0402287766442251"/>
    <m/>
  </r>
  <r>
    <n v="57"/>
    <s v="Nutraceutical ingredients"/>
    <x v="3"/>
    <s v="Sterolsandstanols"/>
    <m/>
    <s v="Cholesterol-lowering plant sterol ingredient"/>
    <s v="Vegetable oil, Tall oil"/>
    <s v="-"/>
    <s v="Phytosterol, Stanol ester"/>
    <s v="Oleochemical/tall oil → Sterol extraction → Esterified sterol ingredient"/>
    <n v="0.0402287766442251"/>
    <m/>
  </r>
  <r>
    <n v="58"/>
    <s v="Nutraceutical ingredients"/>
    <x v="3"/>
    <s v="Vitamins"/>
    <m/>
    <s v="Vitamin supplement active ingredient"/>
    <s v="Glucose, Acetone, Isoprene, Fermentation feedstock"/>
    <s v="△"/>
    <s v="Vitamin C, E, B-group intermediates"/>
    <s v="Petrochemical/biomass route → Vitamin intermediate → Vitamin active"/>
    <n v="0.0402287766442251"/>
    <m/>
  </r>
  <r>
    <n v="59"/>
    <s v="Nutraceutical ingredients"/>
    <x v="3"/>
    <s v="Other"/>
    <m/>
    <s v="Specialty functional health ingredient"/>
    <s v="Biomass, Petrochemical intermediates"/>
    <s v="△"/>
    <s v="CoQ10, Glucosamine, Specialty actives"/>
    <s v="Fermentation/extraction/synthesis → Functional nutraceutical active"/>
    <n v="0.0402287766442251"/>
    <m/>
  </r>
  <r>
    <n v="60"/>
    <s v="Specialty polymers"/>
    <x v="4"/>
    <s v="Semicrystalline"/>
    <s v="High-performance polyamides"/>
    <s v="Automotive under-the-hood engineering plastic"/>
    <s v="Benzene, C4"/>
    <s v="○"/>
    <s v="Diamine, Diacid, Lactam"/>
    <s v="BTX/C4 → Nylon intermediates → Specialty polyamide"/>
    <n v="0.03306184547039304"/>
    <s v="O"/>
  </r>
  <r>
    <n v="61"/>
    <s v="Specialty polymers"/>
    <x v="4"/>
    <s v="Semicrystalline"/>
    <s v="Polyphenylene sulfide"/>
    <s v="High-temperature electrical/electronic component resin"/>
    <s v="Benzene, Sulfur"/>
    <s v="△"/>
    <s v="p-Dichlorobenzene, Sodium sulfide"/>
    <s v="Benzene/chlor-alkali/sulfur → PPS monomer → PPS resin"/>
    <n v="0.03306184547039304"/>
    <s v="O"/>
  </r>
  <r>
    <n v="62"/>
    <s v="Specialty polymers"/>
    <x v="4"/>
    <s v="Semicrystalline"/>
    <s v="Liquid crystal polymers"/>
    <s v="SMT connector &amp; miniaturized electronic component resin"/>
    <s v="PX, Benzene"/>
    <s v="○"/>
    <s v="Aromatic hydroxy acid, Aromatic polyester monomer"/>
    <s v="Aromatics → Specialty aromatic monomer → LCP"/>
    <n v="0.03306184547039304"/>
    <s v="O"/>
  </r>
  <r>
    <n v="63"/>
    <s v="Specialty polymers"/>
    <x v="4"/>
    <s v="Semicrystalline"/>
    <s v="Aromatic ketone polymers"/>
    <s v="Aerospace &amp; semiconductor ultra-performance resin"/>
    <s v="Benzene"/>
    <s v="○"/>
    <s v="Bisphenol, Aromatic ketone monomer"/>
    <s v="BTX → Aromatic ketone intermediate → PEEK/PEKK"/>
    <n v="0.03306184547039304"/>
    <s v="O"/>
  </r>
  <r>
    <n v="64"/>
    <s v="Specialty polymers"/>
    <x v="4"/>
    <s v="Semicrystalline"/>
    <s v="Polycyclohexylenedimethylene _x000a_terephthalate (PCT)"/>
    <s v="LED reflector &amp; high-heat electrical polyester"/>
    <s v="PX, Ethylene"/>
    <s v="○"/>
    <s v="PTA, CHDM"/>
    <s v="PX/ethylene → PTA + CHDM → PCT"/>
    <n v="0.03306184547039304"/>
    <s v="O"/>
  </r>
  <r>
    <n v="65"/>
    <s v="Specialty polymers"/>
    <x v="4"/>
    <s v="Amorphous "/>
    <s v="Polyarylate resin (PAR)"/>
    <s v="Transparent heat-resistant engineering plastic"/>
    <s v="Benzene, PX"/>
    <s v="○"/>
    <s v="BPA, Terephthaloyl chloride"/>
    <s v="BTX → BPA/aromatic acid chloride → PAR"/>
    <n v="0.0356719"/>
    <s v="O"/>
  </r>
  <r>
    <n v="66"/>
    <s v="Specialty polymers"/>
    <x v="4"/>
    <s v="Amorphous "/>
    <s v="Sulfone polymers"/>
    <s v="Medical, membrane &amp; aerospace engineering plastic"/>
    <s v="Benzene, Propylene"/>
    <s v="○"/>
    <s v="BPA, Dichlorodiphenyl sulfone"/>
    <s v="BTX/propylene → BPA + sulfone intermediate → Sulfone polymer"/>
    <n v="0.0356719"/>
    <s v="O"/>
  </r>
  <r>
    <n v="67"/>
    <s v="Specialty polymers"/>
    <x v="4"/>
    <s v="Amorphous "/>
    <s v="Polyimide resins"/>
    <s v="Semiconductor &amp; FPCB heat-resistant material"/>
    <s v="Benzene, PX"/>
    <s v="○"/>
    <s v="Dianhydride, Diamine"/>
    <s v="Aromatics → PI monomer → Polyimide"/>
    <n v="0.0356719"/>
    <s v="O"/>
  </r>
  <r>
    <n v="68"/>
    <s v="Specialty polymers"/>
    <x v="5"/>
    <s v="Polyamide (Nylon)"/>
    <m/>
    <s v="Glass-fiber reinforced automotive engineering compound"/>
    <s v="Benzene, C4"/>
    <s v="○"/>
    <s v="Caprolactam, Nylon resin"/>
    <s v="BTX/C4 → Nylon resin → Compound"/>
    <n v="0.0317360016136865"/>
    <s v="O"/>
  </r>
  <r>
    <n v="69"/>
    <s v="Specialty polymers"/>
    <x v="5"/>
    <s v="Polybutylene terephthalate (PBT)"/>
    <m/>
    <s v="Electrical connector &amp; automotive sensor compound"/>
    <s v="PX, C4"/>
    <s v="○"/>
    <s v="PTA, BDO"/>
    <s v="PX/C4 → PTA + BDO → PBT"/>
    <n v="0.0317360016136865"/>
    <s v="O"/>
  </r>
  <r>
    <n v="70"/>
    <s v="Specialty polymers"/>
    <x v="5"/>
    <s v="Polycarbonate"/>
    <m/>
    <s v="Flame-retardant electronics housing material"/>
    <s v="Benzene, Propylene"/>
    <s v="○"/>
    <s v="BPA, PC resin"/>
    <s v="BTX/propylene → BPA → PC resin → Compound"/>
    <n v="0.0317360016136865"/>
    <s v="O"/>
  </r>
  <r>
    <n v="71"/>
    <s v="Specialty polymers"/>
    <x v="5"/>
    <s v="PPE"/>
    <m/>
    <s v="Dimensional-stability electrical component material"/>
    <s v="Benzene, Propylene"/>
    <s v="○"/>
    <s v="Phenolic intermediate"/>
    <s v="BTX/propylene → Phenolic intermediate → PPE"/>
    <n v="0.0317360016136865"/>
    <s v="O"/>
  </r>
  <r>
    <n v="72"/>
    <s v="Specialty polymers"/>
    <x v="5"/>
    <s v="POM(Polyacetal)"/>
    <m/>
    <s v="Precision gear &amp; bearing engineering plastic"/>
    <s v="Natural gas, Methanol"/>
    <s v="○"/>
    <s v="Formaldehyde"/>
    <s v="Natural gas → Methanol → Formaldehyde → POM"/>
    <n v="0.0317360016136865"/>
    <s v="O"/>
  </r>
  <r>
    <n v="73"/>
    <s v="Specialty polymers"/>
    <x v="5"/>
    <s v="PPS"/>
    <m/>
    <s v="High-temperature automotive/electrical compound"/>
    <s v="Benzene, Sulfur"/>
    <s v="△"/>
    <s v="PPS resin"/>
    <s v="Benzene/sulfur chemistry → PPS → Compound"/>
    <n v="0.0317360016136865"/>
    <s v="O"/>
  </r>
  <r>
    <n v="74"/>
    <s v="Specialty polymers"/>
    <x v="6"/>
    <s v="Engineering films"/>
    <s v="Polyester"/>
    <s v="Packaging &amp; electrical insulation film"/>
    <s v="PX, Ethylene"/>
    <s v="○"/>
    <s v="PTA, EG, PET resin"/>
    <s v="PX/ethylene → PTA/EG → PET → Film"/>
    <n v="0.0293771505285767"/>
    <s v="O"/>
  </r>
  <r>
    <n v="75"/>
    <s v="Specialty polymers"/>
    <x v="6"/>
    <s v="Engineering films"/>
    <s v="Nylon"/>
    <s v="Industrial packaging &amp; barrier film"/>
    <s v="Benzene, C4"/>
    <s v="○"/>
    <s v="Caprolactam, Nylon resin"/>
    <s v="Benzene → Cyclohexane → Caprolactam/Nylon Salt → Nylon Resin"/>
    <n v="0.0293771505285767"/>
    <s v="O"/>
  </r>
  <r>
    <n v="76"/>
    <s v="Specialty polymers"/>
    <x v="6"/>
    <s v="Engineering films"/>
    <s v="Polycarbonate"/>
    <s v="Optical display &amp; protection film"/>
    <s v="Benzene, Propylene"/>
    <s v="○"/>
    <s v="BPA, PC resin"/>
    <s v="BTX/propylene → BPA → PC → Optical film"/>
    <n v="0.0293771505285767"/>
    <s v="O"/>
  </r>
  <r>
    <n v="77"/>
    <s v="Specialty polymers"/>
    <x v="6"/>
    <s v="High-performance films"/>
    <s v="Fluoropolymer"/>
    <s v="Chemical-resistant &amp; battery separator film"/>
    <s v="Fluorspar"/>
    <s v="-"/>
    <s v="Fluoromonomer"/>
    <s v="Fluorspar → Fluorochemicals → Fluoromonomer → Fluoropolymer Resin"/>
    <n v="0.0293771505285767"/>
    <s v="O"/>
  </r>
  <r>
    <n v="78"/>
    <s v="Specialty polymers"/>
    <x v="6"/>
    <s v="High-performance films"/>
    <s v="Polyimide"/>
    <s v="FPCB &amp; semiconductor process film"/>
    <s v="Benzene, PX"/>
    <s v="○"/>
    <s v="Dianhydride, Diamine"/>
    <s v="Aromatics → PI monomer → PI film "/>
    <n v="0.0293771505285767"/>
    <s v="O"/>
  </r>
  <r>
    <n v="79"/>
    <s v="Specialty polymers"/>
    <x v="6"/>
    <s v="Polyethylene naphthalate"/>
    <m/>
    <s v="High-barrier electronic &amp; insulation film"/>
    <s v="PX, Ethylene"/>
    <s v="○"/>
    <s v="NDC/NDA, EG"/>
    <s v="PX / Naphthalene → NDC/NDA → PEN Resin → Film"/>
    <n v="0.0293771505285767"/>
    <s v="O"/>
  </r>
  <r>
    <n v="80"/>
    <s v="Specialty polymers"/>
    <x v="6"/>
    <s v="Cyclo-olefin copolymer"/>
    <m/>
    <s v="Optical lens &amp; medical display film"/>
    <s v="Ethylene, C5"/>
    <s v="○"/>
    <s v="Norbornene, Cyclic olefin monomer"/>
    <s v="Olefin/C5 → Cyclic olefin → COC/COP"/>
    <n v="0.0293771505285767"/>
    <s v="O"/>
  </r>
  <r>
    <n v="81"/>
    <s v="Specialty polymers"/>
    <x v="6"/>
    <s v="Cyclo-olefin copolymer"/>
    <s v="Developmental"/>
    <s v="AR/VR optical &amp; next-generation display film"/>
    <s v="Ethylene, Specialty olefin"/>
    <s v="△"/>
    <s v="Advanced cyclic olefin monomer"/>
    <s v="Olefin → Specialty monomer → Advanced COC/COP film"/>
    <n v="0.0293771505285767"/>
    <s v="O"/>
  </r>
  <r>
    <n v="82"/>
    <s v="Specialty coatings"/>
    <x v="7"/>
    <s v="Oligomers"/>
    <s v="Epoxy acrylates"/>
    <s v="UV coating oligomer"/>
    <s v="Benzene + Propylene"/>
    <s v="○"/>
    <s v="BPA epoxy resin, Acrylic acid"/>
    <s v="BTX/propylene → BPA epoxy → Epoxy acrylate"/>
    <n v="0.0364064971460665"/>
    <s v="O"/>
  </r>
  <r>
    <n v="83"/>
    <s v="Specialty coatings"/>
    <x v="7"/>
    <s v="Oligomers"/>
    <s v="Urethane acrylates"/>
    <s v="UV urethane oligomer"/>
    <s v="PO + Benzene"/>
    <s v="○"/>
    <s v="Poyol, Isocynate, Hydroxy acylate"/>
    <s v="Olefin → PO/polyol + Benzene → Isocyanate → Urethane acrylate"/>
    <n v="0.0364064971460665"/>
    <s v="O"/>
  </r>
  <r>
    <n v="84"/>
    <s v="Specialty coatings"/>
    <x v="7"/>
    <s v="Oligomers"/>
    <s v="Polyester/polyether acrylates"/>
    <s v="UV polyester acrylate resin"/>
    <s v="PX + Ethylene / PO"/>
    <s v="○"/>
    <s v="PTA, EG, Polyether polyol, Acrylic acid"/>
    <s v="PX/ethylene/PO → Polyester/polyether polyol → Acrylate oligomer"/>
    <n v="0.0364064971460665"/>
    <s v="O"/>
  </r>
  <r>
    <n v="85"/>
    <s v="Specialty coatings"/>
    <x v="7"/>
    <s v="Oligomers"/>
    <s v="Acrylic acrylates"/>
    <s v="Acrylic UV oligomer"/>
    <s v="Propylene"/>
    <s v="○"/>
    <s v="Acrylic acid, Acrylate ester"/>
    <s v="Propylene → Acrylic acid/acrylate → Acrylic oligomer"/>
    <n v="0.0364064971460665"/>
    <s v="O"/>
  </r>
  <r>
    <n v="86"/>
    <s v="Specialty coatings"/>
    <x v="7"/>
    <s v="Oligomers"/>
    <s v="Silicone acrylates"/>
    <s v="Silicone-modified UV resin"/>
    <s v="Silicon metal + Methanol"/>
    <s v="△"/>
    <s v="Siloxane intermediate"/>
    <s v="Silicon chemistry → Siloxane → Silicone acrylate"/>
    <n v="0.0364064971460665"/>
    <s v="O"/>
  </r>
  <r>
    <n v="87"/>
    <s v="Specialty coatings"/>
    <x v="7"/>
    <s v="Oligomers"/>
    <s v="Other (acrylated amines, acrylated oils, methacrylates)"/>
    <s v="Specialty UV oligomer"/>
    <s v="Olefin + Natural oil"/>
    <s v="△"/>
    <s v="Amines, Methacrylates, Functional oils"/>
    <s v="Olefin/oleochemical → Functional intermediate → UV oligomer"/>
    <n v="0.0364064971460665"/>
    <s v="O"/>
  </r>
  <r>
    <n v="88"/>
    <s v="Specialty coatings"/>
    <x v="7"/>
    <s v="Oligomers"/>
    <s v="Unsaturated polyesters"/>
    <s v="UPR resin"/>
    <s v="Benzene/C4 + Ethylene"/>
    <s v="○"/>
    <s v="Maleic anhydride, Glycol"/>
    <s v="Benzene/C4 + glycol chain → UPR"/>
    <n v="0.0364064971460665"/>
    <s v="O"/>
  </r>
  <r>
    <n v="89"/>
    <s v="Specialty coatings"/>
    <x v="7"/>
    <s v="Oligomers"/>
    <s v="Epoxies and oxetanes"/>
    <s v="Cationic UV resin"/>
    <s v="Benzene + Propylene"/>
    <s v="○"/>
    <s v="Epoxy resin, Oxetane intermediate"/>
    <s v="BTX/propylene → Epoxy/oxetane chemistry"/>
    <n v="0.0364064971460665"/>
    <s v="O"/>
  </r>
  <r>
    <n v="90"/>
    <s v="Specialty coatings"/>
    <x v="7"/>
    <s v="Oligomers"/>
    <s v="Vinyl ethers"/>
    <s v="Reactive UV resin"/>
    <s v="Ethylene/Acetylene"/>
    <s v="○"/>
    <s v="Vinyl ether monomer"/>
    <s v="Olefin/acetylene chemistry → Vinyl ether"/>
    <n v="0.0364064971460665"/>
    <s v="O"/>
  </r>
  <r>
    <n v="91"/>
    <s v="Specialty coatings"/>
    <x v="7"/>
    <s v="Monomers/reactive diluents"/>
    <s v="Monofunctional monomers (IBOA, etc.)"/>
    <s v="Reactive diluent"/>
    <s v="C5/C10 olefin"/>
    <s v="△"/>
    <s v="Isobornyl alcohol, Acrylic acid"/>
    <s v="C5 terpene/olefin → Alcohol → Acrylate monomer"/>
    <n v="0.0364064971460665"/>
    <s v="O"/>
  </r>
  <r>
    <n v="92"/>
    <s v="Specialty coatings"/>
    <x v="7"/>
    <s v="Monomers/reactive diluents"/>
    <s v="Difunctional monomers (TPGDA, HDDA, GPDA, DPGDA, etc.)"/>
    <s v="Multifunctional acrylate monomer"/>
    <s v="PO + Propylene"/>
    <s v="○"/>
    <s v="Glycol, Acrylic acid"/>
    <s v="PO/glycol chain → Acrylate ester"/>
    <n v="0.0364064971460665"/>
    <s v="O"/>
  </r>
  <r>
    <n v="93"/>
    <s v="Specialty coatings"/>
    <x v="7"/>
    <s v="Monomers/reactive diluents"/>
    <s v="Trifunctional monomers (TMPTA, GPTA, etc.)"/>
    <s v="Crosslinking monomer"/>
    <s v="Propylene"/>
    <s v="○"/>
    <s v="TMP/Glycerol, Acrylic acid"/>
    <s v="Propylene → Oxo alcohol/polyol → Acrylate monomer"/>
    <n v="0.0364064971460665"/>
    <s v="O"/>
  </r>
  <r>
    <n v="94"/>
    <s v="Specialty coatings"/>
    <x v="7"/>
    <s v="Monomers/reactive diluents"/>
    <s v="Polyfunctional monomers (PPTTA, DPHA, etc.)"/>
    <s v="High-crosslink UV monomer"/>
    <s v="Olefin"/>
    <s v="○"/>
    <s v="Polyol intermediate, Acrylic acid"/>
    <s v="Olefin → Polyol → Multifunctional acrylate"/>
    <n v="0.0364064971460665"/>
    <s v="O"/>
  </r>
  <r>
    <n v="95"/>
    <s v="Specialty coatings"/>
    <x v="7"/>
    <s v="Photoinitiators"/>
    <m/>
    <s v="UV photoinitiator"/>
    <s v="Benzene/Toluene"/>
    <s v="○"/>
    <s v="Benzophenone, Acetophenone derivative"/>
    <s v="BTX → Aromatic ketone → Photoinitiator"/>
    <n v="0.0364064971460665"/>
    <s v="O"/>
  </r>
  <r>
    <n v="96"/>
    <s v="Specialty coatings"/>
    <x v="8"/>
    <s v="Resins"/>
    <s v="Epoxy resin"/>
    <s v="Powder coating resin"/>
    <s v="Benzene + Propylene"/>
    <s v="○"/>
    <s v="BPA, Epichlorohydrin"/>
    <s v="BTX/propylene → BPA → Epoxy resin"/>
    <n v="0.0323555369482669"/>
    <s v="O"/>
  </r>
  <r>
    <n v="97"/>
    <s v="Specialty coatings"/>
    <x v="8"/>
    <s v="Resins"/>
    <s v="Polyester resin (carboxyl functional)"/>
    <s v="Powder polyester resin"/>
    <s v="PX + Ethylene"/>
    <s v="○"/>
    <s v="PTA, IPA, EG, NPG"/>
    <s v="PX + glycol chain → Polyester resin"/>
    <n v="0.0323555369482669"/>
    <s v="O"/>
  </r>
  <r>
    <n v="98"/>
    <s v="Specialty coatings"/>
    <x v="8"/>
    <s v="Resins"/>
    <s v="Polyester resin (hydroxyl functional)"/>
    <s v="Hydroxyl polyester resin"/>
    <s v="PX + PO/Ethylene"/>
    <s v="○"/>
    <s v="Dibasic acid, Polyol"/>
    <s v="Aromatics + polyol chain → Polyester resin"/>
    <n v="0.0323555369482669"/>
    <s v="O"/>
  </r>
  <r>
    <n v="99"/>
    <s v="Specialty coatings"/>
    <x v="8"/>
    <s v="Resins"/>
    <s v="Acrylic resin"/>
    <s v="Thermoset acrylic resin"/>
    <s v="Propylene/C4"/>
    <s v="○"/>
    <s v="MMA, Butyl acrylate"/>
    <s v="Propylene/C4 → Acrylic monomer → Acrylic resin"/>
    <n v="0.0323555369482669"/>
    <s v="O"/>
  </r>
  <r>
    <n v="100"/>
    <s v="Specialty coatings"/>
    <x v="8"/>
    <s v="Curing agents"/>
    <s v="TGIC"/>
    <s v="Epoxy curing agent"/>
    <s v="Propylene + Chlor-alkali"/>
    <s v="△"/>
    <s v="Cyanuric chloride, Glycidol"/>
    <s v="Epichlorohydrin chain → TGIC"/>
    <n v="0.0323555369482669"/>
    <s v="O"/>
  </r>
  <r>
    <n v="101"/>
    <s v="Specialty coatings"/>
    <x v="8"/>
    <s v="Curing agents"/>
    <s v="HAA"/>
    <s v="Polyester curing agent"/>
    <s v="Ethylene/Ammonia"/>
    <s v="△"/>
    <s v="Hydroxyalkyl amide"/>
    <s v="Olefin/ammonia → Amide chemistry"/>
    <n v="0.0323555369482669"/>
    <s v="O"/>
  </r>
  <r>
    <n v="102"/>
    <s v="Specialty coatings"/>
    <x v="8"/>
    <s v="Curing agents"/>
    <s v="IPDI"/>
    <s v="PU curing agent"/>
    <s v="Acetone/Propylene"/>
    <s v="○"/>
    <s v="Isophorone intermediate"/>
    <s v="Propylene → Acetone → Isophorone → IPDI"/>
    <n v="0.0323555369482669"/>
    <s v="O"/>
  </r>
  <r>
    <n v="103"/>
    <s v="Specialty coatings"/>
    <x v="8"/>
    <s v="Curing agents"/>
    <s v="Amines"/>
    <s v="Epoxy hardener"/>
    <s v="Ethylene"/>
    <s v="○"/>
    <s v="Ethyleneamines"/>
    <s v="Ethylene → Ethyleneamine"/>
    <n v="0.0323555369482669"/>
    <s v="O"/>
  </r>
  <r>
    <n v="104"/>
    <s v="Specialty coatings"/>
    <x v="8"/>
    <s v="Curing agents"/>
    <s v="Dodecanoic amine"/>
    <s v="Specialty curing agent"/>
    <s v="C4/paraffin"/>
    <s v="○"/>
    <s v="Dodecanedioic intermediate"/>
    <s v="C4/paraffin oxidation → Specialty amine"/>
    <n v="0.0323555369482669"/>
    <s v="O"/>
  </r>
  <r>
    <n v="105"/>
    <s v="Specialty coatings"/>
    <x v="8"/>
    <s v="Curing agents"/>
    <s v="Other"/>
    <s v="Specialty hardener"/>
    <s v="Olefin/BTX"/>
    <s v="○"/>
    <s v="Specialty intermediates"/>
    <s v="Petrochemical intermediate → Hardener"/>
    <n v="0.0323555369482669"/>
    <s v="O"/>
  </r>
  <r>
    <n v="106"/>
    <s v="Specialty coatings"/>
    <x v="9"/>
    <s v="Protective/industrial maintenance coatings"/>
    <s v="Onshore structural applications"/>
    <s v="Heavy-duty protective coating"/>
    <s v="Benzene + PO"/>
    <s v="○"/>
    <s v="Epoxy resin, PU resin"/>
    <s v="BTX/PO → Epoxy/PU coating"/>
    <n v="0.02033251755180965"/>
    <s v="O"/>
  </r>
  <r>
    <n v="107"/>
    <s v="Specialty coatings"/>
    <x v="9"/>
    <s v="Protective/industrial maintenance coatings"/>
    <s v="Offshore applications"/>
    <s v="Offshore anticorrosion coating"/>
    <s v="Benzene + PO"/>
    <s v="○"/>
    <s v="Epoxy novolac, Fluoropolymer"/>
    <s v="Aromatics/PU chain → Offshore coating"/>
    <n v="0.02747734265975943"/>
    <s v="O"/>
  </r>
  <r>
    <n v="108"/>
    <s v="Specialty coatings"/>
    <x v="9"/>
    <s v="Protective/industrial maintenance coatings"/>
    <s v="Cargo container coatings"/>
    <s v="Container coating"/>
    <s v="Benzene + PO"/>
    <s v="○"/>
    <s v="Epoxy resin, Isocyanate"/>
    <s v="BPA epoxy + PU chain"/>
    <n v="-0.02195175256966542"/>
    <s v="O"/>
  </r>
  <r>
    <n v="109"/>
    <s v="Specialty coatings"/>
    <x v="9"/>
    <s v="Marine coatings"/>
    <s v="Industrial ship - New ship building"/>
    <s v="Marine coating"/>
    <s v="Benzene + Silicon"/>
    <s v="△"/>
    <s v="Epoxy resin, Silicone additive"/>
    <s v="Aromatics/silicone → Marine coating"/>
    <n v="0.021"/>
    <s v="O"/>
  </r>
  <r>
    <n v="110"/>
    <s v="Specialty coatings"/>
    <x v="9"/>
    <s v="Marine coatings"/>
    <s v="Industrial ship - Ship repair"/>
    <s v="Maintenance marine coating"/>
    <s v="Benzene + PO"/>
    <s v="○"/>
    <s v="Epoxy maintenance resin"/>
    <s v="BPA epoxy chain"/>
    <n v="0.021"/>
    <s v="O"/>
  </r>
  <r>
    <n v="111"/>
    <s v="Specialty coatings"/>
    <x v="9"/>
    <s v="Marine coatings"/>
    <s v="Yachts/pleasure boats"/>
    <s v="Premium marine coating"/>
    <s v="Propylene + PO"/>
    <s v="○"/>
    <s v="Acrylic urethane resin"/>
    <s v="Acrylic/PU chain → High-gloss marine coating"/>
    <n v="0.009006736545372096"/>
    <s v="O"/>
  </r>
  <r>
    <n v="112"/>
    <s v="Green power materials"/>
    <x v="10"/>
    <s v="(Solar)Wafer and thin-film materials"/>
    <s v="Silicon wafers"/>
    <s v="Crystalline silicon wafer for PV cells"/>
    <s v="Quartz/Silica"/>
    <s v="-"/>
    <s v="Polysilicon, Silicon ingot"/>
    <s v="Silica → Metallurgical silicon → Polysilicon → Ingot/Wafer → Solar cell"/>
    <n v="0.0312147442227368"/>
    <s v="Δ"/>
  </r>
  <r>
    <n v="113"/>
    <s v="Green power materials"/>
    <x v="10"/>
    <s v="(Solar)Wafer and thin-film materials"/>
    <s v="Thin-film materials"/>
    <s v="CdTe/CIGS/Perovskite thin-film absorber material"/>
    <s v="Tellurium, Cadmium, Indium, Gallium, Lead, Halides"/>
    <s v="-"/>
    <s v="CdTe, CIGS, Perovskite precursor"/>
    <s v="Specialty metals/halides → Thin-film absorber → PV module"/>
    <n v="0.0417464201531381"/>
    <s v="Δ"/>
  </r>
  <r>
    <n v="114"/>
    <s v="Green power materials"/>
    <x v="10"/>
    <s v="Solar cell processing chemicals"/>
    <s v="Silver paste"/>
    <s v="Conductive silver paste for solar cell electrode"/>
    <s v="Silver, Organic solvent"/>
    <s v="-"/>
    <s v="Silver powder, Glass frit, Organic vehicle"/>
    <s v="Silver + Glass frit + Solvent/resin vehicle → Silver paste"/>
    <n v="0.000172273767361286"/>
    <s v="Δ"/>
  </r>
  <r>
    <n v="115"/>
    <s v="Green power materials"/>
    <x v="10"/>
    <s v="Solar cell processing chemicals"/>
    <s v="TCO/ITO"/>
    <s v="Transparent conductive oxide coating"/>
    <s v="Indium, Tin, Zinc"/>
    <s v="-"/>
    <s v="ITO, FTO, AZO target/coating"/>
    <s v="High-purity metals → Oxide target/coating → Transparent conductive layer"/>
    <n v="0.115629180084584"/>
    <s v="Δ"/>
  </r>
  <r>
    <n v="116"/>
    <s v="Green power materials"/>
    <x v="10"/>
    <s v="Solar cell processing chemicals"/>
    <s v="Other conductive materials"/>
    <s v="Busbar/ribbon/conductive adhesive materials"/>
    <s v="Copper, Silver, Tin"/>
    <s v="-"/>
    <s v="Cu ribbon, Conductive adhesive, Solder alloy"/>
    <s v="Metal refining + Organic binder → Conductive interconnect material"/>
    <n v="0.0597331909477481"/>
    <s v="Δ"/>
  </r>
  <r>
    <n v="117"/>
    <s v="Green power materials"/>
    <x v="10"/>
    <s v="Solar cell processing chemicals"/>
    <s v="Wet-processing chemicals"/>
    <s v="Texturing/etching/cleaning chemicals for solar cell"/>
    <s v="Fluorspar, Chlorine, Sulfur, Ammonia"/>
    <s v="-"/>
    <s v="HF, HCl, H₂SO₄, NH₄OH, H₂O₂"/>
    <s v="Inorganic acid/base chain → Wet-processing chemical"/>
    <n v="0.0470914193628387"/>
    <s v="Δ"/>
  </r>
  <r>
    <n v="118"/>
    <s v="Green power materials"/>
    <x v="10"/>
    <s v="Solar cell processing chemicals"/>
    <s v="Other processing chemicals"/>
    <s v="Dopant/cleaning/edge isolation process chemicals"/>
    <s v="Phosphorus, Boron, Chlorine"/>
    <s v="-"/>
    <s v="POCl₃, BBr₃, Specialty etchants"/>
    <s v="Inorganic specialty chemistry → Solar cell process chemical"/>
    <n v="0.0671120350535532"/>
    <s v="Δ"/>
  </r>
  <r>
    <n v="119"/>
    <s v="Green power materials"/>
    <x v="10"/>
    <s v="Solar cell encapsulants"/>
    <s v="EVA film"/>
    <s v="PV module encapsulant film"/>
    <s v="Ethylene, Acetic acid"/>
    <s v="○"/>
    <s v="VAM, EVA resin"/>
    <s v="Ethylene → VAM → EVA resin → Encapsulant film"/>
    <n v="0.00633078621153849"/>
    <s v="Δ"/>
  </r>
  <r>
    <n v="120"/>
    <s v="Green power materials"/>
    <x v="10"/>
    <s v="Solar cell encapsulants"/>
    <s v="POE/TPO film"/>
    <s v="High-reliability encapsulant for bifacial/N-type modules"/>
    <s v="Ethylene, Alpha-olefin"/>
    <s v="○"/>
    <s v="POE/TPO resin"/>
    <s v="Ethylene + Alpha-olefin → POE/TPO → Encapsulant film"/>
    <n v="0.08179136305943931"/>
    <s v="Δ"/>
  </r>
  <r>
    <n v="121"/>
    <s v="Green power materials"/>
    <x v="10"/>
    <s v="Solar cell encapsulants"/>
    <s v="EPE film"/>
    <s v="EVA/POE/EVA composite encapsulant"/>
    <s v="Ethylene, Acetic acid, Alpha-olefin"/>
    <s v="○"/>
    <s v="EVA resin, POE resin"/>
    <s v="Ethylene/VAM + Alpha-olefin → EVA/POE → EPE film"/>
    <n v="0.0560418194133696"/>
    <s v="Δ"/>
  </r>
  <r>
    <n v="122"/>
    <s v="Green power materials"/>
    <x v="10"/>
    <s v="Solar cell encapsulants"/>
    <s v="Others"/>
    <s v="Specialty encapsulant for high-durability PV module"/>
    <s v="Ethylene, Silicone, Specialty olefin"/>
    <s v="△"/>
    <s v="Ionoplastic resin, Silicone encapsulant"/>
    <s v="Olefin/silicone chemistry → Specialty encapsulant"/>
    <n v="0.34047761089009"/>
    <s v="Δ"/>
  </r>
  <r>
    <n v="123"/>
    <s v="Green power materials"/>
    <x v="10"/>
    <s v="(Solar)Front- and backsheet materials"/>
    <s v="Photovoltaic glass"/>
    <s v="Front glass / glass-glass module material"/>
    <s v="Silica, Soda ash, Limestone"/>
    <s v="-"/>
    <s v="Low-iron solar glass"/>
    <s v="Inorganic minerals → Low-iron glass → PV module glass"/>
    <n v="0.0360256093192579"/>
    <s v="Δ"/>
  </r>
  <r>
    <n v="124"/>
    <s v="Green power materials"/>
    <x v="10"/>
    <s v="(Solar)Front- and backsheet materials"/>
    <s v="Backsheet polymers - Polyethylene terephthalate (PET)"/>
    <s v="PET backsheet core film"/>
    <s v="PX, Ethylene"/>
    <s v="○"/>
    <s v="PTA, EG, PET film"/>
    <s v="PX/Ethylene → PTA/EG → PET film → PV backsheet"/>
    <n v="0.0105868158896685"/>
    <s v="Δ"/>
  </r>
  <r>
    <n v="125"/>
    <s v="Green power materials"/>
    <x v="10"/>
    <s v="(Solar)Front- and backsheet materials"/>
    <s v="Backsheet polymers - Fluoropolymers"/>
    <s v="PVDF/PVF fluoropolymer protective backsheet"/>
    <s v="Fluorspar"/>
    <s v="-"/>
    <s v="VDF/PVF fluoromonomer, PVDF/PVF resin"/>
    <s v="Fluorspar → Fluorochemical → Fluoropolymer → Backsheet film"/>
    <n v="0.00736219289187767"/>
    <s v="Δ"/>
  </r>
  <r>
    <n v="126"/>
    <s v="Green power materials"/>
    <x v="10"/>
    <s v="(Solar)Front- and backsheet materials"/>
    <s v="Backsheet polymers - Others"/>
    <s v="Polyamide/polyolefin/acrylic backsheet layer"/>
    <s v="Ethylene, Propylene, Benzene"/>
    <s v="○"/>
    <s v="Polyolefin film, Acrylic coating, PA film"/>
    <s v="Olefin/BTX chain → Specialty polymer film/coating → Backsheet"/>
    <n v="0.0113834529008781"/>
    <s v="Δ"/>
  </r>
  <r>
    <n v="127"/>
    <s v="Green power materials"/>
    <x v="10"/>
    <s v="(Wind)Blade composite materials"/>
    <s v="Epoxy resin"/>
    <s v="Wind blade matrix resin"/>
    <s v="Benzene, Propylene"/>
    <s v="○"/>
    <s v="BPA epoxy resin, Epichlorohydrin"/>
    <s v="Benzene/Propylene → BPA + ECH → Epoxy resin → Blade composite"/>
    <n v="0.0111423115094378"/>
    <s v="Δ"/>
  </r>
  <r>
    <n v="128"/>
    <s v="Green power materials"/>
    <x v="10"/>
    <s v="(Wind)Blade composite materials"/>
    <s v="Curing agents"/>
    <s v="Epoxy hardener for wind blade composite"/>
    <s v="Ethylene, Ammonia, Benzene"/>
    <s v="△"/>
    <s v="Amines, Anhydrides"/>
    <s v="Olefin/ammonia/aromatics → Curing agent → Epoxy composite"/>
    <n v="0.0111423115094378"/>
    <s v="Δ"/>
  </r>
  <r>
    <n v="129"/>
    <s v="Green power materials"/>
    <x v="10"/>
    <s v="(Wind)Blade composite materials"/>
    <s v="Reinforcement fibers"/>
    <s v="Glass/carbon fiber for wind blade reinforcement"/>
    <s v="Silica, PAN, Propylene"/>
    <s v="△"/>
    <s v="Glass fiber, PAN-based carbon fiber"/>
    <s v="Silica → Glass fiber / Propylene → Acrylonitrile → PAN → Carbon fiber"/>
    <n v="0.0117631427004472"/>
    <s v="Δ"/>
  </r>
  <r>
    <n v="130"/>
    <s v="Green power materials"/>
    <x v="10"/>
    <s v="(Wind)Specialty coatings"/>
    <s v="Epoxy coatings"/>
    <s v="Erosion/corrosion protective coating for blade/tower"/>
    <s v="Benzene, Propylene"/>
    <s v="○"/>
    <s v="Epoxy resin, Amine hardener"/>
    <s v="BTX/propylene → Epoxy resin → Wind protective coating"/>
    <n v="0.0331123958680244"/>
    <s v="Δ"/>
  </r>
  <r>
    <n v="131"/>
    <s v="Green power materials"/>
    <x v="10"/>
    <s v="(Wind)Specialty coatings"/>
    <s v="Polyurethane (PU) coatings"/>
    <s v="Leading-edge protection coating for wind blade"/>
    <s v="Propylene, Benzene/Toluene"/>
    <s v="○"/>
    <s v="Polyol, Isocyanate, PU coating resin"/>
    <s v="PO/EO → Polyol + Aromatics → Isocyanate → PU coating"/>
    <n v="0.0331123958680244"/>
    <s v="Δ"/>
  </r>
  <r>
    <n v="132"/>
    <s v="Green power materials"/>
    <x v="10"/>
    <s v="(Wind)Specialty coatings"/>
    <s v="Other coatings"/>
    <s v="Acrylic/fluoropolymer weathering coating"/>
    <s v="Propylene, Fluorspar"/>
    <s v="△"/>
    <s v="Acrylic resin, Fluoropolymer resin"/>
    <s v="Propylene/acrylate or fluorochemical chain → Weatherable coating"/>
    <n v="0.0331123958680244"/>
    <s v="Δ"/>
  </r>
  <r>
    <n v="133"/>
    <s v="Green power materials"/>
    <x v="10"/>
    <s v="(Wind)Specialty lubricants"/>
    <m/>
    <s v="Gearbox/bearing lubricant for wind turbine"/>
    <s v="Ethylene, Alpha-olefin, Fatty acid"/>
    <s v="△"/>
    <s v="PAO, Ester, Additive package"/>
    <s v="Olefin/ester chemistry → Synthetic lubricant → Wind turbine lubricant"/>
    <n v="0.0600856449346396"/>
    <s v="Δ"/>
  </r>
  <r>
    <n v="134"/>
    <s v="Green power materials"/>
    <x v="10"/>
    <s v="(Wind)Magnet materials"/>
    <m/>
    <s v="NdFeB permanent magnet for direct-drive generator"/>
    <s v="Rare earths, Iron, Boron"/>
    <s v="-"/>
    <s v="Neodymium-praseodymium alloy, NdFeB magnet"/>
    <s v="Rare earth mining/refining → Magnet alloy → Wind generator magnet"/>
    <n v="0.0352188394959672"/>
    <s v="Δ"/>
  </r>
  <r>
    <n v="135"/>
    <s v="Green power materials"/>
    <x v="10"/>
    <s v="(Wind)Structural adhesives"/>
    <m/>
    <s v="Epoxy/PU blade bonding adhesive"/>
    <s v="Benzene, Propylene"/>
    <s v="○"/>
    <s v="Epoxy resin, PU prepolymer, Curing agent"/>
    <s v="BTX/propylene → Epoxy/PU resin → Structural adhesive"/>
    <n v="0.0331123958680244"/>
    <s v="Δ"/>
  </r>
  <r>
    <n v="136"/>
    <s v="Green power materials"/>
    <x v="10"/>
    <s v="(Wind)Concrete admixtures"/>
    <m/>
    <s v="Superplasticizer/admixture for wind turbine foundation"/>
    <s v="Ethylene, Propylene, Naphthalene"/>
    <s v="○"/>
    <s v="PCE, SNF, Lignosulfonate"/>
    <s v="EO/propylene/aromatics → Concrete admixture → Wind foundation"/>
    <n v="0.0331123958680244"/>
    <s v="Δ"/>
  </r>
  <r>
    <n v="132"/>
    <s v="Water management chemicals"/>
    <x v="11"/>
    <s v="Membranes"/>
    <s v="Membranes"/>
    <s v="RO/UF/NF water treatment membrane"/>
    <s v="Benzene, Propylene, Fluoropolymer feed"/>
    <s v="△"/>
    <s v="Polysulfone, PES, PVDF membrane polymer"/>
    <s v="BTX/fluorochemical → Membrane polymer → Water treatment membrane"/>
    <n v="0.062"/>
    <m/>
  </r>
  <r>
    <n v="133"/>
    <s v="Water management chemicals"/>
    <x v="11"/>
    <s v="Membranes"/>
    <s v="Ion exchange resins"/>
    <s v="Demineralization / ultrapure water ion exchange resin"/>
    <s v="Benzene, Ethylene"/>
    <s v="○"/>
    <s v="Styrene, DVB, Functional resin bead"/>
    <s v="Benzene/ethylene → Styrene/DVB → Ion exchange resin"/>
    <n v="0.0222987642861927"/>
    <m/>
  </r>
  <r>
    <n v="134"/>
    <s v="Water management chemicals"/>
    <x v="11"/>
    <s v="Membranes"/>
    <s v="Organic polymers"/>
    <s v="Coagulant/flocculant for water clarification"/>
    <s v="Propylene, Acrylonitrile"/>
    <s v="○"/>
    <s v="Acrylamide, Polyacrylamide, Polyamine"/>
    <s v="Propylene → Acrylonitrile/Acrylamide → Water treatment polymer"/>
    <n v="0.0296810598359705"/>
    <m/>
  </r>
  <r>
    <n v="135"/>
    <s v="Water management chemicals"/>
    <x v="11"/>
    <s v="Formulated products"/>
    <s v="Corrosion inhibitors"/>
    <s v="Cooling/boiler water corrosion inhibitor"/>
    <s v="Phosphorus, Nitrogen, Benzene"/>
    <s v="△"/>
    <s v="Phosphonate, Azole, Amine inhibitor"/>
    <s v="Inorganic/Petrochemical intermediates → Corrosion inhibitor formulation"/>
    <n v="0.023622335038245"/>
    <m/>
  </r>
  <r>
    <n v="136"/>
    <s v="Water management chemicals"/>
    <x v="11"/>
    <s v="Formulated products"/>
    <s v="Scale inhibitors"/>
    <s v="Scale control chemical for cooling/desalination"/>
    <s v="Propylene, Phosphorus"/>
    <s v="△"/>
    <s v="Polyacrylate, Phosphonate"/>
    <s v="Acrylic/phosphonate chemistry → Scale inhibitor"/>
    <n v="0.0215299341578583"/>
    <m/>
  </r>
  <r>
    <n v="132"/>
    <s v="Water management chemicals"/>
    <x v="11"/>
    <s v="Formulated products"/>
    <s v="Specialty biocides"/>
    <s v="Microbial control chemical for industrial water"/>
    <s v="Chlorine, Methanol, Isothiazolinone intermediates"/>
    <s v="△"/>
    <s v="DBNPA, Isothiazolinone, Glutaraldehyde"/>
    <s v="Chlorine/C1/specialty intermediate → Biocide formulation"/>
    <n v="0.0253302712475185"/>
    <m/>
  </r>
  <r>
    <n v="133"/>
    <s v="Water management chemicals"/>
    <x v="11"/>
    <s v="Formulated products"/>
    <s v="Foam control agents"/>
    <s v="Defoamer for wastewater/process water"/>
    <s v="Silicon, Propylene"/>
    <s v="△"/>
    <s v="Silicone oil, Polyether, Hydrophobic silica"/>
    <s v="Silicon/PO chain → Silicone/polyether defoamer"/>
    <n v="0.0321152341862854"/>
    <m/>
  </r>
  <r>
    <n v="134"/>
    <s v="Cosmetic/personal care chemicals"/>
    <x v="12"/>
    <s v="Emollients and moisturizers"/>
    <m/>
    <s v="Skin-feel emollient / moisturizer ingredient"/>
    <s v="Oleochemical, Propylene, Silicon"/>
    <s v="△"/>
    <s v="Fatty ester, Polyol, Silicone fluid"/>
    <s v="Oleochemical/propylene/silicone chain → Emollient ingredient"/>
    <n v="0.0316572991322976"/>
    <m/>
  </r>
  <r>
    <n v="135"/>
    <s v="Cosmetic/personal care chemicals"/>
    <x v="12"/>
    <s v="Surfactants"/>
    <m/>
    <s v="Shampoo/body wash cleansing surfactant"/>
    <s v="Ethylene, Fatty alcohol, LAB"/>
    <s v="△"/>
    <s v="EO, Fatty alcohol ethoxylate, Sulfate surfactant"/>
    <s v="Olefin/fatty alcohol/LAB → Surfactant → Personal care formulation"/>
    <n v="0.02364503879729729"/>
    <m/>
  </r>
  <r>
    <n v="136"/>
    <s v="Cosmetic/personal care chemicals"/>
    <x v="12"/>
    <s v="Thickening agents"/>
    <m/>
    <s v="Rheology modifier for creams/gels"/>
    <s v="Cellulose, Acrylic acid, Natural gum"/>
    <s v="△"/>
    <s v="Carbomer, Cellulose ether, Xanthan gum"/>
    <s v="Biomass/acrylic chain → Thickener → Cosmetic formulation"/>
    <n v="0.03151362953264081"/>
    <m/>
  </r>
  <r>
    <n v="137"/>
    <s v="Cosmetic/personal care chemicals"/>
    <x v="12"/>
    <s v="Colorants"/>
    <m/>
    <s v="Cosmetic pigment/colorant"/>
    <s v="Mineral, Aromatics"/>
    <s v="△"/>
    <s v="Iron oxide, Organic pigment, Lake color"/>
    <s v="Mineral/BTX → Pigment/colorant → Color cosmetics"/>
    <n v="0.03911805468446139"/>
    <m/>
  </r>
  <r>
    <n v="138"/>
    <s v="Cosmetic/personal care chemicals"/>
    <x v="12"/>
    <s v="Carriers and powders"/>
    <m/>
    <s v="Solvent/carrier/powder base for cosmetics"/>
    <s v="Propylene, Silica, Talc"/>
    <s v="△"/>
    <s v="PG, Ethanol, Silica, Talc powder"/>
    <s v="Petrochemical/mineral → Carrier/powder → Cosmetic formulation"/>
    <n v="0.03285346649116128"/>
    <m/>
  </r>
  <r>
    <n v="139"/>
    <s v="Cosmetic/personal care chemicals"/>
    <x v="12"/>
    <s v="Product protection agentsa"/>
    <m/>
    <s v="Preservative/antioxidant/chelating agent"/>
    <s v="Benzene, Chlorine, C1/C2 feed"/>
    <s v="△"/>
    <s v="Paraben, Phenoxyethanol, EDTA"/>
    <s v="BTX/C1/C2 → Preservative/chelating intermediate → Protection agent"/>
    <n v="0.03588474839088618"/>
    <m/>
  </r>
  <r>
    <n v="140"/>
    <s v="Cosmetic/personal care chemicals"/>
    <x v="12"/>
    <s v="Hair conditioning polymers"/>
    <m/>
    <s v="Cationic conditioning polymer"/>
    <s v="Acrylamide, Cellulose, Silicon"/>
    <s v="-"/>
    <s v="Polyquaternium, Cationic cellulose, Silicone polymer"/>
    <s v="Acrylic/cellulose/silicone chain → Hair conditioning polymer"/>
    <n v="0.01711411511168159"/>
    <m/>
  </r>
  <r>
    <n v="141"/>
    <s v="Cosmetic/personal care chemicals"/>
    <x v="12"/>
    <s v="Hair setting resins"/>
    <m/>
    <s v="Styling resin for hair gel/spray"/>
    <s v="Vinyl acetate, Acrylate, PVP feed"/>
    <s v="-"/>
    <s v="PVP, Acrylate copolymer, VA copolymer"/>
    <s v="Ethylene/propylene → Vinyl/acrylic polymer → Hair setting resin"/>
    <n v="0.02466922861478249"/>
    <m/>
  </r>
  <r>
    <n v="142"/>
    <s v="Cosmetic/personal care chemicals"/>
    <x v="12"/>
    <s v="Sunscreen chemicals"/>
    <m/>
    <s v="UV absorber / sun care active"/>
    <s v="Benzene, Toluene, Ethylhexanol"/>
    <s v="△"/>
    <s v="Avobenzone, Octocrylene, Ethylhexyl methoxycinnamate"/>
    <s v="BTX/oxo alcohol → UV absorber → Sunscreen active"/>
    <n v="0.05923409693623105"/>
    <m/>
  </r>
  <r>
    <n v="143"/>
    <s v="Cosmetic/personal care chemicals"/>
    <x v="12"/>
    <s v="Antiperspirants chemicals"/>
    <m/>
    <s v="Aluminum salt antiperspirant active"/>
    <s v="Alumina, Chlorine"/>
    <s v="-"/>
    <s v="Aluminum chlorohydrate"/>
    <s v="Alumina/chlorine chemistry → Antiperspirant active"/>
    <n v="0.02845085350097909"/>
    <m/>
  </r>
  <r>
    <n v="144"/>
    <s v="Cosmetic/personal care chemicals"/>
    <x v="12"/>
    <s v="Deodorant chemicals"/>
    <m/>
    <s v="Odor-control / antimicrobial deodorant ingredient"/>
    <s v="Zinc, Aromatics, Ethanol"/>
    <s v="-"/>
    <s v="Zinc ricinoleate, Fragrance, Antimicrobial"/>
    <s v="Inorganic/aroma chemical → Deodorant active"/>
    <n v="0.03109553611177618"/>
    <m/>
  </r>
  <r>
    <n v="145"/>
    <s v="Cosmetic/personal care chemicals"/>
    <x v="12"/>
    <s v="Antidandruff chemicals"/>
    <m/>
    <s v="Anti-dandruff active ingredient"/>
    <s v="Zinc, Sulfur, Aromatics"/>
    <s v="-"/>
    <s v="Zinc pyrithione, Piroctone olamine"/>
    <s v="Inorganic/sulfur/aromatic chemistry → Antidandruff active"/>
    <n v="0.02232782417676482"/>
    <m/>
  </r>
  <r>
    <n v="146"/>
    <s v="Cosmetic/personal care chemicals"/>
    <x v="12"/>
    <s v="Active ingredients"/>
    <m/>
    <s v="Anti-aging / skin-functional active"/>
    <s v="Biomass, Fermentation feedstock, Aromatics"/>
    <s v="-"/>
    <s v="Peptide, Niacinamide, Retinol derivative"/>
    <s v="Fermentation/extraction/synthesis → Cosmetic active"/>
    <n v="0.04148444098881865"/>
    <m/>
  </r>
  <r>
    <n v="147"/>
    <s v="Cleaners, industrial and institutional"/>
    <x v="13"/>
    <s v="Janitorial"/>
    <m/>
    <s v="Institutional surface cleaner/disinfectant"/>
    <s v="LAB, Ethylene, Chlorine, Alcohol"/>
    <s v="△"/>
    <s v="Surfactant, Solvent, Quat disinfectant"/>
    <s v="LAB/EO/chlorine/alcohol → Cleaner formulation"/>
    <n v="0.0312255252955673"/>
    <m/>
  </r>
  <r>
    <n v="148"/>
    <s v="Cleaners, industrial and institutional"/>
    <x v="13"/>
    <s v="Agricultural, food and drink"/>
    <m/>
    <s v="CIP/food plant cleaner and sanitizer"/>
    <s v="Caustic soda, Acid, Chlorine, Surfactant feed"/>
    <s v="-"/>
    <s v="Alkaline cleaner, Acid cleaner, Peracetic sanitizer"/>
    <s v="Chlor-alkali/inorganic acid/surfactant → Food plant cleaning chemical"/>
    <n v="0.0312255252955673"/>
    <m/>
  </r>
  <r>
    <n v="149"/>
    <s v="Cleaners, industrial and institutional"/>
    <x v="13"/>
    <s v="Kitchen and catering"/>
    <m/>
    <s v="Warewashing detergent/degreaser"/>
    <s v="LAB, EO, Caustic soda"/>
    <s v="△"/>
    <s v="Anionic/nonionic surfactant, Builder"/>
    <s v="LAB/EO/alkali → Kitchen detergent formulation"/>
    <n v="0.0312255252955673"/>
    <m/>
  </r>
  <r>
    <n v="150"/>
    <s v="Cleaners, industrial and institutional"/>
    <x v="13"/>
    <s v="Technical, industrial"/>
    <m/>
    <s v="Metal/industrial equipment cleaner"/>
    <s v="Solvent, EO/PO, Acid/alkali"/>
    <s v="△"/>
    <s v="Degreasing solvent, Surfactant, Inhibitor"/>
    <s v="Petrochemical solvent + surfactant → Industrial cleaner"/>
    <n v="0.0312255252955673"/>
    <m/>
  </r>
  <r>
    <n v="151"/>
    <s v="Cleaners, industrial and institutional"/>
    <x v="13"/>
    <s v="Transportation"/>
    <m/>
    <s v="Vehicle wash / transport cleaner"/>
    <s v="LAB, EO, Solvent"/>
    <s v="△"/>
    <s v="Surfactant blend, Solvent cleaner"/>
    <s v="LAB/EO/solvent → Vehicle cleaning formulation"/>
    <n v="0.0312255252955673"/>
    <m/>
  </r>
  <r>
    <n v="152"/>
    <s v="Cleaners, industrial and institutional"/>
    <x v="13"/>
    <s v="Laundry"/>
    <m/>
    <s v="Institutional laundry detergent"/>
    <s v="LAB, EO, Enzyme feed, Builder"/>
    <s v="△"/>
    <s v="Surfactant, Enzyme, Bleach activator"/>
    <s v="LAB/EO + specialty additives → Laundry detergent"/>
    <n v="0.0312255252955673"/>
    <m/>
  </r>
  <r>
    <n v="153"/>
    <s v="Cleaners, industrial and institutional"/>
    <x v="13"/>
    <s v="Other"/>
    <m/>
    <s v="Specialty sanitation/maintenance cleaner"/>
    <s v="Solvent, Surfactant, Biocide feed"/>
    <s v="-"/>
    <s v="Specialty cleaner formulation"/>
    <s v="Petrochemical/inorganic feed → Specialty I&amp;I cleaner"/>
    <n v="0.0312255252955673"/>
    <m/>
  </r>
  <r>
    <n v="154"/>
    <s v="Plastics additives"/>
    <x v="14"/>
    <s v="Antioxidants"/>
    <m/>
    <s v="Polyolefin oxidation inhibitor for PE/PP"/>
    <s v="Benzene, Propylene"/>
    <s v="○"/>
    <s v="Phenolic antioxidant, Phosphite intermediate"/>
    <s v="BTX/propylene → Phenol/phosphite chemistry → Antioxidant"/>
    <n v="0.0274189683584996"/>
    <s v="O"/>
  </r>
  <r>
    <n v="155"/>
    <s v="Plastics additives"/>
    <x v="14"/>
    <s v="Anti-static agents"/>
    <m/>
    <s v="Permanent/temporary anti-static additive for packaging &amp; electronics"/>
    <s v="Ethylene, PO"/>
    <s v="○"/>
    <s v="Ethoxylate, Amine derivative"/>
    <s v="EO/amine chemistry → Antistatic additive"/>
    <n v="0.0274189683584996"/>
    <s v="O"/>
  </r>
  <r>
    <n v="156"/>
    <s v="Plastics additives"/>
    <x v="14"/>
    <s v="Chemical blowing agents"/>
    <m/>
    <s v="Foaming additive for insulation &amp; lightweight plastics"/>
    <s v="Urea, Natural gas"/>
    <s v="-"/>
    <s v="Azodicarbonamide, Hydrazide intermediate"/>
    <s v="Natural gas/ammonia → Urea derivative → Blowing agent"/>
    <n v="0.0274189683584996"/>
    <s v="O"/>
  </r>
  <r>
    <n v="157"/>
    <s v="Plastics additives"/>
    <x v="14"/>
    <s v="Flame retardants"/>
    <m/>
    <s v="Halogen-free &amp; brominated flame retardant"/>
    <s v="Benzene, Propylene, Chlor-alkali"/>
    <s v="△"/>
    <s v="Brominated aromatic, Phosphorus intermediate"/>
    <s v="BTX/chlor-alkali/phosphorus → Flame retardant"/>
    <n v="0.0274189683584996"/>
    <s v="O"/>
  </r>
  <r>
    <n v="158"/>
    <s v="Plastics additives"/>
    <x v="14"/>
    <s v="Heat stabilizers"/>
    <m/>
    <s v="PVC thermal stabilizer"/>
    <s v="Salt, Benzene"/>
    <s v="△"/>
    <s v="Metal soap, Organotin intermediate"/>
    <s v="Chlor-alkali/metal chemistry → Heat stabilizer"/>
    <n v="0.0274189683584996"/>
    <s v="O"/>
  </r>
  <r>
    <n v="159"/>
    <s v="Plastics additives"/>
    <x v="14"/>
    <s v="Impact modifiers"/>
    <m/>
    <s v="PVC &amp; engineering plastic impact modifier"/>
    <s v="Ethylene, Propylene, C4"/>
    <s v="○"/>
    <s v="ABS/MBS/Acrylic intermediate"/>
    <s v="Olefin/C4 → Rubber/acrylic intermediate → Impact modifier"/>
    <n v="0.0274189683584996"/>
    <s v="O"/>
  </r>
  <r>
    <n v="160"/>
    <s v="Plastics additives"/>
    <x v="14"/>
    <s v="Light stabilizers"/>
    <m/>
    <s v="UV/weather resistance additive for outdoor plastics"/>
    <s v="Benzene, Propylene"/>
    <s v="○"/>
    <s v="HALS, Benzotriazole intermediate"/>
    <s v="BTX/amine chemistry → UV stabilizer"/>
    <n v="0.0274189683584996"/>
    <s v="O"/>
  </r>
  <r>
    <n v="161"/>
    <s v="Plastics additives"/>
    <x v="14"/>
    <s v="Lubricants"/>
    <m/>
    <s v="Processing lubricant for PVC &amp; polyolefin"/>
    <s v="Ethylene, Natural oil, Paraffin"/>
    <s v="△"/>
    <s v="Fatty acid, Wax, Metal stearate"/>
    <s v="Olefin/paraffin/oleochemical → Lubricant additive"/>
    <n v="0.0274189683584996"/>
    <s v="O"/>
  </r>
  <r>
    <n v="162"/>
    <s v="Specialty adhesives and sealants"/>
    <x v="15"/>
    <s v="Reactive specialty adhesives"/>
    <s v="Polyurethane"/>
    <s v="Automotive, construction &amp; flexible packaging adhesive"/>
    <s v="Propylene, Benzene/Toluene"/>
    <s v="○"/>
    <s v="Polyol, MDI/TDI/HDI, PU prepolymer"/>
    <s v="PO/EO → Polyol + Aromatics → Isocyanate → PU adhesive"/>
    <n v="0.0268348747559057"/>
    <s v="O"/>
  </r>
  <r>
    <n v="163"/>
    <s v="Specialty adhesives and sealants"/>
    <x v="15"/>
    <s v="Reactive specialty adhesives"/>
    <s v="Epoxy"/>
    <s v="Structural adhesive for electronics, aircraft, EV battery and industrial assembly"/>
    <s v="Benzene, Propylene"/>
    <s v="○"/>
    <s v="BPA, Epichlorohydrin, Epoxy resin, Amine hardener"/>
    <s v="Benzene/Propylene → Phenol/Acetone → BPA → Epoxy resin → Epoxy adhesive"/>
    <n v="0.0268348747559057"/>
    <s v="O"/>
  </r>
  <r>
    <n v="164"/>
    <s v="Specialty adhesives and sealants"/>
    <x v="15"/>
    <s v="Reactive specialty adhesives"/>
    <s v="Radiation-curable"/>
    <s v="UV-curable adhesive for electronics, optical media and precision assembly"/>
    <s v="Propylene, Benzene"/>
    <s v="○"/>
    <s v="Acrylate monomer, Oligomer, Photoinitiator"/>
    <s v="Propylene → Acrylic acid/acrylates + BTX → Photoinitiator → UV adhesive"/>
    <n v="0.0268348747559057"/>
    <s v="O"/>
  </r>
  <r>
    <n v="165"/>
    <s v="Specialty adhesives and sealants"/>
    <x v="15"/>
    <s v="Reactive specialty adhesives"/>
    <s v="Other"/>
    <s v="Instant/anaerobic/modified acrylic adhesive for industrial and consumer bonding"/>
    <s v="Propylene, Methanol, C4"/>
    <s v="○"/>
    <s v="Cyanoacrylate, Methacrylate, Anaerobic acrylic monomer"/>
    <s v="Olefin/Methanol → Acrylic/Methacrylic intermediates → Specialty adhesive"/>
    <n v="0.0268348747559057"/>
    <s v="O"/>
  </r>
  <r>
    <n v="166"/>
    <s v="Specialty adhesives and sealants"/>
    <x v="15"/>
    <s v="Specialty sealant"/>
    <s v="Silicone"/>
    <s v="Building, glazing, electronics and high-weatherability sealant"/>
    <s v="Silicon metal, Methanol"/>
    <s v="△"/>
    <s v="Chlorosilane, Siloxane, Silicone polymer"/>
    <s v="Silicon metal + Methanol → Chlorosilane → Siloxane → Silicone sealant"/>
    <n v="0.0268348747559057"/>
    <s v="O"/>
  </r>
  <r>
    <n v="167"/>
    <s v="Specialty adhesives and sealants"/>
    <x v="15"/>
    <s v="Specialty sealant"/>
    <s v="Polyurethane"/>
    <s v="Construction joint, automotive and industrial elastic sealant"/>
    <s v="Propylene, Benzene/Toluene"/>
    <s v="○"/>
    <s v="Polyol, Isocyanate, PU prepolymer"/>
    <s v="PO/EO → Polyol + Aromatics → Isocyanate → PU sealant"/>
    <n v="0.0268348747559057"/>
    <s v="O"/>
  </r>
  <r>
    <n v="168"/>
    <s v="Specialty adhesives and sealants"/>
    <x v="15"/>
    <s v="Specialty sealant"/>
    <s v="Silyl-modified polymers"/>
    <s v="Low-VOC construction and elastic adhesive/sealant"/>
    <s v="Propylene, Silicon metal, Methanol"/>
    <s v="△"/>
    <s v="Polyether polyol, Silane-terminated polymer"/>
    <s v="PO/EO → Polyether + Silicon chemistry → Silyl-modified polymer sealant"/>
    <n v="0.0268348747559057"/>
    <s v="O"/>
  </r>
  <r>
    <n v="169"/>
    <s v="Specialty adhesives and sealants"/>
    <x v="15"/>
    <s v="Specialty sealant"/>
    <s v="Polysulfides"/>
    <s v="Aerospace, insulated glass and fuel-resistant sealant"/>
    <s v="Ethylene, Sulfur, Chlor-alkali"/>
    <s v="△"/>
    <s v="Dichloroethyl formal, Sodium polysulfide, Polysulfide polymer"/>
    <s v="Ethylene/chlorine + Sulfur → Polysulfide polymer → Fuel-resistant sealant"/>
    <n v="0.0268348747559057"/>
    <s v="O"/>
  </r>
  <r>
    <n v="170"/>
    <s v="Rubber-processing chemicals"/>
    <x v="16"/>
    <s v="Antidegradants"/>
    <s v="Amino compounds"/>
    <s v="Amine antidegradant for tire/rubber aging resistance"/>
    <s v="Benzene, Nitrobenzene"/>
    <s v="○"/>
    <s v="Aniline, PPD derivatives"/>
    <s v="Benzene → Nitrobenzene/Aniline → PPD → Amine antidegradant"/>
    <n v="0.0268348747559057"/>
    <s v="Δ"/>
  </r>
  <r>
    <n v="171"/>
    <s v="Rubber-processing chemicals"/>
    <x v="16"/>
    <s v="Antidegradants"/>
    <s v="Phenolics"/>
    <s v="Phenolic antioxidant for rubber stabilization"/>
    <s v="Benzene, Propylene"/>
    <s v="○"/>
    <s v="Phenol, Alkylphenol, Hindered phenol"/>
    <s v="Benzene/Propylene → Phenol/Alkylphenol → Phenolic antioxidant"/>
    <n v="0.0268348747559057"/>
    <s v="Δ"/>
  </r>
  <r>
    <n v="172"/>
    <s v="Rubber-processing chemicals"/>
    <x v="16"/>
    <s v="Antidegradants"/>
    <s v="Phosphites"/>
    <s v="Secondary antioxidant for rubber/plastics"/>
    <s v="Benzene, Phosphorus"/>
    <s v="△"/>
    <s v="Alkylphenol, Phosphite ester"/>
    <s v="Phenol/aromatics + Phosphorus chemistry → Phosphite antioxidant"/>
    <n v="0.0268348747559057"/>
    <s v="Δ"/>
  </r>
  <r>
    <n v="173"/>
    <s v="Rubber-processing chemicals"/>
    <x v="16"/>
    <s v="Antidegradants"/>
    <s v="Other antidegradants"/>
    <s v="Wax/secondary stabilizer for ozone and aging resistance"/>
    <s v="Paraffin, Olefin"/>
    <s v="△"/>
    <s v="Protective wax, Specialty stabilizer"/>
    <s v="Refinery wax/olefin chain → Rubber protective additive"/>
    <n v="0.0268348747559057"/>
    <s v="Δ"/>
  </r>
  <r>
    <n v="174"/>
    <s v="Rubber-processing chemicals"/>
    <x v="16"/>
    <s v="Accelerators"/>
    <s v="Sulfenamides"/>
    <s v="Delayed-action vulcanization accelerator"/>
    <s v="Benzene, Sulfur, Ammonia"/>
    <s v="△"/>
    <s v="Aniline, MBT, Sulfenamide"/>
    <s v="Benzene/aniline + Sulfur chemistry → MBT → Sulfenamide accelerator"/>
    <n v="0.0268348747559057"/>
    <s v="Δ"/>
  </r>
  <r>
    <n v="175"/>
    <s v="Rubber-processing chemicals"/>
    <x v="16"/>
    <s v="Accelerators"/>
    <s v="Other thiazole derivatives"/>
    <s v="Vulcanization accelerator for tires/rubber goods"/>
    <s v="Benzene, Sulfur"/>
    <s v="△"/>
    <s v="MBT, MBTS"/>
    <s v="Aromatic amine + Sulfur chemistry → Thiazole accelerator"/>
    <n v="0.0268348747559057"/>
    <s v="Δ"/>
  </r>
  <r>
    <n v="176"/>
    <s v="Rubber-processing chemicals"/>
    <x v="16"/>
    <s v="Accelerators"/>
    <s v="Other accelerators"/>
    <s v="Thiuram/dithiocarbamate/guanidine accelerator"/>
    <s v="Carbon disulfide, Amine, Benzene"/>
    <s v="△"/>
    <s v="Dithiocarbamate, Thiuram, DPG"/>
    <s v="CS₂/amine/aromatics → Accelerator intermediate → Rubber accelerator"/>
    <n v="0.0268348747559057"/>
    <s v="Δ"/>
  </r>
  <r>
    <n v="177"/>
    <s v="Rubber-processing chemicals"/>
    <x v="16"/>
    <s v="Other"/>
    <s v="Polymerization regulators"/>
    <s v="Synthetic rubber polymerization control chemical"/>
    <s v="C4, Styrene, Sulfur"/>
    <s v="△"/>
    <s v="Chain transfer agent, Shortstop-type intermediate"/>
    <s v="Olefin/aromatics → Polymerization control additive"/>
    <n v="0.0268348747559057"/>
    <s v="Δ"/>
  </r>
  <r>
    <n v="178"/>
    <s v="Rubber-processing chemicals"/>
    <x v="16"/>
    <s v="Other"/>
    <s v="Blowing agents"/>
    <s v="Foaming agent for sponge rubber"/>
    <s v="Natural gas, Ammonia"/>
    <s v="△"/>
    <s v="Urea derivative, Azodicarbonamide"/>
    <s v="Natural gas/ammonia → Urea derivative → Blowing agent"/>
    <n v="0.0268348747559057"/>
    <s v="Δ"/>
  </r>
  <r>
    <n v="179"/>
    <s v="Rubber-processing chemicals"/>
    <x v="16"/>
    <s v="Other"/>
    <s v="Vulcanization retarders"/>
    <s v="Scorch retarder for rubber processing"/>
    <s v="Benzene, C5"/>
    <s v="○"/>
    <s v="Phthalimide, Cyclohexylthio intermediate"/>
    <s v="Aromatics/C5 chemistry → Retarder → Rubber processing aid"/>
    <n v="0.0268348747559057"/>
    <s v="Δ"/>
  </r>
  <r>
    <n v="180"/>
    <s v="Rubber-processing chemicals"/>
    <x v="16"/>
    <s v="Other"/>
    <s v="Shortstops"/>
    <s v="Polymerization shortstop for synthetic rubber"/>
    <s v="Benzene, Sulfur"/>
    <s v="△"/>
    <s v="Hydroxylamine/phenolic shortstop"/>
    <s v="Aromatics/inorganic chemistry → Shortstop additive"/>
    <n v="0.0268348747559057"/>
    <s v="Δ"/>
  </r>
  <r>
    <n v="181"/>
    <s v="Rubber-processing chemicals"/>
    <x v="16"/>
    <s v="Other"/>
    <s v="Peptizers"/>
    <s v="Rubber mastication aid"/>
    <s v="Benzene, Sulfur"/>
    <s v="△"/>
    <s v="Disulfide/thiophenol derivative"/>
    <s v="Aromatics + Sulfur chemistry → Peptizer"/>
    <n v="0.0268348747559057"/>
    <s v="Δ"/>
  </r>
  <r>
    <n v="182"/>
    <s v="Textile chemicals"/>
    <x v="17"/>
    <s v="Yarn treatment chemicals"/>
    <s v="Specialty textile lubricants"/>
    <s v="Spin finish / yarn lubricant"/>
    <s v="EO/PO, Fatty acid, Mineral oil"/>
    <s v="△"/>
    <s v="Ethoxylated lubricant, Ester lubricant"/>
    <s v="Oleochemical/EO/PO/mineral oil → Textile lubricant"/>
    <n v="0.0326517105996875"/>
    <m/>
  </r>
  <r>
    <n v="183"/>
    <s v="Textile chemicals"/>
    <x v="17"/>
    <s v="Yarn treatment chemicals"/>
    <s v="Synthetic warp sizes"/>
    <s v="Warp sizing agent"/>
    <s v="Starch, Vinyl acetate, Acrylic acid"/>
    <s v="△"/>
    <s v="Modified starch, PVA, Acrylic size"/>
    <s v="Biomass/ethylene/propylene → Warp size polymer"/>
    <n v="0.0367794850476746"/>
    <m/>
  </r>
  <r>
    <n v="184"/>
    <s v="Textile chemicals"/>
    <x v="17"/>
    <s v="Processing chemicals"/>
    <s v="Surfactants"/>
    <s v="Scouring/wetting/dyeing surfactant"/>
    <s v="LAB, Fatty alcohol, EO"/>
    <s v="△"/>
    <s v="Ethoxylate, Sulfate, Sulfonate"/>
    <s v="LAB/fatty alcohol/EO → Textile surfactant"/>
    <n v="0.0119960585998427"/>
    <m/>
  </r>
  <r>
    <n v="185"/>
    <s v="Textile chemicals"/>
    <x v="17"/>
    <s v="Processing chemicals"/>
    <s v="Bleaching auxiliaries"/>
    <s v="Stabilizer/auxiliary for textile bleaching"/>
    <s v="Phosphorus, Chelant feed"/>
    <s v="-"/>
    <s v="Phosphonate, EDTA-type chelant"/>
    <s v="Inorganic/C2 chemistry → Bleaching auxiliary"/>
    <n v="0.0446726638877557"/>
    <m/>
  </r>
  <r>
    <n v="186"/>
    <s v="Textile chemicals"/>
    <x v="17"/>
    <s v="Processing chemicals"/>
    <s v="Fluorescent whitening agents"/>
    <s v="Optical brightener for textile"/>
    <s v="Benzene, Stilbene intermediates"/>
    <s v="△"/>
    <s v="Stilbene-based FWA"/>
    <s v="BTX → Stilbene derivative → Fluorescent whitening agent"/>
    <n v="0.0311025031634962"/>
    <m/>
  </r>
  <r>
    <n v="187"/>
    <s v="Textile chemicals"/>
    <x v="17"/>
    <s v="Processing chemicals"/>
    <s v="Enzymes"/>
    <s v="Bio-processing enzyme for textile"/>
    <s v="Sugar, Fermentation medium"/>
    <s v="-"/>
    <s v="Amylase, Cellulase, Catalase"/>
    <s v="Biomass/sugar → Fermentation → Textile enzyme"/>
    <n v="0.0119676687267061"/>
    <m/>
  </r>
  <r>
    <n v="188"/>
    <s v="Textile chemicals"/>
    <x v="17"/>
    <s v="Functional chemicals"/>
    <s v="Printing auxiliaries"/>
    <s v="Printing thickener/binder/auxiliary"/>
    <s v="Acrylic acid, Starch, Solvent"/>
    <s v="△"/>
    <s v="Acrylic binder, Thickener, Fixing agent"/>
    <s v="Propylene/biomass → Printing auxiliary"/>
    <n v="0.0223574854809585"/>
    <m/>
  </r>
  <r>
    <n v="189"/>
    <s v="Textile chemicals"/>
    <x v="17"/>
    <s v="Functional chemicals"/>
    <s v="Dyes and pigments"/>
    <s v="Textile dye/pigment"/>
    <s v="Benzene, Toluene, Naphthalene"/>
    <s v="○"/>
    <s v="Azo dye, Anthraquinone dye, Pigment"/>
    <s v="BTX/naphthalene → Dye intermediate → Textile dye"/>
    <n v="0.0364555613399986"/>
    <m/>
  </r>
  <r>
    <n v="190"/>
    <s v="Textile chemicals"/>
    <x v="17"/>
    <s v="Functional chemicals"/>
    <s v="Finishing agents"/>
    <s v="Softener/repellent/flame-retardant finish"/>
    <s v="Silicon, Fatty acid, Phosphorus, Fluorspar"/>
    <s v="-"/>
    <s v="Silicone softener, FR additive, Repellent"/>
    <s v="Silicone/oleochemical/phosphorus/fluorochemical → Textile finish"/>
    <n v="0.0171137263669265"/>
    <m/>
  </r>
  <r>
    <n v="191"/>
    <s v="Textile chemicals"/>
    <x v="17"/>
    <s v="Functional chemicals"/>
    <s v="Coatings"/>
    <s v="Functional textile coating"/>
    <s v="Acrylic acid, PU feed, Silicone"/>
    <s v="△"/>
    <s v="Acrylic latex, PU dispersion, Silicone coating"/>
    <s v="Propylene/PO/BTX/silicone → Textile coating"/>
    <n v="0.0146144766586858"/>
    <m/>
  </r>
  <r>
    <n v="192"/>
    <s v="Printing inks"/>
    <x v="18"/>
    <s v="Lithography"/>
    <m/>
    <s v="Offset printing ink for packaging/commercial print"/>
    <s v="Benzene, Vegetable oil, Solvent"/>
    <s v="△"/>
    <s v="Alkyd resin, Rosin ester, Pigment"/>
    <s v="BTX/oleochemical → Ink resin/vehicle → Lithographic ink"/>
    <n v="0.0258977449189877"/>
    <m/>
  </r>
  <r>
    <n v="193"/>
    <s v="Printing inks"/>
    <x v="18"/>
    <s v="Flexography"/>
    <m/>
    <s v="Flexible packaging ink"/>
    <s v="Ethanol, Ethyl acetate, Acrylic resin feed"/>
    <s v="△"/>
    <s v="Nitrocellulose/acrylic/PU binder, Pigment"/>
    <s v="Solvent/acrylic/PU chain → Flexographic ink"/>
    <n v="0.0258977449189877"/>
    <m/>
  </r>
  <r>
    <n v="194"/>
    <s v="Printing inks"/>
    <x v="18"/>
    <s v="Rotogravure"/>
    <m/>
    <s v="High-speed packaging gravure ink"/>
    <s v="Toluene, Ethyl acetate, PU feed"/>
    <s v="△"/>
    <s v="PU resin, Nitrocellulose, Pigment"/>
    <s v="Aromatic/ester solvent + resin → Gravure ink"/>
    <n v="0.0258977449189877"/>
    <m/>
  </r>
  <r>
    <n v="195"/>
    <s v="Printing inks"/>
    <x v="18"/>
    <s v="Digital Printing"/>
    <m/>
    <s v="Inkjet ink for packaging/textile/display"/>
    <s v="Propylene, Solvent, Pigment"/>
    <s v="△"/>
    <s v="Acrylic resin, Dispersant, Pigment dispersion"/>
    <s v="Acrylic/solvent chain → Inkjet ink formulation"/>
    <n v="0.0258977449189877"/>
    <m/>
  </r>
  <r>
    <n v="196"/>
    <s v="Printing inks"/>
    <x v="18"/>
    <s v="Others"/>
    <m/>
    <s v="Screen/energy-curable/specialty ink"/>
    <s v="Propylene, Benzene"/>
    <s v="○"/>
    <s v="Acrylate oligomer, Photoinitiator, Pigment"/>
    <s v="Acrylic/BTX → UV ink formulation"/>
    <n v="0.0258977449189877"/>
    <m/>
  </r>
  <r>
    <n v="197"/>
    <s v="Flavors and fragrances"/>
    <x v="19"/>
    <s v="Flavor compositions"/>
    <m/>
    <s v="Food/beverage flavor formulation"/>
    <s v="Natural extracts, Aroma chemicals"/>
    <s v="-"/>
    <s v="Flavor blend, Essential oil, Aroma molecule"/>
    <s v="Extraction/fermentation/synthesis → Flavor composition"/>
    <n v="0.0255659128814585"/>
    <m/>
  </r>
  <r>
    <n v="198"/>
    <s v="Flavors and fragrances"/>
    <x v="19"/>
    <s v="Fragrance compositions"/>
    <m/>
    <s v="Fine fragrance / household fragrance formulation"/>
    <s v="BTX, Terpenes, Natural extracts"/>
    <s v="△"/>
    <s v="Fragrance compound, Musk, Terpenoid"/>
    <s v="Aroma chemical + natural extract → Fragrance formulation"/>
    <n v="0.0255659128814585"/>
    <m/>
  </r>
  <r>
    <n v="199"/>
    <s v="Flavors and fragrances"/>
    <x v="19"/>
    <s v="Essential oils/ natural extracts"/>
    <m/>
    <s v="Natural flavor/fragrance oil"/>
    <s v="Botanical feedstock"/>
    <s v="-"/>
    <s v="Essential oil, Oleoresin, Extract"/>
    <s v="Plant extraction/distillation → Natural extract"/>
    <n v="0.0255659128814585"/>
    <m/>
  </r>
  <r>
    <n v="200"/>
    <s v="Flavors and fragrances"/>
    <x v="19"/>
    <s v="Aroma chemicals"/>
    <m/>
    <s v="Synthetic aroma chemical"/>
    <s v="Benzene, Toluene, Isoprene, Turpentine"/>
    <s v="△"/>
    <s v="Benzenoid, Terpenoid, Musk intermediate"/>
    <s v="BTX/isoprene/turpentine → Aroma chemical"/>
    <n v="0.0255659128814585"/>
    <m/>
  </r>
  <r>
    <n v="201"/>
    <s v="Food additives"/>
    <x v="20"/>
    <s v="Modified starchese"/>
    <m/>
    <s v="Texture/thickening modified starch"/>
    <s v="Corn, Tapioca, Potato starch"/>
    <s v="-"/>
    <s v="Modified starch"/>
    <s v="Biomass starch → Chemical/enzymatic modification → Food starch"/>
    <n v="0.0244557554042033"/>
    <m/>
  </r>
  <r>
    <n v="202"/>
    <s v="Food additives"/>
    <x v="20"/>
    <s v="Thickeners and stabilizers (excluding starches)"/>
    <m/>
    <s v="Hydrocolloid stabilizer"/>
    <s v="Seaweed, Cellulose, Fermentation feed"/>
    <s v="-"/>
    <s v="Carrageenan, CMC, Xanthan gum"/>
    <s v="Biomass/fermentation → Hydrocolloid → Food stabilizer"/>
    <n v="0.0244557554042033"/>
    <m/>
  </r>
  <r>
    <n v="203"/>
    <s v="Food additives"/>
    <x v="20"/>
    <s v="High-intensity sweeteners"/>
    <m/>
    <s v="Low-calorie sweetener"/>
    <s v="Aspartic acid, Phenylalanine, Chlorinated sugar, Stevia leaf"/>
    <s v="-"/>
    <s v="Aspartame, Sucralose, Stevia extract"/>
    <s v="Fermentation/sugar chemistry/extraction → High-intensity sweetener"/>
    <n v="0.0244557554042033"/>
    <m/>
  </r>
  <r>
    <n v="204"/>
    <s v="Food additives"/>
    <x v="20"/>
    <s v="Other specialty sweeteners"/>
    <m/>
    <s v="Polyol/rare sugar sweetener"/>
    <s v="Glucose, Starch, Hydrogen"/>
    <s v="-"/>
    <s v="Sorbitol, Xylitol, Erythritol, Allulose"/>
    <s v="Biomass sugar → Hydrogenation/fermentation → Specialty sweetener"/>
    <n v="0.0244557554042033"/>
    <m/>
  </r>
  <r>
    <n v="205"/>
    <s v="Food additives"/>
    <x v="20"/>
    <s v="Emulsifiers"/>
    <m/>
    <s v="Food emulsifier"/>
    <s v="Vegetable oil, Glycerol, Sorbitol"/>
    <s v="-"/>
    <s v="Mono-/diglyceride, Polysorbate, Lecithin"/>
    <s v="Oleochemical/glycerol/EO → Food emulsifier"/>
    <n v="0.0244557554042033"/>
    <m/>
  </r>
  <r>
    <n v="206"/>
    <s v="Food additives"/>
    <x v="20"/>
    <s v="Colorants"/>
    <m/>
    <s v="Food color"/>
    <s v="Botanical extract, Minerals, Aromatics"/>
    <s v="-"/>
    <s v="Natural color, Synthetic dye, Lake pigment"/>
    <s v="Extraction/mineral/BTX → Food colorant"/>
    <n v="0.0244557554042033"/>
    <m/>
  </r>
  <r>
    <n v="207"/>
    <s v="Food additives"/>
    <x v="20"/>
    <s v="Enzymes"/>
    <m/>
    <s v="Baking/brewing/dairy enzyme"/>
    <s v="Sugar, Fermentation medium"/>
    <s v="-"/>
    <s v="Amylase, Protease, Lipase"/>
    <s v="Biomass/sugar → Fermentation → Food enzyme"/>
    <n v="0.0244557554042033"/>
    <m/>
  </r>
  <r>
    <n v="208"/>
    <s v="Food additives"/>
    <x v="20"/>
    <s v="Preservatives"/>
    <m/>
    <s v="Shelf-life extender / antimicrobial additive"/>
    <s v="Toluene, Propylene, Fermentation feed"/>
    <s v="△"/>
    <s v="Benzoate, Sorbate, Propionate"/>
    <s v="BTX/olefin/fermentation → Preservative"/>
    <n v="0.0244557554042033"/>
    <m/>
  </r>
  <r>
    <n v="209"/>
    <s v="Food additives"/>
    <x v="20"/>
    <s v="Antioxidants"/>
    <m/>
    <s v="Food oxidation inhibitor"/>
    <s v="Benzene, Natural tocopherol source"/>
    <s v="△"/>
    <s v="BHT/BHA/TBHQ, Tocopherol"/>
    <s v="BTX/natural oil → Antioxidant → Food additive"/>
    <n v="0.0244557554042033"/>
    <m/>
  </r>
  <r>
    <n v="210"/>
    <s v="Feed additives"/>
    <x v="21"/>
    <s v="Carotenoids"/>
    <m/>
    <s v="Poultry/aquaculture pigmentation additive"/>
    <s v="C5 isoprene, Natural extract"/>
    <s v="-"/>
    <s v="Astaxanthin, Canthaxanthin"/>
    <s v="Isoprene/natural route → Carotenoid feed additive"/>
    <n v="0.0243946421399239"/>
    <m/>
  </r>
  <r>
    <n v="211"/>
    <s v="Feed additives"/>
    <x v="21"/>
    <s v="Vitamins"/>
    <m/>
    <s v="Animal nutrition vitamin premix active"/>
    <s v="Glucose, Acetone, Isoprene"/>
    <s v="-"/>
    <s v="Vitamins A/E/B/C intermediates"/>
    <s v="Petrochemical/fermentation → Vitamin active"/>
    <n v="0.0243946421399239"/>
    <m/>
  </r>
  <r>
    <n v="212"/>
    <s v="Feed additives"/>
    <x v="21"/>
    <s v="Phosphate"/>
    <m/>
    <s v="Feed-grade phosphate mineral"/>
    <s v="Phosphate rock, Sulfuric acid"/>
    <s v="-"/>
    <s v="MCP, DCP, MDCP"/>
    <s v="Phosphate rock → Phosphoric acid → Feed phosphate"/>
    <n v="0.0243946421399239"/>
    <m/>
  </r>
  <r>
    <n v="213"/>
    <s v="Feed additives"/>
    <x v="21"/>
    <s v="Amino acids"/>
    <m/>
    <s v="Feed amino acid for poultry/swine"/>
    <s v="Sugar, Ammonia"/>
    <s v="-"/>
    <s v="Lysine, Methionine, Threonine, Tryptophan"/>
    <s v="Fermentation/petrochemical sulfur chemistry → Feed amino acid"/>
    <n v="0.0243946421399239"/>
    <m/>
  </r>
  <r>
    <n v="214"/>
    <s v="Feed additives"/>
    <x v="21"/>
    <s v="Nonprotein nitrogen"/>
    <m/>
    <s v="Ruminant nitrogen source"/>
    <s v="Natural gas, Ammonia"/>
    <s v="-"/>
    <s v="Urea"/>
    <s v="Natural gas → Ammonia → Urea → Feed NPN"/>
    <n v="0.0243946421399239"/>
    <m/>
  </r>
  <r>
    <n v="215"/>
    <s v="Feed additives"/>
    <x v="21"/>
    <s v="Enzymes"/>
    <m/>
    <s v="Feed enzyme for digestibility improvement"/>
    <s v="Sugar, Fermentation medium"/>
    <s v="-"/>
    <s v="Phytase, NSP enzyme, Protease"/>
    <s v="Biomass/sugar → Fermentation → Feed enzyme"/>
    <n v="0.0243946421399239"/>
    <m/>
  </r>
  <r>
    <n v="216"/>
    <s v="Lubricants, synthetic"/>
    <x v="22"/>
    <s v="Polyalphaolefins"/>
    <m/>
    <s v="PAO synthetic base oil for premium automotive/industrial lubricant"/>
    <s v="Ethylene"/>
    <s v="○"/>
    <s v="LAO, Decene"/>
    <s v="Ethylene → LAO/Decene → PAO → Synthetic lubricant"/>
    <n v="0.0230256712917403"/>
    <s v="Δ"/>
  </r>
  <r>
    <n v="217"/>
    <s v="Lubricants, synthetic"/>
    <x v="22"/>
    <s v="Polyol esters"/>
    <m/>
    <s v="High-temperature ester base oil for aviation/industrial lubricant"/>
    <s v="Propylene, Oleochemical"/>
    <s v="△"/>
    <s v="Polyol, Fatty acid"/>
    <s v="Propylene → Polyol + Fatty acid → Polyol ester"/>
    <n v="0.0230256712917403"/>
    <s v="Δ"/>
  </r>
  <r>
    <n v="218"/>
    <s v="Lubricants, synthetic"/>
    <x v="22"/>
    <s v="Polyalkylene glycols"/>
    <m/>
    <s v="PAG base oil for compressor, gear and EV fluids"/>
    <s v="Ethylene, Propylene"/>
    <s v="○"/>
    <s v="EO, PO, PAG"/>
    <s v="Ethylene/Propylene → EO/PO → PAG → Synthetic lubricant"/>
    <n v="0.0230256712917403"/>
    <s v="Δ"/>
  </r>
  <r>
    <n v="219"/>
    <s v="Lubricants, synthetic"/>
    <x v="22"/>
    <s v="Di-/tribasic esters"/>
    <m/>
    <s v="Diester/triester base oil for low-temperature lubricant"/>
    <s v="C4, C6/C8 acids, Alcohols"/>
    <s v="○"/>
    <s v="Dibasic acid, Monoalcohol"/>
    <s v="Olefin/paraffin oxidation + Alcohol → Di-/triester lubricant"/>
    <n v="0.0230256712917403"/>
    <s v="Δ"/>
  </r>
  <r>
    <n v="220"/>
    <s v="Lubricants, synthetic"/>
    <x v="22"/>
    <s v="Polybutenes"/>
    <m/>
    <s v="Polybutene base oil/tackifier for lubricants and greases"/>
    <s v="C4"/>
    <s v="○"/>
    <s v="Isobutylene, Polybutene"/>
    <s v="C4 stream → Isobutylene → Polybutene"/>
    <n v="0.0230256712917403"/>
    <s v="Δ"/>
  </r>
  <r>
    <n v="221"/>
    <s v="Lubricants, synthetic"/>
    <x v="22"/>
    <s v="Phosphate esters"/>
    <m/>
    <s v="Fire-resistant hydraulic fluid base stock"/>
    <s v="Benzene, Phosphorus"/>
    <s v="△"/>
    <s v="Phenol, Phosphate ester"/>
    <s v="Benzene → Phenol + Phosphorus chemistry → Phosphate ester"/>
    <n v="0.0230256712917403"/>
    <s v="Δ"/>
  </r>
  <r>
    <n v="222"/>
    <s v="Lubricants, synthetic"/>
    <x v="22"/>
    <s v="Alkylated aromatics"/>
    <m/>
    <s v="Alkylbenzene/alkylnaphthalene synthetic base oil"/>
    <s v="Benzene, Naphthalene, LAO"/>
    <s v="○"/>
    <s v="Alkylbenzene, Alkylnaphthalene"/>
    <s v="Aromatics + Olefin → Alkylated aromatic base oil"/>
    <n v="0.0230256712917403"/>
    <s v="Δ"/>
  </r>
  <r>
    <n v="223"/>
    <s v="Lubricants, synthetic"/>
    <x v="22"/>
    <s v="Other specialties"/>
    <m/>
    <s v="Silicone/fluorinated/PPE specialty lubricant for extreme conditions"/>
    <s v="Silicon, Fluorspar, Benzene"/>
    <s v="△"/>
    <s v="Silicone fluid, PFPE, Polyphenyl ether"/>
    <s v="Silicon/fluorochemical/aromatics → Specialty lubricant"/>
    <n v="0.0230256712917403"/>
    <s v="Δ"/>
  </r>
  <r>
    <n v="224"/>
    <s v="Paper chemicals"/>
    <x v="23"/>
    <s v="Pulp and fiber treatment"/>
    <s v="Bleaching specialties"/>
    <s v="Bleaching specialty for pulp brightness"/>
    <s v="Sulfur, Chlorine, Phosphorus"/>
    <s v="-"/>
    <s v="Chelant, Reducing agent, Peroxide stabilizer"/>
    <s v="Inorganic/C2 chemistry → Bleaching specialty"/>
    <n v="0.0168213516605007"/>
    <m/>
  </r>
  <r>
    <n v="225"/>
    <s v="Paper chemicals"/>
    <x v="23"/>
    <s v="Pulp and fiber treatment"/>
    <s v="Deinking agents"/>
    <s v="Wastepaper recycling deinking chemical"/>
    <s v="EO/PO, Fatty acid"/>
    <s v="△"/>
    <s v="Surfactant, Collector, Dispersant"/>
    <s v="Oleochemical/EO/PO → Deinking formulation"/>
    <n v="0.0168213516605007"/>
    <m/>
  </r>
  <r>
    <n v="226"/>
    <s v="Paper chemicals"/>
    <x v="23"/>
    <s v="Pulp and fiber treatment"/>
    <s v="Enzymes"/>
    <s v="Pulp modification enzyme"/>
    <s v="Sugar, Fermentation medium"/>
    <s v="-"/>
    <s v="Cellulase, Xylanase"/>
    <s v="Biomass/sugar → Fermentation → Paper enzyme"/>
    <n v="0.0168213516605007"/>
    <m/>
  </r>
  <r>
    <n v="227"/>
    <s v="Paper chemicals"/>
    <x v="23"/>
    <s v="Processing aids"/>
    <s v="Specialty biocidesa"/>
    <s v="Microbial control for paper mill process"/>
    <s v="Chlorine, Isothiazolinone feed"/>
    <s v="-"/>
    <s v="Isothiazolinone, DBNPA, Glutaraldehyde"/>
    <s v="Chlorine/C1/specialty intermediate → Paper biocide"/>
    <n v="0.0168213516605007"/>
    <m/>
  </r>
  <r>
    <n v="228"/>
    <s v="Paper chemicals"/>
    <x v="23"/>
    <s v="Processing aids"/>
    <s v="Defoamers"/>
    <s v="Foam control agent for papermaking"/>
    <s v="Silicon, Mineral oil, Fatty acid"/>
    <s v="-"/>
    <s v="Silicone defoamer, Oil-based defoamer"/>
    <s v="Silicone/mineral oil/oleochemical → Defoamer"/>
    <n v="0.0168213516605007"/>
    <m/>
  </r>
  <r>
    <n v="229"/>
    <s v="Paper chemicals"/>
    <x v="23"/>
    <s v="Processing aids"/>
    <s v="Pitch-control agents"/>
    <s v="Deposit/pitch control chemical"/>
    <s v="Talc, Surfactant, Polymer feed"/>
    <s v="-"/>
    <s v="Dispersant, Fixing agent, Talc"/>
    <s v="Mineral/polymer/surfactant → Pitch control additive"/>
    <n v="0.0168213516605007"/>
    <m/>
  </r>
  <r>
    <n v="230"/>
    <s v="Paper chemicals"/>
    <x v="23"/>
    <s v="Processing aids"/>
    <s v="Retention/drainage aids"/>
    <s v="Retention and drainage polymer"/>
    <s v="Propylene, Acrylonitrile"/>
    <s v="△"/>
    <s v="Acrylamide, Polyacrylamide, Cationic polymer"/>
    <s v="Propylene → Acrylamide → Retention aid polymer"/>
    <n v="0.0168213516605007"/>
    <m/>
  </r>
  <r>
    <n v="231"/>
    <s v="Paper chemicals"/>
    <x v="23"/>
    <s v="Functional chemicalsb"/>
    <s v="Dry-strength additives"/>
    <s v="Paper strength resin"/>
    <s v="Starch, Acrylamide"/>
    <s v="-"/>
    <s v="Cationic starch, Polyacrylamide"/>
    <s v="Biomass/propylene → Strength polymer"/>
    <n v="0.0168213516605007"/>
    <m/>
  </r>
  <r>
    <n v="232"/>
    <s v="Paper chemicals"/>
    <x v="23"/>
    <s v="Functional chemicalsb"/>
    <s v="Wet-strength resins"/>
    <s v="Tissue/packaging wet-strength resin"/>
    <s v="Epichlorohydrin, Amine"/>
    <s v="-"/>
    <s v="PAE resin"/>
    <s v="Propylene/chlorine + amine → Wet-strength resin"/>
    <n v="0.0168213516605007"/>
    <m/>
  </r>
  <r>
    <n v="233"/>
    <s v="Paper chemicals"/>
    <x v="23"/>
    <s v="Functional chemicalsb"/>
    <s v="Specialty paper sizes"/>
    <s v="Water resistance sizing agent"/>
    <s v="Rosin, C16/C18 olefin, Styrene"/>
    <s v="△"/>
    <s v="AKD, ASA, Rosin size"/>
    <s v="Oleochemical/olefin/styrene → Sizing agent"/>
    <n v="0.0168213516605007"/>
    <m/>
  </r>
  <r>
    <n v="234"/>
    <s v="Paper chemicals"/>
    <x v="23"/>
    <s v="Functional chemicalsb"/>
    <s v="Dyes, pigments and fluorescent whitening agents"/>
    <s v="Paper colorant/brightener"/>
    <s v="BTX, Minerals"/>
    <s v="△"/>
    <s v="Direct dye, Pigment, FWA"/>
    <s v="Aromatics/mineral → Paper colorant/brightener"/>
    <n v="0.0168213516605007"/>
    <m/>
  </r>
  <r>
    <n v="235"/>
    <s v="Paper chemicals"/>
    <x v="23"/>
    <s v="Functional chemicalsb"/>
    <s v="Coating binders and additives"/>
    <s v="Coated paper binder/additive"/>
    <s v="Styrene, Butadiene, Acrylic acid"/>
    <s v="△"/>
    <s v="SBR latex, Acrylic latex, Starch binder"/>
    <s v="BTX/C4/acrylic chain → Coating binder"/>
    <n v="0.0168213516605007"/>
    <m/>
  </r>
  <r>
    <n v="236"/>
    <s v="Paper chemicals"/>
    <x v="23"/>
    <s v="Functional chemicalsb"/>
    <s v="Specialty coatings"/>
    <s v="Barrier/coated packaging chemical"/>
    <s v="Acrylic acid, Wax, Fluorine alternative, Bio-polymer"/>
    <s v="△"/>
    <s v="Barrier coating, Release coating"/>
    <s v="Acrylic/oleochemical/biopolymer → Specialty paper coating"/>
    <n v="0.0168213516605007"/>
    <m/>
  </r>
  <r>
    <n v="237"/>
    <s v="Construction chemicals"/>
    <x v="24"/>
    <s v="Concrete admixtures"/>
    <m/>
    <s v="Superplasticizer/accelerator/retarder"/>
    <s v="EO, Propylene, Naphthalene"/>
    <s v="△"/>
    <s v="PCE, SNF, Lignosulfonate, Accelerator"/>
    <s v="EO/propylene/aromatics → Concrete admixture"/>
    <n v="0.0147205457538071"/>
    <m/>
  </r>
  <r>
    <n v="238"/>
    <s v="Construction chemicals"/>
    <x v="24"/>
    <s v="Asphalt additives"/>
    <m/>
    <s v="Polymer-modified asphalt additive"/>
    <s v="C4, Styrene, Sulfur"/>
    <s v="△"/>
    <s v="SBS, SBR, Adhesion promoter"/>
    <s v="C4/BTX → Styrenic elastomer/additive → Asphalt modifier"/>
    <n v="0.0147205457538071"/>
    <m/>
  </r>
  <r>
    <n v="239"/>
    <s v="Construction chemicals"/>
    <x v="24"/>
    <s v="Specialty adhesives and sealants"/>
    <m/>
    <s v="Construction adhesive/sealant"/>
    <s v="Benzene, Propylene, Silicon"/>
    <s v="△"/>
    <s v="Epoxy, PU, Silicone, Acrylic resin"/>
    <s v="BTX/PO/silicone/acrylic chain → Construction A&amp;S"/>
    <n v="0.0147205457538071"/>
    <m/>
  </r>
  <r>
    <n v="240"/>
    <s v="Construction chemicals"/>
    <x v="24"/>
    <s v="Specialty coatings"/>
    <m/>
    <s v="Floor/roof/waterproofing coating"/>
    <s v="Propylene, Benzene, PO, Silicon"/>
    <s v="△"/>
    <s v="Acrylic, Epoxy, PU, Silicone coating resin"/>
    <s v="Acrylic/epoxy/PU/silicone chain → Construction coating"/>
    <n v="0.0147205457538071"/>
    <m/>
  </r>
  <r>
    <n v="241"/>
    <s v="Construction chemicals"/>
    <x v="24"/>
    <s v="Insulation"/>
    <m/>
    <s v="PU spray foam / insulation chemical"/>
    <s v="Propylene, Benzene/Toluene"/>
    <s v="○"/>
    <s v="Polyol, MDI/TDI"/>
    <s v="PO/EO → Polyol + Aromatics → Isocyanate → Insulation foam"/>
    <n v="0.0147205457538071"/>
    <m/>
  </r>
  <r>
    <n v="242"/>
    <s v="Mining chemicals"/>
    <x v="25"/>
    <s v="Flotation reagents"/>
    <s v="Frothers"/>
    <s v="Mineral flotation frother"/>
    <s v="Propylene, C4, MIBC feed"/>
    <s v="△"/>
    <s v="MIBC, Glycol ether, Alcohol frother"/>
    <s v="Olefin/ketone/alcohol chain → Frother"/>
    <n v="0.025758560846054"/>
    <m/>
  </r>
  <r>
    <n v="243"/>
    <s v="Mining chemicals"/>
    <x v="25"/>
    <s v="Flotation reagents"/>
    <s v="Sulfide collectors"/>
    <s v="Sulfide ore collector"/>
    <s v="Alcohol, CS₂, Phosphorus"/>
    <s v="△"/>
    <s v="Xanthate, Dithiophosphate"/>
    <s v="Alcohol + CS₂/phosphorus chemistry → Sulfide collector"/>
    <n v="0.0187700813283682"/>
    <m/>
  </r>
  <r>
    <n v="244"/>
    <s v="Mining chemicals"/>
    <x v="25"/>
    <s v="Flotation reagents"/>
    <s v="Other collectors"/>
    <s v="Oxide/nonmetallic ore collector"/>
    <s v="Fatty acid, Amine, Phosphate ester"/>
    <s v="-"/>
    <s v="Fatty amine, Fatty acid collector"/>
    <s v="Oleochemical/amine/phosphate → Collector"/>
    <n v="0.026646211792539"/>
    <m/>
  </r>
  <r>
    <n v="245"/>
    <s v="Mining chemicals"/>
    <x v="25"/>
    <s v="Flocculants"/>
    <m/>
    <s v="Tailings thickening/dewatering flocculant"/>
    <s v="Propylene, Acrylonitrile"/>
    <s v="△"/>
    <s v="Acrylamide, Polyacrylamide"/>
    <s v="Propylene → Acrylonitrile/Acrylamide → Flocculant"/>
    <n v="0.0102025307808655"/>
    <m/>
  </r>
  <r>
    <n v="246"/>
    <s v="Mining chemicals"/>
    <x v="25"/>
    <s v="Solvent extractants"/>
    <m/>
    <s v="Copper/nickel/uranium solvent extractant"/>
    <s v="Benzene, Oxo alcohol, Phosphorus"/>
    <s v="△"/>
    <s v="Oxime, Phosphoric extractant"/>
    <s v="BTX/oxo alcohol/phosphorus → Solvent extractant"/>
    <n v="0.0102025307808655"/>
    <m/>
  </r>
  <r>
    <n v="247"/>
    <s v="Mining chemicals"/>
    <x v="25"/>
    <s v="Dry grinding aids"/>
    <m/>
    <s v="Cement/mineral dry grinding aid"/>
    <s v="EO/PO, Amine"/>
    <s v="△"/>
    <s v="Glycol, Triethanolamine"/>
    <s v="Ethylene/propylene → EO/PO/amine → Grinding aid"/>
    <n v="0.0102025307808655"/>
    <m/>
  </r>
  <r>
    <n v="248"/>
    <s v="Mining chemicals"/>
    <x v="25"/>
    <s v="Wet grinding aids"/>
    <m/>
    <s v="Mineral slurry wet grinding aid"/>
    <s v="Acrylic acid, EO/PO"/>
    <s v="△"/>
    <s v="Polyacrylate, Dispersant"/>
    <s v="Propylene/EO/PO → Dispersant → Wet grinding aid"/>
    <n v="0.0102025307808655"/>
    <m/>
  </r>
  <r>
    <n v="249"/>
    <s v="Mining chemicals"/>
    <x v="25"/>
    <s v="Rheology modifiers"/>
    <m/>
    <s v="Slurry rheology modifier"/>
    <s v="Acrylic acid, Natural gum"/>
    <s v="△"/>
    <s v="Polyacrylate, Cellulose ether, Xanthan"/>
    <s v="Acrylic/biopolymer → Rheology modifier"/>
    <n v="0.0102025307808655"/>
    <m/>
  </r>
  <r>
    <n v="250"/>
    <s v="Lubricating oil additives"/>
    <x v="26"/>
    <s v="Dispersants"/>
    <m/>
    <s v="Ashless dispersant for engine oil"/>
    <s v="C4, Polybutene, Amine"/>
    <s v="△"/>
    <s v="PIBSA, Succinimide dispersant"/>
    <s v="C4 → PIB → PIBSA + Amine → Dispersant"/>
    <n v="0.00703813033353295"/>
    <m/>
  </r>
  <r>
    <n v="251"/>
    <s v="Lubricating oil additives"/>
    <x v="26"/>
    <s v="Detergents"/>
    <m/>
    <s v="Metal detergent for engine oil"/>
    <s v="Benzene, Olefin, Calcium"/>
    <s v="△"/>
    <s v="Alkylbenzene sulfonate, Phenate, Salicylate"/>
    <s v="Aromatics/olefin + metal base → Detergent additive"/>
    <n v="0.00703813033353295"/>
    <m/>
  </r>
  <r>
    <n v="252"/>
    <s v="Lubricating oil additives"/>
    <x v="26"/>
    <s v="EP/antiwear agents"/>
    <m/>
    <s v="ZDDP / EP antiwear additive"/>
    <s v="Alcohol, Phosphorus, Sulfur, Zinc"/>
    <s v="-"/>
    <s v="ZDDP, Phosphate/sulfurized additive"/>
    <s v="Alcohol + P/S/Zn chemistry → Anti-wear additive"/>
    <n v="0.00703813033353295"/>
    <m/>
  </r>
  <r>
    <n v="253"/>
    <s v="Lubricating oil additives"/>
    <x v="26"/>
    <s v="Antioxidants"/>
    <m/>
    <s v="Amine/phenolic antioxidant for lubricants"/>
    <s v="Benzene, Propylene"/>
    <s v="○"/>
    <s v="Alkylated diphenylamine, Hindered phenol"/>
    <s v="BTX/propylene → Antioxidant intermediate → LOA antioxidant"/>
    <n v="0.00703813033353295"/>
    <m/>
  </r>
  <r>
    <n v="254"/>
    <s v="Lubricating oil additives"/>
    <x v="26"/>
    <s v="Corrosion inhibitors"/>
    <m/>
    <s v="Rust/corrosion inhibitor"/>
    <s v="Fatty acid, Benzene, Nitrogen"/>
    <s v="△"/>
    <s v="Sulfonate, Amine, Azole derivative"/>
    <s v="Oleochemical/BTX/N chemistry → Corrosion inhibitor"/>
    <n v="0.00703813033353295"/>
    <m/>
  </r>
  <r>
    <n v="255"/>
    <s v="Lubricating oil additives"/>
    <x v="26"/>
    <s v="VI improvers"/>
    <m/>
    <s v="Viscosity index improver polymer"/>
    <s v="Ethylene, Propylene, Methacrylate"/>
    <s v="△"/>
    <s v="OCP, PMA, Hydrogenated styrene-diene polymer"/>
    <s v="Olefin/acrylate/styrenic chain → VI improver"/>
    <n v="0.00703813033353295"/>
    <m/>
  </r>
  <r>
    <n v="256"/>
    <s v="Lubricating oil additives"/>
    <x v="26"/>
    <s v="Other additives"/>
    <m/>
    <s v="Pour point depressant/friction modifier/defoamer"/>
    <s v="Acrylate, Fatty acid, Silicon"/>
    <s v="△"/>
    <s v="PPD, Friction modifier, Silicone defoamer"/>
    <s v="Acrylic/oleochemical/silicone chain → Specialty LOA"/>
    <n v="0.00703813033353295"/>
    <m/>
  </r>
  <r>
    <n v="257"/>
    <s v="Oil field chemicals"/>
    <x v="27"/>
    <s v="Drilling fluid additives"/>
    <s v="Water-based fluids"/>
    <s v="Water-based mud additive"/>
    <s v="Propylene, Cellulose, Starch"/>
    <s v="△"/>
    <s v="PAC, CMC, Polyacrylamide, Xanthan"/>
    <s v="Biomass/acrylic chain → Water-based drilling additive"/>
    <n v="0.0155944511945081"/>
    <m/>
  </r>
  <r>
    <n v="258"/>
    <s v="Oil field chemicals"/>
    <x v="27"/>
    <s v="Drilling fluid additives"/>
    <s v="Oil-based fluids"/>
    <s v="Oil-based mud emulsifier/wetting agent"/>
    <s v="Base oil, Fatty acid, Amine"/>
    <s v="-"/>
    <s v="Organophilic clay, Emulsifier, Wetting agent"/>
    <s v="Base oil/oleochemical/amine → OBM additive"/>
    <n v="0.008526451462820051"/>
    <m/>
  </r>
  <r>
    <n v="259"/>
    <s v="Oil field chemicals"/>
    <x v="27"/>
    <s v="Drilling fluid additives"/>
    <s v="Synthetic-based fluidsa"/>
    <s v="Synthetic drilling fluid additive"/>
    <s v="LAO, Ester, Internal olefin"/>
    <s v="△"/>
    <s v="Synthetic base fluid, Emulsifier"/>
    <s v="Ethylene/olefin/ester → Synthetic drilling fluid"/>
    <n v="0.009912568465938239"/>
    <m/>
  </r>
  <r>
    <n v="260"/>
    <s v="Oil field chemicals"/>
    <x v="27"/>
    <s v="Cementing additives"/>
    <m/>
    <s v="Cement dispersant/retarder/fluid loss additive"/>
    <s v="EO/PO, Naphthalene, Cellulose"/>
    <s v="△"/>
    <s v="Lignosulfonate, PCE, Cellulose ether"/>
    <s v="Aromatics/EO/PO/cellulose → Cementing additive"/>
    <n v="0.00330376083479766"/>
    <m/>
  </r>
  <r>
    <n v="261"/>
    <s v="Oil field chemicals"/>
    <x v="27"/>
    <s v="Workover and completion fluid additives"/>
    <m/>
    <s v="Completion brine additive / corrosion inhibitor"/>
    <s v="Inorganic salts, Amine, Solvent"/>
    <s v="-"/>
    <s v="Brine additive, Corrosion inhibitor"/>
    <s v="Inorganic salt + amine/solvent → Completion fluid chemical"/>
    <n v="0.00330376083479766"/>
    <m/>
  </r>
  <r>
    <n v="262"/>
    <s v="Oil field chemicals"/>
    <x v="27"/>
    <s v="Stimulation chemicals"/>
    <s v="Acidizing additives"/>
    <s v="Acidizing corrosion inhibitor/diverter"/>
    <s v="HCl, Amine, Surfactant feed"/>
    <s v="-"/>
    <s v="Acid corrosion inhibitor, Surfactant, Diverter"/>
    <s v="Inorganic acid + amine/surfactant → Acidizing chemical"/>
    <n v="0.00802092477393046"/>
    <m/>
  </r>
  <r>
    <n v="263"/>
    <s v="Oil field chemicals"/>
    <x v="27"/>
    <s v="Stimulation chemicals"/>
    <s v="Fracturing additives"/>
    <s v="Friction reducer / gelling agent / breaker"/>
    <s v="Propylene, Guar, Persulfate"/>
    <s v="△"/>
    <s v="Polyacrylamide, Guar gum, Breaker"/>
    <s v="Acrylic/biopolymer/inorganic → Fracturing additive"/>
    <n v="0.0605277101964878"/>
    <m/>
  </r>
  <r>
    <n v="264"/>
    <s v="Oil field chemicals"/>
    <x v="27"/>
    <s v="Oil production chemicals"/>
    <s v="Asset integrity"/>
    <s v="Corrosion/scale/biocide production chemical"/>
    <s v="Amine, Phosphorus, Chlorine"/>
    <s v="-"/>
    <s v="Corrosion inhibitor, Scale inhibitor, Biocide"/>
    <s v="Amine/phosphonate/biocide chain → Asset integrity chemical"/>
    <n v="0.00360191079018746"/>
    <m/>
  </r>
  <r>
    <n v="265"/>
    <s v="Oil field chemicals"/>
    <x v="27"/>
    <s v="Oil production chemicals"/>
    <s v="Flow assurance"/>
    <s v="Demulsifier/wax/asphaltene/hydrate inhibitor"/>
    <s v="EO/PO, Methanol, Aromatics"/>
    <s v="△"/>
    <s v="Demulsifier, MEG/Methanol, Pour point additive"/>
    <s v="EO/PO/C1/aromatics → Flow assurance chemical"/>
    <n v="-0.00733011621235302"/>
    <m/>
  </r>
  <r>
    <n v="266"/>
    <s v="Oil field chemicals"/>
    <x v="27"/>
    <s v="Oil production chemicals"/>
    <s v="Production maximization"/>
    <s v="EOR surfactant/polymer"/>
    <s v="Propylene, LAB, Acrylamide"/>
    <s v="△"/>
    <s v="Surfactant, Polyacrylamide, Alkali"/>
    <s v="LAB/acrylamide/alkali → EOR chemical"/>
    <n v="0.0142398882288319"/>
    <m/>
  </r>
  <r>
    <n v="267"/>
    <s v="Catalysts"/>
    <x v="28"/>
    <s v="Fluid catalytic cracking (FCC)"/>
    <m/>
    <s v="FCC catalyst/additive"/>
    <s v="Silica, Alumina, Rare earths"/>
    <s v="-"/>
    <s v="Zeolite Y, Matrix, ZSM-5 additive"/>
    <s v="Inorganic minerals/rare earth → Zeolite catalyst → FCC"/>
    <n v="0.00866812408544471"/>
    <m/>
  </r>
  <r>
    <n v="268"/>
    <s v="Catalysts"/>
    <x v="28"/>
    <s v="Hydrotreating"/>
    <m/>
    <s v="HDS/HDN hydrotreating catalyst"/>
    <s v="Molybdenum, Nickel, Cobalt, Alumina"/>
    <s v="-"/>
    <s v="CoMo/NiMo on alumina"/>
    <s v="Metal salts + Alumina → Hydrotreating catalyst"/>
    <n v="0.00135101141096605"/>
    <m/>
  </r>
  <r>
    <n v="269"/>
    <s v="Catalysts"/>
    <x v="28"/>
    <s v="Hydrocracking"/>
    <m/>
    <s v="Hydrocracking catalyst"/>
    <s v="Zeolite, Nickel, Tungsten, Alumina"/>
    <s v="-"/>
    <s v="NiW/Zeolite bifunctional catalyst"/>
    <s v="Zeolite/alumina + metals → Hydrocracking catalyst"/>
    <n v="0.00752921728828104"/>
    <m/>
  </r>
  <r>
    <n v="270"/>
    <s v="Catalysts"/>
    <x v="28"/>
    <s v="Catalytic reforming"/>
    <m/>
    <s v="Reforming catalyst for aromatics/octane"/>
    <s v="Platinum, Rhenium, Alumina, Chlorine"/>
    <s v="-"/>
    <s v="Pt-Re/Alumina catalyst"/>
    <s v="Precious metal + Alumina → Reforming catalyst"/>
    <n v="-0.00700674577273908"/>
    <m/>
  </r>
  <r>
    <n v="271"/>
    <s v="Catalysts"/>
    <x v="28"/>
    <s v="Isomerization"/>
    <m/>
    <s v="C5/C6 isomerization catalyst"/>
    <s v="Platinum, Chlorinated alumina, Zeolite"/>
    <s v="-"/>
    <s v="Pt/Alumina or Zeolite catalyst"/>
    <s v="Precious metal/inorganic support → Isomerization catalyst"/>
    <n v="-0.00984043253911759"/>
    <m/>
  </r>
  <r>
    <n v="272"/>
    <s v="Catalysts"/>
    <x v="28"/>
    <s v="Other refining catalysts"/>
    <m/>
    <s v="Alkylation, oligomerization, sulfur recovery catalyst"/>
    <s v="Zeolite, Acid, Alumina, Titanium"/>
    <s v="-"/>
    <s v="Solid acid catalyst, Claus catalyst"/>
    <s v="Inorganic/zeolite/acid chemistry → Refining catalyst"/>
    <n v="0"/>
    <m/>
  </r>
  <r>
    <n v="273"/>
    <s v="Catalysts"/>
    <x v="29"/>
    <s v="Gasoline engines"/>
    <s v="Gasoline vehicles"/>
    <s v="Three-way catalyst for passenger cars"/>
    <s v="Platinum, Palladium, Rhodium, Ceria"/>
    <s v="-"/>
    <s v="PGM washcoat, Ceramic substrate"/>
    <s v="PGM + Rare earth oxide + Ceramic substrate → TWC"/>
    <n v="-0.0409732414884565"/>
    <m/>
  </r>
  <r>
    <n v="274"/>
    <s v="Catalysts"/>
    <x v="29"/>
    <s v="Gasoline engines"/>
    <s v="Motorcycles and mopeds"/>
    <s v="Small engine oxidation/TWC catalyst"/>
    <s v="PGM, Ceramic substrate"/>
    <s v="-"/>
    <s v="PGM washcoat"/>
    <s v="PGM/ceramic → Small engine catalyst"/>
    <n v="-0.0409732414884565"/>
    <m/>
  </r>
  <r>
    <n v="275"/>
    <s v="Catalysts"/>
    <x v="29"/>
    <s v="Gasoline engines"/>
    <s v="Small utility engines"/>
    <s v="Small utility engine emission catalyst"/>
    <s v="PGM, Alumina, Ceria"/>
    <s v="-"/>
    <s v="Oxidation catalyst"/>
    <s v="PGM/oxide washcoat → Small engine catalyst"/>
    <n v="-0.0409732414884565"/>
    <m/>
  </r>
  <r>
    <n v="276"/>
    <s v="Catalysts"/>
    <x v="29"/>
    <s v="Diesel engines"/>
    <s v="Diesel light-duty vehicles"/>
    <s v="DOC/DPF/SCR system catalyst"/>
    <s v="Platinum, Palladium, Zeolite, Vanadium"/>
    <s v="-"/>
    <s v="DOC, DPF, SCR catalyst"/>
    <s v="PGM/zeolite/oxide → Diesel emission catalyst"/>
    <n v="-0.0409732414884565"/>
    <m/>
  </r>
  <r>
    <n v="277"/>
    <s v="Catalysts"/>
    <x v="29"/>
    <s v="Diesel engines"/>
    <s v="Medium and heavy-duty diesel vehicles"/>
    <s v="Heavy-duty SCR/DOC/DPF catalyst"/>
    <s v="Zeolite, Vanadium, Titanium, PGM"/>
    <s v="-"/>
    <s v="Cu/Fe-zeolite SCR, V₂O₅/TiO₂ SCR"/>
    <s v="Zeolite/metal oxide/PGM → Heavy-duty emission catalyst"/>
    <n v="-0.0409732414884565"/>
    <m/>
  </r>
  <r>
    <n v="278"/>
    <s v="Catalysts"/>
    <x v="29"/>
    <s v="Fossil fuel power plants"/>
    <m/>
    <s v="Stationary SCR catalyst for NOx control"/>
    <s v="Titanium, Vanadium, Tungsten, Zeolite"/>
    <s v="-"/>
    <s v="V₂O₅-WO₃/TiO₂ catalyst, Zeolite SCR"/>
    <s v="Ti/V/W oxide or Zeolite → Stationary SCR catalyst"/>
    <n v="-0.0409732414884565"/>
    <m/>
  </r>
  <r>
    <n v="279"/>
    <s v="Catalysts"/>
    <x v="29"/>
    <s v="Chemical and industrial processes"/>
    <m/>
    <s v="VOC/NOx/CO oxidation catalyst"/>
    <s v="Platinum, Palladium, Zeolite, Metal oxides"/>
    <s v="-"/>
    <s v="Oxidation catalyst, SCR catalyst"/>
    <s v="PGM/zeolite/metal oxide → Industrial emission catalyst"/>
    <n v="-0.0409732414884565"/>
    <m/>
  </r>
  <r>
    <n v="280"/>
    <s v="Catalysts"/>
    <x v="29"/>
    <s v="Other applications"/>
    <m/>
    <s v="Marine/locomotive/off-road emission catalyst"/>
    <s v="PGM, Zeolite, Ceramic substrate"/>
    <s v="-"/>
    <s v="SCR/DOC catalyst"/>
    <s v="PGM/zeolite/ceramic → Non-road emission catalyst"/>
    <n v="-0.0409732414884565"/>
    <m/>
  </r>
</pivotCacheRecords>
</file>

<file path=xl/pivotCache/pivotCacheRecords2.xml><?xml version="1.0" encoding="utf-8"?>
<pivotCacheRecords xmlns="http://schemas.openxmlformats.org/spreadsheetml/2006/main" count="465">
  <r>
    <x v="0"/>
    <s v="A06"/>
    <s v="E02"/>
    <n v="0.6"/>
    <s v="HDPE"/>
    <s v="Blow molding"/>
    <s v="Rigid packaging"/>
    <x v="0"/>
    <s v="Primary"/>
    <s v="2024년 27%로 최대 용도, 병·용기 중심"/>
    <s v="Existing"/>
    <m/>
  </r>
  <r>
    <x v="0"/>
    <s v="A05"/>
    <s v="E02"/>
    <n v="0.6"/>
    <s v="HDPE"/>
    <s v="Film and sheet"/>
    <s v="Flexible packaging"/>
    <x v="0"/>
    <s v="Primary"/>
    <s v="2024년 24%로 blow molding과 함께 핵심 수요"/>
    <s v="Existing"/>
    <m/>
  </r>
  <r>
    <x v="0"/>
    <s v="A09"/>
    <s v="E01"/>
    <n v="0.6"/>
    <s v="HDPE"/>
    <s v="Pipe and extrusion"/>
    <s v="Pipe &amp; fluid conveyance"/>
    <x v="1"/>
    <s v="Primary"/>
    <s v="2024년 20%, 인프라·배관 수요와 직접 연결"/>
    <s v="Existing"/>
    <m/>
  </r>
  <r>
    <x v="0"/>
    <s v="A04"/>
    <s v="E02"/>
    <n v="0.3"/>
    <s v="HDPE"/>
    <s v="Injection molding"/>
    <s v="Polymer resin / molding material"/>
    <x v="0"/>
    <s v="Secondary"/>
    <s v="2024년 17%로 주요 성형 application"/>
    <s v="Existing"/>
    <m/>
  </r>
  <r>
    <x v="0"/>
    <s v="A09"/>
    <s v="E01"/>
    <n v="0.3"/>
    <s v="HDPE"/>
    <s v="Water supply and durable storage containers"/>
    <s v="Pipe &amp; fluid conveyance"/>
    <x v="1"/>
    <s v="Secondary"/>
    <s v="물 공급·저장용 내구재로 사용"/>
    <s v="Existing"/>
    <m/>
  </r>
  <r>
    <x v="0"/>
    <s v="A16"/>
    <s v="E03"/>
    <n v="0.3"/>
    <s v="HDPE"/>
    <s v="Automotive fuel tanks and reservoirs"/>
    <s v="Automotive components &amp; lightweighting"/>
    <x v="2"/>
    <s v="Secondary"/>
    <s v="자동차 연료탱크·저장용기 적용"/>
    <s v="Existing"/>
    <m/>
  </r>
  <r>
    <x v="1"/>
    <s v="A05"/>
    <s v="E02"/>
    <n v="0.6"/>
    <s v="LDPE"/>
    <s v="Film and sheet"/>
    <s v="Flexible packaging"/>
    <x v="0"/>
    <s v="Primary"/>
    <s v="2024년 수요의 69%로 최대 용도"/>
    <s v="Existing"/>
    <m/>
  </r>
  <r>
    <x v="1"/>
    <s v="A07"/>
    <s v="E02"/>
    <n v="0.3"/>
    <s v="LDPE"/>
    <s v="Extrusion coating"/>
    <s v="Barrier packaging"/>
    <x v="0"/>
    <s v="Secondary"/>
    <s v="포장재 코팅 및 배리어 용도에서 중요한 2차 application"/>
    <s v="Existing"/>
    <m/>
  </r>
  <r>
    <x v="1"/>
    <s v="A13"/>
    <s v="E04"/>
    <n v="0.3"/>
    <s v="LDPE"/>
    <s v=" "/>
    <s v="Electrical insulation"/>
    <x v="3"/>
    <s v="Secondary"/>
    <s v="절연·재킷용으로 사용되나 비중은 제한적"/>
    <s v="Existing"/>
    <m/>
  </r>
  <r>
    <x v="1"/>
    <s v="A04"/>
    <s v="E02"/>
    <n v="0.3"/>
    <s v="LDPE"/>
    <s v="Injection molding"/>
    <s v="Polymer resin / molding material"/>
    <x v="0"/>
    <s v="Secondary"/>
    <s v="캡, 완구, 생활용품 등 성형품 용도"/>
    <s v="Existing"/>
    <m/>
  </r>
  <r>
    <x v="1"/>
    <s v="A09"/>
    <s v="E01"/>
    <n v="0.1"/>
    <s v="LDPE"/>
    <s v="Pipe and extrusion"/>
    <s v="Pipe &amp; fluid conveyance"/>
    <x v="1"/>
    <s v="Niche / Emerging"/>
    <s v="관·튜빙 용도는 2024년 약 2%로 제한적"/>
    <s v="Existing"/>
    <m/>
  </r>
  <r>
    <x v="1"/>
    <s v="A20"/>
    <s v="E07"/>
    <n v="0.1"/>
    <s v="LDPE"/>
    <s v="Adhesives and sealants"/>
    <s v="Adhesive bonding"/>
    <x v="4"/>
    <s v="Niche / Emerging"/>
    <s v="EVA계 hot-melt adhesive 등 특수 용도"/>
    <s v="Existing"/>
    <m/>
  </r>
  <r>
    <x v="2"/>
    <s v="A05"/>
    <s v="E02"/>
    <n v="0.6"/>
    <s v="LLDPE"/>
    <s v="Film and sheet"/>
    <s v="Flexible packaging"/>
    <x v="0"/>
    <s v="Primary"/>
    <s v="2023년 수요의 78%로 압도적 핵심 용도"/>
    <s v="Existing"/>
    <m/>
  </r>
  <r>
    <x v="2"/>
    <s v="A34"/>
    <s v="E06"/>
    <n v="0.3"/>
    <s v="LLDPE"/>
    <s v="Agricultural films"/>
    <s v="Agricultural productivity materials"/>
    <x v="5"/>
    <s v="Secondary"/>
    <s v="mulch film, greenhouse covering 등 농업필름 수요가 성장 동인"/>
    <s v="Existing"/>
    <m/>
  </r>
  <r>
    <x v="2"/>
    <s v="A04"/>
    <s v="E02"/>
    <n v="0.3"/>
    <s v="LLDPE"/>
    <s v="Injection molding"/>
    <s v="Polymer resin / molding material"/>
    <x v="0"/>
    <s v="Secondary"/>
    <s v="전체 대비 8% 수준의 의미 있는 성형 용도"/>
    <s v="Existing"/>
    <m/>
  </r>
  <r>
    <x v="2"/>
    <s v="A13"/>
    <s v="E04"/>
    <n v="0.1"/>
    <s v="LLDPE"/>
    <s v="Wire and cable"/>
    <s v="Electrical insulation"/>
    <x v="3"/>
    <s v="Niche / Emerging"/>
    <s v="수요 비중은 작지만 전선·케이블 용도 존재"/>
    <s v="Existing"/>
    <m/>
  </r>
  <r>
    <x v="3"/>
    <s v="A01"/>
    <s v="E07"/>
    <n v="0.6"/>
    <s v="EDC"/>
    <s v="Vinyl chloride monomer"/>
    <s v="Major chemical intermediate"/>
    <x v="4"/>
    <s v="Primary"/>
    <s v="EDC 소비의 99% 이상이 VCM 생산용"/>
    <s v="Existing"/>
    <m/>
  </r>
  <r>
    <x v="3"/>
    <s v="A02"/>
    <s v="E07"/>
    <n v="0.1"/>
    <s v="EDC"/>
    <s v="C2 chlorinated solvents"/>
    <s v="Specialty chemical intermediate"/>
    <x v="4"/>
    <s v="Niche / Emerging"/>
    <s v="PCE/TCE 등으로 연결되나 비중은 매우 작음"/>
    <s v="Existing"/>
    <m/>
  </r>
  <r>
    <x v="3"/>
    <s v="A02"/>
    <s v="E07"/>
    <n v="0.1"/>
    <s v="EDC"/>
    <s v="Ethyleneamines"/>
    <s v="Specialty chemical intermediate"/>
    <x v="4"/>
    <s v="Niche / Emerging"/>
    <s v="암모니아와 반응해 ethyleneamines 생산"/>
    <s v="Existing"/>
    <m/>
  </r>
  <r>
    <x v="4"/>
    <s v="A01"/>
    <s v="E07"/>
    <n v="0.6"/>
    <s v="VCM"/>
    <s v="Polyvinyl chloride resins"/>
    <s v="Major chemical intermediate"/>
    <x v="4"/>
    <s v="Primary"/>
    <s v="VCM은 거의 전량 PVC resin 생산에 사용"/>
    <s v="Existing"/>
    <m/>
  </r>
  <r>
    <x v="4"/>
    <s v="A03"/>
    <s v="E07"/>
    <n v="0.1"/>
    <s v="VCM"/>
    <s v="Polyvinylidene chloride copolymers"/>
    <s v="Reactive monomer / comonomer"/>
    <x v="4"/>
    <s v="Niche / Emerging"/>
    <s v="VDC/PVDC계 copolymer 용도는 부수적 application"/>
    <s v="Existing"/>
    <m/>
  </r>
  <r>
    <x v="5"/>
    <s v="A09"/>
    <s v="E01"/>
    <n v="0.6"/>
    <s v="PVC"/>
    <s v="Pipe and fittings"/>
    <s v="Pipe &amp; fluid conveyance"/>
    <x v="1"/>
    <s v="Primary"/>
    <s v="PVC의 최대·대표 용도이며 건설·인프라 수요와 직결"/>
    <s v="Existing"/>
    <m/>
  </r>
  <r>
    <x v="5"/>
    <s v="A10"/>
    <s v="E01"/>
    <n v="0.6"/>
    <s v="PVC"/>
    <s v="Rigid profiles"/>
    <s v="Building materials &amp; profiles"/>
    <x v="1"/>
    <s v="Primary"/>
    <s v="창호, 문, siding 등 rigid profile 주요 용도"/>
    <s v="Existing"/>
    <m/>
  </r>
  <r>
    <x v="5"/>
    <s v="A13"/>
    <s v="E04"/>
    <n v="0.3"/>
    <s v="PVC"/>
    <s v="Wire and cable insulation"/>
    <s v="Electrical insulation"/>
    <x v="3"/>
    <s v="Secondary"/>
    <s v="flexible PVC의 대표 전기 절연 용도"/>
    <s v="Existing"/>
    <m/>
  </r>
  <r>
    <x v="5"/>
    <s v="A11"/>
    <s v="E01"/>
    <n v="0.3"/>
    <s v="PVC"/>
    <s v="Flooring"/>
    <s v="Flooring &amp; interior materials"/>
    <x v="1"/>
    <s v="Secondary"/>
    <s v="바닥재 및 interior surface 용도"/>
    <s v="Existing"/>
    <m/>
  </r>
  <r>
    <x v="5"/>
    <s v="A05"/>
    <s v="E02"/>
    <n v="0.3"/>
    <s v="PVC"/>
    <s v="Film and sheet"/>
    <s v="Flexible packaging"/>
    <x v="0"/>
    <s v="Secondary"/>
    <s v="film/sheet 및 비식품 포장재 용도 존재"/>
    <s v="Existing"/>
    <m/>
  </r>
  <r>
    <x v="5"/>
    <s v="A22"/>
    <s v="E07"/>
    <n v="0.1"/>
    <s v="PVC"/>
    <s v="Coatings"/>
    <s v="Surface coating"/>
    <x v="4"/>
    <s v="Niche / Emerging"/>
    <s v="PVC copolymer 및 plastisol 기반 coating 용도"/>
    <s v="Existing"/>
    <m/>
  </r>
  <r>
    <x v="5"/>
    <s v="A33"/>
    <s v="E05"/>
    <n v="0.1"/>
    <s v="PVC"/>
    <s v="Medical tubing / healthcare materials"/>
    <s v="Medical &amp; healthcare materials"/>
    <x v="6"/>
    <s v="Niche / Emerging"/>
    <s v="healthcare 산업 노출은 있으나 전체 PVC 내 비중은 제한적"/>
    <s v="Existing"/>
    <m/>
  </r>
  <r>
    <x v="6"/>
    <s v="A43"/>
    <s v="E04"/>
    <n v="0.6"/>
    <s v="Ethanol"/>
    <s v="Motor fuel"/>
    <s v="Fuel / fuel additive"/>
    <x v="3"/>
    <s v="Primary"/>
    <s v="전체 ethanol 소비의 80–90%를 차지하는 최대 용도"/>
    <s v="Existing"/>
    <m/>
  </r>
  <r>
    <x v="6"/>
    <s v="A24"/>
    <s v="E07"/>
    <n v="0.3"/>
    <s v="Ethanol"/>
    <s v="Solvent applications"/>
    <s v="Solvent &amp; extraction"/>
    <x v="4"/>
    <s v="Secondary"/>
    <s v="소독제, 산업용 용제 등 주요 industrial alcohol 용도"/>
    <s v="Existing"/>
    <m/>
  </r>
  <r>
    <x v="6"/>
    <s v="A01"/>
    <s v="E07"/>
    <n v="0.3"/>
    <s v="Ethanol"/>
    <s v="Chemical raw materials"/>
    <s v="Major chemical intermediate"/>
    <x v="4"/>
    <s v="Secondary"/>
    <s v="ETBE, ethyl acetate, acetaldehyde 등 화학 원료로 사용"/>
    <s v="Existing"/>
    <m/>
  </r>
  <r>
    <x v="6"/>
    <s v="A14"/>
    <s v="E04"/>
    <n v="0.1"/>
    <s v="Ethanol"/>
    <s v="Sustainable aviation fuel"/>
    <s v="Renewable energy materials"/>
    <x v="3"/>
    <s v="Niche / Emerging"/>
    <s v="ethanol-to-jet SAF는 성장 중인 신규 연료 application"/>
    <s v="Existing"/>
    <m/>
  </r>
  <r>
    <x v="7"/>
    <s v="A22"/>
    <s v="E07"/>
    <n v="0.6"/>
    <s v="Ethyl acetate"/>
    <s v="Surface coatings"/>
    <s v="Surface coating"/>
    <x v="4"/>
    <s v="Primary"/>
    <s v="ethyl acetate의 최대 수요처는 surface coating 계열"/>
    <s v="Existing"/>
    <m/>
  </r>
  <r>
    <x v="7"/>
    <s v="A23"/>
    <s v="E02"/>
    <n v="0.3"/>
    <s v="Ethyl acetate"/>
    <s v="Printing inks"/>
    <s v="Printing inks &amp; graphic materials"/>
    <x v="0"/>
    <s v="Secondary"/>
    <s v="포장·출판용 ink solvent로 사용"/>
    <s v="Existing"/>
    <m/>
  </r>
  <r>
    <x v="7"/>
    <s v="A24"/>
    <s v="E07"/>
    <n v="0.3"/>
    <s v="Ethyl acetate"/>
    <s v="Process/extraction solvents"/>
    <s v="Solvent &amp; extraction"/>
    <x v="4"/>
    <s v="Secondary"/>
    <s v="공정용·추출용 solvent로 사용"/>
    <s v="Existing"/>
    <m/>
  </r>
  <r>
    <x v="7"/>
    <s v="A20"/>
    <s v="E07"/>
    <n v="0.3"/>
    <s v="Ethyl acetate"/>
    <s v="Adhesives"/>
    <s v="Adhesive bonding"/>
    <x v="4"/>
    <s v="Secondary"/>
    <s v="접착제 formulation의 용제 성격 application"/>
    <s v="Existing"/>
    <m/>
  </r>
  <r>
    <x v="8"/>
    <s v="A01"/>
    <s v="E07"/>
    <n v="0.6"/>
    <s v="EO"/>
    <s v="Ethylene glycols"/>
    <s v="Major chemical intermediate"/>
    <x v="4"/>
    <s v="Primary"/>
    <s v="EO의 약 74%가 EG 생산에 사용"/>
    <s v="Existing"/>
    <m/>
  </r>
  <r>
    <x v="8"/>
    <s v="A30"/>
    <s v="E02"/>
    <n v="0.3"/>
    <s v="EO"/>
    <s v="Ethoxylates"/>
    <s v="Surfactant &amp; emulsification"/>
    <x v="0"/>
    <s v="Secondary"/>
    <s v="세제·계면활성제 downstream으로 연결"/>
    <s v="Existing"/>
    <m/>
  </r>
  <r>
    <x v="8"/>
    <s v="A01"/>
    <s v="E07"/>
    <n v="0.3"/>
    <s v="EO"/>
    <s v="Ethanolamines"/>
    <s v="Major chemical intermediate"/>
    <x v="4"/>
    <s v="Secondary"/>
    <s v="MEA/DEA/TEA 생산 원료"/>
    <s v="Existing"/>
    <m/>
  </r>
  <r>
    <x v="8"/>
    <s v="A24"/>
    <s v="E07"/>
    <n v="0.3"/>
    <s v="EO"/>
    <s v="Glycol ethers"/>
    <s v="Solvent &amp; extraction"/>
    <x v="4"/>
    <s v="Secondary"/>
    <s v="용제계 downstream 원료"/>
    <s v="Existing"/>
    <m/>
  </r>
  <r>
    <x v="8"/>
    <s v="A17"/>
    <s v="E02"/>
    <n v="0.3"/>
    <s v="EO"/>
    <s v="Polyether polyols"/>
    <s v="Cushioning &amp; comfort materials"/>
    <x v="0"/>
    <s v="Secondary"/>
    <s v="PU foam 등 polyol chain으로 연결"/>
    <s v="Existing"/>
    <m/>
  </r>
  <r>
    <x v="9"/>
    <s v="A02"/>
    <s v="E07"/>
    <n v="0.6"/>
    <s v="MEA"/>
    <s v="Ethyleneamines"/>
    <s v="Specialty chemical intermediate"/>
    <x v="4"/>
    <s v="Primary"/>
    <s v="MEA 수요는 ethyleneamines, 특히 EDA 생산이 핵심 동인"/>
    <s v="Existing"/>
    <m/>
  </r>
  <r>
    <x v="9"/>
    <s v="A26"/>
    <s v="E04"/>
    <n v="0.6"/>
    <s v="MEA"/>
    <s v="Gas purification/treatment / triazine"/>
    <s v="Gas treatment &amp; purification"/>
    <x v="3"/>
    <s v="Primary"/>
    <s v="산성가스 제거 및 H2S scavenger용 triazine 생산에 사용"/>
    <s v="Existing"/>
    <m/>
  </r>
  <r>
    <x v="9"/>
    <s v="A30"/>
    <s v="E02"/>
    <n v="0.3"/>
    <s v="MEA"/>
    <s v="Surfactants / soaps"/>
    <s v="Surfactant &amp; emulsification"/>
    <x v="0"/>
    <s v="Secondary"/>
    <s v="세제·personal care 계면활성제 및 비누 형성에 사용"/>
    <s v="Existing"/>
    <m/>
  </r>
  <r>
    <x v="9"/>
    <s v="A02"/>
    <s v="E01"/>
    <n v="0.3"/>
    <s v="MEA"/>
    <s v="Wood preservatives"/>
    <s v="Specialty chemical intermediate"/>
    <x v="1"/>
    <s v="Secondary"/>
    <s v="ACQ 목재 방부제 제조에 사용되나 성장성은 제한적"/>
    <s v="Existing"/>
    <m/>
  </r>
  <r>
    <x v="10"/>
    <s v="A02"/>
    <s v="E06"/>
    <n v="0.6"/>
    <s v="DEA"/>
    <s v="Glyphosate herbicides"/>
    <s v="Specialty chemical intermediate"/>
    <x v="5"/>
    <s v="Primary"/>
    <s v="DEA의 주요 용도는 glyphosate herbicide 합성 중간체"/>
    <s v="Existing"/>
    <m/>
  </r>
  <r>
    <x v="10"/>
    <s v="A10"/>
    <s v="E01"/>
    <n v="0.3"/>
    <s v="DEA"/>
    <s v="DEIPA for cement grinding aid"/>
    <s v="Building materials &amp; profiles"/>
    <x v="1"/>
    <s v="Secondary"/>
    <s v="DEIPA가 cement grinding 효율 개선용으로 빠르게 성장"/>
    <s v="Existing"/>
    <m/>
  </r>
  <r>
    <x v="10"/>
    <s v="A30"/>
    <s v="E02"/>
    <n v="0.3"/>
    <s v="DEA"/>
    <s v="Fatty alkanolamides / surfactants"/>
    <s v="Surfactant &amp; emulsification"/>
    <x v="0"/>
    <s v="Secondary"/>
    <s v="계면활성제 원료이나 nitrosamine 우려로 일부 대체 진행"/>
    <s v="Existing"/>
    <m/>
  </r>
  <r>
    <x v="10"/>
    <s v="A29"/>
    <s v="E07"/>
    <n v="0.1"/>
    <s v="DEA"/>
    <s v="Metalworking fluids"/>
    <s v="Corrosion inhibition &amp; metalworking"/>
    <x v="4"/>
    <s v="Niche / Emerging"/>
    <s v="금속가공유 용도는 환경 이슈로 축소됨"/>
    <s v="Existing"/>
    <m/>
  </r>
  <r>
    <x v="11"/>
    <s v="A10"/>
    <s v="E01"/>
    <n v="0.6"/>
    <s v="TEA"/>
    <s v="Cement grinding / concrete formulations"/>
    <s v="Building materials &amp; profiles"/>
    <x v="1"/>
    <s v="Primary"/>
    <s v="TEA는 cement grinding 및 concrete formulation의 대표 용도"/>
    <s v="Existing"/>
    <m/>
  </r>
  <r>
    <x v="11"/>
    <s v="A30"/>
    <s v="E02"/>
    <n v="0.6"/>
    <s v="TEA"/>
    <s v="Heavy-duty liquid laundry detergents"/>
    <s v="Surfactant &amp; emulsification"/>
    <x v="0"/>
    <s v="Primary"/>
    <s v="세제 formulation 및 ester quat 계면활성제 합성에 사용"/>
    <s v="Existing"/>
    <m/>
  </r>
  <r>
    <x v="11"/>
    <s v="A31"/>
    <s v="E02"/>
    <n v="0.3"/>
    <s v="TEA"/>
    <s v="Personal care products / shaving foams / soaps"/>
    <s v="Personal care formulation"/>
    <x v="0"/>
    <s v="Secondary"/>
    <s v="personal care 및 비누류 formulation에 사용"/>
    <s v="Existing"/>
    <m/>
  </r>
  <r>
    <x v="11"/>
    <s v="A29"/>
    <s v="E07"/>
    <n v="0.3"/>
    <s v="TEA"/>
    <s v="Metalworking fluids / corrosion inhibitors"/>
    <s v="Corrosion inhibition &amp; metalworking"/>
    <x v="4"/>
    <s v="Secondary"/>
    <s v="금속가공유에서 가장 널리 쓰이는 ethanolamine"/>
    <s v="Existing"/>
    <m/>
  </r>
  <r>
    <x v="12"/>
    <s v="A01"/>
    <s v="E02"/>
    <n v="0.6"/>
    <s v="MEG"/>
    <s v="Polyester / PET fibers"/>
    <s v="Major chemical intermediate"/>
    <x v="0"/>
    <s v="Primary"/>
    <s v="MEG 소비의 92% 이상이 polyester/PET 용도"/>
    <s v="Existing"/>
    <m/>
  </r>
  <r>
    <x v="12"/>
    <s v="A15"/>
    <s v="E03"/>
    <n v="0.3"/>
    <s v="MEG"/>
    <s v="Antifreeze"/>
    <s v="Battery &amp; thermal-management materials"/>
    <x v="2"/>
    <s v="Secondary"/>
    <s v="냉각·부동액 용도이나 PET 대비 규모는 작음"/>
    <s v="Existing"/>
    <m/>
  </r>
  <r>
    <x v="13"/>
    <s v="A01"/>
    <s v="E07"/>
    <n v="0.6"/>
    <s v="VAM"/>
    <s v="Polyvinyl alcohol (PVOH)"/>
    <s v="Major chemical intermediate"/>
    <x v="4"/>
    <s v="Primary"/>
    <s v="2024년 VAM 소비의 33%로 최대 downstream"/>
    <s v="Existing"/>
    <m/>
  </r>
  <r>
    <x v="13"/>
    <s v="A01"/>
    <s v="E07"/>
    <n v="0.6"/>
    <s v="VAM"/>
    <s v="Polyvinyl acetate (PVA)"/>
    <s v="Major chemical intermediate"/>
    <x v="4"/>
    <s v="Primary"/>
    <s v="2024년 VAM 소비의 28%로 주요 polymer 원료"/>
    <s v="Existing"/>
    <m/>
  </r>
  <r>
    <x v="13"/>
    <s v="A01"/>
    <s v="E07"/>
    <n v="0.3"/>
    <s v="VAM"/>
    <s v="Ethylene-vinyl acetate (EVA)"/>
    <s v="Major chemical intermediate"/>
    <x v="4"/>
    <s v="Secondary"/>
    <s v="EVA/VAE 수요가 빠르게 성장하는 VAM downstream"/>
    <s v="Existing"/>
    <m/>
  </r>
  <r>
    <x v="13"/>
    <s v="A01"/>
    <s v="E02"/>
    <n v="0.3"/>
    <s v="VAM"/>
    <s v="Ethylene-vinyl alcohol (EVOH)"/>
    <s v="Major chemical intermediate"/>
    <x v="0"/>
    <s v="Secondary"/>
    <s v="EVOH barrier resin으로 연결되는 comonomer 용도"/>
    <s v="Existing"/>
    <m/>
  </r>
  <r>
    <x v="14"/>
    <s v="A01"/>
    <s v="E07"/>
    <n v="0.6"/>
    <s v="AN"/>
    <s v="ABS resins"/>
    <s v="Major chemical intermediate"/>
    <x v="4"/>
    <s v="Primary"/>
    <s v="AN 최대 수요처로 2024년 약 35% 차지"/>
    <s v="Existing"/>
    <m/>
  </r>
  <r>
    <x v="14"/>
    <s v="A02"/>
    <s v="E07"/>
    <n v="0.6"/>
    <s v="AN"/>
    <s v="Acrylamide"/>
    <s v="Specialty chemical intermediate"/>
    <x v="4"/>
    <s v="Primary"/>
    <s v="PAM 및 wastewater treatment로 연결되는 주요 수요처"/>
    <s v="Existing"/>
    <m/>
  </r>
  <r>
    <x v="14"/>
    <s v="A03"/>
    <s v="E02"/>
    <n v="0.6"/>
    <s v="AN"/>
    <s v="Acrylic fibers"/>
    <s v="Reactive monomer / comonomer"/>
    <x v="0"/>
    <s v="Primary"/>
    <s v="역사적 핵심 수요처이나 polyester와 경쟁으로 성장 둔화"/>
    <s v="Existing"/>
    <m/>
  </r>
  <r>
    <x v="14"/>
    <s v="A01"/>
    <s v="E07"/>
    <n v="0.3"/>
    <s v="AN"/>
    <s v="SAN resins"/>
    <s v="Major chemical intermediate"/>
    <x v="4"/>
    <s v="Secondary"/>
    <s v="SAN 및 ABS/ASA/AES chain으로 연결"/>
    <s v="Existing"/>
    <m/>
  </r>
  <r>
    <x v="14"/>
    <s v="A01"/>
    <s v="E03"/>
    <n v="0.1"/>
    <s v="AN"/>
    <s v="PAN-based carbon fiber"/>
    <s v="Major chemical intermediate"/>
    <x v="2"/>
    <s v="Niche / Emerging"/>
    <s v="carbon fiber 성장성이 있으나 현재 비중은 작음"/>
    <s v="Existing"/>
    <m/>
  </r>
  <r>
    <x v="15"/>
    <s v="A04"/>
    <s v="E02"/>
    <n v="0.6"/>
    <s v="ABS"/>
    <s v="Appliances"/>
    <s v="Polymer resin / molding material"/>
    <x v="0"/>
    <s v="Primary"/>
    <s v="2025년 ABS 최대 end use, 약 42%"/>
    <s v="Existing"/>
    <m/>
  </r>
  <r>
    <x v="15"/>
    <s v="A40"/>
    <s v="E08"/>
    <n v="0.6"/>
    <s v="ABS"/>
    <s v="Electrical/electronic applications"/>
    <s v="Electronic chemicals &amp; materials"/>
    <x v="7"/>
    <s v="Primary"/>
    <s v="2025년 약 21%로 주요 소비처"/>
    <s v="Existing"/>
    <m/>
  </r>
  <r>
    <x v="15"/>
    <s v="A16"/>
    <s v="E03"/>
    <n v="0.3"/>
    <s v="ABS"/>
    <s v="Transportation"/>
    <s v="Automotive components &amp; lightweighting"/>
    <x v="2"/>
    <s v="Secondary"/>
    <s v="경량화와 내충격성이 요구되는 자동차 부품용"/>
    <s v="Existing"/>
    <m/>
  </r>
  <r>
    <x v="15"/>
    <s v="A10"/>
    <s v="E01"/>
    <n v="0.3"/>
    <s v="ABS"/>
    <s v="Building and construction"/>
    <s v="Building materials &amp; profiles"/>
    <x v="1"/>
    <s v="Secondary"/>
    <s v="건축·건설용 성형 소재 수요"/>
    <s v="Existing"/>
    <m/>
  </r>
  <r>
    <x v="15"/>
    <s v="A38"/>
    <s v="E07"/>
    <n v="0.3"/>
    <s v="ABS"/>
    <s v="PC/ABS, PBT/ABS, polyamide/ABS blends"/>
    <s v="Polymer modification &amp; additives"/>
    <x v="4"/>
    <s v="Secondary"/>
    <s v="다른 engineering plastics와 blend되어 물성 보완"/>
    <s v="Existing"/>
    <m/>
  </r>
  <r>
    <x v="16"/>
    <s v="A04"/>
    <s v="E02"/>
    <n v="0.6"/>
    <s v="SAN"/>
    <s v="Housewares"/>
    <s v="Polymer resin / molding material"/>
    <x v="0"/>
    <s v="Primary"/>
    <s v="투명성, 내화학성, 내열성이 필요한 생활용품 주요 용도"/>
    <s v="Existing"/>
    <m/>
  </r>
  <r>
    <x v="16"/>
    <s v="A38"/>
    <s v="E07"/>
    <n v="0.6"/>
    <s v="SAN"/>
    <s v="Compounding"/>
    <s v="Polymer modification &amp; additives"/>
    <x v="4"/>
    <s v="Primary"/>
    <s v="PVC stiffening, ABS compounding, additive carrier 등"/>
    <s v="Existing"/>
    <m/>
  </r>
  <r>
    <x v="16"/>
    <s v="A06"/>
    <s v="E02"/>
    <n v="0.3"/>
    <s v="SAN"/>
    <s v="Packaging"/>
    <s v="Rigid packaging"/>
    <x v="0"/>
    <s v="Secondary"/>
    <s v="cosmetics packaging, caps, nozzles, containers 등"/>
    <s v="Existing"/>
    <m/>
  </r>
  <r>
    <x v="16"/>
    <s v="A04"/>
    <s v="E02"/>
    <n v="0.3"/>
    <s v="SAN"/>
    <s v="Appliances"/>
    <s v="Polymer resin / molding material"/>
    <x v="0"/>
    <s v="Secondary"/>
    <s v="refrigerator liners, panels, blender jars 등 투명 성형부품"/>
    <s v="Existing"/>
    <m/>
  </r>
  <r>
    <x v="16"/>
    <s v="A33"/>
    <s v="E05"/>
    <n v="0.1"/>
    <s v="SAN"/>
    <s v="Medical instruments and utensils"/>
    <s v="Medical &amp; healthcare materials"/>
    <x v="6"/>
    <s v="Niche / Emerging"/>
    <s v="hemodialyzer housings, connectors, labware 등 niche medical use"/>
    <s v="Existing"/>
    <m/>
  </r>
  <r>
    <x v="16"/>
    <s v="A41"/>
    <s v="E03"/>
    <n v="0.1"/>
    <s v="SAN"/>
    <s v="Instrument panel lenses or covers"/>
    <s v="Display &amp; optical materials"/>
    <x v="2"/>
    <s v="Niche / Emerging"/>
    <s v="자동차 계기판 lens/cover용 투명 소재"/>
    <s v="Existing"/>
    <m/>
  </r>
  <r>
    <x v="17"/>
    <s v="A33"/>
    <s v="E05"/>
    <n v="0.6"/>
    <s v="NBR"/>
    <s v="Nitrile gloves"/>
    <s v="Medical &amp; healthcare materials"/>
    <x v="6"/>
    <s v="Primary"/>
    <s v="NBR latex 최대 성장 동인, 의료·보호장갑용"/>
    <s v="Existing"/>
    <m/>
  </r>
  <r>
    <x v="17"/>
    <s v="A18"/>
    <s v="E03"/>
    <n v="0.6"/>
    <s v="NBR"/>
    <s v="Automotive hoses, belts, gaskets, O-rings, seals"/>
    <s v="Elastomeric performance materials"/>
    <x v="2"/>
    <s v="Primary"/>
    <s v="solid NBR의 최대 시장, 내유·내열 rubber goods"/>
    <s v="Existing"/>
    <m/>
  </r>
  <r>
    <x v="17"/>
    <s v="A19"/>
    <s v="E07"/>
    <n v="0.3"/>
    <s v="NBR"/>
    <s v="Technical rubber goods"/>
    <s v="Tire &amp; rubber applications"/>
    <x v="4"/>
    <s v="Secondary"/>
    <s v="conveyor belts, tank linings, rolls, molded parts 등"/>
    <s v="Existing"/>
    <m/>
  </r>
  <r>
    <x v="17"/>
    <s v="A13"/>
    <s v="E04"/>
    <n v="0.3"/>
    <s v="NBR"/>
    <s v="Wire and cable jacketing"/>
    <s v="Electrical insulation"/>
    <x v="3"/>
    <s v="Secondary"/>
    <s v="NBR/PVC blend가 cable jacket 등에 사용"/>
    <s v="Existing"/>
    <m/>
  </r>
  <r>
    <x v="17"/>
    <s v="A20"/>
    <s v="E07"/>
    <n v="0.3"/>
    <s v="NBR"/>
    <s v="Adhesives"/>
    <s v="Adhesive bonding"/>
    <x v="4"/>
    <s v="Secondary"/>
    <s v="고강도·내유성이 필요한 adhesive 용도"/>
    <s v="Existing"/>
    <m/>
  </r>
  <r>
    <x v="17"/>
    <s v="A38"/>
    <s v="E07"/>
    <n v="0.3"/>
    <s v="NBR"/>
    <s v="PVC and ABS modification"/>
    <s v="Polymer modification &amp; additives"/>
    <x v="4"/>
    <s v="Secondary"/>
    <s v="PVC/ABS impact modifier 및 flexibility 개선용"/>
    <s v="Existing"/>
    <m/>
  </r>
  <r>
    <x v="17"/>
    <s v="A21"/>
    <s v="E04"/>
    <n v="0.1"/>
    <s v="NBR"/>
    <s v="Oil and gas field products"/>
    <s v="Sealants &amp; joint protection"/>
    <x v="3"/>
    <s v="Niche / Emerging"/>
    <s v="blow out preventors, packers, stators 등 oilfield sealing 용도"/>
    <s v="Existing"/>
    <m/>
  </r>
  <r>
    <x v="18"/>
    <s v="A05"/>
    <s v="E02"/>
    <n v="0.6"/>
    <s v="PP"/>
    <s v="Film and sheet"/>
    <s v="Flexible packaging"/>
    <x v="0"/>
    <s v="Primary"/>
    <s v="세계 PP 소비의 핵심 end use이며 packaging 중심 수요"/>
    <s v="Existing"/>
    <m/>
  </r>
  <r>
    <x v="18"/>
    <s v="A04"/>
    <s v="E02"/>
    <n v="0.6"/>
    <s v="PP"/>
    <s v="Injection molding"/>
    <s v="Polymer resin / molding material"/>
    <x v="0"/>
    <s v="Primary"/>
    <s v="caps, closures, containers, housewares 등 대량 성형용"/>
    <s v="Existing"/>
    <m/>
  </r>
  <r>
    <x v="18"/>
    <s v="A16"/>
    <s v="E03"/>
    <n v="0.6"/>
    <s v="PP"/>
    <s v="Transportation"/>
    <s v="Automotive components &amp; lightweighting"/>
    <x v="2"/>
    <s v="Primary"/>
    <s v="저밀도와 기계적 물성으로 자동차 경량 부품에 적합"/>
    <s v="Existing"/>
    <m/>
  </r>
  <r>
    <x v="18"/>
    <s v="A05"/>
    <s v="E02"/>
    <n v="0.6"/>
    <s v="PP"/>
    <s v="Raffia / woven sacks / jumbo bags"/>
    <s v="Flexible packaging"/>
    <x v="0"/>
    <s v="Primary"/>
    <s v="건설자재, 비료, 농산물 포장용 woven sack 수요가 큼"/>
    <s v="Existing"/>
    <m/>
  </r>
  <r>
    <x v="18"/>
    <s v="A32"/>
    <s v="E05"/>
    <n v="0.3"/>
    <s v="PP"/>
    <s v="Fibers and filaments / nonwovens"/>
    <s v="Hygiene &amp; absorbency"/>
    <x v="6"/>
    <s v="Secondary"/>
    <s v="nonwovens 및 의료 wearable 수요와 연결"/>
    <s v="Existing"/>
    <m/>
  </r>
  <r>
    <x v="18"/>
    <s v="A06"/>
    <s v="E02"/>
    <n v="0.3"/>
    <s v="PP"/>
    <s v="Containers / blow molding"/>
    <s v="Rigid packaging"/>
    <x v="0"/>
    <s v="Secondary"/>
    <s v="hot-fill 및 내화학성이 필요한 용기용"/>
    <s v="Existing"/>
    <m/>
  </r>
  <r>
    <x v="18"/>
    <s v="A09"/>
    <s v="E01"/>
    <n v="0.3"/>
    <s v="PP"/>
    <s v="Pipe and extrusion"/>
    <s v="Pipe &amp; fluid conveyance"/>
    <x v="1"/>
    <s v="Secondary"/>
    <s v="pipe extrusion-grade PP가 별도 소비 category로 제시됨"/>
    <s v="Existing"/>
    <m/>
  </r>
  <r>
    <x v="18"/>
    <s v="A13"/>
    <s v="E04"/>
    <n v="0.3"/>
    <s v="PP"/>
    <s v="Wire and cable"/>
    <s v="Electrical insulation"/>
    <x v="3"/>
    <s v="Secondary"/>
    <s v="전선·케이블용 extrusion application"/>
    <s v="Existing"/>
    <m/>
  </r>
  <r>
    <x v="18"/>
    <s v="A33"/>
    <s v="E05"/>
    <n v="0.3"/>
    <s v="PP"/>
    <s v="Medical products / disposable syringes"/>
    <s v="Medical &amp; healthcare materials"/>
    <x v="6"/>
    <s v="Secondary"/>
    <s v="의료제품 및 syringe 성형용으로 사용"/>
    <s v="Existing"/>
    <m/>
  </r>
  <r>
    <x v="18"/>
    <s v="A04"/>
    <s v="E02"/>
    <n v="0.3"/>
    <s v="PP"/>
    <s v="Appliances"/>
    <s v="Polymer resin / molding material"/>
    <x v="0"/>
    <s v="Secondary"/>
    <s v="appliance parts 성형용 application"/>
    <s v="Existing"/>
    <m/>
  </r>
  <r>
    <x v="18"/>
    <s v="A04"/>
    <s v="E02"/>
    <n v="0.3"/>
    <s v="PP"/>
    <s v="Furniture / housewares"/>
    <s v="Polymer resin / molding material"/>
    <x v="0"/>
    <s v="Secondary"/>
    <s v="household 및 furniture 성형품용"/>
    <s v="Existing"/>
    <m/>
  </r>
  <r>
    <x v="18"/>
    <s v="A40"/>
    <s v="E08"/>
    <n v="0.1"/>
    <s v="PP"/>
    <s v="Capacitor and electronic industry films"/>
    <s v="Electronic chemicals &amp; materials"/>
    <x v="7"/>
    <s v="Niche / Emerging"/>
    <s v="film 중 소량 specialty market로 언급됨"/>
    <s v="Existing"/>
    <m/>
  </r>
  <r>
    <x v="19"/>
    <s v="A01"/>
    <s v="E07"/>
    <n v="0.6"/>
    <s v="PO"/>
    <s v="Polyether polyols"/>
    <s v="Major chemical intermediate"/>
    <x v="4"/>
    <s v="Primary"/>
    <s v="PO 수요의 72%로 최대 downstream route"/>
    <s v="Existing"/>
    <m/>
  </r>
  <r>
    <x v="19"/>
    <s v="A01"/>
    <s v="E07"/>
    <n v="0.3"/>
    <s v="PO"/>
    <s v="Propylene glycols"/>
    <s v="Major chemical intermediate"/>
    <x v="4"/>
    <s v="Secondary"/>
    <s v="PO의 2대 수요처, 2024년 약 11%"/>
    <s v="Existing"/>
    <m/>
  </r>
  <r>
    <x v="19"/>
    <s v="A02"/>
    <s v="E08"/>
    <n v="0.3"/>
    <s v="PO"/>
    <s v="Propylene carbonate"/>
    <s v="Specialty chemical intermediate"/>
    <x v="7"/>
    <s v="Secondary"/>
    <s v="EV battery solvent/DMC 중간체 수요로 성장"/>
    <s v="Existing"/>
    <m/>
  </r>
  <r>
    <x v="19"/>
    <s v="A02"/>
    <s v="E07"/>
    <n v="0.1"/>
    <s v="PO"/>
    <s v="1,4-Butanediol"/>
    <s v="Specialty chemical intermediate"/>
    <x v="4"/>
    <s v="Niche / Emerging"/>
    <s v="PO 기반 BDO route는 약 1%로 제한적"/>
    <s v="Existing"/>
    <m/>
  </r>
  <r>
    <x v="20"/>
    <s v="A01"/>
    <s v="E01"/>
    <n v="0.6"/>
    <s v="PG"/>
    <s v="Unsaturated polyester resins"/>
    <s v="Major chemical intermediate"/>
    <x v="1"/>
    <s v="Primary"/>
    <s v="2023년 PG 최대 용도, 약 36%"/>
    <s v="Existing"/>
    <m/>
  </r>
  <r>
    <x v="20"/>
    <s v="A29"/>
    <s v="E07"/>
    <n v="0.3"/>
    <s v="PG"/>
    <s v="Functional fluids and antifreezes"/>
    <s v="Corrosion inhibition &amp; metalworking"/>
    <x v="4"/>
    <s v="Secondary"/>
    <s v="동결점 저하 및 functional fluid 용도"/>
    <s v="Existing"/>
    <m/>
  </r>
  <r>
    <x v="20"/>
    <s v="A31"/>
    <s v="E02"/>
    <n v="0.3"/>
    <s v="PG"/>
    <s v="Cosmetics and personal care products"/>
    <s v="Personal care formulation"/>
    <x v="0"/>
    <s v="Secondary"/>
    <s v="보습, 점도 조절, emolliency 기능"/>
    <s v="Existing"/>
    <m/>
  </r>
  <r>
    <x v="20"/>
    <s v="A36"/>
    <s v="E05"/>
    <n v="0.3"/>
    <s v="PG"/>
    <s v="Food/pharmaceutical grades"/>
    <s v="Food additives &amp; preservation"/>
    <x v="6"/>
    <s v="Secondary"/>
    <s v="USP/EP grade가 식품·의약·생활용품에 사용"/>
    <s v="Existing"/>
    <m/>
  </r>
  <r>
    <x v="20"/>
    <s v="A30"/>
    <s v="E02"/>
    <n v="0.3"/>
    <s v="PG"/>
    <s v="Liquid detergents"/>
    <s v="Surfactant &amp; emulsification"/>
    <x v="0"/>
    <s v="Secondary"/>
    <s v="household detergent formulation용"/>
    <s v="Existing"/>
    <m/>
  </r>
  <r>
    <x v="20"/>
    <s v="A01"/>
    <s v="E07"/>
    <n v="0.3"/>
    <s v="PG"/>
    <s v="Polyurethanes"/>
    <s v="Major chemical intermediate"/>
    <x v="4"/>
    <s v="Secondary"/>
    <s v="polyurethane chain으로 연결되는 산업용 PG 수요"/>
    <s v="Existing"/>
    <m/>
  </r>
  <r>
    <x v="21"/>
    <s v="A01"/>
    <s v="E02"/>
    <n v="0.6"/>
    <s v="PPG"/>
    <s v="Flexible PU foams"/>
    <s v="Major chemical intermediate"/>
    <x v="0"/>
    <s v="Primary"/>
    <s v="bedding, furniture, transportation cushioning으로 연결되는 핵심 polyol route"/>
    <s v="Existing"/>
    <s v="GPT"/>
  </r>
  <r>
    <x v="21"/>
    <s v="A01"/>
    <s v="E01"/>
    <n v="0.6"/>
    <s v="PPG"/>
    <s v="Rigid PU foams"/>
    <s v="Major chemical intermediate"/>
    <x v="1"/>
    <s v="Primary"/>
    <s v="건축·냉장·배관 insulation용 PU foam 원료"/>
    <s v="Existing"/>
    <s v="GPT"/>
  </r>
  <r>
    <x v="21"/>
    <s v="A01"/>
    <s v="E03"/>
    <n v="0.3"/>
    <s v="PPG"/>
    <s v="Nonfoam PU applications"/>
    <s v="Major chemical intermediate"/>
    <x v="2"/>
    <s v="Secondary"/>
    <s v="cast elastomers, tubing, hoses, fascias, shoe soles 등"/>
    <s v="Existing"/>
    <s v="GPT"/>
  </r>
  <r>
    <x v="21"/>
    <s v="A01"/>
    <s v="E07"/>
    <n v="0.3"/>
    <s v="PPG"/>
    <s v="Adhesives and sealants"/>
    <s v="Major chemical intermediate"/>
    <x v="4"/>
    <s v="Secondary"/>
    <s v="PU adhesive/sealant chain으로 연결"/>
    <s v="Existing"/>
    <s v="GPT"/>
  </r>
  <r>
    <x v="21"/>
    <s v="A01"/>
    <s v="E07"/>
    <n v="0.3"/>
    <s v="PPG"/>
    <s v="Surface coatings"/>
    <s v="Major chemical intermediate"/>
    <x v="4"/>
    <s v="Secondary"/>
    <s v="PU surface coating application 포함"/>
    <s v="Existing"/>
    <s v="GPT"/>
  </r>
  <r>
    <x v="22"/>
    <s v="A01"/>
    <s v="E01"/>
    <n v="0.6"/>
    <s v="Polyols"/>
    <s v="Rigid PU/PIR foam"/>
    <s v="Major chemical intermediate"/>
    <x v="1"/>
    <s v="Primary"/>
    <s v="polyester polyol 최대 성장·핵심 용도, building insulation 중심"/>
    <s v="Existing"/>
    <m/>
  </r>
  <r>
    <x v="22"/>
    <s v="A01"/>
    <s v="E07"/>
    <n v="0.6"/>
    <s v="Polyols"/>
    <s v="PU elastomers / TPU"/>
    <s v="Major chemical intermediate"/>
    <x v="4"/>
    <s v="Primary"/>
    <s v="nonfoam application 중 elastomer가 주요 수요처"/>
    <s v="Existing"/>
    <m/>
  </r>
  <r>
    <x v="22"/>
    <s v="A01"/>
    <s v="E07"/>
    <n v="0.3"/>
    <s v="Polyols"/>
    <s v="Surface coatings"/>
    <s v="Major chemical intermediate"/>
    <x v="4"/>
    <s v="Secondary"/>
    <s v="aircraft, bridge, automotive coating 등에 사용"/>
    <s v="Existing"/>
    <m/>
  </r>
  <r>
    <x v="22"/>
    <s v="A01"/>
    <s v="E07"/>
    <n v="0.3"/>
    <s v="Polyols"/>
    <s v="Adhesives and sealants"/>
    <s v="Major chemical intermediate"/>
    <x v="4"/>
    <s v="Secondary"/>
    <s v="PU hot-melt adhesive 및 sealant 원료"/>
    <s v="Existing"/>
    <m/>
  </r>
  <r>
    <x v="22"/>
    <s v="A01"/>
    <s v="E02"/>
    <n v="0.3"/>
    <s v="Polyols"/>
    <s v="Flexible foams"/>
    <s v="Major chemical intermediate"/>
    <x v="0"/>
    <s v="Secondary"/>
    <s v="textile laminates, bedding 등 specialty flexible foam"/>
    <s v="Existing"/>
    <m/>
  </r>
  <r>
    <x v="23"/>
    <s v="A17"/>
    <s v="E02"/>
    <n v="0.6"/>
    <s v="PU"/>
    <s v="Flexible foams: bedding, furniture, transportation"/>
    <s v="Cushioning &amp; comfort materials"/>
    <x v="0"/>
    <s v="Primary"/>
    <s v="flexible PU foam은 cushioning 소재로 대량 사용"/>
    <s v="Existing"/>
    <m/>
  </r>
  <r>
    <x v="23"/>
    <s v="A12"/>
    <s v="E01"/>
    <n v="0.6"/>
    <s v="PU"/>
    <s v="Rigid PU/PIR foams: construction and industrial insulation"/>
    <s v="Thermal insulation"/>
    <x v="1"/>
    <s v="Primary"/>
    <s v="rigid foam의 핵심은 construction 및 industrial insulation"/>
    <s v="Existing"/>
    <m/>
  </r>
  <r>
    <x v="23"/>
    <s v="A18"/>
    <s v="E02"/>
    <n v="0.6"/>
    <s v="PU"/>
    <s v="Footwear / shoe soles"/>
    <s v="Elastomeric performance materials"/>
    <x v="0"/>
    <s v="Primary"/>
    <s v="PU elastomer 최대 end-use, 약 38%"/>
    <s v="Existing"/>
    <m/>
  </r>
  <r>
    <x v="23"/>
    <s v="A16"/>
    <s v="E03"/>
    <n v="0.3"/>
    <s v="PU"/>
    <s v="Transportation parts: gaskets, seals, O-rings, shock absorbers"/>
    <s v="Automotive components &amp; lightweighting"/>
    <x v="2"/>
    <s v="Secondary"/>
    <s v="자동차용 elastomer 부품 및 comfort 소재"/>
    <s v="Existing"/>
    <m/>
  </r>
  <r>
    <x v="23"/>
    <s v="A19"/>
    <s v="E07"/>
    <n v="0.3"/>
    <s v="PU"/>
    <s v="Wheels and tires"/>
    <s v="Tire &amp; rubber applications"/>
    <x v="4"/>
    <s v="Secondary"/>
    <s v="forklift solid tires, rollerblade wheels 등"/>
    <s v="Existing"/>
    <m/>
  </r>
  <r>
    <x v="23"/>
    <s v="A18"/>
    <s v="E07"/>
    <n v="0.3"/>
    <s v="PU"/>
    <s v="Machinery: rollers, belts, pulleys, seals"/>
    <s v="Elastomeric performance materials"/>
    <x v="4"/>
    <s v="Secondary"/>
    <s v="내마모·고하중 산업부품용 cast elastomer"/>
    <s v="Existing"/>
    <m/>
  </r>
  <r>
    <x v="23"/>
    <s v="A13"/>
    <s v="E04"/>
    <n v="0.1"/>
    <s v="PU"/>
    <s v="Wire and cable / electrical covering"/>
    <s v="Electrical insulation"/>
    <x v="3"/>
    <s v="Niche / Emerging"/>
    <s v="TPU가 wire, cable, fiber optics 보호 피복에 사용"/>
    <s v="Existing"/>
    <m/>
  </r>
  <r>
    <x v="23"/>
    <s v="A33"/>
    <s v="E05"/>
    <n v="0.1"/>
    <s v="PU"/>
    <s v="Medical hose/tubing, catheters, wound dressings"/>
    <s v="Medical &amp; healthcare materials"/>
    <x v="6"/>
    <s v="Niche / Emerging"/>
    <s v="TPU medical tubing 및 biomedical products 용도"/>
    <s v="Existing"/>
    <m/>
  </r>
  <r>
    <x v="24"/>
    <s v="A01"/>
    <s v="E07"/>
    <n v="0.6"/>
    <s v="Acrylic acid"/>
    <s v="Acrylate esters"/>
    <s v="Major chemical intermediate"/>
    <x v="4"/>
    <s v="Primary"/>
    <s v="CAA의 약 50%가 acrylate esters로 전환되는 핵심 다운스트림 경로"/>
    <s v="Existing"/>
    <m/>
  </r>
  <r>
    <x v="24"/>
    <s v="A01"/>
    <s v="E02"/>
    <n v="0.6"/>
    <s v="Acrylic acid"/>
    <s v="Superabsorbent polymers"/>
    <s v="Major chemical intermediate"/>
    <x v="0"/>
    <s v="Primary"/>
    <s v="GAA 기반 SAP가 위생재의 핵심 흡수 소재로 사용됨"/>
    <s v="Existing"/>
    <m/>
  </r>
  <r>
    <x v="24"/>
    <s v="A27"/>
    <s v="E07"/>
    <n v="0.3"/>
    <s v="Acrylic acid"/>
    <s v="Detergent cobuilders / water treatment"/>
    <s v="Water treatment &amp; dispersants"/>
    <x v="4"/>
    <s v="Secondary"/>
    <s v="PAA 및 공중합체가 수처리, 분산제, detergent cobuilder에 사용됨"/>
    <s v="Existing"/>
    <m/>
  </r>
  <r>
    <x v="25"/>
    <s v="A22"/>
    <s v="E01"/>
    <n v="0.6"/>
    <s v="Acrylate ester"/>
    <s v="Surface coatings"/>
    <s v="Surface coating"/>
    <x v="1"/>
    <s v="Primary"/>
    <s v="Commodity acrylate esters의 최대 용도이며 coatings용 polymer 생산에 사용됨"/>
    <s v="Existing"/>
    <m/>
  </r>
  <r>
    <x v="25"/>
    <s v="A20"/>
    <s v="E02"/>
    <n v="0.6"/>
    <s v="Acrylate ester"/>
    <s v="Adhesives and sealants"/>
    <s v="Adhesive bonding"/>
    <x v="0"/>
    <s v="Primary"/>
    <s v="coatings 다음의 대형 수요처로 adhesives 및 sealants용 polymer에 사용됨"/>
    <s v="Existing"/>
    <m/>
  </r>
  <r>
    <x v="25"/>
    <s v="A22"/>
    <s v="E07"/>
    <n v="0.3"/>
    <s v="Acrylate ester"/>
    <s v="Textiles"/>
    <s v="Surface coating"/>
    <x v="4"/>
    <s v="Secondary"/>
    <s v="textile backing 및 처리용 latex/polymer application으로 사용됨"/>
    <s v="Existing"/>
    <m/>
  </r>
  <r>
    <x v="25"/>
    <s v="A38"/>
    <s v="E07"/>
    <n v="0.3"/>
    <s v="Acrylate ester"/>
    <s v="Plastic additives / copolymers"/>
    <s v="Polymer modification &amp; additives"/>
    <x v="4"/>
    <s v="Secondary"/>
    <s v="플라스틱 개질 및 copolymer 용도로 상업적 수요가 존재함"/>
    <s v="Existing"/>
    <m/>
  </r>
  <r>
    <x v="26"/>
    <s v="A32"/>
    <s v="E02"/>
    <n v="0.6"/>
    <s v="SAP"/>
    <s v="Baby diapers / training pants"/>
    <s v="Hygiene &amp; absorbency"/>
    <x v="0"/>
    <s v="Primary"/>
    <s v="SAP 소비의 최대 application으로, 글로벌 소비의 약 70% 이상을 차지"/>
    <s v="Existing"/>
    <m/>
  </r>
  <r>
    <x v="26"/>
    <s v="A32"/>
    <s v="E05"/>
    <n v="0.3"/>
    <s v="SAP"/>
    <s v="Adult incontinence"/>
    <s v="Hygiene &amp; absorbency"/>
    <x v="6"/>
    <s v="Secondary"/>
    <s v="고령화로 성장성이 높은 위생·헬스케어 흡수재 application"/>
    <s v="Existing"/>
    <m/>
  </r>
  <r>
    <x v="26"/>
    <s v="A32"/>
    <s v="E02"/>
    <n v="0.3"/>
    <s v="SAP"/>
    <s v="Feminine hygiene"/>
    <s v="Hygiene &amp; absorbency"/>
    <x v="0"/>
    <s v="Secondary"/>
    <s v="여성 위생용 흡수재로 사용되나 diapers 대비 규모는 작음"/>
    <s v="Existing"/>
    <m/>
  </r>
  <r>
    <x v="26"/>
    <s v="A34"/>
    <s v="E06"/>
    <n v="0.1"/>
    <s v="SAP"/>
    <s v="Agriculture water release / soil moisture control"/>
    <s v="Agricultural productivity materials"/>
    <x v="5"/>
    <s v="Niche / Emerging"/>
    <s v="토양 수분 조절용 산업·농업 application이나 전체 SAP 내 비중은 작음"/>
    <s v="Existing"/>
    <m/>
  </r>
  <r>
    <x v="27"/>
    <s v="A01"/>
    <s v="E07"/>
    <n v="0.6"/>
    <s v="n-Butyraldehyde"/>
    <s v="2-Ethylhexanol"/>
    <s v="Major chemical intermediate"/>
    <x v="4"/>
    <s v="Primary"/>
    <s v="n-butyraldehyde의 최대 전환 경로 중 하나이며 plasticizer alcohol 체인의 핵심 중간체"/>
    <s v="Existing"/>
    <m/>
  </r>
  <r>
    <x v="27"/>
    <s v="A01"/>
    <s v="E07"/>
    <n v="0.6"/>
    <s v="n-Butyraldehyde"/>
    <s v="n-Butanol"/>
    <s v="Major chemical intermediate"/>
    <x v="4"/>
    <s v="Primary"/>
    <s v="n-butanol과 2-EH가 n-butyraldehyde 소비의 대부분을 차지"/>
    <s v="Existing"/>
    <m/>
  </r>
  <r>
    <x v="27"/>
    <s v="A02"/>
    <s v="E07"/>
    <n v="0.3"/>
    <s v="n-Butyraldehyde"/>
    <s v="Polyvinyl butyral"/>
    <s v="Specialty chemical intermediate"/>
    <x v="4"/>
    <s v="Secondary"/>
    <s v="PVB 등 특수 유도체로 전환되나 2-EH/n-butanol 대비 비중은 작음"/>
    <s v="Existing"/>
    <m/>
  </r>
  <r>
    <x v="27"/>
    <s v="A02"/>
    <s v="E07"/>
    <n v="0.6"/>
    <s v="n-Butyraldehyde"/>
    <s v="Condensation/esterification products"/>
    <s v="Specialty chemical intermediate"/>
    <x v="4"/>
    <s v="Primary"/>
    <s v="TMPD, Texanol, TXIB, IBIB 등 용제·수지·가소제 계열로 전환되는 주요 경로"/>
    <s v="Existing"/>
    <m/>
  </r>
  <r>
    <x v="27"/>
    <s v="A01"/>
    <s v="E07"/>
    <n v="0.3"/>
    <s v="n-Butyraldehyde"/>
    <s v="Isobutanol"/>
    <s v="Major chemical intermediate"/>
    <x v="4"/>
    <s v="Secondary"/>
    <s v="isobutanol, neopentyl glycol, isobutyric acid 등으로 전환되는 중간체"/>
    <s v="Existing"/>
    <m/>
  </r>
  <r>
    <x v="28"/>
    <s v="A38"/>
    <s v="E01"/>
    <n v="0.6"/>
    <s v="2-ethylhexanol"/>
    <s v="Plasticizers"/>
    <s v="Polymer modification &amp; additives"/>
    <x v="1"/>
    <s v="Primary"/>
    <s v="2-EH 소비의 절반 이상이 DOTP, DEHP 등 plasticizer 생산에 사용"/>
    <s v="Existing"/>
    <m/>
  </r>
  <r>
    <x v="28"/>
    <s v="A03"/>
    <s v="E07"/>
    <n v="0.6"/>
    <s v="2-ethylhexanol"/>
    <s v="Acrylate/methacrylate esters"/>
    <s v="Reactive monomer / comonomer"/>
    <x v="4"/>
    <s v="Primary"/>
    <s v="2-EH의 대형 수요처로 2-ethylhexyl acrylate 등 생산에 사용"/>
    <s v="Existing"/>
    <m/>
  </r>
  <r>
    <x v="29"/>
    <s v="A01"/>
    <s v="E07"/>
    <n v="0.6"/>
    <s v="n-butanol"/>
    <s v="n-Butyl acrylate / methacrylate esters"/>
    <s v="Major chemical intermediate"/>
    <x v="4"/>
    <s v="Primary"/>
    <s v="n-butanol의 최대 end use이며 coatings, sealants, adhesives용 acrylate 생산에 사용"/>
    <s v="Existing"/>
    <m/>
  </r>
  <r>
    <x v="29"/>
    <s v="A24"/>
    <s v="E07"/>
    <n v="0.6"/>
    <s v="n-butanol"/>
    <s v="Surface coatings solvent / n-butyl acetate / glycol ethers"/>
    <s v="Solvent &amp; extraction"/>
    <x v="4"/>
    <s v="Primary"/>
    <s v="직접 용제 및 acetate/glycol ether 유도체로 coatings 용제에 사용"/>
    <s v="Existing"/>
    <m/>
  </r>
  <r>
    <x v="30"/>
    <s v="A24"/>
    <s v="E07"/>
    <n v="0.6"/>
    <s v="n-butyl acetate"/>
    <s v="Surface coatings solvent"/>
    <s v="Solvent &amp; extraction"/>
    <x v="4"/>
    <s v="Primary"/>
    <s v="coating resin용 효과적 용제로 사용됨"/>
    <s v="Existing"/>
    <m/>
  </r>
  <r>
    <x v="31"/>
    <s v="A01"/>
    <s v="E07"/>
    <n v="0.6"/>
    <s v="isobutanol"/>
    <s v="Isobutyl acetate"/>
    <s v="Major chemical intermediate"/>
    <x v="4"/>
    <s v="Primary"/>
    <s v="isobutanol의 최대 소비처이며 isobutyl acetate는 coatings 용제로 사용"/>
    <s v="Existing"/>
    <m/>
  </r>
  <r>
    <x v="31"/>
    <s v="A28"/>
    <s v="E07"/>
    <n v="0.6"/>
    <s v="isobutanol"/>
    <s v="Lube oil additives / isobutyl ZDDP"/>
    <s v="Lubrication &amp; friction control"/>
    <x v="4"/>
    <s v="Primary"/>
    <s v="ZDDP계 윤활유 첨가제 제조에 사용되는 주요 application"/>
    <s v="Existing"/>
    <m/>
  </r>
  <r>
    <x v="31"/>
    <s v="A24"/>
    <s v="E07"/>
    <n v="0.3"/>
    <s v="isobutanol"/>
    <s v="Direct solvent in surface coatings and adhesives"/>
    <s v="Solvent &amp; extraction"/>
    <x v="4"/>
    <s v="Secondary"/>
    <s v="coatings 및 adhesives용 latent/direct solvent로 사용"/>
    <s v="Existing"/>
    <m/>
  </r>
  <r>
    <x v="32"/>
    <s v="A24"/>
    <s v="E07"/>
    <n v="0.6"/>
    <s v="isobutyl acetate"/>
    <s v="Surface coatings"/>
    <s v="Solvent &amp; extraction"/>
    <x v="4"/>
    <s v="Primary"/>
    <s v="거의 전량이 surface coatings 용제로 사용되며 2024년 미국 기준 89%"/>
    <s v="Existing"/>
    <m/>
  </r>
  <r>
    <x v="33"/>
    <s v="A24"/>
    <s v="E07"/>
    <n v="0.6"/>
    <s v="IPA"/>
    <s v="Direct solvent: surface coatings, inks, pesticide formulations, resins, household cleaners"/>
    <s v="Solvent &amp; extraction"/>
    <x v="4"/>
    <s v="Primary"/>
    <s v="2023년 주요 지역 IPA 소비의 최대 용도이며 direct solvent가 약 55% 차지"/>
    <s v="Existing"/>
    <m/>
  </r>
  <r>
    <x v="33"/>
    <s v="A40"/>
    <s v="E08"/>
    <n v="0.1"/>
    <s v="IPA"/>
    <s v="Cleaning printed circuit boards, flat-panel displays and electronic devices"/>
    <s v="Electronic chemicals &amp; materials"/>
    <x v="7"/>
    <s v="Niche / Emerging"/>
    <s v="electronic-grade IPA는 PCB, FPD 등 전자부품 세정에 사용되며 주요 지역 소비의 8% 차지"/>
    <s v="Existing"/>
    <m/>
  </r>
  <r>
    <x v="33"/>
    <s v="A01"/>
    <s v="E07"/>
    <n v="0.3"/>
    <s v="IPA"/>
    <s v="Isopropyl acetate"/>
    <s v="Major chemical intermediate"/>
    <x v="4"/>
    <s v="Secondary"/>
    <s v="IPA 유도체 중 최대 품목이며 미국 기준 2023년 22천 톤 소비"/>
    <s v="Existing"/>
    <m/>
  </r>
  <r>
    <x v="33"/>
    <s v="A31"/>
    <s v="E02"/>
    <n v="0.3"/>
    <s v="IPA"/>
    <s v="Cosmetic and personal care products / rubbing alcohol / hand sanitizer"/>
    <s v="Personal care formulation"/>
    <x v="0"/>
    <s v="Secondary"/>
    <s v="cosmetic grade는 personal care, rubbing alcohol, hand sanitizer에 사용됨"/>
    <s v="Existing"/>
    <m/>
  </r>
  <r>
    <x v="33"/>
    <s v="A33"/>
    <s v="E05"/>
    <n v="0.3"/>
    <s v="IPA"/>
    <s v="Processing solvent during drug manufacture / medical wipes"/>
    <s v="Medical &amp; healthcare materials"/>
    <x v="6"/>
    <s v="Secondary"/>
    <s v="pharma grade는 의약 제조용 solvent, medical wipes, 일부 formulation에 사용됨"/>
    <s v="Existing"/>
    <m/>
  </r>
  <r>
    <x v="34"/>
    <s v="A24"/>
    <s v="E07"/>
    <n v="0.6"/>
    <s v="Isopropyl acetate"/>
    <s v="Solvent in cellulose and plastics manufacture"/>
    <s v="Solvent &amp; extraction"/>
    <x v="4"/>
    <s v="Primary"/>
    <s v="cellulose 및 plastics 제조용 solvent로 사용됨"/>
    <s v="Existing"/>
    <m/>
  </r>
  <r>
    <x v="34"/>
    <s v="A23"/>
    <s v="E07"/>
    <n v="0.3"/>
    <s v="Isopropyl acetate"/>
    <s v="Printing inks"/>
    <s v="Printing inks &amp; graphic materials"/>
    <x v="4"/>
    <s v="Secondary"/>
    <s v="일부 printing inks의 구성 성분으로 사용됨"/>
    <s v="Existing"/>
    <m/>
  </r>
  <r>
    <x v="34"/>
    <s v="A31"/>
    <s v="E02"/>
    <n v="0.1"/>
    <s v="Isopropyl acetate"/>
    <s v="Perfumes"/>
    <s v="Personal care formulation"/>
    <x v="0"/>
    <s v="Niche / Emerging"/>
    <s v="perfume 성분으로 사용되나 IPA derivative 내 비중은 제한적"/>
    <s v="Existing"/>
    <m/>
  </r>
  <r>
    <x v="35"/>
    <s v="A01"/>
    <s v="E07"/>
    <n v="0.6"/>
    <s v="Butadiene"/>
    <s v="Polybutadiene rubber"/>
    <s v="Major chemical intermediate"/>
    <x v="4"/>
    <s v="Primary"/>
    <s v="2024년 butadiene 최대 수요처이며, PBR 생산용 직접 원료"/>
    <s v="Existing"/>
    <m/>
  </r>
  <r>
    <x v="35"/>
    <s v="A01"/>
    <s v="E07"/>
    <n v="0.6"/>
    <s v="Butadiene"/>
    <s v="SBR, emulsion / SBR, solution"/>
    <s v="Major chemical intermediate"/>
    <x v="4"/>
    <s v="Primary"/>
    <s v="PBR과 SBR 합산이 2024년 butadiene 시장의 약 54%"/>
    <s v="Existing"/>
    <m/>
  </r>
  <r>
    <x v="35"/>
    <s v="A01"/>
    <s v="E07"/>
    <n v="0.3"/>
    <s v="Butadiene"/>
    <s v="ABS resins"/>
    <s v="Major chemical intermediate"/>
    <x v="4"/>
    <s v="Secondary"/>
    <s v="ABS resin용 주요 butadiene 파생 수요"/>
    <s v="Existing"/>
    <m/>
  </r>
  <r>
    <x v="35"/>
    <s v="A01"/>
    <s v="E07"/>
    <n v="0.3"/>
    <s v="Butadiene"/>
    <s v="Nitrile latex / Nitrile rubber"/>
    <s v="Major chemical intermediate"/>
    <x v="4"/>
    <s v="Secondary"/>
    <s v="NBL/NBR 생산에 사용되는 specialty elastomer 원료"/>
    <s v="Existing"/>
    <m/>
  </r>
  <r>
    <x v="35"/>
    <s v="A01"/>
    <s v="E07"/>
    <n v="0.3"/>
    <s v="Butadiene"/>
    <s v="Styrene-butadiene latex"/>
    <s v="Major chemical intermediate"/>
    <x v="4"/>
    <s v="Secondary"/>
    <s v="SBL 생산용 downstream route"/>
    <s v="Existing"/>
    <m/>
  </r>
  <r>
    <x v="35"/>
    <s v="A01"/>
    <s v="E07"/>
    <n v="0.3"/>
    <s v="Butadiene"/>
    <s v="Adiponitrile"/>
    <s v="Major chemical intermediate"/>
    <x v="4"/>
    <s v="Secondary"/>
    <s v="nylon chain으로 연결되는 화학 중간체 수요"/>
    <s v="Existing"/>
    <m/>
  </r>
  <r>
    <x v="36"/>
    <s v="A19"/>
    <s v="E03"/>
    <n v="0.6"/>
    <s v="BR"/>
    <s v="Tires"/>
    <s v="Tire &amp; rubber applications"/>
    <x v="2"/>
    <s v="Primary"/>
    <s v="PBR 소비의 약 75%가 tires이며 최대 end use"/>
    <s v="Existing"/>
    <m/>
  </r>
  <r>
    <x v="36"/>
    <s v="A38"/>
    <s v="E02"/>
    <n v="0.3"/>
    <s v="BR"/>
    <s v="ABS/HIPS impact modification"/>
    <s v="Polymer modification &amp; additives"/>
    <x v="0"/>
    <s v="Secondary"/>
    <s v="HIPS/ABS toughness 개선용 impact modifier"/>
    <s v="Existing"/>
    <m/>
  </r>
  <r>
    <x v="36"/>
    <s v="A19"/>
    <s v="E07"/>
    <n v="0.3"/>
    <s v="BR"/>
    <s v="V-belts, conveyor belt coverings and hoses"/>
    <s v="Tire &amp; rubber applications"/>
    <x v="4"/>
    <s v="Secondary"/>
    <s v="타이어 외 rubber goods용 의미 있는 수요"/>
    <s v="Existing"/>
    <m/>
  </r>
  <r>
    <x v="37"/>
    <s v="A19"/>
    <s v="E03"/>
    <n v="0.6"/>
    <s v="SBR"/>
    <s v="Tire production"/>
    <s v="Tire &amp; rubber applications"/>
    <x v="2"/>
    <s v="Primary"/>
    <s v="SBR의 핵심 용도이며 최대 synthetic rubber application"/>
    <s v="Existing"/>
    <m/>
  </r>
  <r>
    <x v="37"/>
    <s v="A19"/>
    <s v="E07"/>
    <n v="0.3"/>
    <s v="SBR"/>
    <s v="Belts, hoses, mechanical parts and gaskets"/>
    <s v="Tire &amp; rubber applications"/>
    <x v="4"/>
    <s v="Secondary"/>
    <s v="nontire mechanical rubber goods용 상업 수요"/>
    <s v="Existing"/>
    <m/>
  </r>
  <r>
    <x v="37"/>
    <s v="A16"/>
    <s v="E03"/>
    <n v="0.3"/>
    <s v="SBR"/>
    <s v="Automotive parts"/>
    <s v="Automotive components &amp; lightweighting"/>
    <x v="2"/>
    <s v="Secondary"/>
    <s v="hoses, seals, mats 등 nontire automotive rubber parts"/>
    <s v="Existing"/>
    <m/>
  </r>
  <r>
    <x v="37"/>
    <s v="A20"/>
    <s v="E02"/>
    <n v="0.1"/>
    <s v="SBR"/>
    <s v="Adhesives, chewing gum base, coated fabrics, molded goods"/>
    <s v="Adhesive bonding"/>
    <x v="0"/>
    <s v="Niche / Emerging"/>
    <s v="hot E-SBR의 잔존 specialty application"/>
    <s v="Existing"/>
    <m/>
  </r>
  <r>
    <x v="38"/>
    <s v="A01"/>
    <s v="E07"/>
    <n v="0.6"/>
    <s v="Isobutylene"/>
    <s v="MTBE"/>
    <s v="Major chemical intermediate"/>
    <x v="4"/>
    <s v="Primary"/>
    <s v="MTBE는 butylenes의 주요 outlet이며 isobutylene과 methanol 반응으로 생산"/>
    <s v="Existing"/>
    <m/>
  </r>
  <r>
    <x v="38"/>
    <s v="A01"/>
    <s v="E07"/>
    <n v="0.3"/>
    <s v="Isobutylene"/>
    <s v="High-purity isobutylene for butyl rubber and polyisobutylene"/>
    <s v="Major chemical intermediate"/>
    <x v="4"/>
    <s v="Secondary"/>
    <s v="HPIB는 butyl rubber와 PIB 합성용 원료"/>
    <s v="Existing"/>
    <m/>
  </r>
  <r>
    <x v="38"/>
    <s v="A43"/>
    <s v="E04"/>
    <n v="0.3"/>
    <s v="Isobutylene"/>
    <s v="ETBE / isooctane"/>
    <s v="Fuel / fuel additive"/>
    <x v="3"/>
    <s v="Secondary"/>
    <s v="gasoline blendstock 및 octane enhancer route"/>
    <s v="Existing"/>
    <m/>
  </r>
  <r>
    <x v="39"/>
    <s v="A28"/>
    <s v="E07"/>
    <n v="0.6"/>
    <s v="PIB"/>
    <s v="Lubricants and fuel additives"/>
    <s v="Lubrication &amp; friction control"/>
    <x v="4"/>
    <s v="Primary"/>
    <s v="PIB의 대표적 고부가 수요로 윤활유·연료 첨가제에 사용"/>
    <s v="Existing"/>
    <s v="GPT"/>
  </r>
  <r>
    <x v="39"/>
    <s v="A20"/>
    <s v="E07"/>
    <n v="0.3"/>
    <s v="PIB"/>
    <s v="Adhesives and sealants"/>
    <s v="Adhesive bonding"/>
    <x v="4"/>
    <s v="Secondary"/>
    <s v="tackiness와 방수성 기반 adhesive/sealant formulation에 사용"/>
    <s v="Existing"/>
    <s v="GPT"/>
  </r>
  <r>
    <x v="39"/>
    <s v="A13"/>
    <s v="E04"/>
    <n v="0.3"/>
    <s v="PIB"/>
    <s v="Electrical insulation materials"/>
    <s v="Electrical insulation"/>
    <x v="3"/>
    <s v="Secondary"/>
    <s v="케이블·전기 절연 소재로 사용 가능"/>
    <s v="Existing"/>
    <s v="GPT"/>
  </r>
  <r>
    <x v="40"/>
    <s v="A09"/>
    <s v="E01"/>
    <n v="0.6"/>
    <s v="PB-1"/>
    <s v="Hot and cold water piping systems"/>
    <s v="Pipe &amp; fluid conveyance"/>
    <x v="1"/>
    <s v="Primary"/>
    <s v="PB-1의 대표 application은 온수·냉수 배관 및 fittings"/>
    <s v="Existing"/>
    <s v="GPT"/>
  </r>
  <r>
    <x v="40"/>
    <s v="A05"/>
    <s v="E02"/>
    <n v="0.3"/>
    <s v="PB-1"/>
    <s v="Easy-open packaging / film modification"/>
    <s v="Flexible packaging"/>
    <x v="0"/>
    <s v="Secondary"/>
    <s v="packaging film 및 easy-peel 구조에 사용"/>
    <s v="Existing"/>
    <s v="GPT"/>
  </r>
  <r>
    <x v="40"/>
    <s v="A20"/>
    <s v="E02"/>
    <n v="0.3"/>
    <s v="PB-1"/>
    <s v="Hot melt adhesives"/>
    <s v="Adhesive bonding"/>
    <x v="0"/>
    <s v="Secondary"/>
    <s v="packaging 및 hygiene용 HMA formulation에 사용"/>
    <s v="Existing"/>
    <s v="GPT"/>
  </r>
  <r>
    <x v="41"/>
    <s v="A43"/>
    <s v="E04"/>
    <n v="0.6"/>
    <s v="MTBE"/>
    <s v="Gasoline applications"/>
    <s v="Fuel / fuel additive"/>
    <x v="3"/>
    <s v="Primary"/>
    <s v="2024년 MTBE 소비의 약 94%가 gasoline application"/>
    <s v="Existing"/>
    <m/>
  </r>
  <r>
    <x v="41"/>
    <s v="A01"/>
    <s v="E07"/>
    <n v="0.3"/>
    <s v="MTBE"/>
    <s v="Production of HPIB"/>
    <s v="Major chemical intermediate"/>
    <x v="4"/>
    <s v="Secondary"/>
    <s v="미국 등에서는 HPIB 생산용 intermediate로 사용"/>
    <s v="Existing"/>
    <m/>
  </r>
  <r>
    <x v="41"/>
    <s v="A24"/>
    <s v="E05"/>
    <n v="0.1"/>
    <s v="MTBE"/>
    <s v="Reaction, extraction and crystallization solvent"/>
    <s v="Solvent &amp; extraction"/>
    <x v="6"/>
    <s v="Niche / Emerging"/>
    <s v="pharma/fine chemical solvent로 제한적 사용"/>
    <s v="Existing"/>
    <m/>
  </r>
  <r>
    <x v="42"/>
    <s v="A19"/>
    <s v="E03"/>
    <n v="0.6"/>
    <s v="Butyl rubber"/>
    <s v="Tubeless tire inner liners / tire inner tubes"/>
    <s v="Tire &amp; rubber applications"/>
    <x v="2"/>
    <s v="Primary"/>
    <s v="타이어 inner liner와 inner tube가 핵심 수요처로 제시됨."/>
    <s v="Existing"/>
    <m/>
  </r>
  <r>
    <x v="42"/>
    <s v="A33"/>
    <s v="E05"/>
    <n v="0.3"/>
    <s v="Butyl rubber"/>
    <s v="Pharmaceutical stoppers and plunger seals"/>
    <s v="Medical &amp; healthcare materials"/>
    <x v="6"/>
    <s v="Secondary"/>
    <s v="청정성, 내화학성, 낮은 기체·수분 투과성이 요구되는 의료용 application."/>
    <s v="Existing"/>
    <m/>
  </r>
  <r>
    <x v="42"/>
    <s v="A20"/>
    <s v="E07"/>
    <n v="0.3"/>
    <s v="Butyl rubber"/>
    <s v="Adhesives and sealants"/>
    <s v="Adhesive bonding"/>
    <x v="4"/>
    <s v="Secondary"/>
    <s v="접착제, sealant tape, caulk 등에 사용됨."/>
    <s v="Existing"/>
    <m/>
  </r>
  <r>
    <x v="42"/>
    <s v="A18"/>
    <s v="E03"/>
    <n v="0.3"/>
    <s v="Butyl rubber"/>
    <s v="Automotive hoses, gaskets and engine mounts"/>
    <s v="Elastomeric performance materials"/>
    <x v="2"/>
    <s v="Secondary"/>
    <s v="내열·내노화·진동감쇠 특성을 활용한 자동차 고무부품."/>
    <s v="Existing"/>
    <m/>
  </r>
  <r>
    <x v="43"/>
    <s v="A03"/>
    <s v="E02"/>
    <n v="0.6"/>
    <s v="1-Butene"/>
    <s v="Polyethylene comonomer"/>
    <s v="Reactive monomer / comonomer"/>
    <x v="0"/>
    <s v="Primary"/>
    <s v="butene-1의 주용도는 PE 생산용 comonomer"/>
    <s v="Existing"/>
    <m/>
  </r>
  <r>
    <x v="43"/>
    <s v="A01"/>
    <s v="E07"/>
    <n v="0.3"/>
    <s v="1-Butene"/>
    <s v="Polybutene-1"/>
    <s v="Major chemical intermediate"/>
    <x v="4"/>
    <s v="Secondary"/>
    <s v="고순도 butene-1은 PB-1 생산에 필요"/>
    <s v="Existing"/>
    <m/>
  </r>
  <r>
    <x v="44"/>
    <s v="A01"/>
    <s v="E07"/>
    <n v="0.6"/>
    <s v="Ethylbenzene"/>
    <s v="Styrene production"/>
    <s v="Major chemical intermediate"/>
    <x v="4"/>
    <s v="Primary"/>
    <s v="EB의 99.7%가 styrene 생산에 사용되는 지배적 경로"/>
    <s v="Existing"/>
    <m/>
  </r>
  <r>
    <x v="44"/>
    <s v="A24"/>
    <s v="E07"/>
    <n v="0.1"/>
    <s v="Ethylbenzene"/>
    <s v="Solvent"/>
    <s v="Solvent &amp; extraction"/>
    <x v="4"/>
    <s v="Niche / Emerging"/>
    <s v="styrene 외 용도는 1% 미만의 소량 용도"/>
    <s v="Existing"/>
    <m/>
  </r>
  <r>
    <x v="45"/>
    <s v="A01"/>
    <s v="E02"/>
    <n v="0.6"/>
    <s v="Styrene"/>
    <s v="Polystyrene"/>
    <s v="Major chemical intermediate"/>
    <x v="0"/>
    <s v="Primary"/>
    <s v="PS가 2024년 styrene 최대 수요처"/>
    <s v="Existing"/>
    <m/>
  </r>
  <r>
    <x v="45"/>
    <s v="A01"/>
    <s v="E01"/>
    <n v="0.6"/>
    <s v="Styrene"/>
    <s v="Expandable polystyrene"/>
    <s v="Major chemical intermediate"/>
    <x v="1"/>
    <s v="Primary"/>
    <s v="EPS는 styrene 주요 derivative이며 단열·보호포장 수요와 연결"/>
    <s v="Existing"/>
    <m/>
  </r>
  <r>
    <x v="45"/>
    <s v="A01"/>
    <s v="E03"/>
    <n v="0.6"/>
    <s v="Styrene"/>
    <s v="Acrylonitrile-butadiene-styrene resins"/>
    <s v="Major chemical intermediate"/>
    <x v="2"/>
    <s v="Primary"/>
    <s v="ABS는 주요 styrene derivative이며 성장 기여도가 큼"/>
    <s v="Existing"/>
    <m/>
  </r>
  <r>
    <x v="45"/>
    <s v="A01"/>
    <s v="E01"/>
    <n v="0.3"/>
    <s v="Styrene"/>
    <s v="Unsaturated polyester resins"/>
    <s v="Major chemical intermediate"/>
    <x v="1"/>
    <s v="Secondary"/>
    <s v="UPR은 의미 있는 downstream resin 경로이나 PS/EPS/ABS보다 작음"/>
    <s v="Existing"/>
    <m/>
  </r>
  <r>
    <x v="45"/>
    <s v="A01"/>
    <s v="E07"/>
    <n v="0.3"/>
    <s v="Styrene"/>
    <s v="Styrene-butadiene latex"/>
    <s v="Major chemical intermediate"/>
    <x v="4"/>
    <s v="Secondary"/>
    <s v="latex 및 coating/바인더 계열의 상업적 수요"/>
    <s v="Existing"/>
    <m/>
  </r>
  <r>
    <x v="45"/>
    <s v="A01"/>
    <s v="E03"/>
    <n v="0.3"/>
    <s v="Styrene"/>
    <s v="Styrene-butadiene rubber"/>
    <s v="Major chemical intermediate"/>
    <x v="2"/>
    <s v="Secondary"/>
    <s v="SBR은 타이어·고무 체인으로 연결되는 수요"/>
    <s v="Existing"/>
    <m/>
  </r>
  <r>
    <x v="46"/>
    <s v="A06"/>
    <s v="E02"/>
    <n v="0.6"/>
    <s v="PS"/>
    <s v="Packaging applications"/>
    <s v="Rigid packaging"/>
    <x v="0"/>
    <s v="Primary"/>
    <s v="2024년 PS 수요의 최대 application, 약 34%"/>
    <s v="Existing"/>
    <m/>
  </r>
  <r>
    <x v="46"/>
    <s v="A40"/>
    <s v="E08"/>
    <n v="0.6"/>
    <s v="PS"/>
    <s v="Electrical/electronic"/>
    <s v="Electronic chemicals &amp; materials"/>
    <x v="7"/>
    <s v="Primary"/>
    <s v="2024년 PS 수요의 약 31%로 두 번째 대형 수요처"/>
    <s v="Existing"/>
    <m/>
  </r>
  <r>
    <x v="46"/>
    <s v="A04"/>
    <s v="E02"/>
    <n v="0.3"/>
    <s v="PS"/>
    <s v="Consumer goods"/>
    <s v="Polymer resin / molding material"/>
    <x v="0"/>
    <s v="Secondary"/>
    <s v="생활용품·가전 부품 등 성형재 용도"/>
    <s v="Existing"/>
    <m/>
  </r>
  <r>
    <x v="46"/>
    <s v="A10"/>
    <s v="E01"/>
    <n v="0.3"/>
    <s v="PS"/>
    <s v="Building/construction"/>
    <s v="Building materials &amp; profiles"/>
    <x v="1"/>
    <s v="Secondary"/>
    <s v="XPS/건축재 등 건설 관련 수요"/>
    <s v="Existing"/>
    <m/>
  </r>
  <r>
    <x v="46"/>
    <s v="A33"/>
    <s v="E05"/>
    <n v="0.1"/>
    <s v="PS"/>
    <s v="Medical and diagnostic labware"/>
    <s v="Medical &amp; healthcare materials"/>
    <x v="6"/>
    <s v="Niche / Emerging"/>
    <s v="GPPS 성형품의 의료·진단용 labware 용도"/>
    <s v="Existing"/>
    <m/>
  </r>
  <r>
    <x v="46"/>
    <s v="A12"/>
    <s v="E01"/>
    <n v="0.3"/>
    <s v="PS"/>
    <s v="Foam board stock, insulation"/>
    <s v="Thermal insulation"/>
    <x v="1"/>
    <s v="Secondary"/>
    <s v="건축 단열재로 사용되는 PS foam 용도"/>
    <s v="Existing"/>
    <m/>
  </r>
  <r>
    <x v="47"/>
    <s v="A01"/>
    <s v="E07"/>
    <n v="0.6"/>
    <s v="Cumene"/>
    <s v="Phenol and acetone production"/>
    <s v="Major chemical intermediate"/>
    <x v="4"/>
    <s v="Primary"/>
    <s v="전 세계 cumene의 약 99%가 phenol/acetone 생산에 사용됨"/>
    <s v="Existing"/>
    <m/>
  </r>
  <r>
    <x v="47"/>
    <s v="A24"/>
    <s v="E07"/>
    <n v="0.1"/>
    <s v="Cumene"/>
    <s v="Thinners for paints, lacquers and enamels / solvents in coatings"/>
    <s v="Solvent &amp; extraction"/>
    <x v="4"/>
    <s v="Niche / Emerging"/>
    <s v="1% 내외의 소량 용도"/>
    <s v="Existing"/>
    <m/>
  </r>
  <r>
    <x v="48"/>
    <s v="A01"/>
    <s v="E07"/>
    <n v="0.6"/>
    <s v="Phenol"/>
    <s v="Bisphenol A (BPA)"/>
    <s v="Major chemical intermediate"/>
    <x v="4"/>
    <s v="Primary"/>
    <s v="2024년 phenol 수요의 54%로 최대 downstream"/>
    <s v="Existing"/>
    <m/>
  </r>
  <r>
    <x v="48"/>
    <s v="A03"/>
    <s v="E01"/>
    <n v="0.6"/>
    <s v="Phenol"/>
    <s v="Phenol-formaldehyde (PF) resins"/>
    <s v="Reactive monomer / comonomer"/>
    <x v="1"/>
    <s v="Primary"/>
    <s v="2024년 26%로 두 번째 대형 수요처, 목재·건설용 resin chain"/>
    <s v="Existing"/>
    <m/>
  </r>
  <r>
    <x v="48"/>
    <s v="A01"/>
    <s v="E03"/>
    <n v="0.3"/>
    <s v="Phenol"/>
    <s v="Cyclohexanone / cyclohexanol / adipic acid"/>
    <s v="Major chemical intermediate"/>
    <x v="2"/>
    <s v="Secondary"/>
    <s v="polyamide chain으로 연결되는 의미 있는 중간체 용도"/>
    <s v="Existing"/>
    <m/>
  </r>
  <r>
    <x v="48"/>
    <s v="A02"/>
    <s v="E07"/>
    <n v="0.1"/>
    <s v="Phenol"/>
    <s v="Alkylphenols and other specialty chemicals"/>
    <s v="Specialty chemical intermediate"/>
    <x v="4"/>
    <s v="Niche / Emerging"/>
    <s v="기타 소량 specialty derivative"/>
    <s v="Existing"/>
    <m/>
  </r>
  <r>
    <x v="49"/>
    <s v="A24"/>
    <s v="E07"/>
    <n v="0.6"/>
    <s v="Acetone"/>
    <s v="Direct solvent applications"/>
    <s v="Solvent &amp; extraction"/>
    <x v="4"/>
    <s v="Primary"/>
    <s v="2024년 약 43%로 acetone 최대 수요처"/>
    <s v="Existing"/>
    <m/>
  </r>
  <r>
    <x v="49"/>
    <s v="A01"/>
    <s v="E07"/>
    <n v="0.6"/>
    <s v="Acetone"/>
    <s v="Bisphenol A (BPA)"/>
    <s v="Major chemical intermediate"/>
    <x v="4"/>
    <s v="Primary"/>
    <s v="2024년 약 28%로 두 번째 대형 수요처"/>
    <s v="Existing"/>
    <m/>
  </r>
  <r>
    <x v="49"/>
    <s v="A01"/>
    <s v="E07"/>
    <n v="0.3"/>
    <s v="Acetone"/>
    <s v="Methyl methacrylate (MMA)"/>
    <s v="Major chemical intermediate"/>
    <x v="4"/>
    <s v="Secondary"/>
    <s v="2024년 약 20%, PMMA chain으로 연결"/>
    <s v="Existing"/>
    <m/>
  </r>
  <r>
    <x v="49"/>
    <s v="A02"/>
    <s v="E07"/>
    <n v="0.1"/>
    <s v="Acetone"/>
    <s v="MIBK / aldol chemicals"/>
    <s v="Specialty chemical intermediate"/>
    <x v="4"/>
    <s v="Niche / Emerging"/>
    <s v="기타 소량 chemical intermediate 용도"/>
    <s v="Existing"/>
    <m/>
  </r>
  <r>
    <x v="50"/>
    <s v="A01"/>
    <s v="E07"/>
    <n v="0.6"/>
    <s v="BPA"/>
    <s v="Polycarbonate resin"/>
    <s v="Major chemical intermediate"/>
    <x v="4"/>
    <s v="Primary"/>
    <s v="2024년 BPA 수요의 약 68%로 최대 용도"/>
    <s v="Existing"/>
    <m/>
  </r>
  <r>
    <x v="50"/>
    <s v="A01"/>
    <s v="E07"/>
    <n v="0.6"/>
    <s v="BPA"/>
    <s v="Epoxy resins"/>
    <s v="Major chemical intermediate"/>
    <x v="4"/>
    <s v="Primary"/>
    <s v="2024년 BPA 수요의 약 32%로 두 번째 핵심 용도"/>
    <s v="Existing"/>
    <m/>
  </r>
  <r>
    <x v="50"/>
    <s v="A02"/>
    <s v="E07"/>
    <n v="0.1"/>
    <s v="BPA"/>
    <s v="Flame retardants, unsaturated polyester resins, polysulfone, PEI, polyarylate resins"/>
    <s v="Specialty chemical intermediate"/>
    <x v="4"/>
    <s v="Niche / Emerging"/>
    <s v="PC/epoxy 외 소량 specialty resin chain"/>
    <s v="Existing"/>
    <m/>
  </r>
  <r>
    <x v="51"/>
    <s v="A40"/>
    <s v="E08"/>
    <n v="0.6"/>
    <s v="PC"/>
    <s v="Electronics/electrical components"/>
    <s v="Electronic chemicals &amp; materials"/>
    <x v="7"/>
    <s v="Primary"/>
    <s v="PC의 내충격성·내열성·전기저항 특성을 활용하는 핵심 수요"/>
    <s v="Existing"/>
    <m/>
  </r>
  <r>
    <x v="51"/>
    <s v="A16"/>
    <s v="E03"/>
    <n v="0.6"/>
    <s v="PC"/>
    <s v="Transportation and automotive glazing / lighting"/>
    <s v="Automotive components &amp; lightweighting"/>
    <x v="2"/>
    <s v="Primary"/>
    <s v="자동차 조명, glazing, 경량화 용도로 중요"/>
    <s v="Existing"/>
    <m/>
  </r>
  <r>
    <x v="51"/>
    <s v="A10"/>
    <s v="E01"/>
    <n v="0.3"/>
    <s v="PC"/>
    <s v="Windows, construction glazing, greenhouses"/>
    <s v="Building materials &amp; profiles"/>
    <x v="1"/>
    <s v="Secondary"/>
    <s v="투명성·내구성을 활용한 sheet/glazing 용도"/>
    <s v="Existing"/>
    <m/>
  </r>
  <r>
    <x v="51"/>
    <s v="A04"/>
    <s v="E02"/>
    <n v="0.3"/>
    <s v="PC"/>
    <s v="Consumer goods and appliances"/>
    <s v="Polymer resin / molding material"/>
    <x v="0"/>
    <s v="Secondary"/>
    <s v="내충격성 성형재로 가전·소비재에 사용"/>
    <s v="Existing"/>
    <m/>
  </r>
  <r>
    <x v="51"/>
    <s v="A33"/>
    <s v="E05"/>
    <n v="0.1"/>
    <s v="PC"/>
    <s v="Medical devices / ophthalmic lenses"/>
    <s v="Medical &amp; healthcare materials"/>
    <x v="6"/>
    <s v="Niche / Emerging"/>
    <s v="의료기기·렌즈용 고성능 specialty application"/>
    <s v="Existing"/>
    <m/>
  </r>
  <r>
    <x v="52"/>
    <s v="A22"/>
    <s v="E07"/>
    <n v="0.6"/>
    <s v="Epoxy resin"/>
    <s v="Coatings"/>
    <s v="Surface coating"/>
    <x v="4"/>
    <s v="Primary"/>
    <s v="2024년 epoxy 수요의 44%로 최대 application"/>
    <s v="Existing"/>
    <m/>
  </r>
  <r>
    <x v="52"/>
    <s v="A40"/>
    <s v="E08"/>
    <n v="0.6"/>
    <s v="Epoxy resin"/>
    <s v="Electrical and electronics"/>
    <s v="Electronic chemicals &amp; materials"/>
    <x v="7"/>
    <s v="Primary"/>
    <s v="2024년 19%, PCB/laminate 등 주요 수요"/>
    <s v="Existing"/>
    <m/>
  </r>
  <r>
    <x v="52"/>
    <s v="A11"/>
    <s v="E01"/>
    <n v="0.3"/>
    <s v="Epoxy resin"/>
    <s v="Civil engineering, flooring, paving and construction"/>
    <s v="Flooring &amp; interior materials"/>
    <x v="1"/>
    <s v="Secondary"/>
    <s v="2024년 14%, 건설·바닥재·토목용"/>
    <s v="Existing"/>
    <m/>
  </r>
  <r>
    <x v="52"/>
    <s v="A42"/>
    <s v="E03"/>
    <n v="0.3"/>
    <s v="Epoxy resin"/>
    <s v="Composites"/>
    <s v="Composite &amp; performance resins"/>
    <x v="2"/>
    <s v="Secondary"/>
    <s v="2024년 11%, 풍력 블레이드·항공·자동차 경량화에 사용"/>
    <s v="Existing"/>
    <m/>
  </r>
  <r>
    <x v="52"/>
    <s v="A20"/>
    <s v="E07"/>
    <n v="0.3"/>
    <s v="Epoxy resin"/>
    <s v="Adhesives"/>
    <s v="Adhesive bonding"/>
    <x v="4"/>
    <s v="Secondary"/>
    <s v="2024년 7%, 자동차·항공의 이종재 접합 수요 성장"/>
    <s v="Existing"/>
    <m/>
  </r>
  <r>
    <x v="53"/>
    <s v="A01"/>
    <s v="E07"/>
    <n v="0.6"/>
    <s v="Cyclohexane"/>
    <s v="Cyclohexanone production"/>
    <s v="Major chemical intermediate"/>
    <x v="4"/>
    <s v="Primary"/>
    <s v="2024년 cyclohexane 수요의 64%로 최대 downstream"/>
    <s v="Existing"/>
    <m/>
  </r>
  <r>
    <x v="53"/>
    <s v="A01"/>
    <s v="E07"/>
    <n v="0.6"/>
    <s v="Cyclohexane"/>
    <s v="Adipic acid production"/>
    <s v="Major chemical intermediate"/>
    <x v="4"/>
    <s v="Primary"/>
    <s v="2024년 cyclohexane 수요의 23%로 핵심 downstream"/>
    <s v="Existing"/>
    <m/>
  </r>
  <r>
    <x v="53"/>
    <s v="A24"/>
    <s v="E07"/>
    <n v="0.1"/>
    <s v="Cyclohexane"/>
    <s v="Solvent and other applications"/>
    <s v="Solvent &amp; extraction"/>
    <x v="4"/>
    <s v="Niche / Emerging"/>
    <s v="기타 용도가 11%로 존재하나 주력은 intermediate"/>
    <s v="Existing"/>
    <m/>
  </r>
  <r>
    <x v="54"/>
    <s v="A01"/>
    <s v="E07"/>
    <n v="0.6"/>
    <s v="Aniline"/>
    <s v="MDI production"/>
    <s v="Major chemical intermediate"/>
    <x v="4"/>
    <s v="Primary"/>
    <s v="2023년 전세계 aniline 수요의 약 85%가 MDI용으로 소비된 핵심 route"/>
    <s v="Existing"/>
    <m/>
  </r>
  <r>
    <x v="54"/>
    <s v="A19"/>
    <s v="E03"/>
    <n v="0.3"/>
    <s v="Aniline"/>
    <s v="Rubber-processing chemicals"/>
    <s v="Tire &amp; rubber applications"/>
    <x v="2"/>
    <s v="Secondary"/>
    <s v="비-MDI 주요 용도이며 rubber additives 원료로 사용"/>
    <s v="Existing"/>
    <m/>
  </r>
  <r>
    <x v="54"/>
    <s v="A23"/>
    <s v="E07"/>
    <n v="0.3"/>
    <s v="Aniline"/>
    <s v="Dyes and pigments"/>
    <s v="Printing inks &amp; graphic materials"/>
    <x v="4"/>
    <s v="Secondary"/>
    <s v="염료·안료용 aniline계 중간체로 사용되나 MDI 대비 소량"/>
    <s v="Existing"/>
    <m/>
  </r>
  <r>
    <x v="54"/>
    <s v="A33"/>
    <s v="E05"/>
    <n v="0.1"/>
    <s v="Aniline"/>
    <s v="Pharmaceuticals"/>
    <s v="Medical &amp; healthcare materials"/>
    <x v="6"/>
    <s v="Niche / Emerging"/>
    <s v="의약품 중간체로 언급되나 전체 수요 내 비중은 제한적"/>
    <s v="Existing"/>
    <m/>
  </r>
  <r>
    <x v="54"/>
    <s v="A35"/>
    <s v="E06"/>
    <n v="0.1"/>
    <s v="Aniline"/>
    <s v="Herbicides / insecticides / fungicides"/>
    <s v="Crop protection &amp; agrochemical intermediates"/>
    <x v="5"/>
    <s v="Niche / Emerging"/>
    <s v="작물보호제 중간체로 사용되나 비-MDI 내 세부 niche 용도"/>
    <s v="Existing"/>
    <m/>
  </r>
  <r>
    <x v="55"/>
    <s v="A01"/>
    <s v="E07"/>
    <n v="0.6"/>
    <s v="LAB"/>
    <s v="Linear alkylbenzene sulfonate (LAS)"/>
    <s v="Major chemical intermediate"/>
    <x v="4"/>
    <s v="Primary"/>
    <s v="LAB의 거의 전량이 sulfonation을 통해 LAS로 전환되는 핵심 downstream route"/>
    <s v="Existing"/>
    <m/>
  </r>
  <r>
    <x v="55"/>
    <s v="A30"/>
    <s v="E02"/>
    <n v="0.6"/>
    <s v="LAB"/>
    <s v="Household detergents"/>
    <s v="Surfactant &amp; emulsification"/>
    <x v="0"/>
    <s v="Primary"/>
    <s v="LAS는 household detergent와 cleaning product의 주요 synthetic surfactant"/>
    <s v="Existing"/>
    <m/>
  </r>
  <r>
    <x v="55"/>
    <s v="A28"/>
    <s v="E07"/>
    <n v="0.1"/>
    <s v="LAB"/>
    <s v="Refrigerator oils"/>
    <s v="Lubrication &amp; friction control"/>
    <x v="4"/>
    <s v="Niche / Emerging"/>
    <s v="bottoms cut의 특수 윤활유 용도로 언급되나 본 LAB 시장에는 포함되지 않는 주변 용도"/>
    <s v="Existing"/>
    <m/>
  </r>
  <r>
    <x v="56"/>
    <s v="A01"/>
    <s v="E07"/>
    <n v="0.6"/>
    <s v="Cyclohexanone"/>
    <s v="Caprolactam production"/>
    <s v="Major chemical intermediate"/>
    <x v="4"/>
    <s v="Primary"/>
    <s v="2024년 cyclohexanone 수요의 95%가 caprolactam 생산"/>
    <s v="Existing"/>
    <m/>
  </r>
  <r>
    <x v="56"/>
    <s v="A24"/>
    <s v="E07"/>
    <n v="0.1"/>
    <s v="Cyclohexanone"/>
    <s v="Solvent in coatings, paints and adhesives"/>
    <s v="Solvent &amp; extraction"/>
    <x v="4"/>
    <s v="Niche / Emerging"/>
    <s v="caprolactam 외 소량 용도"/>
    <s v="Existing"/>
    <m/>
  </r>
  <r>
    <x v="56"/>
    <s v="A02"/>
    <s v="E06"/>
    <n v="0.1"/>
    <s v="Cyclohexanone"/>
    <s v="Herbicides and pesticides intermediate"/>
    <s v="Specialty chemical intermediate"/>
    <x v="5"/>
    <s v="Niche / Emerging"/>
    <s v="농약 중간체로 언급되나 규모는 작음"/>
    <s v="Existing"/>
    <m/>
  </r>
  <r>
    <x v="57"/>
    <s v="A01"/>
    <s v="E01"/>
    <n v="0.6"/>
    <s v="MA"/>
    <s v="Unsaturated polyester resins"/>
    <s v="Major chemical intermediate"/>
    <x v="1"/>
    <s v="Primary"/>
    <s v="2024년 MAN 소비의 58%로 최대 수요처이며 건설·자동차·해양 FRP와 연계"/>
    <s v="Existing"/>
    <m/>
  </r>
  <r>
    <x v="57"/>
    <s v="A02"/>
    <s v="E07"/>
    <n v="0.3"/>
    <s v="MA"/>
    <s v="Fumaric acid"/>
    <s v="Specialty chemical intermediate"/>
    <x v="4"/>
    <s v="Secondary"/>
    <s v="2024년 9% 수요처이며 식품, UPR, paper sizing 등으로 연결"/>
    <s v="Existing"/>
    <m/>
  </r>
  <r>
    <x v="57"/>
    <s v="A28"/>
    <s v="E07"/>
    <n v="0.3"/>
    <s v="MA"/>
    <s v="Lubricating oil additives"/>
    <s v="Lubrication &amp; friction control"/>
    <x v="4"/>
    <s v="Secondary"/>
    <s v="dispersant 및 corrosion inhibitor용 lube additive 중간체"/>
    <s v="Existing"/>
    <m/>
  </r>
  <r>
    <x v="57"/>
    <s v="A38"/>
    <s v="E07"/>
    <n v="0.3"/>
    <s v="MA"/>
    <s v="Copolymers"/>
    <s v="Polymer modification &amp; additives"/>
    <x v="4"/>
    <s v="Secondary"/>
    <s v="SMA, PVM/MA, grafted polyolefin 등 compatibilizer·dispersant 용도"/>
    <s v="Existing"/>
    <m/>
  </r>
  <r>
    <x v="57"/>
    <s v="A27"/>
    <s v="E07"/>
    <n v="0.3"/>
    <s v="MA"/>
    <s v="Alkenyl succinic anhydrides"/>
    <s v="Water treatment &amp; dispersants"/>
    <x v="4"/>
    <s v="Secondary"/>
    <s v="ASA는 paper sizing, detergents, dispersant 등에 사용"/>
    <s v="Existing"/>
    <m/>
  </r>
  <r>
    <x v="57"/>
    <s v="A36"/>
    <s v="E02"/>
    <n v="0.3"/>
    <s v="MA"/>
    <s v="Malic acid"/>
    <s v="Food additives &amp; preservation"/>
    <x v="0"/>
    <s v="Secondary"/>
    <s v="malic acid는 주로 food &amp; beverage의 산미료·flavor enhancer로 사용"/>
    <s v="Existing"/>
    <m/>
  </r>
  <r>
    <x v="57"/>
    <s v="A22"/>
    <s v="E07"/>
    <n v="0.3"/>
    <s v="MA"/>
    <s v="Surface coatings / alkyd resins"/>
    <s v="Surface coating"/>
    <x v="4"/>
    <s v="Secondary"/>
    <s v="alkyd resin 및 coating resin 중간체로 사용"/>
    <s v="Existing"/>
    <m/>
  </r>
  <r>
    <x v="57"/>
    <s v="A35"/>
    <s v="E06"/>
    <n v="0.1"/>
    <s v="MA"/>
    <s v="Agricultural chemicals"/>
    <s v="Crop protection &amp; agrochemical intermediates"/>
    <x v="5"/>
    <s v="Niche / Emerging"/>
    <s v="maleic hydrazide, captan 등 agrochemical chain에 제한적 사용"/>
    <s v="Existing"/>
    <m/>
  </r>
  <r>
    <x v="58"/>
    <s v="A01"/>
    <s v="E07"/>
    <n v="0.6"/>
    <s v="Methanol"/>
    <s v="Formaldehyde"/>
    <s v="Major chemical intermediate"/>
    <x v="4"/>
    <s v="Primary"/>
    <s v="전체 methanol 소비의 약 25%를 차지하는 최대 용도이며, formaldehyde를 거쳐 UF/PF 수지 등 다양한 화학제품으로 이어지는 핵심 중간체임"/>
    <s v="Existing"/>
    <m/>
  </r>
  <r>
    <x v="58"/>
    <s v="A01"/>
    <s v="E07"/>
    <n v="0.6"/>
    <s v="Methanol"/>
    <s v="Methanol-to-Olefins (MTO)"/>
    <s v="Major chemical intermediate"/>
    <x v="4"/>
    <s v="Primary"/>
    <s v="에틸렌·프로필렌 생산을 위한 직접 원료로 사용되며, 중국 중심의 주요 methanol 소비처임"/>
    <s v="Existing"/>
    <m/>
  </r>
  <r>
    <x v="58"/>
    <s v="A01"/>
    <s v="E07"/>
    <n v="0.3"/>
    <s v="Methanol"/>
    <s v="Acetic acid"/>
    <s v="Major chemical intermediate"/>
    <x v="4"/>
    <s v="Secondary"/>
    <s v="Acetic acid 제조의 핵심 원료로 사용되며 VAM, PTA 등 다양한 화학 가치사슬로 연결됨"/>
    <s v="Existing"/>
    <m/>
  </r>
  <r>
    <x v="58"/>
    <s v="A43"/>
    <s v="E04"/>
    <n v="0.3"/>
    <s v="Methanol"/>
    <s v="MTBE/TAME"/>
    <s v="Fuel / fuel additive"/>
    <x v="3"/>
    <s v="Secondary"/>
    <s v="가솔린 옥탄가 향상용 연료첨가제 제조의 주요 원료로 사용됨"/>
    <s v="Existing"/>
    <m/>
  </r>
  <r>
    <x v="58"/>
    <s v="A43"/>
    <s v="E04"/>
    <n v="0.3"/>
    <s v="Methanol"/>
    <s v="Biodiesel"/>
    <s v="Fuel / fuel additive"/>
    <x v="3"/>
    <s v="Secondary"/>
    <s v="지방산 메틸에스터(FAME) 기반 바이오디젤 생산의 핵심 반응물임"/>
    <s v="Existing"/>
    <m/>
  </r>
  <r>
    <x v="58"/>
    <s v="A43"/>
    <s v="E04"/>
    <n v="0.3"/>
    <s v="Methanol"/>
    <s v="Direct gasoline blending"/>
    <s v="Fuel / fuel additive"/>
    <x v="3"/>
    <s v="Secondary"/>
    <s v="메탄올을 연료에 직접 혼합하여 사용하는 application"/>
    <s v="Existing"/>
    <m/>
  </r>
  <r>
    <x v="58"/>
    <s v="A43"/>
    <s v="E04"/>
    <n v="0.3"/>
    <s v="Methanol"/>
    <s v="Dimethyl ether (DME)"/>
    <s v="Fuel / fuel additive"/>
    <x v="3"/>
    <s v="Secondary"/>
    <s v="LPG 대체 및 연료용 DME 제조의 원료로 사용됨"/>
    <s v="Existing"/>
    <m/>
  </r>
  <r>
    <x v="58"/>
    <s v="A43"/>
    <s v="E04"/>
    <n v="0.3"/>
    <s v="Methanol"/>
    <s v="Bunker fuel"/>
    <s v="Fuel / fuel additive"/>
    <x v="3"/>
    <s v="Secondary"/>
    <s v="해운 탈탄소화에 따라 직접 선박연료로 빠르게 성장하는 application"/>
    <s v="Existing"/>
    <m/>
  </r>
  <r>
    <x v="58"/>
    <s v="A01"/>
    <s v="E07"/>
    <n v="0.3"/>
    <s v="Methanol"/>
    <s v="Methyl methacrylate (MMA)"/>
    <s v="Major chemical intermediate"/>
    <x v="4"/>
    <s v="Secondary"/>
    <s v="MMA 제조의 원료이며 PMMA, 코팅 및 접착제 가치사슬로 연결됨"/>
    <s v="Existing"/>
    <m/>
  </r>
  <r>
    <x v="58"/>
    <s v="A02"/>
    <s v="E07"/>
    <n v="0.3"/>
    <s v="Methanol"/>
    <s v="Methylamines"/>
    <s v="Specialty chemical intermediate"/>
    <x v="4"/>
    <s v="Secondary"/>
    <s v="Methylamine 제조를 통해 NMP, 계면활성제, 의약 및 농약 등 특수화학으로 연결됨"/>
    <s v="Existing"/>
    <m/>
  </r>
  <r>
    <x v="58"/>
    <s v="A02"/>
    <s v="E07"/>
    <n v="0.3"/>
    <s v="Methanol"/>
    <s v="Chloromethanes"/>
    <s v="Specialty chemical intermediate"/>
    <x v="4"/>
    <s v="Secondary"/>
    <s v="실리콘, 냉매 및 기타 특수화학제품 제조용 중간체 생산에 사용됨"/>
    <s v="Existing"/>
    <m/>
  </r>
  <r>
    <x v="58"/>
    <s v="A24"/>
    <s v="E07"/>
    <n v="0.3"/>
    <s v="Methanol"/>
    <s v="Solvents"/>
    <s v="Solvent &amp; extraction"/>
    <x v="4"/>
    <s v="Secondary"/>
    <s v="공정용 용제 및 세정·추출용 용매로 직접 사용됨"/>
    <s v="Existing"/>
    <m/>
  </r>
  <r>
    <x v="58"/>
    <s v="A02"/>
    <s v="E07"/>
    <n v="0.1"/>
    <s v="Methanol"/>
    <s v="Dimethyl terephthalate (DMT)"/>
    <s v="Specialty chemical intermediate"/>
    <x v="4"/>
    <s v="Niche / Emerging"/>
    <s v="DMT 제조 원료로 사용되며 현재 시장 비중은 제한적임"/>
    <s v="Existing"/>
    <m/>
  </r>
  <r>
    <x v="58"/>
    <s v="A15"/>
    <s v="E07"/>
    <n v="0.1"/>
    <s v="Methanol"/>
    <s v="Antifreeze"/>
    <s v="Battery &amp; thermal-management materials"/>
    <x v="4"/>
    <s v="Niche / Emerging"/>
    <s v="천연가스 배관 hydrate inhibitor 및 제빙·부동액 용도로 직접 사용됨"/>
    <s v="Existing"/>
    <m/>
  </r>
  <r>
    <x v="58"/>
    <s v="A24"/>
    <s v="E07"/>
    <n v="0.1"/>
    <s v="Methanol"/>
    <s v="Glycol methyl ethers"/>
    <s v="Solvent &amp; extraction"/>
    <x v="4"/>
    <s v="Niche / Emerging"/>
    <s v="다양한 glycol ether 계열 특수용제 제조 원료로 사용됨"/>
    <s v="Existing"/>
    <m/>
  </r>
  <r>
    <x v="59"/>
    <s v="A01"/>
    <s v="E07"/>
    <n v="0.6"/>
    <s v="Acetic acid"/>
    <s v="Vinyl acetate monomer (VAM)"/>
    <s v="Major chemical intermediate"/>
    <x v="4"/>
    <s v="Primary"/>
    <s v="Acetic acid 최대 수요처(약 28%)이며 PVA, PVOH, EVA 등 다양한 폴리머 가치사슬의 핵심 중간체"/>
    <s v="Existing"/>
    <m/>
  </r>
  <r>
    <x v="59"/>
    <s v="A01"/>
    <s v="E07"/>
    <n v="0.6"/>
    <s v="Acetic acid"/>
    <s v="Purified terephthalic acid (PTA)"/>
    <s v="Major chemical intermediate"/>
    <x v="4"/>
    <s v="Primary"/>
    <s v="PTA 제조 시 용매로 사용되며 PET resin, polyester fiber, film 가치사슬의 핵심 원료"/>
    <s v="Existing"/>
    <m/>
  </r>
  <r>
    <x v="59"/>
    <s v="A01"/>
    <s v="E07"/>
    <n v="0.6"/>
    <s v="Acetic acid"/>
    <s v="Acetic anhydride"/>
    <s v="Major chemical intermediate"/>
    <x v="4"/>
    <s v="Primary"/>
    <s v="Cellulose acetate, pharmaceuticals, TAED 생산의 핵심 중간체"/>
    <s v="Existing"/>
    <m/>
  </r>
  <r>
    <x v="59"/>
    <s v="A24"/>
    <s v="E07"/>
    <n v="0.3"/>
    <s v="Acetic acid"/>
    <s v="Ethyl acetate"/>
    <s v="Solvent &amp; extraction"/>
    <x v="4"/>
    <s v="Secondary"/>
    <s v="가장 큰 acetate ester이며 잉크·도료·코팅용 용제 제조"/>
    <s v="Existing"/>
    <m/>
  </r>
  <r>
    <x v="59"/>
    <s v="A24"/>
    <s v="E07"/>
    <n v="0.3"/>
    <s v="Acetic acid"/>
    <s v="n-Butyl acetate"/>
    <s v="Solvent &amp; extraction"/>
    <x v="4"/>
    <s v="Secondary"/>
    <s v="Surface coating 및 산업용 coating solvent의 주요 원료"/>
    <s v="Existing"/>
    <m/>
  </r>
  <r>
    <x v="59"/>
    <s v="A24"/>
    <s v="E07"/>
    <n v="0.3"/>
    <s v="Acetic acid"/>
    <s v="sec-Butyl acetate"/>
    <s v="Solvent &amp; extraction"/>
    <x v="4"/>
    <s v="Secondary"/>
    <s v="Coatings 및 specialty solvent 시장에 사용"/>
    <s v="Existing"/>
    <m/>
  </r>
  <r>
    <x v="59"/>
    <s v="A24"/>
    <s v="E07"/>
    <n v="0.3"/>
    <s v="Acetic acid"/>
    <s v="Glycol ether acetates"/>
    <s v="Solvent &amp; extraction"/>
    <x v="4"/>
    <s v="Secondary"/>
    <s v="PMA, EBA, EEA 등 coating 및 전자용 solvent 제조"/>
    <s v="Existing"/>
    <m/>
  </r>
  <r>
    <x v="59"/>
    <s v="A02"/>
    <s v="E07"/>
    <n v="0.3"/>
    <s v="Acetic acid"/>
    <s v="Monochloroacetic acid (MCAA)"/>
    <s v="Specialty chemical intermediate"/>
    <x v="4"/>
    <s v="Secondary"/>
    <s v="CMC, glyphosate, surfactant, thioglycolic acid 등 특수화학 중간체"/>
    <s v="Existing"/>
    <m/>
  </r>
  <r>
    <x v="59"/>
    <s v="A02"/>
    <s v="E07"/>
    <n v="0.1"/>
    <s v="Acetic acid"/>
    <s v="Ketene / Diketene derivatives"/>
    <s v="Specialty chemical intermediate"/>
    <x v="4"/>
    <s v="Niche / Emerging"/>
    <s v="Fine chemicals, pigments, pharmaceuticals, agrochemicals용 중간체"/>
    <s v="Existing"/>
    <m/>
  </r>
  <r>
    <x v="59"/>
    <s v="A24"/>
    <s v="E07"/>
    <n v="0.1"/>
    <s v="Acetic acid"/>
    <s v="Dimethylacetamide (DMAC)"/>
    <s v="Solvent &amp; extraction"/>
    <x v="4"/>
    <s v="Niche / Emerging"/>
    <s v="고성능 섬유 및 resin 공정용 solvent 제조"/>
    <s v="Existing"/>
    <m/>
  </r>
  <r>
    <x v="59"/>
    <s v="A02"/>
    <s v="E07"/>
    <n v="0.1"/>
    <s v="Acetic acid"/>
    <s v="Acetate salts"/>
    <s v="Specialty chemical intermediate"/>
    <x v="4"/>
    <s v="Niche / Emerging"/>
    <s v="Sodium acetate, potassium acetate 등 산업용 화학제품 제조"/>
    <s v="Existing"/>
    <m/>
  </r>
  <r>
    <x v="59"/>
    <s v="A02"/>
    <s v="E07"/>
    <n v="0.1"/>
    <s v="Acetic acid"/>
    <s v="Textile processing"/>
    <s v="Specialty chemical intermediate"/>
    <x v="4"/>
    <s v="Niche / Emerging"/>
    <s v="섬유 염색·가공에서 pH 조절 및 공정 보조제로 사용되지만, 현 taxonomy에는 textile processing 항목이 없어 직접 기능보다는 specialty chemical use로 보수적으로 분류"/>
    <s v="Existing"/>
    <m/>
  </r>
  <r>
    <x v="59"/>
    <s v="A36"/>
    <s v="E02"/>
    <n v="0.1"/>
    <s v="Acetic acid"/>
    <s v="Food vinegar"/>
    <s v="Food additives &amp; preservation"/>
    <x v="0"/>
    <s v="Niche / Emerging"/>
    <s v="식초 및 식품 산미료로 사용되는 직접 소비 application이며, 기존 taxonomy의 식품첨가·보존 기능에 해당"/>
    <s v="Existing"/>
    <m/>
  </r>
  <r>
    <x v="59"/>
    <s v="A02"/>
    <s v="E05"/>
    <n v="0.1"/>
    <s v="Acetic acid"/>
    <s v="Pharmaceuticals"/>
    <s v="Specialty chemical intermediate"/>
    <x v="6"/>
    <s v="Niche / Emerging"/>
    <s v="의약품 합성 및 공정용 시약으로 사용되며, 별도 pharmaceutical taxonomy가 없으므로 specialty intermediate로 분류"/>
    <s v="Existing"/>
    <m/>
  </r>
  <r>
    <x v="60"/>
    <s v="A38"/>
    <s v="E07"/>
    <n v="0.6"/>
    <s v="PA"/>
    <s v="Phthalate plasticizers"/>
    <s v="Polymer modification &amp; additives"/>
    <x v="4"/>
    <s v="Primary"/>
    <s v="PA 소비의 약 절반이 flexible PVC용 phthalate plasticizer 생산에 사용"/>
    <s v="Existing"/>
    <m/>
  </r>
  <r>
    <x v="60"/>
    <s v="A38"/>
    <s v="E01"/>
    <n v="0.6"/>
    <s v="PA"/>
    <s v="Flexible PVC"/>
    <s v="Polymer modification &amp; additives"/>
    <x v="1"/>
    <s v="Primary"/>
    <s v="phthalate plasticizer의 주요 downstream으로 PVC 건설재·전선·필름 등에 연결"/>
    <s v="Existing"/>
    <m/>
  </r>
  <r>
    <x v="60"/>
    <s v="A22"/>
    <s v="E07"/>
    <n v="0.3"/>
    <s v="PA"/>
    <s v="Alkyd resins for surface coatings"/>
    <s v="Surface coating"/>
    <x v="4"/>
    <s v="Secondary"/>
    <s v="PA의 주요 시장 중 하나이나 환경규제로 성장 제약"/>
    <s v="Existing"/>
    <m/>
  </r>
  <r>
    <x v="60"/>
    <s v="A01"/>
    <s v="E07"/>
    <n v="0.3"/>
    <s v="PA"/>
    <s v="Unsaturated polyester resins (UPR) / FRP"/>
    <s v="Major chemical intermediate"/>
    <x v="4"/>
    <s v="Secondary"/>
    <s v="UPR 및 fiberglass-reinforced plastics용으로 사용되는 주요 비-plasticizer 용도"/>
    <s v="Existing"/>
    <m/>
  </r>
  <r>
    <x v="60"/>
    <s v="A23"/>
    <s v="E07"/>
    <n v="0.1"/>
    <s v="PA"/>
    <s v="Pigments and dyes"/>
    <s v="Printing inks &amp; graphic materials"/>
    <x v="4"/>
    <s v="Niche / Emerging"/>
    <s v="소량 용도이며 색재료 chain으로 연결"/>
    <s v="Existing"/>
    <m/>
  </r>
  <r>
    <x v="60"/>
    <s v="A39"/>
    <s v="E07"/>
    <n v="0.1"/>
    <s v="PA"/>
    <s v="Flame retardants"/>
    <s v="Flame retardancy &amp; fire protection"/>
    <x v="4"/>
    <s v="Niche / Emerging"/>
    <s v="소규모 기타 용도 중 하나로 언급됨"/>
    <s v="Existing"/>
    <m/>
  </r>
  <r>
    <x v="61"/>
    <s v="A03"/>
    <s v="E02"/>
    <n v="0.6"/>
    <s v="Caprolactam"/>
    <s v="Polyamide 6 fibers"/>
    <s v="Reactive monomer / comonomer"/>
    <x v="0"/>
    <s v="Primary"/>
    <s v="caprolactam은 거의 전량 PA6 섬유·수지로 사용"/>
    <s v="Existing"/>
    <m/>
  </r>
  <r>
    <x v="61"/>
    <s v="A03"/>
    <s v="E03"/>
    <n v="0.6"/>
    <s v="Caprolactam"/>
    <s v="Polyamide 6 plastics / resins"/>
    <s v="Reactive monomer / comonomer"/>
    <x v="2"/>
    <s v="Primary"/>
    <s v="PA6 engineering resin은 자동차·전기부품 등 핵심 수요"/>
    <s v="Existing"/>
    <m/>
  </r>
  <r>
    <x v="61"/>
    <s v="A07"/>
    <s v="E02"/>
    <n v="0.3"/>
    <s v="Caprolactam"/>
    <s v="Polyamide film for food and medical packaging"/>
    <s v="Barrier packaging"/>
    <x v="0"/>
    <s v="Secondary"/>
    <s v="grease resistance와 낮은 gas transmission을 활용한 필름 용도"/>
    <s v="Existing"/>
    <m/>
  </r>
  <r>
    <x v="61"/>
    <s v="A13"/>
    <s v="E08"/>
    <n v="0.3"/>
    <s v="Caprolactam"/>
    <s v="Wire and cable protective layer"/>
    <s v="Electrical insulation"/>
    <x v="7"/>
    <s v="Secondary"/>
    <s v="PVC primary insulation 위 보호층으로 사용"/>
    <s v="Existing"/>
    <m/>
  </r>
  <r>
    <x v="61"/>
    <s v="A19"/>
    <s v="E03"/>
    <n v="0.3"/>
    <s v="Caprolactam"/>
    <s v="Tire cord and industrial yarn"/>
    <s v="Tire &amp; rubber applications"/>
    <x v="2"/>
    <s v="Secondary"/>
    <s v="고강도 polyamide yarn의 주요 산업용 수요"/>
    <s v="Existing"/>
    <m/>
  </r>
  <r>
    <x v="62"/>
    <s v="A01"/>
    <s v="E02"/>
    <n v="0.6"/>
    <s v="LAO"/>
    <s v="Polyethylene comonomers"/>
    <s v="Major chemical intermediate"/>
    <x v="0"/>
    <s v="Primary"/>
    <s v="LLDPE/HDPE용 comonomer가 LAO의 핵심 대량 수요처"/>
    <s v="Existing"/>
    <s v="GPT"/>
  </r>
  <r>
    <x v="62"/>
    <s v="A01"/>
    <s v="E07"/>
    <n v="0.6"/>
    <s v="LAO"/>
    <s v="Polyalphaolefins for lubricants"/>
    <s v="Major chemical intermediate"/>
    <x v="4"/>
    <s v="Primary"/>
    <s v="PAO 합성기유로 연결되는 주요 downstream route"/>
    <s v="Existing"/>
    <s v="GPT"/>
  </r>
  <r>
    <x v="62"/>
    <s v="A30"/>
    <s v="E02"/>
    <n v="0.3"/>
    <s v="LAO"/>
    <s v="Detergent alcohols / surfactants"/>
    <s v="Surfactant &amp; emulsification"/>
    <x v="0"/>
    <s v="Secondary"/>
    <s v="세제 및 계면활성제 chain으로 사용"/>
    <s v="Existing"/>
    <s v="GPT"/>
  </r>
  <r>
    <x v="62"/>
    <s v="A38"/>
    <s v="E07"/>
    <n v="0.3"/>
    <s v="LAO"/>
    <s v="Plasticizers"/>
    <s v="Polymer modification &amp; additives"/>
    <x v="4"/>
    <s v="Secondary"/>
    <s v="plasticizer alcohol 및 additive chain으로 연결"/>
    <s v="Existing"/>
    <s v="GPT"/>
  </r>
  <r>
    <x v="63"/>
    <s v="A28"/>
    <s v="E03"/>
    <n v="0.6"/>
    <s v="PAO"/>
    <s v="Synthetic motor oils"/>
    <s v="Lubrication &amp; friction control"/>
    <x v="2"/>
    <s v="Primary"/>
    <s v="PAO의 대표 application은 고성능 synthetic lubricant base oil"/>
    <s v="Existing"/>
    <s v="GPT"/>
  </r>
  <r>
    <x v="63"/>
    <s v="A28"/>
    <s v="E07"/>
    <n v="0.6"/>
    <s v="PAO"/>
    <s v="Industrial gear oils"/>
    <s v="Lubrication &amp; friction control"/>
    <x v="4"/>
    <s v="Primary"/>
    <s v="gear, bearing, compressor, hydraulic oil 등에 광범위 사용"/>
    <s v="Existing"/>
    <s v="GPT"/>
  </r>
  <r>
    <x v="64"/>
    <s v="A01"/>
    <s v="E07"/>
    <n v="0.6"/>
    <s v="MMA"/>
    <s v="PMMA molding and extruded resins / sheet"/>
    <s v="Major chemical intermediate"/>
    <x v="4"/>
    <s v="Primary"/>
    <s v="MMA의 대표 대량 수요처는 PMMA 생산용 monomer"/>
    <s v="Existing"/>
    <s v="GPT"/>
  </r>
  <r>
    <x v="64"/>
    <s v="A20"/>
    <s v="E07"/>
    <n v="0.3"/>
    <s v="MMA"/>
    <s v="Adhesives"/>
    <s v="Adhesive bonding"/>
    <x v="4"/>
    <s v="Secondary"/>
    <s v="reactive adhesive formulation에 사용"/>
    <s v="Existing"/>
    <s v="GPT"/>
  </r>
  <r>
    <x v="64"/>
    <s v="A42"/>
    <s v="E01"/>
    <n v="0.1"/>
    <s v="MMA"/>
    <s v="Mineral surface composites"/>
    <s v="Composite &amp; performance resins"/>
    <x v="1"/>
    <s v="Niche / Emerging"/>
    <s v="artificial marble 등 composite binder chain으로 사용"/>
    <s v="Existing"/>
    <s v="GPT"/>
  </r>
  <r>
    <x v="65"/>
    <s v="A41"/>
    <s v="E01"/>
    <n v="0.6"/>
    <s v="PMMA"/>
    <s v="Acrylic sheets / glass substitute"/>
    <s v="Display &amp; optical materials"/>
    <x v="1"/>
    <s v="Primary"/>
    <s v="투명성·내후성 기반 sheet, window, signage에 사용"/>
    <s v="Existing"/>
    <s v="GPT"/>
  </r>
  <r>
    <x v="65"/>
    <s v="A41"/>
    <s v="E03"/>
    <n v="0.6"/>
    <s v="PMMA"/>
    <s v="Automotive lighting lenses"/>
    <s v="Display &amp; optical materials"/>
    <x v="2"/>
    <s v="Primary"/>
    <s v="rear light, lamp lens 등 투명 optical component"/>
    <s v="Existing"/>
    <s v="GPT"/>
  </r>
  <r>
    <x v="65"/>
    <s v="A41"/>
    <s v="E08"/>
    <n v="0.3"/>
    <s v="PMMA"/>
    <s v="LCD screens / light guide panels"/>
    <s v="Display &amp; optical materials"/>
    <x v="7"/>
    <s v="Secondary"/>
    <s v="display 및 light-guide용 투명 소재"/>
    <s v="Existing"/>
    <s v="GPT"/>
  </r>
  <r>
    <x v="65"/>
    <s v="A33"/>
    <s v="E05"/>
    <n v="0.3"/>
    <s v="PMMA"/>
    <s v="Medical and dental applications"/>
    <s v="Medical &amp; healthcare materials"/>
    <x v="6"/>
    <s v="Secondary"/>
    <s v="bone cement, dental/medical component 등 의료용 사용"/>
    <s v="Existing"/>
    <s v="GPT"/>
  </r>
  <r>
    <x v="65"/>
    <s v="A41"/>
    <s v="E02"/>
    <n v="0.3"/>
    <s v="PMMA"/>
    <s v="Signage and displays"/>
    <s v="Display &amp; optical materials"/>
    <x v="0"/>
    <s v="Secondary"/>
    <s v="광고판, display panel, 투명 장식재로 사용"/>
    <s v="Existing"/>
    <s v="GPT"/>
  </r>
  <r>
    <x v="65"/>
    <s v="A40"/>
    <s v="E08"/>
    <n v="0.1"/>
    <s v="PMMA"/>
    <s v="Electron-beam lithography resist"/>
    <s v="Electronic chemicals &amp; materials"/>
    <x v="7"/>
    <s v="Niche / Emerging"/>
    <s v="semiconductor research/process용 resist로 제한적 사용"/>
    <s v="Existing"/>
    <s v="GPT"/>
  </r>
  <r>
    <x v="66"/>
    <s v="A20"/>
    <s v="E01"/>
    <n v="0.6"/>
    <s v="Formaldehyde"/>
    <s v="Formaldehyde resins (UF/MF/PF)"/>
    <s v="Adhesive bonding"/>
    <x v="1"/>
    <s v="Primary"/>
    <s v="UF, MF, PF 수지는 전체 formaldehyde 소비의 약 63%를 차지하는 최대 수요처로, 목재 패널(MDF, PB, Plywood, OSB), 라미네이트 및 건축용 접착 시스템의 핵심 결합 기능을 수행함. 수지 종류는 다르지만 기능적으로는 모두 접착용 thermosetting resin으로 분류 가능"/>
    <s v="Existing"/>
    <m/>
  </r>
  <r>
    <x v="66"/>
    <s v="A04"/>
    <s v="E07"/>
    <n v="0.3"/>
    <s v="Formaldehyde"/>
    <s v="Polyacetal resins"/>
    <s v="Polymer resin / molding material"/>
    <x v="4"/>
    <s v="Secondary"/>
    <s v="엔지니어링 플라스틱(POM) 제조용 핵심 원료로 사용되며 자동차, 전기전자 및 산업부품 수요에 의해 시장이 형성됨"/>
    <s v="Existing"/>
    <m/>
  </r>
  <r>
    <x v="66"/>
    <s v="A01"/>
    <s v="E07"/>
    <n v="0.3"/>
    <s v="Formaldehyde"/>
    <s v="Methylene diphenyl diisocyanate (MDI)"/>
    <s v="Major chemical intermediate"/>
    <x v="4"/>
    <s v="Secondary"/>
    <s v="폴리우레탄 생산을 위한 핵심 중간체 제조용으로 사용되며, 건축 단열재와 자동차용 폼 등 다양한 다운스트림 시장으로 연결됨"/>
    <s v="Existing"/>
    <m/>
  </r>
  <r>
    <x v="66"/>
    <s v="A01"/>
    <s v="E07"/>
    <n v="0.3"/>
    <s v="Formaldehyde"/>
    <s v="1,4-Butanediol (BDO)"/>
    <s v="Major chemical intermediate"/>
    <x v="4"/>
    <s v="Secondary"/>
    <s v="BDO 제조의 주요 원료이며 이후 PBT, TPU, 용제 등 다양한 화학 가치사슬로 이어지는 중간체 역할을 수행함"/>
    <s v="Existing"/>
    <m/>
  </r>
  <r>
    <x v="66"/>
    <s v="A02"/>
    <s v="E07"/>
    <n v="0.3"/>
    <s v="Formaldehyde"/>
    <s v="Pentaerythritol"/>
    <s v="Specialty chemical intermediate"/>
    <x v="4"/>
    <s v="Secondary"/>
    <s v="알키드수지, 코팅 및 윤활유 첨가제 등의 특수화학 제품 제조를 위한 중간체로 사용됨"/>
    <s v="Existing"/>
    <m/>
  </r>
  <r>
    <x v="66"/>
    <s v="A02"/>
    <s v="E07"/>
    <n v="0.1"/>
    <s v="Formaldehyde"/>
    <s v="Paraformaldehyde"/>
    <s v="Specialty chemical intermediate"/>
    <x v="4"/>
    <s v="Niche / Emerging"/>
    <s v="고체 formaldehyde 공급원으로 특수수지, 코팅 및 정밀화학 분야에서 사용되며 향후 가장 높은 성장률이 예상되는 응용 분야 중 하나임"/>
    <s v="Existing"/>
    <m/>
  </r>
  <r>
    <x v="66"/>
    <s v="A02"/>
    <s v="E07"/>
    <n v="0.1"/>
    <s v="Formaldehyde"/>
    <s v="HMTA, TMP, Neopentyl glycol"/>
    <s v="Specialty chemical intermediate"/>
    <x v="4"/>
    <s v="Niche / Emerging"/>
    <s v="다양한 특수화학제품 및 수지 제조를 위한 중간체로 사용되며 개별 시장 규모는 제한적임"/>
    <s v="Existing"/>
    <m/>
  </r>
  <r>
    <x v="66"/>
    <s v="A34"/>
    <s v="E06"/>
    <n v="0.1"/>
    <s v="Formaldehyde"/>
    <s v="Slow-release fertilizers (SRF)"/>
    <s v="Agricultural productivity materials"/>
    <x v="5"/>
    <s v="Niche / Emerging"/>
    <s v="완효성 비료 제조를 통해 비료의 지속 방출 기능을 제공하는 농업용 application"/>
    <s v="Existing"/>
    <m/>
  </r>
  <r>
    <x v="66"/>
    <s v="A35"/>
    <s v="E06"/>
    <n v="0.1"/>
    <s v="Formaldehyde"/>
    <s v="Herbicides / pesticides"/>
    <s v="Crop protection &amp; agrochemical intermediates"/>
    <x v="5"/>
    <s v="Niche / Emerging"/>
    <s v="제초제 및 농약 제조를 위한 중간체로 사용되며 농화학 가치사슬에 기여함"/>
    <s v="Existing"/>
    <m/>
  </r>
  <r>
    <x v="67"/>
    <s v="A15"/>
    <s v="E03"/>
    <n v="0.6"/>
    <s v="EC"/>
    <s v="Lithium-ion battery electrolyte solvent"/>
    <s v="Battery &amp; thermal-management materials"/>
    <x v="2"/>
    <s v="Primary"/>
    <s v="EV/ESS용 Li-ion battery electrolyte의 핵심 carbonate solvent"/>
    <s v="Existing"/>
    <s v="GPT"/>
  </r>
  <r>
    <x v="67"/>
    <s v="A24"/>
    <s v="E07"/>
    <n v="0.3"/>
    <s v="EC"/>
    <s v="Polar solvent for polymers/resins"/>
    <s v="Solvent &amp; extraction"/>
    <x v="4"/>
    <s v="Secondary"/>
    <s v="고극성 solvent로 polymer/resin 공정에 사용"/>
    <s v="Existing"/>
    <s v="GPT"/>
  </r>
  <r>
    <x v="67"/>
    <s v="A38"/>
    <s v="E07"/>
    <n v="0.3"/>
    <s v="EC"/>
    <s v="Plasticizer"/>
    <s v="Polymer modification &amp; additives"/>
    <x v="4"/>
    <s v="Secondary"/>
    <s v="polymer electrolyte 및 수지 formulation에서 plasticizer 역할"/>
    <s v="Existing"/>
    <s v="GPT"/>
  </r>
  <r>
    <x v="68"/>
    <s v="A01"/>
    <s v="E07"/>
    <n v="0.6"/>
    <s v="DMC"/>
    <s v="Polycarbonate synthesis"/>
    <s v="Major chemical intermediate"/>
    <x v="4"/>
    <s v="Primary"/>
    <s v="DMC의 대표 대량 수요처이며 non-phosgene PC route와 연결"/>
    <s v="Existing"/>
    <s v="GPT"/>
  </r>
  <r>
    <x v="68"/>
    <s v="A15"/>
    <s v="E03"/>
    <n v="0.6"/>
    <s v="DMC"/>
    <s v="Battery electrolyte"/>
    <s v="Battery &amp; thermal-management materials"/>
    <x v="2"/>
    <s v="Primary"/>
    <s v="EV battery electrolyte solvent로 빠르게 성장하는 application"/>
    <s v="Existing"/>
    <s v="GPT"/>
  </r>
  <r>
    <x v="68"/>
    <s v="A24"/>
    <s v="E07"/>
    <n v="0.3"/>
    <s v="DMC"/>
    <s v="Solvents"/>
    <s v="Solvent &amp; extraction"/>
    <x v="4"/>
    <s v="Secondary"/>
    <s v="친환경 solvent 및 process solvent로 사용"/>
    <s v="Existing"/>
    <s v="GPT"/>
  </r>
  <r>
    <x v="69"/>
    <s v="A02"/>
    <s v="E07"/>
    <n v="0.6"/>
    <s v="PVOH"/>
    <s v="Polymerization aids"/>
    <s v="Specialty chemical intermediate"/>
    <x v="4"/>
    <s v="Primary"/>
    <s v="2023년 글로벌 PVOH 최대 용도 27.1%"/>
    <s v="Existing"/>
    <m/>
  </r>
  <r>
    <x v="69"/>
    <s v="A02"/>
    <s v="E03"/>
    <n v="0.6"/>
    <s v="PVOH"/>
    <s v="Polyvinyl butyral (PVB)"/>
    <s v="Specialty chemical intermediate"/>
    <x v="2"/>
    <s v="Primary"/>
    <s v="PVB는 안전유리 interlayer로 연결되는 주요 PVOH downstream"/>
    <s v="Existing"/>
    <m/>
  </r>
  <r>
    <x v="69"/>
    <s v="A20"/>
    <s v="E07"/>
    <n v="0.3"/>
    <s v="PVOH"/>
    <s v="Adhesives"/>
    <s v="Adhesive bonding"/>
    <x v="4"/>
    <s v="Secondary"/>
    <s v="2023년 주요 용도 12.8%"/>
    <s v="Existing"/>
    <m/>
  </r>
  <r>
    <x v="69"/>
    <s v="A22"/>
    <s v="E02"/>
    <n v="0.3"/>
    <s v="PVOH"/>
    <s v="Textile warp sizing"/>
    <s v="Surface coating"/>
    <x v="0"/>
    <s v="Secondary"/>
    <s v="섬유 sizing은 표면 처리·coating 성격의 용도"/>
    <s v="Existing"/>
    <m/>
  </r>
  <r>
    <x v="69"/>
    <s v="A22"/>
    <s v="E02"/>
    <n v="0.3"/>
    <s v="PVOH"/>
    <s v="Paper sizings and coatings"/>
    <s v="Surface coating"/>
    <x v="0"/>
    <s v="Secondary"/>
    <s v="종이 sizing 및 coating binder 용도"/>
    <s v="Existing"/>
    <m/>
  </r>
  <r>
    <x v="69"/>
    <s v="A07"/>
    <s v="E02"/>
    <n v="0.1"/>
    <s v="PVOH"/>
    <s v="PVOH films"/>
    <s v="Barrier packaging"/>
    <x v="0"/>
    <s v="Niche / Emerging"/>
    <s v="수용성·특수 필름 용도이나 전체 비중은 작음"/>
    <s v="Existing"/>
    <m/>
  </r>
  <r>
    <x v="70"/>
    <s v="A14"/>
    <s v="E04"/>
    <n v="0.6"/>
    <s v="EVA"/>
    <s v="Solar photovoltaic modules / encapsulation sheets"/>
    <s v="Renewable energy materials"/>
    <x v="3"/>
    <s v="Primary"/>
    <s v="2025년 EVA 수요의 41%로 최대·고성장 용도"/>
    <s v="Existing"/>
    <m/>
  </r>
  <r>
    <x v="70"/>
    <s v="A17"/>
    <s v="E02"/>
    <n v="0.3"/>
    <s v="EVA"/>
    <s v="Consumer goods / foams"/>
    <s v="Cushioning &amp; comfort materials"/>
    <x v="0"/>
    <s v="Secondary"/>
    <s v="footwear·fitness foam 등 소비재 용도"/>
    <s v="Existing"/>
    <m/>
  </r>
  <r>
    <x v="70"/>
    <s v="A13"/>
    <s v="E04"/>
    <n v="0.1"/>
    <s v="EVA"/>
    <s v="Wire and cable"/>
    <s v="Electrical insulation"/>
    <x v="3"/>
    <s v="Niche / Emerging"/>
    <s v="2025년 EVA 수요의 13%로 의미 있는 절연 용도"/>
    <s v="Existing"/>
    <m/>
  </r>
  <r>
    <x v="70"/>
    <s v="A20"/>
    <s v="E07"/>
    <n v="0.1"/>
    <s v="EVA"/>
    <s v="Hot-melt adhesives"/>
    <s v="Adhesive bonding"/>
    <x v="4"/>
    <s v="Niche / Emerging"/>
    <s v="고 VAM grade의 대표 접착 application"/>
    <s v="Existing"/>
    <m/>
  </r>
  <r>
    <x v="70"/>
    <s v="A05"/>
    <s v="E02"/>
    <n v="0.1"/>
    <s v="EVA"/>
    <s v="Packaging films / heat-seal films"/>
    <s v="Flexible packaging"/>
    <x v="0"/>
    <s v="Niche / Emerging"/>
    <s v="VAM이 열봉합성·clarity·cling을 개선해 필름에 사용"/>
    <s v="Existing"/>
    <m/>
  </r>
  <r>
    <x v="71"/>
    <s v="A01"/>
    <s v="E01"/>
    <n v="0.6"/>
    <s v="MDI"/>
    <s v="Rigid polyurethane foams"/>
    <s v="Major chemical intermediate"/>
    <x v="1"/>
    <s v="Primary"/>
    <s v="2024년 MDI 소비의 53%를 차지하는 최대 용도이며 건축 insulation 수요가 핵심"/>
    <s v="Existing"/>
    <m/>
  </r>
  <r>
    <x v="71"/>
    <s v="A01"/>
    <s v="E02"/>
    <n v="0.3"/>
    <s v="MDI"/>
    <s v="Flexible polyurethane foams"/>
    <s v="Major chemical intermediate"/>
    <x v="0"/>
    <s v="Secondary"/>
    <s v="MDI 소비의 약 8%로 bedding·seating 등 cushioning에 사용"/>
    <s v="Existing"/>
    <m/>
  </r>
  <r>
    <x v="71"/>
    <s v="A01"/>
    <s v="E07"/>
    <n v="0.3"/>
    <s v="MDI"/>
    <s v="Polyurethane elastomers"/>
    <s v="Major chemical intermediate"/>
    <x v="4"/>
    <s v="Secondary"/>
    <s v="MDI 소비의 약 14%를 차지하는 주요 비-foam 용도"/>
    <s v="Existing"/>
    <m/>
  </r>
  <r>
    <x v="71"/>
    <s v="A01"/>
    <s v="E07"/>
    <n v="0.3"/>
    <s v="MDI"/>
    <s v="Adhesives and sealants"/>
    <s v="Major chemical intermediate"/>
    <x v="4"/>
    <s v="Secondary"/>
    <s v="PU adhesive·sealant 용도로 사용되며 2024년 약 7% 비중"/>
    <s v="Existing"/>
    <m/>
  </r>
  <r>
    <x v="71"/>
    <s v="A01"/>
    <s v="E07"/>
    <n v="0.3"/>
    <s v="MDI"/>
    <s v="Surface coatings"/>
    <s v="Major chemical intermediate"/>
    <x v="4"/>
    <s v="Secondary"/>
    <s v="MDI 기반 PU coating 용도이나 foam·elastomer 대비 비중은 작음"/>
    <s v="Existing"/>
    <m/>
  </r>
  <r>
    <x v="72"/>
    <s v="A01"/>
    <s v="E02"/>
    <n v="0.6"/>
    <s v="TDI"/>
    <s v="Flexible polyurethane foams"/>
    <s v="Major chemical intermediate"/>
    <x v="0"/>
    <s v="Primary"/>
    <s v="2024년 TDI 소비의 79%를 차지하는 압도적 핵심 용도"/>
    <s v="Existing"/>
    <m/>
  </r>
  <r>
    <x v="72"/>
    <s v="A01"/>
    <s v="E02"/>
    <n v="0.6"/>
    <s v="TDI"/>
    <s v="Mattresses, furniture and automotive seats"/>
    <s v="Major chemical intermediate"/>
    <x v="0"/>
    <s v="Primary"/>
    <s v="TDI flexible foam의 대표 downstream으로 cushioning 제품에 사용"/>
    <s v="Existing"/>
    <m/>
  </r>
  <r>
    <x v="72"/>
    <s v="A01"/>
    <s v="E07"/>
    <n v="0.3"/>
    <s v="TDI"/>
    <s v="Surface coatings"/>
    <s v="Major chemical intermediate"/>
    <x v="4"/>
    <s v="Secondary"/>
    <s v="2024년 TDI 소비의 약 9%로 비-foam 주요 용도"/>
    <s v="Existing"/>
    <m/>
  </r>
  <r>
    <x v="72"/>
    <s v="A01"/>
    <s v="E07"/>
    <n v="0.3"/>
    <s v="TDI"/>
    <s v="Adhesives and sealants"/>
    <s v="Major chemical intermediate"/>
    <x v="4"/>
    <s v="Secondary"/>
    <s v="2024년 TDI 소비의 약 6%를 차지하는 기능성 PU 용도"/>
    <s v="Existing"/>
    <m/>
  </r>
  <r>
    <x v="72"/>
    <s v="A01"/>
    <s v="E07"/>
    <n v="0.3"/>
    <s v="TDI"/>
    <s v="Polyurethane elastomers"/>
    <s v="Major chemical intermediate"/>
    <x v="4"/>
    <s v="Secondary"/>
    <s v="2024년 TDI 소비의 약 4%로 제한적이나 상업적 용도 존재"/>
    <s v="Existing"/>
    <m/>
  </r>
  <r>
    <x v="73"/>
    <s v="A01"/>
    <s v="E07"/>
    <n v="0.6"/>
    <s v="o-Xylene"/>
    <s v="Phthalic anhydride (PA)"/>
    <s v="Major chemical intermediate"/>
    <x v="4"/>
    <s v="Primary"/>
    <s v="OX 소비의 약 96%가 PA 생산용으로 사용되는 지배적 route"/>
    <s v="Existing"/>
    <m/>
  </r>
  <r>
    <x v="73"/>
    <s v="A02"/>
    <s v="E06"/>
    <n v="0.1"/>
    <s v="o-Xylene"/>
    <s v="Other chemical intermediates, including bactericides and herbicides"/>
    <s v="Specialty chemical intermediate"/>
    <x v="5"/>
    <s v="Niche / Emerging"/>
    <s v="PA 외 약 4%의 소량 용도로 agrochemical 중간체가 언급됨"/>
    <s v="Existing"/>
    <m/>
  </r>
  <r>
    <x v="74"/>
    <s v="A01"/>
    <s v="E07"/>
    <n v="0.6"/>
    <s v="m-Xylene"/>
    <s v="Purified isophthalic acid (PIA)"/>
    <s v="Major chemical intermediate"/>
    <x v="4"/>
    <s v="Primary"/>
    <s v="m-Xylene의 거의 전량이 PIA 생산용으로 소비되는 핵심 route"/>
    <s v="Existing"/>
    <m/>
  </r>
  <r>
    <x v="74"/>
    <s v="A02"/>
    <s v="E07"/>
    <n v="0.3"/>
    <s v="m-Xylene"/>
    <s v="meta-Xylenediamine (MXDA)"/>
    <s v="Specialty chemical intermediate"/>
    <x v="4"/>
    <s v="Secondary"/>
    <s v="PIA 외 주요 성장 용도로 MXDA가 언급됨"/>
    <s v="Existing"/>
    <m/>
  </r>
  <r>
    <x v="74"/>
    <s v="A42"/>
    <s v="E07"/>
    <n v="0.1"/>
    <s v="m-Xylene"/>
    <s v="Xylene-formaldehyde resin"/>
    <s v="Composite &amp; performance resins"/>
    <x v="4"/>
    <s v="Niche / Emerging"/>
    <s v="소량 specialty resin 중간체 용도"/>
    <s v="Existing"/>
    <m/>
  </r>
  <r>
    <x v="75"/>
    <s v="A01"/>
    <s v="E07"/>
    <n v="0.6"/>
    <s v="p-Xylene"/>
    <s v="Purified terephthalic acid (PTA)"/>
    <s v="Major chemical intermediate"/>
    <x v="4"/>
    <s v="Primary"/>
    <s v="PX 수요의 약 99%가 PTA 생산용으로 사용되는 지배적 route"/>
    <s v="Existing"/>
    <m/>
  </r>
  <r>
    <x v="75"/>
    <s v="A01"/>
    <s v="E07"/>
    <n v="0.1"/>
    <s v="p-Xylene"/>
    <s v="Dimethyl terephthalate (DMT)"/>
    <s v="Major chemical intermediate"/>
    <x v="4"/>
    <s v="Niche / Emerging"/>
    <s v="DMT route도 존재하나 PTA 대비 지속 감소 중"/>
    <s v="Existing"/>
    <m/>
  </r>
  <r>
    <x v="76"/>
    <s v="A38"/>
    <s v="E02"/>
    <n v="0.6"/>
    <s v="PIA"/>
    <s v="Copolyester resins for PET bottles and fibers"/>
    <s v="Polymer modification &amp; additives"/>
    <x v="0"/>
    <s v="Primary"/>
    <s v="2025년 PIA 수요의 약 46%로 PET bottle resin의 clarity·생산성 개선용"/>
    <s v="Existing"/>
    <m/>
  </r>
  <r>
    <x v="76"/>
    <s v="A01"/>
    <s v="E07"/>
    <n v="0.3"/>
    <s v="PIA"/>
    <s v="Unsaturated polyester resins"/>
    <s v="Major chemical intermediate"/>
    <x v="4"/>
    <s v="Secondary"/>
    <s v="2025년 PIA 수요의 약 22%로 FRP용 premium polyester resin에 사용"/>
    <s v="Existing"/>
    <m/>
  </r>
  <r>
    <x v="76"/>
    <s v="A22"/>
    <s v="E07"/>
    <n v="0.3"/>
    <s v="PIA"/>
    <s v="Polyester/alkyd surface coating resins"/>
    <s v="Surface coating"/>
    <x v="4"/>
    <s v="Secondary"/>
    <s v="2025년 PIA 수요의 약 16%로 coating resin의 내수성·내후성 개선"/>
    <s v="Existing"/>
    <m/>
  </r>
  <r>
    <x v="76"/>
    <s v="A02"/>
    <s v="E07"/>
    <n v="0.1"/>
    <s v="PIA"/>
    <s v="Isophthaloyl chloride (IPC) / meta-aramid fiber"/>
    <s v="Specialty chemical intermediate"/>
    <x v="4"/>
    <s v="Niche / Emerging"/>
    <s v="IPC 및 meta-aramid fiber 원료로 사용되는 specialty route"/>
    <s v="Existing"/>
    <m/>
  </r>
  <r>
    <x v="76"/>
    <s v="A04"/>
    <s v="E02"/>
    <n v="0.1"/>
    <s v="PIA"/>
    <s v="Low-melt polyester fiber"/>
    <s v="Polymer resin / molding material"/>
    <x v="0"/>
    <s v="Niche / Emerging"/>
    <s v="hygiene·furniture·automotive interiors 등에 쓰이는 LMF 원료로 언급"/>
    <s v="Existing"/>
    <m/>
  </r>
  <r>
    <x v="76"/>
    <s v="A20"/>
    <s v="E07"/>
    <n v="0.1"/>
    <s v="PIA"/>
    <s v="Adhesives"/>
    <s v="Adhesive bonding"/>
    <x v="4"/>
    <s v="Niche / Emerging"/>
    <s v="hot-melt polyester adhesive 등 소량 용도"/>
    <s v="Existing"/>
    <m/>
  </r>
  <r>
    <x v="77"/>
    <s v="A01"/>
    <s v="E02"/>
    <n v="0.6"/>
    <s v="TPA"/>
    <s v="Polyethylene terephthalate (PET) polymer"/>
    <s v="Major chemical intermediate"/>
    <x v="0"/>
    <s v="Primary"/>
    <s v="2024년 TPA 소비의 약 97%가 PET/polyester melt 생산용"/>
    <s v="Existing"/>
    <m/>
  </r>
  <r>
    <x v="77"/>
    <s v="A04"/>
    <s v="E08"/>
    <n v="0.1"/>
    <s v="TPA"/>
    <s v="Polybutylene terephthalate (PBT)"/>
    <s v="Polymer resin / molding material"/>
    <x v="7"/>
    <s v="Niche / Emerging"/>
    <s v="TPA의 잔여 비-PET 용도 중 하나로 engineering resin에 사용"/>
    <s v="Existing"/>
    <m/>
  </r>
  <r>
    <x v="77"/>
    <s v="A38"/>
    <s v="E07"/>
    <n v="0.1"/>
    <s v="TPA"/>
    <s v="Dioctyl terephthalate (DOTP)"/>
    <s v="Polymer modification &amp; additives"/>
    <x v="4"/>
    <s v="Niche / Emerging"/>
    <s v="비-PET 용도의 plasticizer route로 언급됨"/>
    <s v="Existing"/>
    <m/>
  </r>
  <r>
    <x v="78"/>
    <s v="A01"/>
    <s v="E02"/>
    <n v="0.6"/>
    <s v="DMT"/>
    <s v="Polyethylene terephthalate (PET) polymer"/>
    <s v="Major chemical intermediate"/>
    <x v="0"/>
    <s v="Primary"/>
    <s v="DMT 수요의 약 85%가 PET/polyester 생산용이나 TPA로 대체되어 감소 중"/>
    <s v="Existing"/>
    <m/>
  </r>
  <r>
    <x v="78"/>
    <s v="A04"/>
    <s v="E08"/>
    <n v="0.1"/>
    <s v="DMT"/>
    <s v="Polybutylene terephthalate (PBT)"/>
    <s v="Polymer resin / molding material"/>
    <x v="7"/>
    <s v="Niche / Emerging"/>
    <s v="DMT의 비-PET 주요 잔여 용도 중 하나"/>
    <s v="Existing"/>
    <m/>
  </r>
  <r>
    <x v="79"/>
    <s v="A06"/>
    <s v="E02"/>
    <n v="0.6"/>
    <s v="PET"/>
    <s v="Preforms/bottles"/>
    <s v="Rigid packaging"/>
    <x v="0"/>
    <s v="Primary"/>
    <s v="2025년 bottle-grade PET 수요의 78%"/>
    <s v="Existing"/>
    <m/>
  </r>
  <r>
    <x v="79"/>
    <s v="A06"/>
    <s v="E02"/>
    <n v="0.3"/>
    <s v="PET"/>
    <s v="Thermoform sheets/trays"/>
    <s v="Rigid packaging"/>
    <x v="0"/>
    <s v="Secondary"/>
    <s v="2025년 수요의 15%로 주요 포장재 용도"/>
    <s v="Existing"/>
    <m/>
  </r>
  <r>
    <x v="79"/>
    <s v="A07"/>
    <s v="E02"/>
    <n v="0.3"/>
    <s v="PET"/>
    <s v="Film"/>
    <s v="Barrier packaging"/>
    <x v="0"/>
    <s v="Secondary"/>
    <s v="포장용 필름 및 산업용 필름 chain으로 연결"/>
    <s v="Existing"/>
    <m/>
  </r>
  <r>
    <x v="79"/>
    <s v="A04"/>
    <s v="E02"/>
    <n v="0.6"/>
    <s v="PET"/>
    <s v="Fiber/filament"/>
    <s v="Polymer resin / molding material"/>
    <x v="0"/>
    <s v="Primary"/>
    <s v="PET value chain의 대형 섬유·의류 용도"/>
    <s v="Existing"/>
    <m/>
  </r>
  <r>
    <x v="80"/>
    <s v="A18"/>
    <s v="E03"/>
    <n v="0.6"/>
    <s v="EPDM"/>
    <s v="Automotive parts (weather strips, seals, hoses, gaskets, sidewalls, antivibration parts)"/>
    <s v="Elastomeric performance materials"/>
    <x v="2"/>
    <s v="Primary"/>
    <s v="자동차용 weatherstripping, hose, seal, gasket, tire sidewall 등이 EPDM 최대 수요처이며 글로벌 수요의 60% 이상이 자동차 관련으로 연결됨."/>
    <s v="Existing"/>
    <m/>
  </r>
  <r>
    <x v="80"/>
    <s v="A38"/>
    <s v="E07"/>
    <n v="0.6"/>
    <s v="EPDM"/>
    <s v="Polymer modification and blending (TPO/TPV, thermoplastic modification)"/>
    <s v="Polymer modification &amp; additives"/>
    <x v="4"/>
    <s v="Primary"/>
    <s v="TPO/TPV 및 polyolefin modification용 주요 elastomer modifier로 사용됨. PP 및 기타 thermoplastic의 충격강도·내후성 개선에 기여."/>
    <s v="Existing"/>
    <m/>
  </r>
  <r>
    <x v="80"/>
    <s v="A21"/>
    <s v="E01"/>
    <n v="0.6"/>
    <s v="EPDM"/>
    <s v="Single-ply roofing and waterproofing construction"/>
    <s v="Sealants &amp; joint protection"/>
    <x v="1"/>
    <s v="Primary"/>
    <s v="EPDM roofing membrane는 단일층 지붕 및 waterproofing의 대표 소재로 내후성·내오존성이 핵심 가치임."/>
    <s v="Existing"/>
    <m/>
  </r>
  <r>
    <x v="80"/>
    <s v="A13"/>
    <s v="E08"/>
    <n v="0.3"/>
    <s v="EPDM"/>
    <s v="Wire and cable insulation / sheathing"/>
    <s v="Electrical insulation"/>
    <x v="7"/>
    <s v="Secondary"/>
    <s v="우수한 전기특성, ozone/corona resistance 및 장기 내구성으로 wire &amp; cable insulation 및 jacketing에 사용됨."/>
    <s v="Existing"/>
    <m/>
  </r>
  <r>
    <x v="80"/>
    <s v="A28"/>
    <s v="E03"/>
    <n v="0.3"/>
    <s v="EPDM"/>
    <s v="Oil additives (viscosity index improvers)"/>
    <s v="Lubrication &amp; friction control"/>
    <x v="2"/>
    <s v="Secondary"/>
    <s v="윤활유 점도지수 향상(VI improver)용 OCP 계열로 엔진오일 및 윤활유 formulation에 사용됨."/>
    <s v="Existing"/>
    <m/>
  </r>
  <r>
    <x v="80"/>
    <s v="A18"/>
    <s v="E02"/>
    <n v="0.3"/>
    <s v="EPDM"/>
    <s v="Appliance gaskets and seals"/>
    <s v="Elastomeric performance materials"/>
    <x v="0"/>
    <s v="Secondary"/>
    <s v="세탁기·식기세척기 등 가전 sealing 부품에 사용되며 내열·내수성이 요구되는 application임."/>
    <s v="Existing"/>
    <m/>
  </r>
  <r>
    <x v="80"/>
    <s v="A09"/>
    <s v="E07"/>
    <n v="0.3"/>
    <s v="EPDM"/>
    <s v="Water/steam hoses and industrial hoses"/>
    <s v="Pipe &amp; fluid conveyance"/>
    <x v="4"/>
    <s v="Secondary"/>
    <s v="물·증기·압축공기 hose에 사용되며 내열성과 내후성이 핵심 성능임. 자동차 hose는 automotive route에 포함됨."/>
    <s v="Existing"/>
    <m/>
  </r>
  <r>
    <x v="80"/>
    <s v="A17"/>
    <s v="E02"/>
    <n v="0.1"/>
    <s v="EPDM"/>
    <s v="Sports fields, artificial turf and playgrounds"/>
    <s v="Cushioning &amp; comfort materials"/>
    <x v="0"/>
    <s v="Niche / Emerging"/>
    <s v="스포츠 트랙·인조잔디 충진 및 cushioning 용도로 사용되나 자동차·건설 대비 비중은 제한적임."/>
    <s v="Existing"/>
    <m/>
  </r>
  <r>
    <x v="81"/>
    <s v="A01"/>
    <s v="E07"/>
    <n v="0.6"/>
    <s v="ECH"/>
    <s v="Epoxy resins"/>
    <s v="Major chemical intermediate"/>
    <x v="4"/>
    <s v="Primary"/>
    <s v="ECH 글로벌 수요의 약 90%를 차지하는 압도적 주력 application"/>
    <s v="Existing"/>
    <m/>
  </r>
  <r>
    <x v="81"/>
    <s v="A02"/>
    <s v="E07"/>
    <n v="0.1"/>
    <s v="ECH"/>
    <s v="Polyamide-epichlorohydrin resins"/>
    <s v="Specialty chemical intermediate"/>
    <x v="4"/>
    <s v="Niche / Emerging"/>
    <s v="PAE resin은 종이 wet-strength resin용으로 사용되는 주요 부가 경로"/>
    <s v="Existing"/>
    <m/>
  </r>
  <r>
    <x v="81"/>
    <s v="A27"/>
    <s v="E07"/>
    <n v="0.1"/>
    <s v="ECH"/>
    <s v="Water treatment chemicals / polyamines"/>
    <s v="Water treatment &amp; dispersants"/>
    <x v="4"/>
    <s v="Niche / Emerging"/>
    <s v="dimethylamine과 반응해 수처리용 coagulant/flocculant polyamine 제조에 사용"/>
    <s v="Existing"/>
    <m/>
  </r>
  <r>
    <x v="81"/>
    <s v="A18"/>
    <s v="E03"/>
    <n v="0.1"/>
    <s v="ECH"/>
    <s v="Epichlorohydrin elastomers"/>
    <s v="Elastomeric performance materials"/>
    <x v="2"/>
    <s v="Niche / Emerging"/>
    <s v="자동차 fuel hose, gasket, seal 등 특수 elastomer 소재로 사용되나 규모는 제한적"/>
    <s v="Existing"/>
    <m/>
  </r>
  <r>
    <x v="81"/>
    <s v="A02"/>
    <s v="E07"/>
    <n v="0.1"/>
    <s v="ECH"/>
    <s v="Synthetic glycerin"/>
    <s v="Specialty chemical intermediate"/>
    <x v="4"/>
    <s v="Niche / Emerging"/>
    <s v="천연 glycerin 공급 증가로 현재는 제한적·특수 고순도 시장 중심"/>
    <s v="Existing"/>
    <m/>
  </r>
  <r>
    <x v="81"/>
    <s v="A03"/>
    <s v="E07"/>
    <n v="0.1"/>
    <s v="ECH"/>
    <s v="Glycidyl ethers / glycidyl methacrylate / glycidyl acrylate"/>
    <s v="Reactive monomer / comonomer"/>
    <x v="4"/>
    <s v="Niche / Emerging"/>
    <s v="reactive diluent, UV-curable coatings, adhesives, inks용 specialty monomer 경로"/>
    <s v="Existing"/>
    <m/>
  </r>
  <r>
    <x v="82"/>
    <s v="A03"/>
    <s v="E03"/>
    <n v="0.6"/>
    <s v="Adipic Acid"/>
    <s v="Polyamide 66 production"/>
    <s v="Reactive monomer / comonomer"/>
    <x v="2"/>
    <s v="Primary"/>
    <s v="2024년 adipic acid 수요의 42%, PA66 체인의 핵심 중간체"/>
    <s v="Existing"/>
    <m/>
  </r>
  <r>
    <x v="82"/>
    <s v="A02"/>
    <s v="E01"/>
    <n v="0.3"/>
    <s v="Adipic Acid"/>
    <s v="Polyols for polyurethanes"/>
    <s v="Specialty chemical intermediate"/>
    <x v="1"/>
    <s v="Secondary"/>
    <s v="PU foam, coatings, adhesives로 연결되는 비-PA 용도"/>
    <s v="Existing"/>
    <m/>
  </r>
  <r>
    <x v="82"/>
    <s v="A38"/>
    <s v="E01"/>
    <n v="0.3"/>
    <s v="Adipic Acid"/>
    <s v="Plasticizers for PVC"/>
    <s v="Polymer modification &amp; additives"/>
    <x v="1"/>
    <s v="Secondary"/>
    <s v="PVC plasticizer용 ester 원료"/>
    <s v="Existing"/>
    <m/>
  </r>
  <r>
    <x v="82"/>
    <s v="A36"/>
    <s v="E02"/>
    <n v="0.1"/>
    <s v="Adipic Acid"/>
    <s v="Food additives"/>
    <s v="Food additives &amp; preservation"/>
    <x v="0"/>
    <s v="Niche / Emerging"/>
    <s v="산미 및 gelatin set 조절용 소량 식품첨가 용도"/>
    <s v="Existing"/>
    <m/>
  </r>
  <r>
    <x v="82"/>
    <s v="A01"/>
    <s v="E07"/>
    <n v="0.1"/>
    <s v="Adipic Acid"/>
    <s v="Unsaturated polyester resins / PAE resins"/>
    <s v="Major chemical intermediate"/>
    <x v="4"/>
    <s v="Niche / Emerging"/>
    <s v="기타 resin chain의 소량 중간체"/>
    <s v="Existing"/>
    <m/>
  </r>
  <r>
    <x v="82"/>
    <s v="A33"/>
    <s v="E05"/>
    <n v="0.1"/>
    <s v="Adipic Acid"/>
    <s v="Pharmaceuticals, cosmetics, detergent tablets"/>
    <s v="Medical &amp; healthcare materials"/>
    <x v="6"/>
    <s v="Niche / Emerging"/>
    <s v="다양한 specialty downstream이나 규모는 제한적"/>
    <s v="Existing"/>
    <m/>
  </r>
  <r>
    <x v="83"/>
    <s v="A01"/>
    <s v="E07"/>
    <n v="0.6"/>
    <s v="n-Butane"/>
    <s v="Steam cracking feedstock (ethylene, propylene production)"/>
    <s v="Major chemical intermediate"/>
    <x v="4"/>
    <s v="Primary"/>
    <s v="n-Butane의 가장 중요한 석유화학 용도로 에틸렌·프로필렌 생산의 원료로 사용됨."/>
    <s v="Existing"/>
    <s v="GPT"/>
  </r>
  <r>
    <x v="83"/>
    <s v="A01"/>
    <s v="E07"/>
    <n v="0.6"/>
    <s v="n-Butane"/>
    <s v="Butadiene production"/>
    <s v="Major chemical intermediate"/>
    <x v="4"/>
    <s v="Primary"/>
    <s v="탈수소 공정 또는 크래킹 부산물을 통해 부타디엔 생산 원료로 활용됨."/>
    <s v="Existing"/>
    <s v="GPT"/>
  </r>
  <r>
    <x v="83"/>
    <s v="A01"/>
    <s v="E07"/>
    <n v="0.3"/>
    <s v="n-Butane"/>
    <s v="Maleic anhydride production"/>
    <s v="Major chemical intermediate"/>
    <x v="4"/>
    <s v="Secondary"/>
    <s v="n-Butane 산화 공정의 대표적인 화학 중간체 생산 용도임."/>
    <s v="Existing"/>
    <s v="GPT"/>
  </r>
  <r>
    <x v="83"/>
    <s v="A43"/>
    <s v="E04"/>
    <n v="0.3"/>
    <s v="n-Butane"/>
    <s v="LPG fuel"/>
    <s v="Fuel / fuel additive"/>
    <x v="3"/>
    <s v="Secondary"/>
    <s v="LPG의 주요 성분으로 난방, 취사 및 산업용 연료로 사용됨."/>
    <s v="Existing"/>
    <s v="GPT"/>
  </r>
  <r>
    <x v="83"/>
    <s v="A43"/>
    <s v="E04"/>
    <n v="0.3"/>
    <s v="n-Butane"/>
    <s v="Gasoline blending"/>
    <s v="Fuel / fuel additive"/>
    <x v="3"/>
    <s v="Secondary"/>
    <s v="휘발유 증기압 조절 및 블렌딩 성분으로 활용됨."/>
    <s v="Existing"/>
    <s v="GPT"/>
  </r>
  <r>
    <x v="83"/>
    <s v="A43"/>
    <s v="E02"/>
    <n v="0.1"/>
    <s v="n-Butane"/>
    <s v="Aerosol propellant"/>
    <s v="Fuel / fuel additive"/>
    <x v="0"/>
    <s v="Niche / Emerging"/>
    <s v="에어로졸 제품의 분사 추진제로 사용되나 전체 n-Butane 수요에서는 제한적임."/>
    <s v="Existing"/>
    <s v="GPT"/>
  </r>
  <r>
    <x v="83"/>
    <s v="A01"/>
    <s v="E07"/>
    <n v="0.1"/>
    <s v="n-Butane"/>
    <s v="Refrigerant feedstock (isobutane, refrigerant blends)"/>
    <s v="Major chemical intermediate"/>
    <x v="4"/>
    <s v="Niche / Emerging"/>
    <s v="냉매 및 관련 화학제품 생산의 원료로 일부 사용됨."/>
    <s v="Existing"/>
    <s v="GPT"/>
  </r>
  <r>
    <x v="84"/>
    <s v="A01"/>
    <s v="E03"/>
    <n v="0.6"/>
    <s v="Isoprene"/>
    <s v="Polyisoprene rubber"/>
    <s v="Major chemical intermediate"/>
    <x v="2"/>
    <s v="Primary"/>
    <s v="2023년 isoprene 소비의 56%로 최대 용도이며, 타이어·고무제품과 직접 연결됨."/>
    <s v="Existing"/>
    <m/>
  </r>
  <r>
    <x v="84"/>
    <s v="A01"/>
    <s v="E02"/>
    <n v="0.6"/>
    <s v="Isoprene"/>
    <s v="Styrene-isoprene-styrene block copolymers / SIS"/>
    <s v="Major chemical intermediate"/>
    <x v="0"/>
    <s v="Primary"/>
    <s v="2023년 소비의 30%로 두 번째 핵심 용도이며, hygiene adhesive, tape, label adhesive 등에 사용됨."/>
    <s v="Existing"/>
    <m/>
  </r>
  <r>
    <x v="84"/>
    <s v="A01"/>
    <s v="E03"/>
    <n v="0.3"/>
    <s v="Isoprene"/>
    <s v="Butyl elastomers / butyl rubber"/>
    <s v="Major chemical intermediate"/>
    <x v="2"/>
    <s v="Secondary"/>
    <s v="butyl rubber 생산용 comonomer로 사용되며 2023년 글로벌 소비의 약 5% 수준."/>
    <s v="Existing"/>
    <m/>
  </r>
  <r>
    <x v="84"/>
    <s v="A28"/>
    <s v="E03"/>
    <n v="0.1"/>
    <s v="Isoprene"/>
    <s v="Viscosity index improvers"/>
    <s v="Lubrication &amp; friction control"/>
    <x v="2"/>
    <s v="Niche / Emerging"/>
    <s v="윤활유 VI improver 원료로 사용되나 주요 elastomer route 대비 소량."/>
    <s v="Existing"/>
    <m/>
  </r>
  <r>
    <x v="84"/>
    <s v="A02"/>
    <s v="E05"/>
    <n v="0.1"/>
    <s v="Isoprene"/>
    <s v="Flavors and fragrances / vitamins / medicinal chemicals / agrochemicals"/>
    <s v="Specialty chemical intermediate"/>
    <x v="6"/>
    <s v="Niche / Emerging"/>
    <s v="geraniol, vitamin A/E, medicinal chemicals 등 specialty intermediate 용도이나 규모는 제한적."/>
    <s v="Existing"/>
    <m/>
  </r>
  <r>
    <x v="84"/>
    <s v="A02"/>
    <s v="E07"/>
    <n v="0.1"/>
    <s v="Isoprene"/>
    <s v="Epoxy hardeners"/>
    <s v="Specialty chemical intermediate"/>
    <x v="4"/>
    <s v="Niche / Emerging"/>
    <s v="epoxy hardener 원료로 언급되지만 기타 소량 application에 해당."/>
    <s v="Existing"/>
    <m/>
  </r>
  <r>
    <x v="85"/>
    <s v="A03"/>
    <s v="E07"/>
    <n v="0.6"/>
    <s v="Piperylene"/>
    <s v="Petroleum resin feedstock"/>
    <s v="Reactive monomer / comonomer"/>
    <x v="4"/>
    <s v="Primary"/>
    <s v="C5 petroleum resin 제조의 핵심 반응성 원료로 가장 대표적인 수요처"/>
    <s v="Existing"/>
    <s v="GPT"/>
  </r>
  <r>
    <x v="85"/>
    <s v="A20"/>
    <s v="E07"/>
    <n v="0.6"/>
    <s v="Piperylene"/>
    <s v="Hot-melt adhesive resin"/>
    <s v="Adhesive bonding"/>
    <x v="4"/>
    <s v="Primary"/>
    <s v="Piperylene 기반 hydrocarbon resin이 핫멜트 접착제의 점착성 부여에 광범위하게 사용"/>
    <s v="Existing"/>
    <s v="GPT"/>
  </r>
  <r>
    <x v="85"/>
    <s v="A20"/>
    <s v="E02"/>
    <n v="0.3"/>
    <s v="Piperylene"/>
    <s v="Pressure-sensitive adhesive (PSA) resin"/>
    <s v="Adhesive bonding"/>
    <x v="0"/>
    <s v="Secondary"/>
    <s v="라벨·테이프용 PSA resin의 tackifier 원료로 사용"/>
    <s v="Existing"/>
    <s v="GPT"/>
  </r>
  <r>
    <x v="85"/>
    <s v="A19"/>
    <s v="E03"/>
    <n v="0.3"/>
    <s v="Piperylene"/>
    <s v="Tire rubber compounding resin"/>
    <s v="Tire &amp; rubber applications"/>
    <x v="2"/>
    <s v="Secondary"/>
    <s v="타이어 및 고무 컴파운드의 성능 향상용 resin 원료"/>
    <s v="Existing"/>
    <s v="GPT"/>
  </r>
  <r>
    <x v="85"/>
    <s v="A03"/>
    <s v="E07"/>
    <n v="0.3"/>
    <s v="Piperylene"/>
    <s v="Synthetic rubber intermediate"/>
    <s v="Reactive monomer / comonomer"/>
    <x v="4"/>
    <s v="Secondary"/>
    <s v="공중합체 및 특수 고무 제조에 사용되는 반응성 디엔 원료"/>
    <s v="Existing"/>
    <s v="GPT"/>
  </r>
  <r>
    <x v="85"/>
    <s v="A21"/>
    <s v="E01"/>
    <n v="0.3"/>
    <s v="Piperylene"/>
    <s v="Sealant and caulking formulations"/>
    <s v="Sealants &amp; joint protection"/>
    <x v="1"/>
    <s v="Secondary"/>
    <s v="hydrocarbon resin 형태로 실란트의 점착 및 성능 개선에 사용"/>
    <s v="Existing"/>
    <s v="GPT"/>
  </r>
  <r>
    <x v="85"/>
    <s v="A23"/>
    <s v="E02"/>
    <n v="0.1"/>
    <s v="Piperylene"/>
    <s v="Printing ink resin"/>
    <s v="Printing inks &amp; graphic materials"/>
    <x v="0"/>
    <s v="Niche / Emerging"/>
    <s v="인쇄잉크용 resin 조성에 제한적으로 사용"/>
    <s v="Existing"/>
    <s v="GPT"/>
  </r>
  <r>
    <x v="85"/>
    <s v="A22"/>
    <s v="E07"/>
    <n v="0.1"/>
    <s v="Piperylene"/>
    <s v="Coating resin modifier"/>
    <s v="Surface coating"/>
    <x v="4"/>
    <s v="Niche / Emerging"/>
    <s v="특수 코팅용 hydrocarbon resin 원료로 사용"/>
    <s v="Existing"/>
    <s v="GPT"/>
  </r>
  <r>
    <x v="86"/>
    <s v="A20"/>
    <s v="E02"/>
    <n v="0.6"/>
    <s v="DCPD"/>
    <s v="Hydrocarbon resins"/>
    <s v="Adhesive bonding"/>
    <x v="0"/>
    <s v="Primary"/>
    <s v="DCPD 최대 수요처이며 hot-melt adhesive, PSA label, diaper adhesive와 연결."/>
    <s v="Existing"/>
    <m/>
  </r>
  <r>
    <x v="86"/>
    <s v="A01"/>
    <s v="E07"/>
    <n v="0.6"/>
    <s v="DCPD"/>
    <s v="Unsaturated polyester resins"/>
    <s v="Major chemical intermediate"/>
    <x v="4"/>
    <s v="Primary"/>
    <s v="UPR 제조용 주요 반응성 feedstock; marine, bathroom, electrical 시장으로 연결."/>
    <s v="Existing"/>
    <m/>
  </r>
  <r>
    <x v="86"/>
    <s v="A02"/>
    <s v="E03"/>
    <n v="0.3"/>
    <s v="DCPD"/>
    <s v="EPDM elastomers / ENB"/>
    <s v="Specialty chemical intermediate"/>
    <x v="2"/>
    <s v="Secondary"/>
    <s v="ENB 및 EPDM termonomer 경로로 자동차 weather stripping, hose 등에 연결."/>
    <s v="Existing"/>
    <m/>
  </r>
  <r>
    <x v="86"/>
    <s v="A04"/>
    <s v="E07"/>
    <n v="0.1"/>
    <s v="DCPD"/>
    <s v="Polydicyclopentadiene"/>
    <s v="Polymer resin / molding material"/>
    <x v="4"/>
    <s v="Niche / Emerging"/>
    <s v="특수 molding resin 수요로 전체 DCPD 대비 소규모."/>
    <s v="Existing"/>
    <m/>
  </r>
  <r>
    <x v="86"/>
    <s v="A41"/>
    <s v="E08"/>
    <n v="0.1"/>
    <s v="DCPD"/>
    <s v="COC/COP"/>
    <s v="Display &amp; optical materials"/>
    <x v="7"/>
    <s v="Niche / Emerging"/>
    <s v="고순도 DCPD 기반 specialty polymer route로 제한적이지만 고기능 소재."/>
    <s v="Existing"/>
    <m/>
  </r>
  <r>
    <x v="87"/>
    <s v="A19"/>
    <s v="E03"/>
    <n v="0.6"/>
    <s v="IR"/>
    <s v="Tires and tire products"/>
    <s v="Tire &amp; rubber applications"/>
    <x v="2"/>
    <s v="Primary"/>
    <s v="IR 최대 용도이며, 미국 기준 2023년 polyisoprene rubber 소비의 59%가 타이어·타이어 제품용으로 언급됨."/>
    <s v="Existing"/>
    <s v="GPT"/>
  </r>
  <r>
    <x v="87"/>
    <s v="A33"/>
    <s v="E05"/>
    <n v="0.3"/>
    <s v="IR"/>
    <s v="Gloves and medical products"/>
    <s v="Medical &amp; healthcare materials"/>
    <x v="6"/>
    <s v="Secondary"/>
    <s v="고순도·비알레르기 특성으로 의료용 장갑 및 medical products에 사용됨."/>
    <s v="Existing"/>
    <s v="GPT"/>
  </r>
  <r>
    <x v="87"/>
    <s v="A20"/>
    <s v="E02"/>
    <n v="0.3"/>
    <s v="IR"/>
    <s v="Adhesives and tackifiers"/>
    <s v="Adhesive bonding"/>
    <x v="0"/>
    <s v="Secondary"/>
    <s v="Cariflex IR 용도로 adhesives와 tackifiers가 명시됨."/>
    <s v="Existing"/>
    <s v="GPT"/>
  </r>
  <r>
    <x v="87"/>
    <s v="A33"/>
    <s v="E05"/>
    <n v="0.1"/>
    <s v="IR"/>
    <s v="Condoms"/>
    <s v="Medical &amp; healthcare materials"/>
    <x v="6"/>
    <s v="Niche / Emerging"/>
    <s v="의료·위생 인증이 필요한 specialty application이나 타이어 대비 규모는 제한적임."/>
    <s v="Existing"/>
    <s v="GPT"/>
  </r>
  <r>
    <x v="88"/>
    <s v="A20"/>
    <s v="E02"/>
    <n v="0.6"/>
    <s v="SIS"/>
    <s v="Hygiene adhesives"/>
    <s v="Adhesive bonding"/>
    <x v="0"/>
    <s v="Primary"/>
    <s v="baby diaper, adult incontinence, feminine hygiene 제품용 adhesive가 성장 시장으로 제시됨."/>
    <s v="Existing"/>
    <s v="GPT"/>
  </r>
  <r>
    <x v="88"/>
    <s v="A20"/>
    <s v="E02"/>
    <n v="0.6"/>
    <s v="SIS"/>
    <s v="Tape and label adhesives"/>
    <s v="Adhesive bonding"/>
    <x v="0"/>
    <s v="Primary"/>
    <s v="SIS의 우수한 adhesion, cohesion, sprayability를 활용하는 대표 adhesive application."/>
    <s v="Existing"/>
    <s v="GPT"/>
  </r>
  <r>
    <x v="88"/>
    <s v="A21"/>
    <s v="E01"/>
    <n v="0.3"/>
    <s v="SIS"/>
    <s v="Roofing"/>
    <s v="Sealants &amp; joint protection"/>
    <x v="1"/>
    <s v="Secondary"/>
    <s v="roofing application이 명시되어 있으나 hygiene/tape/label adhesive 대비 보조적 용도."/>
    <s v="Existing"/>
    <s v="GPT"/>
  </r>
  <r>
    <x v="88"/>
    <s v="A05"/>
    <s v="E02"/>
    <n v="0.3"/>
    <s v="SIS"/>
    <s v="Elastic films"/>
    <s v="Flexible packaging"/>
    <x v="0"/>
    <s v="Secondary"/>
    <s v="elastic film용 styrenic block copolymer로 사용됨."/>
    <s v="Existing"/>
    <s v="GPT"/>
  </r>
  <r>
    <x v="88"/>
    <s v="A04"/>
    <s v="E07"/>
    <n v="0.3"/>
    <s v="SIS"/>
    <s v="Plastic modification"/>
    <s v="Polymer resin / molding material"/>
    <x v="4"/>
    <s v="Secondary"/>
    <s v="플라스틱 개질용으로 사용되나 adhesive 수요 대비 부차적임."/>
    <s v="Existing"/>
    <s v="GPT"/>
  </r>
  <r>
    <x v="89"/>
    <s v="A02"/>
    <s v="E07"/>
    <n v="0.6"/>
    <s v="i-butyraldehyde"/>
    <s v="Condensation/esterification products"/>
    <s v="Specialty chemical intermediate"/>
    <x v="4"/>
    <s v="Primary"/>
    <s v="2024년 미국 isobutyraldehyde 소비의 39%로 최대 경로이며 TMPD, Texanol, TXIB, IBIB 등을 포함"/>
    <s v="Existing"/>
    <m/>
  </r>
  <r>
    <x v="89"/>
    <s v="A01"/>
    <s v="E07"/>
    <n v="0.6"/>
    <s v="i-butyraldehyde"/>
    <s v="Isobutanol"/>
    <s v="Major chemical intermediate"/>
    <x v="4"/>
    <s v="Primary"/>
    <s v="isobutanol 전환이 2024년 미국 소비의 21%로 주요 경로"/>
    <s v="Existing"/>
    <m/>
  </r>
  <r>
    <x v="89"/>
    <s v="A02"/>
    <s v="E07"/>
    <n v="0.6"/>
    <s v="i-butyraldehyde"/>
    <s v="Neopentyl glycol"/>
    <s v="Specialty chemical intermediate"/>
    <x v="4"/>
    <s v="Primary"/>
    <s v="NPG 전환이 2024년 미국 소비의 20%로 coatings resin 및 UPR 체인에 연결"/>
    <s v="Existing"/>
    <m/>
  </r>
  <r>
    <x v="89"/>
    <s v="A02"/>
    <s v="E07"/>
    <n v="0.3"/>
    <s v="i-butyraldehyde"/>
    <s v="Isobutyric acid"/>
    <s v="Specialty chemical intermediate"/>
    <x v="4"/>
    <s v="Secondary"/>
    <s v="2024년 미국 소비의 12%로 TMCD, TXIB 등 specialty derivative로 사용"/>
    <s v="Existing"/>
    <m/>
  </r>
  <r>
    <x v="89"/>
    <s v="A01"/>
    <s v="E07"/>
    <n v="0.3"/>
    <s v="i-butyraldehyde"/>
    <s v="Isobutyl acetate"/>
    <s v="Major chemical intermediate"/>
    <x v="4"/>
    <s v="Secondary"/>
    <s v="직접 생산 기준 2024년 미국 소비의 6%이며 coatings solvent 체인에 연결"/>
    <s v="Existing"/>
    <m/>
  </r>
  <r>
    <x v="89"/>
    <s v="A24"/>
    <s v="E07"/>
    <n v="0.1"/>
    <s v="i-butyraldehyde"/>
    <s v="Methyl isoamyl ketone"/>
    <s v="Solvent &amp; extraction"/>
    <x v="4"/>
    <s v="Niche / Emerging"/>
    <s v="2024년 미국 소비의 약 1%로 소량 specialty solvent 경로"/>
    <s v="Existing"/>
    <m/>
  </r>
  <r>
    <x v="90"/>
    <s v="A20"/>
    <s v="E07"/>
    <n v="0.6"/>
    <s v="DCPD Resin"/>
    <s v="Hydrocarbon tackifier for hot-melt adhesives"/>
    <s v="Adhesive bonding"/>
    <x v="4"/>
    <s v="Primary"/>
    <s v="DCPD 기반 석유수지는 가장 대표적으로 핫멜트 접착제의 점착부여제(tackifier)로 사용됨."/>
    <s v="Existing"/>
    <s v="GPT"/>
  </r>
  <r>
    <x v="90"/>
    <s v="A20"/>
    <s v="E02"/>
    <n v="0.6"/>
    <s v="DCPD Resin"/>
    <s v="Pressure-sensitive adhesives (PSA)"/>
    <s v="Adhesive bonding"/>
    <x v="0"/>
    <s v="Primary"/>
    <s v="포장용 테이프, 라벨 등 PSA의 점착 성능 향상을 위한 주요 용도임."/>
    <s v="Existing"/>
    <s v="GPT"/>
  </r>
  <r>
    <x v="90"/>
    <s v="A22"/>
    <s v="E01"/>
    <n v="0.3"/>
    <s v="DCPD Resin"/>
    <s v="Road-marking paint"/>
    <s v="Surface coating"/>
    <x v="1"/>
    <s v="Secondary"/>
    <s v="노면표시 도료의 내마모성 및 접착력 향상을 위해 사용됨."/>
    <s v="Existing"/>
    <s v="GPT"/>
  </r>
  <r>
    <x v="90"/>
    <s v="A22"/>
    <s v="E07"/>
    <n v="0.3"/>
    <s v="DCPD Resin"/>
    <s v="Protective coatings"/>
    <s v="Surface coating"/>
    <x v="4"/>
    <s v="Secondary"/>
    <s v="산업용 및 방청 코팅의 수지 성분 또는 성능개선용으로 활용됨."/>
    <s v="Existing"/>
    <s v="GPT"/>
  </r>
  <r>
    <x v="90"/>
    <s v="A23"/>
    <s v="E02"/>
    <n v="0.3"/>
    <s v="DCPD Resin"/>
    <s v="Printing inks"/>
    <s v="Printing inks &amp; graphic materials"/>
    <x v="0"/>
    <s v="Secondary"/>
    <s v="인쇄잉크의 안료 분산성과 접착 특성 개선에 사용됨."/>
    <s v="Existing"/>
    <s v="GPT"/>
  </r>
  <r>
    <x v="90"/>
    <s v="A19"/>
    <s v="E03"/>
    <n v="0.3"/>
    <s v="DCPD Resin"/>
    <s v="Rubber compounding"/>
    <s v="Tire &amp; rubber applications"/>
    <x v="2"/>
    <s v="Secondary"/>
    <s v="고무 배합 시 tackifier로 사용되어 점착성과 가공성을 향상시킴."/>
    <s v="Existing"/>
    <s v="GPT"/>
  </r>
  <r>
    <x v="90"/>
    <s v="A21"/>
    <s v="E01"/>
    <n v="0.3"/>
    <s v="DCPD Resin"/>
    <s v="Sealants"/>
    <s v="Sealants &amp; joint protection"/>
    <x v="1"/>
    <s v="Secondary"/>
    <s v="건축 및 산업용 실란트의 점착 및 내구성 향상에 기여함."/>
    <s v="Existing"/>
    <s v="GPT"/>
  </r>
  <r>
    <x v="90"/>
    <s v="A42"/>
    <s v="E07"/>
    <n v="0.1"/>
    <s v="DCPD Resin"/>
    <s v="Composite resin modifier"/>
    <s v="Composite &amp; performance resins"/>
    <x v="4"/>
    <s v="Niche / Emerging"/>
    <s v="복합재 및 특수수지의 성능 향상을 위한 개질제로 일부 적용됨."/>
    <s v="Existing"/>
    <s v="GPT"/>
  </r>
  <r>
    <x v="91"/>
    <s v="A42"/>
    <s v="E01"/>
    <n v="0.6"/>
    <s v="UPR"/>
    <s v="Fiberglass-reinforced plastics / FRP"/>
    <s v="Composite &amp; performance resins"/>
    <x v="1"/>
    <s v="Primary"/>
    <s v="UPR의 대표 용도이며 건설, 욕실부품, 패널, 탱크·파이프에 대량 사용."/>
    <s v="Existing"/>
    <m/>
  </r>
  <r>
    <x v="91"/>
    <s v="A16"/>
    <s v="E03"/>
    <n v="0.3"/>
    <s v="UPR"/>
    <s v="Land transportation components"/>
    <s v="Automotive components &amp; lightweighting"/>
    <x v="2"/>
    <s v="Secondary"/>
    <s v="금속 대체 경량 부품, SMC/BMC 자동차·트럭 부품에 사용."/>
    <s v="Existing"/>
    <m/>
  </r>
  <r>
    <x v="91"/>
    <s v="A22"/>
    <s v="E07"/>
    <n v="0.3"/>
    <s v="UPR"/>
    <s v="Gel coats, coatings and top coats"/>
    <s v="Surface coating"/>
    <x v="4"/>
    <s v="Secondary"/>
    <s v="gel coat, wood coating, top coat 등 coating 계열 수요."/>
    <s v="Existing"/>
    <m/>
  </r>
  <r>
    <x v="91"/>
    <s v="A10"/>
    <s v="E01"/>
    <n v="0.3"/>
    <s v="UPR"/>
    <s v="Cultured marble / solid-surface countertops / polymer concrete"/>
    <s v="Building materials &amp; profiles"/>
    <x v="1"/>
    <s v="Secondary"/>
    <s v="비보강 UPR의 건축·인테리어 재료 application."/>
    <s v="Existing"/>
    <m/>
  </r>
  <r>
    <x v="92"/>
    <s v="A01"/>
    <s v="E07"/>
    <n v="0.6"/>
    <s v="ENB"/>
    <s v="EPDM terpolymer monomer"/>
    <s v="Major chemical intermediate"/>
    <x v="4"/>
    <s v="Primary"/>
    <s v="ENB는 EPDM 제조에 사용되는 대표적인 diene comonomer이며 대부분의 상업적 수요가 이에 집중됨."/>
    <s v="Existing"/>
    <s v="GPT"/>
  </r>
  <r>
    <x v="92"/>
    <s v="A02"/>
    <s v="E07"/>
    <n v="0.3"/>
    <s v="ENB"/>
    <s v="High-performance elastomer intermediate"/>
    <s v="Specialty chemical intermediate"/>
    <x v="4"/>
    <s v="Secondary"/>
    <s v="일부 특수 엘라스토머 및 기능성 고분자 합성의 중간체로 활용됨."/>
    <s v="Existing"/>
    <s v="GPT"/>
  </r>
  <r>
    <x v="92"/>
    <s v="A02"/>
    <s v="E07"/>
    <n v="0.1"/>
    <s v="ENB"/>
    <s v="Specialty resin intermediate"/>
    <s v="Specialty chemical intermediate"/>
    <x v="4"/>
    <s v="Niche / Emerging"/>
    <s v="일부 고기능 수지 및 유기합성 원료로 제한적으로 사용됨."/>
    <s v="Existing"/>
    <s v="GPT"/>
  </r>
  <r>
    <x v="93"/>
    <s v="A42"/>
    <s v="E07"/>
    <n v="0.6"/>
    <s v="PolyDCPD"/>
    <s v="Large structural molded parts"/>
    <s v="Composite &amp; performance resins"/>
    <x v="4"/>
    <s v="Primary"/>
    <s v="PolyDCPD의 대표 용도로 대형 구조용 성형품 제작에 가장 많이 사용됨."/>
    <s v="Existing"/>
    <s v="GPT"/>
  </r>
  <r>
    <x v="93"/>
    <s v="A16"/>
    <s v="E03"/>
    <n v="0.6"/>
    <s v="PolyDCPD"/>
    <s v="Automotive body panels"/>
    <s v="Automotive components &amp; lightweighting"/>
    <x v="2"/>
    <s v="Primary"/>
    <s v="트럭, 버스, 농기계 등의 외장 패널에 적용되어 경량화와 높은 충격강도를 제공함."/>
    <s v="Existing"/>
    <s v="GPT"/>
  </r>
  <r>
    <x v="93"/>
    <s v="A16"/>
    <s v="E01"/>
    <n v="0.3"/>
    <s v="PolyDCPD"/>
    <s v="Agricultural and construction equipment body panels"/>
    <s v="Automotive components &amp; lightweighting"/>
    <x v="1"/>
    <s v="Secondary"/>
    <s v="농기계 및 건설장비의 후드, 펜더, 커버 등에 널리 적용됨."/>
    <s v="Existing"/>
    <s v="GPT"/>
  </r>
  <r>
    <x v="93"/>
    <s v="A42"/>
    <s v="E07"/>
    <n v="0.3"/>
    <s v="PolyDCPD"/>
    <s v="Chemical storage tanks and process equipment"/>
    <s v="Composite &amp; performance resins"/>
    <x v="4"/>
    <s v="Secondary"/>
    <s v="우수한 내화학성을 활용한 산업용 탱크 및 공정장비 제작에 사용됨."/>
    <s v="Existing"/>
    <s v="GPT"/>
  </r>
  <r>
    <x v="93"/>
    <s v="A42"/>
    <s v="E07"/>
    <n v="0.3"/>
    <s v="PolyDCPD"/>
    <s v="Corrosion-resistant housings and enclosures"/>
    <s v="Composite &amp; performance resins"/>
    <x v="4"/>
    <s v="Secondary"/>
    <s v="산업설비 외함 및 부식 환경용 구조물에 적용됨."/>
    <s v="Existing"/>
    <s v="GPT"/>
  </r>
  <r>
    <x v="93"/>
    <s v="A42"/>
    <s v="E07"/>
    <n v="0.1"/>
    <s v="PolyDCPD"/>
    <s v="Marine components"/>
    <s v="Composite &amp; performance resins"/>
    <x v="4"/>
    <s v="Niche / Emerging"/>
    <s v="내수성 및 내식성을 활용한 선박·해양 부품에 제한적으로 사용됨."/>
    <s v="Existing"/>
    <s v="GPT"/>
  </r>
  <r>
    <x v="94"/>
    <s v="A41"/>
    <s v="E08"/>
    <n v="0.6"/>
    <s v="COP"/>
    <s v="Optical lenses"/>
    <s v="Display &amp; optical materials"/>
    <x v="7"/>
    <s v="Primary"/>
    <s v="높은 투명성, 낮은 복굴절 및 우수한 치수안정성으로 광학렌즈의 대표 소재임."/>
    <s v="Existing"/>
    <s v="GPT"/>
  </r>
  <r>
    <x v="94"/>
    <s v="A41"/>
    <s v="E08"/>
    <n v="0.6"/>
    <s v="COP"/>
    <s v="Optical films"/>
    <s v="Display &amp; optical materials"/>
    <x v="7"/>
    <s v="Primary"/>
    <s v="디스플레이 및 광학 필름에서 높은 광학 특성과 낮은 수분흡수율을 활용함."/>
    <s v="Existing"/>
    <s v="GPT"/>
  </r>
  <r>
    <x v="94"/>
    <s v="A33"/>
    <s v="E05"/>
    <n v="0.6"/>
    <s v="COP"/>
    <s v="Medical syringes and diagnostic cartridges"/>
    <s v="Medical &amp; healthcare materials"/>
    <x v="6"/>
    <s v="Primary"/>
    <s v="높은 생체적합성, 투명성 및 낮은 용출 특성으로 의료기기 및 진단용 소모품에 널리 사용됨."/>
    <s v="Existing"/>
    <s v="GPT"/>
  </r>
  <r>
    <x v="94"/>
    <s v="A07"/>
    <s v="E05"/>
    <n v="0.3"/>
    <s v="COP"/>
    <s v="Pharmaceutical packaging"/>
    <s v="Barrier packaging"/>
    <x v="6"/>
    <s v="Secondary"/>
    <s v="수분 차단성과 화학적 안정성을 활용한 의약품 용기 및 포장재에 적용됨."/>
    <s v="Existing"/>
    <s v="GPT"/>
  </r>
  <r>
    <x v="94"/>
    <s v="A33"/>
    <s v="E05"/>
    <n v="0.3"/>
    <s v="COP"/>
    <s v="Microfluidic chips"/>
    <s v="Medical &amp; healthcare materials"/>
    <x v="6"/>
    <s v="Secondary"/>
    <s v="Lab-on-a-chip 및 체외진단(IVD)용 마이크로플루이딕 디바이스 소재로 활용됨."/>
    <s v="Existing"/>
    <s v="GPT"/>
  </r>
  <r>
    <x v="94"/>
    <s v="A41"/>
    <s v="E08"/>
    <n v="0.3"/>
    <s v="COP"/>
    <s v="Optical data storage components"/>
    <s v="Display &amp; optical materials"/>
    <x v="7"/>
    <s v="Secondary"/>
    <s v="광디스크 및 정밀 광학 부품에 적용되는 고투명 엔지니어링 플라스틱임."/>
    <s v="Existing"/>
    <s v="GPT"/>
  </r>
  <r>
    <x v="94"/>
    <s v="A41"/>
    <s v="E08"/>
    <n v="0.3"/>
    <s v="COP"/>
    <s v="Precision optical components"/>
    <s v="Display &amp; optical materials"/>
    <x v="7"/>
    <s v="Secondary"/>
    <s v="카메라 모듈, 센서, 광학 부품 등 정밀 성형이 필요한 분야에 사용됨."/>
    <s v="Existing"/>
    <s v="GPT"/>
  </r>
  <r>
    <x v="95"/>
    <s v="A20"/>
    <s v="E07"/>
    <n v="0.6"/>
    <s v="C5 Resin"/>
    <s v="Hot-melt adhesives"/>
    <s v="Adhesive bonding"/>
    <x v="4"/>
    <s v="Primary"/>
    <s v="C5 Resin의 최대 수요처로 포장 및 산업용 HMA의 대표 tackifier임."/>
    <s v="Existing"/>
    <s v="GPT"/>
  </r>
  <r>
    <x v="95"/>
    <s v="A20"/>
    <s v="E02"/>
    <n v="0.6"/>
    <s v="C5 Resin"/>
    <s v="Pressure-sensitive adhesives (PSA)"/>
    <s v="Adhesive bonding"/>
    <x v="0"/>
    <s v="Primary"/>
    <s v="테이프, 라벨, 위생용 PSA의 점착력 향상을 위한 핵심 소재임."/>
    <s v="Existing"/>
    <s v="GPT"/>
  </r>
  <r>
    <x v="95"/>
    <s v="A20"/>
    <s v="E02"/>
    <n v="0.6"/>
    <s v="C5 Resin"/>
    <s v="Hygiene adhesives"/>
    <s v="Adhesive bonding"/>
    <x v="0"/>
    <s v="Primary"/>
    <s v="기저귀, 생리대 등 위생용 접착제의 주요 tackifier로 사용됨."/>
    <s v="Existing"/>
    <s v="GPT"/>
  </r>
  <r>
    <x v="95"/>
    <s v="A19"/>
    <s v="E03"/>
    <n v="0.3"/>
    <s v="C5 Resin"/>
    <s v="Rubber compounding"/>
    <s v="Tire &amp; rubber applications"/>
    <x v="2"/>
    <s v="Secondary"/>
    <s v="고무 배합 시 tackifier 및 가공성 향상 목적으로 사용됨."/>
    <s v="Existing"/>
    <s v="GPT"/>
  </r>
  <r>
    <x v="95"/>
    <s v="A22"/>
    <s v="E01"/>
    <n v="0.3"/>
    <s v="C5 Resin"/>
    <s v="Road-marking paints"/>
    <s v="Surface coating"/>
    <x v="1"/>
    <s v="Secondary"/>
    <s v="노면표시 도료의 접착성 및 내마모성 향상에 활용됨."/>
    <s v="Existing"/>
    <s v="GPT"/>
  </r>
  <r>
    <x v="95"/>
    <s v="A22"/>
    <s v="E07"/>
    <n v="0.3"/>
    <s v="C5 Resin"/>
    <s v="Industrial coatings"/>
    <s v="Surface coating"/>
    <x v="4"/>
    <s v="Secondary"/>
    <s v="산업용 도료의 접착력과 내구성 향상에 사용됨."/>
    <s v="Existing"/>
    <s v="GPT"/>
  </r>
  <r>
    <x v="95"/>
    <s v="A23"/>
    <s v="E02"/>
    <n v="0.3"/>
    <s v="C5 Resin"/>
    <s v="Printing inks"/>
    <s v="Printing inks &amp; graphic materials"/>
    <x v="0"/>
    <s v="Secondary"/>
    <s v="인쇄잉크의 안료 분산성과 접착 특성 개선에 사용됨."/>
    <s v="Existing"/>
    <s v="GPT"/>
  </r>
  <r>
    <x v="95"/>
    <s v="A21"/>
    <s v="E01"/>
    <n v="0.3"/>
    <s v="C5 Resin"/>
    <s v="Sealants"/>
    <s v="Sealants &amp; joint protection"/>
    <x v="1"/>
    <s v="Secondary"/>
    <s v="건축 및 산업용 실란트의 점착성과 내구성을 향상시킴."/>
    <s v="Existing"/>
    <s v="GPT"/>
  </r>
  <r>
    <x v="96"/>
    <s v="A02"/>
    <s v="E07"/>
    <n v="0.6"/>
    <s v="Chlorobenzene"/>
    <s v="Nitrochlorobenzenes"/>
    <s v="Specialty chemical intermediate"/>
    <x v="4"/>
    <s v="Primary"/>
    <s v="monochlorobenzene 최대 용도이며 염료·안료·고무약품·농약·의약 중간체로 사용"/>
    <s v="Existing"/>
    <m/>
  </r>
  <r>
    <x v="96"/>
    <s v="A01"/>
    <s v="E08"/>
    <n v="0.3"/>
    <s v="Chlorobenzene"/>
    <s v="Sulfone polymers"/>
    <s v="Major chemical intermediate"/>
    <x v="7"/>
    <s v="Secondary"/>
    <s v="고내열 sulfone polymer 원료로 전기전자·의료·산업부품에 사용"/>
    <s v="Existing"/>
    <m/>
  </r>
  <r>
    <x v="96"/>
    <s v="A24"/>
    <s v="E07"/>
    <n v="0.3"/>
    <s v="Chlorobenzene"/>
    <s v="Solvent use"/>
    <s v="Solvent &amp; extraction"/>
    <x v="4"/>
    <s v="Secondary"/>
    <s v="MDI/TDI 등 isocyanate 생산 및 공정 solvent 용도"/>
    <s v="Existing"/>
    <m/>
  </r>
  <r>
    <x v="96"/>
    <s v="A02"/>
    <s v="E07"/>
    <n v="0.1"/>
    <s v="Chlorobenzene"/>
    <s v="Diphenyl ether / phenyl compounds"/>
    <s v="Specialty chemical intermediate"/>
    <x v="4"/>
    <s v="Niche / Emerging"/>
    <s v="phenyl ether 및 기타 유기합성 중간체 용도"/>
    <s v="Existing"/>
    <m/>
  </r>
  <r>
    <x v="96"/>
    <s v="A02"/>
    <s v="E07"/>
    <n v="0.3"/>
    <s v="Chlorobenzene"/>
    <s v="Organic synthesis from o-dichlorobenzene"/>
    <s v="Specialty chemical intermediate"/>
    <x v="4"/>
    <s v="Secondary"/>
    <s v="o-DCB는 농약·의약·고무보조제·안료 중간체 생산에 사용"/>
    <s v="Existing"/>
    <m/>
  </r>
  <r>
    <x v="96"/>
    <s v="A24"/>
    <s v="E07"/>
    <n v="0.1"/>
    <s v="Chlorobenzene"/>
    <s v="o-Dichlorobenzene solvent uses"/>
    <s v="Solvent &amp; extraction"/>
    <x v="4"/>
    <s v="Niche / Emerging"/>
    <s v="TDI process solvent 및 기타 solvent 용도"/>
    <s v="Existing"/>
    <m/>
  </r>
  <r>
    <x v="96"/>
    <s v="A02"/>
    <s v="E08"/>
    <n v="0.6"/>
    <s v="Chlorobenzene"/>
    <s v="Polyphenylene sulfide resin"/>
    <s v="Specialty chemical intermediate"/>
    <x v="7"/>
    <s v="Primary"/>
    <s v="p-DCB 최대 용도이며 PPS resin 생산이 2024년 p-DCB 수요의 약 62%"/>
    <s v="Existing"/>
    <m/>
  </r>
  <r>
    <x v="96"/>
    <s v="A35"/>
    <s v="E02"/>
    <n v="0.3"/>
    <s v="Chlorobenzene"/>
    <s v="Moth control"/>
    <s v="Crop protection &amp; agrochemical intermediates"/>
    <x v="0"/>
    <s v="Secondary"/>
    <s v="p-DCB의 방충제 용도이나 PPS보다 작음"/>
    <s v="Existing"/>
    <m/>
  </r>
  <r>
    <x v="96"/>
    <s v="A02"/>
    <s v="E02"/>
    <n v="0.3"/>
    <s v="Chlorobenzene"/>
    <s v="Deodorant blocks"/>
    <s v="Specialty chemical intermediate"/>
    <x v="0"/>
    <s v="Secondary"/>
    <s v="p-DCB의 실내 deodorant block 용도"/>
    <s v="Existing"/>
    <m/>
  </r>
  <r>
    <x v="96"/>
    <s v="A02"/>
    <s v="E07"/>
    <n v="0.1"/>
    <s v="Chlorobenzene"/>
    <s v="Herbicide intermediates / dicamba"/>
    <s v="Specialty chemical intermediate"/>
    <x v="4"/>
    <s v="Niche / Emerging"/>
    <s v="규제 영향이 있는 소량 농약 중간체 용도"/>
    <s v="Existing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피벗 테이블3" cacheId="0" dataOnRows="0" dataCaption="값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I1:J32" firstHeaderRow="1" firstDataRow="1" firstDataCol="1"/>
  <pivotFields count="1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1">
        <item t="data" sd="1" x="13"/>
        <item t="data" sd="1" x="9"/>
        <item t="data" sd="1" x="7"/>
        <item t="data" sd="1" x="8"/>
        <item t="data" sd="1" x="5"/>
        <item t="data" sd="1" x="24"/>
        <item t="data" sd="1" x="12"/>
        <item t="data" sd="1" x="1"/>
        <item t="data" sd="1" x="29"/>
        <item t="data" sd="1" x="21"/>
        <item t="data" sd="1" x="19"/>
        <item t="data" sd="1" x="20"/>
        <item t="data" sd="1" x="10"/>
        <item t="data" sd="1" x="4"/>
        <item t="data" sd="1" x="22"/>
        <item t="data" sd="1" x="26"/>
        <item t="data" sd="1" x="25"/>
        <item t="data" sd="1" x="3"/>
        <item t="data" sd="1" x="27"/>
        <item t="data" sd="1" x="23"/>
        <item t="data" sd="1" x="28"/>
        <item t="data" sd="1" x="14"/>
        <item t="data" sd="1" x="2"/>
        <item t="data" sd="1" x="18"/>
        <item t="data" sd="1" x="16"/>
        <item t="data" sd="1" x="0"/>
        <item t="data" sd="1" x="15"/>
        <item t="data" sd="1" x="6"/>
        <item t="data" sd="1" x="17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3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grand" r="0" i="0">
      <x v="0"/>
    </i>
  </rowItems>
  <colItems count="1">
    <i t="data" r="0" i="0"/>
  </colItems>
  <dataFields count="1">
    <dataField name="평균 : Compound annual growth rate. 2025-30(percent)" fld="10" subtotal="average" showDataAs="normal" baseField="2" baseItem="0" numFmtId="176"/>
  </dataFields>
  <pivotTableStyleInfo name="PivotStyleMedium15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피벗 테이블1" cacheId="6" dataOnRows="0" dataCaption="값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J102" firstHeaderRow="1" firstDataRow="2" firstDataCol="1"/>
  <pivotFields count="12">
    <pivotField axis="axisRow" showDropDowns="1" compact="1" outline="1" subtotalTop="1" dragToRow="1" dragToCol="1" dragToPage="1" dragToData="1" dragOff="1" showAll="0" topAutoShow="1" itemPageCount="10" sortType="ascending" defaultSubtotal="1">
      <items count="9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m="1" x="9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9">
        <item t="data" sd="1" x="5"/>
        <item t="data" sd="1" x="2"/>
        <item t="data" sd="1" x="1"/>
        <item t="data" sd="1" x="0"/>
        <item t="data" sd="1" x="7"/>
        <item t="data" sd="1" x="3"/>
        <item t="data" sd="1" x="6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9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grand" r="0" i="0">
      <x v="0"/>
    </i>
  </rowItems>
  <colFields count="1">
    <field x="7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최대 : rating" fld="3" subtotal="max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표22" displayName="표22" ref="A1:I105" headerRowCount="1" totalsRowShown="0" headerRowBorderDxfId="131" tableBorderDxfId="130">
  <autoFilter ref="A1:I105"/>
  <tableColumns count="9">
    <tableColumn id="1" name="no" dataDxfId="129" dataCellStyle="표준 3 2"/>
    <tableColumn id="2" name="group_name" dataDxfId="128" dataCellStyle="표준 3 2"/>
    <tableColumn id="3" name="material" dataDxfId="127" dataCellStyle="표준 3 2"/>
    <tableColumn id="4" name="exsting_value" dataDxfId="126" dataCellStyle="표준 3 2"/>
    <tableColumn id="5" name="market_growth_stage" dataDxfId="125" dataCellStyle="표준 3 2"/>
    <tableColumn id="6" name="supply/demand" dataDxfId="124" dataCellStyle="표준 3 2"/>
    <tableColumn id="7" name="Total" dataDxfId="123" dataCellStyle="표준 3 2"/>
    <tableColumn id="8" name="existing value &amp; market growth Rating 사유" dataDxfId="122" dataCellStyle="표준 3 2"/>
    <tableColumn id="9" name="Supply/Demand Rating 사유" dataDxfId="121" dataCellStyle="표준 3 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upplyStructureTable" displayName="SupplyStructureTable" ref="A4:L108" headerRowCount="1">
  <autoFilter ref="A4:L108"/>
  <tableColumns count="12">
    <tableColumn id="1" name="No."/>
    <tableColumn id="2" name="group_name"/>
    <tableColumn id="3" name="material"/>
    <tableColumn id="4" name="① 공급 부족 또는_x000a_타이트한 시장"/>
    <tableColumn id="5" name="② 신규 증설_x000a_계획 없음"/>
    <tableColumn id="6" name="③ 중국 저가 경쟁_x000a_대상 아님"/>
    <tableColumn id="7" name="④ 국내 수입_x000a_의존도 높음"/>
    <tableColumn id="8" name="O 개수">
      <calculatedColumnFormula>COUNTIF(D5:G5,"O")</calculatedColumnFormula>
    </tableColumn>
    <tableColumn id="9" name="산업 수급_x000a_구조 점수">
      <calculatedColumnFormula>IF(H5&gt;=3,25,IF(H5=2,18,IF(H5=1,12,0)))</calculatedColumnFormula>
    </tableColumn>
    <tableColumn id="10" name="평가 메모"/>
    <tableColumn id="11" name="확신도"/>
    <tableColumn id="12" name="Source 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ueChainRatingTable" displayName="ValueChainRatingTable" ref="A5:O109" headerRowCount="1">
  <tableColumns count="15">
    <tableColumn id="1" name="No."/>
    <tableColumn id="2" name="group_name"/>
    <tableColumn id="3" name="material"/>
    <tableColumn id="4" name="① 기존 Olefin/_x000a_Aromatics Chain 기반"/>
    <tableColumn id="5" name="② 기존 Intermediate_x000a_활용 가능"/>
    <tableColumn id="6" name="③ 기존 부산물_x000a_활용 가능"/>
    <tableColumn id="7" name="④ 기존 Downstream_x000a_확장 가능"/>
    <tableColumn id="8" name="⑤ 기존 사업 Portfolio와_x000a_전략적 연계성"/>
    <tableColumn id="9" name="O 개수">
      <calculatedColumnFormula>COUNTIF(D6:H6,"O")</calculatedColumnFormula>
    </tableColumn>
    <tableColumn id="10" name="재평가_x000a_점수">
      <calculatedColumnFormula>IF(I6&gt;=3,50,IF(I6=2,35,IF(I6=1,20,0)))</calculatedColumnFormula>
    </tableColumn>
    <tableColumn id="11" name="기존_x000a_점수"/>
    <tableColumn id="12" name="증감">
      <calculatedColumnFormula>J6-K6</calculatedColumnFormula>
    </tableColumn>
    <tableColumn id="13" name="비교">
      <calculatedColumnFormula>IF(L6&gt;0,"상향",IF(L6&lt;0,"하향","유지"))</calculatedColumnFormula>
    </tableColumn>
    <tableColumn id="14" name="평가 메모"/>
    <tableColumn id="15" name="Source 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표15" displayName="표15" ref="A1:B9" headerRowCount="1" totalsRowShown="0" headerRowDxfId="120" dataDxfId="119" tableBorderDxfId="118">
  <autoFilter ref="A1:B9"/>
  <tableColumns count="2">
    <tableColumn id="2" name="importance" dataDxfId="117"/>
    <tableColumn id="1" name="rating" dataDxfId="116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id="5" name="표13" displayName="표13" ref="A1:G9" headerRowCount="1" totalsRowShown="0">
  <autoFilter ref="A1:G9"/>
  <tableColumns count="7">
    <tableColumn id="1" name="end_use_id"/>
    <tableColumn id="2" name="end_use_category"/>
    <tableColumn id="4" name="Chemical Related Demand"/>
    <tableColumn id="7" name="specialty_linkage_score" dataDxfId="115" dataCellStyle="백분율">
      <calculatedColumnFormula>end_use_specialty!E76</calculatedColumnFormula>
    </tableColumn>
    <tableColumn id="13" name="national_tech_score" dataDxfId="114" dataCellStyle="백분율"/>
    <tableColumn id="14" name="ind_growth_score" dataDxfId="113" dataCellStyle="백분율"/>
    <tableColumn id="15" name="end_use_att" dataDxfId="112" dataCellStyle="백분율">
      <calculatedColumnFormula>AVERAGE(표13[[#This Row],[specialty_linkage_score]:[ind_growth_score]])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id="6" name="표16" displayName="표16" ref="A1:E73" headerRowCount="1" totalsRowShown="0" tableBorderDxfId="111">
  <autoFilter ref="A1:E73"/>
  <tableColumns count="5">
    <tableColumn id="1" name="end_use_id" dataDxfId="110" dataCellStyle="표준 2"/>
    <tableColumn id="2" name="end_use_category" dataDxfId="109" dataCellStyle="표준 4"/>
    <tableColumn id="3" name="specialty_category" dataDxfId="108" dataCellStyle="표준 4"/>
    <tableColumn id="5" name="specialty_cagr" dataDxfId="107" dataCellStyle="백분율">
      <calculatedColumnFormula>_xlfn.XLOOKUP(표16[[#This Row],[specialty_category]],end_use_specialty!$I$2:$I$31,end_use_specialty!$J$2:$J$31)</calculatedColumnFormula>
    </tableColumn>
    <tableColumn id="4" name="Linkage 사유" dataDxfId="106" dataCellStyle="표준 2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id="7" name="표11" displayName="표11" ref="A1:C44" headerRowCount="1" totalsRowShown="0" dataDxfId="40">
  <autoFilter ref="A1:C44"/>
  <tableColumns count="3">
    <tableColumn id="1" name="app_id" dataDxfId="43"/>
    <tableColumn id="3" name="application_taxonomy" dataDxfId="42"/>
    <tableColumn id="2" name="Definition" dataDxfId="41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id="8" name="표14" displayName="표14" ref="A1:L466" headerRowCount="1" totalsRowShown="0" headerRowDxfId="105" dataDxfId="104" tableBorderDxfId="103">
  <autoFilter ref="A1:L466"/>
  <sortState ref="A2:L466">
    <sortCondition ref="A1:A466"/>
  </sortState>
  <tableColumns count="12">
    <tableColumn id="1" name="material_id" dataDxfId="102">
      <calculatedColumnFormula>_xlfn.XLOOKUP(표14[[#This Row],[material_name]],표2[material_name],표2[material_id])</calculatedColumnFormula>
    </tableColumn>
    <tableColumn id="2" name="app_id" dataDxfId="101">
      <calculatedColumnFormula>_xlfn.XLOOKUP(표14[[#This Row],[application_taxonomy]],표11[application_taxonomy],표11[app_id])</calculatedColumnFormula>
    </tableColumn>
    <tableColumn id="3" name="end_use_id" dataDxfId="100">
      <calculatedColumnFormula>_xlfn.XLOOKUP(표14[[#This Row],[end_use_industry]],표13[end_use_category],표13[end_use_id])</calculatedColumnFormula>
    </tableColumn>
    <tableColumn id="4" name="rating" dataDxfId="99">
      <calculatedColumnFormula>_xlfn.XLOOKUP(표14[[#This Row],[importance]],표15[importance],표15[rating])</calculatedColumnFormula>
    </tableColumn>
    <tableColumn id="5" name="material_name" dataDxfId="98"/>
    <tableColumn id="6" name="raw application" dataDxfId="97"/>
    <tableColumn id="7" name="application_taxonomy" dataDxfId="96"/>
    <tableColumn id="8" name="end_use_industry" dataDxfId="95"/>
    <tableColumn id="9" name="importance" dataDxfId="94"/>
    <tableColumn id="10" name="reasoning" dataDxfId="93"/>
    <tableColumn id="11" name="taxonomy_action" dataDxfId="92"/>
    <tableColumn id="12" name="source" dataDxfId="91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id="9" name="표19" displayName="표19" ref="L4:O101" headerRowCount="1" totalsRowShown="0">
  <autoFilter ref="L4:O101"/>
  <tableColumns count="4">
    <tableColumn id="1" name="material_id" dataDxfId="90"/>
    <tableColumn id="2" name="material_name" dataDxfId="89">
      <calculatedColumnFormula>_xlfn.XLOOKUP(L5,표2[material_id],표2[material_name])</calculatedColumnFormula>
    </tableColumn>
    <tableColumn id="4" name="end_use" dataDxfId="88">
      <calculatedColumnFormula>SUMPRODUCT($B$1:$I$1,B5:I5)</calculatedColumnFormula>
    </tableColumn>
    <tableColumn id="3" name="end_use_att" dataDxfId="87">
      <calculatedColumnFormula>(표19[[#This Row],[end_use]]-MIN(표19[end_use]))/(MAX(표19[end_use])-MIN(표19[end_use]))*100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id="10" name="Group" displayName="Group" ref="A1:J104" headerRowCount="1" totalsRowShown="0">
  <autoFilter ref="A1:J104"/>
  <sortState ref="A2:J104">
    <sortCondition descending="1" ref="J1:J104"/>
  </sortState>
  <tableColumns count="10">
    <tableColumn id="1" name="group_id"/>
    <tableColumn id="2" name="group_name"/>
    <tableColumn id="3" name="material"/>
    <tableColumn id="4" name="material_id" dataDxfId="136">
      <calculatedColumnFormula>_xlfn.XLOOKUP(Group[[#This Row],[material]],표2[material_name],표2[material_id])</calculatedColumnFormula>
    </tableColumn>
    <tableColumn id="14" name="starting_material"/>
    <tableColumn id="12" name="root_material"/>
    <tableColumn id="5" name="end_use_att" dataDxfId="135" dataCellStyle="쉼표 [0]">
      <calculatedColumnFormula>_xlfn.XLOOKUP(Group[[#This Row],[material_id]],표19[material_id],표19[end_use_att])</calculatedColumnFormula>
    </tableColumn>
    <tableColumn id="8" name="supply_value_overall_score" dataDxfId="134">
      <calculatedColumnFormula>_xlfn.XLOOKUP(Group[[#This Row],[material]],표22[material],표22[Total])</calculatedColumnFormula>
    </tableColumn>
    <tableColumn id="6" name="total_score" dataDxfId="133" dataCellStyle="표준 3">
      <calculatedColumnFormula>Group[[#This Row],[end_use_att]]+Group[[#This Row],[supply_value_overall_score]]</calculatedColumnFormula>
    </tableColumn>
    <tableColumn id="9" name="group_score" dataDxfId="132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id="11" name="표17" displayName="표17" ref="A1:M291" headerRowCount="1" totalsRowShown="0" headerRowDxfId="86" headerRowBorderDxfId="85" tableBorderDxfId="84" headerRowCellStyle="phx-HL-cell">
  <autoFilter ref="A1:M291"/>
  <tableColumns count="13">
    <tableColumn id="1" name="No" dataDxfId="83" dataCellStyle="표준 2"/>
    <tableColumn id="2" name="Category" dataDxfId="82" dataCellStyle="표준 2"/>
    <tableColumn id="3" name="Category2" dataDxfId="81" dataCellStyle="phx-level1"/>
    <tableColumn id="4" name="Category3" dataDxfId="80" dataCellStyle="phx-level1"/>
    <tableColumn id="5" name="Category4" dataDxfId="79" dataCellStyle="phx-level1"/>
    <tableColumn id="6" name="Main product" dataDxfId="78" dataCellStyle="phx-level1"/>
    <tableColumn id="7" name="Starting Material" dataDxfId="77" dataCellStyle="phx-level1"/>
    <tableColumn id="8" name="Petrochemical 연관성" dataDxfId="76" dataCellStyle="phx-level1"/>
    <tableColumn id="9" name="Intermediate" dataDxfId="75" dataCellStyle="phx-level1"/>
    <tableColumn id="10" name="main petrochemical chain" dataDxfId="74" dataCellStyle="phx-level1"/>
    <tableColumn id="11" name="Compound annual growth rate. 2025-30(percent)" dataDxfId="73" dataCellStyle="phx-HL-row"/>
    <tableColumn id="12" name="Selected" dataDxfId="72" dataCellStyle="phx-HL-row"/>
    <tableColumn id="13" name="related_chemical" dataDxfId="71" dataCellStyle="표준 2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id="12" name="표2" displayName="표2" ref="A1:M115" headerRowCount="1" totalsRowShown="0">
  <autoFilter ref="A1:M115"/>
  <sortState ref="A2:I100">
    <sortCondition ref="A1:A100"/>
  </sortState>
  <tableColumns count="13">
    <tableColumn id="1" name="material_id"/>
    <tableColumn id="3" name="material_group"/>
    <tableColumn id="2" name="material_name"/>
    <tableColumn id="4" name="material_type"/>
    <tableColumn id="9" name="material_subtype"/>
    <tableColumn id="7" name="vertical_order"/>
    <tableColumn id="8" name="hsk10"/>
    <tableColumn id="5" name="remarks"/>
    <tableColumn id="6" name="visual_exclude"/>
    <tableColumn id="10" name="ccma_snp" dataDxfId="70">
      <calculatedColumnFormula>IF(COUNTIF(CCMA[material_name],C2)&gt;0,"O","X")</calculatedColumnFormula>
    </tableColumn>
    <tableColumn id="12" name="ceh_ceh" dataDxfId="69">
      <calculatedColumnFormula>IF(COUNTIF(CEH[material_name],C2)&gt;0,"O","X")</calculatedColumnFormula>
    </tableColumn>
    <tableColumn id="13" name="has_supplier" dataDxfId="68">
      <calculatedColumnFormula>IF(COUNTIF(표8[material_id],표2[[#This Row],[material_id]])&gt;0, "O", "X")</calculatedColumnFormula>
    </tableColumn>
    <tableColumn id="11" name="is_ulsan" dataDxfId="67">
      <calculatedColumnFormula>IF(COUNTIFS(표8[material_id],표2[[#This Row],[material_id]],표8[location],"울산")&gt;0, "O", "X")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id="13" name="표1" displayName="표1" ref="A1:E104" headerRowCount="1" totalsRowShown="0">
  <autoFilter ref="A1:E104"/>
  <tableColumns count="5">
    <tableColumn id="1" name="route_id"/>
    <tableColumn id="2" name="route_name"/>
    <tableColumn id="3" name="route_category"/>
    <tableColumn id="4" name="route_depth"/>
    <tableColumn id="5" name="remarks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id="14" name="표3" displayName="표3" ref="A1:E119" headerRowCount="1" totalsRowShown="0">
  <autoFilter ref="A1:E119"/>
  <tableColumns count="5">
    <tableColumn id="1" name="route_id"/>
    <tableColumn id="2" name="material_id"/>
    <tableColumn id="3" name="input_role"/>
    <tableColumn id="4" name="seq_no"/>
    <tableColumn id="5" name="remarks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id="15" name="표4" displayName="표4" ref="A1:E105" headerRowCount="1" totalsRowShown="0">
  <autoFilter ref="A1:E105"/>
  <tableColumns count="5">
    <tableColumn id="1" name="route_id"/>
    <tableColumn id="2" name="material_id"/>
    <tableColumn id="3" name="output_role"/>
    <tableColumn id="4" name="seq_no"/>
    <tableColumn id="5" name="remarks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id="16" name="표6" displayName="표6" ref="A1:C29" headerRowCount="1" totalsRowShown="0">
  <autoFilter ref="A1:C29"/>
  <tableColumns count="3">
    <tableColumn id="1" name="licensor_id"/>
    <tableColumn id="2" name="licensor_name"/>
    <tableColumn id="3" name="remarks"/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id="17" name="표5" displayName="표5" ref="A1:C59" headerRowCount="1" totalsRowShown="0">
  <autoFilter ref="A1:C59"/>
  <tableColumns count="3">
    <tableColumn id="1" name="route_id"/>
    <tableColumn id="2" name="licensor_id"/>
    <tableColumn id="3" name="remarks"/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id="18" name="표7" displayName="표7" ref="A1:C61" headerRowCount="1" totalsRowShown="0" headerRowDxfId="66" tableBorderDxfId="65">
  <autoFilter ref="A1:C61"/>
  <tableColumns count="3">
    <tableColumn id="1" name="supplier_id" dataDxfId="64"/>
    <tableColumn id="2" name="supplier_name"/>
    <tableColumn id="3" name="remark"/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id="19" name="표8" displayName="표8" ref="A1:K288" headerRowCount="1" totalsRowShown="0" headerRowDxfId="9" tableBorderDxfId="8">
  <autoFilter ref="A1:K288"/>
  <sortState ref="A2:J274">
    <sortCondition ref="A1:A274"/>
  </sortState>
  <tableColumns count="11">
    <tableColumn id="1" name="material_id" dataDxfId="7"/>
    <tableColumn id="2" name="supplier_id" dataDxfId="6"/>
    <tableColumn id="7" name="회사명" dataDxfId="5">
      <calculatedColumnFormula>_xlfn.XLOOKUP(표8[[#This Row],[supplier_id]],표7[supplier_id],표7[supplier_name])</calculatedColumnFormula>
    </tableColumn>
    <tableColumn id="4" name="estimated_capacity" dataDxfId="4"/>
    <tableColumn id="9" name="capacity_unit" dataDxfId="3"/>
    <tableColumn id="3" name="location" dataDxfId="2"/>
    <tableColumn id="5" name="source_type"/>
    <tableColumn id="10" name="source_year"/>
    <tableColumn id="6" name="remarks"/>
    <tableColumn id="8" name="lat" dataDxfId="1">
      <calculatedColumnFormula>_xlfn.XLOOKUP(표8[[#This Row],[location]],Location[location],Location[lat])</calculatedColumnFormula>
    </tableColumn>
    <tableColumn id="11" name="lon" dataDxfId="0">
      <calculatedColumnFormula>_xlfn.XLOOKUP(표8[[#This Row],[location]],Location[location],Location[lon])</calculatedColumnFormula>
    </tableColumn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id="20" name="Location" displayName="Location" ref="A1:D13" headerRowCount="1" totalsRowShown="0" headerRowDxfId="63" tableBorderDxfId="62">
  <autoFilter ref="A1:D13"/>
  <sortState ref="A2:D13">
    <sortCondition ref="A1:A13"/>
  </sortState>
  <tableColumns count="4">
    <tableColumn id="1" name="location" dataDxfId="61"/>
    <tableColumn id="2" name="lat" dataDxfId="60"/>
    <tableColumn id="3" name="lon" dataDxfId="59"/>
    <tableColumn id="4" name="Remark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id="21" name="CCMA" displayName="CCMA" ref="A1:E36" headerRowCount="1" totalsRowShown="0" headerRowDxfId="58" dataDxfId="57" tableBorderDxfId="56">
  <autoFilter ref="A1:E36"/>
  <tableColumns count="5">
    <tableColumn id="2" name="CCMA Report Name" dataDxfId="55"/>
    <tableColumn id="3" name="Frequency" dataDxfId="54"/>
    <tableColumn id="4" name="Cover Date" dataDxfId="53"/>
    <tableColumn id="5" name="Published Date" dataDxfId="52"/>
    <tableColumn id="6" name="material_name" dataDxfId="51"/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id="22" name="CEH" displayName="CEH" ref="A1:D116" headerRowCount="1" totalsRowShown="0" headerRowDxfId="50" dataDxfId="49" tableBorderDxfId="48">
  <autoFilter ref="A1:D116"/>
  <sortState ref="A2:D116">
    <sortCondition ref="A1:A116"/>
  </sortState>
  <tableColumns count="4">
    <tableColumn id="1" name="CEH Report name" dataDxfId="47"/>
    <tableColumn id="3" name="Downstream 대상" dataDxfId="46"/>
    <tableColumn id="5" name="Publication Year2" dataDxfId="45"/>
    <tableColumn id="6" name="material_name" dataDxfId="4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pivotTable" Target="/xl/pivotTables/pivotTable1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pivotTable" Target="/xl/pivotTables/pivotTable2.xml" Id="rId2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plas-world.co.kr/chtml/board/board_print.php?&amp;com_board_search_code=&amp;com_board_search_value1=&amp;com_board_search_value2=&amp;com_board_page=13&amp;&amp;com_board_id=34&amp;&amp;com_board_id=34&amp;com_board_basic=print&amp;com_board_idx=513." TargetMode="External" Id="rId1" /><Relationship Type="http://schemas.openxmlformats.org/officeDocument/2006/relationships/hyperlink" Target="https://www.theguru.co.kr/news/article.html?no=40559" TargetMode="External" Id="rId2" /><Relationship Type="http://schemas.openxmlformats.org/officeDocument/2006/relationships/hyperlink" Target="https://www.theguru.co.kr/news/article.html?no=40559" TargetMode="External" Id="rId3" /><Relationship Type="http://schemas.openxmlformats.org/officeDocument/2006/relationships/table" Target="/xl/tables/table19.xml" Id="rId4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zoomScaleNormal="100" workbookViewId="0">
      <selection activeCell="G2" sqref="G2"/>
    </sheetView>
  </sheetViews>
  <sheetFormatPr baseColWidth="8" defaultRowHeight="16.5"/>
  <cols>
    <col width="5" customWidth="1" style="149" min="1" max="1"/>
    <col width="20.25" customWidth="1" style="149" min="2" max="2"/>
    <col width="16.625" bestFit="1" customWidth="1" style="149" min="3" max="3"/>
    <col width="14.5" customWidth="1" style="149" min="4" max="4"/>
    <col width="21.75" customWidth="1" style="149" min="5" max="5"/>
    <col width="17" customWidth="1" style="149" min="6" max="6"/>
    <col width="21.75" customWidth="1" style="150" min="7" max="7"/>
    <col width="44.625" customWidth="1" style="151" min="8" max="8"/>
    <col width="41.125" customWidth="1" style="151" min="9" max="9"/>
    <col width="9" customWidth="1" style="142" min="10" max="16384"/>
  </cols>
  <sheetData>
    <row r="1">
      <c r="A1" s="154" t="inlineStr">
        <is>
          <t>no</t>
        </is>
      </c>
      <c r="B1" s="154" t="inlineStr">
        <is>
          <t>group_name</t>
        </is>
      </c>
      <c r="C1" s="154" t="inlineStr">
        <is>
          <t>material</t>
        </is>
      </c>
      <c r="D1" s="154" t="inlineStr">
        <is>
          <t>exsting_value</t>
        </is>
      </c>
      <c r="E1" s="154" t="inlineStr">
        <is>
          <t>market_growth_stage</t>
        </is>
      </c>
      <c r="F1" s="154" t="inlineStr">
        <is>
          <t>supply/demand</t>
        </is>
      </c>
      <c r="G1" s="155" t="inlineStr">
        <is>
          <t>Total</t>
        </is>
      </c>
      <c r="H1" s="156" t="inlineStr">
        <is>
          <t>existing value &amp; market growth Rating 사유</t>
        </is>
      </c>
      <c r="I1" s="156" t="inlineStr">
        <is>
          <t>Supply/Demand Rating 사유</t>
        </is>
      </c>
    </row>
    <row r="2" ht="33" customHeight="1" s="179">
      <c r="A2" s="143" t="n">
        <v>1</v>
      </c>
      <c r="B2" s="143" t="inlineStr">
        <is>
          <t>PE Chain</t>
        </is>
      </c>
      <c r="C2" s="144" t="inlineStr">
        <is>
          <t>HDPE</t>
        </is>
      </c>
      <c r="D2" s="145">
        <f>_xlfn.XLOOKUP(C2,ValueChainRatingTable[material],ValueChainRatingTable[재평가
점수])</f>
        <v/>
      </c>
      <c r="E2" s="144" t="n">
        <v>18</v>
      </c>
      <c r="F2" s="146">
        <f>_xlfn.XLOOKUP(표22[[#This Row],[material]],SupplyStructureTable[material],SupplyStructureTable[산업 수급
구조 점수])</f>
        <v/>
      </c>
      <c r="G2" s="147">
        <f>SUM(D2:F2)</f>
        <v/>
      </c>
      <c r="H2" s="148" t="inlineStr">
        <is>
          <t>NCC와 함께 HDPE 공장 예정으로 직접 연계되나 범용 PE 시장은 성숙 단계</t>
        </is>
      </c>
      <c r="I2" s="148" t="inlineStr">
        <is>
          <t>에탄올아민 병산 구조로 공급 유연성 존재, 중국 경쟁 및 국내 생산 가능</t>
        </is>
      </c>
    </row>
    <row r="3" ht="33" customHeight="1" s="179">
      <c r="A3" s="143" t="n">
        <v>2</v>
      </c>
      <c r="B3" s="143" t="inlineStr">
        <is>
          <t>PE Chain</t>
        </is>
      </c>
      <c r="C3" s="144" t="inlineStr">
        <is>
          <t>LDPE</t>
        </is>
      </c>
      <c r="D3" s="146">
        <f>_xlfn.XLOOKUP(C3,ValueChainRatingTable[material],ValueChainRatingTable[재평가
점수])</f>
        <v/>
      </c>
      <c r="E3" s="144" t="n">
        <v>18</v>
      </c>
      <c r="F3" s="146">
        <f>_xlfn.XLOOKUP(표22[[#This Row],[material]],SupplyStructureTable[material],SupplyStructureTable[산업 수급
구조 점수])</f>
        <v/>
      </c>
      <c r="G3" s="147">
        <f>SUM(D3:F3)</f>
        <v/>
      </c>
      <c r="H3" s="148" t="inlineStr">
        <is>
          <t>Ethylene 기반 PE 계열로 연계 가능하나 현재 계획 제품은 아니며 성숙시장</t>
        </is>
      </c>
      <c r="I3" s="148" t="inlineStr">
        <is>
          <t>중국 oxo 설비 증설과 범용 용제 경쟁, 국내 생산</t>
        </is>
      </c>
    </row>
    <row r="4" ht="33" customHeight="1" s="179">
      <c r="A4" s="143" t="n">
        <v>3</v>
      </c>
      <c r="B4" s="143" t="inlineStr">
        <is>
          <t>PE Chain</t>
        </is>
      </c>
      <c r="C4" s="144" t="inlineStr">
        <is>
          <t>LLDPE</t>
        </is>
      </c>
      <c r="D4" s="145">
        <f>_xlfn.XLOOKUP(C4,ValueChainRatingTable[material],ValueChainRatingTable[재평가
점수])</f>
        <v/>
      </c>
      <c r="E4" s="144" t="n">
        <v>18</v>
      </c>
      <c r="F4" s="146">
        <f>_xlfn.XLOOKUP(표22[[#This Row],[material]],SupplyStructureTable[material],SupplyStructureTable[산업 수급
구조 점수])</f>
        <v/>
      </c>
      <c r="G4" s="147">
        <f>SUM(D4:F4)</f>
        <v/>
      </c>
      <c r="H4" s="148" t="inlineStr">
        <is>
          <t>NCC와 함께 LLDPE 공장 예정으로 직접 연계되나 범용 PE 시장은 성숙 단계</t>
        </is>
      </c>
      <c r="I4" s="148" t="inlineStr">
        <is>
          <t>에탄올아민 병산 구조와 중국 공급 경쟁, 국내 생산 가능</t>
        </is>
      </c>
    </row>
    <row r="5" ht="33" customHeight="1" s="179">
      <c r="A5" s="143" t="n">
        <v>4</v>
      </c>
      <c r="B5" s="143" t="inlineStr">
        <is>
          <t>PVC Chain</t>
        </is>
      </c>
      <c r="C5" s="144" t="inlineStr">
        <is>
          <t>EDC</t>
        </is>
      </c>
      <c r="D5" s="146">
        <f>_xlfn.XLOOKUP(C5,ValueChainRatingTable[material],ValueChainRatingTable[재평가
점수])</f>
        <v/>
      </c>
      <c r="E5" s="144" t="n">
        <v>18</v>
      </c>
      <c r="F5" s="146">
        <f>_xlfn.XLOOKUP(표22[[#This Row],[material]],SupplyStructureTable[material],SupplyStructureTable[산업 수급
구조 점수])</f>
        <v/>
      </c>
      <c r="G5" s="147">
        <f>SUM(D5:F5)</f>
        <v/>
      </c>
      <c r="H5" s="148" t="inlineStr">
        <is>
          <t>Ethylene 기반 PVC chain 중간체이나 Chlorine 확보 필요, 시장은 성숙 단계</t>
        </is>
      </c>
      <c r="I5" s="148" t="inlineStr">
        <is>
          <t>중국 BA/2-EHA 등 증설 및 범용 용도 가격경쟁, 국내 생산</t>
        </is>
      </c>
    </row>
    <row r="6" ht="33" customHeight="1" s="179">
      <c r="A6" s="143" t="n">
        <v>5</v>
      </c>
      <c r="B6" s="143" t="inlineStr">
        <is>
          <t>PVC Chain</t>
        </is>
      </c>
      <c r="C6" s="144" t="inlineStr">
        <is>
          <t>VCM</t>
        </is>
      </c>
      <c r="D6" s="146">
        <f>_xlfn.XLOOKUP(C6,ValueChainRatingTable[material],ValueChainRatingTable[재평가
점수])</f>
        <v/>
      </c>
      <c r="E6" s="144" t="n">
        <v>18</v>
      </c>
      <c r="F6" s="146">
        <f>_xlfn.XLOOKUP(표22[[#This Row],[material]],SupplyStructureTable[material],SupplyStructureTable[산업 수급
구조 점수])</f>
        <v/>
      </c>
      <c r="G6" s="147">
        <f>SUM(D6:F6)</f>
        <v/>
      </c>
      <c r="H6" s="148" t="inlineStr">
        <is>
          <t>Ethylene downstream이나 PVC chain은 당사 직접 사업과 거리가 있고 성숙시장</t>
        </is>
      </c>
      <c r="I6" s="148" t="inlineStr">
        <is>
          <t>범용 SAP 공급은 충분하나 위생·고성능 Grade는 품질 인증 장벽 존재, 국내 생산</t>
        </is>
      </c>
    </row>
    <row r="7" ht="33" customHeight="1" s="179">
      <c r="A7" s="143" t="n">
        <v>6</v>
      </c>
      <c r="B7" s="143" t="inlineStr">
        <is>
          <t>PVC Chain</t>
        </is>
      </c>
      <c r="C7" s="144" t="inlineStr">
        <is>
          <t>PVC</t>
        </is>
      </c>
      <c r="D7" s="146">
        <f>_xlfn.XLOOKUP(C7,ValueChainRatingTable[material],ValueChainRatingTable[재평가
점수])</f>
        <v/>
      </c>
      <c r="E7" s="144" t="n">
        <v>18</v>
      </c>
      <c r="F7" s="146">
        <f>_xlfn.XLOOKUP(표22[[#This Row],[material]],SupplyStructureTable[material],SupplyStructureTable[산업 수급
구조 점수])</f>
        <v/>
      </c>
      <c r="G7" s="147">
        <f>SUM(D7:F7)</f>
        <v/>
      </c>
      <c r="H7" s="148" t="inlineStr">
        <is>
          <t>Ethylene downstream 확장 가능성은 있으나 범용 PVC 시장은 성숙 단계</t>
        </is>
      </c>
      <c r="I7" s="148" t="inlineStr">
        <is>
          <t>중국 태양광용 EVA 증설 급증과 가격경쟁, 국내 생산</t>
        </is>
      </c>
    </row>
    <row r="8" ht="33" customHeight="1" s="179">
      <c r="A8" s="143" t="n">
        <v>9</v>
      </c>
      <c r="B8" s="143" t="inlineStr">
        <is>
          <t>EO-PET Chain</t>
        </is>
      </c>
      <c r="C8" s="144" t="inlineStr">
        <is>
          <t>EO</t>
        </is>
      </c>
      <c r="D8" s="145">
        <f>_xlfn.XLOOKUP(C8,ValueChainRatingTable[material],ValueChainRatingTable[재평가
점수])</f>
        <v/>
      </c>
      <c r="E8" s="144" t="n">
        <v>18</v>
      </c>
      <c r="F8" s="146">
        <f>_xlfn.XLOOKUP(표22[[#This Row],[material]],SupplyStructureTable[material],SupplyStructureTable[산업 수급
구조 점수])</f>
        <v/>
      </c>
      <c r="G8" s="147">
        <f>SUM(D8:F8)</f>
        <v/>
      </c>
      <c r="H8" s="148" t="inlineStr">
        <is>
          <t>Ethylene 직접 downstream으로 NCC 연계성이 높으나 EO chain은 성숙시장</t>
        </is>
      </c>
      <c r="I8" s="148" t="inlineStr">
        <is>
          <t>phenol 병산품으로 공급 변동은 있으나 구조적 부족 아님, 중국 경쟁·국내 생산</t>
        </is>
      </c>
    </row>
    <row r="9" ht="33" customHeight="1" s="179">
      <c r="A9" s="143" t="n">
        <v>7</v>
      </c>
      <c r="B9" s="143" t="inlineStr">
        <is>
          <t>Ethanol Chain</t>
        </is>
      </c>
      <c r="C9" s="144" t="inlineStr">
        <is>
          <t>Ethanol</t>
        </is>
      </c>
      <c r="D9" s="146">
        <f>_xlfn.XLOOKUP(C9,ValueChainRatingTable[material],ValueChainRatingTable[재평가
점수])</f>
        <v/>
      </c>
      <c r="E9" s="144" t="n">
        <v>18</v>
      </c>
      <c r="F9" s="146">
        <f>_xlfn.XLOOKUP(표22[[#This Row],[material]],SupplyStructureTable[material],SupplyStructureTable[산업 수급
구조 점수])</f>
        <v/>
      </c>
      <c r="G9" s="147">
        <f>SUM(D9:F9)</f>
        <v/>
      </c>
      <c r="H9" s="148" t="inlineStr">
        <is>
          <t>Ethylene route 가능성은 있으나 당사 기존 사업과 직접성은 제한적</t>
        </is>
      </c>
      <c r="I9" s="148" t="inlineStr">
        <is>
          <t>대부분 styrene captive 원료이며 styrenics 공급과잉, 국내 생산</t>
        </is>
      </c>
    </row>
    <row r="10" ht="33" customHeight="1" s="179">
      <c r="A10" s="143" t="n">
        <v>8</v>
      </c>
      <c r="B10" s="143" t="inlineStr">
        <is>
          <t>Ethanol Chain</t>
        </is>
      </c>
      <c r="C10" s="144" t="inlineStr">
        <is>
          <t>Ethyl acetate</t>
        </is>
      </c>
      <c r="D10" s="146">
        <f>_xlfn.XLOOKUP(C10,ValueChainRatingTable[material],ValueChainRatingTable[재평가
점수])</f>
        <v/>
      </c>
      <c r="E10" s="144" t="n">
        <v>18</v>
      </c>
      <c r="F10" s="146">
        <f>_xlfn.XLOOKUP(표22[[#This Row],[material]],SupplyStructureTable[material],SupplyStructureTable[산업 수급
구조 점수])</f>
        <v/>
      </c>
      <c r="G10" s="147">
        <f>SUM(D10:F10)</f>
        <v/>
      </c>
      <c r="H10" s="148" t="inlineStr">
        <is>
          <t>Ethanol downstream solvent로 직접 value chain 연계성은 낮고 성숙시장</t>
        </is>
      </c>
      <c r="I10" s="148" t="inlineStr">
        <is>
          <t>중국 대규모 styrene 증설과 아시아 공급과잉, 국내 생산</t>
        </is>
      </c>
    </row>
    <row r="11" ht="33" customHeight="1" s="179">
      <c r="A11" s="143" t="n">
        <v>10</v>
      </c>
      <c r="B11" s="143" t="inlineStr">
        <is>
          <t>Ethanolamine Chain</t>
        </is>
      </c>
      <c r="C11" s="144" t="inlineStr">
        <is>
          <t>MEA</t>
        </is>
      </c>
      <c r="D11" s="146">
        <f>_xlfn.XLOOKUP(C11,ValueChainRatingTable[material],ValueChainRatingTable[재평가
점수])</f>
        <v/>
      </c>
      <c r="E11" s="144" t="n">
        <v>18</v>
      </c>
      <c r="F11" s="146">
        <f>_xlfn.XLOOKUP(표22[[#This Row],[material]],SupplyStructureTable[material],SupplyStructureTable[산업 수급
구조 점수])</f>
        <v/>
      </c>
      <c r="G11" s="147">
        <f>SUM(D11:F11)</f>
        <v/>
      </c>
      <c r="H11" s="148" t="inlineStr">
        <is>
          <t>EO downstream으로 연계 가능하나 범용 ethanolamine 시장은 성숙 단계</t>
        </is>
      </c>
      <c r="I11" s="148" t="inlineStr">
        <is>
          <t>중국 합성고무 증설과 타이어 수요 둔화, 국내 생산</t>
        </is>
      </c>
    </row>
    <row r="12" ht="33" customHeight="1" s="179">
      <c r="A12" s="143" t="n">
        <v>11</v>
      </c>
      <c r="B12" s="143" t="inlineStr">
        <is>
          <t>Ethanolamine Chain</t>
        </is>
      </c>
      <c r="C12" s="144" t="inlineStr">
        <is>
          <t>DEA</t>
        </is>
      </c>
      <c r="D12" s="146">
        <f>_xlfn.XLOOKUP(C12,ValueChainRatingTable[material],ValueChainRatingTable[재평가
점수])</f>
        <v/>
      </c>
      <c r="E12" s="144" t="n">
        <v>18</v>
      </c>
      <c r="F12" s="146">
        <f>_xlfn.XLOOKUP(표22[[#This Row],[material]],SupplyStructureTable[material],SupplyStructureTable[산업 수급
구조 점수])</f>
        <v/>
      </c>
      <c r="G12" s="147">
        <f>SUM(D12:F12)</f>
        <v/>
      </c>
      <c r="H12" s="148" t="inlineStr">
        <is>
          <t>EO downstream으로 연계 가능하나 시장은 성숙 단계</t>
        </is>
      </c>
      <c r="I12" s="148" t="inlineStr">
        <is>
          <t>글로벌·중국 공급 여력과 범용 타이어 Grade 가격경쟁, 국내 생산</t>
        </is>
      </c>
    </row>
    <row r="13" ht="33" customHeight="1" s="179">
      <c r="A13" s="143" t="n">
        <v>12</v>
      </c>
      <c r="B13" s="143" t="inlineStr">
        <is>
          <t>Ethanolamine Chain</t>
        </is>
      </c>
      <c r="C13" s="144" t="inlineStr">
        <is>
          <t>TEA</t>
        </is>
      </c>
      <c r="D13" s="146">
        <f>_xlfn.XLOOKUP(C13,ValueChainRatingTable[material],ValueChainRatingTable[재평가
점수])</f>
        <v/>
      </c>
      <c r="E13" s="144" t="n">
        <v>18</v>
      </c>
      <c r="F13" s="146">
        <f>_xlfn.XLOOKUP(표22[[#This Row],[material]],SupplyStructureTable[material],SupplyStructureTable[산업 수급
구조 점수])</f>
        <v/>
      </c>
      <c r="G13" s="147">
        <f>SUM(D13:F13)</f>
        <v/>
      </c>
      <c r="H13" s="148" t="inlineStr">
        <is>
          <t>EO downstream으로 연계 가능하나 수요는 안정적 성숙시장</t>
        </is>
      </c>
      <c r="I13" s="148" t="inlineStr">
        <is>
          <t>가솔린 첨가제 수요 성숙과 중국·중동 공급, 국내 정유·석화 생산</t>
        </is>
      </c>
    </row>
    <row r="14" ht="33" customHeight="1" s="179">
      <c r="A14" s="143" t="n">
        <v>13</v>
      </c>
      <c r="B14" s="143" t="inlineStr">
        <is>
          <t>EO-PET Chain</t>
        </is>
      </c>
      <c r="C14" s="144" t="inlineStr">
        <is>
          <t>MEG</t>
        </is>
      </c>
      <c r="D14" s="145">
        <f>_xlfn.XLOOKUP(C14,ValueChainRatingTable[material],ValueChainRatingTable[재평가
점수])</f>
        <v/>
      </c>
      <c r="E14" s="144" t="n">
        <v>18</v>
      </c>
      <c r="F14" s="146">
        <f>_xlfn.XLOOKUP(표22[[#This Row],[material]],SupplyStructureTable[material],SupplyStructureTable[산업 수급
구조 점수])</f>
        <v/>
      </c>
      <c r="G14" s="147">
        <f>SUM(D14:F14)</f>
        <v/>
      </c>
      <c r="H14" s="148" t="inlineStr">
        <is>
          <t>EO downstream 및 PET chain 핵심 원료이나 시장은 성숙 단계</t>
        </is>
      </c>
      <c r="I14" s="148" t="inlineStr">
        <is>
          <t>중국 BPA 대규모 증설과 PC/epoxy 수요 둔화, 국내 생산</t>
        </is>
      </c>
    </row>
    <row r="15" ht="33" customHeight="1" s="179">
      <c r="A15" s="143" t="n">
        <v>14</v>
      </c>
      <c r="B15" s="143" t="inlineStr">
        <is>
          <t>VAM Chain</t>
        </is>
      </c>
      <c r="C15" s="144" t="inlineStr">
        <is>
          <t>VAM</t>
        </is>
      </c>
      <c r="D15" s="146">
        <f>_xlfn.XLOOKUP(C15,ValueChainRatingTable[material],ValueChainRatingTable[재평가
점수])</f>
        <v/>
      </c>
      <c r="E15" s="144" t="n">
        <v>18</v>
      </c>
      <c r="F15" s="146">
        <f>_xlfn.XLOOKUP(표22[[#This Row],[material]],SupplyStructureTable[material],SupplyStructureTable[산업 수급
구조 점수])</f>
        <v/>
      </c>
      <c r="G15" s="147">
        <f>SUM(D15:F15)</f>
        <v/>
      </c>
      <c r="H15" s="148" t="inlineStr">
        <is>
          <t>Ethylene/acetic acid route 가능하나 당사 직접 사업 연계는 제한적</t>
        </is>
      </c>
      <c r="I15" s="148" t="inlineStr">
        <is>
          <t>고성능 윤활기유로 공급자 집중·기술 장벽이 높지만 2025년 이후 증설 진행, 국내 수입 의존</t>
        </is>
      </c>
    </row>
    <row r="16" ht="33" customHeight="1" s="179">
      <c r="A16" s="143" t="n">
        <v>15</v>
      </c>
      <c r="B16" s="143" t="inlineStr">
        <is>
          <t>AN Chain</t>
        </is>
      </c>
      <c r="C16" s="144" t="inlineStr">
        <is>
          <t>AN</t>
        </is>
      </c>
      <c r="D16" s="146">
        <f>_xlfn.XLOOKUP(C16,ValueChainRatingTable[material],ValueChainRatingTable[재평가
점수])</f>
        <v/>
      </c>
      <c r="E16" s="144" t="n">
        <v>18</v>
      </c>
      <c r="F16" s="146">
        <f>_xlfn.XLOOKUP(표22[[#This Row],[material]],SupplyStructureTable[material],SupplyStructureTable[산업 수급
구조 점수])</f>
        <v/>
      </c>
      <c r="G16" s="147">
        <f>SUM(D16:F16)</f>
        <v/>
      </c>
      <c r="H16" s="148" t="inlineStr">
        <is>
          <t>Propylene downstream으로 C3 연계 가능하나 AN 시장은 성숙 단계</t>
        </is>
      </c>
      <c r="I16" s="148" t="inlineStr">
        <is>
          <t>중국·일본 공급자 기반과 중국 증설, 국내 대규모 생산 제한</t>
        </is>
      </c>
    </row>
    <row r="17" ht="33" customHeight="1" s="179">
      <c r="A17" s="143" t="n">
        <v>16</v>
      </c>
      <c r="B17" s="143" t="inlineStr">
        <is>
          <t>AN Chain</t>
        </is>
      </c>
      <c r="C17" s="144" t="inlineStr">
        <is>
          <t>ABS</t>
        </is>
      </c>
      <c r="D17" s="146">
        <f>_xlfn.XLOOKUP(C17,ValueChainRatingTable[material],ValueChainRatingTable[재평가
점수])</f>
        <v/>
      </c>
      <c r="E17" s="144" t="n">
        <v>18</v>
      </c>
      <c r="F17" s="146">
        <f>_xlfn.XLOOKUP(표22[[#This Row],[material]],SupplyStructureTable[material],SupplyStructureTable[산업 수급
구조 점수])</f>
        <v/>
      </c>
      <c r="G17" s="147">
        <f>SUM(D17:F17)</f>
        <v/>
      </c>
      <c r="H17" s="148" t="inlineStr">
        <is>
          <t>AN/Styrene/BD 계열로 NCC 및 aromatics 연계 가능하나 성숙시장</t>
        </is>
      </c>
      <c r="I17" s="148" t="inlineStr">
        <is>
          <t>중국 adipic acid 공급과잉·증설, 국내 대규모 생산기반 제한</t>
        </is>
      </c>
    </row>
    <row r="18" ht="33" customHeight="1" s="179">
      <c r="A18" s="143" t="n">
        <v>17</v>
      </c>
      <c r="B18" s="143" t="inlineStr">
        <is>
          <t>AN Chain</t>
        </is>
      </c>
      <c r="C18" s="144" t="inlineStr">
        <is>
          <t>SAN</t>
        </is>
      </c>
      <c r="D18" s="146">
        <f>_xlfn.XLOOKUP(C18,ValueChainRatingTable[material],ValueChainRatingTable[재평가
점수])</f>
        <v/>
      </c>
      <c r="E18" s="144" t="n">
        <v>18</v>
      </c>
      <c r="F18" s="146">
        <f>_xlfn.XLOOKUP(표22[[#This Row],[material]],SupplyStructureTable[material],SupplyStructureTable[산업 수급
구조 점수])</f>
        <v/>
      </c>
      <c r="G18" s="147">
        <f>SUM(D18:F18)</f>
        <v/>
      </c>
      <c r="H18" s="148" t="inlineStr">
        <is>
          <t>AN/Styrene downstream으로 연계 가능하나 범용 수지 성격</t>
        </is>
      </c>
      <c r="I18" s="148" t="inlineStr">
        <is>
          <t>성숙·분산 시장으로 대형 신규 프로젝트는 제한적이나 중국 저가 경쟁 및 국내 생산</t>
        </is>
      </c>
    </row>
    <row r="19" ht="33" customHeight="1" s="179">
      <c r="A19" s="143" t="n">
        <v>18</v>
      </c>
      <c r="B19" s="143" t="inlineStr">
        <is>
          <t>AN Chain</t>
        </is>
      </c>
      <c r="C19" s="144" t="inlineStr">
        <is>
          <t>NBR</t>
        </is>
      </c>
      <c r="D19" s="146">
        <f>_xlfn.XLOOKUP(C19,ValueChainRatingTable[material],ValueChainRatingTable[재평가
점수])</f>
        <v/>
      </c>
      <c r="E19" s="144" t="n">
        <v>18</v>
      </c>
      <c r="F19" s="146">
        <f>_xlfn.XLOOKUP(표22[[#This Row],[material]],SupplyStructureTable[material],SupplyStructureTable[산업 수급
구조 점수])</f>
        <v/>
      </c>
      <c r="G19" s="147">
        <f>SUM(D19:F19)</f>
        <v/>
      </c>
      <c r="H19" s="148" t="inlineStr">
        <is>
          <t>AN/BD downstream으로 NCC C3/C4 연계 가능하나 성숙시장</t>
        </is>
      </c>
      <c r="I19" s="148" t="inlineStr">
        <is>
          <t>성숙·분산 시장으로 대형 신규 프로젝트는 제한적이나 중국 저가 경쟁 및 국내 생산</t>
        </is>
      </c>
    </row>
    <row r="20" ht="33" customHeight="1" s="179">
      <c r="A20" s="143" t="n">
        <v>19</v>
      </c>
      <c r="B20" s="143" t="inlineStr">
        <is>
          <t>PP Chain</t>
        </is>
      </c>
      <c r="C20" s="144" t="inlineStr">
        <is>
          <t>PP</t>
        </is>
      </c>
      <c r="D20" s="145">
        <f>_xlfn.XLOOKUP(C20,ValueChainRatingTable[material],ValueChainRatingTable[재평가
점수])</f>
        <v/>
      </c>
      <c r="E20" s="144" t="n">
        <v>18</v>
      </c>
      <c r="F20" s="146">
        <f>_xlfn.XLOOKUP(표22[[#This Row],[material]],SupplyStructureTable[material],SupplyStructureTable[산업 수급
구조 점수])</f>
        <v/>
      </c>
      <c r="G20" s="147">
        <f>SUM(D20:F20)</f>
        <v/>
      </c>
      <c r="H20" s="148" t="inlineStr">
        <is>
          <t>현재 PP 사업 직접 연계, 범용 PP는 성숙시장</t>
        </is>
      </c>
      <c r="I20" s="148" t="inlineStr">
        <is>
          <t>중국·중동 신규 PP 증설과 아시아 공급과잉, 국내 생산</t>
        </is>
      </c>
    </row>
    <row r="21" ht="33" customHeight="1" s="179">
      <c r="A21" s="143" t="n">
        <v>20</v>
      </c>
      <c r="B21" s="143" t="inlineStr">
        <is>
          <t>PO/PG Chain</t>
        </is>
      </c>
      <c r="C21" s="144" t="inlineStr">
        <is>
          <t>PO</t>
        </is>
      </c>
      <c r="D21" s="145">
        <f>_xlfn.XLOOKUP(C21,ValueChainRatingTable[material],ValueChainRatingTable[재평가
점수])</f>
        <v/>
      </c>
      <c r="E21" s="144" t="n">
        <v>18</v>
      </c>
      <c r="F21" s="146">
        <f>_xlfn.XLOOKUP(표22[[#This Row],[material]],SupplyStructureTable[material],SupplyStructureTable[산업 수급
구조 점수])</f>
        <v/>
      </c>
      <c r="G21" s="147">
        <f>SUM(D21:F21)</f>
        <v/>
      </c>
      <c r="H21" s="148" t="inlineStr">
        <is>
          <t>현재 PO 사업 직접 연계, 시장은 성숙 단계</t>
        </is>
      </c>
      <c r="I21" s="148" t="inlineStr">
        <is>
          <t>PO 연계 범용 제품으로 중국 공급 증가, 국내 생산·조달 가능</t>
        </is>
      </c>
    </row>
    <row r="22" ht="33" customHeight="1" s="179">
      <c r="A22" s="143" t="n">
        <v>21</v>
      </c>
      <c r="B22" s="144" t="inlineStr">
        <is>
          <t>UPR Platform</t>
        </is>
      </c>
      <c r="C22" s="144" t="inlineStr">
        <is>
          <t>PG</t>
        </is>
      </c>
      <c r="D22" s="145">
        <f>_xlfn.XLOOKUP(C22,ValueChainRatingTable[material],ValueChainRatingTable[재평가
점수])</f>
        <v/>
      </c>
      <c r="E22" s="144" t="n">
        <v>18</v>
      </c>
      <c r="F22" s="146">
        <f>_xlfn.XLOOKUP(표22[[#This Row],[material]],SupplyStructureTable[material],SupplyStructureTable[산업 수급
구조 점수])</f>
        <v/>
      </c>
      <c r="G22" s="147">
        <f>SUM(D22:F22)</f>
        <v/>
      </c>
      <c r="H22" s="148" t="inlineStr">
        <is>
          <t>PO direct downstream 원료로 직접 연계되며 UPR 원료이나 시장은 성숙 단계</t>
        </is>
      </c>
      <c r="I22" s="148" t="inlineStr">
        <is>
          <t>소수 글로벌 생산자 중심의 specialty aromatic acid, 신규 증설 제한·품질 장벽, 국내 Lotte 생산</t>
        </is>
      </c>
    </row>
    <row r="23" ht="33" customHeight="1" s="179">
      <c r="A23" s="143" t="n">
        <v>21</v>
      </c>
      <c r="B23" s="143" t="inlineStr">
        <is>
          <t>PO/PG Chain</t>
        </is>
      </c>
      <c r="C23" s="144" t="inlineStr">
        <is>
          <t>PG</t>
        </is>
      </c>
      <c r="D23" s="145">
        <f>_xlfn.XLOOKUP(C23,ValueChainRatingTable[material],ValueChainRatingTable[재평가
점수])</f>
        <v/>
      </c>
      <c r="E23" s="144" t="n">
        <v>18</v>
      </c>
      <c r="F23" s="146">
        <f>_xlfn.XLOOKUP(표22[[#This Row],[material]],SupplyStructureTable[material],SupplyStructureTable[산업 수급
구조 점수])</f>
        <v/>
      </c>
      <c r="G23" s="147">
        <f>SUM(D23:F23)</f>
        <v/>
      </c>
      <c r="H23" s="148" t="inlineStr">
        <is>
          <t>PO downstream으로 당사 PO 사업과 직접 연결되나 PG 시장은 성숙 단계</t>
        </is>
      </c>
      <c r="I23" s="148" t="inlineStr">
        <is>
          <t>PO 연계 범용 제품으로 중국 공급 증가, 국내 생산·조달 가능</t>
        </is>
      </c>
    </row>
    <row r="24" ht="33" customHeight="1" s="179">
      <c r="A24" s="143" t="n">
        <v>23</v>
      </c>
      <c r="B24" s="143" t="inlineStr">
        <is>
          <t>PO/PG Chain</t>
        </is>
      </c>
      <c r="C24" s="144" t="inlineStr">
        <is>
          <t>PPG</t>
        </is>
      </c>
      <c r="D24" s="145">
        <f>_xlfn.XLOOKUP(C24,ValueChainRatingTable[material],ValueChainRatingTable[재평가
점수])</f>
        <v/>
      </c>
      <c r="E24" s="145" t="n">
        <v>25</v>
      </c>
      <c r="F24" s="146">
        <f>_xlfn.XLOOKUP(표22[[#This Row],[material]],SupplyStructureTable[material],SupplyStructureTable[산업 수급
구조 점수])</f>
        <v/>
      </c>
      <c r="G24" s="147">
        <f>SUM(D24:F24)</f>
        <v/>
      </c>
      <c r="H24" s="148" t="inlineStr">
        <is>
          <t>PO direct downstream polyol 계열로 PU 등 성장 application과 연결</t>
        </is>
      </c>
      <c r="I24" s="148" t="inlineStr">
        <is>
          <t>중국 HPPO/PO-SM 계열 증설로 아시아 공급 증가, 국내 생산</t>
        </is>
      </c>
    </row>
    <row r="25" ht="33" customHeight="1" s="179">
      <c r="A25" s="143" t="n">
        <v>24</v>
      </c>
      <c r="B25" s="143" t="inlineStr">
        <is>
          <t>PU Chain</t>
        </is>
      </c>
      <c r="C25" s="144" t="inlineStr">
        <is>
          <t>Polyols</t>
        </is>
      </c>
      <c r="D25" s="145">
        <f>_xlfn.XLOOKUP(C25,ValueChainRatingTable[material],ValueChainRatingTable[재평가
점수])</f>
        <v/>
      </c>
      <c r="E25" s="145" t="n">
        <v>25</v>
      </c>
      <c r="F25" s="146">
        <f>_xlfn.XLOOKUP(표22[[#This Row],[material]],SupplyStructureTable[material],SupplyStructureTable[산업 수급
구조 점수])</f>
        <v/>
      </c>
      <c r="G25" s="147">
        <f>SUM(D25:F25)</f>
        <v/>
      </c>
      <c r="H25" s="148" t="inlineStr">
        <is>
          <t>PO direct downstream으로 당사 PO와 직접 연결되고 PU 수요 성장성 존재</t>
        </is>
      </c>
      <c r="I25" s="148" t="inlineStr">
        <is>
          <t>소수 업체 중심의 기술·품질 시장이며 대형 신규 증설은 제한적, 국내 DL Chemical 생산</t>
        </is>
      </c>
    </row>
    <row r="26" ht="33" customHeight="1" s="179">
      <c r="A26" s="143" t="n">
        <v>25</v>
      </c>
      <c r="B26" s="143" t="inlineStr">
        <is>
          <t>PU Chain</t>
        </is>
      </c>
      <c r="C26" s="144" t="inlineStr">
        <is>
          <t>PU</t>
        </is>
      </c>
      <c r="D26" s="145">
        <f>_xlfn.XLOOKUP(C26,ValueChainRatingTable[material],ValueChainRatingTable[재평가
점수])</f>
        <v/>
      </c>
      <c r="E26" s="145" t="n">
        <v>25</v>
      </c>
      <c r="F26" s="146">
        <f>_xlfn.XLOOKUP(표22[[#This Row],[material]],SupplyStructureTable[material],SupplyStructureTable[산업 수급
구조 점수])</f>
        <v/>
      </c>
      <c r="G26" s="147">
        <f>SUM(D26:F26)</f>
        <v/>
      </c>
      <c r="H26" s="148" t="inlineStr">
        <is>
          <t>PO/Polyol downstream으로 insulation·automotive 등 성장 application 존재</t>
        </is>
      </c>
      <c r="I26" s="148" t="inlineStr">
        <is>
          <t>기본 Grade 증설은 있으나 halobutyl·고사양은 기술 장벽, 국내 생산기반 제한</t>
        </is>
      </c>
    </row>
    <row r="27" ht="33" customHeight="1" s="179">
      <c r="A27" s="143" t="n">
        <v>26</v>
      </c>
      <c r="B27" s="143" t="inlineStr">
        <is>
          <t>Acrylic Ester Chain</t>
        </is>
      </c>
      <c r="C27" s="144" t="inlineStr">
        <is>
          <t>Acrylic acid</t>
        </is>
      </c>
      <c r="D27" s="146">
        <f>_xlfn.XLOOKUP(C27,ValueChainRatingTable[material],ValueChainRatingTable[재평가
점수])</f>
        <v/>
      </c>
      <c r="E27" s="145" t="n">
        <v>25</v>
      </c>
      <c r="F27" s="146">
        <f>_xlfn.XLOOKUP(표22[[#This Row],[material]],SupplyStructureTable[material],SupplyStructureTable[산업 수급
구조 점수])</f>
        <v/>
      </c>
      <c r="G27" s="147">
        <f>SUM(D27:F27)</f>
        <v/>
      </c>
      <c r="H27" s="148" t="inlineStr">
        <is>
          <t>Propylene downstream 핵심 중간체로 acrylic ester 등 확장성 존재</t>
        </is>
      </c>
      <c r="I27" s="148" t="inlineStr">
        <is>
          <t>중국 중심 범용 용제 공급 및 증설, 국내 생산·조달 가능</t>
        </is>
      </c>
    </row>
    <row r="28" ht="33" customHeight="1" s="179">
      <c r="A28" s="143" t="n">
        <v>26</v>
      </c>
      <c r="B28" s="143" t="inlineStr">
        <is>
          <t>AA-SAP Chain</t>
        </is>
      </c>
      <c r="C28" s="144" t="inlineStr">
        <is>
          <t>Acrylic acid</t>
        </is>
      </c>
      <c r="D28" s="146">
        <f>_xlfn.XLOOKUP(C28,ValueChainRatingTable[material],ValueChainRatingTable[재평가
점수])</f>
        <v/>
      </c>
      <c r="E28" s="145" t="n">
        <v>25</v>
      </c>
      <c r="F28" s="146">
        <f>_xlfn.XLOOKUP(표22[[#This Row],[material]],SupplyStructureTable[material],SupplyStructureTable[산업 수급
구조 점수])</f>
        <v/>
      </c>
      <c r="G28" s="147">
        <f>SUM(D28:F28)</f>
        <v/>
      </c>
      <c r="H28" s="148" t="inlineStr">
        <is>
          <t>Propylene downstream으로 C3 연계성이 높고 SAP/coating 등 성장 application 존재</t>
        </is>
      </c>
      <c r="I28" s="148" t="inlineStr">
        <is>
          <t>중국 bottle/textile PET 과잉과 지속 증설, 국내 생산</t>
        </is>
      </c>
    </row>
    <row r="29" ht="33" customHeight="1" s="179">
      <c r="A29" s="143" t="n">
        <v>28</v>
      </c>
      <c r="B29" s="143" t="inlineStr">
        <is>
          <t>Acrylic Ester Chain</t>
        </is>
      </c>
      <c r="C29" s="144" t="inlineStr">
        <is>
          <t>Acrylate Ester</t>
        </is>
      </c>
      <c r="D29" s="146">
        <f>_xlfn.XLOOKUP(C29,ValueChainRatingTable[material],ValueChainRatingTable[재평가
점수])</f>
        <v/>
      </c>
      <c r="E29" s="145" t="n">
        <v>25</v>
      </c>
      <c r="F29" s="146">
        <f>_xlfn.XLOOKUP(표22[[#This Row],[material]],SupplyStructureTable[material],SupplyStructureTable[산업 수급
구조 점수])</f>
        <v/>
      </c>
      <c r="G29" s="147">
        <f>SUM(D29:F29)</f>
        <v/>
      </c>
      <c r="H29" s="148" t="inlineStr">
        <is>
          <t>Acrylic acid downstream으로 coating·adhesive 등 성장 application 연계</t>
        </is>
      </c>
      <c r="I29" s="148" t="inlineStr">
        <is>
          <t>중국 자급화·증설 및 범용 Grade 가격경쟁, 국내 생산</t>
        </is>
      </c>
    </row>
    <row r="30" ht="33" customHeight="1" s="179">
      <c r="A30" s="143" t="n">
        <v>29</v>
      </c>
      <c r="B30" s="143" t="inlineStr">
        <is>
          <t>AA-SAP Chain</t>
        </is>
      </c>
      <c r="C30" s="144" t="inlineStr">
        <is>
          <t>SAP</t>
        </is>
      </c>
      <c r="D30" s="146">
        <f>_xlfn.XLOOKUP(C30,ValueChainRatingTable[material],ValueChainRatingTable[재평가
점수])</f>
        <v/>
      </c>
      <c r="E30" s="145" t="n">
        <v>25</v>
      </c>
      <c r="F30" s="146">
        <f>_xlfn.XLOOKUP(표22[[#This Row],[material]],SupplyStructureTable[material],SupplyStructureTable[산업 수급
구조 점수])</f>
        <v/>
      </c>
      <c r="G30" s="147">
        <f>SUM(D30:F30)</f>
        <v/>
      </c>
      <c r="H30" s="148" t="inlineStr">
        <is>
          <t>Acrylic acid downstream이나 위생재 중심의 안정적 성숙시장</t>
        </is>
      </c>
      <c r="I30" s="148" t="inlineStr">
        <is>
          <t>중국 bottle/textile PET 과잉과 지속 증설, 국내 생산</t>
        </is>
      </c>
    </row>
    <row r="31" ht="33" customHeight="1" s="179">
      <c r="A31" s="143" t="n">
        <v>30</v>
      </c>
      <c r="B31" s="143" t="inlineStr">
        <is>
          <t>Oxo Alcohol Chain</t>
        </is>
      </c>
      <c r="C31" s="144" t="inlineStr">
        <is>
          <t>n-Butyraldehyde</t>
        </is>
      </c>
      <c r="D31" s="146">
        <f>_xlfn.XLOOKUP(C31,ValueChainRatingTable[material],ValueChainRatingTable[재평가
점수])</f>
        <v/>
      </c>
      <c r="E31" s="144" t="n">
        <v>18</v>
      </c>
      <c r="F31" s="146">
        <f>_xlfn.XLOOKUP(표22[[#This Row],[material]],SupplyStructureTable[material],SupplyStructureTable[산업 수급
구조 점수])</f>
        <v/>
      </c>
      <c r="G31" s="147">
        <f>SUM(D31:F31)</f>
        <v/>
      </c>
      <c r="H31" s="148" t="inlineStr">
        <is>
          <t>Propylene oxo chain 중간체로 C3 연계 가능하나 성숙시장</t>
        </is>
      </c>
      <c r="I31" s="148" t="inlineStr">
        <is>
          <t>세제용 성숙시장으로 대형 신규 프로젝트는 제한적이나 중동·중국 경쟁, 국내 생산</t>
        </is>
      </c>
    </row>
    <row r="32" ht="33" customHeight="1" s="179">
      <c r="A32" s="143" t="n">
        <v>31</v>
      </c>
      <c r="B32" s="143" t="inlineStr">
        <is>
          <t>Oxo Alcohol Chain</t>
        </is>
      </c>
      <c r="C32" s="144" t="inlineStr">
        <is>
          <t>2-ethylhexanol</t>
        </is>
      </c>
      <c r="D32" s="146">
        <f>_xlfn.XLOOKUP(C32,ValueChainRatingTable[material],ValueChainRatingTable[재평가
점수])</f>
        <v/>
      </c>
      <c r="E32" s="144" t="n">
        <v>18</v>
      </c>
      <c r="F32" s="146">
        <f>_xlfn.XLOOKUP(표22[[#This Row],[material]],SupplyStructureTable[material],SupplyStructureTable[산업 수급
구조 점수])</f>
        <v/>
      </c>
      <c r="G32" s="147">
        <f>SUM(D32:F32)</f>
        <v/>
      </c>
      <c r="H32" s="148" t="inlineStr">
        <is>
          <t>Propylene oxo chain 제품으로 plasticizer 원료이나 성숙시장</t>
        </is>
      </c>
      <c r="I32" s="148" t="inlineStr">
        <is>
          <t>중국 maleic anhydride 대규모 공급과 신규 n-butane route 증설, 국내 수입 비중 높음</t>
        </is>
      </c>
    </row>
    <row r="33" ht="33" customHeight="1" s="179">
      <c r="A33" s="143" t="n">
        <v>32</v>
      </c>
      <c r="B33" s="143" t="inlineStr">
        <is>
          <t>Oxo Alcohol Chain</t>
        </is>
      </c>
      <c r="C33" s="144" t="inlineStr">
        <is>
          <t>n-butanol</t>
        </is>
      </c>
      <c r="D33" s="146">
        <f>_xlfn.XLOOKUP(C33,ValueChainRatingTable[material],ValueChainRatingTable[재평가
점수])</f>
        <v/>
      </c>
      <c r="E33" s="144" t="n">
        <v>18</v>
      </c>
      <c r="F33" s="146">
        <f>_xlfn.XLOOKUP(표22[[#This Row],[material]],SupplyStructureTable[material],SupplyStructureTable[산업 수급
구조 점수])</f>
        <v/>
      </c>
      <c r="G33" s="147">
        <f>SUM(D33:F33)</f>
        <v/>
      </c>
      <c r="H33" s="148" t="inlineStr">
        <is>
          <t>Propylene oxo alcohol chain으로 연계 가능하나 범용 성숙시장</t>
        </is>
      </c>
      <c r="I33" s="148" t="inlineStr">
        <is>
          <t>중국 MDI 일관계열의 aniline 증설과 가격경쟁, 국내 수요 대비 merchant 생산 제한</t>
        </is>
      </c>
    </row>
    <row r="34" ht="33" customHeight="1" s="179">
      <c r="A34" s="143" t="n">
        <v>33</v>
      </c>
      <c r="B34" s="143" t="inlineStr">
        <is>
          <t>Oxo Alcohol Chain</t>
        </is>
      </c>
      <c r="C34" s="144" t="inlineStr">
        <is>
          <t>n-butyl acetate</t>
        </is>
      </c>
      <c r="D34" s="146">
        <f>_xlfn.XLOOKUP(C34,ValueChainRatingTable[material],ValueChainRatingTable[재평가
점수])</f>
        <v/>
      </c>
      <c r="E34" s="144" t="n">
        <v>18</v>
      </c>
      <c r="F34" s="146">
        <f>_xlfn.XLOOKUP(표22[[#This Row],[material]],SupplyStructureTable[material],SupplyStructureTable[산업 수급
구조 점수])</f>
        <v/>
      </c>
      <c r="G34" s="147">
        <f>SUM(D34:F34)</f>
        <v/>
      </c>
      <c r="H34" s="148" t="inlineStr">
        <is>
          <t>n-Butanol downstream solvent로 연계 가능하나 성숙시장</t>
        </is>
      </c>
      <c r="I34" s="148" t="inlineStr">
        <is>
          <t>PA 수요 성숙으로 대형 전용 증설은 제한적이나 중국 aromatics 공급 경쟁, 국내 생산</t>
        </is>
      </c>
    </row>
    <row r="35" ht="33" customHeight="1" s="179">
      <c r="A35" s="143" t="n">
        <v>34</v>
      </c>
      <c r="B35" s="143" t="inlineStr">
        <is>
          <t>Oxo Alcohol Chain</t>
        </is>
      </c>
      <c r="C35" s="144" t="inlineStr">
        <is>
          <t>isobutanol</t>
        </is>
      </c>
      <c r="D35" s="146">
        <f>_xlfn.XLOOKUP(C35,ValueChainRatingTable[material],ValueChainRatingTable[재평가
점수])</f>
        <v/>
      </c>
      <c r="E35" s="144" t="n">
        <v>18</v>
      </c>
      <c r="F35" s="146">
        <f>_xlfn.XLOOKUP(표22[[#This Row],[material]],SupplyStructureTable[material],SupplyStructureTable[산업 수급
구조 점수])</f>
        <v/>
      </c>
      <c r="G35" s="147">
        <f>SUM(D35:F35)</f>
        <v/>
      </c>
      <c r="H35" s="148" t="inlineStr">
        <is>
          <t>Propylene oxo chain 제품으로 연계 가능하나 범용 alcohol 성격</t>
        </is>
      </c>
      <c r="I35" s="148" t="inlineStr">
        <is>
          <t>글로벌 소수 생산자 중심의 niche polymer, 신규 증설 제한 및 품질 장벽, 국내 YLEM 생산</t>
        </is>
      </c>
    </row>
    <row r="36" ht="33" customHeight="1" s="179">
      <c r="A36" s="143" t="n">
        <v>35</v>
      </c>
      <c r="B36" s="143" t="inlineStr">
        <is>
          <t>Oxo Alcohol Chain</t>
        </is>
      </c>
      <c r="C36" s="144" t="inlineStr">
        <is>
          <t>isobutyl acetate</t>
        </is>
      </c>
      <c r="D36" s="146">
        <f>_xlfn.XLOOKUP(C36,ValueChainRatingTable[material],ValueChainRatingTable[재평가
점수])</f>
        <v/>
      </c>
      <c r="E36" s="144" t="n">
        <v>18</v>
      </c>
      <c r="F36" s="146">
        <f>_xlfn.XLOOKUP(표22[[#This Row],[material]],SupplyStructureTable[material],SupplyStructureTable[산업 수급
구조 점수])</f>
        <v/>
      </c>
      <c r="G36" s="147">
        <f>SUM(D36:F36)</f>
        <v/>
      </c>
      <c r="H36" s="148" t="inlineStr">
        <is>
          <t>Isobutanol downstream solvent로 연계 가능하나 성숙시장</t>
        </is>
      </c>
      <c r="I36" s="148" t="inlineStr">
        <is>
          <t>cracker C5 부산물 기반으로 공급 탄력성이 낮고 고순도 분리 장벽, 국내 C5 분리 공급 가능</t>
        </is>
      </c>
    </row>
    <row r="37" ht="33" customHeight="1" s="179">
      <c r="A37" s="143" t="n">
        <v>36</v>
      </c>
      <c r="B37" s="143" t="inlineStr">
        <is>
          <t>IPA Chain</t>
        </is>
      </c>
      <c r="C37" s="144" t="inlineStr">
        <is>
          <t>IPA</t>
        </is>
      </c>
      <c r="D37" s="146">
        <f>_xlfn.XLOOKUP(C37,ValueChainRatingTable[material],ValueChainRatingTable[재평가
점수])</f>
        <v/>
      </c>
      <c r="E37" s="144" t="n">
        <v>18</v>
      </c>
      <c r="F37" s="146">
        <f>_xlfn.XLOOKUP(표22[[#This Row],[material]],SupplyStructureTable[material],SupplyStructureTable[산업 수급
구조 점수])</f>
        <v/>
      </c>
      <c r="G37" s="147">
        <f>SUM(D37:F37)</f>
        <v/>
      </c>
      <c r="H37" s="148" t="inlineStr">
        <is>
          <t>Propylene downstream solvent로 C3 연계 가능하나 범용 성숙시장</t>
        </is>
      </c>
      <c r="I37" s="148" t="inlineStr">
        <is>
          <t>범용 용제로 중국 공급 경쟁, 국내 조달 가능</t>
        </is>
      </c>
    </row>
    <row r="38" ht="33" customHeight="1" s="179">
      <c r="A38" s="143" t="n">
        <v>37</v>
      </c>
      <c r="B38" s="143" t="inlineStr">
        <is>
          <t>IPA Chain</t>
        </is>
      </c>
      <c r="C38" s="144" t="inlineStr">
        <is>
          <t>Isopropyl acetate</t>
        </is>
      </c>
      <c r="D38" s="146">
        <f>_xlfn.XLOOKUP(C38,ValueChainRatingTable[material],ValueChainRatingTable[재평가
점수])</f>
        <v/>
      </c>
      <c r="E38" s="144" t="n">
        <v>18</v>
      </c>
      <c r="F38" s="146">
        <f>_xlfn.XLOOKUP(표22[[#This Row],[material]],SupplyStructureTable[material],SupplyStructureTable[산업 수급
구조 점수])</f>
        <v/>
      </c>
      <c r="G38" s="147">
        <f>SUM(D38:F38)</f>
        <v/>
      </c>
      <c r="H38" s="148" t="inlineStr">
        <is>
          <t>IPA downstream solvent로 C3 연계 가능하나 성숙시장</t>
        </is>
      </c>
      <c r="I38" s="148" t="inlineStr">
        <is>
          <t>oxo 병산품으로 공급 충분, 중국 경쟁 및 국내 생산 가능</t>
        </is>
      </c>
    </row>
    <row r="39" ht="33" customHeight="1" s="179">
      <c r="A39" s="143" t="n">
        <v>38</v>
      </c>
      <c r="B39" s="143" t="inlineStr">
        <is>
          <t>BD Rubber Chain</t>
        </is>
      </c>
      <c r="C39" s="144" t="inlineStr">
        <is>
          <t>Butadiene</t>
        </is>
      </c>
      <c r="D39" s="145">
        <f>_xlfn.XLOOKUP(C39,ValueChainRatingTable[material],ValueChainRatingTable[재평가
점수])</f>
        <v/>
      </c>
      <c r="E39" s="144" t="n">
        <v>18</v>
      </c>
      <c r="F39" s="146">
        <f>_xlfn.XLOOKUP(표22[[#This Row],[material]],SupplyStructureTable[material],SupplyStructureTable[산업 수급
구조 점수])</f>
        <v/>
      </c>
      <c r="G39" s="147">
        <f>SUM(D39:F39)</f>
        <v/>
      </c>
      <c r="H39" s="148" t="inlineStr">
        <is>
          <t>NCC C4 stream 연계 가능성이 있으나 rubber chain은 성숙시장</t>
        </is>
      </c>
      <c r="I39" s="148" t="inlineStr">
        <is>
          <t>중국 PMMA 증설과 범용 sheet/molding Grade 경쟁, 국내 생산</t>
        </is>
      </c>
    </row>
    <row r="40" ht="33" customHeight="1" s="179">
      <c r="A40" s="143" t="n">
        <v>39</v>
      </c>
      <c r="B40" s="143" t="inlineStr">
        <is>
          <t>BD Rubber Chain</t>
        </is>
      </c>
      <c r="C40" s="144" t="inlineStr">
        <is>
          <t>BR</t>
        </is>
      </c>
      <c r="D40" s="145">
        <f>_xlfn.XLOOKUP(C40,ValueChainRatingTable[material],ValueChainRatingTable[재평가
점수])</f>
        <v/>
      </c>
      <c r="E40" s="144" t="n">
        <v>18</v>
      </c>
      <c r="F40" s="146">
        <f>_xlfn.XLOOKUP(표22[[#This Row],[material]],SupplyStructureTable[material],SupplyStructureTable[산업 수급
구조 점수])</f>
        <v/>
      </c>
      <c r="G40" s="147">
        <f>SUM(D40:F40)</f>
        <v/>
      </c>
      <c r="H40" s="148" t="inlineStr">
        <is>
          <t>Butadiene downstream으로 C4 연계 가능하나 타이어 중심 성숙시장</t>
        </is>
      </c>
      <c r="I40" s="148" t="inlineStr">
        <is>
          <t>중국 TDI 공급과잉과 저가 경쟁, 국내 생산</t>
        </is>
      </c>
    </row>
    <row r="41" ht="33" customHeight="1" s="179">
      <c r="A41" s="143" t="n">
        <v>40</v>
      </c>
      <c r="B41" s="143" t="inlineStr">
        <is>
          <t>BD Rubber Chain</t>
        </is>
      </c>
      <c r="C41" s="144" t="inlineStr">
        <is>
          <t>SBR</t>
        </is>
      </c>
      <c r="D41" s="145">
        <f>_xlfn.XLOOKUP(C41,ValueChainRatingTable[material],ValueChainRatingTable[재평가
점수])</f>
        <v/>
      </c>
      <c r="E41" s="144" t="n">
        <v>18</v>
      </c>
      <c r="F41" s="146">
        <f>_xlfn.XLOOKUP(표22[[#This Row],[material]],SupplyStructureTable[material],SupplyStructureTable[산업 수급
구조 점수])</f>
        <v/>
      </c>
      <c r="G41" s="147">
        <f>SUM(D41:F41)</f>
        <v/>
      </c>
      <c r="H41" s="148" t="inlineStr">
        <is>
          <t>Butadiene/Styrene downstream으로 NCC·aromatics 연계 가능하나 성숙시장</t>
        </is>
      </c>
      <c r="I41" s="148" t="inlineStr">
        <is>
          <t>중국 PTA 대규모 과잉과 신규 일관계열 경쟁, 국내 생산</t>
        </is>
      </c>
    </row>
    <row r="42" ht="33" customHeight="1" s="179">
      <c r="A42" s="143" t="n">
        <v>41</v>
      </c>
      <c r="B42" s="144" t="inlineStr">
        <is>
          <t>Isobutylene</t>
        </is>
      </c>
      <c r="C42" s="144" t="inlineStr">
        <is>
          <t>Isobutylene</t>
        </is>
      </c>
      <c r="D42" s="145">
        <f>_xlfn.XLOOKUP(C42,ValueChainRatingTable[material],ValueChainRatingTable[재평가
점수])</f>
        <v/>
      </c>
      <c r="E42" s="144" t="n">
        <v>18</v>
      </c>
      <c r="F42" s="146">
        <f>_xlfn.XLOOKUP(표22[[#This Row],[material]],SupplyStructureTable[material],SupplyStructureTable[산업 수급
구조 점수])</f>
        <v/>
      </c>
      <c r="G42" s="147">
        <f>SUM(D42:F42)</f>
        <v/>
      </c>
      <c r="H42" s="148" t="inlineStr">
        <is>
          <t>C4 chain 연계 가능성이 있으나 시장은 성숙 단계</t>
        </is>
      </c>
      <c r="I42" s="148" t="inlineStr">
        <is>
          <t>중국 범용 용제 공급 및 가격경쟁, 국내 생산·수입 다변화</t>
        </is>
      </c>
    </row>
    <row r="43" ht="33" customHeight="1" s="179">
      <c r="A43" s="143" t="n">
        <v>41</v>
      </c>
      <c r="B43" s="144" t="inlineStr">
        <is>
          <t>Fuel Additive</t>
        </is>
      </c>
      <c r="C43" s="144" t="inlineStr">
        <is>
          <t>Isobutylene</t>
        </is>
      </c>
      <c r="D43" s="145">
        <f>_xlfn.XLOOKUP(C43,ValueChainRatingTable[material],ValueChainRatingTable[재평가
점수])</f>
        <v/>
      </c>
      <c r="E43" s="144" t="n">
        <v>18</v>
      </c>
      <c r="F43" s="146">
        <f>_xlfn.XLOOKUP(표22[[#This Row],[material]],SupplyStructureTable[material],SupplyStructureTable[산업 수급
구조 점수])</f>
        <v/>
      </c>
      <c r="G43" s="147">
        <f>SUM(D43:F43)</f>
        <v/>
      </c>
      <c r="H43" s="148" t="inlineStr">
        <is>
          <t>C4 유분 기반 fuel additive chain 연계 가능하나 성장성은 제한적</t>
        </is>
      </c>
      <c r="I43" s="148" t="inlineStr">
        <is>
          <t>아시아 신규 IPA 설비와 acetone 기반 공급, 중국 경쟁 및 국내 생산</t>
        </is>
      </c>
    </row>
    <row r="44" ht="33" customHeight="1" s="179">
      <c r="A44" s="143" t="n">
        <v>43</v>
      </c>
      <c r="B44" s="144" t="inlineStr">
        <is>
          <t>Isobutylene</t>
        </is>
      </c>
      <c r="C44" s="144" t="inlineStr">
        <is>
          <t>PIB</t>
        </is>
      </c>
      <c r="D44" s="145">
        <f>_xlfn.XLOOKUP(C44,ValueChainRatingTable[material],ValueChainRatingTable[재평가
점수])</f>
        <v/>
      </c>
      <c r="E44" s="144" t="n">
        <v>18</v>
      </c>
      <c r="F44" s="146">
        <f>_xlfn.XLOOKUP(표22[[#This Row],[material]],SupplyStructureTable[material],SupplyStructureTable[산업 수급
구조 점수])</f>
        <v/>
      </c>
      <c r="G44" s="147">
        <f>SUM(D44:F44)</f>
        <v/>
      </c>
      <c r="H44" s="148" t="inlineStr">
        <is>
          <t>Isobutylene downstream으로 C4 연계 가능하나 시장은 성숙 단계</t>
        </is>
      </c>
      <c r="I44" s="148" t="inlineStr">
        <is>
          <t>중국 oxo alcohol 증설과 가소제 수요 둔화, 국내 생산</t>
        </is>
      </c>
    </row>
    <row r="45" ht="33" customHeight="1" s="179">
      <c r="A45" s="143" t="n">
        <v>44</v>
      </c>
      <c r="B45" s="143" t="inlineStr">
        <is>
          <t>1-Butene Chain</t>
        </is>
      </c>
      <c r="C45" s="144" t="inlineStr">
        <is>
          <t>PB-1</t>
        </is>
      </c>
      <c r="D45" s="146">
        <f>_xlfn.XLOOKUP(C45,ValueChainRatingTable[material],ValueChainRatingTable[재평가
점수])</f>
        <v/>
      </c>
      <c r="E45" s="144" t="n">
        <v>18</v>
      </c>
      <c r="F45" s="145">
        <f>_xlfn.XLOOKUP(표22[[#This Row],[material]],SupplyStructureTable[material],SupplyStructureTable[산업 수급
구조 점수])</f>
        <v/>
      </c>
      <c r="G45" s="147">
        <f>SUM(D45:F45)</f>
        <v/>
      </c>
      <c r="H45" s="148" t="inlineStr">
        <is>
          <t>Niche polymer end-product 성격</t>
        </is>
      </c>
      <c r="I45" s="148" t="inlineStr">
        <is>
          <t>중국 glycerin/propylene route 증설과 저가 경쟁, 국내 Lotte Fine Chemical 생산</t>
        </is>
      </c>
    </row>
    <row r="46" ht="33" customHeight="1" s="179">
      <c r="A46" s="143" t="n">
        <v>45</v>
      </c>
      <c r="B46" s="144" t="inlineStr">
        <is>
          <t>Fuel Additive</t>
        </is>
      </c>
      <c r="C46" s="144" t="inlineStr">
        <is>
          <t>MTBE</t>
        </is>
      </c>
      <c r="D46" s="145">
        <f>_xlfn.XLOOKUP(C46,ValueChainRatingTable[material],ValueChainRatingTable[재평가
점수])</f>
        <v/>
      </c>
      <c r="E46" s="144" t="n">
        <v>18</v>
      </c>
      <c r="F46" s="146">
        <f>_xlfn.XLOOKUP(표22[[#This Row],[material]],SupplyStructureTable[material],SupplyStructureTable[산업 수급
구조 점수])</f>
        <v/>
      </c>
      <c r="G46" s="147">
        <f>SUM(D46:F46)</f>
        <v/>
      </c>
      <c r="H46" s="148" t="inlineStr">
        <is>
          <t>C4/refinery 연계 가능하나 연료첨가제 중심으로 성장성 제한</t>
        </is>
      </c>
      <c r="I46" s="148" t="inlineStr">
        <is>
          <t>시황 변동성은 크지만 중국 on-purpose/추출 증설과 국내 cracker 공급 존재</t>
        </is>
      </c>
    </row>
    <row r="47" ht="33" customHeight="1" s="179">
      <c r="A47" s="143" t="n">
        <v>46</v>
      </c>
      <c r="B47" s="143" t="inlineStr">
        <is>
          <t>C4 Elastomer Chain</t>
        </is>
      </c>
      <c r="C47" s="144" t="inlineStr">
        <is>
          <t>Butyl rubber</t>
        </is>
      </c>
      <c r="D47" s="146">
        <f>_xlfn.XLOOKUP(C47,ValueChainRatingTable[material],ValueChainRatingTable[재평가
점수])</f>
        <v/>
      </c>
      <c r="E47" s="144" t="n">
        <v>18</v>
      </c>
      <c r="F47" s="146">
        <f>_xlfn.XLOOKUP(표22[[#This Row],[material]],SupplyStructureTable[material],SupplyStructureTable[산업 수급
구조 점수])</f>
        <v/>
      </c>
      <c r="G47" s="147">
        <f>SUM(D47:F47)</f>
        <v/>
      </c>
      <c r="H47" s="148" t="inlineStr">
        <is>
          <t>Isobutylene downstream으로 C4 연계 가능하나 tire/industrial 중심 성숙시장</t>
        </is>
      </c>
      <c r="I47" s="148" t="inlineStr">
        <is>
          <t>중국 자급화·과잉과 PA6 일관계열 경쟁, 국내 유일 생산기반 존재</t>
        </is>
      </c>
    </row>
    <row r="48" ht="33" customHeight="1" s="179">
      <c r="A48" s="143" t="n">
        <v>47</v>
      </c>
      <c r="B48" s="143" t="inlineStr">
        <is>
          <t>1-Butene Chain</t>
        </is>
      </c>
      <c r="C48" s="144" t="inlineStr">
        <is>
          <t>1-Butene</t>
        </is>
      </c>
      <c r="D48" s="145">
        <f>_xlfn.XLOOKUP(C48,ValueChainRatingTable[material],ValueChainRatingTable[재평가
점수])</f>
        <v/>
      </c>
      <c r="E48" s="144" t="n">
        <v>18</v>
      </c>
      <c r="F48" s="146">
        <f>_xlfn.XLOOKUP(표22[[#This Row],[material]],SupplyStructureTable[material],SupplyStructureTable[산업 수급
구조 점수])</f>
        <v/>
      </c>
      <c r="G48" s="147">
        <f>SUM(D48:F48)</f>
        <v/>
      </c>
      <c r="H48" s="148" t="inlineStr">
        <is>
          <t>C4 stream 및 LLDPE comonomer 연계 가능하나 성숙시장</t>
        </is>
      </c>
      <c r="I48" s="148" t="inlineStr">
        <is>
          <t>중국 glycerin/propylene route 증설과 저가 경쟁, 국내 Lotte Fine Chemical 생산</t>
        </is>
      </c>
    </row>
    <row r="49" ht="33" customHeight="1" s="179">
      <c r="A49" s="143" t="n">
        <v>48</v>
      </c>
      <c r="B49" s="143" t="inlineStr">
        <is>
          <t>PS Chain</t>
        </is>
      </c>
      <c r="C49" s="144" t="inlineStr">
        <is>
          <t>Ethylbenzene</t>
        </is>
      </c>
      <c r="D49" s="146">
        <f>_xlfn.XLOOKUP(C49,ValueChainRatingTable[material],ValueChainRatingTable[재평가
점수])</f>
        <v/>
      </c>
      <c r="E49" s="144" t="n">
        <v>18</v>
      </c>
      <c r="F49" s="146">
        <f>_xlfn.XLOOKUP(표22[[#This Row],[material]],SupplyStructureTable[material],SupplyStructureTable[산업 수급
구조 점수])</f>
        <v/>
      </c>
      <c r="G49" s="147">
        <f>SUM(D49:F49)</f>
        <v/>
      </c>
      <c r="H49" s="148" t="inlineStr">
        <is>
          <t>Benzene+ethylene chain으로 NCC/aromatics 연계 가능하나 성숙시장</t>
        </is>
      </c>
      <c r="I49" s="148" t="inlineStr">
        <is>
          <t>중국·중동 중심 대규모 증설과 범용 Grade 가격경쟁, 국내 생산</t>
        </is>
      </c>
    </row>
    <row r="50" ht="33" customHeight="1" s="179">
      <c r="A50" s="143" t="n">
        <v>49</v>
      </c>
      <c r="B50" s="143" t="inlineStr">
        <is>
          <t>PS Chain</t>
        </is>
      </c>
      <c r="C50" s="144" t="inlineStr">
        <is>
          <t>Styrene</t>
        </is>
      </c>
      <c r="D50" s="146">
        <f>_xlfn.XLOOKUP(C50,ValueChainRatingTable[material],ValueChainRatingTable[재평가
점수])</f>
        <v/>
      </c>
      <c r="E50" s="144" t="n">
        <v>18</v>
      </c>
      <c r="F50" s="146">
        <f>_xlfn.XLOOKUP(표22[[#This Row],[material]],SupplyStructureTable[material],SupplyStructureTable[산업 수급
구조 점수])</f>
        <v/>
      </c>
      <c r="G50" s="147">
        <f>SUM(D50:F50)</f>
        <v/>
      </c>
      <c r="H50" s="148" t="inlineStr">
        <is>
          <t>Ethylbenzene downstream으로 PS/ABS 연계 가능하나 styrenics는 성숙시장</t>
        </is>
      </c>
      <c r="I50" s="148" t="inlineStr">
        <is>
          <t>대부분 captive 소비이며 중국 EO/EG 계열 증설 지속, 국내 생산</t>
        </is>
      </c>
    </row>
    <row r="51" ht="33" customHeight="1" s="179">
      <c r="A51" s="143" t="n">
        <v>50</v>
      </c>
      <c r="B51" s="143" t="inlineStr">
        <is>
          <t>PS Chain</t>
        </is>
      </c>
      <c r="C51" s="144" t="inlineStr">
        <is>
          <t>PS</t>
        </is>
      </c>
      <c r="D51" s="146">
        <f>_xlfn.XLOOKUP(C51,ValueChainRatingTable[material],ValueChainRatingTable[재평가
점수])</f>
        <v/>
      </c>
      <c r="E51" s="144" t="n">
        <v>18</v>
      </c>
      <c r="F51" s="146">
        <f>_xlfn.XLOOKUP(표22[[#This Row],[material]],SupplyStructureTable[material],SupplyStructureTable[산업 수급
구조 점수])</f>
        <v/>
      </c>
      <c r="G51" s="147">
        <f>SUM(D51:F51)</f>
        <v/>
      </c>
      <c r="H51" s="148" t="inlineStr">
        <is>
          <t>Styrene downstream으로 aromatics/C2 연계 가능하나 범용 성숙시장</t>
        </is>
      </c>
      <c r="I51" s="148" t="inlineStr">
        <is>
          <t>중국 석탄·에틸렌계 MEG 증설로 구조적 공급과잉, 국내 생산</t>
        </is>
      </c>
    </row>
    <row r="52" ht="33" customHeight="1" s="179">
      <c r="A52" s="143" t="n">
        <v>51</v>
      </c>
      <c r="B52" s="143" t="inlineStr">
        <is>
          <t>Phenol/Acetone Chain</t>
        </is>
      </c>
      <c r="C52" s="144" t="inlineStr">
        <is>
          <t>Cumene</t>
        </is>
      </c>
      <c r="D52" s="146">
        <f>_xlfn.XLOOKUP(C52,ValueChainRatingTable[material],ValueChainRatingTable[재평가
점수])</f>
        <v/>
      </c>
      <c r="E52" s="144" t="n">
        <v>18</v>
      </c>
      <c r="F52" s="146">
        <f>_xlfn.XLOOKUP(표22[[#This Row],[material]],SupplyStructureTable[material],SupplyStructureTable[산업 수급
구조 점수])</f>
        <v/>
      </c>
      <c r="G52" s="147">
        <f>SUM(D52:F52)</f>
        <v/>
      </c>
      <c r="H52" s="148" t="inlineStr">
        <is>
          <t>Benzene+propylene chain으로 연계 가능하나 phenol chain은 성숙시장</t>
        </is>
      </c>
      <c r="I52" s="148" t="inlineStr">
        <is>
          <t>중국 대규모 PX 증설과 자급화, 국내 대형 생산기반</t>
        </is>
      </c>
    </row>
    <row r="53" ht="49.5" customHeight="1" s="179">
      <c r="A53" s="143" t="n">
        <v>52</v>
      </c>
      <c r="B53" s="143" t="inlineStr">
        <is>
          <t>Phenol/Acetone Chain</t>
        </is>
      </c>
      <c r="C53" s="144" t="inlineStr">
        <is>
          <t>Phenol</t>
        </is>
      </c>
      <c r="D53" s="146">
        <f>_xlfn.XLOOKUP(C53,ValueChainRatingTable[material],ValueChainRatingTable[재평가
점수])</f>
        <v/>
      </c>
      <c r="E53" s="144" t="n">
        <v>18</v>
      </c>
      <c r="F53" s="146">
        <f>_xlfn.XLOOKUP(표22[[#This Row],[material]],SupplyStructureTable[material],SupplyStructureTable[산업 수급
구조 점수])</f>
        <v/>
      </c>
      <c r="G53" s="147">
        <f>SUM(D53:F53)</f>
        <v/>
      </c>
      <c r="H53" s="148" t="inlineStr">
        <is>
          <t>Cumene downstream으로 aromatics/C3 연계 가능하나 성숙시장</t>
        </is>
      </c>
      <c r="I53" s="148" t="inlineStr">
        <is>
          <t>미국·브라질 중심 공급이 충분하고 증설도 존재하나 중국 저가품보다는 원료·정책 경쟁, 국내 대규모 석유화학급 생산 제한</t>
        </is>
      </c>
    </row>
    <row r="54" ht="33" customHeight="1" s="179">
      <c r="A54" s="143" t="n">
        <v>53</v>
      </c>
      <c r="B54" s="143" t="inlineStr">
        <is>
          <t>Phenol/Acetone Chain</t>
        </is>
      </c>
      <c r="C54" s="144" t="inlineStr">
        <is>
          <t>Acetone</t>
        </is>
      </c>
      <c r="D54" s="146">
        <f>_xlfn.XLOOKUP(C54,ValueChainRatingTable[material],ValueChainRatingTable[재평가
점수])</f>
        <v/>
      </c>
      <c r="E54" s="144" t="n">
        <v>18</v>
      </c>
      <c r="F54" s="146">
        <f>_xlfn.XLOOKUP(표22[[#This Row],[material]],SupplyStructureTable[material],SupplyStructureTable[산업 수급
구조 점수])</f>
        <v/>
      </c>
      <c r="G54" s="147">
        <f>SUM(D54:F54)</f>
        <v/>
      </c>
      <c r="H54" s="148" t="inlineStr">
        <is>
          <t>Cumene-phenol chain 부산물로 연계 가능하나 성숙시장</t>
        </is>
      </c>
      <c r="I54" s="148" t="inlineStr">
        <is>
          <t>EO계열 범용 제품으로 아시아 공급 충분, 중국 경쟁 및 국내 생산 가능</t>
        </is>
      </c>
    </row>
    <row r="55" ht="33" customHeight="1" s="179">
      <c r="A55" s="143" t="n">
        <v>54</v>
      </c>
      <c r="B55" s="143" t="inlineStr">
        <is>
          <t>PC Chain</t>
        </is>
      </c>
      <c r="C55" s="144" t="inlineStr">
        <is>
          <t>BPA</t>
        </is>
      </c>
      <c r="D55" s="146">
        <f>_xlfn.XLOOKUP(C55,ValueChainRatingTable[material],ValueChainRatingTable[재평가
점수])</f>
        <v/>
      </c>
      <c r="E55" s="144" t="n">
        <v>18</v>
      </c>
      <c r="F55" s="146">
        <f>_xlfn.XLOOKUP(표22[[#This Row],[material]],SupplyStructureTable[material],SupplyStructureTable[산업 수급
구조 점수])</f>
        <v/>
      </c>
      <c r="G55" s="147">
        <f>SUM(D55:F55)</f>
        <v/>
      </c>
      <c r="H55" s="148" t="inlineStr">
        <is>
          <t>Phenol/acetone downstream으로 PC 원료이나 시장은 성숙 단계</t>
        </is>
      </c>
      <c r="I55" s="148" t="inlineStr">
        <is>
          <t>고순도 제품은 지역적으로 타이트할 수 있으나 중국 C4 고도화·증설 및 국내 공급 가능</t>
        </is>
      </c>
    </row>
    <row r="56" ht="33" customHeight="1" s="179">
      <c r="A56" s="143" t="n">
        <v>54</v>
      </c>
      <c r="B56" s="143" t="inlineStr">
        <is>
          <t>Epoxy Chain</t>
        </is>
      </c>
      <c r="C56" s="144" t="inlineStr">
        <is>
          <t>BPA</t>
        </is>
      </c>
      <c r="D56" s="146">
        <f>_xlfn.XLOOKUP(C56,ValueChainRatingTable[material],ValueChainRatingTable[재평가
점수])</f>
        <v/>
      </c>
      <c r="E56" s="144" t="n">
        <v>18</v>
      </c>
      <c r="F56" s="146">
        <f>_xlfn.XLOOKUP(표22[[#This Row],[material]],SupplyStructureTable[material],SupplyStructureTable[산업 수급
구조 점수])</f>
        <v/>
      </c>
      <c r="G56" s="147">
        <f>SUM(D56:F56)</f>
        <v/>
      </c>
      <c r="H56" s="148" t="inlineStr">
        <is>
          <t>Phenol/acetone downstream으로 epoxy 연계 가능하나 시장은 성숙 단계</t>
        </is>
      </c>
      <c r="I56" s="148" t="inlineStr">
        <is>
          <t>성숙시장·중국 저가 경쟁 및 국내 생산</t>
        </is>
      </c>
    </row>
    <row r="57" ht="33" customHeight="1" s="179">
      <c r="A57" s="143" t="n">
        <v>56</v>
      </c>
      <c r="B57" s="143" t="inlineStr">
        <is>
          <t>PC Chain</t>
        </is>
      </c>
      <c r="C57" s="144" t="inlineStr">
        <is>
          <t>PC</t>
        </is>
      </c>
      <c r="D57" s="146">
        <f>_xlfn.XLOOKUP(C57,ValueChainRatingTable[material],ValueChainRatingTable[재평가
점수])</f>
        <v/>
      </c>
      <c r="E57" s="144" t="n">
        <v>18</v>
      </c>
      <c r="F57" s="146">
        <f>_xlfn.XLOOKUP(표22[[#This Row],[material]],SupplyStructureTable[material],SupplyStructureTable[산업 수급
구조 점수])</f>
        <v/>
      </c>
      <c r="G57" s="147">
        <f>SUM(D57:F57)</f>
        <v/>
      </c>
      <c r="H57" s="148" t="inlineStr">
        <is>
          <t>BPA downstream으로 engineering plastic end-product 성격, 전체 시장은 성숙 단계</t>
        </is>
      </c>
      <c r="I57" s="148" t="inlineStr">
        <is>
          <t>고순도 제품은 지역적으로 타이트할 수 있으나 중국 C4 고도화·증설 및 국내 공급 가능</t>
        </is>
      </c>
    </row>
    <row r="58" ht="33" customHeight="1" s="179">
      <c r="A58" s="143" t="n">
        <v>57</v>
      </c>
      <c r="B58" s="143" t="inlineStr">
        <is>
          <t>Epoxy Chain</t>
        </is>
      </c>
      <c r="C58" s="144" t="inlineStr">
        <is>
          <t>Epoxy resin</t>
        </is>
      </c>
      <c r="D58" s="146">
        <f>_xlfn.XLOOKUP(C58,ValueChainRatingTable[material],ValueChainRatingTable[재평가
점수])</f>
        <v/>
      </c>
      <c r="E58" s="144" t="n">
        <v>18</v>
      </c>
      <c r="F58" s="146">
        <f>_xlfn.XLOOKUP(표22[[#This Row],[material]],SupplyStructureTable[material],SupplyStructureTable[산업 수급
구조 점수])</f>
        <v/>
      </c>
      <c r="G58" s="147">
        <f>SUM(D58:F58)</f>
        <v/>
      </c>
      <c r="H58" s="148" t="inlineStr">
        <is>
          <t>BPA downstream으로 전기전자 수요는 있으나 전체적으로 성숙시장</t>
        </is>
      </c>
      <c r="I58" s="148" t="inlineStr">
        <is>
          <t>phenol/acetone captive 원료이며 중국 일관계열 증설, 국내 생산</t>
        </is>
      </c>
    </row>
    <row r="59" ht="33" customHeight="1" s="179">
      <c r="A59" s="143" t="n">
        <v>58</v>
      </c>
      <c r="B59" s="143" t="inlineStr">
        <is>
          <t>Nylon/PA Chain</t>
        </is>
      </c>
      <c r="C59" s="144" t="inlineStr">
        <is>
          <t>Cyclohexane</t>
        </is>
      </c>
      <c r="D59" s="146">
        <f>_xlfn.XLOOKUP(C59,ValueChainRatingTable[material],ValueChainRatingTable[재평가
점수])</f>
        <v/>
      </c>
      <c r="E59" s="144" t="n">
        <v>18</v>
      </c>
      <c r="F59" s="146">
        <f>_xlfn.XLOOKUP(표22[[#This Row],[material]],SupplyStructureTable[material],SupplyStructureTable[산업 수급
구조 점수])</f>
        <v/>
      </c>
      <c r="G59" s="147">
        <f>SUM(D59:F59)</f>
        <v/>
      </c>
      <c r="H59" s="148" t="inlineStr">
        <is>
          <t>Benzene downstream으로 aromatics 연계 가능하나 성숙시장</t>
        </is>
      </c>
      <c r="I59" s="148" t="inlineStr">
        <is>
          <t>접착제용 niche SBC로 생산자 집중·Grade 인증 장벽, 국내 수입 의존</t>
        </is>
      </c>
    </row>
    <row r="60" ht="33" customHeight="1" s="179">
      <c r="A60" s="143" t="n">
        <v>59</v>
      </c>
      <c r="B60" s="143" t="inlineStr">
        <is>
          <t>Aniline-MDI Chain</t>
        </is>
      </c>
      <c r="C60" s="144" t="inlineStr">
        <is>
          <t>Aniline</t>
        </is>
      </c>
      <c r="D60" s="146">
        <f>_xlfn.XLOOKUP(C60,ValueChainRatingTable[material],ValueChainRatingTable[재평가
점수])</f>
        <v/>
      </c>
      <c r="E60" s="144" t="n">
        <v>18</v>
      </c>
      <c r="F60" s="146">
        <f>_xlfn.XLOOKUP(표22[[#This Row],[material]],SupplyStructureTable[material],SupplyStructureTable[산업 수급
구조 점수])</f>
        <v/>
      </c>
      <c r="G60" s="147">
        <f>SUM(D60:F60)</f>
        <v/>
      </c>
      <c r="H60" s="148" t="inlineStr">
        <is>
          <t>Benzene downstream으로 MDI chain 연계 가능하나 성숙시장</t>
        </is>
      </c>
      <c r="I60" s="148" t="inlineStr">
        <is>
          <t>중국·중동 합성고무 증설과 국내 Kumho Polychem 생산</t>
        </is>
      </c>
    </row>
    <row r="61" ht="33" customHeight="1" s="179">
      <c r="A61" s="143" t="n">
        <v>60</v>
      </c>
      <c r="B61" s="143" t="inlineStr">
        <is>
          <t>LAB Chain</t>
        </is>
      </c>
      <c r="C61" s="144" t="inlineStr">
        <is>
          <t>LAB</t>
        </is>
      </c>
      <c r="D61" s="146">
        <f>_xlfn.XLOOKUP(C61,ValueChainRatingTable[material],ValueChainRatingTable[재평가
점수])</f>
        <v/>
      </c>
      <c r="E61" s="144" t="n">
        <v>18</v>
      </c>
      <c r="F61" s="146">
        <f>_xlfn.XLOOKUP(표22[[#This Row],[material]],SupplyStructureTable[material],SupplyStructureTable[산업 수급
구조 점수])</f>
        <v/>
      </c>
      <c r="G61" s="147">
        <f>SUM(D61:F61)</f>
        <v/>
      </c>
      <c r="H61" s="148" t="inlineStr">
        <is>
          <t>Aromatics/paraffin chain으로 정유·aromatics 연계 가능하나 detergent 중심 성숙시장</t>
        </is>
      </c>
      <c r="I61" s="148" t="inlineStr">
        <is>
          <t>중국 ABS 대규모 증설과 저가 경쟁, 국내 대형 생산기반</t>
        </is>
      </c>
    </row>
    <row r="62" ht="33" customHeight="1" s="179">
      <c r="A62" s="143" t="n">
        <v>61</v>
      </c>
      <c r="B62" s="143" t="inlineStr">
        <is>
          <t>Nylon/PA Chain</t>
        </is>
      </c>
      <c r="C62" s="144" t="inlineStr">
        <is>
          <t>Cyclohexanone</t>
        </is>
      </c>
      <c r="D62" s="146">
        <f>_xlfn.XLOOKUP(C62,ValueChainRatingTable[material],ValueChainRatingTable[재평가
점수])</f>
        <v/>
      </c>
      <c r="E62" s="144" t="n">
        <v>18</v>
      </c>
      <c r="F62" s="146">
        <f>_xlfn.XLOOKUP(표22[[#This Row],[material]],SupplyStructureTable[material],SupplyStructureTable[산업 수급
구조 점수])</f>
        <v/>
      </c>
      <c r="G62" s="147">
        <f>SUM(D62:F62)</f>
        <v/>
      </c>
      <c r="H62" s="148" t="inlineStr">
        <is>
          <t>Cyclohexane downstream으로 nylon chain 연계 가능하나 성숙시장</t>
        </is>
      </c>
      <c r="I62" s="148" t="inlineStr">
        <is>
          <t>중국 Wanhua 및 국내 KMCI 증설 진행, 국내 대형 생산기반</t>
        </is>
      </c>
    </row>
    <row r="63" ht="33" customHeight="1" s="179">
      <c r="A63" s="143" t="n">
        <v>62</v>
      </c>
      <c r="B63" s="144" t="inlineStr">
        <is>
          <t>UPR Platform</t>
        </is>
      </c>
      <c r="C63" s="144" t="inlineStr">
        <is>
          <t>MA</t>
        </is>
      </c>
      <c r="D63" s="146">
        <f>_xlfn.XLOOKUP(C63,ValueChainRatingTable[material],ValueChainRatingTable[재평가
점수])</f>
        <v/>
      </c>
      <c r="E63" s="144" t="n">
        <v>18</v>
      </c>
      <c r="F63" s="146">
        <f>_xlfn.XLOOKUP(표22[[#This Row],[material]],SupplyStructureTable[material],SupplyStructureTable[산업 수급
구조 점수])</f>
        <v/>
      </c>
      <c r="G63" s="147">
        <f>SUM(D63:F63)</f>
        <v/>
      </c>
      <c r="H63" s="148" t="inlineStr">
        <is>
          <t>Butane/benzene 계열 및 UPR 원료로 연계 가능하나 성숙시장</t>
        </is>
      </c>
      <c r="I63" s="148" t="inlineStr">
        <is>
          <t>PTA 대체로 생산자가 감소한 niche feedstock, 신규 증설 제한 및 국내 공급기반 제한</t>
        </is>
      </c>
    </row>
    <row r="64" ht="33" customHeight="1" s="179">
      <c r="A64" s="143" t="n">
        <v>63</v>
      </c>
      <c r="B64" s="144" t="inlineStr">
        <is>
          <t>UPR Platform</t>
        </is>
      </c>
      <c r="C64" s="144" t="inlineStr">
        <is>
          <t>PA</t>
        </is>
      </c>
      <c r="D64" s="146">
        <f>_xlfn.XLOOKUP(C64,ValueChainRatingTable[material],ValueChainRatingTable[재평가
점수])</f>
        <v/>
      </c>
      <c r="E64" s="144" t="n">
        <v>18</v>
      </c>
      <c r="F64" s="146">
        <f>_xlfn.XLOOKUP(표22[[#This Row],[material]],SupplyStructureTable[material],SupplyStructureTable[산업 수급
구조 점수])</f>
        <v/>
      </c>
      <c r="G64" s="147">
        <f>SUM(D64:F64)</f>
        <v/>
      </c>
      <c r="H64" s="148" t="inlineStr">
        <is>
          <t>o-Xylene downstream 및 UPR 원료로 연계 가능하나 성숙시장</t>
        </is>
      </c>
      <c r="I64" s="148" t="inlineStr">
        <is>
          <t>C5 부산물·고순도 정제 기반의 제한된 공급과 niche 수요, 국내 C5 계열 공급 가능</t>
        </is>
      </c>
    </row>
    <row r="65" ht="33" customHeight="1" s="179">
      <c r="A65" s="143" t="n">
        <v>63</v>
      </c>
      <c r="B65" s="143" t="inlineStr">
        <is>
          <t>OX-PA Chain</t>
        </is>
      </c>
      <c r="C65" s="144" t="inlineStr">
        <is>
          <t>PA</t>
        </is>
      </c>
      <c r="D65" s="146">
        <f>_xlfn.XLOOKUP(C65,ValueChainRatingTable[material],ValueChainRatingTable[재평가
점수])</f>
        <v/>
      </c>
      <c r="E65" s="144" t="n">
        <v>18</v>
      </c>
      <c r="F65" s="146">
        <f>_xlfn.XLOOKUP(표22[[#This Row],[material]],SupplyStructureTable[material],SupplyStructureTable[산업 수급
구조 점수])</f>
        <v/>
      </c>
      <c r="G65" s="147">
        <f>SUM(D65:F65)</f>
        <v/>
      </c>
      <c r="H65" s="148" t="inlineStr">
        <is>
          <t>o-Xylene downstream으로 aromatics 연계 가능하나 phthalic anhydride 시장은 성숙 단계</t>
        </is>
      </c>
      <c r="I65" s="148" t="inlineStr">
        <is>
          <t>nylon 체인 수요와 연동되며 중국 신규 nylon 일관계열 존재, 국내 merchant 공급은 제한적</t>
        </is>
      </c>
    </row>
    <row r="66" ht="33" customHeight="1" s="179">
      <c r="A66" s="143" t="n">
        <v>65</v>
      </c>
      <c r="B66" s="143" t="inlineStr">
        <is>
          <t>Nylon/PA Chain</t>
        </is>
      </c>
      <c r="C66" s="144" t="inlineStr">
        <is>
          <t>Caprolactam</t>
        </is>
      </c>
      <c r="D66" s="146">
        <f>_xlfn.XLOOKUP(C66,ValueChainRatingTable[material],ValueChainRatingTable[재평가
점수])</f>
        <v/>
      </c>
      <c r="E66" s="144" t="n">
        <v>18</v>
      </c>
      <c r="F66" s="146">
        <f>_xlfn.XLOOKUP(표22[[#This Row],[material]],SupplyStructureTable[material],SupplyStructureTable[산업 수급
구조 점수])</f>
        <v/>
      </c>
      <c r="G66" s="147">
        <f>SUM(D66:F66)</f>
        <v/>
      </c>
      <c r="H66" s="148" t="inlineStr">
        <is>
          <t>Benzene/cyclohexane chain으로 aromatics 연계 가능하나 nylon 6 시장은 성숙 단계</t>
        </is>
      </c>
      <c r="I66" s="148" t="inlineStr">
        <is>
          <t>중국 Wanhua 및 국내 KMCI 증설 진행, 국내 대형 생산기반</t>
        </is>
      </c>
    </row>
    <row r="67" ht="49.5" customHeight="1" s="179">
      <c r="A67" s="143" t="n">
        <v>66</v>
      </c>
      <c r="B67" s="143" t="inlineStr">
        <is>
          <t>LAO/PAO Chain</t>
        </is>
      </c>
      <c r="C67" s="144" t="inlineStr">
        <is>
          <t>LAO</t>
        </is>
      </c>
      <c r="D67" s="145">
        <f>_xlfn.XLOOKUP(C67,ValueChainRatingTable[material],ValueChainRatingTable[재평가
점수])</f>
        <v/>
      </c>
      <c r="E67" s="145" t="n">
        <v>25</v>
      </c>
      <c r="F67" s="145">
        <f>_xlfn.XLOOKUP(표22[[#This Row],[material]],SupplyStructureTable[material],SupplyStructureTable[산업 수급
구조 점수])</f>
        <v/>
      </c>
      <c r="G67" s="147">
        <f>SUM(D67:F67)</f>
        <v/>
      </c>
      <c r="H67" s="148" t="inlineStr">
        <is>
          <t>Ethylene oligomerization 기반으로 ethylene surplus와 직접 연계(Ethylene direct oligomerization)되고 comonomer/PAO 수요 성장성 존재</t>
        </is>
      </c>
      <c r="I67" s="148" t="inlineStr">
        <is>
          <t>중국 신규 VAM 및 다운스트림 일관화 확대, 국내 생산기반 존재</t>
        </is>
      </c>
    </row>
    <row r="68" ht="33" customHeight="1" s="179">
      <c r="A68" s="143" t="n">
        <v>67</v>
      </c>
      <c r="B68" s="143" t="inlineStr">
        <is>
          <t>LAO/PAO Chain</t>
        </is>
      </c>
      <c r="C68" s="144" t="inlineStr">
        <is>
          <t>PAO</t>
        </is>
      </c>
      <c r="D68" s="146">
        <f>_xlfn.XLOOKUP(C68,ValueChainRatingTable[material],ValueChainRatingTable[재평가
점수])</f>
        <v/>
      </c>
      <c r="E68" s="145" t="n">
        <v>25</v>
      </c>
      <c r="F68" s="145">
        <f>_xlfn.XLOOKUP(표22[[#This Row],[material]],SupplyStructureTable[material],SupplyStructureTable[산업 수급
구조 점수])</f>
        <v/>
      </c>
      <c r="G68" s="147">
        <f>SUM(D68:F68)</f>
        <v/>
      </c>
      <c r="H68" s="148" t="inlineStr">
        <is>
          <t>LAO downstream 고급 윤활기유로 성장성은 있으나 당사 직접 연계는 LAO 확보 여부에 좌우</t>
        </is>
      </c>
      <c r="I68" s="148" t="inlineStr">
        <is>
          <t>중국 자급화·증설과 ABS/섬유 수요 부진으로 공급 부담, 국내 생산</t>
        </is>
      </c>
    </row>
    <row r="69" ht="33" customHeight="1" s="179">
      <c r="A69" s="143" t="n">
        <v>68</v>
      </c>
      <c r="B69" s="143" t="inlineStr">
        <is>
          <t>MMA/PMMA Chain</t>
        </is>
      </c>
      <c r="C69" s="144" t="inlineStr">
        <is>
          <t>MMA</t>
        </is>
      </c>
      <c r="D69" s="145">
        <f>_xlfn.XLOOKUP(C69,ValueChainRatingTable[material],ValueChainRatingTable[재평가
점수])</f>
        <v/>
      </c>
      <c r="E69" s="144" t="n">
        <v>18</v>
      </c>
      <c r="F69" s="146">
        <f>_xlfn.XLOOKUP(표22[[#This Row],[material]],SupplyStructureTable[material],SupplyStructureTable[산업 수급
구조 점수])</f>
        <v/>
      </c>
      <c r="G69" s="147">
        <f>SUM(D69:F69)</f>
        <v/>
      </c>
      <c r="H69" s="148" t="inlineStr">
        <is>
          <t>C3/acetone route 가능성과 PMMA downstream 있으나 시장은 성숙 단계</t>
        </is>
      </c>
      <c r="I69" s="148" t="inlineStr">
        <is>
          <t>PVC 체인 공급과잉과 중국 증설, 국내 일관 생산기반 존재</t>
        </is>
      </c>
    </row>
    <row r="70" ht="33" customHeight="1" s="179">
      <c r="A70" s="143" t="n">
        <v>69</v>
      </c>
      <c r="B70" s="143" t="inlineStr">
        <is>
          <t>MMA/PMMA Chain</t>
        </is>
      </c>
      <c r="C70" s="144" t="inlineStr">
        <is>
          <t>PMMA</t>
        </is>
      </c>
      <c r="D70" s="146">
        <f>_xlfn.XLOOKUP(C70,ValueChainRatingTable[material],ValueChainRatingTable[재평가
점수])</f>
        <v/>
      </c>
      <c r="E70" s="144" t="n">
        <v>18</v>
      </c>
      <c r="F70" s="146">
        <f>_xlfn.XLOOKUP(표22[[#This Row],[material]],SupplyStructureTable[material],SupplyStructureTable[산업 수급
구조 점수])</f>
        <v/>
      </c>
      <c r="G70" s="147">
        <f>SUM(D70:F70)</f>
        <v/>
      </c>
      <c r="H70" s="148" t="inlineStr">
        <is>
          <t>MMA downstream으로 일부 고기능 용도 있으나 전체 시장은 성숙 단계</t>
        </is>
      </c>
      <c r="I70" s="148" t="inlineStr">
        <is>
          <t>중국의 대규모 생산능력 및 저가 수출 경쟁, 국내 생산기반 충분</t>
        </is>
      </c>
    </row>
    <row r="71" ht="33" customHeight="1" s="179">
      <c r="A71" s="143" t="n">
        <v>70</v>
      </c>
      <c r="B71" s="143" t="inlineStr">
        <is>
          <t>EC/DMC Chain</t>
        </is>
      </c>
      <c r="C71" s="144" t="inlineStr">
        <is>
          <t>EC</t>
        </is>
      </c>
      <c r="D71" s="146">
        <f>_xlfn.XLOOKUP(C71,ValueChainRatingTable[material],ValueChainRatingTable[재평가
점수])</f>
        <v/>
      </c>
      <c r="E71" s="145" t="n">
        <v>25</v>
      </c>
      <c r="F71" s="146">
        <f>_xlfn.XLOOKUP(표22[[#This Row],[material]],SupplyStructureTable[material],SupplyStructureTable[산업 수급
구조 점수])</f>
        <v/>
      </c>
      <c r="G71" s="147">
        <f>SUM(D71:F71)</f>
        <v/>
      </c>
      <c r="H71" s="148" t="inlineStr">
        <is>
          <t>Battery electrolyte solvent 성장성은 높으나 당사 직접 value chain 연계는 약함</t>
        </is>
      </c>
      <c r="I71" s="148" t="inlineStr">
        <is>
          <t>중국 액상·고상 epoxy 공급과 가격경쟁, 국내 생산기반 존재</t>
        </is>
      </c>
    </row>
    <row r="72" ht="33" customHeight="1" s="179">
      <c r="A72" s="143" t="n">
        <v>71</v>
      </c>
      <c r="B72" s="143" t="inlineStr">
        <is>
          <t>EC/DMC Chain</t>
        </is>
      </c>
      <c r="C72" s="144" t="inlineStr">
        <is>
          <t>DMC</t>
        </is>
      </c>
      <c r="D72" s="146">
        <f>_xlfn.XLOOKUP(C72,ValueChainRatingTable[material],ValueChainRatingTable[재평가
점수])</f>
        <v/>
      </c>
      <c r="E72" s="145" t="n">
        <v>25</v>
      </c>
      <c r="F72" s="146">
        <f>_xlfn.XLOOKUP(표22[[#This Row],[material]],SupplyStructureTable[material],SupplyStructureTable[산업 수급
구조 점수])</f>
        <v/>
      </c>
      <c r="G72" s="147">
        <f>SUM(D72:F72)</f>
        <v/>
      </c>
      <c r="H72" s="148" t="inlineStr">
        <is>
          <t>Battery electrolyte solvent 등 성장 application 있으나 당사 직접 원료 연계는 약함</t>
        </is>
      </c>
      <c r="I72" s="148" t="inlineStr">
        <is>
          <t>중국 caprolactam 일관계열 증설, 국내 Capro 계열 생산기반</t>
        </is>
      </c>
    </row>
    <row r="73" ht="33" customHeight="1" s="179">
      <c r="A73" s="143" t="n">
        <v>72</v>
      </c>
      <c r="B73" s="143" t="inlineStr">
        <is>
          <t>VAM Chain</t>
        </is>
      </c>
      <c r="C73" s="144" t="inlineStr">
        <is>
          <t>PVOH</t>
        </is>
      </c>
      <c r="D73" s="146">
        <f>_xlfn.XLOOKUP(C73,ValueChainRatingTable[material],ValueChainRatingTable[재평가
점수])</f>
        <v/>
      </c>
      <c r="E73" s="144" t="n">
        <v>18</v>
      </c>
      <c r="F73" s="146">
        <f>_xlfn.XLOOKUP(표22[[#This Row],[material]],SupplyStructureTable[material],SupplyStructureTable[산업 수급
구조 점수])</f>
        <v/>
      </c>
      <c r="G73" s="147">
        <f>SUM(D73:F73)</f>
        <v/>
      </c>
      <c r="H73" s="148" t="inlineStr">
        <is>
          <t>VAM downstream이나 당사 직접 value chain 연계성은 제한적</t>
        </is>
      </c>
      <c r="I73" s="148" t="inlineStr">
        <is>
          <t>분리·정제 가능한 공급자가 제한적인 niche isomer이며 신규 전용 증설 제한, 국내 수입 의존</t>
        </is>
      </c>
    </row>
    <row r="74" ht="49.5" customHeight="1" s="179">
      <c r="A74" s="143" t="n">
        <v>73</v>
      </c>
      <c r="B74" s="143" t="inlineStr">
        <is>
          <t>VAM Chain</t>
        </is>
      </c>
      <c r="C74" s="144" t="inlineStr">
        <is>
          <t>EVA</t>
        </is>
      </c>
      <c r="D74" s="145">
        <f>_xlfn.XLOOKUP(C74,ValueChainRatingTable[material],ValueChainRatingTable[재평가
점수])</f>
        <v/>
      </c>
      <c r="E74" s="145" t="n">
        <v>25</v>
      </c>
      <c r="F74" s="146">
        <f>_xlfn.XLOOKUP(표22[[#This Row],[material]],SupplyStructureTable[material],SupplyStructureTable[산업 수급
구조 점수])</f>
        <v/>
      </c>
      <c r="G74" s="147">
        <f>SUM(D74:F74)</f>
        <v/>
      </c>
      <c r="H74" s="148" t="inlineStr">
        <is>
          <t>Ethylene/VAM copolymer로 C2 연계 가능하고 solar encapsulant 등 성장성 존재, Ethylene direct downstream copolymer</t>
        </is>
      </c>
      <c r="I74" s="148" t="inlineStr">
        <is>
          <t>C6-C10 고급 comonomer는 소수 기술사 중심이나 미국·중동·중국 증설 존재, 국내 수입 의존</t>
        </is>
      </c>
    </row>
    <row r="75" ht="33" customHeight="1" s="179">
      <c r="A75" s="143" t="n">
        <v>74</v>
      </c>
      <c r="B75" s="143" t="inlineStr">
        <is>
          <t>PU Chain</t>
        </is>
      </c>
      <c r="C75" s="144" t="inlineStr">
        <is>
          <t>MDI</t>
        </is>
      </c>
      <c r="D75" s="146">
        <f>_xlfn.XLOOKUP(C75,ValueChainRatingTable[material],ValueChainRatingTable[재평가
점수])</f>
        <v/>
      </c>
      <c r="E75" s="145" t="n">
        <v>25</v>
      </c>
      <c r="F75" s="146">
        <f>_xlfn.XLOOKUP(표22[[#This Row],[material]],SupplyStructureTable[material],SupplyStructureTable[산업 수급
구조 점수])</f>
        <v/>
      </c>
      <c r="G75" s="147">
        <f>SUM(D75:F75)</f>
        <v/>
      </c>
      <c r="H75" s="148" t="inlineStr">
        <is>
          <t>PU 원료로 insulation·automotive 수요 성장성 존재</t>
        </is>
      </c>
      <c r="I75" s="148" t="inlineStr">
        <is>
          <t>글로벌·아시아 PE 공급과잉 및 중국 증설 지속, 국내 생산기반 충분</t>
        </is>
      </c>
    </row>
    <row r="76" ht="33" customHeight="1" s="179">
      <c r="A76" s="143" t="n">
        <v>74</v>
      </c>
      <c r="B76" s="143" t="inlineStr">
        <is>
          <t>Aniline-MDI Chain</t>
        </is>
      </c>
      <c r="C76" s="144" t="inlineStr">
        <is>
          <t>MDI</t>
        </is>
      </c>
      <c r="D76" s="146">
        <f>_xlfn.XLOOKUP(C76,ValueChainRatingTable[material],ValueChainRatingTable[재평가
점수])</f>
        <v/>
      </c>
      <c r="E76" s="145" t="n">
        <v>25</v>
      </c>
      <c r="F76" s="146">
        <f>_xlfn.XLOOKUP(표22[[#This Row],[material]],SupplyStructureTable[material],SupplyStructureTable[산업 수급
구조 점수])</f>
        <v/>
      </c>
      <c r="G76" s="147">
        <f>SUM(D76:F76)</f>
        <v/>
      </c>
      <c r="H76" s="148" t="inlineStr">
        <is>
          <t>Aniline downstream 및 PU chain 핵심 원료로 성장 application 존재</t>
        </is>
      </c>
      <c r="I76" s="148" t="inlineStr">
        <is>
          <t>oxo alcohol captive 중간체이며 중국 oxo 증설, 국내 일관 생산 가능</t>
        </is>
      </c>
    </row>
    <row r="77" ht="33" customHeight="1" s="179">
      <c r="A77" s="143" t="n">
        <v>76</v>
      </c>
      <c r="B77" s="143" t="inlineStr">
        <is>
          <t>PU Chain</t>
        </is>
      </c>
      <c r="C77" s="144" t="inlineStr">
        <is>
          <t>TDI</t>
        </is>
      </c>
      <c r="D77" s="146">
        <f>_xlfn.XLOOKUP(C77,ValueChainRatingTable[material],ValueChainRatingTable[재평가
점수])</f>
        <v/>
      </c>
      <c r="E77" s="144" t="n">
        <v>18</v>
      </c>
      <c r="F77" s="146">
        <f>_xlfn.XLOOKUP(표22[[#This Row],[material]],SupplyStructureTable[material],SupplyStructureTable[산업 수급
구조 점수])</f>
        <v/>
      </c>
      <c r="G77" s="147">
        <f>SUM(D77:F77)</f>
        <v/>
      </c>
      <c r="H77" s="148" t="inlineStr">
        <is>
          <t>Toluene downstream 및 PU 원료이나 시장은 성숙 단계</t>
        </is>
      </c>
      <c r="I77" s="148" t="inlineStr">
        <is>
          <t>고압설비 진입장벽은 있으나 중국 포함 증설과 PE 계열 공급과잉 지속, 국내 생산</t>
        </is>
      </c>
    </row>
    <row r="78" ht="33" customHeight="1" s="179">
      <c r="A78" s="143" t="n">
        <v>77</v>
      </c>
      <c r="B78" s="143" t="inlineStr">
        <is>
          <t>OX-PA Chain</t>
        </is>
      </c>
      <c r="C78" s="144" t="inlineStr">
        <is>
          <t>o-Xylene</t>
        </is>
      </c>
      <c r="D78" s="146">
        <f>_xlfn.XLOOKUP(C78,ValueChainRatingTable[material],ValueChainRatingTable[재평가
점수])</f>
        <v/>
      </c>
      <c r="E78" s="144" t="n">
        <v>18</v>
      </c>
      <c r="F78" s="146">
        <f>_xlfn.XLOOKUP(표22[[#This Row],[material]],SupplyStructureTable[material],SupplyStructureTable[산업 수급
구조 점수])</f>
        <v/>
      </c>
      <c r="G78" s="147">
        <f>SUM(D78:F78)</f>
        <v/>
      </c>
      <c r="H78" s="148" t="inlineStr">
        <is>
          <t>Aromatics chain 및 PA 원료로 연계 가능하나 성숙시장</t>
        </is>
      </c>
      <c r="I78" s="148" t="inlineStr">
        <is>
          <t>PE comonomer 수요 증가 시 지역적 타이트 가능하나 중국·중동 증설과 국내 공급 존재</t>
        </is>
      </c>
    </row>
    <row r="79" ht="33" customHeight="1" s="179">
      <c r="A79" s="143" t="n">
        <v>78</v>
      </c>
      <c r="B79" s="143" t="inlineStr">
        <is>
          <t>MX-PIA Chain</t>
        </is>
      </c>
      <c r="C79" s="144" t="inlineStr">
        <is>
          <t>m-Xylene</t>
        </is>
      </c>
      <c r="D79" s="146">
        <f>_xlfn.XLOOKUP(C79,ValueChainRatingTable[material],ValueChainRatingTable[재평가
점수])</f>
        <v/>
      </c>
      <c r="E79" s="144" t="n">
        <v>18</v>
      </c>
      <c r="F79" s="145">
        <f>_xlfn.XLOOKUP(표22[[#This Row],[material]],SupplyStructureTable[material],SupplyStructureTable[산업 수급
구조 점수])</f>
        <v/>
      </c>
      <c r="G79" s="147">
        <f>SUM(D79:F79)</f>
        <v/>
      </c>
      <c r="H79" s="148" t="inlineStr">
        <is>
          <t>Aromatics chain 및 PIA 원료로 연계 가능하나 성숙시장</t>
        </is>
      </c>
      <c r="I79" s="148" t="inlineStr">
        <is>
          <t>중국 coal/PO route DMC 대규모 증설과 저가 경쟁, 국내 고순도 일부 수입 의존</t>
        </is>
      </c>
    </row>
    <row r="80" ht="33" customHeight="1" s="179">
      <c r="A80" s="143" t="n">
        <v>79</v>
      </c>
      <c r="B80" s="143" t="inlineStr">
        <is>
          <t>PX-PET Chain</t>
        </is>
      </c>
      <c r="C80" s="144" t="inlineStr">
        <is>
          <t>p-Xylene</t>
        </is>
      </c>
      <c r="D80" s="145">
        <f>_xlfn.XLOOKUP(C80,ValueChainRatingTable[material],ValueChainRatingTable[재평가
점수])</f>
        <v/>
      </c>
      <c r="E80" s="144" t="n">
        <v>18</v>
      </c>
      <c r="F80" s="146">
        <f>_xlfn.XLOOKUP(표22[[#This Row],[material]],SupplyStructureTable[material],SupplyStructureTable[산업 수급
구조 점수])</f>
        <v/>
      </c>
      <c r="G80" s="147">
        <f>SUM(D80:F80)</f>
        <v/>
      </c>
      <c r="H80" s="148" t="inlineStr">
        <is>
          <t>Aromatics chain 핵심 제품이나 PTA/PET 중심 성숙시장</t>
        </is>
      </c>
      <c r="I80" s="148" t="inlineStr">
        <is>
          <t>범용 PU는 중국 저가 경쟁 및 다수 지역 생산자로 공급 충분, 국내 생산</t>
        </is>
      </c>
    </row>
    <row r="81" ht="33" customHeight="1" s="179">
      <c r="A81" s="143" t="n">
        <v>80</v>
      </c>
      <c r="B81" s="143" t="inlineStr">
        <is>
          <t>MX-PIA Chain</t>
        </is>
      </c>
      <c r="C81" s="144" t="inlineStr">
        <is>
          <t>PIA</t>
        </is>
      </c>
      <c r="D81" s="146">
        <f>_xlfn.XLOOKUP(C81,ValueChainRatingTable[material],ValueChainRatingTable[재평가
점수])</f>
        <v/>
      </c>
      <c r="E81" s="144" t="n">
        <v>18</v>
      </c>
      <c r="F81" s="145">
        <f>_xlfn.XLOOKUP(표22[[#This Row],[material]],SupplyStructureTable[material],SupplyStructureTable[산업 수급
구조 점수])</f>
        <v/>
      </c>
      <c r="G81" s="147">
        <f>SUM(D81:F81)</f>
        <v/>
      </c>
      <c r="H81" s="148" t="inlineStr">
        <is>
          <t>m-Xylene downstream으로 PET modifier 용도이나 성숙시장</t>
        </is>
      </c>
      <c r="I81" s="148" t="inlineStr">
        <is>
          <t>PVC 일관계열의 공급과잉 영향, 중국·아시아 신규 chlor-alkali/VCM 프로젝트, 국내 생산</t>
        </is>
      </c>
    </row>
    <row r="82" ht="33" customHeight="1" s="179">
      <c r="A82" s="143" t="n">
        <v>81</v>
      </c>
      <c r="B82" s="143" t="inlineStr">
        <is>
          <t>PX-PET Chain</t>
        </is>
      </c>
      <c r="C82" s="144" t="inlineStr">
        <is>
          <t>TPA</t>
        </is>
      </c>
      <c r="D82" s="145">
        <f>_xlfn.XLOOKUP(C82,ValueChainRatingTable[material],ValueChainRatingTable[재평가
점수])</f>
        <v/>
      </c>
      <c r="E82" s="144" t="n">
        <v>18</v>
      </c>
      <c r="F82" s="146">
        <f>_xlfn.XLOOKUP(표22[[#This Row],[material]],SupplyStructureTable[material],SupplyStructureTable[산업 수급
구조 점수])</f>
        <v/>
      </c>
      <c r="G82" s="147">
        <f>SUM(D82:F82)</f>
        <v/>
      </c>
      <c r="H82" s="148" t="inlineStr">
        <is>
          <t>p-Xylene downstream으로 polyester chain 연계 가능하나 성숙시장</t>
        </is>
      </c>
      <c r="I82" s="148" t="inlineStr">
        <is>
          <t>중국 acrylic acid/SAP 일관계열 증설과 공급과잉, 국내 생산</t>
        </is>
      </c>
    </row>
    <row r="83" ht="33" customHeight="1" s="179">
      <c r="A83" s="143" t="n">
        <v>82</v>
      </c>
      <c r="B83" s="143" t="inlineStr">
        <is>
          <t>PX-PET Chain</t>
        </is>
      </c>
      <c r="C83" s="144" t="inlineStr">
        <is>
          <t>DMT</t>
        </is>
      </c>
      <c r="D83" s="146">
        <f>_xlfn.XLOOKUP(C83,ValueChainRatingTable[material],ValueChainRatingTable[재평가
점수])</f>
        <v/>
      </c>
      <c r="E83" s="144" t="n">
        <v>18</v>
      </c>
      <c r="F83" s="145">
        <f>_xlfn.XLOOKUP(표22[[#This Row],[material]],SupplyStructureTable[material],SupplyStructureTable[산업 수급
구조 점수])</f>
        <v/>
      </c>
      <c r="G83" s="147">
        <f>SUM(D83:F83)</f>
        <v/>
      </c>
      <c r="H83" s="148" t="inlineStr">
        <is>
          <t>p-Xylene downstream polyester 원료이나 TPA 대비 성장성 제한적</t>
        </is>
      </c>
      <c r="I83" s="148" t="inlineStr">
        <is>
          <t>중국 범용 polyol 공급 확대, 국내 다수 생산자 및 배합업체</t>
        </is>
      </c>
    </row>
    <row r="84" ht="33" customHeight="1" s="179">
      <c r="A84" s="143" t="n">
        <v>83</v>
      </c>
      <c r="B84" s="143" t="inlineStr">
        <is>
          <t>PX-PET Chain</t>
        </is>
      </c>
      <c r="C84" s="144" t="inlineStr">
        <is>
          <t>PET</t>
        </is>
      </c>
      <c r="D84" s="146">
        <f>_xlfn.XLOOKUP(C84,ValueChainRatingTable[material],ValueChainRatingTable[재평가
점수])</f>
        <v/>
      </c>
      <c r="E84" s="144" t="n">
        <v>18</v>
      </c>
      <c r="F84" s="146">
        <f>_xlfn.XLOOKUP(표22[[#This Row],[material]],SupplyStructureTable[material],SupplyStructureTable[산업 수급
구조 점수])</f>
        <v/>
      </c>
      <c r="G84" s="147">
        <f>SUM(D84:F84)</f>
        <v/>
      </c>
      <c r="H84" s="148" t="inlineStr">
        <is>
          <t>TPA/MEG downstream으로 aromatics/EO chain 연계 가능하나 성숙시장, Polyester end-product 영역</t>
        </is>
      </c>
      <c r="I84" s="148" t="inlineStr">
        <is>
          <t>중국 acrylic acid/SAP 일관계열 증설과 공급과잉, 국내 생산</t>
        </is>
      </c>
    </row>
    <row r="85" ht="33" customHeight="1" s="179">
      <c r="A85" s="143" t="n">
        <v>83</v>
      </c>
      <c r="B85" s="143" t="inlineStr">
        <is>
          <t>EO-PET Chain</t>
        </is>
      </c>
      <c r="C85" s="144" t="inlineStr">
        <is>
          <t>PET</t>
        </is>
      </c>
      <c r="D85" s="146">
        <f>_xlfn.XLOOKUP(C85,ValueChainRatingTable[material],ValueChainRatingTable[재평가
점수])</f>
        <v/>
      </c>
      <c r="E85" s="144" t="n">
        <v>18</v>
      </c>
      <c r="F85" s="146">
        <f>_xlfn.XLOOKUP(표22[[#This Row],[material]],SupplyStructureTable[material],SupplyStructureTable[산업 수급
구조 점수])</f>
        <v/>
      </c>
      <c r="G85" s="147">
        <f>SUM(D85:F85)</f>
        <v/>
      </c>
      <c r="H85" s="148" t="inlineStr">
        <is>
          <t>MEG downstream으로 EO chain과 연계되나 PET 시장은 성숙 단계, Polyester end-product 영역</t>
        </is>
      </c>
      <c r="I85" s="148" t="inlineStr">
        <is>
          <t>중국 BPA 대규모 증설과 PC/epoxy 수요 둔화, 국내 생산</t>
        </is>
      </c>
    </row>
    <row r="86" ht="33" customHeight="1" s="179">
      <c r="A86" s="143" t="n">
        <v>85</v>
      </c>
      <c r="B86" s="143" t="inlineStr">
        <is>
          <t>C4 Elastomer Chain</t>
        </is>
      </c>
      <c r="C86" s="144" t="inlineStr">
        <is>
          <t>EPDM</t>
        </is>
      </c>
      <c r="D86" s="145">
        <f>_xlfn.XLOOKUP(C86,ValueChainRatingTable[material],ValueChainRatingTable[재평가
점수])</f>
        <v/>
      </c>
      <c r="E86" s="144" t="n">
        <v>18</v>
      </c>
      <c r="F86" s="146">
        <f>_xlfn.XLOOKUP(표22[[#This Row],[material]],SupplyStructureTable[material],SupplyStructureTable[산업 수급
구조 점수])</f>
        <v/>
      </c>
      <c r="G86" s="147">
        <f>SUM(D86:F86)</f>
        <v/>
      </c>
      <c r="H86" s="148" t="inlineStr">
        <is>
          <t>Ethylene/propylene/diene 기반으로 olefin 연계 가능하나 자동차·산업재 중심 성숙시장</t>
        </is>
      </c>
      <c r="I86" s="148" t="inlineStr">
        <is>
          <t>중국 신규 MMA 및 C2 route 확대로 공급 부담, 국내 생산</t>
        </is>
      </c>
    </row>
    <row r="87" ht="49.5" customHeight="1" s="179">
      <c r="A87" s="143" t="n">
        <v>86</v>
      </c>
      <c r="B87" s="143" t="inlineStr">
        <is>
          <t>PVC Chain</t>
        </is>
      </c>
      <c r="C87" s="144" t="inlineStr">
        <is>
          <t>ECH</t>
        </is>
      </c>
      <c r="D87" s="146">
        <f>_xlfn.XLOOKUP(C87,ValueChainRatingTable[material],ValueChainRatingTable[재평가
점수])</f>
        <v/>
      </c>
      <c r="E87" s="144" t="n">
        <v>18</v>
      </c>
      <c r="F87" s="146">
        <f>_xlfn.XLOOKUP(표22[[#This Row],[material]],SupplyStructureTable[material],SupplyStructureTable[산업 수급
구조 점수])</f>
        <v/>
      </c>
      <c r="G87" s="147">
        <f>SUM(D87:F87)</f>
        <v/>
      </c>
      <c r="H87" s="148" t="inlineStr">
        <is>
          <t>Chlorine/propylene 계열 연계 가능하나 PVC chain 직접성은 제한적</t>
        </is>
      </c>
      <c r="I87" s="148" t="inlineStr">
        <is>
          <t>소규모 niche solvent로 대형 신규 프로젝트는 제한적이나 중국 공급 가능, 국내는 수입 비중이 높은 편</t>
        </is>
      </c>
    </row>
    <row r="88" ht="33" customHeight="1" s="179">
      <c r="A88" s="143" t="n">
        <v>86</v>
      </c>
      <c r="B88" s="143" t="inlineStr">
        <is>
          <t>Epoxy Chain</t>
        </is>
      </c>
      <c r="C88" s="144" t="inlineStr">
        <is>
          <t>ECH</t>
        </is>
      </c>
      <c r="D88" s="146">
        <f>_xlfn.XLOOKUP(C88,ValueChainRatingTable[material],ValueChainRatingTable[재평가
점수])</f>
        <v/>
      </c>
      <c r="E88" s="144" t="n">
        <v>18</v>
      </c>
      <c r="F88" s="146">
        <f>_xlfn.XLOOKUP(표22[[#This Row],[material]],SupplyStructureTable[material],SupplyStructureTable[산업 수급
구조 점수])</f>
        <v/>
      </c>
      <c r="G88" s="147">
        <f>SUM(D88:F88)</f>
        <v/>
      </c>
      <c r="H88" s="148" t="inlineStr">
        <is>
          <t>Epoxy resin 핵심 원료로 propylene/chlorine 계열 연계 가능하나 성숙시장</t>
        </is>
      </c>
      <c r="I88" s="148" t="inlineStr">
        <is>
          <t>중국 phenol/acetone 신규설비와 아시아 공급 부담, 국내 생산</t>
        </is>
      </c>
    </row>
    <row r="89" ht="33" customHeight="1" s="179">
      <c r="A89" s="143" t="n">
        <v>88</v>
      </c>
      <c r="B89" s="143" t="inlineStr">
        <is>
          <t>Nylon/PA Chain</t>
        </is>
      </c>
      <c r="C89" s="144" t="inlineStr">
        <is>
          <t>Adipic Acid</t>
        </is>
      </c>
      <c r="D89" s="146">
        <f>_xlfn.XLOOKUP(C89,ValueChainRatingTable[material],ValueChainRatingTable[재평가
점수])</f>
        <v/>
      </c>
      <c r="E89" s="144" t="n">
        <v>18</v>
      </c>
      <c r="F89" s="146">
        <f>_xlfn.XLOOKUP(표22[[#This Row],[material]],SupplyStructureTable[material],SupplyStructureTable[산업 수급
구조 점수])</f>
        <v/>
      </c>
      <c r="G89" s="147">
        <f>SUM(D89:F89)</f>
        <v/>
      </c>
      <c r="H89" s="148" t="inlineStr">
        <is>
          <t>Cyclohexane/nylon 66 chain 연계 가능하나 시장은 성숙 단계</t>
        </is>
      </c>
      <c r="I89" s="148" t="inlineStr">
        <is>
          <t>배터리용 고순도 수요는 성장하나 중국 용제 생산능력 과잉·증설, 국내 일부 수입 의존</t>
        </is>
      </c>
    </row>
    <row r="90" ht="33" customHeight="1" s="179">
      <c r="A90" s="143" t="n">
        <v>89</v>
      </c>
      <c r="B90" s="143" t="inlineStr">
        <is>
          <t>Isoprene Chain</t>
        </is>
      </c>
      <c r="C90" s="144" t="inlineStr">
        <is>
          <t>Isoprene</t>
        </is>
      </c>
      <c r="D90" s="146">
        <f>_xlfn.XLOOKUP(C90,ValueChainRatingTable[material],ValueChainRatingTable[재평가
점수])</f>
        <v/>
      </c>
      <c r="E90" s="144" t="n">
        <v>18</v>
      </c>
      <c r="F90" s="145">
        <f>_xlfn.XLOOKUP(표22[[#This Row],[material]],SupplyStructureTable[material],SupplyStructureTable[산업 수급
구조 점수])</f>
        <v/>
      </c>
      <c r="G90" s="147">
        <f>SUM(D90:F90)</f>
        <v/>
      </c>
      <c r="H90" s="148" t="inlineStr">
        <is>
          <t>NCC C5/diene 계열 연계 가능하나 rubber chain은 성숙시장</t>
        </is>
      </c>
      <c r="I90" s="148" t="inlineStr">
        <is>
          <t>ABS 연계 범용 수지로 중국 공급 확대, 국내 생산</t>
        </is>
      </c>
    </row>
    <row r="91" ht="33" customHeight="1" s="179">
      <c r="A91" s="143" t="n">
        <v>90</v>
      </c>
      <c r="B91" s="144" t="inlineStr">
        <is>
          <t>DCPD-UPR</t>
        </is>
      </c>
      <c r="C91" s="144" t="inlineStr">
        <is>
          <t>DCPD</t>
        </is>
      </c>
      <c r="D91" s="146">
        <f>_xlfn.XLOOKUP(C91,ValueChainRatingTable[material],ValueChainRatingTable[재평가
점수])</f>
        <v/>
      </c>
      <c r="E91" s="144" t="n">
        <v>18</v>
      </c>
      <c r="F91" s="145">
        <f>_xlfn.XLOOKUP(표22[[#This Row],[material]],SupplyStructureTable[material],SupplyStructureTable[산업 수급
구조 점수])</f>
        <v/>
      </c>
      <c r="G91" s="147">
        <f>SUM(D91:F91)</f>
        <v/>
      </c>
      <c r="H91" s="148" t="inlineStr">
        <is>
          <t>NCC C5 by-product 연계 가능하나 resin 용도는 성숙시장</t>
        </is>
      </c>
      <c r="I91" s="148" t="inlineStr">
        <is>
          <t>중국 공급과잉 및 성숙시장, 국내 생산기반 존재</t>
        </is>
      </c>
    </row>
    <row r="92" ht="33" customHeight="1" s="179">
      <c r="A92" s="143" t="n">
        <v>91</v>
      </c>
      <c r="B92" s="143" t="inlineStr">
        <is>
          <t>Isoprene Chain</t>
        </is>
      </c>
      <c r="C92" s="144" t="inlineStr">
        <is>
          <t>IR</t>
        </is>
      </c>
      <c r="D92" s="146">
        <f>_xlfn.XLOOKUP(C92,ValueChainRatingTable[material],ValueChainRatingTable[재평가
점수])</f>
        <v/>
      </c>
      <c r="E92" s="144" t="n">
        <v>18</v>
      </c>
      <c r="F92" s="145">
        <f>_xlfn.XLOOKUP(표22[[#This Row],[material]],SupplyStructureTable[material],SupplyStructureTable[산업 수급
구조 점수])</f>
        <v/>
      </c>
      <c r="G92" s="147">
        <f>SUM(D92:F92)</f>
        <v/>
      </c>
      <c r="H92" s="148" t="inlineStr">
        <is>
          <t>Isoprene downstream rubber로 C5 연계 가능하나 성숙시장</t>
        </is>
      </c>
      <c r="I92" s="148" t="inlineStr">
        <is>
          <t>중국 NBR/NB latex 증설과 가격경쟁, 국내 생산기반 존재</t>
        </is>
      </c>
    </row>
    <row r="93" ht="33" customHeight="1" s="179">
      <c r="A93" s="143" t="n">
        <v>92</v>
      </c>
      <c r="B93" s="143" t="inlineStr">
        <is>
          <t>Isoprene Chain</t>
        </is>
      </c>
      <c r="C93" s="144" t="inlineStr">
        <is>
          <t>SIS</t>
        </is>
      </c>
      <c r="D93" s="146">
        <f>_xlfn.XLOOKUP(C93,ValueChainRatingTable[material],ValueChainRatingTable[재평가
점수])</f>
        <v/>
      </c>
      <c r="E93" s="144" t="n">
        <v>18</v>
      </c>
      <c r="F93" s="145">
        <f>_xlfn.XLOOKUP(표22[[#This Row],[material]],SupplyStructureTable[material],SupplyStructureTable[산업 수급
구조 점수])</f>
        <v/>
      </c>
      <c r="G93" s="147">
        <f>SUM(D93:F93)</f>
        <v/>
      </c>
      <c r="H93" s="148" t="inlineStr">
        <is>
          <t>Styrene/isoprene block copolymer로 C5/aromatics 연계 가능하나 시장은 성숙 단계</t>
        </is>
      </c>
      <c r="I93" s="148" t="inlineStr">
        <is>
          <t>대부분 oxo alcohol captive 중간체이며 중국 oxo 증설, 국내 일관 생산 가능</t>
        </is>
      </c>
    </row>
    <row r="94" ht="49.5" customHeight="1" s="179">
      <c r="A94" s="143" t="n">
        <v>93</v>
      </c>
      <c r="B94" s="143" t="inlineStr">
        <is>
          <t>Oxo Alcohol Chain</t>
        </is>
      </c>
      <c r="C94" s="144" t="inlineStr">
        <is>
          <t>i-butyraldehyde</t>
        </is>
      </c>
      <c r="D94" s="146">
        <f>_xlfn.XLOOKUP(C94,ValueChainRatingTable[material],ValueChainRatingTable[재평가
점수])</f>
        <v/>
      </c>
      <c r="E94" s="144" t="n">
        <v>18</v>
      </c>
      <c r="F94" s="146">
        <f>_xlfn.XLOOKUP(표22[[#This Row],[material]],SupplyStructureTable[material],SupplyStructureTable[산업 수급
구조 점수])</f>
        <v/>
      </c>
      <c r="G94" s="147">
        <f>SUM(D94:F94)</f>
        <v/>
      </c>
      <c r="H94" s="148" t="inlineStr">
        <is>
          <t>Propylene oxo chain 중간체로 C3 연계 가능하나 성숙시장</t>
        </is>
      </c>
      <c r="I94" s="148" t="inlineStr">
        <is>
          <t>생산자와 설비가 제한된 specialty synthetic rubber, 의료·고성능 Grade 장벽 및 국내 수입 의존</t>
        </is>
      </c>
    </row>
    <row r="95" ht="33" customHeight="1" s="179">
      <c r="A95" s="143" t="n">
        <v>94</v>
      </c>
      <c r="B95" s="144" t="inlineStr">
        <is>
          <t>UPR Platform</t>
        </is>
      </c>
      <c r="C95" s="144" t="inlineStr">
        <is>
          <t>UPR</t>
        </is>
      </c>
      <c r="D95" s="146">
        <f>_xlfn.XLOOKUP(C95,ValueChainRatingTable[material],ValueChainRatingTable[재평가
점수])</f>
        <v/>
      </c>
      <c r="E95" s="144" t="n">
        <v>18</v>
      </c>
      <c r="F95" s="146">
        <f>_xlfn.XLOOKUP(표22[[#This Row],[material]],SupplyStructureTable[material],SupplyStructureTable[산업 수급
구조 점수])</f>
        <v/>
      </c>
      <c r="G95" s="147">
        <f>SUM(D95:F95)</f>
        <v/>
      </c>
      <c r="H95" s="148" t="inlineStr">
        <is>
          <t>PG/MA/PA 등과 연결되는 resin platform이나 전체 시장은 성숙 단계</t>
        </is>
      </c>
      <c r="I95" s="148" t="inlineStr">
        <is>
          <t>중국 polyether polyol 증설과 가격경쟁, 국내 생산기반 존재</t>
        </is>
      </c>
    </row>
    <row r="96" ht="33" customHeight="1" s="179">
      <c r="A96" s="143" t="n">
        <v>94</v>
      </c>
      <c r="B96" s="144" t="inlineStr">
        <is>
          <t>DCPD-UPR</t>
        </is>
      </c>
      <c r="C96" s="144" t="inlineStr">
        <is>
          <t>UPR</t>
        </is>
      </c>
      <c r="D96" s="146">
        <f>_xlfn.XLOOKUP(C96,ValueChainRatingTable[material],ValueChainRatingTable[재평가
점수])</f>
        <v/>
      </c>
      <c r="E96" s="144" t="n">
        <v>18</v>
      </c>
      <c r="F96" s="146">
        <f>_xlfn.XLOOKUP(표22[[#This Row],[material]],SupplyStructureTable[material],SupplyStructureTable[산업 수급
구조 점수])</f>
        <v/>
      </c>
      <c r="G96" s="147">
        <f>SUM(D96:F96)</f>
        <v/>
      </c>
      <c r="H96" s="148" t="inlineStr">
        <is>
          <t>DCPD/anhydride/styrene 계열로 일부 연계 가능하나 건설·복합재 중심 성숙시장</t>
        </is>
      </c>
      <c r="I96" s="148" t="inlineStr">
        <is>
          <t>중국 공급과잉 및 성숙시장, 국내 생산기반 존재</t>
        </is>
      </c>
    </row>
    <row r="97" ht="66" customHeight="1" s="179">
      <c r="A97" s="171" t="n">
        <v>96</v>
      </c>
      <c r="B97" s="144" t="inlineStr">
        <is>
          <t>DCPD Platform</t>
        </is>
      </c>
      <c r="C97" s="144" t="inlineStr">
        <is>
          <t>DCPD Resin</t>
        </is>
      </c>
      <c r="D97" s="146">
        <f>_xlfn.XLOOKUP(C97,ValueChainRatingTable[material],ValueChainRatingTable[재평가
점수])</f>
        <v/>
      </c>
      <c r="E97" s="169" t="n">
        <v>18</v>
      </c>
      <c r="F97" s="146">
        <f>_xlfn.XLOOKUP(표22[[#This Row],[material]],SupplyStructureTable[material],SupplyStructureTable[산업 수급
구조 점수])</f>
        <v/>
      </c>
      <c r="G97" s="147">
        <f>SUM(D97:F97)</f>
        <v/>
      </c>
      <c r="H97" s="170" t="inlineStr">
        <is>
          <t>C5 fraction에서 분리한 DCPD를 직접 고도화하는 hydrocarbon resin으로 C5 부산물 활용 및 인접 downstream 확장성이 높음</t>
        </is>
      </c>
      <c r="I97" s="170" t="inlineStr">
        <is>
          <t>범용 DCPD계 hydrocarbon resin 기준으로 아시아 공급 다변화·중국 가격경쟁이 존재하고 국내 생산기반도 있어 구조적 타이트·수입의존으로 보기 어려움</t>
        </is>
      </c>
    </row>
    <row r="98" ht="49.5" customHeight="1" s="179">
      <c r="A98" s="171" t="n">
        <v>97</v>
      </c>
      <c r="B98" s="144" t="inlineStr">
        <is>
          <t>DCPD Platform</t>
        </is>
      </c>
      <c r="C98" s="144" t="inlineStr">
        <is>
          <t>PolyDCPD</t>
        </is>
      </c>
      <c r="D98" s="146">
        <f>_xlfn.XLOOKUP(C98,ValueChainRatingTable[material],ValueChainRatingTable[재평가
점수])</f>
        <v/>
      </c>
      <c r="E98" s="169" t="n">
        <v>25</v>
      </c>
      <c r="F98" s="146">
        <f>_xlfn.XLOOKUP(표22[[#This Row],[material]],SupplyStructureTable[material],SupplyStructureTable[산업 수급
구조 점수])</f>
        <v/>
      </c>
      <c r="G98" s="147">
        <f>SUM(D98:F98)</f>
        <v/>
      </c>
      <c r="H98" s="170" t="inlineStr">
        <is>
          <t>DCPD/C5 부산물 연계는 직접적이나 전용 ROMP·RIM 기술과 별도 성형·고객 기반이 필요</t>
        </is>
      </c>
      <c r="I98" s="170" t="inlineStr">
        <is>
          <t>RIM/ROMP 기반 proprietary resin system으로 공급자·Grade·가공기술이 제한적이며 국내 상업 생산기반이 확인되지 않음</t>
        </is>
      </c>
    </row>
    <row r="99" ht="49.5" customHeight="1" s="179">
      <c r="A99" s="171" t="n">
        <v>98</v>
      </c>
      <c r="B99" s="144" t="inlineStr">
        <is>
          <t>DCPD Platform</t>
        </is>
      </c>
      <c r="C99" s="144" t="inlineStr">
        <is>
          <t>COP</t>
        </is>
      </c>
      <c r="D99" s="146">
        <f>_xlfn.XLOOKUP(C99,ValueChainRatingTable[material],ValueChainRatingTable[재평가
점수])</f>
        <v/>
      </c>
      <c r="E99" s="169" t="n">
        <v>25</v>
      </c>
      <c r="F99" s="146">
        <f>_xlfn.XLOOKUP(표22[[#This Row],[material]],SupplyStructureTable[material],SupplyStructureTable[산업 수급
구조 점수])</f>
        <v/>
      </c>
      <c r="G99" s="147">
        <f>SUM(D99:F99)</f>
        <v/>
      </c>
      <c r="H99" s="170" t="inlineStr">
        <is>
          <t>C5/DCPD 유래 cyclic monomer 활용 가능성은 있으나 norbornene 제조·중합·수첨 등 다단계 신규 intermediate와 specialty polymer 기반이 필요</t>
        </is>
      </c>
      <c r="I99" s="170" t="inlineStr">
        <is>
          <t>광학·의료용 고순도 polymer로 소수 공급자와 품질·인증 장벽이 존재하고 국내 생산기반이 없으나 일본·중국의 증설·국산화 가능성은 반영</t>
        </is>
      </c>
    </row>
    <row r="100" ht="49.5" customHeight="1" s="179">
      <c r="A100" s="171" t="n">
        <v>99</v>
      </c>
      <c r="B100" s="144" t="inlineStr">
        <is>
          <t>C4 Elastomer Chain</t>
        </is>
      </c>
      <c r="C100" s="144" t="inlineStr">
        <is>
          <t>ENB</t>
        </is>
      </c>
      <c r="D100" s="146">
        <f>_xlfn.XLOOKUP(C100,ValueChainRatingTable[material],ValueChainRatingTable[재평가
점수])</f>
        <v/>
      </c>
      <c r="E100" s="169" t="n">
        <v>18</v>
      </c>
      <c r="F100" s="146">
        <f>_xlfn.XLOOKUP(표22[[#This Row],[material]],SupplyStructureTable[material],SupplyStructureTable[산업 수급
구조 점수])</f>
        <v/>
      </c>
      <c r="G100" s="147">
        <f>SUM(D100:F100)</f>
        <v/>
      </c>
      <c r="H100" s="170" t="inlineStr">
        <is>
          <t>C4 butadiene과 C5 cyclopentadiene 계열을 활용하며 Shaheen ethylene·propylene 기반 EPDM chain의 핵심 diene comonomer로 확장 가능</t>
        </is>
      </c>
      <c r="I100" s="170" t="inlineStr">
        <is>
          <t>EPDM용 특수 diene으로 공급자가 제한되고 고순도·고객 승인 장벽이 존재하며 국내 상업 생산기반은 확인되지 않음</t>
        </is>
      </c>
    </row>
    <row r="101" ht="66" customHeight="1" s="179">
      <c r="A101" s="171" t="n">
        <v>100</v>
      </c>
      <c r="B101" s="144" t="inlineStr">
        <is>
          <t>Methanol Platform</t>
        </is>
      </c>
      <c r="C101" s="144" t="inlineStr">
        <is>
          <t>Methanol</t>
        </is>
      </c>
      <c r="D101" s="146">
        <f>_xlfn.XLOOKUP(C101,ValueChainRatingTable[material],ValueChainRatingTable[재평가
점수])</f>
        <v/>
      </c>
      <c r="E101" s="169" t="n">
        <v>18</v>
      </c>
      <c r="F101" s="146">
        <f>_xlfn.XLOOKUP(표22[[#This Row],[material]],SupplyStructureTable[material],SupplyStructureTable[산업 수급
구조 점수])</f>
        <v/>
      </c>
      <c r="G101" s="147">
        <f>SUM(D101:F101)</f>
        <v/>
      </c>
      <c r="H101" s="170" t="inlineStr">
        <is>
          <t>CO2·refinery off-gas 활용 가능성은 있으나 기존 olefin/aromatics 및 보유 intermediate와 직접 연결되는 value chain은 제한</t>
        </is>
      </c>
      <c r="I101" s="170" t="inlineStr">
        <is>
          <t>글로벌 대형 생산기반과 신규 프로젝트가 지속되는 범용 commodity이며 중국 석탄계 생산의 가격 영향이 크나 국내 대규모 생산기반 부재로 수입의존</t>
        </is>
      </c>
    </row>
    <row r="102" ht="49.5" customHeight="1" s="179">
      <c r="A102" s="171" t="n">
        <v>101</v>
      </c>
      <c r="B102" s="144" t="inlineStr">
        <is>
          <t>Methanol Platform</t>
        </is>
      </c>
      <c r="C102" s="144" t="inlineStr">
        <is>
          <t>Acetic Acid</t>
        </is>
      </c>
      <c r="D102" s="146">
        <f>_xlfn.XLOOKUP(C102,ValueChainRatingTable[material],ValueChainRatingTable[재평가
점수])</f>
        <v/>
      </c>
      <c r="E102" s="169" t="n">
        <v>18</v>
      </c>
      <c r="F102" s="146">
        <f>_xlfn.XLOOKUP(표22[[#This Row],[material]],SupplyStructureTable[material],SupplyStructureTable[산업 수급
구조 점수])</f>
        <v/>
      </c>
      <c r="G102" s="147">
        <f>SUM(D102:F102)</f>
        <v/>
      </c>
      <c r="H102" s="170" t="inlineStr">
        <is>
          <t>Methanol·CO 기반 신규 carbonylation chain이 필요하며 현재/예정 자산과의 직접 원료·downstream 연계가 낮음</t>
        </is>
      </c>
      <c r="I102" s="170" t="inlineStr">
        <is>
          <t>중국 중심의 대규모 생산능력·증설과 범용 가격경쟁이 존재하고 국내 acetyls 생산기반이 있어 수입의존도가 높다고 보기 어려움</t>
        </is>
      </c>
    </row>
    <row r="103" ht="66" customHeight="1" s="179">
      <c r="A103" s="171" t="n">
        <v>102</v>
      </c>
      <c r="B103" s="144" t="inlineStr">
        <is>
          <t>Methanol Platform</t>
        </is>
      </c>
      <c r="C103" s="144" t="inlineStr">
        <is>
          <t>Formaldehyde</t>
        </is>
      </c>
      <c r="D103" s="146">
        <f>_xlfn.XLOOKUP(C103,ValueChainRatingTable[material],ValueChainRatingTable[재평가
점수])</f>
        <v/>
      </c>
      <c r="E103" s="169" t="n">
        <v>18</v>
      </c>
      <c r="F103" s="146">
        <f>_xlfn.XLOOKUP(표22[[#This Row],[material]],SupplyStructureTable[material],SupplyStructureTable[산업 수급
구조 점수])</f>
        <v/>
      </c>
      <c r="G103" s="147">
        <f>SUM(D103:F103)</f>
        <v/>
      </c>
      <c r="H103" s="170" t="inlineStr">
        <is>
          <t>Methanol 산화 downstream이나 현재 Methanol 생산기반이 없어 기존 value chain의 직접 연장으로 보기 어려움</t>
        </is>
      </c>
      <c r="I103" s="170" t="inlineStr">
        <is>
          <t>수용액 formalin 중심의 지역형·captive 시장으로 대형 merchant 증설과 장거리 중국 저가품 경쟁은 제한적이나 국내 다수 생산기반으로 수입의존도는 낮음</t>
        </is>
      </c>
    </row>
    <row r="104" ht="49.5" customHeight="1" s="179">
      <c r="A104" s="171" t="n">
        <v>103</v>
      </c>
      <c r="B104" s="144" t="inlineStr">
        <is>
          <t>C5 Resin Chain</t>
        </is>
      </c>
      <c r="C104" s="144" t="inlineStr">
        <is>
          <t>Piperylene</t>
        </is>
      </c>
      <c r="D104" s="146">
        <f>_xlfn.XLOOKUP(C104,ValueChainRatingTable[material],ValueChainRatingTable[재평가
점수])</f>
        <v/>
      </c>
      <c r="E104" s="169" t="n">
        <v>18</v>
      </c>
      <c r="F104" s="146">
        <f>_xlfn.XLOOKUP(표22[[#This Row],[material]],SupplyStructureTable[material],SupplyStructureTable[산업 수급
구조 점수])</f>
        <v/>
      </c>
      <c r="G104" s="147">
        <f>SUM(D104:F104)</f>
        <v/>
      </c>
      <c r="H104" s="170" t="inlineStr">
        <is>
          <t>cracker C5 fraction에서 회수 가능한 핵심 monomer이나 별도 분리·정제와 후속 resin 사업 기반이 필요</t>
        </is>
      </c>
      <c r="I104" s="170" t="inlineStr">
        <is>
          <t>NCC C5 부산물 기반으로 공급 탄력성이 낮고 고순도 분리·조성 관리가 필요하며 전용 대형 증설은 제한적이나 국내 C5 계열 공급은 가능</t>
        </is>
      </c>
    </row>
    <row r="105" ht="66" customHeight="1" s="179">
      <c r="A105" s="171" t="n">
        <v>104</v>
      </c>
      <c r="B105" s="144" t="inlineStr">
        <is>
          <t>C5 Resin Chain</t>
        </is>
      </c>
      <c r="C105" s="144" t="inlineStr">
        <is>
          <t>C5 Resin</t>
        </is>
      </c>
      <c r="D105" s="146">
        <f>_xlfn.XLOOKUP(C105,ValueChainRatingTable[material],ValueChainRatingTable[재평가
점수])</f>
        <v/>
      </c>
      <c r="E105" s="169" t="n">
        <v>18</v>
      </c>
      <c r="F105" s="146">
        <f>_xlfn.XLOOKUP(표22[[#This Row],[material]],SupplyStructureTable[material],SupplyStructureTable[산업 수급
구조 점수])</f>
        <v/>
      </c>
      <c r="G105" s="147">
        <f>SUM(D105:F105)</f>
        <v/>
      </c>
      <c r="H105" s="170" t="inlineStr">
        <is>
          <t>C5 fraction의 piperylene을 직접 polymerization하는 부산물 고도화 제품으로 resin downstream 확장성이 높음</t>
        </is>
      </c>
      <c r="I105" s="170" t="inlineStr">
        <is>
          <t>범용 C5 tackifier는 중국·아시아 다수 생산자와 저가 경쟁이 존재하고 국내 hydrocarbon resin 생산기반도 있어 구조적 타이트·수입의존성이 낮음</t>
        </is>
      </c>
    </row>
  </sheetData>
  <pageMargins left="0.7" right="0.7" top="0.75" bottom="0.75" header="0.3" footer="0.3"/>
  <headerFooter>
    <oddHeader/>
    <oddFooter>&amp;L&amp;"Aptos"&amp;11 &amp;K000000_x000d_#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8"/>
  <sheetViews>
    <sheetView topLeftCell="A93" zoomScale="85" zoomScaleNormal="85" workbookViewId="0">
      <selection activeCell="C102" sqref="C102"/>
    </sheetView>
  </sheetViews>
  <sheetFormatPr baseColWidth="8" defaultRowHeight="14.25"/>
  <cols>
    <col width="6" customWidth="1" style="117" min="1" max="1"/>
    <col width="22" customWidth="1" style="117" min="2" max="2"/>
    <col width="18" customWidth="1" style="117" min="3" max="3"/>
    <col width="17" customWidth="1" style="117" min="4" max="4"/>
    <col width="15" customWidth="1" style="117" min="5" max="5"/>
    <col width="17" customWidth="1" style="117" min="6" max="6"/>
    <col width="15" customWidth="1" style="117" min="7" max="7"/>
    <col width="8" customWidth="1" style="117" min="8" max="8"/>
    <col width="11" customWidth="1" style="117" min="9" max="9"/>
    <col width="50" customWidth="1" style="117" min="10" max="10"/>
    <col width="10" customWidth="1" style="117" min="11" max="11"/>
    <col hidden="1" width="14" customWidth="1" style="117" min="12" max="12"/>
    <col width="9" customWidth="1" style="117" min="13" max="13"/>
    <col width="9" customWidth="1" style="138" min="14" max="14"/>
    <col width="9" customWidth="1" style="117" min="15" max="16384"/>
  </cols>
  <sheetData>
    <row r="1" ht="30" customHeight="1" s="179">
      <c r="A1" s="172" t="inlineStr">
        <is>
          <t>95개 Material 산업 수급 구조 1차 평가</t>
        </is>
      </c>
    </row>
    <row r="2" ht="24" customHeight="1" s="179">
      <c r="A2" s="173" t="inlineStr">
        <is>
          <t>기준일: 2026-06-22 | 글로벌·아시아의 2026~2030년 구조적 수급 + 국내(한국) 수입의존 기준 | 단기 전쟁·물류 차질에 따른 일시적 타이트닝은 제외</t>
        </is>
      </c>
    </row>
    <row r="4" ht="42" customHeight="1" s="179">
      <c r="A4" s="120" t="inlineStr">
        <is>
          <t>No.</t>
        </is>
      </c>
      <c r="B4" s="121" t="inlineStr">
        <is>
          <t>group_name</t>
        </is>
      </c>
      <c r="C4" s="121" t="inlineStr">
        <is>
          <t>material</t>
        </is>
      </c>
      <c r="D4" s="121" t="inlineStr">
        <is>
          <t>① 공급 부족 또는
타이트한 시장</t>
        </is>
      </c>
      <c r="E4" s="121" t="inlineStr">
        <is>
          <t>② 신규 증설
계획 없음</t>
        </is>
      </c>
      <c r="F4" s="121" t="inlineStr">
        <is>
          <t>③ 중국 저가 경쟁
대상 아님</t>
        </is>
      </c>
      <c r="G4" s="121" t="inlineStr">
        <is>
          <t>④ 국내 수입
의존도 높음</t>
        </is>
      </c>
      <c r="H4" s="121" t="inlineStr">
        <is>
          <t>O 개수</t>
        </is>
      </c>
      <c r="I4" s="121" t="inlineStr">
        <is>
          <t>산업 수급
구조 점수</t>
        </is>
      </c>
      <c r="J4" s="121" t="inlineStr">
        <is>
          <t>평가 메모</t>
        </is>
      </c>
      <c r="K4" s="121" t="inlineStr">
        <is>
          <t>확신도</t>
        </is>
      </c>
      <c r="L4" s="122" t="inlineStr">
        <is>
          <t>Source ID</t>
        </is>
      </c>
    </row>
    <row r="5" ht="33.95" customHeight="1" s="179">
      <c r="A5" s="123" t="n">
        <v>1</v>
      </c>
      <c r="B5" s="124" t="inlineStr">
        <is>
          <t>PE Chain</t>
        </is>
      </c>
      <c r="C5" s="124" t="inlineStr">
        <is>
          <t>HDPE</t>
        </is>
      </c>
      <c r="D5" s="125" t="inlineStr">
        <is>
          <t>X</t>
        </is>
      </c>
      <c r="E5" s="125" t="inlineStr">
        <is>
          <t>X</t>
        </is>
      </c>
      <c r="F5" s="125" t="inlineStr">
        <is>
          <t>X</t>
        </is>
      </c>
      <c r="G5" s="125" t="inlineStr">
        <is>
          <t>X</t>
        </is>
      </c>
      <c r="H5" s="125">
        <f>COUNTIF(D5:G5,"O")</f>
        <v/>
      </c>
      <c r="I5" s="125">
        <f>IF(H5&gt;=3,25,IF(H5=2,18,IF(H5=1,12,0)))</f>
        <v/>
      </c>
      <c r="J5" s="126" t="inlineStr">
        <is>
          <t>글로벌·아시아 PE 공급과잉 및 중국 증설 지속, 국내 생산기반 충분</t>
        </is>
      </c>
      <c r="K5" s="125" t="inlineStr">
        <is>
          <t>높음</t>
        </is>
      </c>
      <c r="L5" s="127" t="inlineStr">
        <is>
          <t>S1,S2,S3</t>
        </is>
      </c>
      <c r="P5" s="139" t="inlineStr">
        <is>
          <t>x</t>
        </is>
      </c>
    </row>
    <row r="6" ht="33.95" customHeight="1" s="179">
      <c r="A6" s="128" t="n">
        <v>2</v>
      </c>
      <c r="B6" s="129" t="inlineStr">
        <is>
          <t>PE Chain</t>
        </is>
      </c>
      <c r="C6" s="129" t="inlineStr">
        <is>
          <t>LDPE</t>
        </is>
      </c>
      <c r="D6" s="130" t="inlineStr">
        <is>
          <t>X</t>
        </is>
      </c>
      <c r="E6" s="130" t="inlineStr">
        <is>
          <t>X</t>
        </is>
      </c>
      <c r="F6" s="130" t="inlineStr">
        <is>
          <t>X</t>
        </is>
      </c>
      <c r="G6" s="130" t="inlineStr">
        <is>
          <t>X</t>
        </is>
      </c>
      <c r="H6" s="130">
        <f>COUNTIF(D6:G6,"O")</f>
        <v/>
      </c>
      <c r="I6" s="130">
        <f>IF(H6&gt;=3,25,IF(H6=2,18,IF(H6=1,12,0)))</f>
        <v/>
      </c>
      <c r="J6" s="131" t="inlineStr">
        <is>
          <t>고압설비 진입장벽은 있으나 중국 포함 증설과 PE 계열 공급과잉 지속, 국내 생산</t>
        </is>
      </c>
      <c r="K6" s="130" t="inlineStr">
        <is>
          <t>중간</t>
        </is>
      </c>
      <c r="L6" s="132" t="inlineStr">
        <is>
          <t>S1,S2,S3</t>
        </is>
      </c>
      <c r="P6" s="139" t="inlineStr">
        <is>
          <t>x</t>
        </is>
      </c>
    </row>
    <row r="7" ht="33.95" customHeight="1" s="179">
      <c r="A7" s="128" t="n">
        <v>3</v>
      </c>
      <c r="B7" s="129" t="inlineStr">
        <is>
          <t>PE Chain</t>
        </is>
      </c>
      <c r="C7" s="129" t="inlineStr">
        <is>
          <t>LLDPE</t>
        </is>
      </c>
      <c r="D7" s="130" t="inlineStr">
        <is>
          <t>X</t>
        </is>
      </c>
      <c r="E7" s="130" t="inlineStr">
        <is>
          <t>X</t>
        </is>
      </c>
      <c r="F7" s="130" t="inlineStr">
        <is>
          <t>X</t>
        </is>
      </c>
      <c r="G7" s="130" t="inlineStr">
        <is>
          <t>X</t>
        </is>
      </c>
      <c r="H7" s="130">
        <f>COUNTIF(D7:G7,"O")</f>
        <v/>
      </c>
      <c r="I7" s="130">
        <f>IF(H7&gt;=3,25,IF(H7=2,18,IF(H7=1,12,0)))</f>
        <v/>
      </c>
      <c r="J7" s="131" t="inlineStr">
        <is>
          <t>중국·중동 중심 대규모 증설과 범용 Grade 가격경쟁, 국내 생산</t>
        </is>
      </c>
      <c r="K7" s="130" t="inlineStr">
        <is>
          <t>높음</t>
        </is>
      </c>
      <c r="L7" s="132" t="inlineStr">
        <is>
          <t>S1,S2,S3</t>
        </is>
      </c>
      <c r="P7" s="139" t="inlineStr">
        <is>
          <t>x</t>
        </is>
      </c>
    </row>
    <row r="8" ht="33.95" customHeight="1" s="179">
      <c r="A8" s="128" t="n">
        <v>4</v>
      </c>
      <c r="B8" s="129" t="inlineStr">
        <is>
          <t>PVC Chain</t>
        </is>
      </c>
      <c r="C8" s="129" t="inlineStr">
        <is>
          <t>EDC</t>
        </is>
      </c>
      <c r="D8" s="130" t="inlineStr">
        <is>
          <t>X</t>
        </is>
      </c>
      <c r="E8" s="130" t="inlineStr">
        <is>
          <t>X</t>
        </is>
      </c>
      <c r="F8" s="130" t="inlineStr">
        <is>
          <t>X</t>
        </is>
      </c>
      <c r="G8" s="130" t="inlineStr">
        <is>
          <t>X</t>
        </is>
      </c>
      <c r="H8" s="130">
        <f>COUNTIF(D8:G8,"O")</f>
        <v/>
      </c>
      <c r="I8" s="130">
        <f>IF(H8&gt;=3,25,IF(H8=2,18,IF(H8=1,12,0)))</f>
        <v/>
      </c>
      <c r="J8" s="131" t="inlineStr">
        <is>
          <t>PVC 일관계열의 공급과잉 영향, 중국·아시아 신규 chlor-alkali/VCM 프로젝트, 국내 생산</t>
        </is>
      </c>
      <c r="K8" s="130" t="inlineStr">
        <is>
          <t>중간</t>
        </is>
      </c>
      <c r="L8" s="132" t="inlineStr">
        <is>
          <t>S1,S3</t>
        </is>
      </c>
      <c r="P8" s="139" t="inlineStr">
        <is>
          <t>x</t>
        </is>
      </c>
    </row>
    <row r="9" ht="33.95" customHeight="1" s="179">
      <c r="A9" s="128" t="n">
        <v>5</v>
      </c>
      <c r="B9" s="129" t="inlineStr">
        <is>
          <t>PVC Chain</t>
        </is>
      </c>
      <c r="C9" s="129" t="inlineStr">
        <is>
          <t>VCM</t>
        </is>
      </c>
      <c r="D9" s="130" t="inlineStr">
        <is>
          <t>X</t>
        </is>
      </c>
      <c r="E9" s="130" t="inlineStr">
        <is>
          <t>X</t>
        </is>
      </c>
      <c r="F9" s="130" t="inlineStr">
        <is>
          <t>X</t>
        </is>
      </c>
      <c r="G9" s="130" t="inlineStr">
        <is>
          <t>X</t>
        </is>
      </c>
      <c r="H9" s="130">
        <f>COUNTIF(D9:G9,"O")</f>
        <v/>
      </c>
      <c r="I9" s="130">
        <f>IF(H9&gt;=3,25,IF(H9=2,18,IF(H9=1,12,0)))</f>
        <v/>
      </c>
      <c r="J9" s="131" t="inlineStr">
        <is>
          <t>PVC 체인 공급과잉과 중국 증설, 국내 일관 생산기반 존재</t>
        </is>
      </c>
      <c r="K9" s="130" t="inlineStr">
        <is>
          <t>높음</t>
        </is>
      </c>
      <c r="L9" s="132" t="inlineStr">
        <is>
          <t>S1,S3</t>
        </is>
      </c>
      <c r="P9" s="139" t="inlineStr">
        <is>
          <t>x</t>
        </is>
      </c>
    </row>
    <row r="10" ht="33.95" customHeight="1" s="179">
      <c r="A10" s="128" t="n">
        <v>6</v>
      </c>
      <c r="B10" s="129" t="inlineStr">
        <is>
          <t>PVC Chain</t>
        </is>
      </c>
      <c r="C10" s="129" t="inlineStr">
        <is>
          <t>PVC</t>
        </is>
      </c>
      <c r="D10" s="130" t="inlineStr">
        <is>
          <t>X</t>
        </is>
      </c>
      <c r="E10" s="130" t="inlineStr">
        <is>
          <t>X</t>
        </is>
      </c>
      <c r="F10" s="130" t="inlineStr">
        <is>
          <t>X</t>
        </is>
      </c>
      <c r="G10" s="130" t="inlineStr">
        <is>
          <t>X</t>
        </is>
      </c>
      <c r="H10" s="130">
        <f>COUNTIF(D10:G10,"O")</f>
        <v/>
      </c>
      <c r="I10" s="130">
        <f>IF(H10&gt;=3,25,IF(H10=2,18,IF(H10=1,12,0)))</f>
        <v/>
      </c>
      <c r="J10" s="131" t="inlineStr">
        <is>
          <t>중국의 대규모 생산능력 및 저가 수출 경쟁, 국내 생산기반 충분</t>
        </is>
      </c>
      <c r="K10" s="130" t="inlineStr">
        <is>
          <t>높음</t>
        </is>
      </c>
      <c r="L10" s="132" t="inlineStr">
        <is>
          <t>S1,S3</t>
        </is>
      </c>
      <c r="P10" s="139" t="inlineStr">
        <is>
          <t>x</t>
        </is>
      </c>
    </row>
    <row r="11" ht="33.95" customHeight="1" s="179">
      <c r="A11" s="128" t="n">
        <v>7</v>
      </c>
      <c r="B11" s="129" t="inlineStr">
        <is>
          <t>Ethanol Chain</t>
        </is>
      </c>
      <c r="C11" s="129" t="inlineStr">
        <is>
          <t>Ethanol</t>
        </is>
      </c>
      <c r="D11" s="130" t="inlineStr">
        <is>
          <t>X</t>
        </is>
      </c>
      <c r="E11" s="130" t="inlineStr">
        <is>
          <t>X</t>
        </is>
      </c>
      <c r="F11" s="130" t="inlineStr">
        <is>
          <t>X</t>
        </is>
      </c>
      <c r="G11" s="130" t="inlineStr">
        <is>
          <t>O</t>
        </is>
      </c>
      <c r="H11" s="130">
        <f>COUNTIF(D11:G11,"O")</f>
        <v/>
      </c>
      <c r="I11" s="130">
        <f>IF(H11&gt;=3,25,IF(H11=2,18,IF(H11=1,12,0)))</f>
        <v/>
      </c>
      <c r="J11" s="131" t="inlineStr">
        <is>
          <t>미국·브라질 중심 공급이 충분하고 증설도 존재하나 중국 저가품보다는 원료·정책 경쟁, 국내 대규모 석유화학급 생산 제한</t>
        </is>
      </c>
      <c r="K11" s="130" t="inlineStr">
        <is>
          <t>중간</t>
        </is>
      </c>
      <c r="L11" s="132" t="inlineStr">
        <is>
          <t>S1,S11</t>
        </is>
      </c>
      <c r="P11" s="139" t="inlineStr">
        <is>
          <t>?</t>
        </is>
      </c>
    </row>
    <row r="12" ht="33.95" customHeight="1" s="179">
      <c r="A12" s="128" t="n">
        <v>8</v>
      </c>
      <c r="B12" s="129" t="inlineStr">
        <is>
          <t>Ethanol Chain</t>
        </is>
      </c>
      <c r="C12" s="129" t="inlineStr">
        <is>
          <t>Ethyl acetate</t>
        </is>
      </c>
      <c r="D12" s="130" t="inlineStr">
        <is>
          <t>X</t>
        </is>
      </c>
      <c r="E12" s="130" t="inlineStr">
        <is>
          <t>X</t>
        </is>
      </c>
      <c r="F12" s="130" t="inlineStr">
        <is>
          <t>X</t>
        </is>
      </c>
      <c r="G12" s="130" t="inlineStr">
        <is>
          <t>X</t>
        </is>
      </c>
      <c r="H12" s="130">
        <f>COUNTIF(D12:G12,"O")</f>
        <v/>
      </c>
      <c r="I12" s="130">
        <f>IF(H12&gt;=3,25,IF(H12=2,18,IF(H12=1,12,0)))</f>
        <v/>
      </c>
      <c r="J12" s="131" t="inlineStr">
        <is>
          <t>중국 중심 범용 용제 공급 및 증설, 국내 생산·조달 가능</t>
        </is>
      </c>
      <c r="K12" s="130" t="inlineStr">
        <is>
          <t>중간</t>
        </is>
      </c>
      <c r="L12" s="132" t="inlineStr">
        <is>
          <t>S1,S11</t>
        </is>
      </c>
      <c r="P12" s="139" t="inlineStr">
        <is>
          <t>x</t>
        </is>
      </c>
    </row>
    <row r="13" ht="33.95" customHeight="1" s="179">
      <c r="A13" s="128" t="n">
        <v>9</v>
      </c>
      <c r="B13" s="129" t="inlineStr">
        <is>
          <t>EO-PET Chain</t>
        </is>
      </c>
      <c r="C13" s="129" t="inlineStr">
        <is>
          <t>EO</t>
        </is>
      </c>
      <c r="D13" s="130" t="inlineStr">
        <is>
          <t>X</t>
        </is>
      </c>
      <c r="E13" s="130" t="inlineStr">
        <is>
          <t>X</t>
        </is>
      </c>
      <c r="F13" s="130" t="inlineStr">
        <is>
          <t>X</t>
        </is>
      </c>
      <c r="G13" s="130" t="inlineStr">
        <is>
          <t>X</t>
        </is>
      </c>
      <c r="H13" s="130">
        <f>COUNTIF(D13:G13,"O")</f>
        <v/>
      </c>
      <c r="I13" s="130">
        <f>IF(H13&gt;=3,25,IF(H13=2,18,IF(H13=1,12,0)))</f>
        <v/>
      </c>
      <c r="J13" s="131" t="inlineStr">
        <is>
          <t>대부분 captive 소비이며 중국 EO/EG 계열 증설 지속, 국내 생산</t>
        </is>
      </c>
      <c r="K13" s="130" t="inlineStr">
        <is>
          <t>높음</t>
        </is>
      </c>
      <c r="L13" s="132" t="inlineStr">
        <is>
          <t>S1,S11</t>
        </is>
      </c>
      <c r="P13" s="139" t="inlineStr">
        <is>
          <t>x</t>
        </is>
      </c>
    </row>
    <row r="14" ht="33.95" customHeight="1" s="179">
      <c r="A14" s="128" t="n">
        <v>10</v>
      </c>
      <c r="B14" s="129" t="inlineStr">
        <is>
          <t>Ethanolamine Chain</t>
        </is>
      </c>
      <c r="C14" s="129" t="inlineStr">
        <is>
          <t>MEA</t>
        </is>
      </c>
      <c r="D14" s="130" t="inlineStr">
        <is>
          <t>X</t>
        </is>
      </c>
      <c r="E14" s="130" t="inlineStr">
        <is>
          <t>X</t>
        </is>
      </c>
      <c r="F14" s="130" t="inlineStr">
        <is>
          <t>X</t>
        </is>
      </c>
      <c r="G14" s="130" t="inlineStr">
        <is>
          <t>O</t>
        </is>
      </c>
      <c r="H14" s="130">
        <f>COUNTIF(D14:G14,"O")</f>
        <v/>
      </c>
      <c r="I14" s="130">
        <f>IF(H14&gt;=3,25,IF(H14=2,18,IF(H14=1,12,0)))</f>
        <v/>
      </c>
      <c r="J14" s="131" t="inlineStr">
        <is>
          <t>EO계열 범용 제품으로 아시아 공급 충분, 중국 경쟁 및 국내 생산 가능</t>
        </is>
      </c>
      <c r="K14" s="130" t="inlineStr">
        <is>
          <t>중간</t>
        </is>
      </c>
      <c r="L14" s="132" t="inlineStr">
        <is>
          <t>S1,S11</t>
        </is>
      </c>
      <c r="P14" s="139" t="inlineStr">
        <is>
          <t>o</t>
        </is>
      </c>
    </row>
    <row r="15" ht="33.95" customHeight="1" s="179">
      <c r="A15" s="128" t="n">
        <v>11</v>
      </c>
      <c r="B15" s="129" t="inlineStr">
        <is>
          <t>Ethanolamine Chain</t>
        </is>
      </c>
      <c r="C15" s="129" t="inlineStr">
        <is>
          <t>DEA</t>
        </is>
      </c>
      <c r="D15" s="130" t="inlineStr">
        <is>
          <t>X</t>
        </is>
      </c>
      <c r="E15" s="130" t="inlineStr">
        <is>
          <t>X</t>
        </is>
      </c>
      <c r="F15" s="130" t="inlineStr">
        <is>
          <t>X</t>
        </is>
      </c>
      <c r="G15" s="130" t="inlineStr">
        <is>
          <t>O</t>
        </is>
      </c>
      <c r="H15" s="130">
        <f>COUNTIF(D15:G15,"O")</f>
        <v/>
      </c>
      <c r="I15" s="130">
        <f>IF(H15&gt;=3,25,IF(H15=2,18,IF(H15=1,12,0)))</f>
        <v/>
      </c>
      <c r="J15" s="131" t="inlineStr">
        <is>
          <t>에탄올아민 병산 구조로 공급 유연성 존재, 중국 경쟁 및 국내 생산 가능</t>
        </is>
      </c>
      <c r="K15" s="130" t="inlineStr">
        <is>
          <t>중간</t>
        </is>
      </c>
      <c r="L15" s="132" t="inlineStr">
        <is>
          <t>S1,S11</t>
        </is>
      </c>
      <c r="P15" s="139" t="inlineStr">
        <is>
          <t>o</t>
        </is>
      </c>
    </row>
    <row r="16" ht="33.95" customHeight="1" s="179">
      <c r="A16" s="128" t="n">
        <v>12</v>
      </c>
      <c r="B16" s="129" t="inlineStr">
        <is>
          <t>Ethanolamine Chain</t>
        </is>
      </c>
      <c r="C16" s="129" t="inlineStr">
        <is>
          <t>TEA</t>
        </is>
      </c>
      <c r="D16" s="130" t="inlineStr">
        <is>
          <t>X</t>
        </is>
      </c>
      <c r="E16" s="130" t="inlineStr">
        <is>
          <t>X</t>
        </is>
      </c>
      <c r="F16" s="130" t="inlineStr">
        <is>
          <t>X</t>
        </is>
      </c>
      <c r="G16" s="130" t="inlineStr">
        <is>
          <t>O</t>
        </is>
      </c>
      <c r="H16" s="130">
        <f>COUNTIF(D16:G16,"O")</f>
        <v/>
      </c>
      <c r="I16" s="130">
        <f>IF(H16&gt;=3,25,IF(H16=2,18,IF(H16=1,12,0)))</f>
        <v/>
      </c>
      <c r="J16" s="131" t="inlineStr">
        <is>
          <t>에탄올아민 병산 구조와 중국 공급 경쟁, 국내 생산 가능</t>
        </is>
      </c>
      <c r="K16" s="130" t="inlineStr">
        <is>
          <t>중간</t>
        </is>
      </c>
      <c r="L16" s="132" t="inlineStr">
        <is>
          <t>S1,S11</t>
        </is>
      </c>
      <c r="P16" s="139" t="inlineStr">
        <is>
          <t>o</t>
        </is>
      </c>
    </row>
    <row r="17" ht="33.95" customHeight="1" s="179">
      <c r="A17" s="128" t="n">
        <v>13</v>
      </c>
      <c r="B17" s="129" t="inlineStr">
        <is>
          <t>EO-PET Chain</t>
        </is>
      </c>
      <c r="C17" s="129" t="inlineStr">
        <is>
          <t>MEG</t>
        </is>
      </c>
      <c r="D17" s="130" t="inlineStr">
        <is>
          <t>X</t>
        </is>
      </c>
      <c r="E17" s="130" t="inlineStr">
        <is>
          <t>X</t>
        </is>
      </c>
      <c r="F17" s="130" t="inlineStr">
        <is>
          <t>X</t>
        </is>
      </c>
      <c r="G17" s="130" t="inlineStr">
        <is>
          <t>X</t>
        </is>
      </c>
      <c r="H17" s="130">
        <f>COUNTIF(D17:G17,"O")</f>
        <v/>
      </c>
      <c r="I17" s="130">
        <f>IF(H17&gt;=3,25,IF(H17=2,18,IF(H17=1,12,0)))</f>
        <v/>
      </c>
      <c r="J17" s="131" t="inlineStr">
        <is>
          <t>중국 석탄·에틸렌계 MEG 증설로 구조적 공급과잉, 국내 생산</t>
        </is>
      </c>
      <c r="K17" s="130" t="inlineStr">
        <is>
          <t>높음</t>
        </is>
      </c>
      <c r="L17" s="132" t="inlineStr">
        <is>
          <t>S1,S3</t>
        </is>
      </c>
      <c r="P17" s="140" t="inlineStr">
        <is>
          <t>o</t>
        </is>
      </c>
    </row>
    <row r="18" ht="33.95" customHeight="1" s="179">
      <c r="A18" s="128" t="n">
        <v>14</v>
      </c>
      <c r="B18" s="129" t="inlineStr">
        <is>
          <t>VAM Chain</t>
        </is>
      </c>
      <c r="C18" s="129" t="inlineStr">
        <is>
          <t>VAM</t>
        </is>
      </c>
      <c r="D18" s="130" t="inlineStr">
        <is>
          <t>X</t>
        </is>
      </c>
      <c r="E18" s="130" t="inlineStr">
        <is>
          <t>X</t>
        </is>
      </c>
      <c r="F18" s="130" t="inlineStr">
        <is>
          <t>X</t>
        </is>
      </c>
      <c r="G18" s="130" t="inlineStr">
        <is>
          <t>X</t>
        </is>
      </c>
      <c r="H18" s="130">
        <f>COUNTIF(D18:G18,"O")</f>
        <v/>
      </c>
      <c r="I18" s="130">
        <f>IF(H18&gt;=3,25,IF(H18=2,18,IF(H18=1,12,0)))</f>
        <v/>
      </c>
      <c r="J18" s="131" t="inlineStr">
        <is>
          <t>중국 신규 VAM 및 다운스트림 일관화 확대, 국내 생산기반 존재</t>
        </is>
      </c>
      <c r="K18" s="130" t="inlineStr">
        <is>
          <t>중간</t>
        </is>
      </c>
      <c r="L18" s="132" t="inlineStr">
        <is>
          <t>S1,S11</t>
        </is>
      </c>
      <c r="P18" s="139" t="inlineStr">
        <is>
          <t>x</t>
        </is>
      </c>
    </row>
    <row r="19" ht="33.95" customHeight="1" s="179">
      <c r="A19" s="128" t="n">
        <v>15</v>
      </c>
      <c r="B19" s="129" t="inlineStr">
        <is>
          <t>AN Chain</t>
        </is>
      </c>
      <c r="C19" s="129" t="inlineStr">
        <is>
          <t>AN</t>
        </is>
      </c>
      <c r="D19" s="130" t="inlineStr">
        <is>
          <t>X</t>
        </is>
      </c>
      <c r="E19" s="130" t="inlineStr">
        <is>
          <t>X</t>
        </is>
      </c>
      <c r="F19" s="130" t="inlineStr">
        <is>
          <t>X</t>
        </is>
      </c>
      <c r="G19" s="130" t="inlineStr">
        <is>
          <t>X</t>
        </is>
      </c>
      <c r="H19" s="130">
        <f>COUNTIF(D19:G19,"O")</f>
        <v/>
      </c>
      <c r="I19" s="130">
        <f>IF(H19&gt;=3,25,IF(H19=2,18,IF(H19=1,12,0)))</f>
        <v/>
      </c>
      <c r="J19" s="131" t="inlineStr">
        <is>
          <t>중국 자급화·증설과 ABS/섬유 수요 부진으로 공급 부담, 국내 생산</t>
        </is>
      </c>
      <c r="K19" s="130" t="inlineStr">
        <is>
          <t>높음</t>
        </is>
      </c>
      <c r="L19" s="132" t="inlineStr">
        <is>
          <t>S1,S3</t>
        </is>
      </c>
      <c r="P19" s="139" t="inlineStr">
        <is>
          <t>?</t>
        </is>
      </c>
    </row>
    <row r="20" ht="33.95" customHeight="1" s="179">
      <c r="A20" s="128" t="n">
        <v>16</v>
      </c>
      <c r="B20" s="129" t="inlineStr">
        <is>
          <t>AN Chain</t>
        </is>
      </c>
      <c r="C20" s="129" t="inlineStr">
        <is>
          <t>ABS</t>
        </is>
      </c>
      <c r="D20" s="130" t="inlineStr">
        <is>
          <t>X</t>
        </is>
      </c>
      <c r="E20" s="130" t="inlineStr">
        <is>
          <t>X</t>
        </is>
      </c>
      <c r="F20" s="130" t="inlineStr">
        <is>
          <t>X</t>
        </is>
      </c>
      <c r="G20" s="130" t="inlineStr">
        <is>
          <t>X</t>
        </is>
      </c>
      <c r="H20" s="130">
        <f>COUNTIF(D20:G20,"O")</f>
        <v/>
      </c>
      <c r="I20" s="130">
        <f>IF(H20&gt;=3,25,IF(H20=2,18,IF(H20=1,12,0)))</f>
        <v/>
      </c>
      <c r="J20" s="131" t="inlineStr">
        <is>
          <t>중국 ABS 대규모 증설과 저가 경쟁, 국내 대형 생산기반</t>
        </is>
      </c>
      <c r="K20" s="130" t="inlineStr">
        <is>
          <t>높음</t>
        </is>
      </c>
      <c r="L20" s="132" t="inlineStr">
        <is>
          <t>S1,S3</t>
        </is>
      </c>
      <c r="P20" s="139" t="inlineStr">
        <is>
          <t>x</t>
        </is>
      </c>
    </row>
    <row r="21" ht="33.95" customHeight="1" s="179">
      <c r="A21" s="128" t="n">
        <v>17</v>
      </c>
      <c r="B21" s="129" t="inlineStr">
        <is>
          <t>AN Chain</t>
        </is>
      </c>
      <c r="C21" s="129" t="inlineStr">
        <is>
          <t>SAN</t>
        </is>
      </c>
      <c r="D21" s="130" t="inlineStr">
        <is>
          <t>X</t>
        </is>
      </c>
      <c r="E21" s="130" t="inlineStr">
        <is>
          <t>X</t>
        </is>
      </c>
      <c r="F21" s="130" t="inlineStr">
        <is>
          <t>X</t>
        </is>
      </c>
      <c r="G21" s="130" t="inlineStr">
        <is>
          <t>X</t>
        </is>
      </c>
      <c r="H21" s="130">
        <f>COUNTIF(D21:G21,"O")</f>
        <v/>
      </c>
      <c r="I21" s="130">
        <f>IF(H21&gt;=3,25,IF(H21=2,18,IF(H21=1,12,0)))</f>
        <v/>
      </c>
      <c r="J21" s="131" t="inlineStr">
        <is>
          <t>ABS 연계 범용 수지로 중국 공급 확대, 국내 생산</t>
        </is>
      </c>
      <c r="K21" s="130" t="inlineStr">
        <is>
          <t>중간</t>
        </is>
      </c>
      <c r="L21" s="132" t="inlineStr">
        <is>
          <t>S1,S3</t>
        </is>
      </c>
      <c r="P21" s="139" t="inlineStr">
        <is>
          <t>x</t>
        </is>
      </c>
    </row>
    <row r="22" ht="33.95" customHeight="1" s="179">
      <c r="A22" s="128" t="n">
        <v>18</v>
      </c>
      <c r="B22" s="129" t="inlineStr">
        <is>
          <t>AN Chain</t>
        </is>
      </c>
      <c r="C22" s="129" t="inlineStr">
        <is>
          <t>NBR</t>
        </is>
      </c>
      <c r="D22" s="130" t="inlineStr">
        <is>
          <t>X</t>
        </is>
      </c>
      <c r="E22" s="130" t="inlineStr">
        <is>
          <t>X</t>
        </is>
      </c>
      <c r="F22" s="130" t="inlineStr">
        <is>
          <t>X</t>
        </is>
      </c>
      <c r="G22" s="130" t="inlineStr">
        <is>
          <t>X</t>
        </is>
      </c>
      <c r="H22" s="130">
        <f>COUNTIF(D22:G22,"O")</f>
        <v/>
      </c>
      <c r="I22" s="130">
        <f>IF(H22&gt;=3,25,IF(H22=2,18,IF(H22=1,12,0)))</f>
        <v/>
      </c>
      <c r="J22" s="131" t="inlineStr">
        <is>
          <t>중국 NBR/NB latex 증설과 가격경쟁, 국내 생산기반 존재</t>
        </is>
      </c>
      <c r="K22" s="130" t="inlineStr">
        <is>
          <t>중간</t>
        </is>
      </c>
      <c r="L22" s="132" t="inlineStr">
        <is>
          <t>S1,S3</t>
        </is>
      </c>
      <c r="P22" s="139" t="inlineStr">
        <is>
          <t>x</t>
        </is>
      </c>
    </row>
    <row r="23" ht="33.95" customHeight="1" s="179">
      <c r="A23" s="128" t="n">
        <v>19</v>
      </c>
      <c r="B23" s="129" t="inlineStr">
        <is>
          <t>PP Chain</t>
        </is>
      </c>
      <c r="C23" s="129" t="inlineStr">
        <is>
          <t>PP</t>
        </is>
      </c>
      <c r="D23" s="130" t="inlineStr">
        <is>
          <t>X</t>
        </is>
      </c>
      <c r="E23" s="130" t="inlineStr">
        <is>
          <t>X</t>
        </is>
      </c>
      <c r="F23" s="130" t="inlineStr">
        <is>
          <t>X</t>
        </is>
      </c>
      <c r="G23" s="130" t="inlineStr">
        <is>
          <t>X</t>
        </is>
      </c>
      <c r="H23" s="130">
        <f>COUNTIF(D23:G23,"O")</f>
        <v/>
      </c>
      <c r="I23" s="130">
        <f>IF(H23&gt;=3,25,IF(H23=2,18,IF(H23=1,12,0)))</f>
        <v/>
      </c>
      <c r="J23" s="131" t="inlineStr">
        <is>
          <t>중국·중동 신규 PP 증설과 아시아 공급과잉, 국내 생산</t>
        </is>
      </c>
      <c r="K23" s="130" t="inlineStr">
        <is>
          <t>높음</t>
        </is>
      </c>
      <c r="L23" s="132" t="inlineStr">
        <is>
          <t>S1,S2,S3</t>
        </is>
      </c>
      <c r="P23" s="139" t="inlineStr">
        <is>
          <t>x</t>
        </is>
      </c>
    </row>
    <row r="24" ht="33.95" customHeight="1" s="179">
      <c r="A24" s="128" t="n">
        <v>20</v>
      </c>
      <c r="B24" s="129" t="inlineStr">
        <is>
          <t>PO/PG Chain</t>
        </is>
      </c>
      <c r="C24" s="129" t="inlineStr">
        <is>
          <t>PO</t>
        </is>
      </c>
      <c r="D24" s="130" t="inlineStr">
        <is>
          <t>X</t>
        </is>
      </c>
      <c r="E24" s="130" t="inlineStr">
        <is>
          <t>X</t>
        </is>
      </c>
      <c r="F24" s="130" t="inlineStr">
        <is>
          <t>X</t>
        </is>
      </c>
      <c r="G24" s="130" t="inlineStr">
        <is>
          <t>X</t>
        </is>
      </c>
      <c r="H24" s="130">
        <f>COUNTIF(D24:G24,"O")</f>
        <v/>
      </c>
      <c r="I24" s="130">
        <f>IF(H24&gt;=3,25,IF(H24=2,18,IF(H24=1,12,0)))</f>
        <v/>
      </c>
      <c r="J24" s="131" t="inlineStr">
        <is>
          <t>중국 HPPO/PO-SM 계열 증설로 아시아 공급 증가, 국내 생산</t>
        </is>
      </c>
      <c r="K24" s="130" t="inlineStr">
        <is>
          <t>높음</t>
        </is>
      </c>
      <c r="L24" s="132" t="inlineStr">
        <is>
          <t>S1,S3</t>
        </is>
      </c>
      <c r="P24" s="139" t="inlineStr">
        <is>
          <t>x</t>
        </is>
      </c>
    </row>
    <row r="25" ht="33.95" customHeight="1" s="179">
      <c r="A25" s="128" t="n">
        <v>21</v>
      </c>
      <c r="B25" s="129" t="inlineStr">
        <is>
          <t>PO/PG Chain</t>
        </is>
      </c>
      <c r="C25" s="129" t="inlineStr">
        <is>
          <t>PG</t>
        </is>
      </c>
      <c r="D25" s="130" t="inlineStr">
        <is>
          <t>X</t>
        </is>
      </c>
      <c r="E25" s="130" t="inlineStr">
        <is>
          <t>X</t>
        </is>
      </c>
      <c r="F25" s="130" t="inlineStr">
        <is>
          <t>X</t>
        </is>
      </c>
      <c r="G25" s="130" t="inlineStr">
        <is>
          <t>X</t>
        </is>
      </c>
      <c r="H25" s="130">
        <f>COUNTIF(D25:G25,"O")</f>
        <v/>
      </c>
      <c r="I25" s="130">
        <f>IF(H25&gt;=3,25,IF(H25=2,18,IF(H25=1,12,0)))</f>
        <v/>
      </c>
      <c r="J25" s="131" t="inlineStr">
        <is>
          <t>PO 연계 범용 제품으로 중국 공급 증가, 국내 생산·조달 가능</t>
        </is>
      </c>
      <c r="K25" s="130" t="inlineStr">
        <is>
          <t>중간</t>
        </is>
      </c>
      <c r="L25" s="132" t="inlineStr">
        <is>
          <t>S1,S3</t>
        </is>
      </c>
      <c r="P25" s="139" t="inlineStr">
        <is>
          <t>x</t>
        </is>
      </c>
    </row>
    <row r="26" ht="33.95" customHeight="1" s="179">
      <c r="A26" s="128" t="n">
        <v>22</v>
      </c>
      <c r="B26" s="129" t="inlineStr">
        <is>
          <t>UPR Platform</t>
        </is>
      </c>
      <c r="C26" s="129" t="inlineStr">
        <is>
          <t>PG</t>
        </is>
      </c>
      <c r="D26" s="130" t="inlineStr">
        <is>
          <t>X</t>
        </is>
      </c>
      <c r="E26" s="130" t="inlineStr">
        <is>
          <t>X</t>
        </is>
      </c>
      <c r="F26" s="130" t="inlineStr">
        <is>
          <t>X</t>
        </is>
      </c>
      <c r="G26" s="130" t="inlineStr">
        <is>
          <t>X</t>
        </is>
      </c>
      <c r="H26" s="130">
        <f>COUNTIF(D26:G26,"O")</f>
        <v/>
      </c>
      <c r="I26" s="130">
        <f>IF(H26&gt;=3,25,IF(H26=2,18,IF(H26=1,12,0)))</f>
        <v/>
      </c>
      <c r="J26" s="131" t="inlineStr">
        <is>
          <t>PO 연계 범용 제품으로 중국 공급 증가, 국내 생산·조달 가능</t>
        </is>
      </c>
      <c r="K26" s="130" t="inlineStr">
        <is>
          <t>중간</t>
        </is>
      </c>
      <c r="L26" s="132" t="inlineStr">
        <is>
          <t>S1,S3</t>
        </is>
      </c>
      <c r="P26" s="139" t="inlineStr">
        <is>
          <t>x</t>
        </is>
      </c>
    </row>
    <row r="27" ht="33.95" customHeight="1" s="179">
      <c r="A27" s="128" t="n">
        <v>23</v>
      </c>
      <c r="B27" s="129" t="inlineStr">
        <is>
          <t>PO/PG Chain</t>
        </is>
      </c>
      <c r="C27" s="129" t="inlineStr">
        <is>
          <t>PPG</t>
        </is>
      </c>
      <c r="D27" s="130" t="inlineStr">
        <is>
          <t>X</t>
        </is>
      </c>
      <c r="E27" s="130" t="inlineStr">
        <is>
          <t>X</t>
        </is>
      </c>
      <c r="F27" s="130" t="inlineStr">
        <is>
          <t>X</t>
        </is>
      </c>
      <c r="G27" s="130" t="inlineStr">
        <is>
          <t>X</t>
        </is>
      </c>
      <c r="H27" s="130">
        <f>COUNTIF(D27:G27,"O")</f>
        <v/>
      </c>
      <c r="I27" s="130">
        <f>IF(H27&gt;=3,25,IF(H27=2,18,IF(H27=1,12,0)))</f>
        <v/>
      </c>
      <c r="J27" s="131" t="inlineStr">
        <is>
          <t>중국 polyether polyol 증설과 가격경쟁, 국내 생산기반 존재</t>
        </is>
      </c>
      <c r="K27" s="130" t="inlineStr">
        <is>
          <t>중간</t>
        </is>
      </c>
      <c r="L27" s="132" t="inlineStr">
        <is>
          <t>S1,S3</t>
        </is>
      </c>
      <c r="P27" s="139" t="inlineStr">
        <is>
          <t>x</t>
        </is>
      </c>
    </row>
    <row r="28" ht="33.95" customHeight="1" s="179">
      <c r="A28" s="128" t="n">
        <v>24</v>
      </c>
      <c r="B28" s="129" t="inlineStr">
        <is>
          <t>PU Chain</t>
        </is>
      </c>
      <c r="C28" s="129" t="inlineStr">
        <is>
          <t>Polyols</t>
        </is>
      </c>
      <c r="D28" s="130" t="inlineStr">
        <is>
          <t>X</t>
        </is>
      </c>
      <c r="E28" s="130" t="inlineStr">
        <is>
          <t>X</t>
        </is>
      </c>
      <c r="F28" s="130" t="inlineStr">
        <is>
          <t>X</t>
        </is>
      </c>
      <c r="G28" s="130" t="inlineStr">
        <is>
          <t>X</t>
        </is>
      </c>
      <c r="H28" s="130">
        <f>COUNTIF(D28:G28,"O")</f>
        <v/>
      </c>
      <c r="I28" s="130">
        <f>IF(H28&gt;=3,25,IF(H28=2,18,IF(H28=1,12,0)))</f>
        <v/>
      </c>
      <c r="J28" s="131" t="inlineStr">
        <is>
          <t>중국 범용 polyol 공급 확대, 국내 다수 생산자 및 배합업체</t>
        </is>
      </c>
      <c r="K28" s="130" t="inlineStr">
        <is>
          <t>중간</t>
        </is>
      </c>
      <c r="L28" s="132" t="inlineStr">
        <is>
          <t>S1,S3</t>
        </is>
      </c>
      <c r="P28" s="139" t="inlineStr">
        <is>
          <t>?</t>
        </is>
      </c>
    </row>
    <row r="29" ht="33.95" customHeight="1" s="179">
      <c r="A29" s="128" t="n">
        <v>25</v>
      </c>
      <c r="B29" s="129" t="inlineStr">
        <is>
          <t>PU Chain</t>
        </is>
      </c>
      <c r="C29" s="129" t="inlineStr">
        <is>
          <t>PU</t>
        </is>
      </c>
      <c r="D29" s="130" t="inlineStr">
        <is>
          <t>X</t>
        </is>
      </c>
      <c r="E29" s="130" t="inlineStr">
        <is>
          <t>X</t>
        </is>
      </c>
      <c r="F29" s="130" t="inlineStr">
        <is>
          <t>X</t>
        </is>
      </c>
      <c r="G29" s="130" t="inlineStr">
        <is>
          <t>X</t>
        </is>
      </c>
      <c r="H29" s="130">
        <f>COUNTIF(D29:G29,"O")</f>
        <v/>
      </c>
      <c r="I29" s="130">
        <f>IF(H29&gt;=3,25,IF(H29=2,18,IF(H29=1,12,0)))</f>
        <v/>
      </c>
      <c r="J29" s="131" t="inlineStr">
        <is>
          <t>범용 PU는 중국 저가 경쟁 및 다수 지역 생산자로 공급 충분, 국내 생산</t>
        </is>
      </c>
      <c r="K29" s="130" t="inlineStr">
        <is>
          <t>중간</t>
        </is>
      </c>
      <c r="L29" s="132" t="inlineStr">
        <is>
          <t>S1,S3</t>
        </is>
      </c>
      <c r="P29" s="139" t="inlineStr">
        <is>
          <t>x</t>
        </is>
      </c>
    </row>
    <row r="30" ht="33.95" customHeight="1" s="179">
      <c r="A30" s="128" t="n">
        <v>26</v>
      </c>
      <c r="B30" s="129" t="inlineStr">
        <is>
          <t>AA-SAP Chain</t>
        </is>
      </c>
      <c r="C30" s="129" t="inlineStr">
        <is>
          <t>Acrylic acid</t>
        </is>
      </c>
      <c r="D30" s="130" t="inlineStr">
        <is>
          <t>X</t>
        </is>
      </c>
      <c r="E30" s="130" t="inlineStr">
        <is>
          <t>X</t>
        </is>
      </c>
      <c r="F30" s="130" t="inlineStr">
        <is>
          <t>X</t>
        </is>
      </c>
      <c r="G30" s="130" t="inlineStr">
        <is>
          <t>X</t>
        </is>
      </c>
      <c r="H30" s="130">
        <f>COUNTIF(D30:G30,"O")</f>
        <v/>
      </c>
      <c r="I30" s="130">
        <f>IF(H30&gt;=3,25,IF(H30=2,18,IF(H30=1,12,0)))</f>
        <v/>
      </c>
      <c r="J30" s="131" t="inlineStr">
        <is>
          <t>중국 acrylic acid/SAP 일관계열 증설과 공급과잉, 국내 생산</t>
        </is>
      </c>
      <c r="K30" s="130" t="inlineStr">
        <is>
          <t>높음</t>
        </is>
      </c>
      <c r="L30" s="132" t="inlineStr">
        <is>
          <t>S1,S3</t>
        </is>
      </c>
      <c r="P30" s="139" t="inlineStr">
        <is>
          <t>?</t>
        </is>
      </c>
    </row>
    <row r="31" ht="33.95" customHeight="1" s="179">
      <c r="A31" s="128" t="n">
        <v>27</v>
      </c>
      <c r="B31" s="129" t="inlineStr">
        <is>
          <t>Acrylic Ester Chain</t>
        </is>
      </c>
      <c r="C31" s="129" t="inlineStr">
        <is>
          <t>Acrylic acid</t>
        </is>
      </c>
      <c r="D31" s="130" t="inlineStr">
        <is>
          <t>X</t>
        </is>
      </c>
      <c r="E31" s="130" t="inlineStr">
        <is>
          <t>X</t>
        </is>
      </c>
      <c r="F31" s="130" t="inlineStr">
        <is>
          <t>X</t>
        </is>
      </c>
      <c r="G31" s="130" t="inlineStr">
        <is>
          <t>X</t>
        </is>
      </c>
      <c r="H31" s="130">
        <f>COUNTIF(D31:G31,"O")</f>
        <v/>
      </c>
      <c r="I31" s="130">
        <f>IF(H31&gt;=3,25,IF(H31=2,18,IF(H31=1,12,0)))</f>
        <v/>
      </c>
      <c r="J31" s="131" t="inlineStr">
        <is>
          <t>중국 acrylic acid/SAP 일관계열 증설과 공급과잉, 국내 생산</t>
        </is>
      </c>
      <c r="K31" s="130" t="inlineStr">
        <is>
          <t>높음</t>
        </is>
      </c>
      <c r="L31" s="132" t="inlineStr">
        <is>
          <t>S1,S3</t>
        </is>
      </c>
      <c r="P31" s="139" t="inlineStr">
        <is>
          <t>?</t>
        </is>
      </c>
    </row>
    <row r="32" ht="33.95" customHeight="1" s="179">
      <c r="A32" s="128" t="n">
        <v>28</v>
      </c>
      <c r="B32" s="129" t="inlineStr">
        <is>
          <t>Acrylic Ester Chain</t>
        </is>
      </c>
      <c r="C32" s="129" t="inlineStr">
        <is>
          <t>Acrylate Ester</t>
        </is>
      </c>
      <c r="D32" s="130" t="inlineStr">
        <is>
          <t>X</t>
        </is>
      </c>
      <c r="E32" s="130" t="inlineStr">
        <is>
          <t>X</t>
        </is>
      </c>
      <c r="F32" s="130" t="inlineStr">
        <is>
          <t>X</t>
        </is>
      </c>
      <c r="G32" s="130" t="inlineStr">
        <is>
          <t>X</t>
        </is>
      </c>
      <c r="H32" s="130">
        <f>COUNTIF(D32:G32,"O")</f>
        <v/>
      </c>
      <c r="I32" s="130">
        <f>IF(H32&gt;=3,25,IF(H32=2,18,IF(H32=1,12,0)))</f>
        <v/>
      </c>
      <c r="J32" s="131" t="inlineStr">
        <is>
          <t>중국 BA/2-EHA 등 증설 및 범용 용도 가격경쟁, 국내 생산</t>
        </is>
      </c>
      <c r="K32" s="130" t="inlineStr">
        <is>
          <t>높음</t>
        </is>
      </c>
      <c r="L32" s="132" t="inlineStr">
        <is>
          <t>S1,S3</t>
        </is>
      </c>
      <c r="P32" s="139" t="inlineStr">
        <is>
          <t>?</t>
        </is>
      </c>
    </row>
    <row r="33" ht="33.95" customHeight="1" s="179">
      <c r="A33" s="128" t="n">
        <v>29</v>
      </c>
      <c r="B33" s="129" t="inlineStr">
        <is>
          <t>AA-SAP Chain</t>
        </is>
      </c>
      <c r="C33" s="129" t="inlineStr">
        <is>
          <t>SAP</t>
        </is>
      </c>
      <c r="D33" s="130" t="inlineStr">
        <is>
          <t>X</t>
        </is>
      </c>
      <c r="E33" s="130" t="inlineStr">
        <is>
          <t>X</t>
        </is>
      </c>
      <c r="F33" s="130" t="inlineStr">
        <is>
          <t>X</t>
        </is>
      </c>
      <c r="G33" s="130" t="inlineStr">
        <is>
          <t>X</t>
        </is>
      </c>
      <c r="H33" s="130">
        <f>COUNTIF(D33:G33,"O")</f>
        <v/>
      </c>
      <c r="I33" s="130">
        <f>IF(H33&gt;=3,25,IF(H33=2,18,IF(H33=1,12,0)))</f>
        <v/>
      </c>
      <c r="J33" s="131" t="inlineStr">
        <is>
          <t>범용 SAP 공급은 충분하나 위생·고성능 Grade는 품질 인증 장벽 존재, 국내 생산</t>
        </is>
      </c>
      <c r="K33" s="130" t="inlineStr">
        <is>
          <t>중간</t>
        </is>
      </c>
      <c r="L33" s="132" t="inlineStr">
        <is>
          <t>S1,S11</t>
        </is>
      </c>
      <c r="P33" s="139" t="inlineStr">
        <is>
          <t>x</t>
        </is>
      </c>
    </row>
    <row r="34" ht="33.95" customHeight="1" s="179">
      <c r="A34" s="128" t="n">
        <v>30</v>
      </c>
      <c r="B34" s="129" t="inlineStr">
        <is>
          <t>Oxo Alcohol Chain</t>
        </is>
      </c>
      <c r="C34" s="129" t="inlineStr">
        <is>
          <t>n-Butyraldehyde</t>
        </is>
      </c>
      <c r="D34" s="130" t="inlineStr">
        <is>
          <t>X</t>
        </is>
      </c>
      <c r="E34" s="130" t="inlineStr">
        <is>
          <t>X</t>
        </is>
      </c>
      <c r="F34" s="130" t="inlineStr">
        <is>
          <t>X</t>
        </is>
      </c>
      <c r="G34" s="130" t="inlineStr">
        <is>
          <t>X</t>
        </is>
      </c>
      <c r="H34" s="130">
        <f>COUNTIF(D34:G34,"O")</f>
        <v/>
      </c>
      <c r="I34" s="130">
        <f>IF(H34&gt;=3,25,IF(H34=2,18,IF(H34=1,12,0)))</f>
        <v/>
      </c>
      <c r="J34" s="131" t="inlineStr">
        <is>
          <t>대부분 oxo alcohol captive 중간체이며 중국 oxo 증설, 국내 일관 생산 가능</t>
        </is>
      </c>
      <c r="K34" s="130" t="inlineStr">
        <is>
          <t>중간</t>
        </is>
      </c>
      <c r="L34" s="132" t="inlineStr">
        <is>
          <t>S1,S11</t>
        </is>
      </c>
      <c r="P34" s="139" t="inlineStr">
        <is>
          <t>x</t>
        </is>
      </c>
    </row>
    <row r="35" ht="33.95" customHeight="1" s="179">
      <c r="A35" s="128" t="n">
        <v>31</v>
      </c>
      <c r="B35" s="129" t="inlineStr">
        <is>
          <t>Oxo Alcohol Chain</t>
        </is>
      </c>
      <c r="C35" s="129" t="inlineStr">
        <is>
          <t>2-ethylhexanol</t>
        </is>
      </c>
      <c r="D35" s="130" t="inlineStr">
        <is>
          <t>X</t>
        </is>
      </c>
      <c r="E35" s="130" t="inlineStr">
        <is>
          <t>X</t>
        </is>
      </c>
      <c r="F35" s="130" t="inlineStr">
        <is>
          <t>X</t>
        </is>
      </c>
      <c r="G35" s="130" t="inlineStr">
        <is>
          <t>X</t>
        </is>
      </c>
      <c r="H35" s="130">
        <f>COUNTIF(D35:G35,"O")</f>
        <v/>
      </c>
      <c r="I35" s="130">
        <f>IF(H35&gt;=3,25,IF(H35=2,18,IF(H35=1,12,0)))</f>
        <v/>
      </c>
      <c r="J35" s="131" t="inlineStr">
        <is>
          <t>중국 oxo alcohol 증설과 가소제 수요 둔화, 국내 생산</t>
        </is>
      </c>
      <c r="K35" s="130" t="inlineStr">
        <is>
          <t>높음</t>
        </is>
      </c>
      <c r="L35" s="132" t="inlineStr">
        <is>
          <t>S1,S11</t>
        </is>
      </c>
      <c r="P35" s="139" t="inlineStr">
        <is>
          <t>x</t>
        </is>
      </c>
    </row>
    <row r="36" ht="33.95" customHeight="1" s="179">
      <c r="A36" s="128" t="n">
        <v>32</v>
      </c>
      <c r="B36" s="129" t="inlineStr">
        <is>
          <t>Oxo Alcohol Chain</t>
        </is>
      </c>
      <c r="C36" s="129" t="inlineStr">
        <is>
          <t>n-butanol</t>
        </is>
      </c>
      <c r="D36" s="130" t="inlineStr">
        <is>
          <t>X</t>
        </is>
      </c>
      <c r="E36" s="130" t="inlineStr">
        <is>
          <t>X</t>
        </is>
      </c>
      <c r="F36" s="130" t="inlineStr">
        <is>
          <t>X</t>
        </is>
      </c>
      <c r="G36" s="130" t="inlineStr">
        <is>
          <t>O</t>
        </is>
      </c>
      <c r="H36" s="130">
        <f>COUNTIF(D36:G36,"O")</f>
        <v/>
      </c>
      <c r="I36" s="130">
        <f>IF(H36&gt;=3,25,IF(H36=2,18,IF(H36=1,12,0)))</f>
        <v/>
      </c>
      <c r="J36" s="131" t="inlineStr">
        <is>
          <t>중국 oxo 설비 증설과 범용 용제 경쟁, 국내 생산</t>
        </is>
      </c>
      <c r="K36" s="130" t="inlineStr">
        <is>
          <t>높음</t>
        </is>
      </c>
      <c r="L36" s="132" t="inlineStr">
        <is>
          <t>S1,S11</t>
        </is>
      </c>
      <c r="P36" s="139" t="inlineStr">
        <is>
          <t>o</t>
        </is>
      </c>
    </row>
    <row r="37" ht="33.95" customHeight="1" s="179">
      <c r="A37" s="128" t="n">
        <v>33</v>
      </c>
      <c r="B37" s="129" t="inlineStr">
        <is>
          <t>Oxo Alcohol Chain</t>
        </is>
      </c>
      <c r="C37" s="129" t="inlineStr">
        <is>
          <t>n-butyl acetate</t>
        </is>
      </c>
      <c r="D37" s="130" t="inlineStr">
        <is>
          <t>X</t>
        </is>
      </c>
      <c r="E37" s="130" t="inlineStr">
        <is>
          <t>X</t>
        </is>
      </c>
      <c r="F37" s="130" t="inlineStr">
        <is>
          <t>X</t>
        </is>
      </c>
      <c r="G37" s="130" t="inlineStr">
        <is>
          <t>X</t>
        </is>
      </c>
      <c r="H37" s="130">
        <f>COUNTIF(D37:G37,"O")</f>
        <v/>
      </c>
      <c r="I37" s="130">
        <f>IF(H37&gt;=3,25,IF(H37=2,18,IF(H37=1,12,0)))</f>
        <v/>
      </c>
      <c r="J37" s="131" t="inlineStr">
        <is>
          <t>중국 범용 용제 공급 및 가격경쟁, 국내 생산·수입 다변화</t>
        </is>
      </c>
      <c r="K37" s="130" t="inlineStr">
        <is>
          <t>중간</t>
        </is>
      </c>
      <c r="L37" s="132" t="inlineStr">
        <is>
          <t>S1,S11</t>
        </is>
      </c>
      <c r="P37" s="139" t="inlineStr">
        <is>
          <t>?</t>
        </is>
      </c>
    </row>
    <row r="38" ht="33.95" customHeight="1" s="179">
      <c r="A38" s="128" t="n">
        <v>34</v>
      </c>
      <c r="B38" s="129" t="inlineStr">
        <is>
          <t>Oxo Alcohol Chain</t>
        </is>
      </c>
      <c r="C38" s="129" t="inlineStr">
        <is>
          <t>isobutanol</t>
        </is>
      </c>
      <c r="D38" s="130" t="inlineStr">
        <is>
          <t>X</t>
        </is>
      </c>
      <c r="E38" s="130" t="inlineStr">
        <is>
          <t>X</t>
        </is>
      </c>
      <c r="F38" s="130" t="inlineStr">
        <is>
          <t>X</t>
        </is>
      </c>
      <c r="G38" s="130" t="inlineStr">
        <is>
          <t>X</t>
        </is>
      </c>
      <c r="H38" s="130">
        <f>COUNTIF(D38:G38,"O")</f>
        <v/>
      </c>
      <c r="I38" s="130">
        <f>IF(H38&gt;=3,25,IF(H38=2,18,IF(H38=1,12,0)))</f>
        <v/>
      </c>
      <c r="J38" s="131" t="inlineStr">
        <is>
          <t>oxo 병산품으로 공급 충분, 중국 경쟁 및 국내 생산 가능</t>
        </is>
      </c>
      <c r="K38" s="130" t="inlineStr">
        <is>
          <t>중간</t>
        </is>
      </c>
      <c r="L38" s="132" t="inlineStr">
        <is>
          <t>S1,S11</t>
        </is>
      </c>
      <c r="P38" s="139" t="inlineStr">
        <is>
          <t>?</t>
        </is>
      </c>
    </row>
    <row r="39" ht="33.95" customHeight="1" s="179">
      <c r="A39" s="128" t="n">
        <v>35</v>
      </c>
      <c r="B39" s="129" t="inlineStr">
        <is>
          <t>Oxo Alcohol Chain</t>
        </is>
      </c>
      <c r="C39" s="129" t="inlineStr">
        <is>
          <t>isobutyl acetate</t>
        </is>
      </c>
      <c r="D39" s="130" t="inlineStr">
        <is>
          <t>X</t>
        </is>
      </c>
      <c r="E39" s="130" t="inlineStr">
        <is>
          <t>X</t>
        </is>
      </c>
      <c r="F39" s="130" t="inlineStr">
        <is>
          <t>X</t>
        </is>
      </c>
      <c r="G39" s="130" t="inlineStr">
        <is>
          <t>X</t>
        </is>
      </c>
      <c r="H39" s="130">
        <f>COUNTIF(D39:G39,"O")</f>
        <v/>
      </c>
      <c r="I39" s="130">
        <f>IF(H39&gt;=3,25,IF(H39=2,18,IF(H39=1,12,0)))</f>
        <v/>
      </c>
      <c r="J39" s="131" t="inlineStr">
        <is>
          <t>범용 용제로 중국 공급 경쟁, 국내 조달 가능</t>
        </is>
      </c>
      <c r="K39" s="130" t="inlineStr">
        <is>
          <t>중간</t>
        </is>
      </c>
      <c r="L39" s="132" t="inlineStr">
        <is>
          <t>S1,S11</t>
        </is>
      </c>
      <c r="P39" s="139" t="inlineStr">
        <is>
          <t>?</t>
        </is>
      </c>
    </row>
    <row r="40" ht="33.95" customHeight="1" s="179">
      <c r="A40" s="128" t="n">
        <v>36</v>
      </c>
      <c r="B40" s="129" t="inlineStr">
        <is>
          <t>IPA Chain</t>
        </is>
      </c>
      <c r="C40" s="129" t="inlineStr">
        <is>
          <t>IPA</t>
        </is>
      </c>
      <c r="D40" s="130" t="inlineStr">
        <is>
          <t>X</t>
        </is>
      </c>
      <c r="E40" s="130" t="inlineStr">
        <is>
          <t>X</t>
        </is>
      </c>
      <c r="F40" s="130" t="inlineStr">
        <is>
          <t>X</t>
        </is>
      </c>
      <c r="G40" s="130" t="inlineStr">
        <is>
          <t>X</t>
        </is>
      </c>
      <c r="H40" s="130">
        <f>COUNTIF(D40:G40,"O")</f>
        <v/>
      </c>
      <c r="I40" s="130">
        <f>IF(H40&gt;=3,25,IF(H40=2,18,IF(H40=1,12,0)))</f>
        <v/>
      </c>
      <c r="J40" s="131" t="inlineStr">
        <is>
          <t>아시아 신규 IPA 설비와 acetone 기반 공급, 중국 경쟁 및 국내 생산</t>
        </is>
      </c>
      <c r="K40" s="130" t="inlineStr">
        <is>
          <t>높음</t>
        </is>
      </c>
      <c r="L40" s="132" t="inlineStr">
        <is>
          <t>S1,S11</t>
        </is>
      </c>
      <c r="P40" s="139" t="inlineStr">
        <is>
          <t>x</t>
        </is>
      </c>
    </row>
    <row r="41" ht="33.95" customHeight="1" s="179">
      <c r="A41" s="128" t="n">
        <v>37</v>
      </c>
      <c r="B41" s="129" t="inlineStr">
        <is>
          <t>IPA Chain</t>
        </is>
      </c>
      <c r="C41" s="129" t="inlineStr">
        <is>
          <t>Isopropyl acetate</t>
        </is>
      </c>
      <c r="D41" s="130" t="inlineStr">
        <is>
          <t>X</t>
        </is>
      </c>
      <c r="E41" s="130" t="inlineStr">
        <is>
          <t>O</t>
        </is>
      </c>
      <c r="F41" s="130" t="inlineStr">
        <is>
          <t>X</t>
        </is>
      </c>
      <c r="G41" s="130" t="inlineStr">
        <is>
          <t>O</t>
        </is>
      </c>
      <c r="H41" s="130">
        <f>COUNTIF(D41:G41,"O")</f>
        <v/>
      </c>
      <c r="I41" s="130">
        <f>IF(H41&gt;=3,25,IF(H41=2,18,IF(H41=1,12,0)))</f>
        <v/>
      </c>
      <c r="J41" s="131" t="inlineStr">
        <is>
          <t>소규모 niche solvent로 대형 신규 프로젝트는 제한적이나 중국 공급 가능, 국내는 수입 비중이 높은 편</t>
        </is>
      </c>
      <c r="K41" s="130" t="inlineStr">
        <is>
          <t>낮음</t>
        </is>
      </c>
      <c r="L41" s="132" t="inlineStr">
        <is>
          <t>S1,S11</t>
        </is>
      </c>
      <c r="P41" s="139" t="inlineStr">
        <is>
          <t>?</t>
        </is>
      </c>
    </row>
    <row r="42" ht="33.95" customHeight="1" s="179">
      <c r="A42" s="128" t="n">
        <v>38</v>
      </c>
      <c r="B42" s="129" t="inlineStr">
        <is>
          <t>BD Rubber Chain</t>
        </is>
      </c>
      <c r="C42" s="129" t="inlineStr">
        <is>
          <t>Butadiene</t>
        </is>
      </c>
      <c r="D42" s="130" t="inlineStr">
        <is>
          <t>X</t>
        </is>
      </c>
      <c r="E42" s="130" t="inlineStr">
        <is>
          <t>X</t>
        </is>
      </c>
      <c r="F42" s="130" t="inlineStr">
        <is>
          <t>X</t>
        </is>
      </c>
      <c r="G42" s="130" t="inlineStr">
        <is>
          <t>X</t>
        </is>
      </c>
      <c r="H42" s="130">
        <f>COUNTIF(D42:G42,"O")</f>
        <v/>
      </c>
      <c r="I42" s="130">
        <f>IF(H42&gt;=3,25,IF(H42=2,18,IF(H42=1,12,0)))</f>
        <v/>
      </c>
      <c r="J42" s="131" t="inlineStr">
        <is>
          <t>시황 변동성은 크지만 중국 on-purpose/추출 증설과 국내 cracker 공급 존재</t>
        </is>
      </c>
      <c r="K42" s="130" t="inlineStr">
        <is>
          <t>높음</t>
        </is>
      </c>
      <c r="L42" s="132" t="inlineStr">
        <is>
          <t>S1,S3</t>
        </is>
      </c>
      <c r="P42" s="139" t="inlineStr">
        <is>
          <t>x</t>
        </is>
      </c>
    </row>
    <row r="43" ht="33.95" customHeight="1" s="179">
      <c r="A43" s="128" t="n">
        <v>39</v>
      </c>
      <c r="B43" s="129" t="inlineStr">
        <is>
          <t>BD Rubber Chain</t>
        </is>
      </c>
      <c r="C43" s="129" t="inlineStr">
        <is>
          <t>BR</t>
        </is>
      </c>
      <c r="D43" s="130" t="inlineStr">
        <is>
          <t>X</t>
        </is>
      </c>
      <c r="E43" s="130" t="inlineStr">
        <is>
          <t>X</t>
        </is>
      </c>
      <c r="F43" s="130" t="inlineStr">
        <is>
          <t>X</t>
        </is>
      </c>
      <c r="G43" s="130" t="inlineStr">
        <is>
          <t>X</t>
        </is>
      </c>
      <c r="H43" s="130">
        <f>COUNTIF(D43:G43,"O")</f>
        <v/>
      </c>
      <c r="I43" s="130">
        <f>IF(H43&gt;=3,25,IF(H43=2,18,IF(H43=1,12,0)))</f>
        <v/>
      </c>
      <c r="J43" s="131" t="inlineStr">
        <is>
          <t>중국 합성고무 증설과 타이어 수요 둔화, 국내 생산</t>
        </is>
      </c>
      <c r="K43" s="130" t="inlineStr">
        <is>
          <t>높음</t>
        </is>
      </c>
      <c r="L43" s="132" t="inlineStr">
        <is>
          <t>S1,S3</t>
        </is>
      </c>
      <c r="P43" s="139" t="inlineStr">
        <is>
          <t>x</t>
        </is>
      </c>
    </row>
    <row r="44" ht="33.95" customHeight="1" s="179">
      <c r="A44" s="128" t="n">
        <v>40</v>
      </c>
      <c r="B44" s="129" t="inlineStr">
        <is>
          <t>BD Rubber Chain</t>
        </is>
      </c>
      <c r="C44" s="129" t="inlineStr">
        <is>
          <t>SBR</t>
        </is>
      </c>
      <c r="D44" s="130" t="inlineStr">
        <is>
          <t>X</t>
        </is>
      </c>
      <c r="E44" s="130" t="inlineStr">
        <is>
          <t>X</t>
        </is>
      </c>
      <c r="F44" s="130" t="inlineStr">
        <is>
          <t>X</t>
        </is>
      </c>
      <c r="G44" s="130" t="inlineStr">
        <is>
          <t>X</t>
        </is>
      </c>
      <c r="H44" s="130">
        <f>COUNTIF(D44:G44,"O")</f>
        <v/>
      </c>
      <c r="I44" s="130">
        <f>IF(H44&gt;=3,25,IF(H44=2,18,IF(H44=1,12,0)))</f>
        <v/>
      </c>
      <c r="J44" s="131" t="inlineStr">
        <is>
          <t>글로벌·중국 공급 여력과 범용 타이어 Grade 가격경쟁, 국내 생산</t>
        </is>
      </c>
      <c r="K44" s="130" t="inlineStr">
        <is>
          <t>높음</t>
        </is>
      </c>
      <c r="L44" s="132" t="inlineStr">
        <is>
          <t>S1,S3</t>
        </is>
      </c>
      <c r="P44" s="139" t="inlineStr">
        <is>
          <t>x</t>
        </is>
      </c>
    </row>
    <row r="45" ht="33.95" customHeight="1" s="179">
      <c r="A45" s="128" t="n">
        <v>41</v>
      </c>
      <c r="B45" s="129" t="inlineStr">
        <is>
          <t>Isobutylene</t>
        </is>
      </c>
      <c r="C45" s="129" t="inlineStr">
        <is>
          <t>Isobutylene</t>
        </is>
      </c>
      <c r="D45" s="130" t="inlineStr">
        <is>
          <t>O</t>
        </is>
      </c>
      <c r="E45" s="130" t="inlineStr">
        <is>
          <t>X</t>
        </is>
      </c>
      <c r="F45" s="130" t="inlineStr">
        <is>
          <t>X</t>
        </is>
      </c>
      <c r="G45" s="130" t="inlineStr">
        <is>
          <t>X</t>
        </is>
      </c>
      <c r="H45" s="130">
        <f>COUNTIF(D45:G45,"O")</f>
        <v/>
      </c>
      <c r="I45" s="130">
        <f>IF(H45&gt;=3,25,IF(H45=2,18,IF(H45=1,12,0)))</f>
        <v/>
      </c>
      <c r="J45" s="131" t="inlineStr">
        <is>
          <t>고순도 제품은 지역적으로 타이트할 수 있으나 중국 C4 고도화·증설 및 국내 공급 가능</t>
        </is>
      </c>
      <c r="K45" s="130" t="inlineStr">
        <is>
          <t>중간</t>
        </is>
      </c>
      <c r="L45" s="132" t="inlineStr">
        <is>
          <t>S1,S11</t>
        </is>
      </c>
      <c r="P45" s="139" t="inlineStr">
        <is>
          <t>x</t>
        </is>
      </c>
    </row>
    <row r="46" ht="33.95" customHeight="1" s="179">
      <c r="A46" s="128" t="n">
        <v>42</v>
      </c>
      <c r="B46" s="129" t="inlineStr">
        <is>
          <t>Fuel Additive</t>
        </is>
      </c>
      <c r="C46" s="129" t="inlineStr">
        <is>
          <t>Isobutylene</t>
        </is>
      </c>
      <c r="D46" s="130" t="inlineStr">
        <is>
          <t>O</t>
        </is>
      </c>
      <c r="E46" s="130" t="inlineStr">
        <is>
          <t>X</t>
        </is>
      </c>
      <c r="F46" s="130" t="inlineStr">
        <is>
          <t>X</t>
        </is>
      </c>
      <c r="G46" s="130" t="inlineStr">
        <is>
          <t>X</t>
        </is>
      </c>
      <c r="H46" s="130">
        <f>COUNTIF(D46:G46,"O")</f>
        <v/>
      </c>
      <c r="I46" s="130">
        <f>IF(H46&gt;=3,25,IF(H46=2,18,IF(H46=1,12,0)))</f>
        <v/>
      </c>
      <c r="J46" s="131" t="inlineStr">
        <is>
          <t>고순도 제품은 지역적으로 타이트할 수 있으나 중국 C4 고도화·증설 및 국내 공급 가능</t>
        </is>
      </c>
      <c r="K46" s="130" t="inlineStr">
        <is>
          <t>중간</t>
        </is>
      </c>
      <c r="L46" s="132" t="inlineStr">
        <is>
          <t>S1,S11</t>
        </is>
      </c>
      <c r="P46" s="139" t="inlineStr">
        <is>
          <t>x</t>
        </is>
      </c>
    </row>
    <row r="47" ht="33.95" customHeight="1" s="179">
      <c r="A47" s="128" t="n">
        <v>43</v>
      </c>
      <c r="B47" s="129" t="inlineStr">
        <is>
          <t>Isobutylene</t>
        </is>
      </c>
      <c r="C47" s="129" t="inlineStr">
        <is>
          <t>PIB</t>
        </is>
      </c>
      <c r="D47" s="130" t="inlineStr">
        <is>
          <t>X</t>
        </is>
      </c>
      <c r="E47" s="130" t="inlineStr">
        <is>
          <t>O</t>
        </is>
      </c>
      <c r="F47" s="130" t="inlineStr">
        <is>
          <t>O</t>
        </is>
      </c>
      <c r="G47" s="130" t="inlineStr">
        <is>
          <t>X</t>
        </is>
      </c>
      <c r="H47" s="130">
        <f>COUNTIF(D47:G47,"O")</f>
        <v/>
      </c>
      <c r="I47" s="130">
        <f>IF(H47&gt;=3,25,IF(H47=2,18,IF(H47=1,12,0)))</f>
        <v/>
      </c>
      <c r="J47" s="131" t="inlineStr">
        <is>
          <t>소수 업체 중심의 기술·품질 시장이며 대형 신규 증설은 제한적, 국내 DL Chemical 생산</t>
        </is>
      </c>
      <c r="K47" s="130" t="inlineStr">
        <is>
          <t>높음</t>
        </is>
      </c>
      <c r="L47" s="132" t="inlineStr">
        <is>
          <t>S7</t>
        </is>
      </c>
      <c r="P47" s="139" t="inlineStr">
        <is>
          <t>x</t>
        </is>
      </c>
    </row>
    <row r="48" ht="33.95" customHeight="1" s="179">
      <c r="A48" s="128" t="n">
        <v>44</v>
      </c>
      <c r="B48" s="129" t="inlineStr">
        <is>
          <t>1-Butene Chain</t>
        </is>
      </c>
      <c r="C48" s="129" t="inlineStr">
        <is>
          <t>PB-1</t>
        </is>
      </c>
      <c r="D48" s="130" t="inlineStr">
        <is>
          <t>O</t>
        </is>
      </c>
      <c r="E48" s="130" t="inlineStr">
        <is>
          <t>O</t>
        </is>
      </c>
      <c r="F48" s="130" t="inlineStr">
        <is>
          <t>O</t>
        </is>
      </c>
      <c r="G48" s="130" t="inlineStr">
        <is>
          <t>X</t>
        </is>
      </c>
      <c r="H48" s="130">
        <f>COUNTIF(D48:G48,"O")</f>
        <v/>
      </c>
      <c r="I48" s="130">
        <f>IF(H48&gt;=3,25,IF(H48=2,18,IF(H48=1,12,0)))</f>
        <v/>
      </c>
      <c r="J48" s="131" t="inlineStr">
        <is>
          <t>글로벌 소수 생산자 중심의 niche polymer, 신규 증설 제한 및 품질 장벽, 국내 YLEM 생산</t>
        </is>
      </c>
      <c r="K48" s="130" t="inlineStr">
        <is>
          <t>높음</t>
        </is>
      </c>
      <c r="L48" s="132" t="inlineStr">
        <is>
          <t>S8</t>
        </is>
      </c>
      <c r="P48" s="139" t="inlineStr">
        <is>
          <t>x</t>
        </is>
      </c>
    </row>
    <row r="49" ht="33.95" customHeight="1" s="179">
      <c r="A49" s="128" t="n">
        <v>45</v>
      </c>
      <c r="B49" s="129" t="inlineStr">
        <is>
          <t>Fuel Additive</t>
        </is>
      </c>
      <c r="C49" s="129" t="inlineStr">
        <is>
          <t>MTBE</t>
        </is>
      </c>
      <c r="D49" s="130" t="inlineStr">
        <is>
          <t>X</t>
        </is>
      </c>
      <c r="E49" s="130" t="inlineStr">
        <is>
          <t>X</t>
        </is>
      </c>
      <c r="F49" s="130" t="inlineStr">
        <is>
          <t>X</t>
        </is>
      </c>
      <c r="G49" s="130" t="inlineStr">
        <is>
          <t>X</t>
        </is>
      </c>
      <c r="H49" s="130">
        <f>COUNTIF(D49:G49,"O")</f>
        <v/>
      </c>
      <c r="I49" s="130">
        <f>IF(H49&gt;=3,25,IF(H49=2,18,IF(H49=1,12,0)))</f>
        <v/>
      </c>
      <c r="J49" s="131" t="inlineStr">
        <is>
          <t>가솔린 첨가제 수요 성숙과 중국·중동 공급, 국내 정유·석화 생산</t>
        </is>
      </c>
      <c r="K49" s="130" t="inlineStr">
        <is>
          <t>높음</t>
        </is>
      </c>
      <c r="L49" s="132" t="inlineStr">
        <is>
          <t>S1,S11</t>
        </is>
      </c>
      <c r="P49" s="139" t="inlineStr">
        <is>
          <t>x</t>
        </is>
      </c>
    </row>
    <row r="50" ht="33.95" customHeight="1" s="179">
      <c r="A50" s="128" t="n">
        <v>46</v>
      </c>
      <c r="B50" s="129" t="inlineStr">
        <is>
          <t>C4 Elastomer Chain</t>
        </is>
      </c>
      <c r="C50" s="129" t="inlineStr">
        <is>
          <t>Butyl rubber</t>
        </is>
      </c>
      <c r="D50" s="130" t="inlineStr">
        <is>
          <t>X</t>
        </is>
      </c>
      <c r="E50" s="130" t="inlineStr">
        <is>
          <t>X</t>
        </is>
      </c>
      <c r="F50" s="130" t="inlineStr">
        <is>
          <t>O</t>
        </is>
      </c>
      <c r="G50" s="130" t="inlineStr">
        <is>
          <t>O</t>
        </is>
      </c>
      <c r="H50" s="130">
        <f>COUNTIF(D50:G50,"O")</f>
        <v/>
      </c>
      <c r="I50" s="130">
        <f>IF(H50&gt;=3,25,IF(H50=2,18,IF(H50=1,12,0)))</f>
        <v/>
      </c>
      <c r="J50" s="131" t="inlineStr">
        <is>
          <t>기본 Grade 증설은 있으나 halobutyl·고사양은 기술 장벽, 국내 생산기반 제한</t>
        </is>
      </c>
      <c r="K50" s="130" t="inlineStr">
        <is>
          <t>중간</t>
        </is>
      </c>
      <c r="L50" s="132" t="inlineStr">
        <is>
          <t>S1,S11</t>
        </is>
      </c>
      <c r="P50" s="139" t="inlineStr">
        <is>
          <t>o</t>
        </is>
      </c>
    </row>
    <row r="51" ht="33.95" customHeight="1" s="179">
      <c r="A51" s="128" t="n">
        <v>47</v>
      </c>
      <c r="B51" s="129" t="inlineStr">
        <is>
          <t>1-Butene Chain</t>
        </is>
      </c>
      <c r="C51" s="129" t="inlineStr">
        <is>
          <t>1-Butene</t>
        </is>
      </c>
      <c r="D51" s="130" t="inlineStr">
        <is>
          <t>O</t>
        </is>
      </c>
      <c r="E51" s="130" t="inlineStr">
        <is>
          <t>X</t>
        </is>
      </c>
      <c r="F51" s="130" t="inlineStr">
        <is>
          <t>X</t>
        </is>
      </c>
      <c r="G51" s="130" t="inlineStr">
        <is>
          <t>X</t>
        </is>
      </c>
      <c r="H51" s="130">
        <f>COUNTIF(D51:G51,"O")</f>
        <v/>
      </c>
      <c r="I51" s="130">
        <f>IF(H51&gt;=3,25,IF(H51=2,18,IF(H51=1,12,0)))</f>
        <v/>
      </c>
      <c r="J51" s="131" t="inlineStr">
        <is>
          <t>PE comonomer 수요 증가 시 지역적 타이트 가능하나 중국·중동 증설과 국내 공급 존재</t>
        </is>
      </c>
      <c r="K51" s="130" t="inlineStr">
        <is>
          <t>중간</t>
        </is>
      </c>
      <c r="L51" s="132" t="inlineStr">
        <is>
          <t>S1,S11</t>
        </is>
      </c>
      <c r="P51" s="139" t="inlineStr">
        <is>
          <t>x</t>
        </is>
      </c>
    </row>
    <row r="52" ht="33.95" customHeight="1" s="179">
      <c r="A52" s="128" t="n">
        <v>48</v>
      </c>
      <c r="B52" s="129" t="inlineStr">
        <is>
          <t>PS Chain</t>
        </is>
      </c>
      <c r="C52" s="129" t="inlineStr">
        <is>
          <t>Ethylbenzene</t>
        </is>
      </c>
      <c r="D52" s="130" t="inlineStr">
        <is>
          <t>X</t>
        </is>
      </c>
      <c r="E52" s="130" t="inlineStr">
        <is>
          <t>X</t>
        </is>
      </c>
      <c r="F52" s="130" t="inlineStr">
        <is>
          <t>X</t>
        </is>
      </c>
      <c r="G52" s="130" t="inlineStr">
        <is>
          <t>X</t>
        </is>
      </c>
      <c r="H52" s="130">
        <f>COUNTIF(D52:G52,"O")</f>
        <v/>
      </c>
      <c r="I52" s="130">
        <f>IF(H52&gt;=3,25,IF(H52=2,18,IF(H52=1,12,0)))</f>
        <v/>
      </c>
      <c r="J52" s="131" t="inlineStr">
        <is>
          <t>대부분 styrene captive 원료이며 styrenics 공급과잉, 국내 생산</t>
        </is>
      </c>
      <c r="K52" s="130" t="inlineStr">
        <is>
          <t>높음</t>
        </is>
      </c>
      <c r="L52" s="132" t="inlineStr">
        <is>
          <t>S1,S11</t>
        </is>
      </c>
      <c r="P52" s="139" t="inlineStr">
        <is>
          <t>x</t>
        </is>
      </c>
    </row>
    <row r="53" ht="33.95" customHeight="1" s="179">
      <c r="A53" s="128" t="n">
        <v>49</v>
      </c>
      <c r="B53" s="129" t="inlineStr">
        <is>
          <t>PS Chain</t>
        </is>
      </c>
      <c r="C53" s="129" t="inlineStr">
        <is>
          <t>Styrene</t>
        </is>
      </c>
      <c r="D53" s="130" t="inlineStr">
        <is>
          <t>X</t>
        </is>
      </c>
      <c r="E53" s="130" t="inlineStr">
        <is>
          <t>X</t>
        </is>
      </c>
      <c r="F53" s="130" t="inlineStr">
        <is>
          <t>X</t>
        </is>
      </c>
      <c r="G53" s="130" t="inlineStr">
        <is>
          <t>X</t>
        </is>
      </c>
      <c r="H53" s="130">
        <f>COUNTIF(D53:G53,"O")</f>
        <v/>
      </c>
      <c r="I53" s="130">
        <f>IF(H53&gt;=3,25,IF(H53=2,18,IF(H53=1,12,0)))</f>
        <v/>
      </c>
      <c r="J53" s="131" t="inlineStr">
        <is>
          <t>중국 대규모 styrene 증설과 아시아 공급과잉, 국내 생산</t>
        </is>
      </c>
      <c r="K53" s="130" t="inlineStr">
        <is>
          <t>높음</t>
        </is>
      </c>
      <c r="L53" s="132" t="inlineStr">
        <is>
          <t>S1,S11</t>
        </is>
      </c>
      <c r="P53" s="141" t="inlineStr">
        <is>
          <t>o</t>
        </is>
      </c>
    </row>
    <row r="54" ht="33.95" customHeight="1" s="179">
      <c r="A54" s="128" t="n">
        <v>50</v>
      </c>
      <c r="B54" s="129" t="inlineStr">
        <is>
          <t>PS Chain</t>
        </is>
      </c>
      <c r="C54" s="129" t="inlineStr">
        <is>
          <t>PS</t>
        </is>
      </c>
      <c r="D54" s="130" t="inlineStr">
        <is>
          <t>X</t>
        </is>
      </c>
      <c r="E54" s="130" t="inlineStr">
        <is>
          <t>X</t>
        </is>
      </c>
      <c r="F54" s="130" t="inlineStr">
        <is>
          <t>X</t>
        </is>
      </c>
      <c r="G54" s="130" t="inlineStr">
        <is>
          <t>X</t>
        </is>
      </c>
      <c r="H54" s="130">
        <f>COUNTIF(D54:G54,"O")</f>
        <v/>
      </c>
      <c r="I54" s="130">
        <f>IF(H54&gt;=3,25,IF(H54=2,18,IF(H54=1,12,0)))</f>
        <v/>
      </c>
      <c r="J54" s="131" t="inlineStr">
        <is>
          <t>성숙시장·중국 저가 경쟁 및 국내 생산</t>
        </is>
      </c>
      <c r="K54" s="130" t="inlineStr">
        <is>
          <t>높음</t>
        </is>
      </c>
      <c r="L54" s="132" t="inlineStr">
        <is>
          <t>S1,S11</t>
        </is>
      </c>
      <c r="P54" s="139" t="inlineStr">
        <is>
          <t>x</t>
        </is>
      </c>
    </row>
    <row r="55" ht="33.95" customHeight="1" s="179">
      <c r="A55" s="128" t="n">
        <v>51</v>
      </c>
      <c r="B55" s="129" t="inlineStr">
        <is>
          <t>Phenol/Acetone Chain</t>
        </is>
      </c>
      <c r="C55" s="129" t="inlineStr">
        <is>
          <t>Cumene</t>
        </is>
      </c>
      <c r="D55" s="130" t="inlineStr">
        <is>
          <t>X</t>
        </is>
      </c>
      <c r="E55" s="130" t="inlineStr">
        <is>
          <t>X</t>
        </is>
      </c>
      <c r="F55" s="130" t="inlineStr">
        <is>
          <t>X</t>
        </is>
      </c>
      <c r="G55" s="130" t="inlineStr">
        <is>
          <t>X</t>
        </is>
      </c>
      <c r="H55" s="130">
        <f>COUNTIF(D55:G55,"O")</f>
        <v/>
      </c>
      <c r="I55" s="130">
        <f>IF(H55&gt;=3,25,IF(H55=2,18,IF(H55=1,12,0)))</f>
        <v/>
      </c>
      <c r="J55" s="131" t="inlineStr">
        <is>
          <t>phenol/acetone captive 원료이며 중국 일관계열 증설, 국내 생산</t>
        </is>
      </c>
      <c r="K55" s="130" t="inlineStr">
        <is>
          <t>높음</t>
        </is>
      </c>
      <c r="L55" s="132" t="inlineStr">
        <is>
          <t>S1,S11</t>
        </is>
      </c>
      <c r="P55" s="139" t="inlineStr">
        <is>
          <t>x</t>
        </is>
      </c>
    </row>
    <row r="56" ht="33.95" customHeight="1" s="179">
      <c r="A56" s="128" t="n">
        <v>52</v>
      </c>
      <c r="B56" s="129" t="inlineStr">
        <is>
          <t>Phenol/Acetone Chain</t>
        </is>
      </c>
      <c r="C56" s="129" t="inlineStr">
        <is>
          <t>Phenol</t>
        </is>
      </c>
      <c r="D56" s="130" t="inlineStr">
        <is>
          <t>X</t>
        </is>
      </c>
      <c r="E56" s="130" t="inlineStr">
        <is>
          <t>X</t>
        </is>
      </c>
      <c r="F56" s="130" t="inlineStr">
        <is>
          <t>X</t>
        </is>
      </c>
      <c r="G56" s="130" t="inlineStr">
        <is>
          <t>X</t>
        </is>
      </c>
      <c r="H56" s="130">
        <f>COUNTIF(D56:G56,"O")</f>
        <v/>
      </c>
      <c r="I56" s="130">
        <f>IF(H56&gt;=3,25,IF(H56=2,18,IF(H56=1,12,0)))</f>
        <v/>
      </c>
      <c r="J56" s="131" t="inlineStr">
        <is>
          <t>중국 phenol/acetone 신규설비와 아시아 공급 부담, 국내 생산</t>
        </is>
      </c>
      <c r="K56" s="130" t="inlineStr">
        <is>
          <t>높음</t>
        </is>
      </c>
      <c r="L56" s="132" t="inlineStr">
        <is>
          <t>S1,S11</t>
        </is>
      </c>
      <c r="P56" s="139" t="inlineStr">
        <is>
          <t>x</t>
        </is>
      </c>
    </row>
    <row r="57" ht="33.95" customHeight="1" s="179">
      <c r="A57" s="128" t="n">
        <v>53</v>
      </c>
      <c r="B57" s="129" t="inlineStr">
        <is>
          <t>Phenol/Acetone Chain</t>
        </is>
      </c>
      <c r="C57" s="129" t="inlineStr">
        <is>
          <t>Acetone</t>
        </is>
      </c>
      <c r="D57" s="130" t="inlineStr">
        <is>
          <t>X</t>
        </is>
      </c>
      <c r="E57" s="130" t="inlineStr">
        <is>
          <t>X</t>
        </is>
      </c>
      <c r="F57" s="130" t="inlineStr">
        <is>
          <t>X</t>
        </is>
      </c>
      <c r="G57" s="130" t="inlineStr">
        <is>
          <t>X</t>
        </is>
      </c>
      <c r="H57" s="130">
        <f>COUNTIF(D57:G57,"O")</f>
        <v/>
      </c>
      <c r="I57" s="130">
        <f>IF(H57&gt;=3,25,IF(H57=2,18,IF(H57=1,12,0)))</f>
        <v/>
      </c>
      <c r="J57" s="131" t="inlineStr">
        <is>
          <t>phenol 병산품으로 공급 변동은 있으나 구조적 부족 아님, 중국 경쟁·국내 생산</t>
        </is>
      </c>
      <c r="K57" s="130" t="inlineStr">
        <is>
          <t>높음</t>
        </is>
      </c>
      <c r="L57" s="132" t="inlineStr">
        <is>
          <t>S1,S11</t>
        </is>
      </c>
      <c r="P57" s="139" t="inlineStr">
        <is>
          <t>x</t>
        </is>
      </c>
    </row>
    <row r="58" ht="33.95" customHeight="1" s="179">
      <c r="A58" s="128" t="n">
        <v>54</v>
      </c>
      <c r="B58" s="129" t="inlineStr">
        <is>
          <t>Epoxy Chain</t>
        </is>
      </c>
      <c r="C58" s="129" t="inlineStr">
        <is>
          <t>BPA</t>
        </is>
      </c>
      <c r="D58" s="130" t="inlineStr">
        <is>
          <t>X</t>
        </is>
      </c>
      <c r="E58" s="130" t="inlineStr">
        <is>
          <t>X</t>
        </is>
      </c>
      <c r="F58" s="130" t="inlineStr">
        <is>
          <t>X</t>
        </is>
      </c>
      <c r="G58" s="130" t="inlineStr">
        <is>
          <t>X</t>
        </is>
      </c>
      <c r="H58" s="130">
        <f>COUNTIF(D58:G58,"O")</f>
        <v/>
      </c>
      <c r="I58" s="130">
        <f>IF(H58&gt;=3,25,IF(H58=2,18,IF(H58=1,12,0)))</f>
        <v/>
      </c>
      <c r="J58" s="131" t="inlineStr">
        <is>
          <t>중국 BPA 대규모 증설과 PC/epoxy 수요 둔화, 국내 생산</t>
        </is>
      </c>
      <c r="K58" s="130" t="inlineStr">
        <is>
          <t>높음</t>
        </is>
      </c>
      <c r="L58" s="132" t="inlineStr">
        <is>
          <t>S1,S11</t>
        </is>
      </c>
      <c r="P58" s="139" t="inlineStr">
        <is>
          <t>x</t>
        </is>
      </c>
    </row>
    <row r="59" ht="33.95" customHeight="1" s="179">
      <c r="A59" s="128" t="n">
        <v>55</v>
      </c>
      <c r="B59" s="129" t="inlineStr">
        <is>
          <t>PC Chain</t>
        </is>
      </c>
      <c r="C59" s="129" t="inlineStr">
        <is>
          <t>BPA</t>
        </is>
      </c>
      <c r="D59" s="130" t="inlineStr">
        <is>
          <t>X</t>
        </is>
      </c>
      <c r="E59" s="130" t="inlineStr">
        <is>
          <t>X</t>
        </is>
      </c>
      <c r="F59" s="130" t="inlineStr">
        <is>
          <t>X</t>
        </is>
      </c>
      <c r="G59" s="130" t="inlineStr">
        <is>
          <t>X</t>
        </is>
      </c>
      <c r="H59" s="130">
        <f>COUNTIF(D59:G59,"O")</f>
        <v/>
      </c>
      <c r="I59" s="130">
        <f>IF(H59&gt;=3,25,IF(H59=2,18,IF(H59=1,12,0)))</f>
        <v/>
      </c>
      <c r="J59" s="131" t="inlineStr">
        <is>
          <t>중국 BPA 대규모 증설과 PC/epoxy 수요 둔화, 국내 생산</t>
        </is>
      </c>
      <c r="K59" s="130" t="inlineStr">
        <is>
          <t>높음</t>
        </is>
      </c>
      <c r="L59" s="132" t="inlineStr">
        <is>
          <t>S1,S11</t>
        </is>
      </c>
      <c r="P59" s="139" t="inlineStr">
        <is>
          <t>x</t>
        </is>
      </c>
    </row>
    <row r="60" ht="33.95" customHeight="1" s="179">
      <c r="A60" s="128" t="n">
        <v>56</v>
      </c>
      <c r="B60" s="129" t="inlineStr">
        <is>
          <t>PC Chain</t>
        </is>
      </c>
      <c r="C60" s="129" t="inlineStr">
        <is>
          <t>PC</t>
        </is>
      </c>
      <c r="D60" s="130" t="inlineStr">
        <is>
          <t>X</t>
        </is>
      </c>
      <c r="E60" s="130" t="inlineStr">
        <is>
          <t>X</t>
        </is>
      </c>
      <c r="F60" s="130" t="inlineStr">
        <is>
          <t>X</t>
        </is>
      </c>
      <c r="G60" s="130" t="inlineStr">
        <is>
          <t>X</t>
        </is>
      </c>
      <c r="H60" s="130">
        <f>COUNTIF(D60:G60,"O")</f>
        <v/>
      </c>
      <c r="I60" s="130">
        <f>IF(H60&gt;=3,25,IF(H60=2,18,IF(H60=1,12,0)))</f>
        <v/>
      </c>
      <c r="J60" s="131" t="inlineStr">
        <is>
          <t>중국 자급화·증설 및 범용 Grade 가격경쟁, 국내 생산</t>
        </is>
      </c>
      <c r="K60" s="130" t="inlineStr">
        <is>
          <t>높음</t>
        </is>
      </c>
      <c r="L60" s="132" t="inlineStr">
        <is>
          <t>S1,S11</t>
        </is>
      </c>
      <c r="P60" s="139" t="inlineStr">
        <is>
          <t>x</t>
        </is>
      </c>
    </row>
    <row r="61" ht="33.95" customHeight="1" s="179">
      <c r="A61" s="128" t="n">
        <v>57</v>
      </c>
      <c r="B61" s="129" t="inlineStr">
        <is>
          <t>Epoxy Chain</t>
        </is>
      </c>
      <c r="C61" s="129" t="inlineStr">
        <is>
          <t>Epoxy resin</t>
        </is>
      </c>
      <c r="D61" s="130" t="inlineStr">
        <is>
          <t>X</t>
        </is>
      </c>
      <c r="E61" s="130" t="inlineStr">
        <is>
          <t>X</t>
        </is>
      </c>
      <c r="F61" s="130" t="inlineStr">
        <is>
          <t>X</t>
        </is>
      </c>
      <c r="G61" s="130" t="inlineStr">
        <is>
          <t>X</t>
        </is>
      </c>
      <c r="H61" s="130">
        <f>COUNTIF(D61:G61,"O")</f>
        <v/>
      </c>
      <c r="I61" s="130">
        <f>IF(H61&gt;=3,25,IF(H61=2,18,IF(H61=1,12,0)))</f>
        <v/>
      </c>
      <c r="J61" s="131" t="inlineStr">
        <is>
          <t>중국 액상·고상 epoxy 공급과 가격경쟁, 국내 생산기반 존재</t>
        </is>
      </c>
      <c r="K61" s="130" t="inlineStr">
        <is>
          <t>높음</t>
        </is>
      </c>
      <c r="L61" s="132" t="inlineStr">
        <is>
          <t>S1,S11</t>
        </is>
      </c>
      <c r="P61" s="139" t="inlineStr">
        <is>
          <t>x</t>
        </is>
      </c>
    </row>
    <row r="62" ht="33.95" customHeight="1" s="179">
      <c r="A62" s="128" t="n">
        <v>58</v>
      </c>
      <c r="B62" s="129" t="inlineStr">
        <is>
          <t>Nylon/PA Chain</t>
        </is>
      </c>
      <c r="C62" s="129" t="inlineStr">
        <is>
          <t>Cyclohexane</t>
        </is>
      </c>
      <c r="D62" s="130" t="inlineStr">
        <is>
          <t>X</t>
        </is>
      </c>
      <c r="E62" s="130" t="inlineStr">
        <is>
          <t>X</t>
        </is>
      </c>
      <c r="F62" s="130" t="inlineStr">
        <is>
          <t>X</t>
        </is>
      </c>
      <c r="G62" s="130" t="inlineStr">
        <is>
          <t>O</t>
        </is>
      </c>
      <c r="H62" s="130">
        <f>COUNTIF(D62:G62,"O")</f>
        <v/>
      </c>
      <c r="I62" s="130">
        <f>IF(H62&gt;=3,25,IF(H62=2,18,IF(H62=1,12,0)))</f>
        <v/>
      </c>
      <c r="J62" s="131" t="inlineStr">
        <is>
          <t>nylon 체인 수요와 연동되며 중국 신규 nylon 일관계열 존재, 국내 merchant 공급은 제한적</t>
        </is>
      </c>
      <c r="K62" s="130" t="inlineStr">
        <is>
          <t>낮음</t>
        </is>
      </c>
      <c r="L62" s="132" t="inlineStr">
        <is>
          <t>S1,S11</t>
        </is>
      </c>
      <c r="P62" s="139" t="inlineStr">
        <is>
          <t>o</t>
        </is>
      </c>
    </row>
    <row r="63" ht="33.95" customHeight="1" s="179">
      <c r="A63" s="128" t="n">
        <v>59</v>
      </c>
      <c r="B63" s="129" t="inlineStr">
        <is>
          <t>Aniline-MDI Chain</t>
        </is>
      </c>
      <c r="C63" s="129" t="inlineStr">
        <is>
          <t>Aniline</t>
        </is>
      </c>
      <c r="D63" s="130" t="inlineStr">
        <is>
          <t>X</t>
        </is>
      </c>
      <c r="E63" s="130" t="inlineStr">
        <is>
          <t>X</t>
        </is>
      </c>
      <c r="F63" s="130" t="inlineStr">
        <is>
          <t>X</t>
        </is>
      </c>
      <c r="G63" s="130" t="inlineStr">
        <is>
          <t>O</t>
        </is>
      </c>
      <c r="H63" s="130">
        <f>COUNTIF(D63:G63,"O")</f>
        <v/>
      </c>
      <c r="I63" s="130">
        <f>IF(H63&gt;=3,25,IF(H63=2,18,IF(H63=1,12,0)))</f>
        <v/>
      </c>
      <c r="J63" s="131" t="inlineStr">
        <is>
          <t>중국 MDI 일관계열의 aniline 증설과 가격경쟁, 국내 수요 대비 merchant 생산 제한</t>
        </is>
      </c>
      <c r="K63" s="130" t="inlineStr">
        <is>
          <t>중간</t>
        </is>
      </c>
      <c r="L63" s="132" t="inlineStr">
        <is>
          <t>S1,S11</t>
        </is>
      </c>
      <c r="P63" s="139" t="inlineStr">
        <is>
          <t>o</t>
        </is>
      </c>
    </row>
    <row r="64" ht="33.95" customHeight="1" s="179">
      <c r="A64" s="128" t="n">
        <v>60</v>
      </c>
      <c r="B64" s="129" t="inlineStr">
        <is>
          <t>LAB Chain</t>
        </is>
      </c>
      <c r="C64" s="129" t="inlineStr">
        <is>
          <t>LAB</t>
        </is>
      </c>
      <c r="D64" s="130" t="inlineStr">
        <is>
          <t>X</t>
        </is>
      </c>
      <c r="E64" s="130" t="inlineStr">
        <is>
          <t>O</t>
        </is>
      </c>
      <c r="F64" s="130" t="inlineStr">
        <is>
          <t>X</t>
        </is>
      </c>
      <c r="G64" s="130" t="inlineStr">
        <is>
          <t>X</t>
        </is>
      </c>
      <c r="H64" s="130">
        <f>COUNTIF(D64:G64,"O")</f>
        <v/>
      </c>
      <c r="I64" s="130">
        <f>IF(H64&gt;=3,25,IF(H64=2,18,IF(H64=1,12,0)))</f>
        <v/>
      </c>
      <c r="J64" s="131" t="inlineStr">
        <is>
          <t>세제용 성숙시장으로 대형 신규 프로젝트는 제한적이나 중동·중국 경쟁, 국내 생산</t>
        </is>
      </c>
      <c r="K64" s="130" t="inlineStr">
        <is>
          <t>중간</t>
        </is>
      </c>
      <c r="L64" s="132" t="inlineStr">
        <is>
          <t>S1,S11</t>
        </is>
      </c>
      <c r="P64" s="139" t="inlineStr">
        <is>
          <t>x</t>
        </is>
      </c>
    </row>
    <row r="65" ht="33.95" customHeight="1" s="179">
      <c r="A65" s="128" t="n">
        <v>61</v>
      </c>
      <c r="B65" s="129" t="inlineStr">
        <is>
          <t>Nylon/PA Chain</t>
        </is>
      </c>
      <c r="C65" s="129" t="inlineStr">
        <is>
          <t>Cyclohexanone</t>
        </is>
      </c>
      <c r="D65" s="130" t="inlineStr">
        <is>
          <t>X</t>
        </is>
      </c>
      <c r="E65" s="130" t="inlineStr">
        <is>
          <t>X</t>
        </is>
      </c>
      <c r="F65" s="130" t="inlineStr">
        <is>
          <t>X</t>
        </is>
      </c>
      <c r="G65" s="130" t="inlineStr">
        <is>
          <t>X</t>
        </is>
      </c>
      <c r="H65" s="130">
        <f>COUNTIF(D65:G65,"O")</f>
        <v/>
      </c>
      <c r="I65" s="130">
        <f>IF(H65&gt;=3,25,IF(H65=2,18,IF(H65=1,12,0)))</f>
        <v/>
      </c>
      <c r="J65" s="131" t="inlineStr">
        <is>
          <t>중국 caprolactam 일관계열 증설, 국내 Capro 계열 생산기반</t>
        </is>
      </c>
      <c r="K65" s="130" t="inlineStr">
        <is>
          <t>중간</t>
        </is>
      </c>
      <c r="L65" s="132" t="inlineStr">
        <is>
          <t>S9</t>
        </is>
      </c>
      <c r="P65" s="139" t="n"/>
    </row>
    <row r="66" ht="33.95" customHeight="1" s="179">
      <c r="A66" s="128" t="n">
        <v>62</v>
      </c>
      <c r="B66" s="129" t="inlineStr">
        <is>
          <t>UPR Platform</t>
        </is>
      </c>
      <c r="C66" s="129" t="inlineStr">
        <is>
          <t>MA</t>
        </is>
      </c>
      <c r="D66" s="130" t="inlineStr">
        <is>
          <t>X</t>
        </is>
      </c>
      <c r="E66" s="130" t="inlineStr">
        <is>
          <t>X</t>
        </is>
      </c>
      <c r="F66" s="130" t="inlineStr">
        <is>
          <t>X</t>
        </is>
      </c>
      <c r="G66" s="130" t="inlineStr">
        <is>
          <t>O</t>
        </is>
      </c>
      <c r="H66" s="130">
        <f>COUNTIF(D66:G66,"O")</f>
        <v/>
      </c>
      <c r="I66" s="130">
        <f>IF(H66&gt;=3,25,IF(H66=2,18,IF(H66=1,12,0)))</f>
        <v/>
      </c>
      <c r="J66" s="131" t="inlineStr">
        <is>
          <t>중국 maleic anhydride 대규모 공급과 신규 n-butane route 증설, 국내 수입 비중 높음</t>
        </is>
      </c>
      <c r="K66" s="130" t="inlineStr">
        <is>
          <t>높음</t>
        </is>
      </c>
      <c r="L66" s="132" t="inlineStr">
        <is>
          <t>S1,S11</t>
        </is>
      </c>
      <c r="P66" s="139" t="inlineStr">
        <is>
          <t>x</t>
        </is>
      </c>
    </row>
    <row r="67" ht="33.95" customHeight="1" s="179">
      <c r="A67" s="128" t="n">
        <v>63</v>
      </c>
      <c r="B67" s="129" t="inlineStr">
        <is>
          <t>UPR Platform</t>
        </is>
      </c>
      <c r="C67" s="129" t="inlineStr">
        <is>
          <t>PA</t>
        </is>
      </c>
      <c r="D67" s="130" t="inlineStr">
        <is>
          <t>X</t>
        </is>
      </c>
      <c r="E67" s="130" t="inlineStr">
        <is>
          <t>X</t>
        </is>
      </c>
      <c r="F67" s="130" t="inlineStr">
        <is>
          <t>X</t>
        </is>
      </c>
      <c r="G67" s="130" t="inlineStr">
        <is>
          <t>X</t>
        </is>
      </c>
      <c r="H67" s="130">
        <f>COUNTIF(D67:G67,"O")</f>
        <v/>
      </c>
      <c r="I67" s="130">
        <f>IF(H67&gt;=3,25,IF(H67=2,18,IF(H67=1,12,0)))</f>
        <v/>
      </c>
      <c r="J67" s="131" t="inlineStr">
        <is>
          <t>중국 공급과잉 및 성숙시장, 국내 생산기반 존재</t>
        </is>
      </c>
      <c r="K67" s="130" t="inlineStr">
        <is>
          <t>높음</t>
        </is>
      </c>
      <c r="L67" s="132" t="inlineStr">
        <is>
          <t>S1,S11</t>
        </is>
      </c>
      <c r="P67" s="139" t="inlineStr">
        <is>
          <t>x</t>
        </is>
      </c>
    </row>
    <row r="68" ht="33.95" customHeight="1" s="179">
      <c r="A68" s="128" t="n">
        <v>64</v>
      </c>
      <c r="B68" s="129" t="inlineStr">
        <is>
          <t>OX-PA Chain</t>
        </is>
      </c>
      <c r="C68" s="129" t="inlineStr">
        <is>
          <t>PA</t>
        </is>
      </c>
      <c r="D68" s="130" t="inlineStr">
        <is>
          <t>X</t>
        </is>
      </c>
      <c r="E68" s="130" t="inlineStr">
        <is>
          <t>X</t>
        </is>
      </c>
      <c r="F68" s="130" t="inlineStr">
        <is>
          <t>X</t>
        </is>
      </c>
      <c r="G68" s="130" t="inlineStr">
        <is>
          <t>X</t>
        </is>
      </c>
      <c r="H68" s="130">
        <f>COUNTIF(D68:G68,"O")</f>
        <v/>
      </c>
      <c r="I68" s="130">
        <f>IF(H68&gt;=3,25,IF(H68=2,18,IF(H68=1,12,0)))</f>
        <v/>
      </c>
      <c r="J68" s="131" t="inlineStr">
        <is>
          <t>중국 공급과잉 및 성숙시장, 국내 생산기반 존재</t>
        </is>
      </c>
      <c r="K68" s="130" t="inlineStr">
        <is>
          <t>높음</t>
        </is>
      </c>
      <c r="L68" s="132" t="inlineStr">
        <is>
          <t>S1,S11</t>
        </is>
      </c>
      <c r="P68" s="139" t="inlineStr">
        <is>
          <t>x</t>
        </is>
      </c>
    </row>
    <row r="69" ht="33.95" customHeight="1" s="179">
      <c r="A69" s="128" t="n">
        <v>65</v>
      </c>
      <c r="B69" s="129" t="inlineStr">
        <is>
          <t>Nylon/PA Chain</t>
        </is>
      </c>
      <c r="C69" s="129" t="inlineStr">
        <is>
          <t>Caprolactam</t>
        </is>
      </c>
      <c r="D69" s="130" t="inlineStr">
        <is>
          <t>X</t>
        </is>
      </c>
      <c r="E69" s="130" t="inlineStr">
        <is>
          <t>X</t>
        </is>
      </c>
      <c r="F69" s="130" t="inlineStr">
        <is>
          <t>X</t>
        </is>
      </c>
      <c r="G69" s="130" t="inlineStr">
        <is>
          <t>X</t>
        </is>
      </c>
      <c r="H69" s="130">
        <f>COUNTIF(D69:G69,"O")</f>
        <v/>
      </c>
      <c r="I69" s="130">
        <f>IF(H69&gt;=3,25,IF(H69=2,18,IF(H69=1,12,0)))</f>
        <v/>
      </c>
      <c r="J69" s="131" t="inlineStr">
        <is>
          <t>중국 자급화·과잉과 PA6 일관계열 경쟁, 국내 유일 생산기반 존재</t>
        </is>
      </c>
      <c r="K69" s="130" t="inlineStr">
        <is>
          <t>높음</t>
        </is>
      </c>
      <c r="L69" s="132" t="inlineStr">
        <is>
          <t>S9</t>
        </is>
      </c>
      <c r="P69" s="139" t="inlineStr">
        <is>
          <t>o</t>
        </is>
      </c>
    </row>
    <row r="70" ht="33.95" customHeight="1" s="179">
      <c r="A70" s="128" t="n">
        <v>66</v>
      </c>
      <c r="B70" s="129" t="inlineStr">
        <is>
          <t>LAO/PAO Chain</t>
        </is>
      </c>
      <c r="C70" s="129" t="inlineStr">
        <is>
          <t>LAO</t>
        </is>
      </c>
      <c r="D70" s="130" t="inlineStr">
        <is>
          <t>O</t>
        </is>
      </c>
      <c r="E70" s="130" t="inlineStr">
        <is>
          <t>X</t>
        </is>
      </c>
      <c r="F70" s="130" t="inlineStr">
        <is>
          <t>O</t>
        </is>
      </c>
      <c r="G70" s="130" t="inlineStr">
        <is>
          <t>O</t>
        </is>
      </c>
      <c r="H70" s="130">
        <f>COUNTIF(D70:G70,"O")</f>
        <v/>
      </c>
      <c r="I70" s="130">
        <f>IF(H70&gt;=3,25,IF(H70=2,18,IF(H70=1,12,0)))</f>
        <v/>
      </c>
      <c r="J70" s="131" t="inlineStr">
        <is>
          <t>C6-C10 고급 comonomer는 소수 기술사 중심이나 미국·중동·중국 증설 존재, 국내 수입 의존</t>
        </is>
      </c>
      <c r="K70" s="130" t="inlineStr">
        <is>
          <t>중간</t>
        </is>
      </c>
      <c r="L70" s="132" t="inlineStr">
        <is>
          <t>S1,S11</t>
        </is>
      </c>
      <c r="P70" s="139" t="inlineStr">
        <is>
          <t>o</t>
        </is>
      </c>
    </row>
    <row r="71" ht="33.95" customHeight="1" s="179">
      <c r="A71" s="128" t="n">
        <v>67</v>
      </c>
      <c r="B71" s="129" t="inlineStr">
        <is>
          <t>LAO/PAO Chain</t>
        </is>
      </c>
      <c r="C71" s="129" t="inlineStr">
        <is>
          <t>PAO</t>
        </is>
      </c>
      <c r="D71" s="130" t="inlineStr">
        <is>
          <t>O</t>
        </is>
      </c>
      <c r="E71" s="130" t="inlineStr">
        <is>
          <t>X</t>
        </is>
      </c>
      <c r="F71" s="130" t="inlineStr">
        <is>
          <t>O</t>
        </is>
      </c>
      <c r="G71" s="130" t="inlineStr">
        <is>
          <t>O</t>
        </is>
      </c>
      <c r="H71" s="130">
        <f>COUNTIF(D71:G71,"O")</f>
        <v/>
      </c>
      <c r="I71" s="130">
        <f>IF(H71&gt;=3,25,IF(H71=2,18,IF(H71=1,12,0)))</f>
        <v/>
      </c>
      <c r="J71" s="131" t="inlineStr">
        <is>
          <t>고성능 윤활기유로 공급자 집중·기술 장벽이 높지만 2025년 이후 증설 진행, 국내 수입 의존</t>
        </is>
      </c>
      <c r="K71" s="130" t="inlineStr">
        <is>
          <t>높음</t>
        </is>
      </c>
      <c r="L71" s="132" t="inlineStr">
        <is>
          <t>S6,S11</t>
        </is>
      </c>
      <c r="P71" s="139" t="inlineStr">
        <is>
          <t>o</t>
        </is>
      </c>
    </row>
    <row r="72" ht="33.95" customHeight="1" s="179">
      <c r="A72" s="128" t="n">
        <v>68</v>
      </c>
      <c r="B72" s="129" t="inlineStr">
        <is>
          <t>MMA/PMMA Chain</t>
        </is>
      </c>
      <c r="C72" s="129" t="inlineStr">
        <is>
          <t>MMA</t>
        </is>
      </c>
      <c r="D72" s="130" t="inlineStr">
        <is>
          <t>X</t>
        </is>
      </c>
      <c r="E72" s="130" t="inlineStr">
        <is>
          <t>X</t>
        </is>
      </c>
      <c r="F72" s="130" t="inlineStr">
        <is>
          <t>X</t>
        </is>
      </c>
      <c r="G72" s="130" t="inlineStr">
        <is>
          <t>X</t>
        </is>
      </c>
      <c r="H72" s="130">
        <f>COUNTIF(D72:G72,"O")</f>
        <v/>
      </c>
      <c r="I72" s="130">
        <f>IF(H72&gt;=3,25,IF(H72=2,18,IF(H72=1,12,0)))</f>
        <v/>
      </c>
      <c r="J72" s="131" t="inlineStr">
        <is>
          <t>중국 신규 MMA 및 C2 route 확대로 공급 부담, 국내 생산</t>
        </is>
      </c>
      <c r="K72" s="130" t="inlineStr">
        <is>
          <t>높음</t>
        </is>
      </c>
      <c r="L72" s="132" t="inlineStr">
        <is>
          <t>S1,S11</t>
        </is>
      </c>
      <c r="P72" s="139" t="inlineStr">
        <is>
          <t>x</t>
        </is>
      </c>
    </row>
    <row r="73" ht="33.95" customHeight="1" s="179">
      <c r="A73" s="128" t="n">
        <v>69</v>
      </c>
      <c r="B73" s="129" t="inlineStr">
        <is>
          <t>MMA/PMMA Chain</t>
        </is>
      </c>
      <c r="C73" s="129" t="inlineStr">
        <is>
          <t>PMMA</t>
        </is>
      </c>
      <c r="D73" s="130" t="inlineStr">
        <is>
          <t>X</t>
        </is>
      </c>
      <c r="E73" s="130" t="inlineStr">
        <is>
          <t>X</t>
        </is>
      </c>
      <c r="F73" s="130" t="inlineStr">
        <is>
          <t>X</t>
        </is>
      </c>
      <c r="G73" s="130" t="inlineStr">
        <is>
          <t>X</t>
        </is>
      </c>
      <c r="H73" s="130">
        <f>COUNTIF(D73:G73,"O")</f>
        <v/>
      </c>
      <c r="I73" s="130">
        <f>IF(H73&gt;=3,25,IF(H73=2,18,IF(H73=1,12,0)))</f>
        <v/>
      </c>
      <c r="J73" s="131" t="inlineStr">
        <is>
          <t>중국 PMMA 증설과 범용 sheet/molding Grade 경쟁, 국내 생산</t>
        </is>
      </c>
      <c r="K73" s="130" t="inlineStr">
        <is>
          <t>높음</t>
        </is>
      </c>
      <c r="L73" s="132" t="inlineStr">
        <is>
          <t>S1,S11</t>
        </is>
      </c>
      <c r="P73" s="139" t="inlineStr">
        <is>
          <t>x</t>
        </is>
      </c>
    </row>
    <row r="74" ht="33.95" customHeight="1" s="179">
      <c r="A74" s="128" t="n">
        <v>70</v>
      </c>
      <c r="B74" s="129" t="inlineStr">
        <is>
          <t>EC/DMC Chain</t>
        </is>
      </c>
      <c r="C74" s="129" t="inlineStr">
        <is>
          <t>EC</t>
        </is>
      </c>
      <c r="D74" s="130" t="inlineStr">
        <is>
          <t>X</t>
        </is>
      </c>
      <c r="E74" s="130" t="inlineStr">
        <is>
          <t>X</t>
        </is>
      </c>
      <c r="F74" s="130" t="inlineStr">
        <is>
          <t>X</t>
        </is>
      </c>
      <c r="G74" s="130" t="inlineStr">
        <is>
          <t>O</t>
        </is>
      </c>
      <c r="H74" s="130">
        <f>COUNTIF(D74:G74,"O")</f>
        <v/>
      </c>
      <c r="I74" s="130">
        <f>IF(H74&gt;=3,25,IF(H74=2,18,IF(H74=1,12,0)))</f>
        <v/>
      </c>
      <c r="J74" s="131" t="inlineStr">
        <is>
          <t>배터리용 고순도 수요는 성장하나 중국 용제 생산능력 과잉·증설, 국내 일부 수입 의존</t>
        </is>
      </c>
      <c r="K74" s="130" t="inlineStr">
        <is>
          <t>중간</t>
        </is>
      </c>
      <c r="L74" s="132" t="inlineStr">
        <is>
          <t>S1,S11</t>
        </is>
      </c>
      <c r="P74" s="139" t="inlineStr">
        <is>
          <t>x</t>
        </is>
      </c>
    </row>
    <row r="75" ht="33.95" customHeight="1" s="179">
      <c r="A75" s="128" t="n">
        <v>71</v>
      </c>
      <c r="B75" s="129" t="inlineStr">
        <is>
          <t>EC/DMC Chain</t>
        </is>
      </c>
      <c r="C75" s="129" t="inlineStr">
        <is>
          <t>DMC</t>
        </is>
      </c>
      <c r="D75" s="130" t="inlineStr">
        <is>
          <t>X</t>
        </is>
      </c>
      <c r="E75" s="130" t="inlineStr">
        <is>
          <t>X</t>
        </is>
      </c>
      <c r="F75" s="130" t="inlineStr">
        <is>
          <t>X</t>
        </is>
      </c>
      <c r="G75" s="130" t="inlineStr">
        <is>
          <t>O</t>
        </is>
      </c>
      <c r="H75" s="130">
        <f>COUNTIF(D75:G75,"O")</f>
        <v/>
      </c>
      <c r="I75" s="130">
        <f>IF(H75&gt;=3,25,IF(H75=2,18,IF(H75=1,12,0)))</f>
        <v/>
      </c>
      <c r="J75" s="131" t="inlineStr">
        <is>
          <t>중국 coal/PO route DMC 대규모 증설과 저가 경쟁, 국내 고순도 일부 수입 의존</t>
        </is>
      </c>
      <c r="K75" s="130" t="inlineStr">
        <is>
          <t>높음</t>
        </is>
      </c>
      <c r="L75" s="132" t="inlineStr">
        <is>
          <t>S1,S11</t>
        </is>
      </c>
      <c r="P75" s="139" t="inlineStr">
        <is>
          <t>x</t>
        </is>
      </c>
    </row>
    <row r="76" ht="33.95" customHeight="1" s="179">
      <c r="A76" s="128" t="n">
        <v>72</v>
      </c>
      <c r="B76" s="129" t="inlineStr">
        <is>
          <t>VAM Chain</t>
        </is>
      </c>
      <c r="C76" s="129" t="inlineStr">
        <is>
          <t>PVOH</t>
        </is>
      </c>
      <c r="D76" s="130" t="inlineStr">
        <is>
          <t>X</t>
        </is>
      </c>
      <c r="E76" s="130" t="inlineStr">
        <is>
          <t>X</t>
        </is>
      </c>
      <c r="F76" s="130" t="inlineStr">
        <is>
          <t>X</t>
        </is>
      </c>
      <c r="G76" s="130" t="inlineStr">
        <is>
          <t>O</t>
        </is>
      </c>
      <c r="H76" s="130">
        <f>COUNTIF(D76:G76,"O")</f>
        <v/>
      </c>
      <c r="I76" s="130">
        <f>IF(H76&gt;=3,25,IF(H76=2,18,IF(H76=1,12,0)))</f>
        <v/>
      </c>
      <c r="J76" s="131" t="inlineStr">
        <is>
          <t>중국·일본 공급자 기반과 중국 증설, 국내 대규모 생산 제한</t>
        </is>
      </c>
      <c r="K76" s="130" t="inlineStr">
        <is>
          <t>중간</t>
        </is>
      </c>
      <c r="L76" s="132" t="inlineStr">
        <is>
          <t>S1,S11</t>
        </is>
      </c>
      <c r="P76" s="139" t="inlineStr">
        <is>
          <t>o</t>
        </is>
      </c>
    </row>
    <row r="77" ht="33.95" customHeight="1" s="179">
      <c r="A77" s="128" t="n">
        <v>73</v>
      </c>
      <c r="B77" s="129" t="inlineStr">
        <is>
          <t>VAM Chain</t>
        </is>
      </c>
      <c r="C77" s="129" t="inlineStr">
        <is>
          <t>EVA</t>
        </is>
      </c>
      <c r="D77" s="130" t="inlineStr">
        <is>
          <t>X</t>
        </is>
      </c>
      <c r="E77" s="130" t="inlineStr">
        <is>
          <t>X</t>
        </is>
      </c>
      <c r="F77" s="130" t="inlineStr">
        <is>
          <t>X</t>
        </is>
      </c>
      <c r="G77" s="130" t="inlineStr">
        <is>
          <t>X</t>
        </is>
      </c>
      <c r="H77" s="130">
        <f>COUNTIF(D77:G77,"O")</f>
        <v/>
      </c>
      <c r="I77" s="130">
        <f>IF(H77&gt;=3,25,IF(H77=2,18,IF(H77=1,12,0)))</f>
        <v/>
      </c>
      <c r="J77" s="131" t="inlineStr">
        <is>
          <t>중국 태양광용 EVA 증설 급증과 가격경쟁, 국내 생산</t>
        </is>
      </c>
      <c r="K77" s="130" t="inlineStr">
        <is>
          <t>높음</t>
        </is>
      </c>
      <c r="L77" s="132" t="inlineStr">
        <is>
          <t>S1,S11</t>
        </is>
      </c>
      <c r="P77" s="139" t="inlineStr">
        <is>
          <t>x</t>
        </is>
      </c>
    </row>
    <row r="78" ht="33.95" customHeight="1" s="179">
      <c r="A78" s="128" t="n">
        <v>74</v>
      </c>
      <c r="B78" s="129" t="inlineStr">
        <is>
          <t>PU Chain</t>
        </is>
      </c>
      <c r="C78" s="129" t="inlineStr">
        <is>
          <t>MDI</t>
        </is>
      </c>
      <c r="D78" s="130" t="inlineStr">
        <is>
          <t>X</t>
        </is>
      </c>
      <c r="E78" s="130" t="inlineStr">
        <is>
          <t>X</t>
        </is>
      </c>
      <c r="F78" s="130" t="inlineStr">
        <is>
          <t>X</t>
        </is>
      </c>
      <c r="G78" s="130" t="inlineStr">
        <is>
          <t>X</t>
        </is>
      </c>
      <c r="H78" s="130">
        <f>COUNTIF(D78:G78,"O")</f>
        <v/>
      </c>
      <c r="I78" s="130">
        <f>IF(H78&gt;=3,25,IF(H78=2,18,IF(H78=1,12,0)))</f>
        <v/>
      </c>
      <c r="J78" s="131" t="inlineStr">
        <is>
          <t>중국 Wanhua 및 국내 KMCI 증설 진행, 국내 대형 생산기반</t>
        </is>
      </c>
      <c r="K78" s="130" t="inlineStr">
        <is>
          <t>높음</t>
        </is>
      </c>
      <c r="L78" s="132" t="inlineStr">
        <is>
          <t>S5</t>
        </is>
      </c>
      <c r="P78" s="139" t="inlineStr">
        <is>
          <t>o</t>
        </is>
      </c>
    </row>
    <row r="79" ht="33.95" customHeight="1" s="179">
      <c r="A79" s="128" t="n">
        <v>75</v>
      </c>
      <c r="B79" s="129" t="inlineStr">
        <is>
          <t>Aniline-MDI Chain</t>
        </is>
      </c>
      <c r="C79" s="129" t="inlineStr">
        <is>
          <t>MDI</t>
        </is>
      </c>
      <c r="D79" s="130" t="inlineStr">
        <is>
          <t>X</t>
        </is>
      </c>
      <c r="E79" s="130" t="inlineStr">
        <is>
          <t>X</t>
        </is>
      </c>
      <c r="F79" s="130" t="inlineStr">
        <is>
          <t>X</t>
        </is>
      </c>
      <c r="G79" s="130" t="inlineStr">
        <is>
          <t>X</t>
        </is>
      </c>
      <c r="H79" s="130">
        <f>COUNTIF(D79:G79,"O")</f>
        <v/>
      </c>
      <c r="I79" s="130">
        <f>IF(H79&gt;=3,25,IF(H79=2,18,IF(H79=1,12,0)))</f>
        <v/>
      </c>
      <c r="J79" s="131" t="inlineStr">
        <is>
          <t>중국 Wanhua 및 국내 KMCI 증설 진행, 국내 대형 생산기반</t>
        </is>
      </c>
      <c r="K79" s="130" t="inlineStr">
        <is>
          <t>높음</t>
        </is>
      </c>
      <c r="L79" s="132" t="inlineStr">
        <is>
          <t>S5</t>
        </is>
      </c>
      <c r="P79" s="139" t="inlineStr">
        <is>
          <t>o</t>
        </is>
      </c>
    </row>
    <row r="80" ht="33.95" customHeight="1" s="179">
      <c r="A80" s="128" t="n">
        <v>76</v>
      </c>
      <c r="B80" s="129" t="inlineStr">
        <is>
          <t>PU Chain</t>
        </is>
      </c>
      <c r="C80" s="129" t="inlineStr">
        <is>
          <t>TDI</t>
        </is>
      </c>
      <c r="D80" s="130" t="inlineStr">
        <is>
          <t>X</t>
        </is>
      </c>
      <c r="E80" s="130" t="inlineStr">
        <is>
          <t>X</t>
        </is>
      </c>
      <c r="F80" s="130" t="inlineStr">
        <is>
          <t>X</t>
        </is>
      </c>
      <c r="G80" s="130" t="inlineStr">
        <is>
          <t>X</t>
        </is>
      </c>
      <c r="H80" s="130">
        <f>COUNTIF(D80:G80,"O")</f>
        <v/>
      </c>
      <c r="I80" s="130">
        <f>IF(H80&gt;=3,25,IF(H80=2,18,IF(H80=1,12,0)))</f>
        <v/>
      </c>
      <c r="J80" s="131" t="inlineStr">
        <is>
          <t>중국 TDI 공급과잉과 저가 경쟁, 국내 생산</t>
        </is>
      </c>
      <c r="K80" s="130" t="inlineStr">
        <is>
          <t>높음</t>
        </is>
      </c>
      <c r="L80" s="132" t="inlineStr">
        <is>
          <t>S1,S11</t>
        </is>
      </c>
      <c r="P80" s="139" t="inlineStr">
        <is>
          <t>x</t>
        </is>
      </c>
    </row>
    <row r="81" ht="33.95" customHeight="1" s="179">
      <c r="A81" s="128" t="n">
        <v>77</v>
      </c>
      <c r="B81" s="129" t="inlineStr">
        <is>
          <t>OX-PA Chain</t>
        </is>
      </c>
      <c r="C81" s="129" t="inlineStr">
        <is>
          <t>o-Xylene</t>
        </is>
      </c>
      <c r="D81" s="130" t="inlineStr">
        <is>
          <t>X</t>
        </is>
      </c>
      <c r="E81" s="130" t="inlineStr">
        <is>
          <t>O</t>
        </is>
      </c>
      <c r="F81" s="130" t="inlineStr">
        <is>
          <t>X</t>
        </is>
      </c>
      <c r="G81" s="130" t="inlineStr">
        <is>
          <t>X</t>
        </is>
      </c>
      <c r="H81" s="130">
        <f>COUNTIF(D81:G81,"O")</f>
        <v/>
      </c>
      <c r="I81" s="130">
        <f>IF(H81&gt;=3,25,IF(H81=2,18,IF(H81=1,12,0)))</f>
        <v/>
      </c>
      <c r="J81" s="131" t="inlineStr">
        <is>
          <t>PA 수요 성숙으로 대형 전용 증설은 제한적이나 중국 aromatics 공급 경쟁, 국내 생산</t>
        </is>
      </c>
      <c r="K81" s="130" t="inlineStr">
        <is>
          <t>중간</t>
        </is>
      </c>
      <c r="L81" s="132" t="inlineStr">
        <is>
          <t>S1,S11</t>
        </is>
      </c>
      <c r="P81" s="139" t="inlineStr">
        <is>
          <t>x</t>
        </is>
      </c>
    </row>
    <row r="82" ht="33.95" customHeight="1" s="179">
      <c r="A82" s="128" t="n">
        <v>78</v>
      </c>
      <c r="B82" s="129" t="inlineStr">
        <is>
          <t>MX-PIA Chain</t>
        </is>
      </c>
      <c r="C82" s="129" t="inlineStr">
        <is>
          <t>m-Xylene</t>
        </is>
      </c>
      <c r="D82" s="130" t="inlineStr">
        <is>
          <t>O</t>
        </is>
      </c>
      <c r="E82" s="130" t="inlineStr">
        <is>
          <t>O</t>
        </is>
      </c>
      <c r="F82" s="130" t="inlineStr">
        <is>
          <t>O</t>
        </is>
      </c>
      <c r="G82" s="130" t="inlineStr">
        <is>
          <t>O</t>
        </is>
      </c>
      <c r="H82" s="130">
        <f>COUNTIF(D82:G82,"O")</f>
        <v/>
      </c>
      <c r="I82" s="130">
        <f>IF(H82&gt;=3,25,IF(H82=2,18,IF(H82=1,12,0)))</f>
        <v/>
      </c>
      <c r="J82" s="131" t="inlineStr">
        <is>
          <t>분리·정제 가능한 공급자가 제한적인 niche isomer이며 신규 전용 증설 제한, 국내 수입 의존</t>
        </is>
      </c>
      <c r="K82" s="130" t="inlineStr">
        <is>
          <t>중간</t>
        </is>
      </c>
      <c r="L82" s="132" t="inlineStr">
        <is>
          <t>S1,S11</t>
        </is>
      </c>
      <c r="P82" s="139" t="inlineStr">
        <is>
          <t>x</t>
        </is>
      </c>
    </row>
    <row r="83" ht="33.95" customHeight="1" s="179">
      <c r="A83" s="128" t="n">
        <v>79</v>
      </c>
      <c r="B83" s="129" t="inlineStr">
        <is>
          <t>PX-PET Chain</t>
        </is>
      </c>
      <c r="C83" s="129" t="inlineStr">
        <is>
          <t>p-Xylene</t>
        </is>
      </c>
      <c r="D83" s="130" t="inlineStr">
        <is>
          <t>X</t>
        </is>
      </c>
      <c r="E83" s="130" t="inlineStr">
        <is>
          <t>X</t>
        </is>
      </c>
      <c r="F83" s="130" t="inlineStr">
        <is>
          <t>X</t>
        </is>
      </c>
      <c r="G83" s="130" t="inlineStr">
        <is>
          <t>X</t>
        </is>
      </c>
      <c r="H83" s="130">
        <f>COUNTIF(D83:G83,"O")</f>
        <v/>
      </c>
      <c r="I83" s="130">
        <f>IF(H83&gt;=3,25,IF(H83=2,18,IF(H83=1,12,0)))</f>
        <v/>
      </c>
      <c r="J83" s="131" t="inlineStr">
        <is>
          <t>중국 대규모 PX 증설과 자급화, 국내 대형 생산기반</t>
        </is>
      </c>
      <c r="K83" s="130" t="inlineStr">
        <is>
          <t>높음</t>
        </is>
      </c>
      <c r="L83" s="132" t="inlineStr">
        <is>
          <t>S1,S11</t>
        </is>
      </c>
      <c r="P83" s="139" t="inlineStr">
        <is>
          <t>x</t>
        </is>
      </c>
    </row>
    <row r="84" ht="33.95" customHeight="1" s="179">
      <c r="A84" s="128" t="n">
        <v>80</v>
      </c>
      <c r="B84" s="129" t="inlineStr">
        <is>
          <t>MX-PIA Chain</t>
        </is>
      </c>
      <c r="C84" s="129" t="inlineStr">
        <is>
          <t>PIA</t>
        </is>
      </c>
      <c r="D84" s="130" t="inlineStr">
        <is>
          <t>O</t>
        </is>
      </c>
      <c r="E84" s="130" t="inlineStr">
        <is>
          <t>O</t>
        </is>
      </c>
      <c r="F84" s="130" t="inlineStr">
        <is>
          <t>O</t>
        </is>
      </c>
      <c r="G84" s="130" t="inlineStr">
        <is>
          <t>X</t>
        </is>
      </c>
      <c r="H84" s="130">
        <f>COUNTIF(D84:G84,"O")</f>
        <v/>
      </c>
      <c r="I84" s="130">
        <f>IF(H84&gt;=3,25,IF(H84=2,18,IF(H84=1,12,0)))</f>
        <v/>
      </c>
      <c r="J84" s="131" t="inlineStr">
        <is>
          <t>소수 글로벌 생산자 중심의 specialty aromatic acid, 신규 증설 제한·품질 장벽, 국내 Lotte 생산</t>
        </is>
      </c>
      <c r="K84" s="130" t="inlineStr">
        <is>
          <t>중간</t>
        </is>
      </c>
      <c r="L84" s="132" t="inlineStr">
        <is>
          <t>S10</t>
        </is>
      </c>
      <c r="P84" s="139" t="inlineStr">
        <is>
          <t>x</t>
        </is>
      </c>
    </row>
    <row r="85" ht="33.95" customHeight="1" s="179">
      <c r="A85" s="128" t="n">
        <v>81</v>
      </c>
      <c r="B85" s="129" t="inlineStr">
        <is>
          <t>PX-PET Chain</t>
        </is>
      </c>
      <c r="C85" s="129" t="inlineStr">
        <is>
          <t>TPA</t>
        </is>
      </c>
      <c r="D85" s="130" t="inlineStr">
        <is>
          <t>X</t>
        </is>
      </c>
      <c r="E85" s="130" t="inlineStr">
        <is>
          <t>X</t>
        </is>
      </c>
      <c r="F85" s="130" t="inlineStr">
        <is>
          <t>X</t>
        </is>
      </c>
      <c r="G85" s="130" t="inlineStr">
        <is>
          <t>X</t>
        </is>
      </c>
      <c r="H85" s="130">
        <f>COUNTIF(D85:G85,"O")</f>
        <v/>
      </c>
      <c r="I85" s="130">
        <f>IF(H85&gt;=3,25,IF(H85=2,18,IF(H85=1,12,0)))</f>
        <v/>
      </c>
      <c r="J85" s="131" t="inlineStr">
        <is>
          <t>중국 PTA 대규모 과잉과 신규 일관계열 경쟁, 국내 생산</t>
        </is>
      </c>
      <c r="K85" s="130" t="inlineStr">
        <is>
          <t>높음</t>
        </is>
      </c>
      <c r="L85" s="132" t="inlineStr">
        <is>
          <t>S4</t>
        </is>
      </c>
      <c r="P85" s="139" t="inlineStr">
        <is>
          <t>x</t>
        </is>
      </c>
    </row>
    <row r="86" ht="33.95" customHeight="1" s="179">
      <c r="A86" s="128" t="n">
        <v>82</v>
      </c>
      <c r="B86" s="129" t="inlineStr">
        <is>
          <t>PX-PET Chain</t>
        </is>
      </c>
      <c r="C86" s="129" t="inlineStr">
        <is>
          <t>DMT</t>
        </is>
      </c>
      <c r="D86" s="130" t="inlineStr">
        <is>
          <t>O</t>
        </is>
      </c>
      <c r="E86" s="130" t="inlineStr">
        <is>
          <t>O</t>
        </is>
      </c>
      <c r="F86" s="130" t="inlineStr">
        <is>
          <t>O</t>
        </is>
      </c>
      <c r="G86" s="130" t="inlineStr">
        <is>
          <t>O</t>
        </is>
      </c>
      <c r="H86" s="130">
        <f>COUNTIF(D86:G86,"O")</f>
        <v/>
      </c>
      <c r="I86" s="130">
        <f>IF(H86&gt;=3,25,IF(H86=2,18,IF(H86=1,12,0)))</f>
        <v/>
      </c>
      <c r="J86" s="131" t="inlineStr">
        <is>
          <t>PTA 대체로 생산자가 감소한 niche feedstock, 신규 증설 제한 및 국내 공급기반 제한</t>
        </is>
      </c>
      <c r="K86" s="130" t="inlineStr">
        <is>
          <t>중간</t>
        </is>
      </c>
      <c r="L86" s="132" t="inlineStr">
        <is>
          <t>S10</t>
        </is>
      </c>
      <c r="P86" s="139" t="n"/>
    </row>
    <row r="87" ht="33.95" customHeight="1" s="179">
      <c r="A87" s="128" t="n">
        <v>83</v>
      </c>
      <c r="B87" s="129" t="inlineStr">
        <is>
          <t>EO-PET Chain</t>
        </is>
      </c>
      <c r="C87" s="129" t="inlineStr">
        <is>
          <t>PET</t>
        </is>
      </c>
      <c r="D87" s="130" t="inlineStr">
        <is>
          <t>X</t>
        </is>
      </c>
      <c r="E87" s="130" t="inlineStr">
        <is>
          <t>X</t>
        </is>
      </c>
      <c r="F87" s="130" t="inlineStr">
        <is>
          <t>X</t>
        </is>
      </c>
      <c r="G87" s="130" t="inlineStr">
        <is>
          <t>X</t>
        </is>
      </c>
      <c r="H87" s="130">
        <f>COUNTIF(D87:G87,"O")</f>
        <v/>
      </c>
      <c r="I87" s="130">
        <f>IF(H87&gt;=3,25,IF(H87=2,18,IF(H87=1,12,0)))</f>
        <v/>
      </c>
      <c r="J87" s="131" t="inlineStr">
        <is>
          <t>중국 bottle/textile PET 과잉과 지속 증설, 국내 생산</t>
        </is>
      </c>
      <c r="K87" s="130" t="inlineStr">
        <is>
          <t>높음</t>
        </is>
      </c>
      <c r="L87" s="132" t="inlineStr">
        <is>
          <t>S4</t>
        </is>
      </c>
      <c r="P87" s="139" t="inlineStr">
        <is>
          <t>x</t>
        </is>
      </c>
    </row>
    <row r="88" ht="33.95" customHeight="1" s="179">
      <c r="A88" s="128" t="n">
        <v>84</v>
      </c>
      <c r="B88" s="129" t="inlineStr">
        <is>
          <t>PX-PET Chain</t>
        </is>
      </c>
      <c r="C88" s="129" t="inlineStr">
        <is>
          <t>PET</t>
        </is>
      </c>
      <c r="D88" s="130" t="inlineStr">
        <is>
          <t>X</t>
        </is>
      </c>
      <c r="E88" s="130" t="inlineStr">
        <is>
          <t>X</t>
        </is>
      </c>
      <c r="F88" s="130" t="inlineStr">
        <is>
          <t>X</t>
        </is>
      </c>
      <c r="G88" s="130" t="inlineStr">
        <is>
          <t>X</t>
        </is>
      </c>
      <c r="H88" s="130">
        <f>COUNTIF(D88:G88,"O")</f>
        <v/>
      </c>
      <c r="I88" s="130">
        <f>IF(H88&gt;=3,25,IF(H88=2,18,IF(H88=1,12,0)))</f>
        <v/>
      </c>
      <c r="J88" s="131" t="inlineStr">
        <is>
          <t>중국 bottle/textile PET 과잉과 지속 증설, 국내 생산</t>
        </is>
      </c>
      <c r="K88" s="130" t="inlineStr">
        <is>
          <t>높음</t>
        </is>
      </c>
      <c r="L88" s="132" t="inlineStr">
        <is>
          <t>S4</t>
        </is>
      </c>
      <c r="P88" s="139" t="inlineStr">
        <is>
          <t>x</t>
        </is>
      </c>
    </row>
    <row r="89" ht="33.95" customHeight="1" s="179">
      <c r="A89" s="128" t="n">
        <v>85</v>
      </c>
      <c r="B89" s="129" t="inlineStr">
        <is>
          <t>C4 Elastomer Chain</t>
        </is>
      </c>
      <c r="C89" s="129" t="inlineStr">
        <is>
          <t>EPDM</t>
        </is>
      </c>
      <c r="D89" s="130" t="inlineStr">
        <is>
          <t>X</t>
        </is>
      </c>
      <c r="E89" s="130" t="inlineStr">
        <is>
          <t>X</t>
        </is>
      </c>
      <c r="F89" s="130" t="inlineStr">
        <is>
          <t>X</t>
        </is>
      </c>
      <c r="G89" s="130" t="inlineStr">
        <is>
          <t>X</t>
        </is>
      </c>
      <c r="H89" s="130">
        <f>COUNTIF(D89:G89,"O")</f>
        <v/>
      </c>
      <c r="I89" s="130">
        <f>IF(H89&gt;=3,25,IF(H89=2,18,IF(H89=1,12,0)))</f>
        <v/>
      </c>
      <c r="J89" s="131" t="inlineStr">
        <is>
          <t>중국·중동 합성고무 증설과 국내 Kumho Polychem 생산</t>
        </is>
      </c>
      <c r="K89" s="130" t="inlineStr">
        <is>
          <t>중간</t>
        </is>
      </c>
      <c r="L89" s="132" t="inlineStr">
        <is>
          <t>S1,S11</t>
        </is>
      </c>
      <c r="P89" s="139" t="inlineStr">
        <is>
          <t>x</t>
        </is>
      </c>
    </row>
    <row r="90" ht="33.95" customHeight="1" s="179">
      <c r="A90" s="128" t="n">
        <v>86</v>
      </c>
      <c r="B90" s="129" t="inlineStr">
        <is>
          <t>PVC Chain</t>
        </is>
      </c>
      <c r="C90" s="129" t="inlineStr">
        <is>
          <t>ECH</t>
        </is>
      </c>
      <c r="D90" s="130" t="inlineStr">
        <is>
          <t>X</t>
        </is>
      </c>
      <c r="E90" s="130" t="inlineStr">
        <is>
          <t>X</t>
        </is>
      </c>
      <c r="F90" s="130" t="inlineStr">
        <is>
          <t>X</t>
        </is>
      </c>
      <c r="G90" s="130" t="inlineStr">
        <is>
          <t>X</t>
        </is>
      </c>
      <c r="H90" s="130">
        <f>COUNTIF(D90:G90,"O")</f>
        <v/>
      </c>
      <c r="I90" s="130">
        <f>IF(H90&gt;=3,25,IF(H90=2,18,IF(H90=1,12,0)))</f>
        <v/>
      </c>
      <c r="J90" s="131" t="inlineStr">
        <is>
          <t>중국 glycerin/propylene route 증설과 저가 경쟁, 국내 Lotte Fine Chemical 생산</t>
        </is>
      </c>
      <c r="K90" s="130" t="inlineStr">
        <is>
          <t>높음</t>
        </is>
      </c>
      <c r="L90" s="132" t="inlineStr">
        <is>
          <t>S1,S11</t>
        </is>
      </c>
      <c r="P90" s="139" t="inlineStr">
        <is>
          <t>x</t>
        </is>
      </c>
    </row>
    <row r="91" ht="33.95" customHeight="1" s="179">
      <c r="A91" s="128" t="n">
        <v>87</v>
      </c>
      <c r="B91" s="129" t="inlineStr">
        <is>
          <t>Epoxy Chain</t>
        </is>
      </c>
      <c r="C91" s="129" t="inlineStr">
        <is>
          <t>ECH</t>
        </is>
      </c>
      <c r="D91" s="130" t="inlineStr">
        <is>
          <t>X</t>
        </is>
      </c>
      <c r="E91" s="130" t="inlineStr">
        <is>
          <t>X</t>
        </is>
      </c>
      <c r="F91" s="130" t="inlineStr">
        <is>
          <t>X</t>
        </is>
      </c>
      <c r="G91" s="130" t="inlineStr">
        <is>
          <t>X</t>
        </is>
      </c>
      <c r="H91" s="130">
        <f>COUNTIF(D91:G91,"O")</f>
        <v/>
      </c>
      <c r="I91" s="130">
        <f>IF(H91&gt;=3,25,IF(H91=2,18,IF(H91=1,12,0)))</f>
        <v/>
      </c>
      <c r="J91" s="131" t="inlineStr">
        <is>
          <t>중국 glycerin/propylene route 증설과 저가 경쟁, 국내 Lotte Fine Chemical 생산</t>
        </is>
      </c>
      <c r="K91" s="130" t="inlineStr">
        <is>
          <t>높음</t>
        </is>
      </c>
      <c r="L91" s="132" t="inlineStr">
        <is>
          <t>S1,S11</t>
        </is>
      </c>
      <c r="P91" s="139" t="inlineStr">
        <is>
          <t>x</t>
        </is>
      </c>
    </row>
    <row r="92" ht="33.95" customHeight="1" s="179">
      <c r="A92" s="128" t="n">
        <v>88</v>
      </c>
      <c r="B92" s="129" t="inlineStr">
        <is>
          <t>Nylon/PA Chain</t>
        </is>
      </c>
      <c r="C92" s="129" t="inlineStr">
        <is>
          <t>Adipic Acid</t>
        </is>
      </c>
      <c r="D92" s="130" t="inlineStr">
        <is>
          <t>X</t>
        </is>
      </c>
      <c r="E92" s="130" t="inlineStr">
        <is>
          <t>X</t>
        </is>
      </c>
      <c r="F92" s="130" t="inlineStr">
        <is>
          <t>X</t>
        </is>
      </c>
      <c r="G92" s="130" t="inlineStr">
        <is>
          <t>O</t>
        </is>
      </c>
      <c r="H92" s="130">
        <f>COUNTIF(D92:G92,"O")</f>
        <v/>
      </c>
      <c r="I92" s="130">
        <f>IF(H92&gt;=3,25,IF(H92=2,18,IF(H92=1,12,0)))</f>
        <v/>
      </c>
      <c r="J92" s="131" t="inlineStr">
        <is>
          <t>중국 adipic acid 공급과잉·증설, 국내 대규모 생산기반 제한</t>
        </is>
      </c>
      <c r="K92" s="130" t="inlineStr">
        <is>
          <t>높음</t>
        </is>
      </c>
      <c r="L92" s="132" t="inlineStr">
        <is>
          <t>S1,S11</t>
        </is>
      </c>
      <c r="P92" s="139" t="inlineStr">
        <is>
          <t>x</t>
        </is>
      </c>
    </row>
    <row r="93" ht="33.95" customHeight="1" s="179">
      <c r="A93" s="128" t="n">
        <v>89</v>
      </c>
      <c r="B93" s="129" t="inlineStr">
        <is>
          <t>Isoprene Chain</t>
        </is>
      </c>
      <c r="C93" s="129" t="inlineStr">
        <is>
          <t>Isoprene</t>
        </is>
      </c>
      <c r="D93" s="130" t="inlineStr">
        <is>
          <t>O</t>
        </is>
      </c>
      <c r="E93" s="130" t="inlineStr">
        <is>
          <t>O</t>
        </is>
      </c>
      <c r="F93" s="130" t="inlineStr">
        <is>
          <t>O</t>
        </is>
      </c>
      <c r="G93" s="130" t="inlineStr">
        <is>
          <t>X</t>
        </is>
      </c>
      <c r="H93" s="130">
        <f>COUNTIF(D93:G93,"O")</f>
        <v/>
      </c>
      <c r="I93" s="130">
        <f>IF(H93&gt;=3,25,IF(H93=2,18,IF(H93=1,12,0)))</f>
        <v/>
      </c>
      <c r="J93" s="131" t="inlineStr">
        <is>
          <t>cracker C5 부산물 기반으로 공급 탄력성이 낮고 고순도 분리 장벽, 국내 C5 분리 공급 가능</t>
        </is>
      </c>
      <c r="K93" s="130" t="inlineStr">
        <is>
          <t>중간</t>
        </is>
      </c>
      <c r="L93" s="132" t="inlineStr">
        <is>
          <t>S1,S11</t>
        </is>
      </c>
      <c r="O93" s="117" t="inlineStr">
        <is>
          <t>여천NCC, 롯데케미칼 생산 (C5 유분 활용)</t>
        </is>
      </c>
      <c r="P93" s="139" t="inlineStr">
        <is>
          <t>x</t>
        </is>
      </c>
    </row>
    <row r="94" ht="33.95" customHeight="1" s="179">
      <c r="A94" s="128" t="n">
        <v>90</v>
      </c>
      <c r="B94" s="129" t="inlineStr">
        <is>
          <t>DCPD-UPR</t>
        </is>
      </c>
      <c r="C94" s="129" t="inlineStr">
        <is>
          <t>DCPD</t>
        </is>
      </c>
      <c r="D94" s="130" t="inlineStr">
        <is>
          <t>O</t>
        </is>
      </c>
      <c r="E94" s="130" t="inlineStr">
        <is>
          <t>O</t>
        </is>
      </c>
      <c r="F94" s="130" t="inlineStr">
        <is>
          <t>O</t>
        </is>
      </c>
      <c r="G94" s="130" t="inlineStr">
        <is>
          <t>X</t>
        </is>
      </c>
      <c r="H94" s="130">
        <f>COUNTIF(D94:G94,"O")</f>
        <v/>
      </c>
      <c r="I94" s="130">
        <f>IF(H94&gt;=3,25,IF(H94=2,18,IF(H94=1,12,0)))</f>
        <v/>
      </c>
      <c r="J94" s="131" t="inlineStr">
        <is>
          <t>C5 부산물·고순도 정제 기반의 제한된 공급과 niche 수요, 국내 C5 계열 공급 가능</t>
        </is>
      </c>
      <c r="K94" s="130" t="inlineStr">
        <is>
          <t>중간</t>
        </is>
      </c>
      <c r="L94" s="132" t="inlineStr">
        <is>
          <t>S1,S11</t>
        </is>
      </c>
      <c r="O94" s="117" t="inlineStr">
        <is>
          <t>여천NCC, 롯데케미칼 생산 (C5 유분 활용)</t>
        </is>
      </c>
      <c r="P94" s="139" t="n"/>
    </row>
    <row r="95" ht="33.95" customHeight="1" s="179">
      <c r="A95" s="128" t="n">
        <v>91</v>
      </c>
      <c r="B95" s="129" t="inlineStr">
        <is>
          <t>Isoprene Chain</t>
        </is>
      </c>
      <c r="C95" s="129" t="inlineStr">
        <is>
          <t>IR</t>
        </is>
      </c>
      <c r="D95" s="130" t="inlineStr">
        <is>
          <t>O</t>
        </is>
      </c>
      <c r="E95" s="130" t="inlineStr">
        <is>
          <t>O</t>
        </is>
      </c>
      <c r="F95" s="130" t="inlineStr">
        <is>
          <t>O</t>
        </is>
      </c>
      <c r="G95" s="130" t="inlineStr">
        <is>
          <t>O</t>
        </is>
      </c>
      <c r="H95" s="130">
        <f>COUNTIF(D95:G95,"O")</f>
        <v/>
      </c>
      <c r="I95" s="130">
        <f>IF(H95&gt;=3,25,IF(H95=2,18,IF(H95=1,12,0)))</f>
        <v/>
      </c>
      <c r="J95" s="131" t="inlineStr">
        <is>
          <t>생산자와 설비가 제한된 specialty synthetic rubber, 의료·고성능 Grade 장벽 및 국내 수입 의존</t>
        </is>
      </c>
      <c r="K95" s="130" t="inlineStr">
        <is>
          <t>중간</t>
        </is>
      </c>
      <c r="L95" s="132" t="inlineStr">
        <is>
          <t>S1,S11</t>
        </is>
      </c>
      <c r="P95" s="139" t="n"/>
    </row>
    <row r="96" ht="33.95" customHeight="1" s="179">
      <c r="A96" s="128" t="n">
        <v>92</v>
      </c>
      <c r="B96" s="129" t="inlineStr">
        <is>
          <t>Isoprene Chain</t>
        </is>
      </c>
      <c r="C96" s="129" t="inlineStr">
        <is>
          <t>SIS</t>
        </is>
      </c>
      <c r="D96" s="130" t="inlineStr">
        <is>
          <t>O</t>
        </is>
      </c>
      <c r="E96" s="130" t="inlineStr">
        <is>
          <t>O</t>
        </is>
      </c>
      <c r="F96" s="130" t="inlineStr">
        <is>
          <t>O</t>
        </is>
      </c>
      <c r="G96" s="130" t="inlineStr">
        <is>
          <t>O</t>
        </is>
      </c>
      <c r="H96" s="130">
        <f>COUNTIF(D96:G96,"O")</f>
        <v/>
      </c>
      <c r="I96" s="130">
        <f>IF(H96&gt;=3,25,IF(H96=2,18,IF(H96=1,12,0)))</f>
        <v/>
      </c>
      <c r="J96" s="131" t="inlineStr">
        <is>
          <t>접착제용 niche SBC로 생산자 집중·Grade 인증 장벽, 국내 수입 의존</t>
        </is>
      </c>
      <c r="K96" s="130" t="inlineStr">
        <is>
          <t>중간</t>
        </is>
      </c>
      <c r="L96" s="132" t="inlineStr">
        <is>
          <t>S1,S11</t>
        </is>
      </c>
      <c r="P96" s="139" t="n"/>
    </row>
    <row r="97" ht="33.95" customHeight="1" s="179">
      <c r="A97" s="128" t="n">
        <v>93</v>
      </c>
      <c r="B97" s="134" t="inlineStr">
        <is>
          <t>Oxo Alcohol Chain</t>
        </is>
      </c>
      <c r="C97" s="129" t="inlineStr">
        <is>
          <t>i-butyraldehyde</t>
        </is>
      </c>
      <c r="D97" s="130" t="inlineStr">
        <is>
          <t>X</t>
        </is>
      </c>
      <c r="E97" s="130" t="inlineStr">
        <is>
          <t>X</t>
        </is>
      </c>
      <c r="F97" s="130" t="inlineStr">
        <is>
          <t>X</t>
        </is>
      </c>
      <c r="G97" s="130" t="inlineStr">
        <is>
          <t>X</t>
        </is>
      </c>
      <c r="H97" s="130">
        <f>COUNTIF(D97:G97,"O")</f>
        <v/>
      </c>
      <c r="I97" s="130">
        <f>IF(H97&gt;=3,25,IF(H97=2,18,IF(H97=1,12,0)))</f>
        <v/>
      </c>
      <c r="J97" s="131" t="inlineStr">
        <is>
          <t>oxo alcohol captive 중간체이며 중국 oxo 증설, 국내 일관 생산 가능</t>
        </is>
      </c>
      <c r="K97" s="130" t="inlineStr">
        <is>
          <t>중간</t>
        </is>
      </c>
      <c r="L97" s="132" t="inlineStr">
        <is>
          <t>S1,S11</t>
        </is>
      </c>
      <c r="P97" s="139" t="inlineStr">
        <is>
          <t>x</t>
        </is>
      </c>
    </row>
    <row r="98" ht="33.95" customHeight="1" s="179">
      <c r="A98" s="128" t="n">
        <v>94</v>
      </c>
      <c r="B98" s="134" t="inlineStr">
        <is>
          <t>DCPD-UPR</t>
        </is>
      </c>
      <c r="C98" s="129" t="inlineStr">
        <is>
          <t>UPR</t>
        </is>
      </c>
      <c r="D98" s="130" t="inlineStr">
        <is>
          <t>X</t>
        </is>
      </c>
      <c r="E98" s="130" t="inlineStr">
        <is>
          <t>O</t>
        </is>
      </c>
      <c r="F98" s="130" t="inlineStr">
        <is>
          <t>X</t>
        </is>
      </c>
      <c r="G98" s="130" t="inlineStr">
        <is>
          <t>X</t>
        </is>
      </c>
      <c r="H98" s="135">
        <f>COUNTIF(D98:G98,"O")</f>
        <v/>
      </c>
      <c r="I98" s="130">
        <f>IF(H98&gt;=3,25,IF(H98=2,18,IF(H98=1,12,0)))</f>
        <v/>
      </c>
      <c r="J98" s="131" t="inlineStr">
        <is>
          <t>성숙·분산 시장으로 대형 신규 프로젝트는 제한적이나 중국 저가 경쟁 및 국내 생산</t>
        </is>
      </c>
      <c r="K98" s="130" t="inlineStr">
        <is>
          <t>중간</t>
        </is>
      </c>
      <c r="L98" s="132" t="inlineStr">
        <is>
          <t>S1,S11</t>
        </is>
      </c>
      <c r="P98" s="139" t="n"/>
    </row>
    <row r="99" ht="33.95" customHeight="1" s="179">
      <c r="A99" s="133" t="n">
        <v>95</v>
      </c>
      <c r="B99" s="134" t="inlineStr">
        <is>
          <t>UPR Platform</t>
        </is>
      </c>
      <c r="C99" s="129" t="inlineStr">
        <is>
          <t>UPR</t>
        </is>
      </c>
      <c r="D99" s="135" t="inlineStr">
        <is>
          <t>X</t>
        </is>
      </c>
      <c r="E99" s="135" t="inlineStr">
        <is>
          <t>O</t>
        </is>
      </c>
      <c r="F99" s="135" t="inlineStr">
        <is>
          <t>X</t>
        </is>
      </c>
      <c r="G99" s="135" t="inlineStr">
        <is>
          <t>X</t>
        </is>
      </c>
      <c r="H99" s="135">
        <f>COUNTIF(D99:G99,"O")</f>
        <v/>
      </c>
      <c r="I99" s="130">
        <f>IF(H99&gt;=3,25,IF(H99=2,18,IF(H99=1,12,0)))</f>
        <v/>
      </c>
      <c r="J99" s="136" t="inlineStr">
        <is>
          <t>성숙·분산 시장으로 대형 신규 프로젝트는 제한적이나 중국 저가 경쟁 및 국내 생산</t>
        </is>
      </c>
      <c r="K99" s="135" t="inlineStr">
        <is>
          <t>중간</t>
        </is>
      </c>
      <c r="L99" s="137" t="inlineStr">
        <is>
          <t>S1,S11</t>
        </is>
      </c>
      <c r="P99" s="139" t="n"/>
    </row>
    <row r="100" ht="40.5" customHeight="1" s="179">
      <c r="A100" s="128" t="n">
        <v>96</v>
      </c>
      <c r="B100" s="134" t="inlineStr">
        <is>
          <t>DCPD Platform</t>
        </is>
      </c>
      <c r="C100" s="129" t="inlineStr">
        <is>
          <t>DCPD Resin</t>
        </is>
      </c>
      <c r="D100" s="165" t="inlineStr">
        <is>
          <t>X</t>
        </is>
      </c>
      <c r="E100" s="165" t="inlineStr">
        <is>
          <t>X</t>
        </is>
      </c>
      <c r="F100" s="165" t="inlineStr">
        <is>
          <t>X</t>
        </is>
      </c>
      <c r="G100" s="165" t="inlineStr">
        <is>
          <t>X</t>
        </is>
      </c>
      <c r="H100" s="135">
        <f>COUNTIF(D100:G100,"O")</f>
        <v/>
      </c>
      <c r="I100" s="130">
        <f>IF(H100&gt;=3,25,IF(H100=2,18,IF(H100=1,12,0)))</f>
        <v/>
      </c>
      <c r="J100" s="136" t="inlineStr">
        <is>
          <t>범용 DCPD계 hydrocarbon resin 기준으로 아시아 공급 다변화·중국 가격경쟁이 존재하고 국내 생산기반도 있어 구조적 타이트·수입의존으로 보기 어려움</t>
        </is>
      </c>
      <c r="K100" s="165" t="inlineStr">
        <is>
          <t>중간</t>
        </is>
      </c>
    </row>
    <row r="101" ht="49.5" customHeight="1" s="179">
      <c r="A101" s="133" t="n">
        <v>97</v>
      </c>
      <c r="B101" s="134" t="inlineStr">
        <is>
          <t>DCPD Platform</t>
        </is>
      </c>
      <c r="C101" s="129" t="inlineStr">
        <is>
          <t>PolyDCPD</t>
        </is>
      </c>
      <c r="D101" s="166" t="inlineStr">
        <is>
          <t>O</t>
        </is>
      </c>
      <c r="E101" s="166" t="inlineStr">
        <is>
          <t>O</t>
        </is>
      </c>
      <c r="F101" s="166" t="inlineStr">
        <is>
          <t>O</t>
        </is>
      </c>
      <c r="G101" s="166" t="inlineStr">
        <is>
          <t>O</t>
        </is>
      </c>
      <c r="H101" s="135">
        <f>COUNTIF(D101:G101,"O")</f>
        <v/>
      </c>
      <c r="I101" s="130">
        <f>IF(H101&gt;=3,25,IF(H101=2,18,IF(H101=1,12,0)))</f>
        <v/>
      </c>
      <c r="J101" s="136" t="inlineStr">
        <is>
          <t>RIM/ROMP 기반 proprietary resin system으로 공급자·Grade·가공기술이 제한적이며 국내 상업 생산기반이 확인되지 않음</t>
        </is>
      </c>
      <c r="K101" s="166" t="inlineStr">
        <is>
          <t>중간</t>
        </is>
      </c>
    </row>
    <row r="102" ht="49.5" customHeight="1" s="179">
      <c r="A102" s="128" t="n">
        <v>98</v>
      </c>
      <c r="B102" s="134" t="inlineStr">
        <is>
          <t>DCPD Platform</t>
        </is>
      </c>
      <c r="C102" s="129" t="inlineStr">
        <is>
          <t>COP</t>
        </is>
      </c>
      <c r="D102" s="167" t="inlineStr">
        <is>
          <t>O</t>
        </is>
      </c>
      <c r="E102" s="167" t="inlineStr">
        <is>
          <t>X</t>
        </is>
      </c>
      <c r="F102" s="167" t="inlineStr">
        <is>
          <t>O</t>
        </is>
      </c>
      <c r="G102" s="167" t="inlineStr">
        <is>
          <t>O</t>
        </is>
      </c>
      <c r="H102" s="135">
        <f>COUNTIF(D102:G102,"O")</f>
        <v/>
      </c>
      <c r="I102" s="130">
        <f>IF(H102&gt;=3,25,IF(H102=2,18,IF(H102=1,12,0)))</f>
        <v/>
      </c>
      <c r="J102" s="136" t="inlineStr">
        <is>
          <t>광학·의료용 고순도 polymer로 소수 공급자와 품질·인증 장벽이 존재하고 국내 생산기반이 없으나 일본·중국의 증설·국산화 가능성은 반영</t>
        </is>
      </c>
      <c r="K102" s="167" t="inlineStr">
        <is>
          <t>중간</t>
        </is>
      </c>
    </row>
    <row r="103" ht="33" customHeight="1" s="179">
      <c r="A103" s="133" t="n">
        <v>99</v>
      </c>
      <c r="B103" s="134" t="inlineStr">
        <is>
          <t>C4 Elastomer Chain</t>
        </is>
      </c>
      <c r="C103" s="129" t="inlineStr">
        <is>
          <t>ENB</t>
        </is>
      </c>
      <c r="D103" s="166" t="inlineStr">
        <is>
          <t>O</t>
        </is>
      </c>
      <c r="E103" s="166" t="inlineStr">
        <is>
          <t>X</t>
        </is>
      </c>
      <c r="F103" s="166" t="inlineStr">
        <is>
          <t>O</t>
        </is>
      </c>
      <c r="G103" s="166" t="inlineStr">
        <is>
          <t>O</t>
        </is>
      </c>
      <c r="H103" s="135">
        <f>COUNTIF(D103:G103,"O")</f>
        <v/>
      </c>
      <c r="I103" s="130">
        <f>IF(H103&gt;=3,25,IF(H103=2,18,IF(H103=1,12,0)))</f>
        <v/>
      </c>
      <c r="J103" s="136" t="inlineStr">
        <is>
          <t>EPDM용 특수 diene으로 공급자가 제한되고 고순도·고객 승인 장벽이 존재하며 국내 상업 생산기반은 확인되지 않음</t>
        </is>
      </c>
      <c r="K103" s="166" t="inlineStr">
        <is>
          <t>낮음</t>
        </is>
      </c>
    </row>
    <row r="104" ht="49.5" customHeight="1" s="179">
      <c r="A104" s="128" t="n">
        <v>100</v>
      </c>
      <c r="B104" s="134" t="inlineStr">
        <is>
          <t>Methanol Platform</t>
        </is>
      </c>
      <c r="C104" s="129" t="inlineStr">
        <is>
          <t>Methanol</t>
        </is>
      </c>
      <c r="D104" s="167" t="inlineStr">
        <is>
          <t>X</t>
        </is>
      </c>
      <c r="E104" s="167" t="inlineStr">
        <is>
          <t>X</t>
        </is>
      </c>
      <c r="F104" s="167" t="inlineStr">
        <is>
          <t>X</t>
        </is>
      </c>
      <c r="G104" s="167" t="inlineStr">
        <is>
          <t>O</t>
        </is>
      </c>
      <c r="H104" s="135">
        <f>COUNTIF(D104:G104,"O")</f>
        <v/>
      </c>
      <c r="I104" s="130">
        <f>IF(H104&gt;=3,25,IF(H104=2,18,IF(H104=1,12,0)))</f>
        <v/>
      </c>
      <c r="J104" s="136" t="inlineStr">
        <is>
          <t>글로벌 대형 생산기반과 신규 프로젝트가 지속되는 범용 commodity이며 중국 석탄계 생산의 가격 영향이 크나 국내 대규모 생산기반 부재로 수입의존</t>
        </is>
      </c>
      <c r="K104" s="167" t="inlineStr">
        <is>
          <t>높음</t>
        </is>
      </c>
    </row>
    <row r="105" ht="49.5" customHeight="1" s="179">
      <c r="A105" s="133" t="n">
        <v>101</v>
      </c>
      <c r="B105" s="134" t="inlineStr">
        <is>
          <t>Methanol Platform</t>
        </is>
      </c>
      <c r="C105" s="129" t="inlineStr">
        <is>
          <t>Acetic Acid</t>
        </is>
      </c>
      <c r="D105" s="166" t="inlineStr">
        <is>
          <t>X</t>
        </is>
      </c>
      <c r="E105" s="166" t="inlineStr">
        <is>
          <t>X</t>
        </is>
      </c>
      <c r="F105" s="166" t="inlineStr">
        <is>
          <t>X</t>
        </is>
      </c>
      <c r="G105" s="166" t="inlineStr">
        <is>
          <t>X</t>
        </is>
      </c>
      <c r="H105" s="135">
        <f>COUNTIF(D105:G105,"O")</f>
        <v/>
      </c>
      <c r="I105" s="130">
        <f>IF(H105&gt;=3,25,IF(H105=2,18,IF(H105=1,12,0)))</f>
        <v/>
      </c>
      <c r="J105" s="136" t="inlineStr">
        <is>
          <t>중국 중심의 대규모 생산능력·증설과 범용 가격경쟁이 존재하고 국내 acetyls 생산기반이 있어 수입의존도가 높다고 보기 어려움</t>
        </is>
      </c>
      <c r="K105" s="166" t="inlineStr">
        <is>
          <t>중간</t>
        </is>
      </c>
    </row>
    <row r="106" ht="49.5" customHeight="1" s="179">
      <c r="A106" s="128" t="n">
        <v>102</v>
      </c>
      <c r="B106" s="134" t="inlineStr">
        <is>
          <t>Methanol Platform</t>
        </is>
      </c>
      <c r="C106" s="129" t="inlineStr">
        <is>
          <t>Formaldehyde</t>
        </is>
      </c>
      <c r="D106" s="167" t="inlineStr">
        <is>
          <t>X</t>
        </is>
      </c>
      <c r="E106" s="167" t="inlineStr">
        <is>
          <t>O</t>
        </is>
      </c>
      <c r="F106" s="167" t="inlineStr">
        <is>
          <t>O</t>
        </is>
      </c>
      <c r="G106" s="167" t="inlineStr">
        <is>
          <t>X</t>
        </is>
      </c>
      <c r="H106" s="135">
        <f>COUNTIF(D106:G106,"O")</f>
        <v/>
      </c>
      <c r="I106" s="130">
        <f>IF(H106&gt;=3,25,IF(H106=2,18,IF(H106=1,12,0)))</f>
        <v/>
      </c>
      <c r="J106" s="136" t="inlineStr">
        <is>
          <t>수용액 formalin 중심의 지역형·captive 시장으로 대형 merchant 증설과 장거리 중국 저가품 경쟁은 제한적이나 국내 다수 생산기반으로 수입의존도는 낮음</t>
        </is>
      </c>
      <c r="K106" s="167" t="inlineStr">
        <is>
          <t>중간</t>
        </is>
      </c>
    </row>
    <row r="107" ht="49.5" customHeight="1" s="179">
      <c r="A107" s="133" t="n">
        <v>103</v>
      </c>
      <c r="B107" s="134" t="inlineStr">
        <is>
          <t>C5 Resin Chain</t>
        </is>
      </c>
      <c r="C107" s="129" t="inlineStr">
        <is>
          <t>Piperylene</t>
        </is>
      </c>
      <c r="D107" s="166" t="inlineStr">
        <is>
          <t>O</t>
        </is>
      </c>
      <c r="E107" s="166" t="inlineStr">
        <is>
          <t>O</t>
        </is>
      </c>
      <c r="F107" s="166" t="inlineStr">
        <is>
          <t>O</t>
        </is>
      </c>
      <c r="G107" s="166" t="inlineStr">
        <is>
          <t>X</t>
        </is>
      </c>
      <c r="H107" s="135">
        <f>COUNTIF(D107:G107,"O")</f>
        <v/>
      </c>
      <c r="I107" s="130">
        <f>IF(H107&gt;=3,25,IF(H107=2,18,IF(H107=1,12,0)))</f>
        <v/>
      </c>
      <c r="J107" s="136" t="inlineStr">
        <is>
          <t>NCC C5 부산물 기반으로 공급 탄력성이 낮고 고순도 분리·조성 관리가 필요하며 전용 대형 증설은 제한적이나 국내 C5 계열 공급은 가능</t>
        </is>
      </c>
      <c r="K107" s="166" t="inlineStr">
        <is>
          <t>중간</t>
        </is>
      </c>
    </row>
    <row r="108" ht="49.5" customHeight="1" s="179">
      <c r="A108" s="128" t="n">
        <v>104</v>
      </c>
      <c r="B108" s="134" t="inlineStr">
        <is>
          <t>C5 Resin Chain</t>
        </is>
      </c>
      <c r="C108" s="129" t="inlineStr">
        <is>
          <t>C5 Resin</t>
        </is>
      </c>
      <c r="D108" s="168" t="inlineStr">
        <is>
          <t>X</t>
        </is>
      </c>
      <c r="E108" s="168" t="inlineStr">
        <is>
          <t>X</t>
        </is>
      </c>
      <c r="F108" s="168" t="inlineStr">
        <is>
          <t>X</t>
        </is>
      </c>
      <c r="G108" s="168" t="inlineStr">
        <is>
          <t>X</t>
        </is>
      </c>
      <c r="H108" s="135">
        <f>COUNTIF(D108:G108,"O")</f>
        <v/>
      </c>
      <c r="I108" s="130">
        <f>IF(H108&gt;=3,25,IF(H108=2,18,IF(H108=1,12,0)))</f>
        <v/>
      </c>
      <c r="J108" s="136" t="inlineStr">
        <is>
          <t>범용 C5 tackifier는 중국·아시아 다수 생산자와 저가 경쟁이 존재하고 국내 hydrocarbon resin 생산기반도 있어 구조적 타이트·수입의존성이 낮음</t>
        </is>
      </c>
      <c r="K108" s="168" t="inlineStr">
        <is>
          <t>중간</t>
        </is>
      </c>
    </row>
  </sheetData>
  <mergeCells count="2">
    <mergeCell ref="A2:L2"/>
    <mergeCell ref="A1:L1"/>
  </mergeCells>
  <conditionalFormatting sqref="D5:D99">
    <cfRule type="expression" priority="6" dxfId="13">
      <formula>D5="O"</formula>
    </cfRule>
    <cfRule type="expression" priority="7" dxfId="16">
      <formula>D5="X"</formula>
    </cfRule>
  </conditionalFormatting>
  <conditionalFormatting sqref="D100:G108">
    <cfRule type="expression" priority="4" dxfId="28">
      <formula>D100="O"</formula>
    </cfRule>
    <cfRule type="expression" priority="5" dxfId="16">
      <formula>D100="X"</formula>
    </cfRule>
  </conditionalFormatting>
  <conditionalFormatting sqref="E5:E99">
    <cfRule type="expression" priority="8" dxfId="13">
      <formula>E5="O"</formula>
    </cfRule>
    <cfRule type="expression" priority="9" dxfId="16">
      <formula>E5="X"</formula>
    </cfRule>
  </conditionalFormatting>
  <conditionalFormatting sqref="F5:F99">
    <cfRule type="expression" priority="10" dxfId="13">
      <formula>F5="O"</formula>
    </cfRule>
    <cfRule type="expression" priority="11" dxfId="16">
      <formula>F5="X"</formula>
    </cfRule>
  </conditionalFormatting>
  <conditionalFormatting sqref="G5:G99">
    <cfRule type="expression" priority="12" dxfId="13">
      <formula>G5="O"</formula>
    </cfRule>
    <cfRule type="expression" priority="13" dxfId="16">
      <formula>G5="X"</formula>
    </cfRule>
  </conditionalFormatting>
  <conditionalFormatting sqref="I5:I108">
    <cfRule type="colorScale" priority="14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K5:K99">
    <cfRule type="expression" priority="17" dxfId="29">
      <formula>K5="낮음"</formula>
    </cfRule>
  </conditionalFormatting>
  <conditionalFormatting sqref="K5:K108">
    <cfRule type="expression" priority="1" dxfId="28">
      <formula>K5="높음"</formula>
    </cfRule>
    <cfRule type="expression" priority="2" dxfId="27">
      <formula>K5="중간"</formula>
    </cfRule>
  </conditionalFormatting>
  <conditionalFormatting sqref="K100:K108">
    <cfRule type="expression" priority="3" dxfId="16">
      <formula>K100="낮음"</formula>
    </cfRule>
  </conditionalFormatting>
  <dataValidations disablePrompts="1" count="1">
    <dataValidation sqref="D5:G108" showDropDown="0" showInputMessage="0" showErrorMessage="0" allowBlank="0" type="list">
      <formula1>"O,X"</formula1>
    </dataValidation>
  </dataValidations>
  <pageMargins left="0.7" right="0.7" top="0.75" bottom="0.75" header="0.3" footer="0.3"/>
  <headerFooter>
    <oddHeader/>
    <oddFooter>&amp;L&amp;"Aptos"&amp;11 &amp;K000000_x000d_#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9"/>
  <sheetViews>
    <sheetView topLeftCell="A91" zoomScale="85" zoomScaleNormal="85" workbookViewId="0">
      <selection activeCell="A101" sqref="A101"/>
    </sheetView>
  </sheetViews>
  <sheetFormatPr baseColWidth="8" defaultRowHeight="14.25"/>
  <cols>
    <col width="6" customWidth="1" style="117" min="1" max="1"/>
    <col width="21" customWidth="1" style="117" min="2" max="2"/>
    <col width="18" customWidth="1" style="117" min="3" max="4"/>
    <col width="17" customWidth="1" style="117" min="5" max="5"/>
    <col width="15" customWidth="1" style="117" min="6" max="6"/>
    <col width="17" customWidth="1" style="117" min="7" max="7"/>
    <col width="20" customWidth="1" style="117" min="8" max="8"/>
    <col width="8" customWidth="1" style="117" min="9" max="9"/>
    <col width="10" customWidth="1" style="117" min="10" max="11"/>
    <col width="8" customWidth="1" style="117" min="12" max="12"/>
    <col width="9" customWidth="1" style="117" min="13" max="13"/>
    <col width="54" customWidth="1" style="117" min="14" max="14"/>
    <col width="15" customWidth="1" style="117" min="15" max="15"/>
    <col width="9" customWidth="1" style="117" min="16" max="16384"/>
  </cols>
  <sheetData>
    <row r="1" ht="30" customHeight="1" s="179">
      <c r="A1" s="172" t="inlineStr">
        <is>
          <t>95개 Material Existing Value Chain 연계성 재평가</t>
        </is>
      </c>
    </row>
    <row r="2" ht="30" customHeight="1" s="179">
      <c r="A2" s="173" t="inlineStr">
        <is>
          <t>평가 기준: S-OIL 현재 자산 + 2026년 Shaheen 완공 예정 자산 | ②는 PO·MTBE 등 기존 비(非)기초유분 intermediate의 직접 활용만 인정하며, 기초 Olefin/Aromatics 연계는 ①에서 평가</t>
        </is>
      </c>
    </row>
    <row r="3" ht="24" customHeight="1" s="179">
      <c r="A3" s="118" t="inlineStr">
        <is>
          <t>총 Material</t>
        </is>
      </c>
      <c r="B3" s="119" t="n">
        <v>95</v>
      </c>
      <c r="C3" s="119" t="inlineStr">
        <is>
          <t>상향</t>
        </is>
      </c>
      <c r="D3" s="153">
        <f>COUNTIF(M6:M109,"상향")</f>
        <v/>
      </c>
      <c r="E3" s="119" t="inlineStr">
        <is>
          <t>유지</t>
        </is>
      </c>
      <c r="F3" s="153">
        <f>COUNTIF(M6:M109,"유지")</f>
        <v/>
      </c>
      <c r="G3" s="119" t="inlineStr">
        <is>
          <t>하향</t>
        </is>
      </c>
      <c r="H3" s="152">
        <f>COUNTIF(M6:M109,"하향")</f>
        <v/>
      </c>
    </row>
    <row r="5" ht="48" customHeight="1" s="179">
      <c r="A5" s="120" t="inlineStr">
        <is>
          <t>No.</t>
        </is>
      </c>
      <c r="B5" s="121" t="inlineStr">
        <is>
          <t>group_name</t>
        </is>
      </c>
      <c r="C5" s="121" t="inlineStr">
        <is>
          <t>material</t>
        </is>
      </c>
      <c r="D5" s="121" t="inlineStr">
        <is>
          <t>① 기존 Olefin/
Aromatics Chain 기반</t>
        </is>
      </c>
      <c r="E5" s="121" t="inlineStr">
        <is>
          <t>② 기존 Intermediate
활용 가능</t>
        </is>
      </c>
      <c r="F5" s="121" t="inlineStr">
        <is>
          <t>③ 기존 부산물
활용 가능</t>
        </is>
      </c>
      <c r="G5" s="121" t="inlineStr">
        <is>
          <t>④ 기존 Downstream
확장 가능</t>
        </is>
      </c>
      <c r="H5" s="121" t="inlineStr">
        <is>
          <t>⑤ 기존 사업 Portfolio와
전략적 연계성</t>
        </is>
      </c>
      <c r="I5" s="121" t="inlineStr">
        <is>
          <t>O 개수</t>
        </is>
      </c>
      <c r="J5" s="121" t="inlineStr">
        <is>
          <t>재평가
점수</t>
        </is>
      </c>
      <c r="K5" s="121" t="inlineStr">
        <is>
          <t>기존
점수</t>
        </is>
      </c>
      <c r="L5" s="121" t="inlineStr">
        <is>
          <t>증감</t>
        </is>
      </c>
      <c r="M5" s="121" t="inlineStr">
        <is>
          <t>비교</t>
        </is>
      </c>
      <c r="N5" s="121" t="inlineStr">
        <is>
          <t>평가 메모</t>
        </is>
      </c>
      <c r="O5" s="122" t="inlineStr">
        <is>
          <t>Source ID</t>
        </is>
      </c>
    </row>
    <row r="6" ht="36" customHeight="1" s="179">
      <c r="A6" s="123" t="n">
        <v>1</v>
      </c>
      <c r="B6" s="124" t="inlineStr">
        <is>
          <t>PE Chain</t>
        </is>
      </c>
      <c r="C6" s="124" t="inlineStr">
        <is>
          <t>HDPE</t>
        </is>
      </c>
      <c r="D6" s="125" t="inlineStr">
        <is>
          <t>O</t>
        </is>
      </c>
      <c r="E6" s="125" t="inlineStr">
        <is>
          <t>X</t>
        </is>
      </c>
      <c r="F6" s="125" t="inlineStr">
        <is>
          <t>X</t>
        </is>
      </c>
      <c r="G6" s="125" t="inlineStr">
        <is>
          <t>O</t>
        </is>
      </c>
      <c r="H6" s="125" t="inlineStr">
        <is>
          <t>O</t>
        </is>
      </c>
      <c r="I6" s="125">
        <f>COUNTIF(D6:H6,"O")</f>
        <v/>
      </c>
      <c r="J6" s="125">
        <f>IF(I6&gt;=3,50,IF(I6=2,35,IF(I6=1,20,0)))</f>
        <v/>
      </c>
      <c r="K6" s="125" t="n">
        <v>50</v>
      </c>
      <c r="L6" s="125">
        <f>J6-K6</f>
        <v/>
      </c>
      <c r="M6" s="125">
        <f>IF(L6&gt;0,"상향",IF(L6&lt;0,"하향","유지"))</f>
        <v/>
      </c>
      <c r="N6" s="126" t="inlineStr">
        <is>
          <t>Shaheen HDPE는 에틸렌 기반 핵심 polyolefin으로 기존·예정 portfolio 및 downstream 확장과 직접 연계</t>
        </is>
      </c>
      <c r="O6" s="127" t="inlineStr">
        <is>
          <t>S2,S3,S10</t>
        </is>
      </c>
    </row>
    <row r="7" ht="36" customHeight="1" s="179">
      <c r="A7" s="128" t="n">
        <v>2</v>
      </c>
      <c r="B7" s="129" t="inlineStr">
        <is>
          <t>PE Chain</t>
        </is>
      </c>
      <c r="C7" s="129" t="inlineStr">
        <is>
          <t>LDPE</t>
        </is>
      </c>
      <c r="D7" s="130" t="inlineStr">
        <is>
          <t>O</t>
        </is>
      </c>
      <c r="E7" s="130" t="inlineStr">
        <is>
          <t>X</t>
        </is>
      </c>
      <c r="F7" s="130" t="inlineStr">
        <is>
          <t>X</t>
        </is>
      </c>
      <c r="G7" s="130" t="inlineStr">
        <is>
          <t>X</t>
        </is>
      </c>
      <c r="H7" s="130" t="inlineStr">
        <is>
          <t>O</t>
        </is>
      </c>
      <c r="I7" s="130">
        <f>COUNTIF(D7:H7,"O")</f>
        <v/>
      </c>
      <c r="J7" s="130">
        <f>IF(I7&gt;=3,50,IF(I7=2,35,IF(I7=1,20,0)))</f>
        <v/>
      </c>
      <c r="K7" s="130" t="n">
        <v>50</v>
      </c>
      <c r="L7" s="130">
        <f>J7-K7</f>
        <v/>
      </c>
      <c r="M7" s="130">
        <f>IF(L7&gt;0,"상향",IF(L7&lt;0,"하향","유지"))</f>
        <v/>
      </c>
      <c r="N7" s="131" t="inlineStr">
        <is>
          <t>에틸렌·polyolefin 연계성은 있으나 현재/예정 LDPE 생산자산이 없어 직접 downstream 확장성은 상대적으로 낮음</t>
        </is>
      </c>
      <c r="O7" s="132" t="inlineStr">
        <is>
          <t>S2,S3,S10</t>
        </is>
      </c>
    </row>
    <row r="8" ht="36" customHeight="1" s="179">
      <c r="A8" s="128" t="n">
        <v>3</v>
      </c>
      <c r="B8" s="129" t="inlineStr">
        <is>
          <t>PE Chain</t>
        </is>
      </c>
      <c r="C8" s="129" t="inlineStr">
        <is>
          <t>LLDPE</t>
        </is>
      </c>
      <c r="D8" s="130" t="inlineStr">
        <is>
          <t>O</t>
        </is>
      </c>
      <c r="E8" s="130" t="inlineStr">
        <is>
          <t>X</t>
        </is>
      </c>
      <c r="F8" s="130" t="inlineStr">
        <is>
          <t>X</t>
        </is>
      </c>
      <c r="G8" s="130" t="inlineStr">
        <is>
          <t>O</t>
        </is>
      </c>
      <c r="H8" s="130" t="inlineStr">
        <is>
          <t>O</t>
        </is>
      </c>
      <c r="I8" s="130">
        <f>COUNTIF(D8:H8,"O")</f>
        <v/>
      </c>
      <c r="J8" s="130">
        <f>IF(I8&gt;=3,50,IF(I8=2,35,IF(I8=1,20,0)))</f>
        <v/>
      </c>
      <c r="K8" s="130" t="n">
        <v>50</v>
      </c>
      <c r="L8" s="130">
        <f>J8-K8</f>
        <v/>
      </c>
      <c r="M8" s="130">
        <f>IF(L8&gt;0,"상향",IF(L8&lt;0,"하향","유지"))</f>
        <v/>
      </c>
      <c r="N8" s="131" t="inlineStr">
        <is>
          <t>Shaheen LLDPE는 에틸렌 기반 핵심 polyolefin으로 기존·예정 portfolio 및 downstream 확장과 직접 연계</t>
        </is>
      </c>
      <c r="O8" s="132" t="inlineStr">
        <is>
          <t>S2,S3,S10</t>
        </is>
      </c>
    </row>
    <row r="9" ht="36" customHeight="1" s="179">
      <c r="A9" s="128" t="n">
        <v>4</v>
      </c>
      <c r="B9" s="129" t="inlineStr">
        <is>
          <t>PVC Chain</t>
        </is>
      </c>
      <c r="C9" s="129" t="inlineStr">
        <is>
          <t>EDC</t>
        </is>
      </c>
      <c r="D9" s="130" t="inlineStr">
        <is>
          <t>O</t>
        </is>
      </c>
      <c r="E9" s="130" t="inlineStr">
        <is>
          <t>X</t>
        </is>
      </c>
      <c r="F9" s="130" t="inlineStr">
        <is>
          <t>X</t>
        </is>
      </c>
      <c r="G9" s="130" t="inlineStr">
        <is>
          <t>O</t>
        </is>
      </c>
      <c r="H9" s="130" t="inlineStr">
        <is>
          <t>X</t>
        </is>
      </c>
      <c r="I9" s="130">
        <f>COUNTIF(D9:H9,"O")</f>
        <v/>
      </c>
      <c r="J9" s="130">
        <f>IF(I9&gt;=3,50,IF(I9=2,35,IF(I9=1,20,0)))</f>
        <v/>
      </c>
      <c r="K9" s="130" t="n">
        <v>35</v>
      </c>
      <c r="L9" s="130">
        <f>J9-K9</f>
        <v/>
      </c>
      <c r="M9" s="130">
        <f>IF(L9&gt;0,"상향",IF(L9&lt;0,"하향","유지"))</f>
        <v/>
      </c>
      <c r="N9" s="131" t="inlineStr">
        <is>
          <t>에틸렌을 직접 원료로 하는 PVC chain 진입점이나 chlorine 계열 신규 기반 필요</t>
        </is>
      </c>
      <c r="O9" s="132" t="inlineStr">
        <is>
          <t>S1,S2,S8</t>
        </is>
      </c>
    </row>
    <row r="10" ht="36" customHeight="1" s="179">
      <c r="A10" s="128" t="n">
        <v>5</v>
      </c>
      <c r="B10" s="129" t="inlineStr">
        <is>
          <t>PVC Chain</t>
        </is>
      </c>
      <c r="C10" s="129" t="inlineStr">
        <is>
          <t>VCM</t>
        </is>
      </c>
      <c r="D10" s="130" t="inlineStr">
        <is>
          <t>O</t>
        </is>
      </c>
      <c r="E10" s="130" t="inlineStr">
        <is>
          <t>X</t>
        </is>
      </c>
      <c r="F10" s="130" t="inlineStr">
        <is>
          <t>X</t>
        </is>
      </c>
      <c r="G10" s="130" t="inlineStr">
        <is>
          <t>O</t>
        </is>
      </c>
      <c r="H10" s="130" t="inlineStr">
        <is>
          <t>X</t>
        </is>
      </c>
      <c r="I10" s="130">
        <f>COUNTIF(D10:H10,"O")</f>
        <v/>
      </c>
      <c r="J10" s="130">
        <f>IF(I10&gt;=3,50,IF(I10=2,35,IF(I10=1,20,0)))</f>
        <v/>
      </c>
      <c r="K10" s="130" t="n">
        <v>35</v>
      </c>
      <c r="L10" s="130">
        <f>J10-K10</f>
        <v/>
      </c>
      <c r="M10" s="130">
        <f>IF(L10&gt;0,"상향",IF(L10&lt;0,"하향","유지"))</f>
        <v/>
      </c>
      <c r="N10" s="131" t="inlineStr">
        <is>
          <t>에틸렌 기반 PVC intermediate로 chain 확장 가능하나 기존 intermediate·portfolio 직접 연계는 제한</t>
        </is>
      </c>
      <c r="O10" s="132" t="inlineStr">
        <is>
          <t>S1,S2,S8</t>
        </is>
      </c>
    </row>
    <row r="11" ht="36" customHeight="1" s="179">
      <c r="A11" s="128" t="n">
        <v>6</v>
      </c>
      <c r="B11" s="129" t="inlineStr">
        <is>
          <t>PVC Chain</t>
        </is>
      </c>
      <c r="C11" s="129" t="inlineStr">
        <is>
          <t>PVC</t>
        </is>
      </c>
      <c r="D11" s="130" t="inlineStr">
        <is>
          <t>O</t>
        </is>
      </c>
      <c r="E11" s="130" t="inlineStr">
        <is>
          <t>X</t>
        </is>
      </c>
      <c r="F11" s="130" t="inlineStr">
        <is>
          <t>X</t>
        </is>
      </c>
      <c r="G11" s="130" t="inlineStr">
        <is>
          <t>O</t>
        </is>
      </c>
      <c r="H11" s="130" t="inlineStr">
        <is>
          <t>X</t>
        </is>
      </c>
      <c r="I11" s="130">
        <f>COUNTIF(D11:H11,"O")</f>
        <v/>
      </c>
      <c r="J11" s="130">
        <f>IF(I11&gt;=3,50,IF(I11=2,35,IF(I11=1,20,0)))</f>
        <v/>
      </c>
      <c r="K11" s="130" t="n">
        <v>35</v>
      </c>
      <c r="L11" s="130">
        <f>J11-K11</f>
        <v/>
      </c>
      <c r="M11" s="130">
        <f>IF(L11&gt;0,"상향",IF(L11&lt;0,"하향","유지"))</f>
        <v/>
      </c>
      <c r="N11" s="131" t="inlineStr">
        <is>
          <t>에틸렌 기반 downstream이나 EDC/VCM 및 chlorine chain 신규 구축 필요</t>
        </is>
      </c>
      <c r="O11" s="132" t="inlineStr">
        <is>
          <t>S1,S2,S8</t>
        </is>
      </c>
    </row>
    <row r="12" ht="36" customHeight="1" s="179">
      <c r="A12" s="128" t="n">
        <v>7</v>
      </c>
      <c r="B12" s="129" t="inlineStr">
        <is>
          <t>Ethanol Chain</t>
        </is>
      </c>
      <c r="C12" s="129" t="inlineStr">
        <is>
          <t>Ethanol</t>
        </is>
      </c>
      <c r="D12" s="130" t="inlineStr">
        <is>
          <t>O</t>
        </is>
      </c>
      <c r="E12" s="130" t="inlineStr">
        <is>
          <t>X</t>
        </is>
      </c>
      <c r="F12" s="130" t="inlineStr">
        <is>
          <t>X</t>
        </is>
      </c>
      <c r="G12" s="130" t="inlineStr">
        <is>
          <t>O</t>
        </is>
      </c>
      <c r="H12" s="130" t="inlineStr">
        <is>
          <t>X</t>
        </is>
      </c>
      <c r="I12" s="130">
        <f>COUNTIF(D12:H12,"O")</f>
        <v/>
      </c>
      <c r="J12" s="130">
        <f>IF(I12&gt;=3,50,IF(I12=2,35,IF(I12=1,20,0)))</f>
        <v/>
      </c>
      <c r="K12" s="130" t="n">
        <v>35</v>
      </c>
      <c r="L12" s="130">
        <f>J12-K12</f>
        <v/>
      </c>
      <c r="M12" s="130">
        <f>IF(L12&gt;0,"상향",IF(L12&lt;0,"하향","유지"))</f>
        <v/>
      </c>
      <c r="N12" s="131" t="inlineStr">
        <is>
          <t>에틸렌 수화 route 기준 olefin 연계 및 downstream 확장 가능</t>
        </is>
      </c>
      <c r="O12" s="132" t="inlineStr">
        <is>
          <t>S2,S3,S10</t>
        </is>
      </c>
    </row>
    <row r="13" ht="36" customHeight="1" s="179">
      <c r="A13" s="128" t="n">
        <v>8</v>
      </c>
      <c r="B13" s="129" t="inlineStr">
        <is>
          <t>Ethanol Chain</t>
        </is>
      </c>
      <c r="C13" s="129" t="inlineStr">
        <is>
          <t>Ethyl acetate</t>
        </is>
      </c>
      <c r="D13" s="130" t="inlineStr">
        <is>
          <t>X</t>
        </is>
      </c>
      <c r="E13" s="130" t="inlineStr">
        <is>
          <t>X</t>
        </is>
      </c>
      <c r="F13" s="130" t="inlineStr">
        <is>
          <t>X</t>
        </is>
      </c>
      <c r="G13" s="130" t="inlineStr">
        <is>
          <t>O</t>
        </is>
      </c>
      <c r="H13" s="130" t="inlineStr">
        <is>
          <t>X</t>
        </is>
      </c>
      <c r="I13" s="130">
        <f>COUNTIF(D13:H13,"O")</f>
        <v/>
      </c>
      <c r="J13" s="130">
        <f>IF(I13&gt;=3,50,IF(I13=2,35,IF(I13=1,20,0)))</f>
        <v/>
      </c>
      <c r="K13" s="130" t="n">
        <v>20</v>
      </c>
      <c r="L13" s="130">
        <f>J13-K13</f>
        <v/>
      </c>
      <c r="M13" s="130">
        <f>IF(L13&gt;0,"상향",IF(L13&lt;0,"하향","유지"))</f>
        <v/>
      </c>
      <c r="N13" s="131" t="inlineStr">
        <is>
          <t>Ethanol 후속 ester 제품으로 기존 core feedstock와 직접 연결은 약하나 downstream 확장성은 존재</t>
        </is>
      </c>
      <c r="O13" s="132" t="inlineStr">
        <is>
          <t>S2,S3,S10</t>
        </is>
      </c>
    </row>
    <row r="14" ht="36" customHeight="1" s="179">
      <c r="A14" s="128" t="n">
        <v>9</v>
      </c>
      <c r="B14" s="129" t="inlineStr">
        <is>
          <t>EO-PET Chain</t>
        </is>
      </c>
      <c r="C14" s="129" t="inlineStr">
        <is>
          <t>EO</t>
        </is>
      </c>
      <c r="D14" s="130" t="inlineStr">
        <is>
          <t>O</t>
        </is>
      </c>
      <c r="E14" s="130" t="inlineStr">
        <is>
          <t>X</t>
        </is>
      </c>
      <c r="F14" s="130" t="inlineStr">
        <is>
          <t>X</t>
        </is>
      </c>
      <c r="G14" s="130" t="inlineStr">
        <is>
          <t>O</t>
        </is>
      </c>
      <c r="H14" s="130" t="inlineStr">
        <is>
          <t>O</t>
        </is>
      </c>
      <c r="I14" s="130">
        <f>COUNTIF(D14:H14,"O")</f>
        <v/>
      </c>
      <c r="J14" s="130">
        <f>IF(I14&gt;=3,50,IF(I14=2,35,IF(I14=1,20,0)))</f>
        <v/>
      </c>
      <c r="K14" s="130" t="n">
        <v>50</v>
      </c>
      <c r="L14" s="130">
        <f>J14-K14</f>
        <v/>
      </c>
      <c r="M14" s="130">
        <f>IF(L14&gt;0,"상향",IF(L14&lt;0,"하향","유지"))</f>
        <v/>
      </c>
      <c r="N14" s="131" t="inlineStr">
        <is>
          <t>에틸렌 직접 downstream이자 MEG·ethanolamine·EC 등 다수 chain의 strategic platform</t>
        </is>
      </c>
      <c r="O14" s="132" t="inlineStr">
        <is>
          <t>S2,S3,S10</t>
        </is>
      </c>
    </row>
    <row r="15" ht="36" customHeight="1" s="179">
      <c r="A15" s="128" t="n">
        <v>10</v>
      </c>
      <c r="B15" s="129" t="inlineStr">
        <is>
          <t>Ethanolamine Chain</t>
        </is>
      </c>
      <c r="C15" s="129" t="inlineStr">
        <is>
          <t>MEA</t>
        </is>
      </c>
      <c r="D15" s="130" t="inlineStr">
        <is>
          <t>O</t>
        </is>
      </c>
      <c r="E15" s="130" t="inlineStr">
        <is>
          <t>X</t>
        </is>
      </c>
      <c r="F15" s="130" t="inlineStr">
        <is>
          <t>X</t>
        </is>
      </c>
      <c r="G15" s="130" t="inlineStr">
        <is>
          <t>O</t>
        </is>
      </c>
      <c r="H15" s="130" t="inlineStr">
        <is>
          <t>X</t>
        </is>
      </c>
      <c r="I15" s="130">
        <f>COUNTIF(D15:H15,"O")</f>
        <v/>
      </c>
      <c r="J15" s="130">
        <f>IF(I15&gt;=3,50,IF(I15=2,35,IF(I15=1,20,0)))</f>
        <v/>
      </c>
      <c r="K15" s="130" t="n">
        <v>35</v>
      </c>
      <c r="L15" s="130">
        <f>J15-K15</f>
        <v/>
      </c>
      <c r="M15" s="130">
        <f>IF(L15&gt;0,"상향",IF(L15&lt;0,"하향","유지"))</f>
        <v/>
      </c>
      <c r="N15" s="131" t="inlineStr">
        <is>
          <t>EO/ethylene chain downstream으로 확장 가능하나 기존 intermediate 직접 활용은 아직 제한</t>
        </is>
      </c>
      <c r="O15" s="132" t="inlineStr">
        <is>
          <t>S2,S3,S10</t>
        </is>
      </c>
    </row>
    <row r="16" ht="36" customHeight="1" s="179">
      <c r="A16" s="128" t="n">
        <v>11</v>
      </c>
      <c r="B16" s="129" t="inlineStr">
        <is>
          <t>Ethanolamine Chain</t>
        </is>
      </c>
      <c r="C16" s="129" t="inlineStr">
        <is>
          <t>DEA</t>
        </is>
      </c>
      <c r="D16" s="130" t="inlineStr">
        <is>
          <t>O</t>
        </is>
      </c>
      <c r="E16" s="130" t="inlineStr">
        <is>
          <t>X</t>
        </is>
      </c>
      <c r="F16" s="130" t="inlineStr">
        <is>
          <t>X</t>
        </is>
      </c>
      <c r="G16" s="130" t="inlineStr">
        <is>
          <t>O</t>
        </is>
      </c>
      <c r="H16" s="130" t="inlineStr">
        <is>
          <t>X</t>
        </is>
      </c>
      <c r="I16" s="130">
        <f>COUNTIF(D16:H16,"O")</f>
        <v/>
      </c>
      <c r="J16" s="130">
        <f>IF(I16&gt;=3,50,IF(I16=2,35,IF(I16=1,20,0)))</f>
        <v/>
      </c>
      <c r="K16" s="130" t="n">
        <v>35</v>
      </c>
      <c r="L16" s="130">
        <f>J16-K16</f>
        <v/>
      </c>
      <c r="M16" s="130">
        <f>IF(L16&gt;0,"상향",IF(L16&lt;0,"하향","유지"))</f>
        <v/>
      </c>
      <c r="N16" s="131" t="inlineStr">
        <is>
          <t>EO/ethylene chain downstream으로 확장 가능하나 기존 intermediate 직접 활용은 아직 제한</t>
        </is>
      </c>
      <c r="O16" s="132" t="inlineStr">
        <is>
          <t>S2,S3,S10</t>
        </is>
      </c>
    </row>
    <row r="17" ht="36" customHeight="1" s="179">
      <c r="A17" s="128" t="n">
        <v>12</v>
      </c>
      <c r="B17" s="129" t="inlineStr">
        <is>
          <t>Ethanolamine Chain</t>
        </is>
      </c>
      <c r="C17" s="129" t="inlineStr">
        <is>
          <t>TEA</t>
        </is>
      </c>
      <c r="D17" s="130" t="inlineStr">
        <is>
          <t>O</t>
        </is>
      </c>
      <c r="E17" s="130" t="inlineStr">
        <is>
          <t>X</t>
        </is>
      </c>
      <c r="F17" s="130" t="inlineStr">
        <is>
          <t>X</t>
        </is>
      </c>
      <c r="G17" s="130" t="inlineStr">
        <is>
          <t>O</t>
        </is>
      </c>
      <c r="H17" s="130" t="inlineStr">
        <is>
          <t>X</t>
        </is>
      </c>
      <c r="I17" s="130">
        <f>COUNTIF(D17:H17,"O")</f>
        <v/>
      </c>
      <c r="J17" s="130">
        <f>IF(I17&gt;=3,50,IF(I17=2,35,IF(I17=1,20,0)))</f>
        <v/>
      </c>
      <c r="K17" s="130" t="n">
        <v>35</v>
      </c>
      <c r="L17" s="130">
        <f>J17-K17</f>
        <v/>
      </c>
      <c r="M17" s="130">
        <f>IF(L17&gt;0,"상향",IF(L17&lt;0,"하향","유지"))</f>
        <v/>
      </c>
      <c r="N17" s="131" t="inlineStr">
        <is>
          <t>EO/ethylene chain downstream으로 확장 가능하나 기존 intermediate 직접 활용은 아직 제한</t>
        </is>
      </c>
      <c r="O17" s="132" t="inlineStr">
        <is>
          <t>S2,S3,S10</t>
        </is>
      </c>
    </row>
    <row r="18" ht="36" customHeight="1" s="179">
      <c r="A18" s="128" t="n">
        <v>13</v>
      </c>
      <c r="B18" s="129" t="inlineStr">
        <is>
          <t>EO-PET Chain</t>
        </is>
      </c>
      <c r="C18" s="129" t="inlineStr">
        <is>
          <t>MEG</t>
        </is>
      </c>
      <c r="D18" s="130" t="inlineStr">
        <is>
          <t>O</t>
        </is>
      </c>
      <c r="E18" s="130" t="inlineStr">
        <is>
          <t>X</t>
        </is>
      </c>
      <c r="F18" s="130" t="inlineStr">
        <is>
          <t>X</t>
        </is>
      </c>
      <c r="G18" s="130" t="inlineStr">
        <is>
          <t>O</t>
        </is>
      </c>
      <c r="H18" s="130" t="inlineStr">
        <is>
          <t>O</t>
        </is>
      </c>
      <c r="I18" s="130">
        <f>COUNTIF(D18:H18,"O")</f>
        <v/>
      </c>
      <c r="J18" s="130">
        <f>IF(I18&gt;=3,50,IF(I18=2,35,IF(I18=1,20,0)))</f>
        <v/>
      </c>
      <c r="K18" s="130" t="n">
        <v>50</v>
      </c>
      <c r="L18" s="130">
        <f>J18-K18</f>
        <v/>
      </c>
      <c r="M18" s="130">
        <f>IF(L18&gt;0,"상향",IF(L18&lt;0,"하향","유지"))</f>
        <v/>
      </c>
      <c r="N18" s="131" t="inlineStr">
        <is>
          <t>에틸렌 대규모 monetization 및 PET chain 연계가 가능한 대표 downstream</t>
        </is>
      </c>
      <c r="O18" s="132" t="inlineStr">
        <is>
          <t>S2,S3,S10</t>
        </is>
      </c>
    </row>
    <row r="19" ht="36" customHeight="1" s="179">
      <c r="A19" s="128" t="n">
        <v>14</v>
      </c>
      <c r="B19" s="129" t="inlineStr">
        <is>
          <t>VAM Chain</t>
        </is>
      </c>
      <c r="C19" s="129" t="inlineStr">
        <is>
          <t>VAM</t>
        </is>
      </c>
      <c r="D19" s="130" t="inlineStr">
        <is>
          <t>O</t>
        </is>
      </c>
      <c r="E19" s="130" t="inlineStr">
        <is>
          <t>X</t>
        </is>
      </c>
      <c r="F19" s="130" t="inlineStr">
        <is>
          <t>X</t>
        </is>
      </c>
      <c r="G19" s="130" t="inlineStr">
        <is>
          <t>O</t>
        </is>
      </c>
      <c r="H19" s="130" t="inlineStr">
        <is>
          <t>X</t>
        </is>
      </c>
      <c r="I19" s="130">
        <f>COUNTIF(D19:H19,"O")</f>
        <v/>
      </c>
      <c r="J19" s="130">
        <f>IF(I19&gt;=3,50,IF(I19=2,35,IF(I19=1,20,0)))</f>
        <v/>
      </c>
      <c r="K19" s="130" t="n">
        <v>35</v>
      </c>
      <c r="L19" s="130">
        <f>J19-K19</f>
        <v/>
      </c>
      <c r="M19" s="130">
        <f>IF(L19&gt;0,"상향",IF(L19&lt;0,"하향","유지"))</f>
        <v/>
      </c>
      <c r="N19" s="131" t="inlineStr">
        <is>
          <t>에틸렌 기반 VAM chain 진입 가능하나 acetic acid 및 신규 공정 기반 필요</t>
        </is>
      </c>
      <c r="O19" s="132" t="inlineStr">
        <is>
          <t>S2,S3,S10</t>
        </is>
      </c>
    </row>
    <row r="20" ht="36" customHeight="1" s="179">
      <c r="A20" s="128" t="n">
        <v>15</v>
      </c>
      <c r="B20" s="129" t="inlineStr">
        <is>
          <t>AN Chain</t>
        </is>
      </c>
      <c r="C20" s="129" t="inlineStr">
        <is>
          <t>AN</t>
        </is>
      </c>
      <c r="D20" s="130" t="inlineStr">
        <is>
          <t>O</t>
        </is>
      </c>
      <c r="E20" s="130" t="inlineStr">
        <is>
          <t>X</t>
        </is>
      </c>
      <c r="F20" s="130" t="inlineStr">
        <is>
          <t>X</t>
        </is>
      </c>
      <c r="G20" s="130" t="inlineStr">
        <is>
          <t>O</t>
        </is>
      </c>
      <c r="H20" s="130" t="inlineStr">
        <is>
          <t>X</t>
        </is>
      </c>
      <c r="I20" s="130">
        <f>COUNTIF(D20:H20,"O")</f>
        <v/>
      </c>
      <c r="J20" s="130">
        <f>IF(I20&gt;=3,50,IF(I20=2,35,IF(I20=1,20,0)))</f>
        <v/>
      </c>
      <c r="K20" s="130" t="n">
        <v>35</v>
      </c>
      <c r="L20" s="130">
        <f>J20-K20</f>
        <v/>
      </c>
      <c r="M20" s="130">
        <f>IF(L20&gt;0,"상향",IF(L20&lt;0,"하향","유지"))</f>
        <v/>
      </c>
      <c r="N20" s="131" t="inlineStr">
        <is>
          <t>프로필렌 직접 downstream으로 ABS·SAN·NBR 확장 가능</t>
        </is>
      </c>
      <c r="O20" s="132" t="inlineStr">
        <is>
          <t>S1,S2,S8</t>
        </is>
      </c>
    </row>
    <row r="21" ht="36" customHeight="1" s="179">
      <c r="A21" s="128" t="n">
        <v>16</v>
      </c>
      <c r="B21" s="129" t="inlineStr">
        <is>
          <t>AN Chain</t>
        </is>
      </c>
      <c r="C21" s="129" t="inlineStr">
        <is>
          <t>ABS</t>
        </is>
      </c>
      <c r="D21" s="130" t="inlineStr">
        <is>
          <t>O</t>
        </is>
      </c>
      <c r="E21" s="130" t="inlineStr">
        <is>
          <t>X</t>
        </is>
      </c>
      <c r="F21" s="130" t="inlineStr">
        <is>
          <t>X</t>
        </is>
      </c>
      <c r="G21" s="130" t="inlineStr">
        <is>
          <t>O</t>
        </is>
      </c>
      <c r="H21" s="130" t="inlineStr">
        <is>
          <t>X</t>
        </is>
      </c>
      <c r="I21" s="130">
        <f>COUNTIF(D21:H21,"O")</f>
        <v/>
      </c>
      <c r="J21" s="130">
        <f>IF(I21&gt;=3,50,IF(I21=2,35,IF(I21=1,20,0)))</f>
        <v/>
      </c>
      <c r="K21" s="130" t="n">
        <v>35</v>
      </c>
      <c r="L21" s="130">
        <f>J21-K21</f>
        <v/>
      </c>
      <c r="M21" s="130">
        <f>IF(L21&gt;0,"상향",IF(L21&lt;0,"하향","유지"))</f>
        <v/>
      </c>
      <c r="N21" s="131" t="inlineStr">
        <is>
          <t>AN·styrene·butadiene 기반 olefin/aromatics downstream이나 신규 intermediates 다수 필요</t>
        </is>
      </c>
      <c r="O21" s="132" t="inlineStr">
        <is>
          <t>S1,S2,S8</t>
        </is>
      </c>
    </row>
    <row r="22" ht="36" customHeight="1" s="179">
      <c r="A22" s="128" t="n">
        <v>17</v>
      </c>
      <c r="B22" s="129" t="inlineStr">
        <is>
          <t>AN Chain</t>
        </is>
      </c>
      <c r="C22" s="129" t="inlineStr">
        <is>
          <t>SAN</t>
        </is>
      </c>
      <c r="D22" s="130" t="inlineStr">
        <is>
          <t>O</t>
        </is>
      </c>
      <c r="E22" s="130" t="inlineStr">
        <is>
          <t>X</t>
        </is>
      </c>
      <c r="F22" s="130" t="inlineStr">
        <is>
          <t>X</t>
        </is>
      </c>
      <c r="G22" s="130" t="inlineStr">
        <is>
          <t>O</t>
        </is>
      </c>
      <c r="H22" s="130" t="inlineStr">
        <is>
          <t>X</t>
        </is>
      </c>
      <c r="I22" s="130">
        <f>COUNTIF(D22:H22,"O")</f>
        <v/>
      </c>
      <c r="J22" s="130">
        <f>IF(I22&gt;=3,50,IF(I22=2,35,IF(I22=1,20,0)))</f>
        <v/>
      </c>
      <c r="K22" s="130" t="n">
        <v>35</v>
      </c>
      <c r="L22" s="130">
        <f>J22-K22</f>
        <v/>
      </c>
      <c r="M22" s="130">
        <f>IF(L22&gt;0,"상향",IF(L22&lt;0,"하향","유지"))</f>
        <v/>
      </c>
      <c r="N22" s="131" t="inlineStr">
        <is>
          <t>AN·styrene 기반 olefin/aromatics downstream이나 신규 intermediate 구축 필요</t>
        </is>
      </c>
      <c r="O22" s="132" t="inlineStr">
        <is>
          <t>S1,S2,S8</t>
        </is>
      </c>
    </row>
    <row r="23" ht="36" customHeight="1" s="179">
      <c r="A23" s="128" t="n">
        <v>18</v>
      </c>
      <c r="B23" s="129" t="inlineStr">
        <is>
          <t>AN Chain</t>
        </is>
      </c>
      <c r="C23" s="129" t="inlineStr">
        <is>
          <t>NBR</t>
        </is>
      </c>
      <c r="D23" s="130" t="inlineStr">
        <is>
          <t>O</t>
        </is>
      </c>
      <c r="E23" s="130" t="inlineStr">
        <is>
          <t>X</t>
        </is>
      </c>
      <c r="F23" s="130" t="inlineStr">
        <is>
          <t>O</t>
        </is>
      </c>
      <c r="G23" s="130" t="inlineStr">
        <is>
          <t>X</t>
        </is>
      </c>
      <c r="H23" s="130" t="inlineStr">
        <is>
          <t>X</t>
        </is>
      </c>
      <c r="I23" s="130">
        <f>COUNTIF(D23:H23,"O")</f>
        <v/>
      </c>
      <c r="J23" s="130">
        <f>IF(I23&gt;=3,50,IF(I23=2,35,IF(I23=1,20,0)))</f>
        <v/>
      </c>
      <c r="K23" s="130" t="n">
        <v>35</v>
      </c>
      <c r="L23" s="130">
        <f>J23-K23</f>
        <v/>
      </c>
      <c r="M23" s="130">
        <f>IF(L23&gt;0,"상향",IF(L23&lt;0,"하향","유지"))</f>
        <v/>
      </c>
      <c r="N23" s="131" t="inlineStr">
        <is>
          <t>AN과 C4계 butadiene을 활용 가능하나 기존 rubber downstream 기반은 제한</t>
        </is>
      </c>
      <c r="O23" s="132" t="inlineStr">
        <is>
          <t>S3,S6,S8</t>
        </is>
      </c>
    </row>
    <row r="24" ht="36" customHeight="1" s="179">
      <c r="A24" s="128" t="n">
        <v>19</v>
      </c>
      <c r="B24" s="129" t="inlineStr">
        <is>
          <t>PP Chain</t>
        </is>
      </c>
      <c r="C24" s="129" t="inlineStr">
        <is>
          <t>PP</t>
        </is>
      </c>
      <c r="D24" s="130" t="inlineStr">
        <is>
          <t>O</t>
        </is>
      </c>
      <c r="E24" s="130" t="inlineStr">
        <is>
          <t>X</t>
        </is>
      </c>
      <c r="F24" s="130" t="inlineStr">
        <is>
          <t>X</t>
        </is>
      </c>
      <c r="G24" s="130" t="inlineStr">
        <is>
          <t>O</t>
        </is>
      </c>
      <c r="H24" s="130" t="inlineStr">
        <is>
          <t>O</t>
        </is>
      </c>
      <c r="I24" s="130">
        <f>COUNTIF(D24:H24,"O")</f>
        <v/>
      </c>
      <c r="J24" s="130">
        <f>IF(I24&gt;=3,50,IF(I24=2,35,IF(I24=1,20,0)))</f>
        <v/>
      </c>
      <c r="K24" s="130" t="n">
        <v>50</v>
      </c>
      <c r="L24" s="130">
        <f>J24-K24</f>
        <v/>
      </c>
      <c r="M24" s="130">
        <f>IF(L24&gt;0,"상향",IF(L24&lt;0,"하향","유지"))</f>
        <v/>
      </c>
      <c r="N24" s="131" t="inlineStr">
        <is>
          <t>현재 보유한 propylene downstream 핵심 제품으로 portfolio·고객·TS&amp;D 연계가 가장 직접적</t>
        </is>
      </c>
      <c r="O24" s="132" t="inlineStr">
        <is>
          <t>S1,S4,S5</t>
        </is>
      </c>
    </row>
    <row r="25" ht="36" customHeight="1" s="179">
      <c r="A25" s="128" t="n">
        <v>20</v>
      </c>
      <c r="B25" s="129" t="inlineStr">
        <is>
          <t>PO/PG Chain</t>
        </is>
      </c>
      <c r="C25" s="129" t="inlineStr">
        <is>
          <t>PO</t>
        </is>
      </c>
      <c r="D25" s="130" t="inlineStr">
        <is>
          <t>O</t>
        </is>
      </c>
      <c r="E25" s="130" t="inlineStr">
        <is>
          <t>X</t>
        </is>
      </c>
      <c r="F25" s="130" t="inlineStr">
        <is>
          <t>X</t>
        </is>
      </c>
      <c r="G25" s="130" t="inlineStr">
        <is>
          <t>O</t>
        </is>
      </c>
      <c r="H25" s="130" t="inlineStr">
        <is>
          <t>O</t>
        </is>
      </c>
      <c r="I25" s="130">
        <f>COUNTIF(D25:H25,"O")</f>
        <v/>
      </c>
      <c r="J25" s="130">
        <f>IF(I25&gt;=3,50,IF(I25=2,35,IF(I25=1,20,0)))</f>
        <v/>
      </c>
      <c r="K25" s="130" t="n">
        <v>50</v>
      </c>
      <c r="L25" s="130">
        <f>J25-K25</f>
        <v/>
      </c>
      <c r="M25" s="130">
        <f>IF(L25&gt;0,"상향",IF(L25&lt;0,"하향","유지"))</f>
        <v/>
      </c>
      <c r="N25" s="131" t="inlineStr">
        <is>
          <t>현재 보유한 propylene downstream intermediate로 PG·PPG·polyol·PU 확장 platform</t>
        </is>
      </c>
      <c r="O25" s="132" t="inlineStr">
        <is>
          <t>S1,S4,S5</t>
        </is>
      </c>
    </row>
    <row r="26" ht="36" customHeight="1" s="179">
      <c r="A26" s="128" t="n">
        <v>21</v>
      </c>
      <c r="B26" s="129" t="inlineStr">
        <is>
          <t>PO/PG Chain</t>
        </is>
      </c>
      <c r="C26" s="129" t="inlineStr">
        <is>
          <t>PG</t>
        </is>
      </c>
      <c r="D26" s="130" t="inlineStr">
        <is>
          <t>O</t>
        </is>
      </c>
      <c r="E26" s="130" t="inlineStr">
        <is>
          <t>O</t>
        </is>
      </c>
      <c r="F26" s="130" t="inlineStr">
        <is>
          <t>X</t>
        </is>
      </c>
      <c r="G26" s="130" t="inlineStr">
        <is>
          <t>O</t>
        </is>
      </c>
      <c r="H26" s="130" t="inlineStr">
        <is>
          <t>O</t>
        </is>
      </c>
      <c r="I26" s="130">
        <f>COUNTIF(D26:H26,"O")</f>
        <v/>
      </c>
      <c r="J26" s="130">
        <f>IF(I26&gt;=3,50,IF(I26=2,35,IF(I26=1,20,0)))</f>
        <v/>
      </c>
      <c r="K26" s="130" t="n">
        <v>50</v>
      </c>
      <c r="L26" s="130">
        <f>J26-K26</f>
        <v/>
      </c>
      <c r="M26" s="130">
        <f>IF(L26&gt;0,"상향",IF(L26&lt;0,"하향","유지"))</f>
        <v/>
      </c>
      <c r="N26" s="131" t="inlineStr">
        <is>
          <t>기존 PO를 직접 활용하고 PU·UPR·용제 chain으로 확장 가능</t>
        </is>
      </c>
      <c r="O26" s="132" t="inlineStr">
        <is>
          <t>S1,S4,S5</t>
        </is>
      </c>
    </row>
    <row r="27" ht="36" customHeight="1" s="179">
      <c r="A27" s="128" t="n">
        <v>22</v>
      </c>
      <c r="B27" s="129" t="inlineStr">
        <is>
          <t>UPR Platform</t>
        </is>
      </c>
      <c r="C27" s="129" t="inlineStr">
        <is>
          <t>PG</t>
        </is>
      </c>
      <c r="D27" s="130" t="inlineStr">
        <is>
          <t>O</t>
        </is>
      </c>
      <c r="E27" s="130" t="inlineStr">
        <is>
          <t>O</t>
        </is>
      </c>
      <c r="F27" s="130" t="inlineStr">
        <is>
          <t>X</t>
        </is>
      </c>
      <c r="G27" s="130" t="inlineStr">
        <is>
          <t>O</t>
        </is>
      </c>
      <c r="H27" s="130" t="inlineStr">
        <is>
          <t>O</t>
        </is>
      </c>
      <c r="I27" s="130">
        <f>COUNTIF(D27:H27,"O")</f>
        <v/>
      </c>
      <c r="J27" s="130">
        <f>IF(I27&gt;=3,50,IF(I27=2,35,IF(I27=1,20,0)))</f>
        <v/>
      </c>
      <c r="K27" s="130" t="n">
        <v>50</v>
      </c>
      <c r="L27" s="130">
        <f>J27-K27</f>
        <v/>
      </c>
      <c r="M27" s="130">
        <f>IF(L27&gt;0,"상향",IF(L27&lt;0,"하향","유지"))</f>
        <v/>
      </c>
      <c r="N27" s="131" t="inlineStr">
        <is>
          <t>기존 PO를 직접 활용하고 PU·UPR·용제 chain으로 확장 가능</t>
        </is>
      </c>
      <c r="O27" s="132" t="inlineStr">
        <is>
          <t>S1,S4,S5</t>
        </is>
      </c>
    </row>
    <row r="28" ht="36" customHeight="1" s="179">
      <c r="A28" s="128" t="n">
        <v>23</v>
      </c>
      <c r="B28" s="129" t="inlineStr">
        <is>
          <t>PO/PG Chain</t>
        </is>
      </c>
      <c r="C28" s="129" t="inlineStr">
        <is>
          <t>PPG</t>
        </is>
      </c>
      <c r="D28" s="130" t="inlineStr">
        <is>
          <t>O</t>
        </is>
      </c>
      <c r="E28" s="130" t="inlineStr">
        <is>
          <t>O</t>
        </is>
      </c>
      <c r="F28" s="130" t="inlineStr">
        <is>
          <t>X</t>
        </is>
      </c>
      <c r="G28" s="130" t="inlineStr">
        <is>
          <t>O</t>
        </is>
      </c>
      <c r="H28" s="130" t="inlineStr">
        <is>
          <t>O</t>
        </is>
      </c>
      <c r="I28" s="130">
        <f>COUNTIF(D28:H28,"O")</f>
        <v/>
      </c>
      <c r="J28" s="130">
        <f>IF(I28&gt;=3,50,IF(I28=2,35,IF(I28=1,20,0)))</f>
        <v/>
      </c>
      <c r="K28" s="130" t="n">
        <v>50</v>
      </c>
      <c r="L28" s="130">
        <f>J28-K28</f>
        <v/>
      </c>
      <c r="M28" s="130">
        <f>IF(L28&gt;0,"상향",IF(L28&lt;0,"하향","유지"))</f>
        <v/>
      </c>
      <c r="N28" s="131" t="inlineStr">
        <is>
          <t>기존 PO를 직접 활용하는 핵심 polyol intermediate로 PU chain과 전략적 연계</t>
        </is>
      </c>
      <c r="O28" s="132" t="inlineStr">
        <is>
          <t>S1,S4,S5</t>
        </is>
      </c>
    </row>
    <row r="29" ht="36" customHeight="1" s="179">
      <c r="A29" s="128" t="n">
        <v>24</v>
      </c>
      <c r="B29" s="129" t="inlineStr">
        <is>
          <t>PU Chain</t>
        </is>
      </c>
      <c r="C29" s="129" t="inlineStr">
        <is>
          <t>Polyols</t>
        </is>
      </c>
      <c r="D29" s="130" t="inlineStr">
        <is>
          <t>O</t>
        </is>
      </c>
      <c r="E29" s="130" t="inlineStr">
        <is>
          <t>O</t>
        </is>
      </c>
      <c r="F29" s="130" t="inlineStr">
        <is>
          <t>X</t>
        </is>
      </c>
      <c r="G29" s="130" t="inlineStr">
        <is>
          <t>O</t>
        </is>
      </c>
      <c r="H29" s="130" t="inlineStr">
        <is>
          <t>O</t>
        </is>
      </c>
      <c r="I29" s="130">
        <f>COUNTIF(D29:H29,"O")</f>
        <v/>
      </c>
      <c r="J29" s="130">
        <f>IF(I29&gt;=3,50,IF(I29=2,35,IF(I29=1,20,0)))</f>
        <v/>
      </c>
      <c r="K29" s="130" t="n">
        <v>50</v>
      </c>
      <c r="L29" s="130">
        <f>J29-K29</f>
        <v/>
      </c>
      <c r="M29" s="130">
        <f>IF(L29&gt;0,"상향",IF(L29&lt;0,"하향","유지"))</f>
        <v/>
      </c>
      <c r="N29" s="131" t="inlineStr">
        <is>
          <t>기존 PO를 직접 활용하며 PU downstream 및 기존 PO 사업 고도화와 연결</t>
        </is>
      </c>
      <c r="O29" s="132" t="inlineStr">
        <is>
          <t>S1,S4,S5</t>
        </is>
      </c>
    </row>
    <row r="30" ht="36" customHeight="1" s="179">
      <c r="A30" s="128" t="n">
        <v>25</v>
      </c>
      <c r="B30" s="129" t="inlineStr">
        <is>
          <t>PU Chain</t>
        </is>
      </c>
      <c r="C30" s="129" t="inlineStr">
        <is>
          <t>PU</t>
        </is>
      </c>
      <c r="D30" s="130" t="inlineStr">
        <is>
          <t>O</t>
        </is>
      </c>
      <c r="E30" s="130" t="inlineStr">
        <is>
          <t>O</t>
        </is>
      </c>
      <c r="F30" s="130" t="inlineStr">
        <is>
          <t>X</t>
        </is>
      </c>
      <c r="G30" s="130" t="inlineStr">
        <is>
          <t>O</t>
        </is>
      </c>
      <c r="H30" s="130" t="inlineStr">
        <is>
          <t>O</t>
        </is>
      </c>
      <c r="I30" s="130">
        <f>COUNTIF(D30:H30,"O")</f>
        <v/>
      </c>
      <c r="J30" s="130">
        <f>IF(I30&gt;=3,50,IF(I30=2,35,IF(I30=1,20,0)))</f>
        <v/>
      </c>
      <c r="K30" s="130" t="n">
        <v>50</v>
      </c>
      <c r="L30" s="130">
        <f>J30-K30</f>
        <v/>
      </c>
      <c r="M30" s="130">
        <f>IF(L30&gt;0,"상향",IF(L30&lt;0,"하향","유지"))</f>
        <v/>
      </c>
      <c r="N30" s="131" t="inlineStr">
        <is>
          <t>기존 PO 기반 polyol 활용과 PU value chain 확장으로 strategic adjacency가 높음</t>
        </is>
      </c>
      <c r="O30" s="132" t="inlineStr">
        <is>
          <t>S1,S4,S5</t>
        </is>
      </c>
    </row>
    <row r="31" ht="36" customHeight="1" s="179">
      <c r="A31" s="128" t="n">
        <v>26</v>
      </c>
      <c r="B31" s="129" t="inlineStr">
        <is>
          <t>AA-SAP Chain</t>
        </is>
      </c>
      <c r="C31" s="129" t="inlineStr">
        <is>
          <t>Acrylic acid</t>
        </is>
      </c>
      <c r="D31" s="130" t="inlineStr">
        <is>
          <t>O</t>
        </is>
      </c>
      <c r="E31" s="130" t="inlineStr">
        <is>
          <t>X</t>
        </is>
      </c>
      <c r="F31" s="130" t="inlineStr">
        <is>
          <t>X</t>
        </is>
      </c>
      <c r="G31" s="130" t="inlineStr">
        <is>
          <t>O</t>
        </is>
      </c>
      <c r="H31" s="130" t="inlineStr">
        <is>
          <t>X</t>
        </is>
      </c>
      <c r="I31" s="130">
        <f>COUNTIF(D31:H31,"O")</f>
        <v/>
      </c>
      <c r="J31" s="130">
        <f>IF(I31&gt;=3,50,IF(I31=2,35,IF(I31=1,20,0)))</f>
        <v/>
      </c>
      <c r="K31" s="130" t="n">
        <v>50</v>
      </c>
      <c r="L31" s="130">
        <f>J31-K31</f>
        <v/>
      </c>
      <c r="M31" s="130">
        <f>IF(L31&gt;0,"상향",IF(L31&lt;0,"하향","유지"))</f>
        <v/>
      </c>
      <c r="N31" s="131" t="inlineStr">
        <is>
          <t>프로필렌 직접 downstream 및 acrylate/SAP 확장성은 높으나 기존 intermediate·portfolio 직접 연계는 제한</t>
        </is>
      </c>
      <c r="O31" s="132" t="inlineStr">
        <is>
          <t>S1,S4,S5</t>
        </is>
      </c>
    </row>
    <row r="32" ht="36" customHeight="1" s="179">
      <c r="A32" s="128" t="n">
        <v>27</v>
      </c>
      <c r="B32" s="129" t="inlineStr">
        <is>
          <t>Acrylic Ester Chain</t>
        </is>
      </c>
      <c r="C32" s="129" t="inlineStr">
        <is>
          <t>Acrylic acid</t>
        </is>
      </c>
      <c r="D32" s="130" t="inlineStr">
        <is>
          <t>O</t>
        </is>
      </c>
      <c r="E32" s="130" t="inlineStr">
        <is>
          <t>X</t>
        </is>
      </c>
      <c r="F32" s="130" t="inlineStr">
        <is>
          <t>X</t>
        </is>
      </c>
      <c r="G32" s="130" t="inlineStr">
        <is>
          <t>O</t>
        </is>
      </c>
      <c r="H32" s="130" t="inlineStr">
        <is>
          <t>X</t>
        </is>
      </c>
      <c r="I32" s="130">
        <f>COUNTIF(D32:H32,"O")</f>
        <v/>
      </c>
      <c r="J32" s="130">
        <f>IF(I32&gt;=3,50,IF(I32=2,35,IF(I32=1,20,0)))</f>
        <v/>
      </c>
      <c r="K32" s="130" t="n">
        <v>50</v>
      </c>
      <c r="L32" s="130">
        <f>J32-K32</f>
        <v/>
      </c>
      <c r="M32" s="130">
        <f>IF(L32&gt;0,"상향",IF(L32&lt;0,"하향","유지"))</f>
        <v/>
      </c>
      <c r="N32" s="131" t="inlineStr">
        <is>
          <t>프로필렌 직접 downstream 및 acrylate/SAP 확장성은 높으나 기존 intermediate·portfolio 직접 연계는 제한</t>
        </is>
      </c>
      <c r="O32" s="132" t="inlineStr">
        <is>
          <t>S1,S4,S5</t>
        </is>
      </c>
    </row>
    <row r="33" ht="36" customHeight="1" s="179">
      <c r="A33" s="128" t="n">
        <v>28</v>
      </c>
      <c r="B33" s="129" t="inlineStr">
        <is>
          <t>Acrylic Ester Chain</t>
        </is>
      </c>
      <c r="C33" s="129" t="inlineStr">
        <is>
          <t>Acrylate Ester</t>
        </is>
      </c>
      <c r="D33" s="130" t="inlineStr">
        <is>
          <t>O</t>
        </is>
      </c>
      <c r="E33" s="130" t="inlineStr">
        <is>
          <t>X</t>
        </is>
      </c>
      <c r="F33" s="130" t="inlineStr">
        <is>
          <t>X</t>
        </is>
      </c>
      <c r="G33" s="130" t="inlineStr">
        <is>
          <t>O</t>
        </is>
      </c>
      <c r="H33" s="130" t="inlineStr">
        <is>
          <t>X</t>
        </is>
      </c>
      <c r="I33" s="130">
        <f>COUNTIF(D33:H33,"O")</f>
        <v/>
      </c>
      <c r="J33" s="130">
        <f>IF(I33&gt;=3,50,IF(I33=2,35,IF(I33=1,20,0)))</f>
        <v/>
      </c>
      <c r="K33" s="130" t="n">
        <v>50</v>
      </c>
      <c r="L33" s="130">
        <f>J33-K33</f>
        <v/>
      </c>
      <c r="M33" s="130">
        <f>IF(L33&gt;0,"상향",IF(L33&lt;0,"하향","유지"))</f>
        <v/>
      </c>
      <c r="N33" s="131" t="inlineStr">
        <is>
          <t>프로필렌-아크릴산 downstream으로 확장 가능하나 신규 AA 및 alcohol chain 필요</t>
        </is>
      </c>
      <c r="O33" s="132" t="inlineStr">
        <is>
          <t>S1,S4,S5</t>
        </is>
      </c>
    </row>
    <row r="34" ht="36" customHeight="1" s="179">
      <c r="A34" s="128" t="n">
        <v>29</v>
      </c>
      <c r="B34" s="129" t="inlineStr">
        <is>
          <t>AA-SAP Chain</t>
        </is>
      </c>
      <c r="C34" s="129" t="inlineStr">
        <is>
          <t>SAP</t>
        </is>
      </c>
      <c r="D34" s="130" t="inlineStr">
        <is>
          <t>O</t>
        </is>
      </c>
      <c r="E34" s="130" t="inlineStr">
        <is>
          <t>X</t>
        </is>
      </c>
      <c r="F34" s="130" t="inlineStr">
        <is>
          <t>X</t>
        </is>
      </c>
      <c r="G34" s="130" t="inlineStr">
        <is>
          <t>O</t>
        </is>
      </c>
      <c r="H34" s="130" t="inlineStr">
        <is>
          <t>X</t>
        </is>
      </c>
      <c r="I34" s="130">
        <f>COUNTIF(D34:H34,"O")</f>
        <v/>
      </c>
      <c r="J34" s="130">
        <f>IF(I34&gt;=3,50,IF(I34=2,35,IF(I34=1,20,0)))</f>
        <v/>
      </c>
      <c r="K34" s="130" t="n">
        <v>50</v>
      </c>
      <c r="L34" s="130">
        <f>J34-K34</f>
        <v/>
      </c>
      <c r="M34" s="130">
        <f>IF(L34&gt;0,"상향",IF(L34&lt;0,"하향","유지"))</f>
        <v/>
      </c>
      <c r="N34" s="131" t="inlineStr">
        <is>
          <t>프로필렌-AA chain downstream이나 기존 portfolio와 직접적인 생산·고객 연계는 제한</t>
        </is>
      </c>
      <c r="O34" s="132" t="inlineStr">
        <is>
          <t>S1,S4,S5</t>
        </is>
      </c>
    </row>
    <row r="35" ht="36" customHeight="1" s="179">
      <c r="A35" s="128" t="n">
        <v>30</v>
      </c>
      <c r="B35" s="129" t="inlineStr">
        <is>
          <t>Oxo Alcohol Chain</t>
        </is>
      </c>
      <c r="C35" s="129" t="inlineStr">
        <is>
          <t>n-Butyraldehyde</t>
        </is>
      </c>
      <c r="D35" s="130" t="inlineStr">
        <is>
          <t>O</t>
        </is>
      </c>
      <c r="E35" s="130" t="inlineStr">
        <is>
          <t>X</t>
        </is>
      </c>
      <c r="F35" s="130" t="inlineStr">
        <is>
          <t>X</t>
        </is>
      </c>
      <c r="G35" s="130" t="inlineStr">
        <is>
          <t>O</t>
        </is>
      </c>
      <c r="H35" s="130" t="inlineStr">
        <is>
          <t>X</t>
        </is>
      </c>
      <c r="I35" s="130">
        <f>COUNTIF(D35:H35,"O")</f>
        <v/>
      </c>
      <c r="J35" s="130">
        <f>IF(I35&gt;=3,50,IF(I35=2,35,IF(I35=1,20,0)))</f>
        <v/>
      </c>
      <c r="K35" s="130" t="n">
        <v>35</v>
      </c>
      <c r="L35" s="130">
        <f>J35-K35</f>
        <v/>
      </c>
      <c r="M35" s="130">
        <f>IF(L35&gt;0,"상향",IF(L35&lt;0,"하향","유지"))</f>
        <v/>
      </c>
      <c r="N35" s="131" t="inlineStr">
        <is>
          <t>프로필렌 oxo chain의 1차 intermediate로 alcohol·acetate downstream 확장 가능</t>
        </is>
      </c>
      <c r="O35" s="132" t="inlineStr">
        <is>
          <t>S1,S4,S5</t>
        </is>
      </c>
    </row>
    <row r="36" ht="36" customHeight="1" s="179">
      <c r="A36" s="128" t="n">
        <v>31</v>
      </c>
      <c r="B36" s="129" t="inlineStr">
        <is>
          <t>Oxo Alcohol Chain</t>
        </is>
      </c>
      <c r="C36" s="129" t="inlineStr">
        <is>
          <t>2-ethylhexanol</t>
        </is>
      </c>
      <c r="D36" s="130" t="inlineStr">
        <is>
          <t>O</t>
        </is>
      </c>
      <c r="E36" s="130" t="inlineStr">
        <is>
          <t>X</t>
        </is>
      </c>
      <c r="F36" s="130" t="inlineStr">
        <is>
          <t>X</t>
        </is>
      </c>
      <c r="G36" s="130" t="inlineStr">
        <is>
          <t>O</t>
        </is>
      </c>
      <c r="H36" s="130" t="inlineStr">
        <is>
          <t>X</t>
        </is>
      </c>
      <c r="I36" s="130">
        <f>COUNTIF(D36:H36,"O")</f>
        <v/>
      </c>
      <c r="J36" s="130">
        <f>IF(I36&gt;=3,50,IF(I36=2,35,IF(I36=1,20,0)))</f>
        <v/>
      </c>
      <c r="K36" s="130" t="n">
        <v>35</v>
      </c>
      <c r="L36" s="130">
        <f>J36-K36</f>
        <v/>
      </c>
      <c r="M36" s="130">
        <f>IF(L36&gt;0,"상향",IF(L36&lt;0,"하향","유지"))</f>
        <v/>
      </c>
      <c r="N36" s="131" t="inlineStr">
        <is>
          <t>프로필렌 oxo chain downstream으로 가소제·acrylate chain 확장 가능</t>
        </is>
      </c>
      <c r="O36" s="132" t="inlineStr">
        <is>
          <t>S1,S4,S5</t>
        </is>
      </c>
    </row>
    <row r="37" ht="36" customHeight="1" s="179">
      <c r="A37" s="128" t="n">
        <v>32</v>
      </c>
      <c r="B37" s="129" t="inlineStr">
        <is>
          <t>Oxo Alcohol Chain</t>
        </is>
      </c>
      <c r="C37" s="129" t="inlineStr">
        <is>
          <t>n-butanol</t>
        </is>
      </c>
      <c r="D37" s="130" t="inlineStr">
        <is>
          <t>O</t>
        </is>
      </c>
      <c r="E37" s="130" t="inlineStr">
        <is>
          <t>X</t>
        </is>
      </c>
      <c r="F37" s="130" t="inlineStr">
        <is>
          <t>X</t>
        </is>
      </c>
      <c r="G37" s="130" t="inlineStr">
        <is>
          <t>O</t>
        </is>
      </c>
      <c r="H37" s="130" t="inlineStr">
        <is>
          <t>X</t>
        </is>
      </c>
      <c r="I37" s="130">
        <f>COUNTIF(D37:H37,"O")</f>
        <v/>
      </c>
      <c r="J37" s="130">
        <f>IF(I37&gt;=3,50,IF(I37=2,35,IF(I37=1,20,0)))</f>
        <v/>
      </c>
      <c r="K37" s="130" t="n">
        <v>35</v>
      </c>
      <c r="L37" s="130">
        <f>J37-K37</f>
        <v/>
      </c>
      <c r="M37" s="130">
        <f>IF(L37&gt;0,"상향",IF(L37&lt;0,"하향","유지"))</f>
        <v/>
      </c>
      <c r="N37" s="131" t="inlineStr">
        <is>
          <t>프로필렌 oxo chain downstream으로 acetate·acrylate 등 확장 가능</t>
        </is>
      </c>
      <c r="O37" s="132" t="inlineStr">
        <is>
          <t>S1,S4,S5</t>
        </is>
      </c>
    </row>
    <row r="38" ht="36" customHeight="1" s="179">
      <c r="A38" s="128" t="n">
        <v>33</v>
      </c>
      <c r="B38" s="129" t="inlineStr">
        <is>
          <t>Oxo Alcohol Chain</t>
        </is>
      </c>
      <c r="C38" s="129" t="inlineStr">
        <is>
          <t>n-butyl acetate</t>
        </is>
      </c>
      <c r="D38" s="130" t="inlineStr">
        <is>
          <t>O</t>
        </is>
      </c>
      <c r="E38" s="130" t="inlineStr">
        <is>
          <t>X</t>
        </is>
      </c>
      <c r="F38" s="130" t="inlineStr">
        <is>
          <t>X</t>
        </is>
      </c>
      <c r="G38" s="130" t="inlineStr">
        <is>
          <t>O</t>
        </is>
      </c>
      <c r="H38" s="130" t="inlineStr">
        <is>
          <t>X</t>
        </is>
      </c>
      <c r="I38" s="130">
        <f>COUNTIF(D38:H38,"O")</f>
        <v/>
      </c>
      <c r="J38" s="130">
        <f>IF(I38&gt;=3,50,IF(I38=2,35,IF(I38=1,20,0)))</f>
        <v/>
      </c>
      <c r="K38" s="130" t="n">
        <v>35</v>
      </c>
      <c r="L38" s="130">
        <f>J38-K38</f>
        <v/>
      </c>
      <c r="M38" s="130">
        <f>IF(L38&gt;0,"상향",IF(L38&lt;0,"하향","유지"))</f>
        <v/>
      </c>
      <c r="N38" s="131" t="inlineStr">
        <is>
          <t>oxo alcohol 기반 용제 downstream으로 propylene chain 연계 가능</t>
        </is>
      </c>
      <c r="O38" s="132" t="inlineStr">
        <is>
          <t>S1,S4,S5</t>
        </is>
      </c>
    </row>
    <row r="39" ht="36" customHeight="1" s="179">
      <c r="A39" s="128" t="n">
        <v>34</v>
      </c>
      <c r="B39" s="129" t="inlineStr">
        <is>
          <t>Oxo Alcohol Chain</t>
        </is>
      </c>
      <c r="C39" s="129" t="inlineStr">
        <is>
          <t>isobutanol</t>
        </is>
      </c>
      <c r="D39" s="130" t="inlineStr">
        <is>
          <t>O</t>
        </is>
      </c>
      <c r="E39" s="130" t="inlineStr">
        <is>
          <t>X</t>
        </is>
      </c>
      <c r="F39" s="130" t="inlineStr">
        <is>
          <t>X</t>
        </is>
      </c>
      <c r="G39" s="130" t="inlineStr">
        <is>
          <t>O</t>
        </is>
      </c>
      <c r="H39" s="130" t="inlineStr">
        <is>
          <t>X</t>
        </is>
      </c>
      <c r="I39" s="130">
        <f>COUNTIF(D39:H39,"O")</f>
        <v/>
      </c>
      <c r="J39" s="130">
        <f>IF(I39&gt;=3,50,IF(I39=2,35,IF(I39=1,20,0)))</f>
        <v/>
      </c>
      <c r="K39" s="130" t="n">
        <v>35</v>
      </c>
      <c r="L39" s="130">
        <f>J39-K39</f>
        <v/>
      </c>
      <c r="M39" s="130">
        <f>IF(L39&gt;0,"상향",IF(L39&lt;0,"하향","유지"))</f>
        <v/>
      </c>
      <c r="N39" s="131" t="inlineStr">
        <is>
          <t>propylene oxo chain의 iso-product로 acetate 등 downstream 확장 가능</t>
        </is>
      </c>
      <c r="O39" s="132" t="inlineStr">
        <is>
          <t>S1,S4,S5</t>
        </is>
      </c>
    </row>
    <row r="40" ht="36" customHeight="1" s="179">
      <c r="A40" s="128" t="n">
        <v>35</v>
      </c>
      <c r="B40" s="129" t="inlineStr">
        <is>
          <t>Oxo Alcohol Chain</t>
        </is>
      </c>
      <c r="C40" s="129" t="inlineStr">
        <is>
          <t>isobutyl acetate</t>
        </is>
      </c>
      <c r="D40" s="130" t="inlineStr">
        <is>
          <t>O</t>
        </is>
      </c>
      <c r="E40" s="130" t="inlineStr">
        <is>
          <t>X</t>
        </is>
      </c>
      <c r="F40" s="130" t="inlineStr">
        <is>
          <t>X</t>
        </is>
      </c>
      <c r="G40" s="130" t="inlineStr">
        <is>
          <t>O</t>
        </is>
      </c>
      <c r="H40" s="130" t="inlineStr">
        <is>
          <t>X</t>
        </is>
      </c>
      <c r="I40" s="130">
        <f>COUNTIF(D40:H40,"O")</f>
        <v/>
      </c>
      <c r="J40" s="130">
        <f>IF(I40&gt;=3,50,IF(I40=2,35,IF(I40=1,20,0)))</f>
        <v/>
      </c>
      <c r="K40" s="130" t="n">
        <v>35</v>
      </c>
      <c r="L40" s="130">
        <f>J40-K40</f>
        <v/>
      </c>
      <c r="M40" s="130">
        <f>IF(L40&gt;0,"상향",IF(L40&lt;0,"하향","유지"))</f>
        <v/>
      </c>
      <c r="N40" s="131" t="inlineStr">
        <is>
          <t>isobutanol downstream ester로 propylene chain 연계 가능</t>
        </is>
      </c>
      <c r="O40" s="132" t="inlineStr">
        <is>
          <t>S1,S4,S5</t>
        </is>
      </c>
    </row>
    <row r="41" ht="36" customHeight="1" s="179">
      <c r="A41" s="128" t="n">
        <v>36</v>
      </c>
      <c r="B41" s="129" t="inlineStr">
        <is>
          <t>IPA Chain</t>
        </is>
      </c>
      <c r="C41" s="129" t="inlineStr">
        <is>
          <t>IPA</t>
        </is>
      </c>
      <c r="D41" s="130" t="inlineStr">
        <is>
          <t>O</t>
        </is>
      </c>
      <c r="E41" s="130" t="inlineStr">
        <is>
          <t>X</t>
        </is>
      </c>
      <c r="F41" s="130" t="inlineStr">
        <is>
          <t>X</t>
        </is>
      </c>
      <c r="G41" s="130" t="inlineStr">
        <is>
          <t>O</t>
        </is>
      </c>
      <c r="H41" s="130" t="inlineStr">
        <is>
          <t>X</t>
        </is>
      </c>
      <c r="I41" s="130">
        <f>COUNTIF(D41:H41,"O")</f>
        <v/>
      </c>
      <c r="J41" s="130">
        <f>IF(I41&gt;=3,50,IF(I41=2,35,IF(I41=1,20,0)))</f>
        <v/>
      </c>
      <c r="K41" s="130" t="n">
        <v>35</v>
      </c>
      <c r="L41" s="130">
        <f>J41-K41</f>
        <v/>
      </c>
      <c r="M41" s="130">
        <f>IF(L41&gt;0,"상향",IF(L41&lt;0,"하향","유지"))</f>
        <v/>
      </c>
      <c r="N41" s="131" t="inlineStr">
        <is>
          <t>프로필렌 또는 acetone 기반 직접 downstream으로 용제·전자재료 확장 가능</t>
        </is>
      </c>
      <c r="O41" s="132" t="inlineStr">
        <is>
          <t>S1,S4,S5</t>
        </is>
      </c>
    </row>
    <row r="42" ht="36" customHeight="1" s="179">
      <c r="A42" s="128" t="n">
        <v>37</v>
      </c>
      <c r="B42" s="129" t="inlineStr">
        <is>
          <t>IPA Chain</t>
        </is>
      </c>
      <c r="C42" s="129" t="inlineStr">
        <is>
          <t>Isopropyl acetate</t>
        </is>
      </c>
      <c r="D42" s="130" t="inlineStr">
        <is>
          <t>O</t>
        </is>
      </c>
      <c r="E42" s="130" t="inlineStr">
        <is>
          <t>X</t>
        </is>
      </c>
      <c r="F42" s="130" t="inlineStr">
        <is>
          <t>X</t>
        </is>
      </c>
      <c r="G42" s="130" t="inlineStr">
        <is>
          <t>O</t>
        </is>
      </c>
      <c r="H42" s="130" t="inlineStr">
        <is>
          <t>X</t>
        </is>
      </c>
      <c r="I42" s="130">
        <f>COUNTIF(D42:H42,"O")</f>
        <v/>
      </c>
      <c r="J42" s="130">
        <f>IF(I42&gt;=3,50,IF(I42=2,35,IF(I42=1,20,0)))</f>
        <v/>
      </c>
      <c r="K42" s="130" t="n">
        <v>35</v>
      </c>
      <c r="L42" s="130">
        <f>J42-K42</f>
        <v/>
      </c>
      <c r="M42" s="130">
        <f>IF(L42&gt;0,"상향",IF(L42&lt;0,"하향","유지"))</f>
        <v/>
      </c>
      <c r="N42" s="131" t="inlineStr">
        <is>
          <t>IPA 후속 ester 제품으로 propylene chain downstream 확장 가능</t>
        </is>
      </c>
      <c r="O42" s="132" t="inlineStr">
        <is>
          <t>S1,S4,S5</t>
        </is>
      </c>
    </row>
    <row r="43" ht="36" customHeight="1" s="179">
      <c r="A43" s="128" t="n">
        <v>38</v>
      </c>
      <c r="B43" s="129" t="inlineStr">
        <is>
          <t>BD Rubber Chain</t>
        </is>
      </c>
      <c r="C43" s="129" t="inlineStr">
        <is>
          <t>Butadiene</t>
        </is>
      </c>
      <c r="D43" s="130" t="inlineStr">
        <is>
          <t>O</t>
        </is>
      </c>
      <c r="E43" s="130" t="inlineStr">
        <is>
          <t>X</t>
        </is>
      </c>
      <c r="F43" s="130" t="inlineStr">
        <is>
          <t>O</t>
        </is>
      </c>
      <c r="G43" s="130" t="inlineStr">
        <is>
          <t>X</t>
        </is>
      </c>
      <c r="H43" s="130" t="inlineStr">
        <is>
          <t>O</t>
        </is>
      </c>
      <c r="I43" s="130">
        <f>COUNTIF(D43:H43,"O")</f>
        <v/>
      </c>
      <c r="J43" s="130">
        <f>IF(I43&gt;=3,50,IF(I43=2,35,IF(I43=1,20,0)))</f>
        <v/>
      </c>
      <c r="K43" s="130" t="n">
        <v>35</v>
      </c>
      <c r="L43" s="130">
        <f>J43-K43</f>
        <v/>
      </c>
      <c r="M43" s="130">
        <f>IF(L43&gt;0,"상향",IF(L43&lt;0,"하향","유지"))</f>
        <v/>
      </c>
      <c r="N43" s="131" t="inlineStr">
        <is>
          <t>Shaheen C4 제품이자 cracker 부산물 고도화의 핵심 anchor로 rubber chain 확장 기반</t>
        </is>
      </c>
      <c r="O43" s="132" t="inlineStr">
        <is>
          <t>S3,S6,S8</t>
        </is>
      </c>
    </row>
    <row r="44" ht="36" customHeight="1" s="179">
      <c r="A44" s="128" t="n">
        <v>39</v>
      </c>
      <c r="B44" s="129" t="inlineStr">
        <is>
          <t>BD Rubber Chain</t>
        </is>
      </c>
      <c r="C44" s="129" t="inlineStr">
        <is>
          <t>BR</t>
        </is>
      </c>
      <c r="D44" s="130" t="inlineStr">
        <is>
          <t>O</t>
        </is>
      </c>
      <c r="E44" s="130" t="inlineStr">
        <is>
          <t>X</t>
        </is>
      </c>
      <c r="F44" s="130" t="inlineStr">
        <is>
          <t>O</t>
        </is>
      </c>
      <c r="G44" s="130" t="inlineStr">
        <is>
          <t>O</t>
        </is>
      </c>
      <c r="H44" s="130" t="inlineStr">
        <is>
          <t>X</t>
        </is>
      </c>
      <c r="I44" s="130">
        <f>COUNTIF(D44:H44,"O")</f>
        <v/>
      </c>
      <c r="J44" s="130">
        <f>IF(I44&gt;=3,50,IF(I44=2,35,IF(I44=1,20,0)))</f>
        <v/>
      </c>
      <c r="K44" s="130" t="n">
        <v>35</v>
      </c>
      <c r="L44" s="130">
        <f>J44-K44</f>
        <v/>
      </c>
      <c r="M44" s="130">
        <f>IF(L44&gt;0,"상향",IF(L44&lt;0,"하향","유지"))</f>
        <v/>
      </c>
      <c r="N44" s="131" t="inlineStr">
        <is>
          <t>Shaheen butadiene 및 C4 stream을 활용해 합성고무 downstream으로 확장 가능</t>
        </is>
      </c>
      <c r="O44" s="132" t="inlineStr">
        <is>
          <t>S3,S6,S8</t>
        </is>
      </c>
    </row>
    <row r="45" ht="36" customHeight="1" s="179">
      <c r="A45" s="128" t="n">
        <v>40</v>
      </c>
      <c r="B45" s="129" t="inlineStr">
        <is>
          <t>BD Rubber Chain</t>
        </is>
      </c>
      <c r="C45" s="129" t="inlineStr">
        <is>
          <t>SBR</t>
        </is>
      </c>
      <c r="D45" s="130" t="inlineStr">
        <is>
          <t>O</t>
        </is>
      </c>
      <c r="E45" s="130" t="inlineStr">
        <is>
          <t>X</t>
        </is>
      </c>
      <c r="F45" s="130" t="inlineStr">
        <is>
          <t>O</t>
        </is>
      </c>
      <c r="G45" s="130" t="inlineStr">
        <is>
          <t>O</t>
        </is>
      </c>
      <c r="H45" s="130" t="inlineStr">
        <is>
          <t>X</t>
        </is>
      </c>
      <c r="I45" s="130">
        <f>COUNTIF(D45:H45,"O")</f>
        <v/>
      </c>
      <c r="J45" s="130">
        <f>IF(I45&gt;=3,50,IF(I45=2,35,IF(I45=1,20,0)))</f>
        <v/>
      </c>
      <c r="K45" s="130" t="n">
        <v>35</v>
      </c>
      <c r="L45" s="130">
        <f>J45-K45</f>
        <v/>
      </c>
      <c r="M45" s="130">
        <f>IF(L45&gt;0,"상향",IF(L45&lt;0,"하향","유지"))</f>
        <v/>
      </c>
      <c r="N45" s="131" t="inlineStr">
        <is>
          <t>butadiene과 aromatics 기반 styrene을 활용하는 합성고무 downstream</t>
        </is>
      </c>
      <c r="O45" s="132" t="inlineStr">
        <is>
          <t>S3,S6,S8</t>
        </is>
      </c>
    </row>
    <row r="46" ht="36" customHeight="1" s="179">
      <c r="A46" s="128" t="n">
        <v>41</v>
      </c>
      <c r="B46" s="129" t="inlineStr">
        <is>
          <t>Isobutylene</t>
        </is>
      </c>
      <c r="C46" s="129" t="inlineStr">
        <is>
          <t>Isobutylene</t>
        </is>
      </c>
      <c r="D46" s="130" t="inlineStr">
        <is>
          <t>O</t>
        </is>
      </c>
      <c r="E46" s="130" t="inlineStr">
        <is>
          <t>O</t>
        </is>
      </c>
      <c r="F46" s="130" t="inlineStr">
        <is>
          <t>O</t>
        </is>
      </c>
      <c r="G46" s="130" t="inlineStr">
        <is>
          <t>O</t>
        </is>
      </c>
      <c r="H46" s="130" t="inlineStr">
        <is>
          <t>X</t>
        </is>
      </c>
      <c r="I46" s="130">
        <f>COUNTIF(D46:H46,"O")</f>
        <v/>
      </c>
      <c r="J46" s="130">
        <f>IF(I46&gt;=3,50,IF(I46=2,35,IF(I46=1,20,0)))</f>
        <v/>
      </c>
      <c r="K46" s="130" t="n">
        <v>35</v>
      </c>
      <c r="L46" s="130">
        <f>J46-K46</f>
        <v/>
      </c>
      <c r="M46" s="130">
        <f>IF(L46&gt;0,"상향",IF(L46&lt;0,"하향","유지"))</f>
        <v/>
      </c>
      <c r="N46" s="131" t="inlineStr">
        <is>
          <t>기존 MTBE와 C4 stream을 활용해 고순도 isobutylene 및 PIB·butyl rubber로 확장 가능</t>
        </is>
      </c>
      <c r="O46" s="132" t="inlineStr">
        <is>
          <t>S3,S6,S8</t>
        </is>
      </c>
    </row>
    <row r="47" ht="36" customHeight="1" s="179">
      <c r="A47" s="128" t="n">
        <v>42</v>
      </c>
      <c r="B47" s="129" t="inlineStr">
        <is>
          <t>Fuel Additive</t>
        </is>
      </c>
      <c r="C47" s="129" t="inlineStr">
        <is>
          <t>Isobutylene</t>
        </is>
      </c>
      <c r="D47" s="130" t="inlineStr">
        <is>
          <t>O</t>
        </is>
      </c>
      <c r="E47" s="130" t="inlineStr">
        <is>
          <t>O</t>
        </is>
      </c>
      <c r="F47" s="130" t="inlineStr">
        <is>
          <t>O</t>
        </is>
      </c>
      <c r="G47" s="130" t="inlineStr">
        <is>
          <t>O</t>
        </is>
      </c>
      <c r="H47" s="130" t="inlineStr">
        <is>
          <t>X</t>
        </is>
      </c>
      <c r="I47" s="130">
        <f>COUNTIF(D47:H47,"O")</f>
        <v/>
      </c>
      <c r="J47" s="130">
        <f>IF(I47&gt;=3,50,IF(I47=2,35,IF(I47=1,20,0)))</f>
        <v/>
      </c>
      <c r="K47" s="130" t="n">
        <v>35</v>
      </c>
      <c r="L47" s="130">
        <f>J47-K47</f>
        <v/>
      </c>
      <c r="M47" s="130">
        <f>IF(L47&gt;0,"상향",IF(L47&lt;0,"하향","유지"))</f>
        <v/>
      </c>
      <c r="N47" s="131" t="inlineStr">
        <is>
          <t>기존 MTBE와 C4 stream을 활용해 고순도 isobutylene 및 PIB·butyl rubber로 확장 가능</t>
        </is>
      </c>
      <c r="O47" s="132" t="inlineStr">
        <is>
          <t>S3,S6,S8</t>
        </is>
      </c>
    </row>
    <row r="48" ht="36" customHeight="1" s="179">
      <c r="A48" s="128" t="n">
        <v>43</v>
      </c>
      <c r="B48" s="129" t="inlineStr">
        <is>
          <t>Isobutylene</t>
        </is>
      </c>
      <c r="C48" s="129" t="inlineStr">
        <is>
          <t>PIB</t>
        </is>
      </c>
      <c r="D48" s="130" t="inlineStr">
        <is>
          <t>O</t>
        </is>
      </c>
      <c r="E48" s="130" t="inlineStr">
        <is>
          <t>O</t>
        </is>
      </c>
      <c r="F48" s="130" t="inlineStr">
        <is>
          <t>O</t>
        </is>
      </c>
      <c r="G48" s="130" t="inlineStr">
        <is>
          <t>O</t>
        </is>
      </c>
      <c r="H48" s="130" t="inlineStr">
        <is>
          <t>X</t>
        </is>
      </c>
      <c r="I48" s="130">
        <f>COUNTIF(D48:H48,"O")</f>
        <v/>
      </c>
      <c r="J48" s="130">
        <f>IF(I48&gt;=3,50,IF(I48=2,35,IF(I48=1,20,0)))</f>
        <v/>
      </c>
      <c r="K48" s="130" t="n">
        <v>35</v>
      </c>
      <c r="L48" s="130">
        <f>J48-K48</f>
        <v/>
      </c>
      <c r="M48" s="130">
        <f>IF(L48&gt;0,"상향",IF(L48&lt;0,"하향","유지"))</f>
        <v/>
      </c>
      <c r="N48" s="131" t="inlineStr">
        <is>
          <t>기존 MTBE/C4 기반 고순도 isobutylene을 활용 가능한 C4 specialty downstream</t>
        </is>
      </c>
      <c r="O48" s="132" t="inlineStr">
        <is>
          <t>S3,S6,S8</t>
        </is>
      </c>
    </row>
    <row r="49" ht="36" customHeight="1" s="179">
      <c r="A49" s="128" t="n">
        <v>44</v>
      </c>
      <c r="B49" s="129" t="inlineStr">
        <is>
          <t>1-Butene Chain</t>
        </is>
      </c>
      <c r="C49" s="129" t="inlineStr">
        <is>
          <t>PB-1</t>
        </is>
      </c>
      <c r="D49" s="130" t="inlineStr">
        <is>
          <t>O</t>
        </is>
      </c>
      <c r="E49" s="130" t="inlineStr">
        <is>
          <t>X</t>
        </is>
      </c>
      <c r="F49" s="130" t="inlineStr">
        <is>
          <t>O</t>
        </is>
      </c>
      <c r="G49" s="130" t="inlineStr">
        <is>
          <t>X</t>
        </is>
      </c>
      <c r="H49" s="130" t="inlineStr">
        <is>
          <t>X</t>
        </is>
      </c>
      <c r="I49" s="130">
        <f>COUNTIF(D49:H49,"O")</f>
        <v/>
      </c>
      <c r="J49" s="130">
        <f>IF(I49&gt;=3,50,IF(I49=2,35,IF(I49=1,20,0)))</f>
        <v/>
      </c>
      <c r="K49" s="130" t="n">
        <v>20</v>
      </c>
      <c r="L49" s="130">
        <f>J49-K49</f>
        <v/>
      </c>
      <c r="M49" s="130">
        <f>IF(L49&gt;0,"상향",IF(L49&lt;0,"하향","유지"))</f>
        <v/>
      </c>
      <c r="N49" s="131" t="inlineStr">
        <is>
          <t>C4 부산물 1-butene 활용성은 있으나 별도 정제·중합 및 신규 downstream 기반 필요</t>
        </is>
      </c>
      <c r="O49" s="132" t="inlineStr">
        <is>
          <t>S3,S6,S8</t>
        </is>
      </c>
    </row>
    <row r="50" ht="36" customHeight="1" s="179">
      <c r="A50" s="128" t="n">
        <v>45</v>
      </c>
      <c r="B50" s="129" t="inlineStr">
        <is>
          <t>Fuel Additive</t>
        </is>
      </c>
      <c r="C50" s="129" t="inlineStr">
        <is>
          <t>MTBE</t>
        </is>
      </c>
      <c r="D50" s="130" t="inlineStr">
        <is>
          <t>O</t>
        </is>
      </c>
      <c r="E50" s="130" t="inlineStr">
        <is>
          <t>X</t>
        </is>
      </c>
      <c r="F50" s="130" t="inlineStr">
        <is>
          <t>O</t>
        </is>
      </c>
      <c r="G50" s="130" t="inlineStr">
        <is>
          <t>X</t>
        </is>
      </c>
      <c r="H50" s="130" t="inlineStr">
        <is>
          <t>O</t>
        </is>
      </c>
      <c r="I50" s="130">
        <f>COUNTIF(D50:H50,"O")</f>
        <v/>
      </c>
      <c r="J50" s="130">
        <f>IF(I50&gt;=3,50,IF(I50=2,35,IF(I50=1,20,0)))</f>
        <v/>
      </c>
      <c r="K50" s="130" t="n">
        <v>35</v>
      </c>
      <c r="L50" s="130">
        <f>J50-K50</f>
        <v/>
      </c>
      <c r="M50" s="130">
        <f>IF(L50&gt;0,"상향",IF(L50&lt;0,"하향","유지"))</f>
        <v/>
      </c>
      <c r="N50" s="131" t="inlineStr">
        <is>
          <t>현재 보유한 C4 기반 fuel additive 사업으로 refinery·gasoline portfolio와 직접 연계</t>
        </is>
      </c>
      <c r="O50" s="132" t="inlineStr">
        <is>
          <t>S3,S6,S8</t>
        </is>
      </c>
    </row>
    <row r="51" ht="36" customHeight="1" s="179">
      <c r="A51" s="128" t="n">
        <v>46</v>
      </c>
      <c r="B51" s="129" t="inlineStr">
        <is>
          <t>C4 Elastomer Chain</t>
        </is>
      </c>
      <c r="C51" s="129" t="inlineStr">
        <is>
          <t>Butyl rubber</t>
        </is>
      </c>
      <c r="D51" s="130" t="inlineStr">
        <is>
          <t>O</t>
        </is>
      </c>
      <c r="E51" s="130" t="inlineStr">
        <is>
          <t>X</t>
        </is>
      </c>
      <c r="F51" s="130" t="inlineStr">
        <is>
          <t>O</t>
        </is>
      </c>
      <c r="G51" s="130" t="inlineStr">
        <is>
          <t>X</t>
        </is>
      </c>
      <c r="H51" s="130" t="inlineStr">
        <is>
          <t>X</t>
        </is>
      </c>
      <c r="I51" s="130">
        <f>COUNTIF(D51:H51,"O")</f>
        <v/>
      </c>
      <c r="J51" s="130">
        <f>IF(I51&gt;=3,50,IF(I51=2,35,IF(I51=1,20,0)))</f>
        <v/>
      </c>
      <c r="K51" s="130" t="n">
        <v>35</v>
      </c>
      <c r="L51" s="130">
        <f>J51-K51</f>
        <v/>
      </c>
      <c r="M51" s="130">
        <f>IF(L51&gt;0,"상향",IF(L51&lt;0,"하향","유지"))</f>
        <v/>
      </c>
      <c r="N51" s="131" t="inlineStr">
        <is>
          <t>C4/isoprene stream 활용성은 있으나 고순도 monomer와 rubber 사업 기반이 추가로 필요</t>
        </is>
      </c>
      <c r="O51" s="132" t="inlineStr">
        <is>
          <t>S3,S6,S8</t>
        </is>
      </c>
    </row>
    <row r="52" ht="36" customHeight="1" s="179">
      <c r="A52" s="128" t="n">
        <v>47</v>
      </c>
      <c r="B52" s="129" t="inlineStr">
        <is>
          <t>1-Butene Chain</t>
        </is>
      </c>
      <c r="C52" s="129" t="inlineStr">
        <is>
          <t>1-Butene</t>
        </is>
      </c>
      <c r="D52" s="130" t="inlineStr">
        <is>
          <t>O</t>
        </is>
      </c>
      <c r="E52" s="130" t="inlineStr">
        <is>
          <t>X</t>
        </is>
      </c>
      <c r="F52" s="130" t="inlineStr">
        <is>
          <t>O</t>
        </is>
      </c>
      <c r="G52" s="130" t="inlineStr">
        <is>
          <t>O</t>
        </is>
      </c>
      <c r="H52" s="130" t="inlineStr">
        <is>
          <t>O</t>
        </is>
      </c>
      <c r="I52" s="130">
        <f>COUNTIF(D52:H52,"O")</f>
        <v/>
      </c>
      <c r="J52" s="130">
        <f>IF(I52&gt;=3,50,IF(I52=2,35,IF(I52=1,20,0)))</f>
        <v/>
      </c>
      <c r="K52" s="130" t="n">
        <v>35</v>
      </c>
      <c r="L52" s="130">
        <f>J52-K52</f>
        <v/>
      </c>
      <c r="M52" s="130">
        <f>IF(L52&gt;0,"상향",IF(L52&lt;0,"하향","유지"))</f>
        <v/>
      </c>
      <c r="N52" s="131" t="inlineStr">
        <is>
          <t>C4 부산물 고도화와 Shaheen PE comonomer 내재화가 동시에 가능한 strategic product</t>
        </is>
      </c>
      <c r="O52" s="132" t="inlineStr">
        <is>
          <t>S3,S6,S8</t>
        </is>
      </c>
    </row>
    <row r="53" ht="36" customHeight="1" s="179">
      <c r="A53" s="128" t="n">
        <v>48</v>
      </c>
      <c r="B53" s="129" t="inlineStr">
        <is>
          <t>PS Chain</t>
        </is>
      </c>
      <c r="C53" s="129" t="inlineStr">
        <is>
          <t>Ethylbenzene</t>
        </is>
      </c>
      <c r="D53" s="130" t="inlineStr">
        <is>
          <t>O</t>
        </is>
      </c>
      <c r="E53" s="130" t="inlineStr">
        <is>
          <t>X</t>
        </is>
      </c>
      <c r="F53" s="130" t="inlineStr">
        <is>
          <t>X</t>
        </is>
      </c>
      <c r="G53" s="130" t="inlineStr">
        <is>
          <t>O</t>
        </is>
      </c>
      <c r="H53" s="130" t="inlineStr">
        <is>
          <t>X</t>
        </is>
      </c>
      <c r="I53" s="130">
        <f>COUNTIF(D53:H53,"O")</f>
        <v/>
      </c>
      <c r="J53" s="130">
        <f>IF(I53&gt;=3,50,IF(I53=2,35,IF(I53=1,20,0)))</f>
        <v/>
      </c>
      <c r="K53" s="130" t="n">
        <v>35</v>
      </c>
      <c r="L53" s="130">
        <f>J53-K53</f>
        <v/>
      </c>
      <c r="M53" s="130">
        <f>IF(L53&gt;0,"상향",IF(L53&lt;0,"하향","유지"))</f>
        <v/>
      </c>
      <c r="N53" s="131" t="inlineStr">
        <is>
          <t>기존 benzene과 ethylene을 활용하는 styrene chain의 직접 intermediate</t>
        </is>
      </c>
      <c r="O53" s="132" t="inlineStr">
        <is>
          <t>S1,S7,S8,S9</t>
        </is>
      </c>
    </row>
    <row r="54" ht="36" customHeight="1" s="179">
      <c r="A54" s="128" t="n">
        <v>49</v>
      </c>
      <c r="B54" s="129" t="inlineStr">
        <is>
          <t>PS Chain</t>
        </is>
      </c>
      <c r="C54" s="129" t="inlineStr">
        <is>
          <t>Styrene</t>
        </is>
      </c>
      <c r="D54" s="130" t="inlineStr">
        <is>
          <t>O</t>
        </is>
      </c>
      <c r="E54" s="130" t="inlineStr">
        <is>
          <t>X</t>
        </is>
      </c>
      <c r="F54" s="130" t="inlineStr">
        <is>
          <t>X</t>
        </is>
      </c>
      <c r="G54" s="130" t="inlineStr">
        <is>
          <t>O</t>
        </is>
      </c>
      <c r="H54" s="130" t="inlineStr">
        <is>
          <t>X</t>
        </is>
      </c>
      <c r="I54" s="130">
        <f>COUNTIF(D54:H54,"O")</f>
        <v/>
      </c>
      <c r="J54" s="130">
        <f>IF(I54&gt;=3,50,IF(I54=2,35,IF(I54=1,20,0)))</f>
        <v/>
      </c>
      <c r="K54" s="130" t="n">
        <v>35</v>
      </c>
      <c r="L54" s="130">
        <f>J54-K54</f>
        <v/>
      </c>
      <c r="M54" s="130">
        <f>IF(L54&gt;0,"상향",IF(L54&lt;0,"하향","유지"))</f>
        <v/>
      </c>
      <c r="N54" s="131" t="inlineStr">
        <is>
          <t>benzene/ethylene 기반 aromatics downstream으로 PS·ABS·SBR 확장 가능</t>
        </is>
      </c>
      <c r="O54" s="132" t="inlineStr">
        <is>
          <t>S1,S7,S8,S9</t>
        </is>
      </c>
    </row>
    <row r="55" ht="36" customHeight="1" s="179">
      <c r="A55" s="128" t="n">
        <v>50</v>
      </c>
      <c r="B55" s="129" t="inlineStr">
        <is>
          <t>PS Chain</t>
        </is>
      </c>
      <c r="C55" s="129" t="inlineStr">
        <is>
          <t>PS</t>
        </is>
      </c>
      <c r="D55" s="130" t="inlineStr">
        <is>
          <t>O</t>
        </is>
      </c>
      <c r="E55" s="130" t="inlineStr">
        <is>
          <t>X</t>
        </is>
      </c>
      <c r="F55" s="130" t="inlineStr">
        <is>
          <t>X</t>
        </is>
      </c>
      <c r="G55" s="130" t="inlineStr">
        <is>
          <t>O</t>
        </is>
      </c>
      <c r="H55" s="130" t="inlineStr">
        <is>
          <t>X</t>
        </is>
      </c>
      <c r="I55" s="130">
        <f>COUNTIF(D55:H55,"O")</f>
        <v/>
      </c>
      <c r="J55" s="130">
        <f>IF(I55&gt;=3,50,IF(I55=2,35,IF(I55=1,20,0)))</f>
        <v/>
      </c>
      <c r="K55" s="130" t="n">
        <v>35</v>
      </c>
      <c r="L55" s="130">
        <f>J55-K55</f>
        <v/>
      </c>
      <c r="M55" s="130">
        <f>IF(L55&gt;0,"상향",IF(L55&lt;0,"하향","유지"))</f>
        <v/>
      </c>
      <c r="N55" s="131" t="inlineStr">
        <is>
          <t>styrene downstream으로 aromatics chain 확장 가능하나 신규 styrene 기반 필요</t>
        </is>
      </c>
      <c r="O55" s="132" t="inlineStr">
        <is>
          <t>S1,S7,S8,S9</t>
        </is>
      </c>
    </row>
    <row r="56" ht="36" customHeight="1" s="179">
      <c r="A56" s="128" t="n">
        <v>51</v>
      </c>
      <c r="B56" s="129" t="inlineStr">
        <is>
          <t>Phenol/Acetone Chain</t>
        </is>
      </c>
      <c r="C56" s="129" t="inlineStr">
        <is>
          <t>Cumene</t>
        </is>
      </c>
      <c r="D56" s="130" t="inlineStr">
        <is>
          <t>O</t>
        </is>
      </c>
      <c r="E56" s="130" t="inlineStr">
        <is>
          <t>X</t>
        </is>
      </c>
      <c r="F56" s="130" t="inlineStr">
        <is>
          <t>X</t>
        </is>
      </c>
      <c r="G56" s="130" t="inlineStr">
        <is>
          <t>O</t>
        </is>
      </c>
      <c r="H56" s="130" t="inlineStr">
        <is>
          <t>X</t>
        </is>
      </c>
      <c r="I56" s="130">
        <f>COUNTIF(D56:H56,"O")</f>
        <v/>
      </c>
      <c r="J56" s="130">
        <f>IF(I56&gt;=3,50,IF(I56=2,35,IF(I56=1,20,0)))</f>
        <v/>
      </c>
      <c r="K56" s="130" t="n">
        <v>35</v>
      </c>
      <c r="L56" s="130">
        <f>J56-K56</f>
        <v/>
      </c>
      <c r="M56" s="130">
        <f>IF(L56&gt;0,"상향",IF(L56&lt;0,"하향","유지"))</f>
        <v/>
      </c>
      <c r="N56" s="131" t="inlineStr">
        <is>
          <t>기존 benzene과 propylene을 직접 활용하는 phenol/acetone chain intermediate</t>
        </is>
      </c>
      <c r="O56" s="132" t="inlineStr">
        <is>
          <t>S1,S7,S8,S9</t>
        </is>
      </c>
    </row>
    <row r="57" ht="36" customHeight="1" s="179">
      <c r="A57" s="128" t="n">
        <v>52</v>
      </c>
      <c r="B57" s="129" t="inlineStr">
        <is>
          <t>Phenol/Acetone Chain</t>
        </is>
      </c>
      <c r="C57" s="129" t="inlineStr">
        <is>
          <t>Phenol</t>
        </is>
      </c>
      <c r="D57" s="130" t="inlineStr">
        <is>
          <t>O</t>
        </is>
      </c>
      <c r="E57" s="130" t="inlineStr">
        <is>
          <t>X</t>
        </is>
      </c>
      <c r="F57" s="130" t="inlineStr">
        <is>
          <t>X</t>
        </is>
      </c>
      <c r="G57" s="130" t="inlineStr">
        <is>
          <t>O</t>
        </is>
      </c>
      <c r="H57" s="130" t="inlineStr">
        <is>
          <t>X</t>
        </is>
      </c>
      <c r="I57" s="130">
        <f>COUNTIF(D57:H57,"O")</f>
        <v/>
      </c>
      <c r="J57" s="130">
        <f>IF(I57&gt;=3,50,IF(I57=2,35,IF(I57=1,20,0)))</f>
        <v/>
      </c>
      <c r="K57" s="130" t="n">
        <v>35</v>
      </c>
      <c r="L57" s="130">
        <f>J57-K57</f>
        <v/>
      </c>
      <c r="M57" s="130">
        <f>IF(L57&gt;0,"상향",IF(L57&lt;0,"하향","유지"))</f>
        <v/>
      </c>
      <c r="N57" s="131" t="inlineStr">
        <is>
          <t>benzene/propylene 기반 cumene downstream으로 BPA·epoxy·PC 확장 가능</t>
        </is>
      </c>
      <c r="O57" s="132" t="inlineStr">
        <is>
          <t>S1,S7,S8,S9</t>
        </is>
      </c>
    </row>
    <row r="58" ht="36" customHeight="1" s="179">
      <c r="A58" s="128" t="n">
        <v>53</v>
      </c>
      <c r="B58" s="129" t="inlineStr">
        <is>
          <t>Phenol/Acetone Chain</t>
        </is>
      </c>
      <c r="C58" s="129" t="inlineStr">
        <is>
          <t>Acetone</t>
        </is>
      </c>
      <c r="D58" s="130" t="inlineStr">
        <is>
          <t>O</t>
        </is>
      </c>
      <c r="E58" s="130" t="inlineStr">
        <is>
          <t>X</t>
        </is>
      </c>
      <c r="F58" s="130" t="inlineStr">
        <is>
          <t>X</t>
        </is>
      </c>
      <c r="G58" s="130" t="inlineStr">
        <is>
          <t>O</t>
        </is>
      </c>
      <c r="H58" s="130" t="inlineStr">
        <is>
          <t>X</t>
        </is>
      </c>
      <c r="I58" s="130">
        <f>COUNTIF(D58:H58,"O")</f>
        <v/>
      </c>
      <c r="J58" s="130">
        <f>IF(I58&gt;=3,50,IF(I58=2,35,IF(I58=1,20,0)))</f>
        <v/>
      </c>
      <c r="K58" s="130" t="n">
        <v>35</v>
      </c>
      <c r="L58" s="130">
        <f>J58-K58</f>
        <v/>
      </c>
      <c r="M58" s="130">
        <f>IF(L58&gt;0,"상향",IF(L58&lt;0,"하향","유지"))</f>
        <v/>
      </c>
      <c r="N58" s="131" t="inlineStr">
        <is>
          <t>cumene co-product로 MMA·IPA·BPA chain 확장 가능</t>
        </is>
      </c>
      <c r="O58" s="132" t="inlineStr">
        <is>
          <t>S1,S7,S8,S9</t>
        </is>
      </c>
    </row>
    <row r="59" ht="36" customHeight="1" s="179">
      <c r="A59" s="128" t="n">
        <v>54</v>
      </c>
      <c r="B59" s="129" t="inlineStr">
        <is>
          <t>Epoxy Chain</t>
        </is>
      </c>
      <c r="C59" s="129" t="inlineStr">
        <is>
          <t>BPA</t>
        </is>
      </c>
      <c r="D59" s="130" t="inlineStr">
        <is>
          <t>O</t>
        </is>
      </c>
      <c r="E59" s="130" t="inlineStr">
        <is>
          <t>X</t>
        </is>
      </c>
      <c r="F59" s="130" t="inlineStr">
        <is>
          <t>X</t>
        </is>
      </c>
      <c r="G59" s="130" t="inlineStr">
        <is>
          <t>O</t>
        </is>
      </c>
      <c r="H59" s="130" t="inlineStr">
        <is>
          <t>X</t>
        </is>
      </c>
      <c r="I59" s="130">
        <f>COUNTIF(D59:H59,"O")</f>
        <v/>
      </c>
      <c r="J59" s="130">
        <f>IF(I59&gt;=3,50,IF(I59=2,35,IF(I59=1,20,0)))</f>
        <v/>
      </c>
      <c r="K59" s="130" t="n">
        <v>35</v>
      </c>
      <c r="L59" s="130">
        <f>J59-K59</f>
        <v/>
      </c>
      <c r="M59" s="130">
        <f>IF(L59&gt;0,"상향",IF(L59&lt;0,"하향","유지"))</f>
        <v/>
      </c>
      <c r="N59" s="131" t="inlineStr">
        <is>
          <t>benzene/propylene 기반 phenol·acetone downstream으로 PC·epoxy 확장 가능</t>
        </is>
      </c>
      <c r="O59" s="132" t="inlineStr">
        <is>
          <t>S1,S7,S8,S9</t>
        </is>
      </c>
    </row>
    <row r="60" ht="36" customHeight="1" s="179">
      <c r="A60" s="128" t="n">
        <v>55</v>
      </c>
      <c r="B60" s="129" t="inlineStr">
        <is>
          <t>PC Chain</t>
        </is>
      </c>
      <c r="C60" s="129" t="inlineStr">
        <is>
          <t>BPA</t>
        </is>
      </c>
      <c r="D60" s="130" t="inlineStr">
        <is>
          <t>O</t>
        </is>
      </c>
      <c r="E60" s="130" t="inlineStr">
        <is>
          <t>X</t>
        </is>
      </c>
      <c r="F60" s="130" t="inlineStr">
        <is>
          <t>X</t>
        </is>
      </c>
      <c r="G60" s="130" t="inlineStr">
        <is>
          <t>O</t>
        </is>
      </c>
      <c r="H60" s="130" t="inlineStr">
        <is>
          <t>X</t>
        </is>
      </c>
      <c r="I60" s="130">
        <f>COUNTIF(D60:H60,"O")</f>
        <v/>
      </c>
      <c r="J60" s="130">
        <f>IF(I60&gt;=3,50,IF(I60=2,35,IF(I60=1,20,0)))</f>
        <v/>
      </c>
      <c r="K60" s="130" t="n">
        <v>35</v>
      </c>
      <c r="L60" s="130">
        <f>J60-K60</f>
        <v/>
      </c>
      <c r="M60" s="130">
        <f>IF(L60&gt;0,"상향",IF(L60&lt;0,"하향","유지"))</f>
        <v/>
      </c>
      <c r="N60" s="131" t="inlineStr">
        <is>
          <t>benzene/propylene 기반 phenol·acetone downstream으로 PC·epoxy 확장 가능</t>
        </is>
      </c>
      <c r="O60" s="132" t="inlineStr">
        <is>
          <t>S1,S7,S8,S9</t>
        </is>
      </c>
    </row>
    <row r="61" ht="36" customHeight="1" s="179">
      <c r="A61" s="128" t="n">
        <v>56</v>
      </c>
      <c r="B61" s="129" t="inlineStr">
        <is>
          <t>PC Chain</t>
        </is>
      </c>
      <c r="C61" s="129" t="inlineStr">
        <is>
          <t>PC</t>
        </is>
      </c>
      <c r="D61" s="130" t="inlineStr">
        <is>
          <t>X</t>
        </is>
      </c>
      <c r="E61" s="130" t="inlineStr">
        <is>
          <t>X</t>
        </is>
      </c>
      <c r="F61" s="130" t="inlineStr">
        <is>
          <t>X</t>
        </is>
      </c>
      <c r="G61" s="130" t="inlineStr">
        <is>
          <t>O</t>
        </is>
      </c>
      <c r="H61" s="130" t="inlineStr">
        <is>
          <t>X</t>
        </is>
      </c>
      <c r="I61" s="130">
        <f>COUNTIF(D61:H61,"O")</f>
        <v/>
      </c>
      <c r="J61" s="130">
        <f>IF(I61&gt;=3,50,IF(I61=2,35,IF(I61=1,20,0)))</f>
        <v/>
      </c>
      <c r="K61" s="130" t="n">
        <v>20</v>
      </c>
      <c r="L61" s="130">
        <f>J61-K61</f>
        <v/>
      </c>
      <c r="M61" s="130">
        <f>IF(L61&gt;0,"상향",IF(L61&lt;0,"하향","유지"))</f>
        <v/>
      </c>
      <c r="N61" s="131" t="inlineStr">
        <is>
          <t>BPA 이후 추가 downstream으로 기존 aromatics와의 직접 연결은 약하나 확장성은 존재</t>
        </is>
      </c>
      <c r="O61" s="132" t="inlineStr">
        <is>
          <t>S1,S7,S8,S9</t>
        </is>
      </c>
    </row>
    <row r="62" ht="36" customHeight="1" s="179">
      <c r="A62" s="128" t="n">
        <v>57</v>
      </c>
      <c r="B62" s="129" t="inlineStr">
        <is>
          <t>Epoxy Chain</t>
        </is>
      </c>
      <c r="C62" s="129" t="inlineStr">
        <is>
          <t>Epoxy resin</t>
        </is>
      </c>
      <c r="D62" s="130" t="inlineStr">
        <is>
          <t>O</t>
        </is>
      </c>
      <c r="E62" s="130" t="inlineStr">
        <is>
          <t>X</t>
        </is>
      </c>
      <c r="F62" s="130" t="inlineStr">
        <is>
          <t>X</t>
        </is>
      </c>
      <c r="G62" s="130" t="inlineStr">
        <is>
          <t>O</t>
        </is>
      </c>
      <c r="H62" s="130" t="inlineStr">
        <is>
          <t>X</t>
        </is>
      </c>
      <c r="I62" s="130">
        <f>COUNTIF(D62:H62,"O")</f>
        <v/>
      </c>
      <c r="J62" s="130">
        <f>IF(I62&gt;=3,50,IF(I62=2,35,IF(I62=1,20,0)))</f>
        <v/>
      </c>
      <c r="K62" s="130" t="n">
        <v>35</v>
      </c>
      <c r="L62" s="130">
        <f>J62-K62</f>
        <v/>
      </c>
      <c r="M62" s="130">
        <f>IF(L62&gt;0,"상향",IF(L62&lt;0,"하향","유지"))</f>
        <v/>
      </c>
      <c r="N62" s="131" t="inlineStr">
        <is>
          <t>BPA/ECH 기반 downstream으로 aromatics·propylene chain과 간접 연계</t>
        </is>
      </c>
      <c r="O62" s="132" t="inlineStr">
        <is>
          <t>S1,S7,S8,S9</t>
        </is>
      </c>
    </row>
    <row r="63" ht="36" customHeight="1" s="179">
      <c r="A63" s="128" t="n">
        <v>58</v>
      </c>
      <c r="B63" s="129" t="inlineStr">
        <is>
          <t>Nylon/PA Chain</t>
        </is>
      </c>
      <c r="C63" s="129" t="inlineStr">
        <is>
          <t>Cyclohexane</t>
        </is>
      </c>
      <c r="D63" s="130" t="inlineStr">
        <is>
          <t>O</t>
        </is>
      </c>
      <c r="E63" s="130" t="inlineStr">
        <is>
          <t>X</t>
        </is>
      </c>
      <c r="F63" s="130" t="inlineStr">
        <is>
          <t>X</t>
        </is>
      </c>
      <c r="G63" s="130" t="inlineStr">
        <is>
          <t>O</t>
        </is>
      </c>
      <c r="H63" s="130" t="inlineStr">
        <is>
          <t>X</t>
        </is>
      </c>
      <c r="I63" s="130">
        <f>COUNTIF(D63:H63,"O")</f>
        <v/>
      </c>
      <c r="J63" s="130">
        <f>IF(I63&gt;=3,50,IF(I63=2,35,IF(I63=1,20,0)))</f>
        <v/>
      </c>
      <c r="K63" s="130" t="n">
        <v>35</v>
      </c>
      <c r="L63" s="130">
        <f>J63-K63</f>
        <v/>
      </c>
      <c r="M63" s="130">
        <f>IF(L63&gt;0,"상향",IF(L63&lt;0,"하향","유지"))</f>
        <v/>
      </c>
      <c r="N63" s="131" t="inlineStr">
        <is>
          <t>기존 benzene 직접 downstream으로 nylon chain 확장 가능</t>
        </is>
      </c>
      <c r="O63" s="132" t="inlineStr">
        <is>
          <t>S1,S7,S8,S9</t>
        </is>
      </c>
    </row>
    <row r="64" ht="36" customHeight="1" s="179">
      <c r="A64" s="128" t="n">
        <v>59</v>
      </c>
      <c r="B64" s="129" t="inlineStr">
        <is>
          <t>Aniline-MDI Chain</t>
        </is>
      </c>
      <c r="C64" s="129" t="inlineStr">
        <is>
          <t>Aniline</t>
        </is>
      </c>
      <c r="D64" s="130" t="inlineStr">
        <is>
          <t>O</t>
        </is>
      </c>
      <c r="E64" s="130" t="inlineStr">
        <is>
          <t>X</t>
        </is>
      </c>
      <c r="F64" s="130" t="inlineStr">
        <is>
          <t>X</t>
        </is>
      </c>
      <c r="G64" s="130" t="inlineStr">
        <is>
          <t>O</t>
        </is>
      </c>
      <c r="H64" s="130" t="inlineStr">
        <is>
          <t>X</t>
        </is>
      </c>
      <c r="I64" s="130">
        <f>COUNTIF(D64:H64,"O")</f>
        <v/>
      </c>
      <c r="J64" s="130">
        <f>IF(I64&gt;=3,50,IF(I64=2,35,IF(I64=1,20,0)))</f>
        <v/>
      </c>
      <c r="K64" s="130" t="n">
        <v>35</v>
      </c>
      <c r="L64" s="130">
        <f>J64-K64</f>
        <v/>
      </c>
      <c r="M64" s="130">
        <f>IF(L64&gt;0,"상향",IF(L64&lt;0,"하향","유지"))</f>
        <v/>
      </c>
      <c r="N64" s="131" t="inlineStr">
        <is>
          <t>기존 benzene 직접 downstream으로 MDI·rubber chemical chain 확장 가능</t>
        </is>
      </c>
      <c r="O64" s="132" t="inlineStr">
        <is>
          <t>S1,S7,S8,S9</t>
        </is>
      </c>
    </row>
    <row r="65" ht="36" customHeight="1" s="179">
      <c r="A65" s="128" t="n">
        <v>60</v>
      </c>
      <c r="B65" s="129" t="inlineStr">
        <is>
          <t>LAB Chain</t>
        </is>
      </c>
      <c r="C65" s="129" t="inlineStr">
        <is>
          <t>LAB</t>
        </is>
      </c>
      <c r="D65" s="130" t="inlineStr">
        <is>
          <t>O</t>
        </is>
      </c>
      <c r="E65" s="130" t="inlineStr">
        <is>
          <t>X</t>
        </is>
      </c>
      <c r="F65" s="130" t="inlineStr">
        <is>
          <t>X</t>
        </is>
      </c>
      <c r="G65" s="130" t="inlineStr">
        <is>
          <t>O</t>
        </is>
      </c>
      <c r="H65" s="130" t="inlineStr">
        <is>
          <t>X</t>
        </is>
      </c>
      <c r="I65" s="130">
        <f>COUNTIF(D65:H65,"O")</f>
        <v/>
      </c>
      <c r="J65" s="130">
        <f>IF(I65&gt;=3,50,IF(I65=2,35,IF(I65=1,20,0)))</f>
        <v/>
      </c>
      <c r="K65" s="130" t="n">
        <v>35</v>
      </c>
      <c r="L65" s="130">
        <f>J65-K65</f>
        <v/>
      </c>
      <c r="M65" s="130">
        <f>IF(L65&gt;0,"상향",IF(L65&lt;0,"하향","유지"))</f>
        <v/>
      </c>
      <c r="N65" s="131" t="inlineStr">
        <is>
          <t>기존 benzene과 refinery paraffin 계열을 활용하는 detergent intermediate</t>
        </is>
      </c>
      <c r="O65" s="132" t="inlineStr">
        <is>
          <t>S1,S7,S8,S9</t>
        </is>
      </c>
    </row>
    <row r="66" ht="36" customHeight="1" s="179">
      <c r="A66" s="128" t="n">
        <v>61</v>
      </c>
      <c r="B66" s="129" t="inlineStr">
        <is>
          <t>Nylon/PA Chain</t>
        </is>
      </c>
      <c r="C66" s="129" t="inlineStr">
        <is>
          <t>Cyclohexanone</t>
        </is>
      </c>
      <c r="D66" s="130" t="inlineStr">
        <is>
          <t>O</t>
        </is>
      </c>
      <c r="E66" s="130" t="inlineStr">
        <is>
          <t>X</t>
        </is>
      </c>
      <c r="F66" s="130" t="inlineStr">
        <is>
          <t>X</t>
        </is>
      </c>
      <c r="G66" s="130" t="inlineStr">
        <is>
          <t>O</t>
        </is>
      </c>
      <c r="H66" s="130" t="inlineStr">
        <is>
          <t>X</t>
        </is>
      </c>
      <c r="I66" s="130">
        <f>COUNTIF(D66:H66,"O")</f>
        <v/>
      </c>
      <c r="J66" s="130">
        <f>IF(I66&gt;=3,50,IF(I66=2,35,IF(I66=1,20,0)))</f>
        <v/>
      </c>
      <c r="K66" s="130" t="n">
        <v>35</v>
      </c>
      <c r="L66" s="130">
        <f>J66-K66</f>
        <v/>
      </c>
      <c r="M66" s="130">
        <f>IF(L66&gt;0,"상향",IF(L66&lt;0,"하향","유지"))</f>
        <v/>
      </c>
      <c r="N66" s="131" t="inlineStr">
        <is>
          <t>benzene-cyclohexane downstream으로 caprolactam·adipic chain 확장 가능</t>
        </is>
      </c>
      <c r="O66" s="132" t="inlineStr">
        <is>
          <t>S1,S7,S8,S9</t>
        </is>
      </c>
    </row>
    <row r="67" ht="36" customHeight="1" s="179">
      <c r="A67" s="128" t="n">
        <v>62</v>
      </c>
      <c r="B67" s="129" t="inlineStr">
        <is>
          <t>UPR Platform</t>
        </is>
      </c>
      <c r="C67" s="129" t="inlineStr">
        <is>
          <t>MA</t>
        </is>
      </c>
      <c r="D67" s="130" t="inlineStr">
        <is>
          <t>O</t>
        </is>
      </c>
      <c r="E67" s="130" t="inlineStr">
        <is>
          <t>X</t>
        </is>
      </c>
      <c r="F67" s="130" t="inlineStr">
        <is>
          <t>X</t>
        </is>
      </c>
      <c r="G67" s="130" t="inlineStr">
        <is>
          <t>O</t>
        </is>
      </c>
      <c r="H67" s="130" t="inlineStr">
        <is>
          <t>X</t>
        </is>
      </c>
      <c r="I67" s="130">
        <f>COUNTIF(D67:H67,"O")</f>
        <v/>
      </c>
      <c r="J67" s="130">
        <f>IF(I67&gt;=3,50,IF(I67=2,35,IF(I67=1,20,0)))</f>
        <v/>
      </c>
      <c r="K67" s="130" t="n">
        <v>35</v>
      </c>
      <c r="L67" s="130">
        <f>J67-K67</f>
        <v/>
      </c>
      <c r="M67" s="130">
        <f>IF(L67&gt;0,"상향",IF(L67&lt;0,"하향","유지"))</f>
        <v/>
      </c>
      <c r="N67" s="131" t="inlineStr">
        <is>
          <t>refinery C4/n-butane 또는 aromatics 기반 downstream으로 UPR·BDO 등 확장 가능</t>
        </is>
      </c>
      <c r="O67" s="132" t="inlineStr">
        <is>
          <t>S1,S7,S8,S9</t>
        </is>
      </c>
    </row>
    <row r="68" ht="36" customHeight="1" s="179">
      <c r="A68" s="128" t="n">
        <v>63</v>
      </c>
      <c r="B68" s="129" t="inlineStr">
        <is>
          <t>UPR Platform</t>
        </is>
      </c>
      <c r="C68" s="129" t="inlineStr">
        <is>
          <t>PA</t>
        </is>
      </c>
      <c r="D68" s="130" t="inlineStr">
        <is>
          <t>O</t>
        </is>
      </c>
      <c r="E68" s="130" t="inlineStr">
        <is>
          <t>X</t>
        </is>
      </c>
      <c r="F68" s="130" t="inlineStr">
        <is>
          <t>X</t>
        </is>
      </c>
      <c r="G68" s="130" t="inlineStr">
        <is>
          <t>O</t>
        </is>
      </c>
      <c r="H68" s="130" t="inlineStr">
        <is>
          <t>X</t>
        </is>
      </c>
      <c r="I68" s="130">
        <f>COUNTIF(D68:H68,"O")</f>
        <v/>
      </c>
      <c r="J68" s="130">
        <f>IF(I68&gt;=3,50,IF(I68=2,35,IF(I68=1,20,0)))</f>
        <v/>
      </c>
      <c r="K68" s="130" t="n">
        <v>35</v>
      </c>
      <c r="L68" s="130">
        <f>J68-K68</f>
        <v/>
      </c>
      <c r="M68" s="130">
        <f>IF(L68&gt;0,"상향",IF(L68&lt;0,"하향","유지"))</f>
        <v/>
      </c>
      <c r="N68" s="131" t="inlineStr">
        <is>
          <t>o-xylene/naphthalene 기반 aromatics downstream으로 UPR·plasticizer chain 확장 가능</t>
        </is>
      </c>
      <c r="O68" s="132" t="inlineStr">
        <is>
          <t>S1,S7,S8,S9</t>
        </is>
      </c>
    </row>
    <row r="69" ht="36" customHeight="1" s="179">
      <c r="A69" s="128" t="n">
        <v>64</v>
      </c>
      <c r="B69" s="129" t="inlineStr">
        <is>
          <t>OX-PA Chain</t>
        </is>
      </c>
      <c r="C69" s="129" t="inlineStr">
        <is>
          <t>PA</t>
        </is>
      </c>
      <c r="D69" s="130" t="inlineStr">
        <is>
          <t>O</t>
        </is>
      </c>
      <c r="E69" s="130" t="inlineStr">
        <is>
          <t>X</t>
        </is>
      </c>
      <c r="F69" s="130" t="inlineStr">
        <is>
          <t>X</t>
        </is>
      </c>
      <c r="G69" s="130" t="inlineStr">
        <is>
          <t>O</t>
        </is>
      </c>
      <c r="H69" s="130" t="inlineStr">
        <is>
          <t>X</t>
        </is>
      </c>
      <c r="I69" s="130">
        <f>COUNTIF(D69:H69,"O")</f>
        <v/>
      </c>
      <c r="J69" s="130">
        <f>IF(I69&gt;=3,50,IF(I69=2,35,IF(I69=1,20,0)))</f>
        <v/>
      </c>
      <c r="K69" s="130" t="n">
        <v>35</v>
      </c>
      <c r="L69" s="130">
        <f>J69-K69</f>
        <v/>
      </c>
      <c r="M69" s="130">
        <f>IF(L69&gt;0,"상향",IF(L69&lt;0,"하향","유지"))</f>
        <v/>
      </c>
      <c r="N69" s="131" t="inlineStr">
        <is>
          <t>o-xylene/naphthalene 기반 aromatics downstream으로 UPR·plasticizer chain 확장 가능</t>
        </is>
      </c>
      <c r="O69" s="132" t="inlineStr">
        <is>
          <t>S1,S7,S8,S9</t>
        </is>
      </c>
    </row>
    <row r="70" ht="36" customHeight="1" s="179">
      <c r="A70" s="128" t="n">
        <v>65</v>
      </c>
      <c r="B70" s="129" t="inlineStr">
        <is>
          <t>Nylon/PA Chain</t>
        </is>
      </c>
      <c r="C70" s="129" t="inlineStr">
        <is>
          <t>Caprolactam</t>
        </is>
      </c>
      <c r="D70" s="130" t="inlineStr">
        <is>
          <t>O</t>
        </is>
      </c>
      <c r="E70" s="130" t="inlineStr">
        <is>
          <t>X</t>
        </is>
      </c>
      <c r="F70" s="130" t="inlineStr">
        <is>
          <t>X</t>
        </is>
      </c>
      <c r="G70" s="130" t="inlineStr">
        <is>
          <t>O</t>
        </is>
      </c>
      <c r="H70" s="130" t="inlineStr">
        <is>
          <t>X</t>
        </is>
      </c>
      <c r="I70" s="130">
        <f>COUNTIF(D70:H70,"O")</f>
        <v/>
      </c>
      <c r="J70" s="130">
        <f>IF(I70&gt;=3,50,IF(I70=2,35,IF(I70=1,20,0)))</f>
        <v/>
      </c>
      <c r="K70" s="130" t="n">
        <v>35</v>
      </c>
      <c r="L70" s="130">
        <f>J70-K70</f>
        <v/>
      </c>
      <c r="M70" s="130">
        <f>IF(L70&gt;0,"상향",IF(L70&lt;0,"하향","유지"))</f>
        <v/>
      </c>
      <c r="N70" s="131" t="inlineStr">
        <is>
          <t>benzene/cyclohexanone downstream으로 nylon-6 chain 확장 가능</t>
        </is>
      </c>
      <c r="O70" s="132" t="inlineStr">
        <is>
          <t>S1,S7,S8,S9</t>
        </is>
      </c>
    </row>
    <row r="71" ht="36" customHeight="1" s="179">
      <c r="A71" s="128" t="n">
        <v>66</v>
      </c>
      <c r="B71" s="129" t="inlineStr">
        <is>
          <t>LAO/PAO Chain</t>
        </is>
      </c>
      <c r="C71" s="129" t="inlineStr">
        <is>
          <t>LAO</t>
        </is>
      </c>
      <c r="D71" s="130" t="inlineStr">
        <is>
          <t>O</t>
        </is>
      </c>
      <c r="E71" s="130" t="inlineStr">
        <is>
          <t>X</t>
        </is>
      </c>
      <c r="F71" s="130" t="inlineStr">
        <is>
          <t>X</t>
        </is>
      </c>
      <c r="G71" s="130" t="inlineStr">
        <is>
          <t>O</t>
        </is>
      </c>
      <c r="H71" s="130" t="inlineStr">
        <is>
          <t>O</t>
        </is>
      </c>
      <c r="I71" s="130">
        <f>COUNTIF(D71:H71,"O")</f>
        <v/>
      </c>
      <c r="J71" s="130">
        <f>IF(I71&gt;=3,50,IF(I71=2,35,IF(I71=1,20,0)))</f>
        <v/>
      </c>
      <c r="K71" s="130" t="n">
        <v>50</v>
      </c>
      <c r="L71" s="130">
        <f>J71-K71</f>
        <v/>
      </c>
      <c r="M71" s="130">
        <f>IF(L71&gt;0,"상향",IF(L71&lt;0,"하향","유지"))</f>
        <v/>
      </c>
      <c r="N71" s="131" t="inlineStr">
        <is>
          <t>Shaheen ethylene 활용과 PE comonomer·PAO·detergent chain 연계가 가능한 strategic platform</t>
        </is>
      </c>
      <c r="O71" s="132" t="inlineStr">
        <is>
          <t>S2,S3,S10</t>
        </is>
      </c>
    </row>
    <row r="72" ht="36" customHeight="1" s="179">
      <c r="A72" s="128" t="n">
        <v>67</v>
      </c>
      <c r="B72" s="129" t="inlineStr">
        <is>
          <t>LAO/PAO Chain</t>
        </is>
      </c>
      <c r="C72" s="129" t="inlineStr">
        <is>
          <t>PAO</t>
        </is>
      </c>
      <c r="D72" s="130" t="inlineStr">
        <is>
          <t>O</t>
        </is>
      </c>
      <c r="E72" s="130" t="inlineStr">
        <is>
          <t>X</t>
        </is>
      </c>
      <c r="F72" s="130" t="inlineStr">
        <is>
          <t>X</t>
        </is>
      </c>
      <c r="G72" s="130" t="inlineStr">
        <is>
          <t>X</t>
        </is>
      </c>
      <c r="H72" s="130" t="inlineStr">
        <is>
          <t>O</t>
        </is>
      </c>
      <c r="I72" s="130">
        <f>COUNTIF(D72:H72,"O")</f>
        <v/>
      </c>
      <c r="J72" s="130">
        <f>IF(I72&gt;=3,50,IF(I72=2,35,IF(I72=1,20,0)))</f>
        <v/>
      </c>
      <c r="K72" s="130" t="n">
        <v>35</v>
      </c>
      <c r="L72" s="130">
        <f>J72-K72</f>
        <v/>
      </c>
      <c r="M72" s="130">
        <f>IF(L72&gt;0,"상향",IF(L72&lt;0,"하향","유지"))</f>
        <v/>
      </c>
      <c r="N72" s="131" t="inlineStr">
        <is>
          <t>ethylene-LAO 기반이며 기존 lube base oil 사업과 고객·기술 측면의 strategic adjacency가 높음</t>
        </is>
      </c>
      <c r="O72" s="132" t="inlineStr">
        <is>
          <t>S2,S3,S10</t>
        </is>
      </c>
    </row>
    <row r="73" ht="36" customHeight="1" s="179">
      <c r="A73" s="128" t="n">
        <v>68</v>
      </c>
      <c r="B73" s="129" t="inlineStr">
        <is>
          <t>MMA/PMMA Chain</t>
        </is>
      </c>
      <c r="C73" s="129" t="inlineStr">
        <is>
          <t>MMA</t>
        </is>
      </c>
      <c r="D73" s="130" t="inlineStr">
        <is>
          <t>O</t>
        </is>
      </c>
      <c r="E73" s="130" t="inlineStr">
        <is>
          <t>O</t>
        </is>
      </c>
      <c r="F73" s="130" t="inlineStr">
        <is>
          <t>X</t>
        </is>
      </c>
      <c r="G73" s="130" t="inlineStr">
        <is>
          <t>O</t>
        </is>
      </c>
      <c r="H73" s="130" t="inlineStr">
        <is>
          <t>X</t>
        </is>
      </c>
      <c r="I73" s="130">
        <f>COUNTIF(D73:H73,"O")</f>
        <v/>
      </c>
      <c r="J73" s="130">
        <f>IF(I73&gt;=3,50,IF(I73=2,35,IF(I73=1,20,0)))</f>
        <v/>
      </c>
      <c r="K73" s="130" t="n">
        <v>35</v>
      </c>
      <c r="L73" s="130">
        <f>J73-K73</f>
        <v/>
      </c>
      <c r="M73" s="130">
        <f>IF(L73&gt;0,"상향",IF(L73&lt;0,"하향","유지"))</f>
        <v/>
      </c>
      <c r="N73" s="131" t="inlineStr">
        <is>
          <t>기존 MTBE를 chemical feedstock로 활용 가능한 C4 downstream이며 PMMA 확장 가능</t>
        </is>
      </c>
      <c r="O73" s="132" t="inlineStr">
        <is>
          <t>S3,S6,S8</t>
        </is>
      </c>
    </row>
    <row r="74" ht="36" customHeight="1" s="179">
      <c r="A74" s="128" t="n">
        <v>69</v>
      </c>
      <c r="B74" s="129" t="inlineStr">
        <is>
          <t>MMA/PMMA Chain</t>
        </is>
      </c>
      <c r="C74" s="129" t="inlineStr">
        <is>
          <t>PMMA</t>
        </is>
      </c>
      <c r="D74" s="130" t="inlineStr">
        <is>
          <t>O</t>
        </is>
      </c>
      <c r="E74" s="130" t="inlineStr">
        <is>
          <t>X</t>
        </is>
      </c>
      <c r="F74" s="130" t="inlineStr">
        <is>
          <t>X</t>
        </is>
      </c>
      <c r="G74" s="130" t="inlineStr">
        <is>
          <t>O</t>
        </is>
      </c>
      <c r="H74" s="130" t="inlineStr">
        <is>
          <t>X</t>
        </is>
      </c>
      <c r="I74" s="130">
        <f>COUNTIF(D74:H74,"O")</f>
        <v/>
      </c>
      <c r="J74" s="130">
        <f>IF(I74&gt;=3,50,IF(I74=2,35,IF(I74=1,20,0)))</f>
        <v/>
      </c>
      <c r="K74" s="130" t="n">
        <v>35</v>
      </c>
      <c r="L74" s="130">
        <f>J74-K74</f>
        <v/>
      </c>
      <c r="M74" s="130">
        <f>IF(L74&gt;0,"상향",IF(L74&lt;0,"하향","유지"))</f>
        <v/>
      </c>
      <c r="N74" s="131" t="inlineStr">
        <is>
          <t>MMA 후속 polymer로 C4/acetone chain과 간접 연계</t>
        </is>
      </c>
      <c r="O74" s="132" t="inlineStr">
        <is>
          <t>S3,S6,S8</t>
        </is>
      </c>
    </row>
    <row r="75" ht="36" customHeight="1" s="179">
      <c r="A75" s="128" t="n">
        <v>70</v>
      </c>
      <c r="B75" s="129" t="inlineStr">
        <is>
          <t>EC/DMC Chain</t>
        </is>
      </c>
      <c r="C75" s="129" t="inlineStr">
        <is>
          <t>EC</t>
        </is>
      </c>
      <c r="D75" s="130" t="inlineStr">
        <is>
          <t>X</t>
        </is>
      </c>
      <c r="E75" s="130" t="inlineStr">
        <is>
          <t>X</t>
        </is>
      </c>
      <c r="F75" s="130" t="inlineStr">
        <is>
          <t>O</t>
        </is>
      </c>
      <c r="G75" s="130" t="inlineStr">
        <is>
          <t>X</t>
        </is>
      </c>
      <c r="H75" s="130" t="inlineStr">
        <is>
          <t>X</t>
        </is>
      </c>
      <c r="I75" s="130">
        <f>COUNTIF(D75:H75,"O")</f>
        <v/>
      </c>
      <c r="J75" s="130">
        <f>IF(I75&gt;=3,50,IF(I75=2,35,IF(I75=1,20,0)))</f>
        <v/>
      </c>
      <c r="K75" s="130" t="n">
        <v>20</v>
      </c>
      <c r="L75" s="130">
        <f>J75-K75</f>
        <v/>
      </c>
      <c r="M75" s="130">
        <f>IF(L75&gt;0,"상향",IF(L75&lt;0,"하향","유지"))</f>
        <v/>
      </c>
      <c r="N75" s="131" t="inlineStr">
        <is>
          <t>CO2 활용 가능성은 있으나 기존 olefin/intermediate 및 downstream과 직접 연계는 제한</t>
        </is>
      </c>
      <c r="O75" s="132" t="inlineStr">
        <is>
          <t>S1,S2,S8</t>
        </is>
      </c>
    </row>
    <row r="76" ht="36" customHeight="1" s="179">
      <c r="A76" s="128" t="n">
        <v>71</v>
      </c>
      <c r="B76" s="129" t="inlineStr">
        <is>
          <t>EC/DMC Chain</t>
        </is>
      </c>
      <c r="C76" s="129" t="inlineStr">
        <is>
          <t>DMC</t>
        </is>
      </c>
      <c r="D76" s="130" t="inlineStr">
        <is>
          <t>X</t>
        </is>
      </c>
      <c r="E76" s="130" t="inlineStr">
        <is>
          <t>X</t>
        </is>
      </c>
      <c r="F76" s="130" t="inlineStr">
        <is>
          <t>O</t>
        </is>
      </c>
      <c r="G76" s="130" t="inlineStr">
        <is>
          <t>X</t>
        </is>
      </c>
      <c r="H76" s="130" t="inlineStr">
        <is>
          <t>X</t>
        </is>
      </c>
      <c r="I76" s="130">
        <f>COUNTIF(D76:H76,"O")</f>
        <v/>
      </c>
      <c r="J76" s="130">
        <f>IF(I76&gt;=3,50,IF(I76=2,35,IF(I76=1,20,0)))</f>
        <v/>
      </c>
      <c r="K76" s="130" t="n">
        <v>20</v>
      </c>
      <c r="L76" s="130">
        <f>J76-K76</f>
        <v/>
      </c>
      <c r="M76" s="130">
        <f>IF(L76&gt;0,"상향",IF(L76&lt;0,"하향","유지"))</f>
        <v/>
      </c>
      <c r="N76" s="131" t="inlineStr">
        <is>
          <t>CO2·methanol 활용 가능성은 있으나 기존 core chain과 직접 연결은 제한</t>
        </is>
      </c>
      <c r="O76" s="132" t="inlineStr">
        <is>
          <t>S1,S2,S8</t>
        </is>
      </c>
    </row>
    <row r="77" ht="36" customHeight="1" s="179">
      <c r="A77" s="128" t="n">
        <v>72</v>
      </c>
      <c r="B77" s="129" t="inlineStr">
        <is>
          <t>VAM Chain</t>
        </is>
      </c>
      <c r="C77" s="129" t="inlineStr">
        <is>
          <t>PVOH</t>
        </is>
      </c>
      <c r="D77" s="130" t="inlineStr">
        <is>
          <t>X</t>
        </is>
      </c>
      <c r="E77" s="130" t="inlineStr">
        <is>
          <t>X</t>
        </is>
      </c>
      <c r="F77" s="130" t="inlineStr">
        <is>
          <t>X</t>
        </is>
      </c>
      <c r="G77" s="130" t="inlineStr">
        <is>
          <t>O</t>
        </is>
      </c>
      <c r="H77" s="130" t="inlineStr">
        <is>
          <t>X</t>
        </is>
      </c>
      <c r="I77" s="130">
        <f>COUNTIF(D77:H77,"O")</f>
        <v/>
      </c>
      <c r="J77" s="130">
        <f>IF(I77&gt;=3,50,IF(I77=2,35,IF(I77=1,20,0)))</f>
        <v/>
      </c>
      <c r="K77" s="130" t="n">
        <v>20</v>
      </c>
      <c r="L77" s="130">
        <f>J77-K77</f>
        <v/>
      </c>
      <c r="M77" s="130">
        <f>IF(L77&gt;0,"상향",IF(L77&lt;0,"하향","유지"))</f>
        <v/>
      </c>
      <c r="N77" s="131" t="inlineStr">
        <is>
          <t>VAM 이후 downstream으로 확장성은 있으나 기존 feedstock·intermediate 직접 연계는 약함</t>
        </is>
      </c>
      <c r="O77" s="132" t="inlineStr">
        <is>
          <t>S1,S2,S8</t>
        </is>
      </c>
    </row>
    <row r="78" ht="36" customHeight="1" s="179">
      <c r="A78" s="128" t="n">
        <v>73</v>
      </c>
      <c r="B78" s="129" t="inlineStr">
        <is>
          <t>VAM Chain</t>
        </is>
      </c>
      <c r="C78" s="129" t="inlineStr">
        <is>
          <t>EVA</t>
        </is>
      </c>
      <c r="D78" s="130" t="inlineStr">
        <is>
          <t>O</t>
        </is>
      </c>
      <c r="E78" s="130" t="inlineStr">
        <is>
          <t>X</t>
        </is>
      </c>
      <c r="F78" s="130" t="inlineStr">
        <is>
          <t>X</t>
        </is>
      </c>
      <c r="G78" s="130" t="inlineStr">
        <is>
          <t>O</t>
        </is>
      </c>
      <c r="H78" s="130" t="inlineStr">
        <is>
          <t>O</t>
        </is>
      </c>
      <c r="I78" s="130">
        <f>COUNTIF(D78:H78,"O")</f>
        <v/>
      </c>
      <c r="J78" s="130">
        <f>IF(I78&gt;=3,50,IF(I78=2,35,IF(I78=1,20,0)))</f>
        <v/>
      </c>
      <c r="K78" s="130" t="n">
        <v>50</v>
      </c>
      <c r="L78" s="130">
        <f>J78-K78</f>
        <v/>
      </c>
      <c r="M78" s="130">
        <f>IF(L78&gt;0,"상향",IF(L78&lt;0,"하향","유지"))</f>
        <v/>
      </c>
      <c r="N78" s="131" t="inlineStr">
        <is>
          <t>Shaheen ethylene·polyolefin 생산기반과 specialty copolymer portfolio로 직접 연계</t>
        </is>
      </c>
      <c r="O78" s="132" t="inlineStr">
        <is>
          <t>S2,S3,S10</t>
        </is>
      </c>
    </row>
    <row r="79" ht="36" customHeight="1" s="179">
      <c r="A79" s="128" t="n">
        <v>74</v>
      </c>
      <c r="B79" s="129" t="inlineStr">
        <is>
          <t>PU Chain</t>
        </is>
      </c>
      <c r="C79" s="129" t="inlineStr">
        <is>
          <t>MDI</t>
        </is>
      </c>
      <c r="D79" s="130" t="inlineStr">
        <is>
          <t>O</t>
        </is>
      </c>
      <c r="E79" s="130" t="inlineStr">
        <is>
          <t>X</t>
        </is>
      </c>
      <c r="F79" s="130" t="inlineStr">
        <is>
          <t>X</t>
        </is>
      </c>
      <c r="G79" s="130" t="inlineStr">
        <is>
          <t>O</t>
        </is>
      </c>
      <c r="H79" s="130" t="inlineStr">
        <is>
          <t>X</t>
        </is>
      </c>
      <c r="I79" s="130">
        <f>COUNTIF(D79:H79,"O")</f>
        <v/>
      </c>
      <c r="J79" s="130">
        <f>IF(I79&gt;=3,50,IF(I79=2,35,IF(I79=1,20,0)))</f>
        <v/>
      </c>
      <c r="K79" s="130" t="n">
        <v>35</v>
      </c>
      <c r="L79" s="130">
        <f>J79-K79</f>
        <v/>
      </c>
      <c r="M79" s="130">
        <f>IF(L79&gt;0,"상향",IF(L79&lt;0,"하향","유지"))</f>
        <v/>
      </c>
      <c r="N79" s="131" t="inlineStr">
        <is>
          <t>benzene-aniline downstream 및 PO/polyol 기반 PU chain과 상호 연계</t>
        </is>
      </c>
      <c r="O79" s="132" t="inlineStr">
        <is>
          <t>S1,S7,S8,S9</t>
        </is>
      </c>
    </row>
    <row r="80" ht="36" customHeight="1" s="179">
      <c r="A80" s="128" t="n">
        <v>75</v>
      </c>
      <c r="B80" s="129" t="inlineStr">
        <is>
          <t>Aniline-MDI Chain</t>
        </is>
      </c>
      <c r="C80" s="129" t="inlineStr">
        <is>
          <t>MDI</t>
        </is>
      </c>
      <c r="D80" s="130" t="inlineStr">
        <is>
          <t>O</t>
        </is>
      </c>
      <c r="E80" s="130" t="inlineStr">
        <is>
          <t>X</t>
        </is>
      </c>
      <c r="F80" s="130" t="inlineStr">
        <is>
          <t>X</t>
        </is>
      </c>
      <c r="G80" s="130" t="inlineStr">
        <is>
          <t>O</t>
        </is>
      </c>
      <c r="H80" s="130" t="inlineStr">
        <is>
          <t>X</t>
        </is>
      </c>
      <c r="I80" s="130">
        <f>COUNTIF(D80:H80,"O")</f>
        <v/>
      </c>
      <c r="J80" s="130">
        <f>IF(I80&gt;=3,50,IF(I80=2,35,IF(I80=1,20,0)))</f>
        <v/>
      </c>
      <c r="K80" s="130" t="n">
        <v>35</v>
      </c>
      <c r="L80" s="130">
        <f>J80-K80</f>
        <v/>
      </c>
      <c r="M80" s="130">
        <f>IF(L80&gt;0,"상향",IF(L80&lt;0,"하향","유지"))</f>
        <v/>
      </c>
      <c r="N80" s="131" t="inlineStr">
        <is>
          <t>benzene-aniline downstream 및 PO/polyol 기반 PU chain과 상호 연계</t>
        </is>
      </c>
      <c r="O80" s="132" t="inlineStr">
        <is>
          <t>S1,S7,S8,S9</t>
        </is>
      </c>
    </row>
    <row r="81" ht="36" customHeight="1" s="179">
      <c r="A81" s="128" t="n">
        <v>76</v>
      </c>
      <c r="B81" s="129" t="inlineStr">
        <is>
          <t>PU Chain</t>
        </is>
      </c>
      <c r="C81" s="129" t="inlineStr">
        <is>
          <t>TDI</t>
        </is>
      </c>
      <c r="D81" s="130" t="inlineStr">
        <is>
          <t>O</t>
        </is>
      </c>
      <c r="E81" s="130" t="inlineStr">
        <is>
          <t>X</t>
        </is>
      </c>
      <c r="F81" s="130" t="inlineStr">
        <is>
          <t>X</t>
        </is>
      </c>
      <c r="G81" s="130" t="inlineStr">
        <is>
          <t>O</t>
        </is>
      </c>
      <c r="H81" s="130" t="inlineStr">
        <is>
          <t>X</t>
        </is>
      </c>
      <c r="I81" s="130">
        <f>COUNTIF(D81:H81,"O")</f>
        <v/>
      </c>
      <c r="J81" s="130">
        <f>IF(I81&gt;=3,50,IF(I81=2,35,IF(I81=1,20,0)))</f>
        <v/>
      </c>
      <c r="K81" s="130" t="n">
        <v>35</v>
      </c>
      <c r="L81" s="130">
        <f>J81-K81</f>
        <v/>
      </c>
      <c r="M81" s="130">
        <f>IF(L81&gt;0,"상향",IF(L81&lt;0,"하향","유지"))</f>
        <v/>
      </c>
      <c r="N81" s="131" t="inlineStr">
        <is>
          <t>toluene 기반 aromatics downstream 및 PU chain 확장 가능</t>
        </is>
      </c>
      <c r="O81" s="132" t="inlineStr">
        <is>
          <t>S1,S7,S8,S9</t>
        </is>
      </c>
    </row>
    <row r="82" ht="36" customHeight="1" s="179">
      <c r="A82" s="128" t="n">
        <v>77</v>
      </c>
      <c r="B82" s="129" t="inlineStr">
        <is>
          <t>OX-PA Chain</t>
        </is>
      </c>
      <c r="C82" s="129" t="inlineStr">
        <is>
          <t>o-Xylene</t>
        </is>
      </c>
      <c r="D82" s="130" t="inlineStr">
        <is>
          <t>O</t>
        </is>
      </c>
      <c r="E82" s="130" t="inlineStr">
        <is>
          <t>X</t>
        </is>
      </c>
      <c r="F82" s="130" t="inlineStr">
        <is>
          <t>X</t>
        </is>
      </c>
      <c r="G82" s="130" t="inlineStr">
        <is>
          <t>O</t>
        </is>
      </c>
      <c r="H82" s="130" t="inlineStr">
        <is>
          <t>X</t>
        </is>
      </c>
      <c r="I82" s="130">
        <f>COUNTIF(D82:H82,"O")</f>
        <v/>
      </c>
      <c r="J82" s="130">
        <f>IF(I82&gt;=3,50,IF(I82=2,35,IF(I82=1,20,0)))</f>
        <v/>
      </c>
      <c r="K82" s="130" t="n">
        <v>35</v>
      </c>
      <c r="L82" s="130">
        <f>J82-K82</f>
        <v/>
      </c>
      <c r="M82" s="130">
        <f>IF(L82&gt;0,"상향",IF(L82&lt;0,"하향","유지"))</f>
        <v/>
      </c>
      <c r="N82" s="131" t="inlineStr">
        <is>
          <t>기존 mixed xylene/aromatics 기반 분리 및 PA downstream 확장 가능</t>
        </is>
      </c>
      <c r="O82" s="132" t="inlineStr">
        <is>
          <t>S1,S7,S8,S9</t>
        </is>
      </c>
    </row>
    <row r="83" ht="36" customHeight="1" s="179">
      <c r="A83" s="128" t="n">
        <v>78</v>
      </c>
      <c r="B83" s="129" t="inlineStr">
        <is>
          <t>MX-PIA Chain</t>
        </is>
      </c>
      <c r="C83" s="129" t="inlineStr">
        <is>
          <t>m-Xylene</t>
        </is>
      </c>
      <c r="D83" s="130" t="inlineStr">
        <is>
          <t>O</t>
        </is>
      </c>
      <c r="E83" s="130" t="inlineStr">
        <is>
          <t>X</t>
        </is>
      </c>
      <c r="F83" s="130" t="inlineStr">
        <is>
          <t>X</t>
        </is>
      </c>
      <c r="G83" s="130" t="inlineStr">
        <is>
          <t>O</t>
        </is>
      </c>
      <c r="H83" s="130" t="inlineStr">
        <is>
          <t>X</t>
        </is>
      </c>
      <c r="I83" s="130">
        <f>COUNTIF(D83:H83,"O")</f>
        <v/>
      </c>
      <c r="J83" s="130">
        <f>IF(I83&gt;=3,50,IF(I83=2,35,IF(I83=1,20,0)))</f>
        <v/>
      </c>
      <c r="K83" s="130" t="n">
        <v>35</v>
      </c>
      <c r="L83" s="130">
        <f>J83-K83</f>
        <v/>
      </c>
      <c r="M83" s="130">
        <f>IF(L83&gt;0,"상향",IF(L83&lt;0,"하향","유지"))</f>
        <v/>
      </c>
      <c r="N83" s="131" t="inlineStr">
        <is>
          <t>기존 mixed xylene/aromatics 기반 분리 및 PIA downstream 확장 가능</t>
        </is>
      </c>
      <c r="O83" s="132" t="inlineStr">
        <is>
          <t>S1,S7,S8,S9</t>
        </is>
      </c>
    </row>
    <row r="84" ht="36" customHeight="1" s="179">
      <c r="A84" s="128" t="n">
        <v>79</v>
      </c>
      <c r="B84" s="129" t="inlineStr">
        <is>
          <t>PX-PET Chain</t>
        </is>
      </c>
      <c r="C84" s="129" t="inlineStr">
        <is>
          <t>p-Xylene</t>
        </is>
      </c>
      <c r="D84" s="130" t="inlineStr">
        <is>
          <t>O</t>
        </is>
      </c>
      <c r="E84" s="130" t="inlineStr">
        <is>
          <t>X</t>
        </is>
      </c>
      <c r="F84" s="130" t="inlineStr">
        <is>
          <t>X</t>
        </is>
      </c>
      <c r="G84" s="130" t="inlineStr">
        <is>
          <t>O</t>
        </is>
      </c>
      <c r="H84" s="130" t="inlineStr">
        <is>
          <t>O</t>
        </is>
      </c>
      <c r="I84" s="130">
        <f>COUNTIF(D84:H84,"O")</f>
        <v/>
      </c>
      <c r="J84" s="130">
        <f>IF(I84&gt;=3,50,IF(I84=2,35,IF(I84=1,20,0)))</f>
        <v/>
      </c>
      <c r="K84" s="130" t="n">
        <v>50</v>
      </c>
      <c r="L84" s="130">
        <f>J84-K84</f>
        <v/>
      </c>
      <c r="M84" s="130">
        <f>IF(L84&gt;0,"상향",IF(L84&lt;0,"하향","유지"))</f>
        <v/>
      </c>
      <c r="N84" s="131" t="inlineStr">
        <is>
          <t>현재 핵심 aromatics 제품으로 기존 설비·고객·TPA/PET chain과 직접 연계</t>
        </is>
      </c>
      <c r="O84" s="132" t="inlineStr">
        <is>
          <t>S1,S7,S8,S9</t>
        </is>
      </c>
    </row>
    <row r="85" ht="36" customHeight="1" s="179">
      <c r="A85" s="128" t="n">
        <v>80</v>
      </c>
      <c r="B85" s="129" t="inlineStr">
        <is>
          <t>MX-PIA Chain</t>
        </is>
      </c>
      <c r="C85" s="129" t="inlineStr">
        <is>
          <t>PIA</t>
        </is>
      </c>
      <c r="D85" s="130" t="inlineStr">
        <is>
          <t>O</t>
        </is>
      </c>
      <c r="E85" s="130" t="inlineStr">
        <is>
          <t>X</t>
        </is>
      </c>
      <c r="F85" s="130" t="inlineStr">
        <is>
          <t>X</t>
        </is>
      </c>
      <c r="G85" s="130" t="inlineStr">
        <is>
          <t>O</t>
        </is>
      </c>
      <c r="H85" s="130" t="inlineStr">
        <is>
          <t>X</t>
        </is>
      </c>
      <c r="I85" s="130">
        <f>COUNTIF(D85:H85,"O")</f>
        <v/>
      </c>
      <c r="J85" s="130">
        <f>IF(I85&gt;=3,50,IF(I85=2,35,IF(I85=1,20,0)))</f>
        <v/>
      </c>
      <c r="K85" s="130" t="n">
        <v>35</v>
      </c>
      <c r="L85" s="130">
        <f>J85-K85</f>
        <v/>
      </c>
      <c r="M85" s="130">
        <f>IF(L85&gt;0,"상향",IF(L85&lt;0,"하향","유지"))</f>
        <v/>
      </c>
      <c r="N85" s="131" t="inlineStr">
        <is>
          <t>m-xylene 기반 aromatics downstream으로 specialty polyester 확장 가능</t>
        </is>
      </c>
      <c r="O85" s="132" t="inlineStr">
        <is>
          <t>S1,S7,S8,S9</t>
        </is>
      </c>
    </row>
    <row r="86" ht="36" customHeight="1" s="179">
      <c r="A86" s="128" t="n">
        <v>81</v>
      </c>
      <c r="B86" s="129" t="inlineStr">
        <is>
          <t>PX-PET Chain</t>
        </is>
      </c>
      <c r="C86" s="129" t="inlineStr">
        <is>
          <t>TPA</t>
        </is>
      </c>
      <c r="D86" s="130" t="inlineStr">
        <is>
          <t>O</t>
        </is>
      </c>
      <c r="E86" s="130" t="inlineStr">
        <is>
          <t>X</t>
        </is>
      </c>
      <c r="F86" s="130" t="inlineStr">
        <is>
          <t>X</t>
        </is>
      </c>
      <c r="G86" s="130" t="inlineStr">
        <is>
          <t>O</t>
        </is>
      </c>
      <c r="H86" s="130" t="inlineStr">
        <is>
          <t>O</t>
        </is>
      </c>
      <c r="I86" s="130">
        <f>COUNTIF(D86:H86,"O")</f>
        <v/>
      </c>
      <c r="J86" s="130">
        <f>IF(I86&gt;=3,50,IF(I86=2,35,IF(I86=1,20,0)))</f>
        <v/>
      </c>
      <c r="K86" s="130" t="n">
        <v>35</v>
      </c>
      <c r="L86" s="130">
        <f>J86-K86</f>
        <v/>
      </c>
      <c r="M86" s="130">
        <f>IF(L86&gt;0,"상향",IF(L86&lt;0,"하향","유지"))</f>
        <v/>
      </c>
      <c r="N86" s="131" t="inlineStr">
        <is>
          <t>기존 p-xylene 직접 downstream으로 aromatics monetization과 polyester chain strategic linkage가 높음</t>
        </is>
      </c>
      <c r="O86" s="132" t="inlineStr">
        <is>
          <t>S1,S7,S8,S9</t>
        </is>
      </c>
    </row>
    <row r="87" ht="36" customHeight="1" s="179">
      <c r="A87" s="128" t="n">
        <v>82</v>
      </c>
      <c r="B87" s="129" t="inlineStr">
        <is>
          <t>PX-PET Chain</t>
        </is>
      </c>
      <c r="C87" s="129" t="inlineStr">
        <is>
          <t>DMT</t>
        </is>
      </c>
      <c r="D87" s="130" t="inlineStr">
        <is>
          <t>O</t>
        </is>
      </c>
      <c r="E87" s="130" t="inlineStr">
        <is>
          <t>X</t>
        </is>
      </c>
      <c r="F87" s="130" t="inlineStr">
        <is>
          <t>X</t>
        </is>
      </c>
      <c r="G87" s="130" t="inlineStr">
        <is>
          <t>O</t>
        </is>
      </c>
      <c r="H87" s="130" t="inlineStr">
        <is>
          <t>X</t>
        </is>
      </c>
      <c r="I87" s="130">
        <f>COUNTIF(D87:H87,"O")</f>
        <v/>
      </c>
      <c r="J87" s="130">
        <f>IF(I87&gt;=3,50,IF(I87=2,35,IF(I87=1,20,0)))</f>
        <v/>
      </c>
      <c r="K87" s="130" t="n">
        <v>35</v>
      </c>
      <c r="L87" s="130">
        <f>J87-K87</f>
        <v/>
      </c>
      <c r="M87" s="130">
        <f>IF(L87&gt;0,"상향",IF(L87&lt;0,"하향","유지"))</f>
        <v/>
      </c>
      <c r="N87" s="131" t="inlineStr">
        <is>
          <t>p-xylene 기반 polyester intermediate이나 TPA 대비 기존 portfolio 전략 연계는 낮음</t>
        </is>
      </c>
      <c r="O87" s="132" t="inlineStr">
        <is>
          <t>S1,S7,S8,S9</t>
        </is>
      </c>
    </row>
    <row r="88" ht="36" customHeight="1" s="179">
      <c r="A88" s="128" t="n">
        <v>83</v>
      </c>
      <c r="B88" s="129" t="inlineStr">
        <is>
          <t>EO-PET Chain</t>
        </is>
      </c>
      <c r="C88" s="129" t="inlineStr">
        <is>
          <t>PET</t>
        </is>
      </c>
      <c r="D88" s="130" t="inlineStr">
        <is>
          <t>X</t>
        </is>
      </c>
      <c r="E88" s="130" t="inlineStr">
        <is>
          <t>X</t>
        </is>
      </c>
      <c r="F88" s="130" t="inlineStr">
        <is>
          <t>X</t>
        </is>
      </c>
      <c r="G88" s="130" t="inlineStr">
        <is>
          <t>O</t>
        </is>
      </c>
      <c r="H88" s="130" t="inlineStr">
        <is>
          <t>X</t>
        </is>
      </c>
      <c r="I88" s="130">
        <f>COUNTIF(D88:H88,"O")</f>
        <v/>
      </c>
      <c r="J88" s="130">
        <f>IF(I88&gt;=3,50,IF(I88=2,35,IF(I88=1,20,0)))</f>
        <v/>
      </c>
      <c r="K88" s="130" t="n">
        <v>20</v>
      </c>
      <c r="L88" s="130">
        <f>J88-K88</f>
        <v/>
      </c>
      <c r="M88" s="130">
        <f>IF(L88&gt;0,"상향",IF(L88&lt;0,"하향","유지"))</f>
        <v/>
      </c>
      <c r="N88" s="131" t="inlineStr">
        <is>
          <t>p-xylene/MEG 이후 추가 downstream으로 직접 feedstock 연계는 약하나 polyester 확장성은 존재</t>
        </is>
      </c>
      <c r="O88" s="132" t="inlineStr">
        <is>
          <t>S1,S7,S8,S9</t>
        </is>
      </c>
    </row>
    <row r="89" ht="36" customHeight="1" s="179">
      <c r="A89" s="128" t="n">
        <v>84</v>
      </c>
      <c r="B89" s="129" t="inlineStr">
        <is>
          <t>PX-PET Chain</t>
        </is>
      </c>
      <c r="C89" s="129" t="inlineStr">
        <is>
          <t>PET</t>
        </is>
      </c>
      <c r="D89" s="130" t="inlineStr">
        <is>
          <t>X</t>
        </is>
      </c>
      <c r="E89" s="130" t="inlineStr">
        <is>
          <t>X</t>
        </is>
      </c>
      <c r="F89" s="130" t="inlineStr">
        <is>
          <t>X</t>
        </is>
      </c>
      <c r="G89" s="130" t="inlineStr">
        <is>
          <t>O</t>
        </is>
      </c>
      <c r="H89" s="130" t="inlineStr">
        <is>
          <t>X</t>
        </is>
      </c>
      <c r="I89" s="130">
        <f>COUNTIF(D89:H89,"O")</f>
        <v/>
      </c>
      <c r="J89" s="130">
        <f>IF(I89&gt;=3,50,IF(I89=2,35,IF(I89=1,20,0)))</f>
        <v/>
      </c>
      <c r="K89" s="130" t="n">
        <v>20</v>
      </c>
      <c r="L89" s="130">
        <f>J89-K89</f>
        <v/>
      </c>
      <c r="M89" s="130">
        <f>IF(L89&gt;0,"상향",IF(L89&lt;0,"하향","유지"))</f>
        <v/>
      </c>
      <c r="N89" s="131" t="inlineStr">
        <is>
          <t>p-xylene/MEG 이후 추가 downstream으로 직접 feedstock 연계는 약하나 polyester 확장성은 존재</t>
        </is>
      </c>
      <c r="O89" s="132" t="inlineStr">
        <is>
          <t>S1,S7,S8,S9</t>
        </is>
      </c>
    </row>
    <row r="90" ht="36" customHeight="1" s="179">
      <c r="A90" s="128" t="n">
        <v>85</v>
      </c>
      <c r="B90" s="129" t="inlineStr">
        <is>
          <t>C4 Elastomer Chain</t>
        </is>
      </c>
      <c r="C90" s="129" t="inlineStr">
        <is>
          <t>EPDM</t>
        </is>
      </c>
      <c r="D90" s="130" t="inlineStr">
        <is>
          <t>O</t>
        </is>
      </c>
      <c r="E90" s="130" t="inlineStr">
        <is>
          <t>X</t>
        </is>
      </c>
      <c r="F90" s="130" t="inlineStr">
        <is>
          <t>O</t>
        </is>
      </c>
      <c r="G90" s="130" t="inlineStr">
        <is>
          <t>O</t>
        </is>
      </c>
      <c r="H90" s="130" t="inlineStr">
        <is>
          <t>X</t>
        </is>
      </c>
      <c r="I90" s="130">
        <f>COUNTIF(D90:H90,"O")</f>
        <v/>
      </c>
      <c r="J90" s="130">
        <f>IF(I90&gt;=3,50,IF(I90=2,35,IF(I90=1,20,0)))</f>
        <v/>
      </c>
      <c r="K90" s="130" t="n">
        <v>35</v>
      </c>
      <c r="L90" s="130">
        <f>J90-K90</f>
        <v/>
      </c>
      <c r="M90" s="130">
        <f>IF(L90&gt;0,"상향",IF(L90&lt;0,"하향","유지"))</f>
        <v/>
      </c>
      <c r="N90" s="131" t="inlineStr">
        <is>
          <t>Shaheen ethylene·propylene과 diene/C4 stream을 활용하는 elastomer downstream</t>
        </is>
      </c>
      <c r="O90" s="132" t="inlineStr">
        <is>
          <t>S3,S6,S8</t>
        </is>
      </c>
    </row>
    <row r="91" ht="36" customHeight="1" s="179">
      <c r="A91" s="128" t="n">
        <v>86</v>
      </c>
      <c r="B91" s="129" t="inlineStr">
        <is>
          <t>PVC Chain</t>
        </is>
      </c>
      <c r="C91" s="129" t="inlineStr">
        <is>
          <t>ECH</t>
        </is>
      </c>
      <c r="D91" s="130" t="inlineStr">
        <is>
          <t>O</t>
        </is>
      </c>
      <c r="E91" s="130" t="inlineStr">
        <is>
          <t>X</t>
        </is>
      </c>
      <c r="F91" s="130" t="inlineStr">
        <is>
          <t>X</t>
        </is>
      </c>
      <c r="G91" s="130" t="inlineStr">
        <is>
          <t>X</t>
        </is>
      </c>
      <c r="H91" s="130" t="inlineStr">
        <is>
          <t>X</t>
        </is>
      </c>
      <c r="I91" s="130">
        <f>COUNTIF(D91:H91,"O")</f>
        <v/>
      </c>
      <c r="J91" s="130">
        <f>IF(I91&gt;=3,50,IF(I91=2,35,IF(I91=1,20,0)))</f>
        <v/>
      </c>
      <c r="K91" s="130" t="n">
        <v>20</v>
      </c>
      <c r="L91" s="130">
        <f>J91-K91</f>
        <v/>
      </c>
      <c r="M91" s="130">
        <f>IF(L91&gt;0,"상향",IF(L91&lt;0,"하향","유지"))</f>
        <v/>
      </c>
      <c r="N91" s="131" t="inlineStr">
        <is>
          <t>propylene 기반 route 가능하나 chlorine chain과 신규 intermediate 구축이 필요</t>
        </is>
      </c>
      <c r="O91" s="132" t="inlineStr">
        <is>
          <t>S1,S7,S8,S9</t>
        </is>
      </c>
    </row>
    <row r="92" ht="36" customHeight="1" s="179">
      <c r="A92" s="128" t="n">
        <v>87</v>
      </c>
      <c r="B92" s="129" t="inlineStr">
        <is>
          <t>Epoxy Chain</t>
        </is>
      </c>
      <c r="C92" s="129" t="inlineStr">
        <is>
          <t>ECH</t>
        </is>
      </c>
      <c r="D92" s="130" t="inlineStr">
        <is>
          <t>O</t>
        </is>
      </c>
      <c r="E92" s="130" t="inlineStr">
        <is>
          <t>X</t>
        </is>
      </c>
      <c r="F92" s="130" t="inlineStr">
        <is>
          <t>X</t>
        </is>
      </c>
      <c r="G92" s="130" t="inlineStr">
        <is>
          <t>X</t>
        </is>
      </c>
      <c r="H92" s="130" t="inlineStr">
        <is>
          <t>X</t>
        </is>
      </c>
      <c r="I92" s="130">
        <f>COUNTIF(D92:H92,"O")</f>
        <v/>
      </c>
      <c r="J92" s="130">
        <f>IF(I92&gt;=3,50,IF(I92=2,35,IF(I92=1,20,0)))</f>
        <v/>
      </c>
      <c r="K92" s="130" t="n">
        <v>20</v>
      </c>
      <c r="L92" s="130">
        <f>J92-K92</f>
        <v/>
      </c>
      <c r="M92" s="130">
        <f>IF(L92&gt;0,"상향",IF(L92&lt;0,"하향","유지"))</f>
        <v/>
      </c>
      <c r="N92" s="131" t="inlineStr">
        <is>
          <t>propylene 기반 route 가능하나 chlorine chain과 신규 intermediate 구축이 필요</t>
        </is>
      </c>
      <c r="O92" s="132" t="inlineStr">
        <is>
          <t>S1,S7,S8,S9</t>
        </is>
      </c>
    </row>
    <row r="93" ht="36" customHeight="1" s="179">
      <c r="A93" s="128" t="n">
        <v>88</v>
      </c>
      <c r="B93" s="129" t="inlineStr">
        <is>
          <t>Nylon/PA Chain</t>
        </is>
      </c>
      <c r="C93" s="129" t="inlineStr">
        <is>
          <t>Adipic Acid</t>
        </is>
      </c>
      <c r="D93" s="130" t="inlineStr">
        <is>
          <t>O</t>
        </is>
      </c>
      <c r="E93" s="130" t="inlineStr">
        <is>
          <t>X</t>
        </is>
      </c>
      <c r="F93" s="130" t="inlineStr">
        <is>
          <t>X</t>
        </is>
      </c>
      <c r="G93" s="130" t="inlineStr">
        <is>
          <t>X</t>
        </is>
      </c>
      <c r="H93" s="130" t="inlineStr">
        <is>
          <t>X</t>
        </is>
      </c>
      <c r="I93" s="130">
        <f>COUNTIF(D93:H93,"O")</f>
        <v/>
      </c>
      <c r="J93" s="130">
        <f>IF(I93&gt;=3,50,IF(I93=2,35,IF(I93=1,20,0)))</f>
        <v/>
      </c>
      <c r="K93" s="130" t="n">
        <v>20</v>
      </c>
      <c r="L93" s="130">
        <f>J93-K93</f>
        <v/>
      </c>
      <c r="M93" s="130">
        <f>IF(L93&gt;0,"상향",IF(L93&lt;0,"하향","유지"))</f>
        <v/>
      </c>
      <c r="N93" s="131" t="inlineStr">
        <is>
          <t>benzene-nylon chain 연계는 있으나 cyclohexane/one 등 다단계 신규 intermediate가 필요</t>
        </is>
      </c>
      <c r="O93" s="132" t="inlineStr">
        <is>
          <t>S1,S7,S8,S9</t>
        </is>
      </c>
    </row>
    <row r="94" ht="36" customHeight="1" s="179">
      <c r="A94" s="128" t="n">
        <v>89</v>
      </c>
      <c r="B94" s="129" t="inlineStr">
        <is>
          <t>Isoprene Chain</t>
        </is>
      </c>
      <c r="C94" s="129" t="inlineStr">
        <is>
          <t>Isoprene</t>
        </is>
      </c>
      <c r="D94" s="130" t="inlineStr">
        <is>
          <t>O</t>
        </is>
      </c>
      <c r="E94" s="130" t="inlineStr">
        <is>
          <t>X</t>
        </is>
      </c>
      <c r="F94" s="130" t="inlineStr">
        <is>
          <t>O</t>
        </is>
      </c>
      <c r="G94" s="130" t="inlineStr">
        <is>
          <t>X</t>
        </is>
      </c>
      <c r="H94" s="130" t="inlineStr">
        <is>
          <t>X</t>
        </is>
      </c>
      <c r="I94" s="130">
        <f>COUNTIF(D94:H94,"O")</f>
        <v/>
      </c>
      <c r="J94" s="130">
        <f>IF(I94&gt;=3,50,IF(I94=2,35,IF(I94=1,20,0)))</f>
        <v/>
      </c>
      <c r="K94" s="130" t="n">
        <v>20</v>
      </c>
      <c r="L94" s="130">
        <f>J94-K94</f>
        <v/>
      </c>
      <c r="M94" s="130">
        <f>IF(L94&gt;0,"상향",IF(L94&lt;0,"하향","유지"))</f>
        <v/>
      </c>
      <c r="N94" s="131" t="inlineStr">
        <is>
          <t>cracker C5 부산물 고도화가 가능하나 별도 분리 및 downstream 기반 필요</t>
        </is>
      </c>
      <c r="O94" s="132" t="inlineStr">
        <is>
          <t>S3,S6,S8</t>
        </is>
      </c>
    </row>
    <row r="95" ht="36" customHeight="1" s="179">
      <c r="A95" s="128" t="n">
        <v>90</v>
      </c>
      <c r="B95" s="129" t="inlineStr">
        <is>
          <t>DCPD-UPR</t>
        </is>
      </c>
      <c r="C95" s="129" t="inlineStr">
        <is>
          <t>DCPD</t>
        </is>
      </c>
      <c r="D95" s="130" t="inlineStr">
        <is>
          <t>O</t>
        </is>
      </c>
      <c r="E95" s="130" t="inlineStr">
        <is>
          <t>X</t>
        </is>
      </c>
      <c r="F95" s="130" t="inlineStr">
        <is>
          <t>O</t>
        </is>
      </c>
      <c r="G95" s="130" t="inlineStr">
        <is>
          <t>X</t>
        </is>
      </c>
      <c r="H95" s="130" t="inlineStr">
        <is>
          <t>X</t>
        </is>
      </c>
      <c r="I95" s="130">
        <f>COUNTIF(D95:H95,"O")</f>
        <v/>
      </c>
      <c r="J95" s="130">
        <f>IF(I95&gt;=3,50,IF(I95=2,35,IF(I95=1,20,0)))</f>
        <v/>
      </c>
      <c r="K95" s="130" t="n">
        <v>35</v>
      </c>
      <c r="L95" s="130">
        <f>J95-K95</f>
        <v/>
      </c>
      <c r="M95" s="130">
        <f>IF(L95&gt;0,"상향",IF(L95&lt;0,"하향","유지"))</f>
        <v/>
      </c>
      <c r="N95" s="131" t="inlineStr">
        <is>
          <t>cracker C5 부산물 고도화가 가능하나 별도 분리·정제 기반 필요</t>
        </is>
      </c>
      <c r="O95" s="132" t="inlineStr">
        <is>
          <t>S3,S6,S8</t>
        </is>
      </c>
    </row>
    <row r="96" ht="36" customHeight="1" s="179">
      <c r="A96" s="128" t="n">
        <v>91</v>
      </c>
      <c r="B96" s="129" t="inlineStr">
        <is>
          <t>Isoprene Chain</t>
        </is>
      </c>
      <c r="C96" s="129" t="inlineStr">
        <is>
          <t>IR</t>
        </is>
      </c>
      <c r="D96" s="130" t="inlineStr">
        <is>
          <t>X</t>
        </is>
      </c>
      <c r="E96" s="130" t="inlineStr">
        <is>
          <t>X</t>
        </is>
      </c>
      <c r="F96" s="130" t="inlineStr">
        <is>
          <t>O</t>
        </is>
      </c>
      <c r="G96" s="130" t="inlineStr">
        <is>
          <t>X</t>
        </is>
      </c>
      <c r="H96" s="130" t="inlineStr">
        <is>
          <t>X</t>
        </is>
      </c>
      <c r="I96" s="130">
        <f>COUNTIF(D96:H96,"O")</f>
        <v/>
      </c>
      <c r="J96" s="130">
        <f>IF(I96&gt;=3,50,IF(I96=2,35,IF(I96=1,20,0)))</f>
        <v/>
      </c>
      <c r="K96" s="130" t="n">
        <v>20</v>
      </c>
      <c r="L96" s="130">
        <f>J96-K96</f>
        <v/>
      </c>
      <c r="M96" s="130">
        <f>IF(L96&gt;0,"상향",IF(L96&lt;0,"하향","유지"))</f>
        <v/>
      </c>
      <c r="N96" s="131" t="inlineStr">
        <is>
          <t>C5/isoprene 부산물 활용 가능성은 있으나 monomer 분리와 rubber 사업 기반이 모두 필요</t>
        </is>
      </c>
      <c r="O96" s="132" t="inlineStr">
        <is>
          <t>S3,S6,S8</t>
        </is>
      </c>
    </row>
    <row r="97" ht="36" customHeight="1" s="179">
      <c r="A97" s="128" t="n">
        <v>92</v>
      </c>
      <c r="B97" s="129" t="inlineStr">
        <is>
          <t>Isoprene Chain</t>
        </is>
      </c>
      <c r="C97" s="129" t="inlineStr">
        <is>
          <t>SIS</t>
        </is>
      </c>
      <c r="D97" s="130" t="inlineStr">
        <is>
          <t>X</t>
        </is>
      </c>
      <c r="E97" s="130" t="inlineStr">
        <is>
          <t>X</t>
        </is>
      </c>
      <c r="F97" s="130" t="inlineStr">
        <is>
          <t>O</t>
        </is>
      </c>
      <c r="G97" s="130" t="inlineStr">
        <is>
          <t>X</t>
        </is>
      </c>
      <c r="H97" s="130" t="inlineStr">
        <is>
          <t>X</t>
        </is>
      </c>
      <c r="I97" s="130">
        <f>COUNTIF(D97:H97,"O")</f>
        <v/>
      </c>
      <c r="J97" s="130">
        <f>IF(I97&gt;=3,50,IF(I97=2,35,IF(I97=1,20,0)))</f>
        <v/>
      </c>
      <c r="K97" s="130" t="n">
        <v>20</v>
      </c>
      <c r="L97" s="130">
        <f>J97-K97</f>
        <v/>
      </c>
      <c r="M97" s="130">
        <f>IF(L97&gt;0,"상향",IF(L97&lt;0,"하향","유지"))</f>
        <v/>
      </c>
      <c r="N97" s="131" t="inlineStr">
        <is>
          <t>C5/isoprene 부산물 활용 가능성은 있으나 styrene block polymer 역량이 추가로 필요</t>
        </is>
      </c>
      <c r="O97" s="132" t="inlineStr">
        <is>
          <t>S3,S6,S8</t>
        </is>
      </c>
    </row>
    <row r="98" ht="36" customHeight="1" s="179">
      <c r="A98" s="128" t="n">
        <v>93</v>
      </c>
      <c r="B98" s="129" t="inlineStr">
        <is>
          <t>Oxo Alcohol Chain</t>
        </is>
      </c>
      <c r="C98" s="129" t="inlineStr">
        <is>
          <t>i-butyraldehyde</t>
        </is>
      </c>
      <c r="D98" s="130" t="inlineStr">
        <is>
          <t>O</t>
        </is>
      </c>
      <c r="E98" s="130" t="inlineStr">
        <is>
          <t>X</t>
        </is>
      </c>
      <c r="F98" s="130" t="inlineStr">
        <is>
          <t>X</t>
        </is>
      </c>
      <c r="G98" s="130" t="inlineStr">
        <is>
          <t>O</t>
        </is>
      </c>
      <c r="H98" s="130" t="inlineStr">
        <is>
          <t>X</t>
        </is>
      </c>
      <c r="I98" s="130">
        <f>COUNTIF(D98:H98,"O")</f>
        <v/>
      </c>
      <c r="J98" s="130">
        <f>IF(I98&gt;=3,50,IF(I98=2,35,IF(I98=1,20,0)))</f>
        <v/>
      </c>
      <c r="K98" s="130" t="n">
        <v>35</v>
      </c>
      <c r="L98" s="130">
        <f>J98-K98</f>
        <v/>
      </c>
      <c r="M98" s="130">
        <f>IF(L98&gt;0,"상향",IF(L98&lt;0,"하향","유지"))</f>
        <v/>
      </c>
      <c r="N98" s="131" t="inlineStr">
        <is>
          <t>propylene oxo chain intermediate로 isobutanol·specialty downstream 확장 가능</t>
        </is>
      </c>
      <c r="O98" s="132" t="inlineStr">
        <is>
          <t>S1,S4,S5</t>
        </is>
      </c>
    </row>
    <row r="99" ht="36" customHeight="1" s="179">
      <c r="A99" s="128" t="n">
        <v>94</v>
      </c>
      <c r="B99" s="129" t="inlineStr">
        <is>
          <t>DCPD-UPR</t>
        </is>
      </c>
      <c r="C99" s="129" t="inlineStr">
        <is>
          <t>UPR</t>
        </is>
      </c>
      <c r="D99" s="130" t="inlineStr">
        <is>
          <t>X</t>
        </is>
      </c>
      <c r="E99" s="130" t="inlineStr">
        <is>
          <t>X</t>
        </is>
      </c>
      <c r="F99" s="130" t="inlineStr">
        <is>
          <t>X</t>
        </is>
      </c>
      <c r="G99" s="130" t="inlineStr">
        <is>
          <t>O</t>
        </is>
      </c>
      <c r="H99" s="130" t="inlineStr">
        <is>
          <t>X</t>
        </is>
      </c>
      <c r="I99" s="130">
        <f>COUNTIF(D99:H99,"O")</f>
        <v/>
      </c>
      <c r="J99" s="130">
        <f>IF(I99&gt;=3,50,IF(I99=2,35,IF(I99=1,20,0)))</f>
        <v/>
      </c>
      <c r="K99" s="130" t="n">
        <v>20</v>
      </c>
      <c r="L99" s="130">
        <f>J99-K99</f>
        <v/>
      </c>
      <c r="M99" s="130">
        <f>IF(L99&gt;0,"상향",IF(L99&lt;0,"하향","유지"))</f>
        <v/>
      </c>
      <c r="N99" s="131" t="inlineStr">
        <is>
          <t>PG·MA/PA·styrene 등 복수 chain의 후속 수요처이나 기존 feedstock와 직접 연결은 약함</t>
        </is>
      </c>
      <c r="O99" s="132" t="inlineStr">
        <is>
          <t>S1,S2,S8</t>
        </is>
      </c>
    </row>
    <row r="100" ht="36" customHeight="1" s="179">
      <c r="A100" s="133" t="n">
        <v>95</v>
      </c>
      <c r="B100" s="134" t="inlineStr">
        <is>
          <t>UPR Platform</t>
        </is>
      </c>
      <c r="C100" s="134" t="inlineStr">
        <is>
          <t>UPR</t>
        </is>
      </c>
      <c r="D100" s="135" t="inlineStr">
        <is>
          <t>X</t>
        </is>
      </c>
      <c r="E100" s="135" t="inlineStr">
        <is>
          <t>X</t>
        </is>
      </c>
      <c r="F100" s="135" t="inlineStr">
        <is>
          <t>X</t>
        </is>
      </c>
      <c r="G100" s="135" t="inlineStr">
        <is>
          <t>O</t>
        </is>
      </c>
      <c r="H100" s="135" t="inlineStr">
        <is>
          <t>X</t>
        </is>
      </c>
      <c r="I100" s="135">
        <f>COUNTIF(D100:H100,"O")</f>
        <v/>
      </c>
      <c r="J100" s="135">
        <f>IF(I100&gt;=3,50,IF(I100=2,35,IF(I100=1,20,0)))</f>
        <v/>
      </c>
      <c r="K100" s="135" t="n">
        <v>20</v>
      </c>
      <c r="L100" s="135">
        <f>J100-K100</f>
        <v/>
      </c>
      <c r="M100" s="135">
        <f>IF(L100&gt;0,"상향",IF(L100&lt;0,"하향","유지"))</f>
        <v/>
      </c>
      <c r="N100" s="136" t="inlineStr">
        <is>
          <t>PG·MA/PA·styrene 등 복수 chain의 후속 수요처이나 기존 feedstock와 직접 연결은 약함</t>
        </is>
      </c>
      <c r="O100" s="137" t="inlineStr">
        <is>
          <t>S1,S2,S8</t>
        </is>
      </c>
    </row>
    <row r="101" ht="28.5" customHeight="1" s="179">
      <c r="A101" s="133">
        <f>ROW() - ROW([2]!ValueChainRatingTable[[#Headers],[No.]])</f>
        <v/>
      </c>
      <c r="B101" s="134" t="inlineStr">
        <is>
          <t>DCPD Platform</t>
        </is>
      </c>
      <c r="C101" s="134" t="inlineStr">
        <is>
          <t>DCPD Resin</t>
        </is>
      </c>
      <c r="D101" s="159" t="inlineStr">
        <is>
          <t>O</t>
        </is>
      </c>
      <c r="E101" s="160" t="inlineStr">
        <is>
          <t>X</t>
        </is>
      </c>
      <c r="F101" s="159" t="inlineStr">
        <is>
          <t>O</t>
        </is>
      </c>
      <c r="G101" s="159" t="inlineStr">
        <is>
          <t>O</t>
        </is>
      </c>
      <c r="H101" s="160" t="inlineStr">
        <is>
          <t>X</t>
        </is>
      </c>
      <c r="I101" s="135">
        <f>COUNTIF(D101:H101,"O")</f>
        <v/>
      </c>
      <c r="J101" s="135">
        <f>IF(I101&gt;=3,50,IF(I101=2,35,IF(I101=1,20,0)))</f>
        <v/>
      </c>
      <c r="K101" s="135" t="n">
        <v>50</v>
      </c>
      <c r="L101" s="135">
        <f>J101-K101</f>
        <v/>
      </c>
      <c r="M101" s="135">
        <f>IF(L101&gt;0,"상향",IF(L101&lt;0,"하향","유지"))</f>
        <v/>
      </c>
      <c r="N101" s="161" t="inlineStr">
        <is>
          <t>C5 fraction에서 분리한 DCPD를 직접 고도화하는 hydrocarbon resin으로 C5 부산물 활용 및 인접 downstream 확장성이 높음</t>
        </is>
      </c>
      <c r="O101" s="162" t="inlineStr">
        <is>
          <t>S2,S3,S8,S12</t>
        </is>
      </c>
    </row>
    <row r="102" ht="28.5" customHeight="1" s="179">
      <c r="A102" s="133">
        <f>ROW() - ROW([2]!ValueChainRatingTable[[#Headers],[No.]])</f>
        <v/>
      </c>
      <c r="B102" s="134" t="inlineStr">
        <is>
          <t>DCPD Platform</t>
        </is>
      </c>
      <c r="C102" s="134" t="inlineStr">
        <is>
          <t>PolyDCPD</t>
        </is>
      </c>
      <c r="D102" s="159" t="inlineStr">
        <is>
          <t>O</t>
        </is>
      </c>
      <c r="E102" s="160" t="inlineStr">
        <is>
          <t>X</t>
        </is>
      </c>
      <c r="F102" s="159" t="inlineStr">
        <is>
          <t>O</t>
        </is>
      </c>
      <c r="G102" s="160" t="inlineStr">
        <is>
          <t>X</t>
        </is>
      </c>
      <c r="H102" s="160" t="inlineStr">
        <is>
          <t>X</t>
        </is>
      </c>
      <c r="I102" s="135">
        <f>COUNTIF(D102:H102,"O")</f>
        <v/>
      </c>
      <c r="J102" s="135">
        <f>IF(I102&gt;=3,50,IF(I102=2,35,IF(I102=1,20,0)))</f>
        <v/>
      </c>
      <c r="K102" s="135" t="n">
        <v>35</v>
      </c>
      <c r="L102" s="135">
        <f>J102-K102</f>
        <v/>
      </c>
      <c r="M102" s="135">
        <f>IF(L102&gt;0,"상향",IF(L102&lt;0,"하향","유지"))</f>
        <v/>
      </c>
      <c r="N102" s="163" t="inlineStr">
        <is>
          <t>DCPD/C5 부산물 연계는 직접적이나 전용 ROMP·RIM 기술과 별도 성형·고객 기반이 필요</t>
        </is>
      </c>
      <c r="O102" s="164" t="inlineStr">
        <is>
          <t>S2,S3,S8,S11</t>
        </is>
      </c>
    </row>
    <row r="103" ht="42.75" customHeight="1" s="179">
      <c r="A103" s="133">
        <f>ROW() - ROW([2]!ValueChainRatingTable[[#Headers],[No.]])</f>
        <v/>
      </c>
      <c r="B103" s="134" t="inlineStr">
        <is>
          <t>DCPD Platform</t>
        </is>
      </c>
      <c r="C103" s="134" t="inlineStr">
        <is>
          <t>COP</t>
        </is>
      </c>
      <c r="D103" s="160" t="inlineStr">
        <is>
          <t>X</t>
        </is>
      </c>
      <c r="E103" s="160" t="inlineStr">
        <is>
          <t>X</t>
        </is>
      </c>
      <c r="F103" s="159" t="inlineStr">
        <is>
          <t>O</t>
        </is>
      </c>
      <c r="G103" s="160" t="inlineStr">
        <is>
          <t>X</t>
        </is>
      </c>
      <c r="H103" s="160" t="inlineStr">
        <is>
          <t>X</t>
        </is>
      </c>
      <c r="I103" s="135">
        <f>COUNTIF(D103:H103,"O")</f>
        <v/>
      </c>
      <c r="J103" s="135">
        <f>IF(I103&gt;=3,50,IF(I103=2,35,IF(I103=1,20,0)))</f>
        <v/>
      </c>
      <c r="K103" s="135" t="n">
        <v>20</v>
      </c>
      <c r="L103" s="135">
        <f>J103-K103</f>
        <v/>
      </c>
      <c r="M103" s="135">
        <f>IF(L103&gt;0,"상향",IF(L103&lt;0,"하향","유지"))</f>
        <v/>
      </c>
      <c r="N103" s="161" t="inlineStr">
        <is>
          <t>C5/DCPD 유래 cyclic monomer 활용 가능성은 있으나 norbornene 제조·중합·수첨 등 다단계 신규 intermediate와 specialty polymer 기반이 필요</t>
        </is>
      </c>
      <c r="O103" s="162" t="inlineStr">
        <is>
          <t>S2,S3,S8,S13</t>
        </is>
      </c>
    </row>
    <row r="104" ht="42.75" customHeight="1" s="179">
      <c r="A104" s="133">
        <f>ROW() - ROW([2]!ValueChainRatingTable[[#Headers],[No.]])</f>
        <v/>
      </c>
      <c r="B104" s="134" t="inlineStr">
        <is>
          <t>C4 Elastomer Chain</t>
        </is>
      </c>
      <c r="C104" s="134" t="inlineStr">
        <is>
          <t>ENB</t>
        </is>
      </c>
      <c r="D104" s="159" t="inlineStr">
        <is>
          <t>O</t>
        </is>
      </c>
      <c r="E104" s="160" t="inlineStr">
        <is>
          <t>X</t>
        </is>
      </c>
      <c r="F104" s="159" t="inlineStr">
        <is>
          <t>O</t>
        </is>
      </c>
      <c r="G104" s="159" t="inlineStr">
        <is>
          <t>O</t>
        </is>
      </c>
      <c r="H104" s="160" t="inlineStr">
        <is>
          <t>X</t>
        </is>
      </c>
      <c r="I104" s="135">
        <f>COUNTIF(D104:H104,"O")</f>
        <v/>
      </c>
      <c r="J104" s="135">
        <f>IF(I104&gt;=3,50,IF(I104=2,35,IF(I104=1,20,0)))</f>
        <v/>
      </c>
      <c r="K104" s="135" t="n">
        <v>50</v>
      </c>
      <c r="L104" s="135">
        <f>J104-K104</f>
        <v/>
      </c>
      <c r="M104" s="135">
        <f>IF(L104&gt;0,"상향",IF(L104&lt;0,"하향","유지"))</f>
        <v/>
      </c>
      <c r="N104" s="163" t="inlineStr">
        <is>
          <t>C4 butadiene과 C5 cyclopentadiene 계열을 활용하며 Shaheen ethylene·propylene 기반 EPDM chain의 핵심 diene comonomer로 확장 가능</t>
        </is>
      </c>
      <c r="O104" s="164" t="inlineStr">
        <is>
          <t>S2,S3,S6,S8</t>
        </is>
      </c>
    </row>
    <row r="105" ht="28.5" customHeight="1" s="179">
      <c r="A105" s="133">
        <f>ROW() - ROW([2]!ValueChainRatingTable[[#Headers],[No.]])</f>
        <v/>
      </c>
      <c r="B105" s="134" t="inlineStr">
        <is>
          <t>Methanol Platform</t>
        </is>
      </c>
      <c r="C105" s="134" t="inlineStr">
        <is>
          <t>Methanol</t>
        </is>
      </c>
      <c r="D105" s="160" t="inlineStr">
        <is>
          <t>X</t>
        </is>
      </c>
      <c r="E105" s="160" t="inlineStr">
        <is>
          <t>X</t>
        </is>
      </c>
      <c r="F105" s="159" t="inlineStr">
        <is>
          <t>O</t>
        </is>
      </c>
      <c r="G105" s="160" t="inlineStr">
        <is>
          <t>X</t>
        </is>
      </c>
      <c r="H105" s="160" t="inlineStr">
        <is>
          <t>X</t>
        </is>
      </c>
      <c r="I105" s="135">
        <f>COUNTIF(D105:H105,"O")</f>
        <v/>
      </c>
      <c r="J105" s="135">
        <f>IF(I105&gt;=3,50,IF(I105=2,35,IF(I105=1,20,0)))</f>
        <v/>
      </c>
      <c r="K105" s="135" t="n">
        <v>20</v>
      </c>
      <c r="L105" s="135">
        <f>J105-K105</f>
        <v/>
      </c>
      <c r="M105" s="135">
        <f>IF(L105&gt;0,"상향",IF(L105&lt;0,"하향","유지"))</f>
        <v/>
      </c>
      <c r="N105" s="161" t="inlineStr">
        <is>
          <t>CO2·refinery off-gas 활용 가능성은 있으나 기존 olefin/aromatics 및 보유 intermediate와 직접 연결되는 value chain은 제한</t>
        </is>
      </c>
      <c r="O105" s="162" t="inlineStr">
        <is>
          <t>S1,S2,S8</t>
        </is>
      </c>
    </row>
    <row r="106" ht="28.5" customHeight="1" s="179">
      <c r="A106" s="133">
        <f>ROW() - ROW([2]!ValueChainRatingTable[[#Headers],[No.]])</f>
        <v/>
      </c>
      <c r="B106" s="134" t="inlineStr">
        <is>
          <t>Methanol Platform</t>
        </is>
      </c>
      <c r="C106" s="134" t="inlineStr">
        <is>
          <t>Acetic Acid</t>
        </is>
      </c>
      <c r="D106" s="160" t="inlineStr">
        <is>
          <t>X</t>
        </is>
      </c>
      <c r="E106" s="160" t="inlineStr">
        <is>
          <t>X</t>
        </is>
      </c>
      <c r="F106" s="160" t="inlineStr">
        <is>
          <t>X</t>
        </is>
      </c>
      <c r="G106" s="160" t="inlineStr">
        <is>
          <t>X</t>
        </is>
      </c>
      <c r="H106" s="160" t="inlineStr">
        <is>
          <t>X</t>
        </is>
      </c>
      <c r="I106" s="135">
        <f>COUNTIF(D106:H106,"O")</f>
        <v/>
      </c>
      <c r="J106" s="135">
        <f>IF(I106&gt;=3,50,IF(I106=2,35,IF(I106=1,20,0)))</f>
        <v/>
      </c>
      <c r="K106" s="135" t="n">
        <v>0</v>
      </c>
      <c r="L106" s="135">
        <f>J106-K106</f>
        <v/>
      </c>
      <c r="M106" s="135">
        <f>IF(L106&gt;0,"상향",IF(L106&lt;0,"하향","유지"))</f>
        <v/>
      </c>
      <c r="N106" s="163" t="inlineStr">
        <is>
          <t>Methanol·CO 기반 신규 carbonylation chain이 필요하며 현재/예정 자산과의 직접 원료·downstream 연계가 낮음</t>
        </is>
      </c>
      <c r="O106" s="164" t="inlineStr">
        <is>
          <t>S1,S2,S8</t>
        </is>
      </c>
    </row>
    <row r="107" ht="28.5" customHeight="1" s="179">
      <c r="A107" s="133">
        <f>ROW() - ROW([2]!ValueChainRatingTable[[#Headers],[No.]])</f>
        <v/>
      </c>
      <c r="B107" s="134" t="inlineStr">
        <is>
          <t>Methanol Platform</t>
        </is>
      </c>
      <c r="C107" s="134" t="inlineStr">
        <is>
          <t>Formaldehyde</t>
        </is>
      </c>
      <c r="D107" s="160" t="inlineStr">
        <is>
          <t>X</t>
        </is>
      </c>
      <c r="E107" s="160" t="inlineStr">
        <is>
          <t>X</t>
        </is>
      </c>
      <c r="F107" s="160" t="inlineStr">
        <is>
          <t>X</t>
        </is>
      </c>
      <c r="G107" s="160" t="inlineStr">
        <is>
          <t>X</t>
        </is>
      </c>
      <c r="H107" s="160" t="inlineStr">
        <is>
          <t>X</t>
        </is>
      </c>
      <c r="I107" s="135">
        <f>COUNTIF(D107:H107,"O")</f>
        <v/>
      </c>
      <c r="J107" s="135">
        <f>IF(I107&gt;=3,50,IF(I107=2,35,IF(I107=1,20,0)))</f>
        <v/>
      </c>
      <c r="K107" s="135" t="n">
        <v>0</v>
      </c>
      <c r="L107" s="135">
        <f>J107-K107</f>
        <v/>
      </c>
      <c r="M107" s="135">
        <f>IF(L107&gt;0,"상향",IF(L107&lt;0,"하향","유지"))</f>
        <v/>
      </c>
      <c r="N107" s="161" t="inlineStr">
        <is>
          <t>Methanol 산화 downstream이나 현재 Methanol 생산기반이 없어 기존 value chain의 직접 연장으로 보기 어려움</t>
        </is>
      </c>
      <c r="O107" s="162" t="inlineStr">
        <is>
          <t>S1,S2,S8</t>
        </is>
      </c>
    </row>
    <row r="108" ht="28.5" customHeight="1" s="179">
      <c r="A108" s="133">
        <f>ROW() - ROW([2]!ValueChainRatingTable[[#Headers],[No.]])</f>
        <v/>
      </c>
      <c r="B108" s="134" t="inlineStr">
        <is>
          <t>C5 Resin Chain</t>
        </is>
      </c>
      <c r="C108" s="134" t="inlineStr">
        <is>
          <t>Piperylene</t>
        </is>
      </c>
      <c r="D108" s="159" t="inlineStr">
        <is>
          <t>O</t>
        </is>
      </c>
      <c r="E108" s="160" t="inlineStr">
        <is>
          <t>X</t>
        </is>
      </c>
      <c r="F108" s="159" t="inlineStr">
        <is>
          <t>O</t>
        </is>
      </c>
      <c r="G108" s="160" t="inlineStr">
        <is>
          <t>X</t>
        </is>
      </c>
      <c r="H108" s="160" t="inlineStr">
        <is>
          <t>X</t>
        </is>
      </c>
      <c r="I108" s="135">
        <f>COUNTIF(D108:H108,"O")</f>
        <v/>
      </c>
      <c r="J108" s="135">
        <f>IF(I108&gt;=3,50,IF(I108=2,35,IF(I108=1,20,0)))</f>
        <v/>
      </c>
      <c r="K108" s="135" t="n">
        <v>35</v>
      </c>
      <c r="L108" s="135">
        <f>J108-K108</f>
        <v/>
      </c>
      <c r="M108" s="135">
        <f>IF(L108&gt;0,"상향",IF(L108&lt;0,"하향","유지"))</f>
        <v/>
      </c>
      <c r="N108" s="163" t="inlineStr">
        <is>
          <t>cracker C5 fraction에서 회수 가능한 핵심 monomer이나 별도 분리·정제와 후속 resin 사업 기반이 필요</t>
        </is>
      </c>
      <c r="O108" s="164" t="inlineStr">
        <is>
          <t>S2,S3,S8,S12</t>
        </is>
      </c>
    </row>
    <row r="109" ht="28.5" customHeight="1" s="179">
      <c r="A109" s="133">
        <f>ROW() - ROW([2]!ValueChainRatingTable[[#Headers],[No.]])</f>
        <v/>
      </c>
      <c r="B109" s="134" t="inlineStr">
        <is>
          <t>C5 Resin Chain</t>
        </is>
      </c>
      <c r="C109" s="134" t="inlineStr">
        <is>
          <t>C5 Resin</t>
        </is>
      </c>
      <c r="D109" s="159" t="inlineStr">
        <is>
          <t>O</t>
        </is>
      </c>
      <c r="E109" s="160" t="inlineStr">
        <is>
          <t>X</t>
        </is>
      </c>
      <c r="F109" s="159" t="inlineStr">
        <is>
          <t>O</t>
        </is>
      </c>
      <c r="G109" s="159" t="inlineStr">
        <is>
          <t>O</t>
        </is>
      </c>
      <c r="H109" s="160" t="inlineStr">
        <is>
          <t>X</t>
        </is>
      </c>
      <c r="I109" s="135">
        <f>COUNTIF(D109:H109,"O")</f>
        <v/>
      </c>
      <c r="J109" s="135">
        <f>IF(I109&gt;=3,50,IF(I109=2,35,IF(I109=1,20,0)))</f>
        <v/>
      </c>
      <c r="K109" s="135" t="n">
        <v>50</v>
      </c>
      <c r="L109" s="135">
        <f>J109-K109</f>
        <v/>
      </c>
      <c r="M109" s="135">
        <f>IF(L109&gt;0,"상향",IF(L109&lt;0,"하향","유지"))</f>
        <v/>
      </c>
      <c r="N109" s="161" t="inlineStr">
        <is>
          <t>C5 fraction의 piperylene을 직접 polymerization하는 부산물 고도화 제품으로 resin downstream 확장성이 높음</t>
        </is>
      </c>
      <c r="O109" s="162" t="inlineStr">
        <is>
          <t>S2,S3,S8,S12</t>
        </is>
      </c>
    </row>
  </sheetData>
  <mergeCells count="2">
    <mergeCell ref="A1:O1"/>
    <mergeCell ref="A2:O2"/>
  </mergeCells>
  <conditionalFormatting sqref="D6:D109">
    <cfRule type="expression" priority="1" dxfId="13">
      <formula>D6="O"</formula>
    </cfRule>
    <cfRule type="expression" priority="2" dxfId="16">
      <formula>D6="X"</formula>
    </cfRule>
  </conditionalFormatting>
  <conditionalFormatting sqref="E6:E109">
    <cfRule type="expression" priority="3" dxfId="13">
      <formula>E6="O"</formula>
    </cfRule>
    <cfRule type="expression" priority="4" dxfId="16">
      <formula>E6="X"</formula>
    </cfRule>
  </conditionalFormatting>
  <conditionalFormatting sqref="F6:F109">
    <cfRule type="expression" priority="5" dxfId="13">
      <formula>F6="O"</formula>
    </cfRule>
    <cfRule type="expression" priority="6" dxfId="16">
      <formula>F6="X"</formula>
    </cfRule>
  </conditionalFormatting>
  <conditionalFormatting sqref="G6:G109">
    <cfRule type="expression" priority="7" dxfId="13">
      <formula>G6="O"</formula>
    </cfRule>
    <cfRule type="expression" priority="8" dxfId="16">
      <formula>G6="X"</formula>
    </cfRule>
  </conditionalFormatting>
  <conditionalFormatting sqref="H6:H109">
    <cfRule type="expression" priority="9" dxfId="13">
      <formula>H6="O"</formula>
    </cfRule>
    <cfRule type="expression" priority="10" dxfId="16">
      <formula>H6="X"</formula>
    </cfRule>
  </conditionalFormatting>
  <conditionalFormatting sqref="J6:K100">
    <cfRule type="colorScale" priority="27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J101:K109">
    <cfRule type="colorScale" priority="1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L6:L109">
    <cfRule type="cellIs" priority="12" operator="greaterThan" dxfId="13">
      <formula>0</formula>
    </cfRule>
    <cfRule type="cellIs" priority="13" operator="lessThan" dxfId="12">
      <formula>0</formula>
    </cfRule>
  </conditionalFormatting>
  <conditionalFormatting sqref="M6:M109">
    <cfRule type="expression" priority="14" dxfId="13">
      <formula>M6="상향"</formula>
    </cfRule>
    <cfRule type="expression" priority="15" dxfId="12">
      <formula>M6="하향"</formula>
    </cfRule>
    <cfRule type="expression" priority="16" dxfId="11">
      <formula>M6="유지"</formula>
    </cfRule>
  </conditionalFormatting>
  <dataValidations count="1">
    <dataValidation sqref="D6:H109" showDropDown="0" showInputMessage="0" showErrorMessage="0" allowBlank="0" type="list">
      <formula1>"O,X"</formula1>
    </dataValidation>
  </dataValidations>
  <pageMargins left="0.7" right="0.7" top="0.75" bottom="0.75" header="0.3" footer="0.3"/>
  <headerFooter>
    <oddHeader/>
    <oddFooter>&amp;L&amp;"Aptos"&amp;11 &amp;K000000_x000d_#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B9"/>
  <sheetViews>
    <sheetView zoomScale="85" zoomScaleNormal="85" workbookViewId="0">
      <selection activeCell="A1" sqref="A1"/>
    </sheetView>
  </sheetViews>
  <sheetFormatPr baseColWidth="8" defaultRowHeight="16.5"/>
  <cols>
    <col width="20.625" customWidth="1" style="179" min="1" max="1"/>
  </cols>
  <sheetData>
    <row r="1">
      <c r="A1" s="27" t="inlineStr">
        <is>
          <t>importance</t>
        </is>
      </c>
      <c r="B1" s="26" t="inlineStr">
        <is>
          <t>rating</t>
        </is>
      </c>
    </row>
    <row r="2">
      <c r="A2" s="28" t="inlineStr">
        <is>
          <t>Primary</t>
        </is>
      </c>
      <c r="B2" s="28" t="n">
        <v>0.6</v>
      </c>
    </row>
    <row r="3">
      <c r="A3" s="28" t="inlineStr">
        <is>
          <t>Secondary</t>
        </is>
      </c>
      <c r="B3" s="28" t="n">
        <v>0.3</v>
      </c>
    </row>
    <row r="4">
      <c r="A4" s="28" t="inlineStr">
        <is>
          <t>Niche / Emerging</t>
        </is>
      </c>
      <c r="B4" s="28" t="n">
        <v>0.1</v>
      </c>
    </row>
    <row r="5">
      <c r="A5" s="28" t="inlineStr">
        <is>
          <t>norm_count</t>
        </is>
      </c>
      <c r="B5" s="28" t="n">
        <v>0.25</v>
      </c>
    </row>
    <row r="6">
      <c r="A6" s="79" t="inlineStr">
        <is>
          <t>norm_avg</t>
        </is>
      </c>
      <c r="B6" s="28" t="n">
        <v>0.5</v>
      </c>
    </row>
    <row r="7">
      <c r="A7" s="79" t="inlineStr">
        <is>
          <t>norm_max</t>
        </is>
      </c>
      <c r="B7" s="28" t="n">
        <v>0.25</v>
      </c>
    </row>
    <row r="8">
      <c r="A8" s="28" t="inlineStr">
        <is>
          <t>stategy_12</t>
        </is>
      </c>
      <c r="B8" s="28" t="n">
        <v>0.7</v>
      </c>
    </row>
    <row r="9">
      <c r="A9" s="28" t="inlineStr">
        <is>
          <t>stategy_50</t>
        </is>
      </c>
      <c r="B9" s="28" t="n">
        <v>0.3</v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6">
    <tabColor rgb="FF92D050"/>
    <outlinePr summaryBelow="1" summaryRight="1"/>
    <pageSetUpPr/>
  </sheetPr>
  <dimension ref="A1:G12"/>
  <sheetViews>
    <sheetView topLeftCell="D1" zoomScaleNormal="100" workbookViewId="0">
      <selection activeCell="J14" sqref="J14"/>
    </sheetView>
  </sheetViews>
  <sheetFormatPr baseColWidth="8" defaultRowHeight="16.5"/>
  <cols>
    <col width="13.25" bestFit="1" customWidth="1" style="179" min="1" max="1"/>
    <col width="49.125" bestFit="1" customWidth="1" style="179" min="2" max="2"/>
    <col width="62.375" bestFit="1" customWidth="1" style="179" min="3" max="3"/>
    <col width="25" bestFit="1" customWidth="1" style="179" min="4" max="4"/>
    <col width="21.625" bestFit="1" customWidth="1" style="179" min="5" max="5"/>
    <col width="13.75" bestFit="1" customWidth="1" style="179" min="6" max="6"/>
  </cols>
  <sheetData>
    <row r="1">
      <c r="A1" t="inlineStr">
        <is>
          <t>end_use_id</t>
        </is>
      </c>
      <c r="B1" t="inlineStr">
        <is>
          <t>end_use_category</t>
        </is>
      </c>
      <c r="C1" t="inlineStr">
        <is>
          <t>Chemical Related Demand</t>
        </is>
      </c>
      <c r="D1" t="inlineStr">
        <is>
          <t>specialty_linkage_score</t>
        </is>
      </c>
      <c r="E1" t="inlineStr">
        <is>
          <t>national_tech_score</t>
        </is>
      </c>
      <c r="F1" t="inlineStr">
        <is>
          <t>ind_growth_score</t>
        </is>
      </c>
      <c r="G1" t="inlineStr">
        <is>
          <t>end_use_att</t>
        </is>
      </c>
    </row>
    <row r="2">
      <c r="A2" t="inlineStr">
        <is>
          <t>E01</t>
        </is>
      </c>
      <c r="B2" t="inlineStr">
        <is>
          <t>Construction &amp; Infrastructure</t>
        </is>
      </c>
      <c r="C2" t="inlineStr">
        <is>
          <t>PVC pipe, flooring, insulation, coatings, construction chemicals</t>
        </is>
      </c>
      <c r="D2" s="182">
        <f>end_use_specialty!E76</f>
        <v/>
      </c>
      <c r="E2" s="182" t="n">
        <v>0</v>
      </c>
      <c r="F2" s="183" t="n">
        <v>0</v>
      </c>
      <c r="G2" s="183">
        <f>AVERAGE(표13[[#This Row],[specialty_linkage_score]:[ind_growth_score]])</f>
        <v/>
      </c>
    </row>
    <row r="3">
      <c r="A3" t="inlineStr">
        <is>
          <t>E02</t>
        </is>
      </c>
      <c r="B3" t="inlineStr">
        <is>
          <t>Consumer Products &amp; Packaging</t>
        </is>
      </c>
      <c r="C3" t="inlineStr">
        <is>
          <t>Packaging, hygiene, personal care, household products</t>
        </is>
      </c>
      <c r="D3" s="182">
        <f>end_use_specialty!E77</f>
        <v/>
      </c>
      <c r="E3" s="182" t="n">
        <v>18.41666666666666</v>
      </c>
      <c r="F3" s="183" t="n">
        <v>100</v>
      </c>
      <c r="G3" s="183">
        <f>AVERAGE(표13[[#This Row],[specialty_linkage_score]:[ind_growth_score]])</f>
        <v/>
      </c>
    </row>
    <row r="4">
      <c r="A4" t="inlineStr">
        <is>
          <t>E03</t>
        </is>
      </c>
      <c r="B4" t="inlineStr">
        <is>
          <t>Automotive &amp; Future Mobility</t>
        </is>
      </c>
      <c r="C4" t="inlineStr">
        <is>
          <t>Automotive plastics, elastomers, lightweighting, thermal materials</t>
        </is>
      </c>
      <c r="D4" s="182">
        <f>end_use_specialty!E78</f>
        <v/>
      </c>
      <c r="E4" s="182" t="n">
        <v>64.63541666666666</v>
      </c>
      <c r="F4" s="183" t="n">
        <v>100</v>
      </c>
      <c r="G4" s="183">
        <f>AVERAGE(표13[[#This Row],[specialty_linkage_score]:[ind_growth_score]])</f>
        <v/>
      </c>
    </row>
    <row r="5">
      <c r="A5" t="inlineStr">
        <is>
          <t>E04</t>
        </is>
      </c>
      <c r="B5" t="inlineStr">
        <is>
          <t>Energy, Power &amp; Utilities</t>
        </is>
      </c>
      <c r="C5" t="inlineStr">
        <is>
          <t>Wire &amp; cable, electrical insulation, solar, refinery, gas treatment</t>
        </is>
      </c>
      <c r="D5" s="182">
        <f>end_use_specialty!E79</f>
        <v/>
      </c>
      <c r="E5" s="182" t="n">
        <v>68.41666666666666</v>
      </c>
      <c r="F5" s="183" t="n">
        <v>0</v>
      </c>
      <c r="G5" s="183">
        <f>AVERAGE(표13[[#This Row],[specialty_linkage_score]:[ind_growth_score]])</f>
        <v/>
      </c>
    </row>
    <row r="6">
      <c r="A6" t="inlineStr">
        <is>
          <t>E05</t>
        </is>
      </c>
      <c r="B6" t="inlineStr">
        <is>
          <t>Healthcare &amp; Life Sciences</t>
        </is>
      </c>
      <c r="C6" t="inlineStr">
        <is>
          <t>Medical tubing, blood bags, healthcare materials</t>
        </is>
      </c>
      <c r="D6" s="182">
        <f>end_use_specialty!E80</f>
        <v/>
      </c>
      <c r="E6" s="182" t="n">
        <v>48.46666666666667</v>
      </c>
      <c r="F6" s="183" t="n">
        <v>100</v>
      </c>
      <c r="G6" s="183">
        <f>AVERAGE(표13[[#This Row],[specialty_linkage_score]:[ind_growth_score]])</f>
        <v/>
      </c>
    </row>
    <row r="7">
      <c r="A7" t="inlineStr">
        <is>
          <t>E06</t>
        </is>
      </c>
      <c r="B7" t="inlineStr">
        <is>
          <t>Agriculture</t>
        </is>
      </c>
      <c r="C7" t="inlineStr">
        <is>
          <t>Agricultural film, irrigation, crop protection</t>
        </is>
      </c>
      <c r="D7" s="182">
        <f>end_use_specialty!E81</f>
        <v/>
      </c>
      <c r="E7" s="182" t="n">
        <v>24.41666666666666</v>
      </c>
      <c r="F7" s="183" t="n">
        <v>0</v>
      </c>
      <c r="G7" s="183">
        <f>AVERAGE(표13[[#This Row],[specialty_linkage_score]:[ind_growth_score]])</f>
        <v/>
      </c>
    </row>
    <row r="8">
      <c r="A8" t="inlineStr">
        <is>
          <t>E07</t>
        </is>
      </c>
      <c r="B8" t="inlineStr">
        <is>
          <t>Industrial Goods &amp; Advanced Manufacturing</t>
        </is>
      </c>
      <c r="C8" t="inlineStr">
        <is>
          <t>Coatings, solvents, lubricants, industrial chemicals</t>
        </is>
      </c>
      <c r="D8" s="182">
        <f>end_use_specialty!E82</f>
        <v/>
      </c>
      <c r="E8" s="182" t="n">
        <v>74.28333333333333</v>
      </c>
      <c r="F8" s="183" t="n">
        <v>0</v>
      </c>
      <c r="G8" s="183">
        <f>AVERAGE(표13[[#This Row],[specialty_linkage_score]:[ind_growth_score]])</f>
        <v/>
      </c>
    </row>
    <row r="9">
      <c r="A9" t="inlineStr">
        <is>
          <t>E08</t>
        </is>
      </c>
      <c r="B9" t="inlineStr">
        <is>
          <t>Electronics, Semiconductors &amp; Digital Infrastructure</t>
        </is>
      </c>
      <c r="C9" t="inlineStr">
        <is>
          <t>Semiconductor chemicals, electronic materials, display films</t>
        </is>
      </c>
      <c r="D9" s="182">
        <f>end_use_specialty!E83</f>
        <v/>
      </c>
      <c r="E9" s="182" t="n">
        <v>72.44444444444444</v>
      </c>
      <c r="F9" s="183" t="n">
        <v>100</v>
      </c>
      <c r="G9" s="183">
        <f>AVERAGE(표13[[#This Row],[specialty_linkage_score]:[ind_growth_score]])</f>
        <v/>
      </c>
    </row>
    <row r="10">
      <c r="A10" t="inlineStr">
        <is>
          <t>※ 산업 성장성은 현 단계에서 객관적·일관된 산업별 성장지표 확보 전까지의 잠정 지표로, 성장성이 높다고 판단한 4개 산업을 High-growth industry로 분류하여 반영</t>
        </is>
      </c>
    </row>
    <row r="11">
      <c r="B11" t="inlineStr">
        <is>
          <t>a, b, c</t>
        </is>
      </c>
    </row>
    <row r="12">
      <c r="B12" t="inlineStr">
        <is>
          <t xml:space="preserve">블룸버그 터미널&gt; </t>
        </is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A1:L376"/>
  <sheetViews>
    <sheetView topLeftCell="A72" zoomScale="85" zoomScaleNormal="85" workbookViewId="0">
      <selection activeCell="B77" sqref="B77"/>
    </sheetView>
  </sheetViews>
  <sheetFormatPr baseColWidth="8" defaultRowHeight="16.5"/>
  <cols>
    <col width="11.75" customWidth="1" style="30" min="1" max="1"/>
    <col width="45.875" customWidth="1" style="30" min="2" max="2"/>
    <col width="40.625" customWidth="1" style="91" min="3" max="3"/>
    <col width="15.625" customWidth="1" style="30" min="4" max="12"/>
    <col width="9" customWidth="1" style="30" min="13" max="16384"/>
  </cols>
  <sheetData>
    <row r="1">
      <c r="A1" s="31" t="inlineStr">
        <is>
          <t>end_use_id</t>
        </is>
      </c>
      <c r="B1" s="32" t="inlineStr">
        <is>
          <t>end_use_category</t>
        </is>
      </c>
      <c r="C1" s="86" t="inlineStr">
        <is>
          <t>specialty_category</t>
        </is>
      </c>
      <c r="D1" s="37" t="inlineStr">
        <is>
          <t>specialty_cagr</t>
        </is>
      </c>
      <c r="E1" s="35" t="inlineStr">
        <is>
          <t>Linkage 사유</t>
        </is>
      </c>
      <c r="I1" s="81" t="inlineStr">
        <is>
          <t>행 레이블</t>
        </is>
      </c>
      <c r="J1" t="inlineStr">
        <is>
          <t>평균 : Compound annual growth rate. 2025-30(percent)</t>
        </is>
      </c>
    </row>
    <row r="2">
      <c r="A2" s="33" t="inlineStr">
        <is>
          <t>E01</t>
        </is>
      </c>
      <c r="B2" s="34" t="inlineStr">
        <is>
          <t>Construction &amp; Infrastructure</t>
        </is>
      </c>
      <c r="C2" s="87" t="inlineStr">
        <is>
          <t>Construction chemicals</t>
        </is>
      </c>
      <c r="D2" s="78">
        <f>_xlfn.XLOOKUP(표16[[#This Row],[specialty_category]],end_use_specialty!$I$2:$I$31,end_use_specialty!$J$2:$J$31)</f>
        <v/>
      </c>
      <c r="E2" s="36" t="inlineStr">
        <is>
          <t>콘크리트 혼화제, 방수재, 보수재 등 건설용 기능성 화학소재</t>
        </is>
      </c>
      <c r="I2" s="29" t="inlineStr">
        <is>
          <t>Cleaners, industrial and institutional</t>
        </is>
      </c>
      <c r="J2" s="184" t="n">
        <v>0.0312255252955673</v>
      </c>
    </row>
    <row r="3">
      <c r="A3" s="33" t="inlineStr">
        <is>
          <t>E01</t>
        </is>
      </c>
      <c r="B3" s="34" t="inlineStr">
        <is>
          <t>Construction &amp; Infrastructure</t>
        </is>
      </c>
      <c r="C3" s="87" t="inlineStr">
        <is>
          <t>Coatings, high-performance anticorrosion</t>
        </is>
      </c>
      <c r="D3" s="78">
        <f>_xlfn.XLOOKUP(표16[[#This Row],[specialty_category]],end_use_specialty!$I$2:$I$31,end_use_specialty!$J$2:$J$31)</f>
        <v/>
      </c>
      <c r="E3" s="36" t="inlineStr">
        <is>
          <t>철강, 콘크리트, 교량, 플랜트, 해양구조물 부식 방지</t>
        </is>
      </c>
      <c r="I3" s="29" t="inlineStr">
        <is>
          <t>Coatings, high-performance anticorrosion</t>
        </is>
      </c>
      <c r="J3" s="184" t="n">
        <v>0.01281080736454596</v>
      </c>
    </row>
    <row r="4">
      <c r="A4" s="110" t="inlineStr">
        <is>
          <t>E01</t>
        </is>
      </c>
      <c r="B4" s="111" t="inlineStr">
        <is>
          <t>Construction &amp; Infrastructure</t>
        </is>
      </c>
      <c r="C4" s="87" t="inlineStr">
        <is>
          <t>Coatings, thermosetting powder</t>
        </is>
      </c>
      <c r="D4" s="78">
        <f>_xlfn.XLOOKUP(표16[[#This Row],[specialty_category]],end_use_specialty!$I$2:$I$31,end_use_specialty!$J$2:$J$31)</f>
        <v/>
      </c>
      <c r="E4" s="36" t="inlineStr">
        <is>
          <t>건축자재, 금속 구조물, 창호, 외장재 코팅</t>
        </is>
      </c>
      <c r="I4" s="29" t="inlineStr">
        <is>
          <t>Coatings, radiation curable</t>
        </is>
      </c>
      <c r="J4" s="184" t="n">
        <v>0.03640649714606649</v>
      </c>
    </row>
    <row r="5">
      <c r="A5" s="110" t="inlineStr">
        <is>
          <t>E01</t>
        </is>
      </c>
      <c r="B5" s="111" t="inlineStr">
        <is>
          <t>Construction &amp; Infrastructure</t>
        </is>
      </c>
      <c r="C5" s="87" t="inlineStr">
        <is>
          <t>Specialty adhesives and sealants</t>
        </is>
      </c>
      <c r="D5" s="78">
        <f>_xlfn.XLOOKUP(표16[[#This Row],[specialty_category]],end_use_specialty!$I$2:$I$31,end_use_specialty!$J$2:$J$31)</f>
        <v/>
      </c>
      <c r="E5" s="36" t="inlineStr">
        <is>
          <t>건축용 실란트, 접착제, 방수·기밀 소재</t>
        </is>
      </c>
      <c r="I5" s="29" t="inlineStr">
        <is>
          <t>Coatings, thermosetting powder</t>
        </is>
      </c>
      <c r="J5" s="184" t="n">
        <v>0.03235553694826689</v>
      </c>
    </row>
    <row r="6">
      <c r="A6" s="110" t="inlineStr">
        <is>
          <t>E01</t>
        </is>
      </c>
      <c r="B6" s="111" t="inlineStr">
        <is>
          <t>Construction &amp; Infrastructure</t>
        </is>
      </c>
      <c r="C6" s="87" t="inlineStr">
        <is>
          <t>Water management chemicals</t>
        </is>
      </c>
      <c r="D6" s="78">
        <f>_xlfn.XLOOKUP(표16[[#This Row],[specialty_category]],end_use_specialty!$I$2:$I$31,end_use_specialty!$J$2:$J$31)</f>
        <v/>
      </c>
      <c r="E6" s="36" t="inlineStr">
        <is>
          <t>상하수, 정수, 폐수처리 등 인프라 운영용 화학소재</t>
        </is>
      </c>
      <c r="I6" s="29" t="inlineStr">
        <is>
          <t>Compounded engineering thermoplastics</t>
        </is>
      </c>
      <c r="J6" s="184" t="n">
        <v>0.0317360016136865</v>
      </c>
    </row>
    <row r="7">
      <c r="A7" s="110" t="inlineStr">
        <is>
          <t>E01</t>
        </is>
      </c>
      <c r="B7" s="111" t="inlineStr">
        <is>
          <t>Construction &amp; Infrastructure</t>
        </is>
      </c>
      <c r="C7" s="87" t="inlineStr">
        <is>
          <t>Plastics additives</t>
        </is>
      </c>
      <c r="D7" s="78">
        <f>_xlfn.XLOOKUP(표16[[#This Row],[specialty_category]],end_use_specialty!$I$2:$I$31,end_use_specialty!$J$2:$J$31)</f>
        <v/>
      </c>
      <c r="E7" s="36" t="inlineStr">
        <is>
          <t>PVC pipe, insulation, flooring, 건축용 플라스틱 소재 성능 개선</t>
        </is>
      </c>
      <c r="I7" s="29" t="inlineStr">
        <is>
          <t>Construction chemicals</t>
        </is>
      </c>
      <c r="J7" s="184" t="n">
        <v>0.0147205457538071</v>
      </c>
    </row>
    <row r="8">
      <c r="A8" s="110" t="inlineStr">
        <is>
          <t>E01</t>
        </is>
      </c>
      <c r="B8" s="111" t="inlineStr">
        <is>
          <t>Construction &amp; Infrastructure</t>
        </is>
      </c>
      <c r="C8" s="87" t="inlineStr">
        <is>
          <t>High-performance thermoplastics</t>
        </is>
      </c>
      <c r="D8" s="78">
        <f>_xlfn.XLOOKUP(표16[[#This Row],[specialty_category]],end_use_specialty!$I$2:$I$31,end_use_specialty!$J$2:$J$31)</f>
        <v/>
      </c>
      <c r="E8" s="36" t="inlineStr">
        <is>
          <t>고내열·고강도 건축 부품, 특수 배관, 절연재 등에 일부 적용</t>
        </is>
      </c>
      <c r="I8" s="29" t="inlineStr">
        <is>
          <t>Cosmetic/personal care chemicals</t>
        </is>
      </c>
      <c r="J8" s="184" t="n">
        <v>0.03223448711305988</v>
      </c>
    </row>
    <row r="9">
      <c r="A9" s="110" t="inlineStr">
        <is>
          <t>E02</t>
        </is>
      </c>
      <c r="B9" s="111" t="inlineStr">
        <is>
          <t>Consumer Products &amp; Packaging</t>
        </is>
      </c>
      <c r="C9" s="87" t="inlineStr">
        <is>
          <t>Specialty films</t>
        </is>
      </c>
      <c r="D9" s="78">
        <f>_xlfn.XLOOKUP(표16[[#This Row],[specialty_category]],end_use_specialty!$I$2:$I$31,end_use_specialty!$J$2:$J$31)</f>
        <v/>
      </c>
      <c r="E9" s="36" t="inlineStr">
        <is>
          <t>식품·생활용품 포장필름, 보호필름, 기능성 포장재</t>
        </is>
      </c>
      <c r="I9" s="29" t="inlineStr">
        <is>
          <t>Display materials</t>
        </is>
      </c>
      <c r="J9" s="184" t="n">
        <v>0.02939072604545918</v>
      </c>
    </row>
    <row r="10">
      <c r="A10" s="110" t="inlineStr">
        <is>
          <t>E02</t>
        </is>
      </c>
      <c r="B10" s="111" t="inlineStr">
        <is>
          <t>Consumer Products &amp; Packaging</t>
        </is>
      </c>
      <c r="C10" s="87" t="inlineStr">
        <is>
          <t>Plastics additives</t>
        </is>
      </c>
      <c r="D10" s="78">
        <f>_xlfn.XLOOKUP(표16[[#This Row],[specialty_category]],end_use_specialty!$I$2:$I$31,end_use_specialty!$J$2:$J$31)</f>
        <v/>
      </c>
      <c r="E10" s="36" t="inlineStr">
        <is>
          <t>포장재, 생활용 플라스틱 제품의 내구성·가공성·색상·안정성 개선</t>
        </is>
      </c>
      <c r="I10" s="29" t="inlineStr">
        <is>
          <t>Emission control</t>
        </is>
      </c>
      <c r="J10" s="184" t="n">
        <v>-0.0409732414884565</v>
      </c>
    </row>
    <row r="11">
      <c r="A11" s="110" t="inlineStr">
        <is>
          <t>E02</t>
        </is>
      </c>
      <c r="B11" s="111" t="inlineStr">
        <is>
          <t>Consumer Products &amp; Packaging</t>
        </is>
      </c>
      <c r="C11" s="87" t="inlineStr">
        <is>
          <t>Cosmetic/personal care chemicals</t>
        </is>
      </c>
      <c r="D11" s="78">
        <f>_xlfn.XLOOKUP(표16[[#This Row],[specialty_category]],end_use_specialty!$I$2:$I$31,end_use_specialty!$J$2:$J$31)</f>
        <v/>
      </c>
      <c r="E11" s="36" t="inlineStr">
        <is>
          <t>화장품, 퍼스널케어 제품용 기능성 원료</t>
        </is>
      </c>
      <c r="I11" s="29" t="inlineStr">
        <is>
          <t>Feed additives</t>
        </is>
      </c>
      <c r="J11" s="184" t="n">
        <v>0.0243946421399239</v>
      </c>
    </row>
    <row r="12">
      <c r="A12" s="110" t="inlineStr">
        <is>
          <t>E02</t>
        </is>
      </c>
      <c r="B12" s="111" t="inlineStr">
        <is>
          <t>Consumer Products &amp; Packaging</t>
        </is>
      </c>
      <c r="C12" s="87" t="inlineStr">
        <is>
          <t>Printing inks</t>
        </is>
      </c>
      <c r="D12" s="78">
        <f>_xlfn.XLOOKUP(표16[[#This Row],[specialty_category]],end_use_specialty!$I$2:$I$31,end_use_specialty!$J$2:$J$31)</f>
        <v/>
      </c>
      <c r="E12" s="36" t="inlineStr">
        <is>
          <t>포장재, 라벨, 상업 인쇄물용 잉크</t>
        </is>
      </c>
      <c r="I12" s="29" t="inlineStr">
        <is>
          <t>Flavors and fragrances</t>
        </is>
      </c>
      <c r="J12" s="184" t="n">
        <v>0.0255659128814585</v>
      </c>
    </row>
    <row r="13">
      <c r="A13" s="110" t="inlineStr">
        <is>
          <t>E02</t>
        </is>
      </c>
      <c r="B13" s="111" t="inlineStr">
        <is>
          <t>Consumer Products &amp; Packaging</t>
        </is>
      </c>
      <c r="C13" s="87" t="inlineStr">
        <is>
          <t>Flavors and fragrances</t>
        </is>
      </c>
      <c r="D13" s="78">
        <f>_xlfn.XLOOKUP(표16[[#This Row],[specialty_category]],end_use_specialty!$I$2:$I$31,end_use_specialty!$J$2:$J$31)</f>
        <v/>
      </c>
      <c r="E13" s="36" t="inlineStr">
        <is>
          <t>식품, 생활용품, 화장품 향료·향미 소재</t>
        </is>
      </c>
      <c r="I13" s="29" t="inlineStr">
        <is>
          <t>Food additives</t>
        </is>
      </c>
      <c r="J13" s="184" t="n">
        <v>0.0244557554042033</v>
      </c>
    </row>
    <row r="14">
      <c r="A14" s="110" t="inlineStr">
        <is>
          <t>E02</t>
        </is>
      </c>
      <c r="B14" s="111" t="inlineStr">
        <is>
          <t>Consumer Products &amp; Packaging</t>
        </is>
      </c>
      <c r="C14" s="87" t="inlineStr">
        <is>
          <t>Food additives</t>
        </is>
      </c>
      <c r="D14" s="78">
        <f>_xlfn.XLOOKUP(표16[[#This Row],[specialty_category]],end_use_specialty!$I$2:$I$31,end_use_specialty!$J$2:$J$31)</f>
        <v/>
      </c>
      <c r="E14" s="36" t="inlineStr">
        <is>
          <t>식품 보존, 물성, 맛, 색, 기능성 개선 첨가제</t>
        </is>
      </c>
      <c r="I14" s="29" t="inlineStr">
        <is>
          <t>Green power materials</t>
        </is>
      </c>
      <c r="J14" s="184" t="n">
        <v>0.04830452574632525</v>
      </c>
    </row>
    <row r="15">
      <c r="A15" s="110" t="inlineStr">
        <is>
          <t>E02</t>
        </is>
      </c>
      <c r="B15" s="111" t="inlineStr">
        <is>
          <t>Consumer Products &amp; Packaging</t>
        </is>
      </c>
      <c r="C15" s="87" t="inlineStr">
        <is>
          <t>Specialty adhesives and sealants</t>
        </is>
      </c>
      <c r="D15" s="78">
        <f>_xlfn.XLOOKUP(표16[[#This Row],[specialty_category]],end_use_specialty!$I$2:$I$31,end_use_specialty!$J$2:$J$31)</f>
        <v/>
      </c>
      <c r="E15" s="36" t="inlineStr">
        <is>
          <t>포장재 라미네이션, 라벨, 생활용 접착제</t>
        </is>
      </c>
      <c r="I15" s="29" t="inlineStr">
        <is>
          <t>High-performance thermoplastics</t>
        </is>
      </c>
      <c r="J15" s="184" t="n">
        <v>0.03404061591899565</v>
      </c>
    </row>
    <row r="16">
      <c r="A16" s="110" t="inlineStr">
        <is>
          <t>E02</t>
        </is>
      </c>
      <c r="B16" s="111" t="inlineStr">
        <is>
          <t>Consumer Products &amp; Packaging</t>
        </is>
      </c>
      <c r="C16" s="87" t="inlineStr">
        <is>
          <t>Paper chemicals</t>
        </is>
      </c>
      <c r="D16" s="78">
        <f>_xlfn.XLOOKUP(표16[[#This Row],[specialty_category]],end_use_specialty!$I$2:$I$31,end_use_specialty!$J$2:$J$31)</f>
        <v/>
      </c>
      <c r="E16" s="36" t="inlineStr">
        <is>
          <t>포장지, 기능성 종이, 위생지, 코팅지 제조용 화학소재</t>
        </is>
      </c>
      <c r="I16" s="29" t="inlineStr">
        <is>
          <t>Lubricants, synthetic</t>
        </is>
      </c>
      <c r="J16" s="184" t="n">
        <v>0.0230256712917403</v>
      </c>
    </row>
    <row r="17">
      <c r="A17" s="110" t="inlineStr">
        <is>
          <t>E02</t>
        </is>
      </c>
      <c r="B17" s="111" t="inlineStr">
        <is>
          <t>Consumer Products &amp; Packaging</t>
        </is>
      </c>
      <c r="C17" s="87" t="inlineStr">
        <is>
          <t>Textile chemicals</t>
        </is>
      </c>
      <c r="D17" s="78">
        <f>_xlfn.XLOOKUP(표16[[#This Row],[specialty_category]],end_use_specialty!$I$2:$I$31,end_use_specialty!$J$2:$J$31)</f>
        <v/>
      </c>
      <c r="E17" s="36" t="inlineStr">
        <is>
          <t>의류·생활섬유의 염색, 가공, 기능성 부여</t>
        </is>
      </c>
      <c r="I17" s="29" t="inlineStr">
        <is>
          <t>Lubricating oil additives</t>
        </is>
      </c>
      <c r="J17" s="184" t="n">
        <v>0.007038130333532949</v>
      </c>
    </row>
    <row r="18">
      <c r="A18" s="110" t="inlineStr">
        <is>
          <t>E02</t>
        </is>
      </c>
      <c r="B18" s="111" t="inlineStr">
        <is>
          <t>Consumer Products &amp; Packaging</t>
        </is>
      </c>
      <c r="C18" s="87" t="inlineStr">
        <is>
          <t>Cleaners, industrial and institutional</t>
        </is>
      </c>
      <c r="D18" s="78">
        <f>_xlfn.XLOOKUP(표16[[#This Row],[specialty_category]],end_use_specialty!$I$2:$I$31,end_use_specialty!$J$2:$J$31)</f>
        <v/>
      </c>
      <c r="E18" s="36" t="inlineStr">
        <is>
          <t>일부 생활·상업용 세정제와 연결</t>
        </is>
      </c>
      <c r="I18" s="29" t="inlineStr">
        <is>
          <t>Mining chemicals</t>
        </is>
      </c>
      <c r="J18" s="184" t="n">
        <v>0.01527343848391109</v>
      </c>
    </row>
    <row r="19">
      <c r="A19" s="110" t="inlineStr">
        <is>
          <t>E02</t>
        </is>
      </c>
      <c r="B19" s="111" t="inlineStr">
        <is>
          <t>Consumer Products &amp; Packaging</t>
        </is>
      </c>
      <c r="C19" s="87" t="inlineStr">
        <is>
          <t>Coatings, radiation curable</t>
        </is>
      </c>
      <c r="D19" s="78">
        <f>_xlfn.XLOOKUP(표16[[#This Row],[specialty_category]],end_use_specialty!$I$2:$I$31,end_use_specialty!$J$2:$J$31)</f>
        <v/>
      </c>
      <c r="E19" s="36" t="inlineStr">
        <is>
          <t>포장재, 라벨, 인쇄물용 UV 경화 코팅</t>
        </is>
      </c>
      <c r="I19" s="29" t="inlineStr">
        <is>
          <t>Nutraceutical ingredients</t>
        </is>
      </c>
      <c r="J19" s="184" t="n">
        <v>0.04022877664422509</v>
      </c>
    </row>
    <row r="20">
      <c r="A20" s="110" t="inlineStr">
        <is>
          <t>E03</t>
        </is>
      </c>
      <c r="B20" s="111" t="inlineStr">
        <is>
          <t>Automotive &amp; Future Mobility</t>
        </is>
      </c>
      <c r="C20" s="87" t="inlineStr">
        <is>
          <t>High-performance thermoplastics</t>
        </is>
      </c>
      <c r="D20" s="78">
        <f>_xlfn.XLOOKUP(표16[[#This Row],[specialty_category]],end_use_specialty!$I$2:$I$31,end_use_specialty!$J$2:$J$31)</f>
        <v/>
      </c>
      <c r="E20" s="36" t="inlineStr">
        <is>
          <t>자동차 경량화, 내열 부품, 전장 부품, 구조용 플라스틱</t>
        </is>
      </c>
      <c r="I20" s="29" t="inlineStr">
        <is>
          <t>Oil field chemicals</t>
        </is>
      </c>
      <c r="J20" s="184" t="n">
        <v>0.01197013105699463</v>
      </c>
    </row>
    <row r="21">
      <c r="A21" s="110" t="inlineStr">
        <is>
          <t>E03</t>
        </is>
      </c>
      <c r="B21" s="111" t="inlineStr">
        <is>
          <t>Automotive &amp; Future Mobility</t>
        </is>
      </c>
      <c r="C21" s="87" t="inlineStr">
        <is>
          <t>Compounded engineering thermoplastics</t>
        </is>
      </c>
      <c r="D21" s="78">
        <f>_xlfn.XLOOKUP(표16[[#This Row],[specialty_category]],end_use_specialty!$I$2:$I$31,end_use_specialty!$J$2:$J$31)</f>
        <v/>
      </c>
      <c r="E21" s="36" t="inlineStr">
        <is>
          <t>자동차용 엔지니어링 플라스틱 컴파운드, 맞춤형 물성 구현</t>
        </is>
      </c>
      <c r="I21" s="29" t="inlineStr">
        <is>
          <t>Paper chemicals</t>
        </is>
      </c>
      <c r="J21" s="184" t="n">
        <v>0.0168213516605007</v>
      </c>
    </row>
    <row r="22">
      <c r="A22" s="110" t="inlineStr">
        <is>
          <t>E03</t>
        </is>
      </c>
      <c r="B22" s="111" t="inlineStr">
        <is>
          <t>Automotive &amp; Future Mobility</t>
        </is>
      </c>
      <c r="C22" s="87" t="inlineStr">
        <is>
          <t>Rubber-processing chemicals</t>
        </is>
      </c>
      <c r="D22" s="78">
        <f>_xlfn.XLOOKUP(표16[[#This Row],[specialty_category]],end_use_specialty!$I$2:$I$31,end_use_specialty!$J$2:$J$31)</f>
        <v/>
      </c>
      <c r="E22" s="36" t="inlineStr">
        <is>
          <t>타이어, 씰, 호스, 방진고무 등 고무부품 제조 보조제</t>
        </is>
      </c>
      <c r="I22" s="29" t="inlineStr">
        <is>
          <t>Petroleum refining/chemical process</t>
        </is>
      </c>
      <c r="J22" s="184" t="n">
        <v>0.0001168624121391885</v>
      </c>
    </row>
    <row r="23">
      <c r="A23" s="110" t="inlineStr">
        <is>
          <t>E03</t>
        </is>
      </c>
      <c r="B23" s="111" t="inlineStr">
        <is>
          <t>Automotive &amp; Future Mobility</t>
        </is>
      </c>
      <c r="C23" s="87" t="inlineStr">
        <is>
          <t>Lubricants, synthetic</t>
        </is>
      </c>
      <c r="D23" s="78">
        <f>_xlfn.XLOOKUP(표16[[#This Row],[specialty_category]],end_use_specialty!$I$2:$I$31,end_use_specialty!$J$2:$J$31)</f>
        <v/>
      </c>
      <c r="E23" s="36" t="inlineStr">
        <is>
          <t>자동차 엔진오일, EV 감속기유, 열관리 유체 등</t>
        </is>
      </c>
      <c r="I23" s="29" t="inlineStr">
        <is>
          <t>Plastics additives</t>
        </is>
      </c>
      <c r="J23" s="184" t="n">
        <v>0.0274189683584996</v>
      </c>
    </row>
    <row r="24">
      <c r="A24" s="110" t="inlineStr">
        <is>
          <t>E03</t>
        </is>
      </c>
      <c r="B24" s="111" t="inlineStr">
        <is>
          <t>Automotive &amp; Future Mobility</t>
        </is>
      </c>
      <c r="C24" s="87" t="inlineStr">
        <is>
          <t>Lubricating oil additives</t>
        </is>
      </c>
      <c r="D24" s="78">
        <f>_xlfn.XLOOKUP(표16[[#This Row],[specialty_category]],end_use_specialty!$I$2:$I$31,end_use_specialty!$J$2:$J$31)</f>
        <v/>
      </c>
      <c r="E24" s="36" t="inlineStr">
        <is>
          <t>윤활유 성능 개선, 마모 방지, 산화 안정성, 청정성 부여</t>
        </is>
      </c>
      <c r="I24" s="29" t="inlineStr">
        <is>
          <t>Printed circuit boards and packaging</t>
        </is>
      </c>
      <c r="J24" s="184" t="n">
        <v>0.0590949465146409</v>
      </c>
    </row>
    <row r="25">
      <c r="A25" s="110" t="inlineStr">
        <is>
          <t>E03</t>
        </is>
      </c>
      <c r="B25" s="111" t="inlineStr">
        <is>
          <t>Automotive &amp; Future Mobility</t>
        </is>
      </c>
      <c r="C25" s="87" t="inlineStr">
        <is>
          <t>Emission control</t>
        </is>
      </c>
      <c r="D25" s="78">
        <f>_xlfn.XLOOKUP(표16[[#This Row],[specialty_category]],end_use_specialty!$I$2:$I$31,end_use_specialty!$J$2:$J$31)</f>
        <v/>
      </c>
      <c r="E25" s="36" t="inlineStr">
        <is>
          <t>배출가스 저감 촉매, 자동차 배기가스 처리 소재</t>
        </is>
      </c>
      <c r="I25" s="29" t="inlineStr">
        <is>
          <t>Printing inks</t>
        </is>
      </c>
      <c r="J25" s="184" t="n">
        <v>0.0258977449189877</v>
      </c>
    </row>
    <row r="26">
      <c r="A26" s="110" t="inlineStr">
        <is>
          <t>E03</t>
        </is>
      </c>
      <c r="B26" s="111" t="inlineStr">
        <is>
          <t>Automotive &amp; Future Mobility</t>
        </is>
      </c>
      <c r="C26" s="87" t="inlineStr">
        <is>
          <t>Specialty adhesives and sealants</t>
        </is>
      </c>
      <c r="D26" s="78">
        <f>_xlfn.XLOOKUP(표16[[#This Row],[specialty_category]],end_use_specialty!$I$2:$I$31,end_use_specialty!$J$2:$J$31)</f>
        <v/>
      </c>
      <c r="E26" s="36" t="inlineStr">
        <is>
          <t>차체 접착, 구조용 접착, 배터리팩 실링</t>
        </is>
      </c>
      <c r="I26" s="29" t="inlineStr">
        <is>
          <t>Rubber-processing chemicals</t>
        </is>
      </c>
      <c r="J26" s="184" t="n">
        <v>0.0268348747559057</v>
      </c>
    </row>
    <row r="27">
      <c r="A27" s="110" t="inlineStr">
        <is>
          <t>E03</t>
        </is>
      </c>
      <c r="B27" s="111" t="inlineStr">
        <is>
          <t>Automotive &amp; Future Mobility</t>
        </is>
      </c>
      <c r="C27" s="87" t="inlineStr">
        <is>
          <t>Coatings, thermosetting powder</t>
        </is>
      </c>
      <c r="D27" s="78">
        <f>_xlfn.XLOOKUP(표16[[#This Row],[specialty_category]],end_use_specialty!$I$2:$I$31,end_use_specialty!$J$2:$J$31)</f>
        <v/>
      </c>
      <c r="E27" s="36" t="inlineStr">
        <is>
          <t>자동차 부품, 휠, 금속부품 코팅</t>
        </is>
      </c>
      <c r="I27" s="29" t="inlineStr">
        <is>
          <t>Semiconductors, silicon and IC process chemicals</t>
        </is>
      </c>
      <c r="J27" s="184" t="n">
        <v>0.07083845382246304</v>
      </c>
    </row>
    <row r="28">
      <c r="A28" s="110" t="inlineStr">
        <is>
          <t>E03</t>
        </is>
      </c>
      <c r="B28" s="111" t="inlineStr">
        <is>
          <t>Automotive &amp; Future Mobility</t>
        </is>
      </c>
      <c r="C28" s="87" t="inlineStr">
        <is>
          <t>Plastics additives</t>
        </is>
      </c>
      <c r="D28" s="78">
        <f>_xlfn.XLOOKUP(표16[[#This Row],[specialty_category]],end_use_specialty!$I$2:$I$31,end_use_specialty!$J$2:$J$31)</f>
        <v/>
      </c>
      <c r="E28" s="36" t="inlineStr">
        <is>
          <t>자동차 내외장재, 전장부품용 플라스틱 물성 개선</t>
        </is>
      </c>
      <c r="I28" s="29" t="inlineStr">
        <is>
          <t>Specialty adhesives and sealants</t>
        </is>
      </c>
      <c r="J28" s="184" t="n">
        <v>0.0268348747559057</v>
      </c>
    </row>
    <row r="29">
      <c r="A29" s="110" t="inlineStr">
        <is>
          <t>E04</t>
        </is>
      </c>
      <c r="B29" s="111" t="inlineStr">
        <is>
          <t>Energy, Power &amp; Utilities</t>
        </is>
      </c>
      <c r="C29" s="87" t="inlineStr">
        <is>
          <t>Green power materials</t>
        </is>
      </c>
      <c r="D29" s="78">
        <f>_xlfn.XLOOKUP(표16[[#This Row],[specialty_category]],end_use_specialty!$I$2:$I$31,end_use_specialty!$J$2:$J$31)</f>
        <v/>
      </c>
      <c r="E29" s="36" t="inlineStr">
        <is>
          <t>태양광, 배터리, 전력저장, 전력 인프라 관련 소재</t>
        </is>
      </c>
      <c r="I29" s="29" t="inlineStr">
        <is>
          <t>Specialty films</t>
        </is>
      </c>
      <c r="J29" s="184" t="n">
        <v>0.0293771505285767</v>
      </c>
    </row>
    <row r="30">
      <c r="A30" s="110" t="inlineStr">
        <is>
          <t>E04</t>
        </is>
      </c>
      <c r="B30" s="111" t="inlineStr">
        <is>
          <t>Energy, Power &amp; Utilities</t>
        </is>
      </c>
      <c r="C30" s="87" t="inlineStr">
        <is>
          <t>Oil field chemicals</t>
        </is>
      </c>
      <c r="D30" s="78">
        <f>_xlfn.XLOOKUP(표16[[#This Row],[specialty_category]],end_use_specialty!$I$2:$I$31,end_use_specialty!$J$2:$J$31)</f>
        <v/>
      </c>
      <c r="E30" s="36" t="inlineStr">
        <is>
          <t>원유·가스전 생산, 회수율 향상, 부식·스케일 방지</t>
        </is>
      </c>
      <c r="I30" s="29" t="inlineStr">
        <is>
          <t>Textile chemicals</t>
        </is>
      </c>
      <c r="J30" s="184" t="n">
        <v>0.02597113398717322</v>
      </c>
    </row>
    <row r="31">
      <c r="A31" s="110" t="inlineStr">
        <is>
          <t>E04</t>
        </is>
      </c>
      <c r="B31" s="111" t="inlineStr">
        <is>
          <t>Energy, Power &amp; Utilities</t>
        </is>
      </c>
      <c r="C31" s="87" t="inlineStr">
        <is>
          <t>Petroleum refining/chemical process</t>
        </is>
      </c>
      <c r="D31" s="78">
        <f>_xlfn.XLOOKUP(표16[[#This Row],[specialty_category]],end_use_specialty!$I$2:$I$31,end_use_specialty!$J$2:$J$31)</f>
        <v/>
      </c>
      <c r="E31" s="36" t="inlineStr">
        <is>
          <t>정유·석화 공정 촉매, 공정 효율 개선 소재</t>
        </is>
      </c>
      <c r="I31" s="29" t="inlineStr">
        <is>
          <t>Water management chemicals</t>
        </is>
      </c>
      <c r="J31" s="184" t="n">
        <v>0.03093965696458148</v>
      </c>
    </row>
    <row r="32">
      <c r="A32" s="110" t="inlineStr">
        <is>
          <t>E04</t>
        </is>
      </c>
      <c r="B32" s="111" t="inlineStr">
        <is>
          <t>Energy, Power &amp; Utilities</t>
        </is>
      </c>
      <c r="C32" s="87" t="inlineStr">
        <is>
          <t>Emission control</t>
        </is>
      </c>
      <c r="D32" s="78">
        <f>_xlfn.XLOOKUP(표16[[#This Row],[specialty_category]],end_use_specialty!$I$2:$I$31,end_use_specialty!$J$2:$J$31)</f>
        <v/>
      </c>
      <c r="E32" s="36" t="inlineStr">
        <is>
          <t>발전소, 정유·석화 플랜트, 산업설비 배출가스 저감</t>
        </is>
      </c>
      <c r="I32" s="29" t="inlineStr">
        <is>
          <t>총합계</t>
        </is>
      </c>
      <c r="J32" s="184" t="n">
        <v>0.02983175412254405</v>
      </c>
    </row>
    <row r="33">
      <c r="A33" s="110" t="inlineStr">
        <is>
          <t>E04</t>
        </is>
      </c>
      <c r="B33" s="111" t="inlineStr">
        <is>
          <t>Energy, Power &amp; Utilities</t>
        </is>
      </c>
      <c r="C33" s="87" t="inlineStr">
        <is>
          <t>Water management chemicals</t>
        </is>
      </c>
      <c r="D33" s="78">
        <f>_xlfn.XLOOKUP(표16[[#This Row],[specialty_category]],end_use_specialty!$I$2:$I$31,end_use_specialty!$J$2:$J$31)</f>
        <v/>
      </c>
      <c r="E33" s="36" t="inlineStr">
        <is>
          <t>발전소, 정유·석화, 가스처리 설비의 공정수·폐수처리</t>
        </is>
      </c>
    </row>
    <row r="34">
      <c r="A34" s="110" t="inlineStr">
        <is>
          <t>E04</t>
        </is>
      </c>
      <c r="B34" s="111" t="inlineStr">
        <is>
          <t>Energy, Power &amp; Utilities</t>
        </is>
      </c>
      <c r="C34" s="87" t="inlineStr">
        <is>
          <t>Coatings, high-performance anticorrosion</t>
        </is>
      </c>
      <c r="D34" s="78">
        <f>_xlfn.XLOOKUP(표16[[#This Row],[specialty_category]],end_use_specialty!$I$2:$I$31,end_use_specialty!$J$2:$J$31)</f>
        <v/>
      </c>
      <c r="E34" s="36" t="inlineStr">
        <is>
          <t>에너지 설비, 저장탱크, 배관, 해양플랜트 부식 방지</t>
        </is>
      </c>
    </row>
    <row r="35">
      <c r="A35" s="33" t="inlineStr">
        <is>
          <t>E04</t>
        </is>
      </c>
      <c r="B35" s="34" t="inlineStr">
        <is>
          <t>Energy, Power &amp; Utilities</t>
        </is>
      </c>
      <c r="C35" s="87" t="inlineStr">
        <is>
          <t>Lubricants, synthetic</t>
        </is>
      </c>
      <c r="D35" s="78">
        <f>_xlfn.XLOOKUP(표16[[#This Row],[specialty_category]],end_use_specialty!$I$2:$I$31,end_use_specialty!$J$2:$J$31)</f>
        <v/>
      </c>
      <c r="E35" s="36" t="inlineStr">
        <is>
          <t>터빈, 압축기, 발전설비, 에너지 인프라 윤활</t>
        </is>
      </c>
    </row>
    <row r="36">
      <c r="A36" s="33" t="inlineStr">
        <is>
          <t>E04</t>
        </is>
      </c>
      <c r="B36" s="34" t="inlineStr">
        <is>
          <t>Energy, Power &amp; Utilities</t>
        </is>
      </c>
      <c r="C36" s="87" t="inlineStr">
        <is>
          <t>Lubricating oil additives</t>
        </is>
      </c>
      <c r="D36" s="78">
        <f>_xlfn.XLOOKUP(표16[[#This Row],[specialty_category]],end_use_specialty!$I$2:$I$31,end_use_specialty!$J$2:$J$31)</f>
        <v/>
      </c>
      <c r="E36" s="36" t="inlineStr">
        <is>
          <t>산업·에너지 설비용 윤활유 성능 개선</t>
        </is>
      </c>
    </row>
    <row r="37">
      <c r="A37" s="33" t="inlineStr">
        <is>
          <t>E04</t>
        </is>
      </c>
      <c r="B37" s="34" t="inlineStr">
        <is>
          <t>Energy, Power &amp; Utilities</t>
        </is>
      </c>
      <c r="C37" s="87" t="inlineStr">
        <is>
          <t>Mining chemicals</t>
        </is>
      </c>
      <c r="D37" s="78">
        <f>_xlfn.XLOOKUP(표16[[#This Row],[specialty_category]],end_use_specialty!$I$2:$I$31,end_use_specialty!$J$2:$J$31)</f>
        <v/>
      </c>
      <c r="E37" s="36" t="inlineStr">
        <is>
          <t>에너지·자원 채굴과 연결되는 광물 처리 화학소재</t>
        </is>
      </c>
    </row>
    <row r="38">
      <c r="A38" s="33" t="inlineStr">
        <is>
          <t>E05</t>
        </is>
      </c>
      <c r="B38" s="34" t="inlineStr">
        <is>
          <t>Healthcare &amp; Life Sciences</t>
        </is>
      </c>
      <c r="C38" s="87" t="inlineStr">
        <is>
          <t>Nutraceutical ingredients</t>
        </is>
      </c>
      <c r="D38" s="78">
        <f>_xlfn.XLOOKUP(표16[[#This Row],[specialty_category]],end_use_specialty!$I$2:$I$31,end_use_specialty!$J$2:$J$31)</f>
        <v/>
      </c>
      <c r="E38" s="36" t="inlineStr">
        <is>
          <t>건강기능식품, 기능성 식품 원료</t>
        </is>
      </c>
    </row>
    <row r="39">
      <c r="A39" s="33" t="inlineStr">
        <is>
          <t>E05</t>
        </is>
      </c>
      <c r="B39" s="34" t="inlineStr">
        <is>
          <t>Healthcare &amp; Life Sciences</t>
        </is>
      </c>
      <c r="C39" s="87" t="inlineStr">
        <is>
          <t>Food additives</t>
        </is>
      </c>
      <c r="D39" s="78">
        <f>_xlfn.XLOOKUP(표16[[#This Row],[specialty_category]],end_use_specialty!$I$2:$I$31,end_use_specialty!$J$2:$J$31)</f>
        <v/>
      </c>
      <c r="E39" s="36" t="inlineStr">
        <is>
          <t>건강·기능성 식품, 식품 안정화 소재</t>
        </is>
      </c>
    </row>
    <row r="40">
      <c r="A40" s="33" t="inlineStr">
        <is>
          <t>E05</t>
        </is>
      </c>
      <c r="B40" s="34" t="inlineStr">
        <is>
          <t>Healthcare &amp; Life Sciences</t>
        </is>
      </c>
      <c r="C40" s="87" t="inlineStr">
        <is>
          <t>Specialty films</t>
        </is>
      </c>
      <c r="D40" s="78">
        <f>_xlfn.XLOOKUP(표16[[#This Row],[specialty_category]],end_use_specialty!$I$2:$I$31,end_use_specialty!$J$2:$J$31)</f>
        <v/>
      </c>
      <c r="E40" s="36" t="inlineStr">
        <is>
          <t>의료용 필름, 보호필름, 포장필름, 멸균 포장재</t>
        </is>
      </c>
    </row>
    <row r="41">
      <c r="A41" s="33" t="inlineStr">
        <is>
          <t>E05</t>
        </is>
      </c>
      <c r="B41" s="34" t="inlineStr">
        <is>
          <t>Healthcare &amp; Life Sciences</t>
        </is>
      </c>
      <c r="C41" s="87" t="inlineStr">
        <is>
          <t>High-performance thermoplastics</t>
        </is>
      </c>
      <c r="D41" s="78">
        <f>_xlfn.XLOOKUP(표16[[#This Row],[specialty_category]],end_use_specialty!$I$2:$I$31,end_use_specialty!$J$2:$J$31)</f>
        <v/>
      </c>
      <c r="E41" s="36" t="inlineStr">
        <is>
          <t>의료기기, 진단장비, 고내열·고청정 플라스틱 부품</t>
        </is>
      </c>
    </row>
    <row r="42">
      <c r="A42" s="33" t="inlineStr">
        <is>
          <t>E05</t>
        </is>
      </c>
      <c r="B42" s="34" t="inlineStr">
        <is>
          <t>Healthcare &amp; Life Sciences</t>
        </is>
      </c>
      <c r="C42" s="87" t="inlineStr">
        <is>
          <t>Flavors and fragrances</t>
        </is>
      </c>
      <c r="D42" s="78">
        <f>_xlfn.XLOOKUP(표16[[#This Row],[specialty_category]],end_use_specialty!$I$2:$I$31,end_use_specialty!$J$2:$J$31)</f>
        <v/>
      </c>
      <c r="E42" s="36" t="inlineStr">
        <is>
          <t>의약외품, 건강식품, 퍼스널케어 제품 향미·향료 소재</t>
        </is>
      </c>
    </row>
    <row r="43">
      <c r="A43" s="33" t="inlineStr">
        <is>
          <t>E05</t>
        </is>
      </c>
      <c r="B43" s="34" t="inlineStr">
        <is>
          <t>Healthcare &amp; Life Sciences</t>
        </is>
      </c>
      <c r="C43" s="87" t="inlineStr">
        <is>
          <t>Cosmetic/personal care chemicals</t>
        </is>
      </c>
      <c r="D43" s="78">
        <f>_xlfn.XLOOKUP(표16[[#This Row],[specialty_category]],end_use_specialty!$I$2:$I$31,end_use_specialty!$J$2:$J$31)</f>
        <v/>
      </c>
      <c r="E43" s="36" t="inlineStr">
        <is>
          <t>피부·위생·개인관리 제품과 일부 헬스케어 접점</t>
        </is>
      </c>
    </row>
    <row r="44">
      <c r="A44" s="33" t="inlineStr">
        <is>
          <t>E06</t>
        </is>
      </c>
      <c r="B44" s="34" t="inlineStr">
        <is>
          <t>Agriculture</t>
        </is>
      </c>
      <c r="C44" s="87" t="inlineStr">
        <is>
          <t>Feed additives</t>
        </is>
      </c>
      <c r="D44" s="78">
        <f>_xlfn.XLOOKUP(표16[[#This Row],[specialty_category]],end_use_specialty!$I$2:$I$31,end_use_specialty!$J$2:$J$31)</f>
        <v/>
      </c>
      <c r="E44" s="36" t="inlineStr">
        <is>
          <t>축산·사료용 기능성 첨가제</t>
        </is>
      </c>
    </row>
    <row r="45">
      <c r="A45" s="33" t="inlineStr">
        <is>
          <t>E06</t>
        </is>
      </c>
      <c r="B45" s="34" t="inlineStr">
        <is>
          <t>Agriculture</t>
        </is>
      </c>
      <c r="C45" s="87" t="inlineStr">
        <is>
          <t>Specialty films</t>
        </is>
      </c>
      <c r="D45" s="78">
        <f>_xlfn.XLOOKUP(표16[[#This Row],[specialty_category]],end_use_specialty!$I$2:$I$31,end_use_specialty!$J$2:$J$31)</f>
        <v/>
      </c>
      <c r="E45" s="36" t="inlineStr">
        <is>
          <t>농업용 필름, 하우스 필름, 멀칭 필름</t>
        </is>
      </c>
    </row>
    <row r="46">
      <c r="A46" s="33" t="inlineStr">
        <is>
          <t>E06</t>
        </is>
      </c>
      <c r="B46" s="34" t="inlineStr">
        <is>
          <t>Agriculture</t>
        </is>
      </c>
      <c r="C46" s="87" t="inlineStr">
        <is>
          <t>Plastics additives</t>
        </is>
      </c>
      <c r="D46" s="78">
        <f>_xlfn.XLOOKUP(표16[[#This Row],[specialty_category]],end_use_specialty!$I$2:$I$31,end_use_specialty!$J$2:$J$31)</f>
        <v/>
      </c>
      <c r="E46" s="36" t="inlineStr">
        <is>
          <t>농업용 필름의 내후성, 자외선 안정성, 수명 개선</t>
        </is>
      </c>
    </row>
    <row r="47">
      <c r="A47" s="33" t="inlineStr">
        <is>
          <t>E06</t>
        </is>
      </c>
      <c r="B47" s="34" t="inlineStr">
        <is>
          <t>Agriculture</t>
        </is>
      </c>
      <c r="C47" s="87" t="inlineStr">
        <is>
          <t>Water management chemicals</t>
        </is>
      </c>
      <c r="D47" s="78">
        <f>_xlfn.XLOOKUP(표16[[#This Row],[specialty_category]],end_use_specialty!$I$2:$I$31,end_use_specialty!$J$2:$J$31)</f>
        <v/>
      </c>
      <c r="E47" s="36" t="inlineStr">
        <is>
          <t>농업용수 처리, 관개 시스템, 수질 관리와 일부 연결</t>
        </is>
      </c>
    </row>
    <row r="48">
      <c r="A48" s="33" t="inlineStr">
        <is>
          <t>E06</t>
        </is>
      </c>
      <c r="B48" s="34" t="inlineStr">
        <is>
          <t>Agriculture</t>
        </is>
      </c>
      <c r="C48" s="87" t="inlineStr">
        <is>
          <t>Food additives</t>
        </is>
      </c>
      <c r="D48" s="78">
        <f>_xlfn.XLOOKUP(표16[[#This Row],[specialty_category]],end_use_specialty!$I$2:$I$31,end_use_specialty!$J$2:$J$31)</f>
        <v/>
      </c>
      <c r="E48" s="36" t="inlineStr">
        <is>
          <t>농산물 가공·식품화 단계에서 간접 연결 가능</t>
        </is>
      </c>
    </row>
    <row r="49">
      <c r="A49" s="33" t="inlineStr">
        <is>
          <t>E07</t>
        </is>
      </c>
      <c r="B49" s="34" t="inlineStr">
        <is>
          <t>Industrial Goods &amp; Advanced Manufacturing</t>
        </is>
      </c>
      <c r="C49" s="87" t="inlineStr">
        <is>
          <t>Coatings, radiation curable</t>
        </is>
      </c>
      <c r="D49" s="78">
        <f>_xlfn.XLOOKUP(표16[[#This Row],[specialty_category]],end_use_specialty!$I$2:$I$31,end_use_specialty!$J$2:$J$31)</f>
        <v/>
      </c>
      <c r="E49" s="36" t="inlineStr">
        <is>
          <t>산업재 표면처리, UV 경화 코팅, 고속 생산라인 적용</t>
        </is>
      </c>
    </row>
    <row r="50">
      <c r="A50" s="33" t="inlineStr">
        <is>
          <t>E07</t>
        </is>
      </c>
      <c r="B50" s="34" t="inlineStr">
        <is>
          <t>Industrial Goods &amp; Advanced Manufacturing</t>
        </is>
      </c>
      <c r="C50" s="87" t="inlineStr">
        <is>
          <t>Coatings, thermosetting powder</t>
        </is>
      </c>
      <c r="D50" s="78">
        <f>_xlfn.XLOOKUP(표16[[#This Row],[specialty_category]],end_use_specialty!$I$2:$I$31,end_use_specialty!$J$2:$J$31)</f>
        <v/>
      </c>
      <c r="E50" s="36" t="inlineStr">
        <is>
          <t>산업기계, 금속부품, 가전, 설비 코팅</t>
        </is>
      </c>
    </row>
    <row r="51">
      <c r="A51" s="33" t="inlineStr">
        <is>
          <t>E07</t>
        </is>
      </c>
      <c r="B51" s="34" t="inlineStr">
        <is>
          <t>Industrial Goods &amp; Advanced Manufacturing</t>
        </is>
      </c>
      <c r="C51" s="87" t="inlineStr">
        <is>
          <t>Coatings, high-performance anticorrosion</t>
        </is>
      </c>
      <c r="D51" s="78">
        <f>_xlfn.XLOOKUP(표16[[#This Row],[specialty_category]],end_use_specialty!$I$2:$I$31,end_use_specialty!$J$2:$J$31)</f>
        <v/>
      </c>
      <c r="E51" s="36" t="inlineStr">
        <is>
          <t>플랜트, 선박, 중장비, 산업설비 부식 방지</t>
        </is>
      </c>
    </row>
    <row r="52">
      <c r="A52" s="33" t="inlineStr">
        <is>
          <t>E07</t>
        </is>
      </c>
      <c r="B52" s="34" t="inlineStr">
        <is>
          <t>Industrial Goods &amp; Advanced Manufacturing</t>
        </is>
      </c>
      <c r="C52" s="87" t="inlineStr">
        <is>
          <t>Cleaners, industrial and institutional</t>
        </is>
      </c>
      <c r="D52" s="78">
        <f>_xlfn.XLOOKUP(표16[[#This Row],[specialty_category]],end_use_specialty!$I$2:$I$31,end_use_specialty!$J$2:$J$31)</f>
        <v/>
      </c>
      <c r="E52" s="36" t="inlineStr">
        <is>
          <t>산업·상업용 세정제, 설비 세정, 표면처리 전처리</t>
        </is>
      </c>
    </row>
    <row r="53">
      <c r="A53" s="33" t="inlineStr">
        <is>
          <t>E07</t>
        </is>
      </c>
      <c r="B53" s="34" t="inlineStr">
        <is>
          <t>Industrial Goods &amp; Advanced Manufacturing</t>
        </is>
      </c>
      <c r="C53" s="87" t="inlineStr">
        <is>
          <t>Lubricants, synthetic</t>
        </is>
      </c>
      <c r="D53" s="78">
        <f>_xlfn.XLOOKUP(표16[[#This Row],[specialty_category]],end_use_specialty!$I$2:$I$31,end_use_specialty!$J$2:$J$31)</f>
        <v/>
      </c>
      <c r="E53" s="36" t="inlineStr">
        <is>
          <t>산업기계, 압축기, 터빈, 고성능 윤활 수요</t>
        </is>
      </c>
    </row>
    <row r="54">
      <c r="A54" s="33" t="inlineStr">
        <is>
          <t>E07</t>
        </is>
      </c>
      <c r="B54" s="34" t="inlineStr">
        <is>
          <t>Industrial Goods &amp; Advanced Manufacturing</t>
        </is>
      </c>
      <c r="C54" s="87" t="inlineStr">
        <is>
          <t>Lubricating oil additives</t>
        </is>
      </c>
      <c r="D54" s="78">
        <f>_xlfn.XLOOKUP(표16[[#This Row],[specialty_category]],end_use_specialty!$I$2:$I$31,end_use_specialty!$J$2:$J$31)</f>
        <v/>
      </c>
      <c r="E54" s="36" t="inlineStr">
        <is>
          <t>산업용 윤활유 성능 개선</t>
        </is>
      </c>
    </row>
    <row r="55">
      <c r="A55" s="33" t="inlineStr">
        <is>
          <t>E07</t>
        </is>
      </c>
      <c r="B55" s="34" t="inlineStr">
        <is>
          <t>Industrial Goods &amp; Advanced Manufacturing</t>
        </is>
      </c>
      <c r="C55" s="87" t="inlineStr">
        <is>
          <t>Mining chemicals</t>
        </is>
      </c>
      <c r="D55" s="78">
        <f>_xlfn.XLOOKUP(표16[[#This Row],[specialty_category]],end_use_specialty!$I$2:$I$31,end_use_specialty!$J$2:$J$31)</f>
        <v/>
      </c>
      <c r="E55" s="36" t="inlineStr">
        <is>
          <t>광물 채굴·선광·정제 공정용 화학소재</t>
        </is>
      </c>
    </row>
    <row r="56">
      <c r="A56" s="33" t="inlineStr">
        <is>
          <t>E07</t>
        </is>
      </c>
      <c r="B56" s="34" t="inlineStr">
        <is>
          <t>Industrial Goods &amp; Advanced Manufacturing</t>
        </is>
      </c>
      <c r="C56" s="87" t="inlineStr">
        <is>
          <t>Petroleum refining/chemical process</t>
        </is>
      </c>
      <c r="D56" s="78">
        <f>_xlfn.XLOOKUP(표16[[#This Row],[specialty_category]],end_use_specialty!$I$2:$I$31,end_use_specialty!$J$2:$J$31)</f>
        <v/>
      </c>
      <c r="E56" s="36" t="inlineStr">
        <is>
          <t>산업공정 촉매, 정유·석화 공정 효율화</t>
        </is>
      </c>
    </row>
    <row r="57">
      <c r="A57" s="33" t="inlineStr">
        <is>
          <t>E07</t>
        </is>
      </c>
      <c r="B57" s="34" t="inlineStr">
        <is>
          <t>Industrial Goods &amp; Advanced Manufacturing</t>
        </is>
      </c>
      <c r="C57" s="87" t="inlineStr">
        <is>
          <t>Compounded engineering thermoplastics</t>
        </is>
      </c>
      <c r="D57" s="78">
        <f>_xlfn.XLOOKUP(표16[[#This Row],[specialty_category]],end_use_specialty!$I$2:$I$31,end_use_specialty!$J$2:$J$31)</f>
        <v/>
      </c>
      <c r="E57" s="36" t="inlineStr">
        <is>
          <t>산업용 부품, 기계부품, 내열·내마모 소재</t>
        </is>
      </c>
    </row>
    <row r="58">
      <c r="A58" s="33" t="inlineStr">
        <is>
          <t>E07</t>
        </is>
      </c>
      <c r="B58" s="34" t="inlineStr">
        <is>
          <t>Industrial Goods &amp; Advanced Manufacturing</t>
        </is>
      </c>
      <c r="C58" s="87" t="inlineStr">
        <is>
          <t>Rubber-processing chemicals</t>
        </is>
      </c>
      <c r="D58" s="78">
        <f>_xlfn.XLOOKUP(표16[[#This Row],[specialty_category]],end_use_specialty!$I$2:$I$31,end_use_specialty!$J$2:$J$31)</f>
        <v/>
      </c>
      <c r="E58" s="36" t="inlineStr">
        <is>
          <t>산업용 고무부품, 벨트, 씰, 호스</t>
        </is>
      </c>
    </row>
    <row r="59">
      <c r="A59" s="33" t="inlineStr">
        <is>
          <t>E07</t>
        </is>
      </c>
      <c r="B59" s="34" t="inlineStr">
        <is>
          <t>Industrial Goods &amp; Advanced Manufacturing</t>
        </is>
      </c>
      <c r="C59" s="87" t="inlineStr">
        <is>
          <t>Textile chemicals</t>
        </is>
      </c>
      <c r="D59" s="78">
        <f>_xlfn.XLOOKUP(표16[[#This Row],[specialty_category]],end_use_specialty!$I$2:$I$31,end_use_specialty!$J$2:$J$31)</f>
        <v/>
      </c>
      <c r="E59" s="36" t="inlineStr">
        <is>
          <t>산업용 섬유, 코팅 섬유, 기능성 섬유 가공</t>
        </is>
      </c>
    </row>
    <row r="60">
      <c r="A60" s="33" t="inlineStr">
        <is>
          <t>E07</t>
        </is>
      </c>
      <c r="B60" s="34" t="inlineStr">
        <is>
          <t>Industrial Goods &amp; Advanced Manufacturing</t>
        </is>
      </c>
      <c r="C60" s="87" t="inlineStr">
        <is>
          <t>Printing inks</t>
        </is>
      </c>
      <c r="D60" s="78">
        <f>_xlfn.XLOOKUP(표16[[#This Row],[specialty_category]],end_use_specialty!$I$2:$I$31,end_use_specialty!$J$2:$J$31)</f>
        <v/>
      </c>
      <c r="E60" s="36" t="inlineStr">
        <is>
          <t>산업용 마킹, 패키징 인쇄, 기능성 인쇄</t>
        </is>
      </c>
    </row>
    <row r="61">
      <c r="A61" s="33" t="inlineStr">
        <is>
          <t>E07</t>
        </is>
      </c>
      <c r="B61" s="34" t="inlineStr">
        <is>
          <t>Industrial Goods &amp; Advanced Manufacturing</t>
        </is>
      </c>
      <c r="C61" s="87" t="inlineStr">
        <is>
          <t>Paper chemicals</t>
        </is>
      </c>
      <c r="D61" s="78">
        <f>_xlfn.XLOOKUP(표16[[#This Row],[specialty_category]],end_use_specialty!$I$2:$I$31,end_use_specialty!$J$2:$J$31)</f>
        <v/>
      </c>
      <c r="E61" s="36" t="inlineStr">
        <is>
          <t>산업용지, 포장지, 특수지 제조</t>
        </is>
      </c>
    </row>
    <row r="62">
      <c r="A62" s="33" t="inlineStr">
        <is>
          <t>E07</t>
        </is>
      </c>
      <c r="B62" s="34" t="inlineStr">
        <is>
          <t>Industrial Goods &amp; Advanced Manufacturing</t>
        </is>
      </c>
      <c r="C62" s="87" t="inlineStr">
        <is>
          <t>Specialty adhesives and sealants</t>
        </is>
      </c>
      <c r="D62" s="78">
        <f>_xlfn.XLOOKUP(표16[[#This Row],[specialty_category]],end_use_specialty!$I$2:$I$31,end_use_specialty!$J$2:$J$31)</f>
        <v/>
      </c>
      <c r="E62" s="36" t="inlineStr">
        <is>
          <t>산업재 조립, 접합, 실링</t>
        </is>
      </c>
    </row>
    <row r="63">
      <c r="A63" s="33" t="inlineStr">
        <is>
          <t>E07</t>
        </is>
      </c>
      <c r="B63" s="34" t="inlineStr">
        <is>
          <t>Industrial Goods &amp; Advanced Manufacturing</t>
        </is>
      </c>
      <c r="C63" s="87" t="inlineStr">
        <is>
          <t>Water management chemicals</t>
        </is>
      </c>
      <c r="D63" s="78">
        <f>_xlfn.XLOOKUP(표16[[#This Row],[specialty_category]],end_use_specialty!$I$2:$I$31,end_use_specialty!$J$2:$J$31)</f>
        <v/>
      </c>
      <c r="E63" s="36" t="inlineStr">
        <is>
          <t>산업공정 수처리, 폐수처리</t>
        </is>
      </c>
    </row>
    <row r="64">
      <c r="A64" s="33" t="inlineStr">
        <is>
          <t>E07</t>
        </is>
      </c>
      <c r="B64" s="34" t="inlineStr">
        <is>
          <t>Industrial Goods &amp; Advanced Manufacturing</t>
        </is>
      </c>
      <c r="C64" s="87" t="inlineStr">
        <is>
          <t>High-performance thermoplastics</t>
        </is>
      </c>
      <c r="D64" s="78">
        <f>_xlfn.XLOOKUP(표16[[#This Row],[specialty_category]],end_use_specialty!$I$2:$I$31,end_use_specialty!$J$2:$J$31)</f>
        <v/>
      </c>
      <c r="E64" s="36" t="inlineStr">
        <is>
          <t>고성능 산업부품, 내열·내화학 부품</t>
        </is>
      </c>
    </row>
    <row r="65" ht="33" customHeight="1" s="179">
      <c r="A65" s="33" t="inlineStr">
        <is>
          <t>E08</t>
        </is>
      </c>
      <c r="B65" s="34" t="inlineStr">
        <is>
          <t>Electronics, Semiconductors &amp; Digital Infrastructure</t>
        </is>
      </c>
      <c r="C65" s="87" t="inlineStr">
        <is>
          <t>Semiconductors, silicon and IC process chemicals</t>
        </is>
      </c>
      <c r="D65" s="78">
        <f>_xlfn.XLOOKUP(표16[[#This Row],[specialty_category]],end_use_specialty!$I$2:$I$31,end_use_specialty!$J$2:$J$31)</f>
        <v/>
      </c>
      <c r="E65" s="36" t="inlineStr">
        <is>
          <t>반도체 제조공정용 초고순도 전자화학 소재</t>
        </is>
      </c>
    </row>
    <row r="66">
      <c r="A66" s="33" t="inlineStr">
        <is>
          <t>E08</t>
        </is>
      </c>
      <c r="B66" s="34" t="inlineStr">
        <is>
          <t>Electronics, Semiconductors &amp; Digital Infrastructure</t>
        </is>
      </c>
      <c r="C66" s="87" t="inlineStr">
        <is>
          <t>Display materials</t>
        </is>
      </c>
      <c r="D66" s="78">
        <f>_xlfn.XLOOKUP(표16[[#This Row],[specialty_category]],end_use_specialty!$I$2:$I$31,end_use_specialty!$J$2:$J$31)</f>
        <v/>
      </c>
      <c r="E66" s="36" t="inlineStr">
        <is>
          <t>LCD/OLED 등 디스플레이 소재</t>
        </is>
      </c>
    </row>
    <row r="67">
      <c r="A67" s="33" t="inlineStr">
        <is>
          <t>E08</t>
        </is>
      </c>
      <c r="B67" s="34" t="inlineStr">
        <is>
          <t>Electronics, Semiconductors &amp; Digital Infrastructure</t>
        </is>
      </c>
      <c r="C67" s="87" t="inlineStr">
        <is>
          <t>Printed circuit boards and packaging</t>
        </is>
      </c>
      <c r="D67" s="78">
        <f>_xlfn.XLOOKUP(표16[[#This Row],[specialty_category]],end_use_specialty!$I$2:$I$31,end_use_specialty!$J$2:$J$31)</f>
        <v/>
      </c>
      <c r="E67" s="36" t="inlineStr">
        <is>
          <t>PCB, 반도체 패키징, 전자부품 기판 소재</t>
        </is>
      </c>
    </row>
    <row r="68">
      <c r="A68" s="33" t="inlineStr">
        <is>
          <t>E08</t>
        </is>
      </c>
      <c r="B68" s="34" t="inlineStr">
        <is>
          <t>Electronics, Semiconductors &amp; Digital Infrastructure</t>
        </is>
      </c>
      <c r="C68" s="87" t="inlineStr">
        <is>
          <t>Specialty films</t>
        </is>
      </c>
      <c r="D68" s="78">
        <f>_xlfn.XLOOKUP(표16[[#This Row],[specialty_category]],end_use_specialty!$I$2:$I$31,end_use_specialty!$J$2:$J$31)</f>
        <v/>
      </c>
      <c r="E68" s="36" t="inlineStr">
        <is>
          <t>디스플레이 필름, 보호필름, 광학필름, 전자재료용 필름</t>
        </is>
      </c>
    </row>
    <row r="69">
      <c r="A69" s="33" t="inlineStr">
        <is>
          <t>E08</t>
        </is>
      </c>
      <c r="B69" s="34" t="inlineStr">
        <is>
          <t>Electronics, Semiconductors &amp; Digital Infrastructure</t>
        </is>
      </c>
      <c r="C69" s="87" t="inlineStr">
        <is>
          <t>High-performance thermoplastics</t>
        </is>
      </c>
      <c r="D69" s="78">
        <f>_xlfn.XLOOKUP(표16[[#This Row],[specialty_category]],end_use_specialty!$I$2:$I$31,end_use_specialty!$J$2:$J$31)</f>
        <v/>
      </c>
      <c r="E69" s="36" t="inlineStr">
        <is>
          <t>전자부품, 커넥터, 절연재, 고내열 플라스틱</t>
        </is>
      </c>
    </row>
    <row r="70">
      <c r="A70" s="33" t="inlineStr">
        <is>
          <t>E08</t>
        </is>
      </c>
      <c r="B70" s="34" t="inlineStr">
        <is>
          <t>Electronics, Semiconductors &amp; Digital Infrastructure</t>
        </is>
      </c>
      <c r="C70" s="87" t="inlineStr">
        <is>
          <t>Compounded engineering thermoplastics</t>
        </is>
      </c>
      <c r="D70" s="78">
        <f>_xlfn.XLOOKUP(표16[[#This Row],[specialty_category]],end_use_specialty!$I$2:$I$31,end_use_specialty!$J$2:$J$31)</f>
        <v/>
      </c>
      <c r="E70" s="36" t="inlineStr">
        <is>
          <t>전기전자 부품용 엔지니어링 플라스틱 컴파운드</t>
        </is>
      </c>
    </row>
    <row r="71">
      <c r="A71" s="33" t="inlineStr">
        <is>
          <t>E08</t>
        </is>
      </c>
      <c r="B71" s="34" t="inlineStr">
        <is>
          <t>Electronics, Semiconductors &amp; Digital Infrastructure</t>
        </is>
      </c>
      <c r="C71" s="87" t="inlineStr">
        <is>
          <t>Plastics additives</t>
        </is>
      </c>
      <c r="D71" s="78">
        <f>_xlfn.XLOOKUP(표16[[#This Row],[specialty_category]],end_use_specialty!$I$2:$I$31,end_use_specialty!$J$2:$J$31)</f>
        <v/>
      </c>
      <c r="E71" s="36" t="inlineStr">
        <is>
          <t>난연제, 안정제, 대전방지제 등 전자재료용 플라스틱 성능 개선</t>
        </is>
      </c>
    </row>
    <row r="72">
      <c r="A72" s="33" t="inlineStr">
        <is>
          <t>E08</t>
        </is>
      </c>
      <c r="B72" s="34" t="inlineStr">
        <is>
          <t>Electronics, Semiconductors &amp; Digital Infrastructure</t>
        </is>
      </c>
      <c r="C72" s="87" t="inlineStr">
        <is>
          <t>Specialty adhesives and sealants</t>
        </is>
      </c>
      <c r="D72" s="78">
        <f>_xlfn.XLOOKUP(표16[[#This Row],[specialty_category]],end_use_specialty!$I$2:$I$31,end_use_specialty!$J$2:$J$31)</f>
        <v/>
      </c>
      <c r="E72" s="36" t="inlineStr">
        <is>
          <t>전자부품 접착, 디스플레이 접합, 반도체 패키징 보조소재</t>
        </is>
      </c>
    </row>
    <row r="73">
      <c r="A73" s="33" t="inlineStr">
        <is>
          <t>E08</t>
        </is>
      </c>
      <c r="B73" s="34" t="inlineStr">
        <is>
          <t>Electronics, Semiconductors &amp; Digital Infrastructure</t>
        </is>
      </c>
      <c r="C73" s="87" t="inlineStr">
        <is>
          <t>Coatings, radiation curable</t>
        </is>
      </c>
      <c r="D73" s="78">
        <f>_xlfn.XLOOKUP(표16[[#This Row],[specialty_category]],end_use_specialty!$I$2:$I$31,end_use_specialty!$J$2:$J$31)</f>
        <v/>
      </c>
      <c r="E73" s="36" t="inlineStr">
        <is>
          <t>전자부품 보호코팅, 디스플레이·필름 코팅</t>
        </is>
      </c>
    </row>
    <row r="75">
      <c r="B75" s="32" t="inlineStr">
        <is>
          <t>end_use_category</t>
        </is>
      </c>
      <c r="C75" s="85" t="inlineStr">
        <is>
          <t>specialty_counts</t>
        </is>
      </c>
      <c r="D75" s="32" t="inlineStr">
        <is>
          <t>speacialty_avg_cagr</t>
        </is>
      </c>
      <c r="E75" s="32" t="inlineStr">
        <is>
          <t>specialty_linkage_score</t>
        </is>
      </c>
    </row>
    <row r="76">
      <c r="B76" s="83">
        <f t="array" ref="B76:B83">_xlfn.UNIQUE(표16[end_use_category])</f>
        <v/>
      </c>
      <c r="C76" s="88">
        <f>COUNTIF(표16[end_use_category],B76)</f>
        <v/>
      </c>
      <c r="D76" s="185">
        <f>AVERAGEIF(표16[end_use_category],B76,표16[specialty_cagr])</f>
        <v/>
      </c>
      <c r="E76" s="186">
        <f>50*
((C76-MIN($C$76:$C$83))/
(MAX($C$76:$C$83)-MIN($C$76:$C$83)))
+
50*
((D76-MIN($D$76:$D$83))/
(MAX($D$76:$D$83)-MIN($D$76:$D$83)))</f>
        <v/>
      </c>
    </row>
    <row r="77">
      <c r="B77" s="109" t="inlineStr">
        <is>
          <t>Consumer Products &amp; Packaging</t>
        </is>
      </c>
      <c r="C77" s="88">
        <f>COUNTIF(표16[end_use_category],B77)</f>
        <v/>
      </c>
      <c r="D77" s="185">
        <f>AVERAGEIF(표16[end_use_category],B77,표16[specialty_cagr])</f>
        <v/>
      </c>
      <c r="E77" s="186">
        <f>50*
((C77-MIN($C$76:$C$83))/
(MAX($C$76:$C$83)-MIN($C$76:$C$83)))
+
50*
((D77-MIN($D$76:$D$83))/
(MAX($D$76:$D$83)-MIN($D$76:$D$83)))</f>
        <v/>
      </c>
    </row>
    <row r="78">
      <c r="B78" s="109" t="inlineStr">
        <is>
          <t>Automotive &amp; Future Mobility</t>
        </is>
      </c>
      <c r="C78" s="88">
        <f>COUNTIF(표16[end_use_category],B78)</f>
        <v/>
      </c>
      <c r="D78" s="185">
        <f>AVERAGEIF(표16[end_use_category],B78,표16[specialty_cagr])</f>
        <v/>
      </c>
      <c r="E78" s="186">
        <f>50*
((C78-MIN($C$76:$C$83))/
(MAX($C$76:$C$83)-MIN($C$76:$C$83)))
+
50*
((D78-MIN($D$76:$D$83))/
(MAX($D$76:$D$83)-MIN($D$76:$D$83)))</f>
        <v/>
      </c>
    </row>
    <row r="79">
      <c r="B79" s="83" t="inlineStr">
        <is>
          <t>Energy, Power &amp; Utilities</t>
        </is>
      </c>
      <c r="C79" s="88">
        <f>COUNTIF(표16[end_use_category],B79)</f>
        <v/>
      </c>
      <c r="D79" s="185">
        <f>AVERAGEIF(표16[end_use_category],B79,표16[specialty_cagr])</f>
        <v/>
      </c>
      <c r="E79" s="186">
        <f>50*
((C79-MIN($C$76:$C$83))/
(MAX($C$76:$C$83)-MIN($C$76:$C$83)))
+
50*
((D79-MIN($D$76:$D$83))/
(MAX($D$76:$D$83)-MIN($D$76:$D$83)))</f>
        <v/>
      </c>
    </row>
    <row r="80">
      <c r="B80" s="109" t="inlineStr">
        <is>
          <t>Healthcare &amp; Life Sciences</t>
        </is>
      </c>
      <c r="C80" s="88">
        <f>COUNTIF(표16[end_use_category],B80)</f>
        <v/>
      </c>
      <c r="D80" s="185">
        <f>AVERAGEIF(표16[end_use_category],B80,표16[specialty_cagr])</f>
        <v/>
      </c>
      <c r="E80" s="186">
        <f>50*
((C80-MIN($C$76:$C$83))/
(MAX($C$76:$C$83)-MIN($C$76:$C$83)))
+
50*
((D80-MIN($D$76:$D$83))/
(MAX($D$76:$D$83)-MIN($D$76:$D$83)))</f>
        <v/>
      </c>
    </row>
    <row r="81">
      <c r="B81" s="83" t="inlineStr">
        <is>
          <t>Agriculture</t>
        </is>
      </c>
      <c r="C81" s="88">
        <f>COUNTIF(표16[end_use_category],B81)</f>
        <v/>
      </c>
      <c r="D81" s="185">
        <f>AVERAGEIF(표16[end_use_category],B81,표16[specialty_cagr])</f>
        <v/>
      </c>
      <c r="E81" s="186">
        <f>50*
((C81-MIN($C$76:$C$83))/
(MAX($C$76:$C$83)-MIN($C$76:$C$83)))
+
50*
((D81-MIN($D$76:$D$83))/
(MAX($D$76:$D$83)-MIN($D$76:$D$83)))</f>
        <v/>
      </c>
    </row>
    <row r="82">
      <c r="B82" s="83" t="inlineStr">
        <is>
          <t>Industrial Goods &amp; Advanced Manufacturing</t>
        </is>
      </c>
      <c r="C82" s="88">
        <f>COUNTIF(표16[end_use_category],B82)</f>
        <v/>
      </c>
      <c r="D82" s="185">
        <f>AVERAGEIF(표16[end_use_category],B82,표16[specialty_cagr])</f>
        <v/>
      </c>
      <c r="E82" s="186">
        <f>50*
((C82-MIN($C$76:$C$83))/
(MAX($C$76:$C$83)-MIN($C$76:$C$83)))
+
50*
((D82-MIN($D$76:$D$83))/
(MAX($D$76:$D$83)-MIN($D$76:$D$83)))</f>
        <v/>
      </c>
    </row>
    <row r="83">
      <c r="B83" s="109" t="inlineStr">
        <is>
          <t>Electronics, Semiconductors &amp; Digital Infrastructure</t>
        </is>
      </c>
      <c r="C83" s="88">
        <f>COUNTIF(표16[end_use_category],B83)</f>
        <v/>
      </c>
      <c r="D83" s="185">
        <f>AVERAGEIF(표16[end_use_category],B83,표16[specialty_cagr])</f>
        <v/>
      </c>
      <c r="E83" s="186">
        <f>50*
((C83-MIN($C$76:$C$83))/
(MAX($C$76:$C$83)-MIN($C$76:$C$83)))
+
50*
((D83-MIN($D$76:$D$83))/
(MAX($D$76:$D$83)-MIN($D$76:$D$83)))</f>
        <v/>
      </c>
    </row>
    <row r="84">
      <c r="B84" s="114" t="inlineStr">
        <is>
          <t>Specialty 연관도를 ‘Specialty 수요의 폭(50점)’과 ‘평균 성장성(50점)’으로 평가함.</t>
        </is>
      </c>
      <c r="D84" s="187" t="n"/>
    </row>
    <row r="86" ht="66" customHeight="1" s="179">
      <c r="B86" s="92" t="inlineStr">
        <is>
          <t>Specialty Category</t>
        </is>
      </c>
      <c r="C86" s="93" t="inlineStr">
        <is>
          <t>Description</t>
        </is>
      </c>
      <c r="D86" s="93" t="inlineStr">
        <is>
          <t>CAGR</t>
        </is>
      </c>
      <c r="E86" s="93" t="inlineStr">
        <is>
          <t>Construction &amp; Infrastructure</t>
        </is>
      </c>
      <c r="F86" s="93" t="inlineStr">
        <is>
          <t>Consumer Products &amp; Packaging</t>
        </is>
      </c>
      <c r="G86" s="93" t="inlineStr">
        <is>
          <t>Automotive &amp; Future Mobility</t>
        </is>
      </c>
      <c r="H86" s="93" t="inlineStr">
        <is>
          <t>Energy, Power &amp; Utilities</t>
        </is>
      </c>
      <c r="I86" s="93" t="inlineStr">
        <is>
          <t>Healthcare &amp; Life Sciences</t>
        </is>
      </c>
      <c r="J86" s="93" t="inlineStr">
        <is>
          <t>Agriculture</t>
        </is>
      </c>
      <c r="K86" s="93" t="inlineStr">
        <is>
          <t>Industrial Goods &amp; Advanced Manufacturing</t>
        </is>
      </c>
      <c r="L86" s="93" t="inlineStr">
        <is>
          <t>Electronics, Semiconductors &amp; Digital Infrastructure</t>
        </is>
      </c>
    </row>
    <row r="87" ht="33" customHeight="1" s="179">
      <c r="B87" s="84" t="inlineStr">
        <is>
          <t>Semiconductors, silicon and IC process chemicals</t>
        </is>
      </c>
      <c r="C87" s="89" t="inlineStr">
        <is>
          <t>반도체(Chip) 제조 공정에 사용되는 초고순도 전자재료 및 공정용 화학 산업</t>
        </is>
      </c>
      <c r="D87" s="188">
        <f>_xlfn.XLOOKUP(B87,end_use_specialty!$I$2:$I$31,end_use_specialty!$J$2:$J$31)</f>
        <v/>
      </c>
      <c r="E87" s="189">
        <f>IFERROR(AVERAGEIFS(표16[specialty_cagr],표16[specialty_category],$B87,표16[end_use_category],E$86),"")</f>
        <v/>
      </c>
      <c r="F87" s="189">
        <f>IFERROR(AVERAGEIFS(표16[specialty_cagr],표16[specialty_category],$B87,표16[end_use_category],F$86),"")</f>
        <v/>
      </c>
      <c r="G87" s="189">
        <f>IFERROR(AVERAGEIFS(표16[specialty_cagr],표16[specialty_category],$B87,표16[end_use_category],G$86),"")</f>
        <v/>
      </c>
      <c r="H87" s="189">
        <f>IFERROR(AVERAGEIFS(표16[specialty_cagr],표16[specialty_category],$B87,표16[end_use_category],H$86),"")</f>
        <v/>
      </c>
      <c r="I87" s="189">
        <f>IFERROR(AVERAGEIFS(표16[specialty_cagr],표16[specialty_category],$B87,표16[end_use_category],I$86),"")</f>
        <v/>
      </c>
      <c r="J87" s="189">
        <f>IFERROR(AVERAGEIFS(표16[specialty_cagr],표16[specialty_category],$B87,표16[end_use_category],J$86),"")</f>
        <v/>
      </c>
      <c r="K87" s="189">
        <f>IFERROR(AVERAGEIFS(표16[specialty_cagr],표16[specialty_category],$B87,표16[end_use_category],K$86),"")</f>
        <v/>
      </c>
      <c r="L87" s="190">
        <f>IFERROR(AVERAGEIFS(표16[specialty_cagr],표16[specialty_category],$B87,표16[end_use_category],L$86),"")</f>
        <v/>
      </c>
    </row>
    <row r="88" ht="33" customHeight="1" s="179">
      <c r="B88" s="84" t="inlineStr">
        <is>
          <t>Display materials</t>
        </is>
      </c>
      <c r="C88" s="89" t="inlineStr">
        <is>
          <t>LCD/OLED 등 평판디스플레이(FPD) 제조에 사용되는 소재·화학 산업</t>
        </is>
      </c>
      <c r="D88" s="188">
        <f>_xlfn.XLOOKUP(B88,end_use_specialty!$I$2:$I$31,end_use_specialty!$J$2:$J$31)</f>
        <v/>
      </c>
      <c r="E88" s="189">
        <f>IFERROR(AVERAGEIFS(표16[specialty_cagr],표16[specialty_category],$B88,표16[end_use_category],E$86),"")</f>
        <v/>
      </c>
      <c r="F88" s="189">
        <f>IFERROR(AVERAGEIFS(표16[specialty_cagr],표16[specialty_category],$B88,표16[end_use_category],F$86),"")</f>
        <v/>
      </c>
      <c r="G88" s="189">
        <f>IFERROR(AVERAGEIFS(표16[specialty_cagr],표16[specialty_category],$B88,표16[end_use_category],G$86),"")</f>
        <v/>
      </c>
      <c r="H88" s="189">
        <f>IFERROR(AVERAGEIFS(표16[specialty_cagr],표16[specialty_category],$B88,표16[end_use_category],H$86),"")</f>
        <v/>
      </c>
      <c r="I88" s="189">
        <f>IFERROR(AVERAGEIFS(표16[specialty_cagr],표16[specialty_category],$B88,표16[end_use_category],I$86),"")</f>
        <v/>
      </c>
      <c r="J88" s="189">
        <f>IFERROR(AVERAGEIFS(표16[specialty_cagr],표16[specialty_category],$B88,표16[end_use_category],J$86),"")</f>
        <v/>
      </c>
      <c r="K88" s="189">
        <f>IFERROR(AVERAGEIFS(표16[specialty_cagr],표16[specialty_category],$B88,표16[end_use_category],K$86),"")</f>
        <v/>
      </c>
      <c r="L88" s="190">
        <f>IFERROR(AVERAGEIFS(표16[specialty_cagr],표16[specialty_category],$B88,표16[end_use_category],L$86),"")</f>
        <v/>
      </c>
    </row>
    <row r="89" ht="33" customHeight="1" s="179">
      <c r="B89" s="84" t="inlineStr">
        <is>
          <t>Printed circuit boards and packaging</t>
        </is>
      </c>
      <c r="C89" s="89" t="inlineStr">
        <is>
          <t>PCB 및 반도체 패키징 제조에 사용되는 전자화학 소재 산업</t>
        </is>
      </c>
      <c r="D89" s="188">
        <f>_xlfn.XLOOKUP(B89,end_use_specialty!$I$2:$I$31,end_use_specialty!$J$2:$J$31)</f>
        <v/>
      </c>
      <c r="E89" s="189">
        <f>IFERROR(AVERAGEIFS(표16[specialty_cagr],표16[specialty_category],$B89,표16[end_use_category],E$86),"")</f>
        <v/>
      </c>
      <c r="F89" s="189">
        <f>IFERROR(AVERAGEIFS(표16[specialty_cagr],표16[specialty_category],$B89,표16[end_use_category],F$86),"")</f>
        <v/>
      </c>
      <c r="G89" s="189">
        <f>IFERROR(AVERAGEIFS(표16[specialty_cagr],표16[specialty_category],$B89,표16[end_use_category],G$86),"")</f>
        <v/>
      </c>
      <c r="H89" s="189">
        <f>IFERROR(AVERAGEIFS(표16[specialty_cagr],표16[specialty_category],$B89,표16[end_use_category],H$86),"")</f>
        <v/>
      </c>
      <c r="I89" s="189">
        <f>IFERROR(AVERAGEIFS(표16[specialty_cagr],표16[specialty_category],$B89,표16[end_use_category],I$86),"")</f>
        <v/>
      </c>
      <c r="J89" s="189">
        <f>IFERROR(AVERAGEIFS(표16[specialty_cagr],표16[specialty_category],$B89,표16[end_use_category],J$86),"")</f>
        <v/>
      </c>
      <c r="K89" s="189">
        <f>IFERROR(AVERAGEIFS(표16[specialty_cagr],표16[specialty_category],$B89,표16[end_use_category],K$86),"")</f>
        <v/>
      </c>
      <c r="L89" s="190">
        <f>IFERROR(AVERAGEIFS(표16[specialty_cagr],표16[specialty_category],$B89,표16[end_use_category],L$86),"")</f>
        <v/>
      </c>
    </row>
    <row r="90" ht="33" customHeight="1" s="179">
      <c r="B90" s="84" t="inlineStr">
        <is>
          <t>Nutraceutical ingredients</t>
        </is>
      </c>
      <c r="C90" s="89" t="inlineStr">
        <is>
          <t>건강기능식품·기능성 식품에 사용되는 기능성 원료 산업</t>
        </is>
      </c>
      <c r="D90" s="188">
        <f>_xlfn.XLOOKUP(B90,end_use_specialty!$I$2:$I$31,end_use_specialty!$J$2:$J$31)</f>
        <v/>
      </c>
      <c r="E90" s="189">
        <f>IFERROR(AVERAGEIFS(표16[specialty_cagr],표16[specialty_category],$B90,표16[end_use_category],E$86),"")</f>
        <v/>
      </c>
      <c r="F90" s="189">
        <f>IFERROR(AVERAGEIFS(표16[specialty_cagr],표16[specialty_category],$B90,표16[end_use_category],F$86),"")</f>
        <v/>
      </c>
      <c r="G90" s="189">
        <f>IFERROR(AVERAGEIFS(표16[specialty_cagr],표16[specialty_category],$B90,표16[end_use_category],G$86),"")</f>
        <v/>
      </c>
      <c r="H90" s="189">
        <f>IFERROR(AVERAGEIFS(표16[specialty_cagr],표16[specialty_category],$B90,표16[end_use_category],H$86),"")</f>
        <v/>
      </c>
      <c r="I90" s="190">
        <f>IFERROR(AVERAGEIFS(표16[specialty_cagr],표16[specialty_category],$B90,표16[end_use_category],I$86),"")</f>
        <v/>
      </c>
      <c r="J90" s="189">
        <f>IFERROR(AVERAGEIFS(표16[specialty_cagr],표16[specialty_category],$B90,표16[end_use_category],J$86),"")</f>
        <v/>
      </c>
      <c r="K90" s="189">
        <f>IFERROR(AVERAGEIFS(표16[specialty_cagr],표16[specialty_category],$B90,표16[end_use_category],K$86),"")</f>
        <v/>
      </c>
      <c r="L90" s="189">
        <f>IFERROR(AVERAGEIFS(표16[specialty_cagr],표16[specialty_category],$B90,표16[end_use_category],L$86),"")</f>
        <v/>
      </c>
    </row>
    <row r="91" ht="33" customHeight="1" s="179">
      <c r="B91" s="84" t="inlineStr">
        <is>
          <t>High-performance thermoplastics</t>
        </is>
      </c>
      <c r="C91" s="89" t="inlineStr">
        <is>
          <t>고온·고내열·고강도 특성을 가진 고성능 엔지니어링 플라스틱 산업</t>
        </is>
      </c>
      <c r="D91" s="188">
        <f>_xlfn.XLOOKUP(B91,end_use_specialty!$I$2:$I$31,end_use_specialty!$J$2:$J$31)</f>
        <v/>
      </c>
      <c r="E91" s="190">
        <f>IFERROR(AVERAGEIFS(표16[specialty_cagr],표16[specialty_category],$B91,표16[end_use_category],E$86),"")</f>
        <v/>
      </c>
      <c r="F91" s="189">
        <f>IFERROR(AVERAGEIFS(표16[specialty_cagr],표16[specialty_category],$B91,표16[end_use_category],F$86),"")</f>
        <v/>
      </c>
      <c r="G91" s="190">
        <f>IFERROR(AVERAGEIFS(표16[specialty_cagr],표16[specialty_category],$B91,표16[end_use_category],G$86),"")</f>
        <v/>
      </c>
      <c r="H91" s="189">
        <f>IFERROR(AVERAGEIFS(표16[specialty_cagr],표16[specialty_category],$B91,표16[end_use_category],H$86),"")</f>
        <v/>
      </c>
      <c r="I91" s="190">
        <f>IFERROR(AVERAGEIFS(표16[specialty_cagr],표16[specialty_category],$B91,표16[end_use_category],I$86),"")</f>
        <v/>
      </c>
      <c r="J91" s="189">
        <f>IFERROR(AVERAGEIFS(표16[specialty_cagr],표16[specialty_category],$B91,표16[end_use_category],J$86),"")</f>
        <v/>
      </c>
      <c r="K91" s="190">
        <f>IFERROR(AVERAGEIFS(표16[specialty_cagr],표16[specialty_category],$B91,표16[end_use_category],K$86),"")</f>
        <v/>
      </c>
      <c r="L91" s="190">
        <f>IFERROR(AVERAGEIFS(표16[specialty_cagr],표16[specialty_category],$B91,표16[end_use_category],L$86),"")</f>
        <v/>
      </c>
    </row>
    <row r="92" ht="33" customHeight="1" s="179">
      <c r="B92" s="84" t="inlineStr">
        <is>
          <t>Compounded engineering thermoplastics</t>
        </is>
      </c>
      <c r="C92" s="89" t="inlineStr">
        <is>
          <t>엔지니어링 플라스틱에 첨가제·보강재를 넣어 성능을 맞춤화하는 컴파운딩 산업</t>
        </is>
      </c>
      <c r="D92" s="188">
        <f>_xlfn.XLOOKUP(B92,end_use_specialty!$I$2:$I$31,end_use_specialty!$J$2:$J$31)</f>
        <v/>
      </c>
      <c r="E92" s="189">
        <f>IFERROR(AVERAGEIFS(표16[specialty_cagr],표16[specialty_category],$B92,표16[end_use_category],E$86),"")</f>
        <v/>
      </c>
      <c r="F92" s="189">
        <f>IFERROR(AVERAGEIFS(표16[specialty_cagr],표16[specialty_category],$B92,표16[end_use_category],F$86),"")</f>
        <v/>
      </c>
      <c r="G92" s="190">
        <f>IFERROR(AVERAGEIFS(표16[specialty_cagr],표16[specialty_category],$B92,표16[end_use_category],G$86),"")</f>
        <v/>
      </c>
      <c r="H92" s="189">
        <f>IFERROR(AVERAGEIFS(표16[specialty_cagr],표16[specialty_category],$B92,표16[end_use_category],H$86),"")</f>
        <v/>
      </c>
      <c r="I92" s="189">
        <f>IFERROR(AVERAGEIFS(표16[specialty_cagr],표16[specialty_category],$B92,표16[end_use_category],I$86),"")</f>
        <v/>
      </c>
      <c r="J92" s="189">
        <f>IFERROR(AVERAGEIFS(표16[specialty_cagr],표16[specialty_category],$B92,표16[end_use_category],J$86),"")</f>
        <v/>
      </c>
      <c r="K92" s="190">
        <f>IFERROR(AVERAGEIFS(표16[specialty_cagr],표16[specialty_category],$B92,표16[end_use_category],K$86),"")</f>
        <v/>
      </c>
      <c r="L92" s="190">
        <f>IFERROR(AVERAGEIFS(표16[specialty_cagr],표16[specialty_category],$B92,표16[end_use_category],L$86),"")</f>
        <v/>
      </c>
    </row>
    <row r="93">
      <c r="B93" s="84" t="inlineStr">
        <is>
          <t>Specialty films</t>
        </is>
      </c>
      <c r="C93" s="89" t="inlineStr">
        <is>
          <t>기능성·고성능 플라스틱 필름 산업</t>
        </is>
      </c>
      <c r="D93" s="188">
        <f>_xlfn.XLOOKUP(B93,end_use_specialty!$I$2:$I$31,end_use_specialty!$J$2:$J$31)</f>
        <v/>
      </c>
      <c r="E93" s="189">
        <f>IFERROR(AVERAGEIFS(표16[specialty_cagr],표16[specialty_category],$B93,표16[end_use_category],E$86),"")</f>
        <v/>
      </c>
      <c r="F93" s="190">
        <f>IFERROR(AVERAGEIFS(표16[specialty_cagr],표16[specialty_category],$B93,표16[end_use_category],F$86),"")</f>
        <v/>
      </c>
      <c r="G93" s="189">
        <f>IFERROR(AVERAGEIFS(표16[specialty_cagr],표16[specialty_category],$B93,표16[end_use_category],G$86),"")</f>
        <v/>
      </c>
      <c r="H93" s="189">
        <f>IFERROR(AVERAGEIFS(표16[specialty_cagr],표16[specialty_category],$B93,표16[end_use_category],H$86),"")</f>
        <v/>
      </c>
      <c r="I93" s="190">
        <f>IFERROR(AVERAGEIFS(표16[specialty_cagr],표16[specialty_category],$B93,표16[end_use_category],I$86),"")</f>
        <v/>
      </c>
      <c r="J93" s="190">
        <f>IFERROR(AVERAGEIFS(표16[specialty_cagr],표16[specialty_category],$B93,표16[end_use_category],J$86),"")</f>
        <v/>
      </c>
      <c r="K93" s="189">
        <f>IFERROR(AVERAGEIFS(표16[specialty_cagr],표16[specialty_category],$B93,표16[end_use_category],K$86),"")</f>
        <v/>
      </c>
      <c r="L93" s="190">
        <f>IFERROR(AVERAGEIFS(표16[specialty_cagr],표16[specialty_category],$B93,표16[end_use_category],L$86),"")</f>
        <v/>
      </c>
    </row>
    <row r="94" ht="33" customHeight="1" s="179">
      <c r="B94" s="84" t="inlineStr">
        <is>
          <t>Coatings, radiation curable</t>
        </is>
      </c>
      <c r="C94" s="89" t="inlineStr">
        <is>
          <t>UV/전자빔(EB)으로 순간 경화되는 특수 코팅·잉크·접착제 산업</t>
        </is>
      </c>
      <c r="D94" s="188">
        <f>_xlfn.XLOOKUP(B94,end_use_specialty!$I$2:$I$31,end_use_specialty!$J$2:$J$31)</f>
        <v/>
      </c>
      <c r="E94" s="189">
        <f>IFERROR(AVERAGEIFS(표16[specialty_cagr],표16[specialty_category],$B94,표16[end_use_category],E$86),"")</f>
        <v/>
      </c>
      <c r="F94" s="190">
        <f>IFERROR(AVERAGEIFS(표16[specialty_cagr],표16[specialty_category],$B94,표16[end_use_category],F$86),"")</f>
        <v/>
      </c>
      <c r="G94" s="189">
        <f>IFERROR(AVERAGEIFS(표16[specialty_cagr],표16[specialty_category],$B94,표16[end_use_category],G$86),"")</f>
        <v/>
      </c>
      <c r="H94" s="189">
        <f>IFERROR(AVERAGEIFS(표16[specialty_cagr],표16[specialty_category],$B94,표16[end_use_category],H$86),"")</f>
        <v/>
      </c>
      <c r="I94" s="189">
        <f>IFERROR(AVERAGEIFS(표16[specialty_cagr],표16[specialty_category],$B94,표16[end_use_category],I$86),"")</f>
        <v/>
      </c>
      <c r="J94" s="189">
        <f>IFERROR(AVERAGEIFS(표16[specialty_cagr],표16[specialty_category],$B94,표16[end_use_category],J$86),"")</f>
        <v/>
      </c>
      <c r="K94" s="190">
        <f>IFERROR(AVERAGEIFS(표16[specialty_cagr],표16[specialty_category],$B94,표16[end_use_category],K$86),"")</f>
        <v/>
      </c>
      <c r="L94" s="190">
        <f>IFERROR(AVERAGEIFS(표16[specialty_cagr],표16[specialty_category],$B94,표16[end_use_category],L$86),"")</f>
        <v/>
      </c>
    </row>
    <row r="95" ht="33" customHeight="1" s="179">
      <c r="B95" s="84" t="inlineStr">
        <is>
          <t>Coatings, thermosetting powder</t>
        </is>
      </c>
      <c r="C95" s="89" t="inlineStr">
        <is>
          <t>용제 없이 분말 형태로 도장 후 열경화되는 친환경 코팅 산업</t>
        </is>
      </c>
      <c r="D95" s="188">
        <f>_xlfn.XLOOKUP(B95,end_use_specialty!$I$2:$I$31,end_use_specialty!$J$2:$J$31)</f>
        <v/>
      </c>
      <c r="E95" s="190">
        <f>IFERROR(AVERAGEIFS(표16[specialty_cagr],표16[specialty_category],$B95,표16[end_use_category],E$86),"")</f>
        <v/>
      </c>
      <c r="F95" s="189">
        <f>IFERROR(AVERAGEIFS(표16[specialty_cagr],표16[specialty_category],$B95,표16[end_use_category],F$86),"")</f>
        <v/>
      </c>
      <c r="G95" s="190">
        <f>IFERROR(AVERAGEIFS(표16[specialty_cagr],표16[specialty_category],$B95,표16[end_use_category],G$86),"")</f>
        <v/>
      </c>
      <c r="H95" s="189">
        <f>IFERROR(AVERAGEIFS(표16[specialty_cagr],표16[specialty_category],$B95,표16[end_use_category],H$86),"")</f>
        <v/>
      </c>
      <c r="I95" s="189">
        <f>IFERROR(AVERAGEIFS(표16[specialty_cagr],표16[specialty_category],$B95,표16[end_use_category],I$86),"")</f>
        <v/>
      </c>
      <c r="J95" s="189">
        <f>IFERROR(AVERAGEIFS(표16[specialty_cagr],표16[specialty_category],$B95,표16[end_use_category],J$86),"")</f>
        <v/>
      </c>
      <c r="K95" s="190">
        <f>IFERROR(AVERAGEIFS(표16[specialty_cagr],표16[specialty_category],$B95,표16[end_use_category],K$86),"")</f>
        <v/>
      </c>
      <c r="L95" s="189">
        <f>IFERROR(AVERAGEIFS(표16[specialty_cagr],표16[specialty_category],$B95,표16[end_use_category],L$86),"")</f>
        <v/>
      </c>
    </row>
    <row r="96" ht="33" customHeight="1" s="179">
      <c r="B96" s="84" t="inlineStr">
        <is>
          <t>Coatings, high-performance anticorrosion</t>
        </is>
      </c>
      <c r="C96" s="89" t="inlineStr">
        <is>
          <t>철강·콘크리트·선박을 부식 환경으로부터 보호하는 코팅 산업</t>
        </is>
      </c>
      <c r="D96" s="188">
        <f>_xlfn.XLOOKUP(B96,end_use_specialty!$I$2:$I$31,end_use_specialty!$J$2:$J$31)</f>
        <v/>
      </c>
      <c r="E96" s="190">
        <f>IFERROR(AVERAGEIFS(표16[specialty_cagr],표16[specialty_category],$B96,표16[end_use_category],E$86),"")</f>
        <v/>
      </c>
      <c r="F96" s="189">
        <f>IFERROR(AVERAGEIFS(표16[specialty_cagr],표16[specialty_category],$B96,표16[end_use_category],F$86),"")</f>
        <v/>
      </c>
      <c r="G96" s="189">
        <f>IFERROR(AVERAGEIFS(표16[specialty_cagr],표16[specialty_category],$B96,표16[end_use_category],G$86),"")</f>
        <v/>
      </c>
      <c r="H96" s="190">
        <f>IFERROR(AVERAGEIFS(표16[specialty_cagr],표16[specialty_category],$B96,표16[end_use_category],H$86),"")</f>
        <v/>
      </c>
      <c r="I96" s="189">
        <f>IFERROR(AVERAGEIFS(표16[specialty_cagr],표16[specialty_category],$B96,표16[end_use_category],I$86),"")</f>
        <v/>
      </c>
      <c r="J96" s="189">
        <f>IFERROR(AVERAGEIFS(표16[specialty_cagr],표16[specialty_category],$B96,표16[end_use_category],J$86),"")</f>
        <v/>
      </c>
      <c r="K96" s="190">
        <f>IFERROR(AVERAGEIFS(표16[specialty_cagr],표16[specialty_category],$B96,표16[end_use_category],K$86),"")</f>
        <v/>
      </c>
      <c r="L96" s="189">
        <f>IFERROR(AVERAGEIFS(표16[specialty_cagr],표16[specialty_category],$B96,표16[end_use_category],L$86),"")</f>
        <v/>
      </c>
    </row>
    <row r="97" ht="33" customHeight="1" s="179">
      <c r="B97" s="84" t="inlineStr">
        <is>
          <t>Green power materials</t>
        </is>
      </c>
      <c r="C97" s="89" t="inlineStr">
        <is>
          <t>태양광·풍력 설비 제조에 사용되는 친환경 에너지 소재 산업</t>
        </is>
      </c>
      <c r="D97" s="188">
        <f>_xlfn.XLOOKUP(B97,end_use_specialty!$I$2:$I$31,end_use_specialty!$J$2:$J$31)</f>
        <v/>
      </c>
      <c r="E97" s="189">
        <f>IFERROR(AVERAGEIFS(표16[specialty_cagr],표16[specialty_category],$B97,표16[end_use_category],E$86),"")</f>
        <v/>
      </c>
      <c r="F97" s="189">
        <f>IFERROR(AVERAGEIFS(표16[specialty_cagr],표16[specialty_category],$B97,표16[end_use_category],F$86),"")</f>
        <v/>
      </c>
      <c r="G97" s="189">
        <f>IFERROR(AVERAGEIFS(표16[specialty_cagr],표16[specialty_category],$B97,표16[end_use_category],G$86),"")</f>
        <v/>
      </c>
      <c r="H97" s="190">
        <f>IFERROR(AVERAGEIFS(표16[specialty_cagr],표16[specialty_category],$B97,표16[end_use_category],H$86),"")</f>
        <v/>
      </c>
      <c r="I97" s="189">
        <f>IFERROR(AVERAGEIFS(표16[specialty_cagr],표16[specialty_category],$B97,표16[end_use_category],I$86),"")</f>
        <v/>
      </c>
      <c r="J97" s="189">
        <f>IFERROR(AVERAGEIFS(표16[specialty_cagr],표16[specialty_category],$B97,표16[end_use_category],J$86),"")</f>
        <v/>
      </c>
      <c r="K97" s="189">
        <f>IFERROR(AVERAGEIFS(표16[specialty_cagr],표16[specialty_category],$B97,표16[end_use_category],K$86),"")</f>
        <v/>
      </c>
      <c r="L97" s="189">
        <f>IFERROR(AVERAGEIFS(표16[specialty_cagr],표16[specialty_category],$B97,표16[end_use_category],L$86),"")</f>
        <v/>
      </c>
    </row>
    <row r="98" ht="33" customHeight="1" s="179">
      <c r="B98" s="84" t="inlineStr">
        <is>
          <t>Water management chemicals</t>
        </is>
      </c>
      <c r="C98" s="89" t="inlineStr">
        <is>
          <t>정수·폐수·재이용 공정에 사용되는 수처리 특수화학 산업</t>
        </is>
      </c>
      <c r="D98" s="188">
        <f>_xlfn.XLOOKUP(B98,end_use_specialty!$I$2:$I$31,end_use_specialty!$J$2:$J$31)</f>
        <v/>
      </c>
      <c r="E98" s="190">
        <f>IFERROR(AVERAGEIFS(표16[specialty_cagr],표16[specialty_category],$B98,표16[end_use_category],E$86),"")</f>
        <v/>
      </c>
      <c r="F98" s="189">
        <f>IFERROR(AVERAGEIFS(표16[specialty_cagr],표16[specialty_category],$B98,표16[end_use_category],F$86),"")</f>
        <v/>
      </c>
      <c r="G98" s="189">
        <f>IFERROR(AVERAGEIFS(표16[specialty_cagr],표16[specialty_category],$B98,표16[end_use_category],G$86),"")</f>
        <v/>
      </c>
      <c r="H98" s="190">
        <f>IFERROR(AVERAGEIFS(표16[specialty_cagr],표16[specialty_category],$B98,표16[end_use_category],H$86),"")</f>
        <v/>
      </c>
      <c r="I98" s="189">
        <f>IFERROR(AVERAGEIFS(표16[specialty_cagr],표16[specialty_category],$B98,표16[end_use_category],I$86),"")</f>
        <v/>
      </c>
      <c r="J98" s="190">
        <f>IFERROR(AVERAGEIFS(표16[specialty_cagr],표16[specialty_category],$B98,표16[end_use_category],J$86),"")</f>
        <v/>
      </c>
      <c r="K98" s="190">
        <f>IFERROR(AVERAGEIFS(표16[specialty_cagr],표16[specialty_category],$B98,표16[end_use_category],K$86),"")</f>
        <v/>
      </c>
      <c r="L98" s="189">
        <f>IFERROR(AVERAGEIFS(표16[specialty_cagr],표16[specialty_category],$B98,표16[end_use_category],L$86),"")</f>
        <v/>
      </c>
    </row>
    <row r="99" ht="33" customHeight="1" s="179">
      <c r="B99" s="84" t="inlineStr">
        <is>
          <t>Cosmetic/personal care chemicals</t>
        </is>
      </c>
      <c r="C99" s="89" t="inlineStr">
        <is>
          <t>화장품·퍼스널케어 제품에 사용되는 기능성 화학 원료 산업</t>
        </is>
      </c>
      <c r="D99" s="188">
        <f>_xlfn.XLOOKUP(B99,end_use_specialty!$I$2:$I$31,end_use_specialty!$J$2:$J$31)</f>
        <v/>
      </c>
      <c r="E99" s="189">
        <f>IFERROR(AVERAGEIFS(표16[specialty_cagr],표16[specialty_category],$B99,표16[end_use_category],E$86),"")</f>
        <v/>
      </c>
      <c r="F99" s="190">
        <f>IFERROR(AVERAGEIFS(표16[specialty_cagr],표16[specialty_category],$B99,표16[end_use_category],F$86),"")</f>
        <v/>
      </c>
      <c r="G99" s="189">
        <f>IFERROR(AVERAGEIFS(표16[specialty_cagr],표16[specialty_category],$B99,표16[end_use_category],G$86),"")</f>
        <v/>
      </c>
      <c r="H99" s="189">
        <f>IFERROR(AVERAGEIFS(표16[specialty_cagr],표16[specialty_category],$B99,표16[end_use_category],H$86),"")</f>
        <v/>
      </c>
      <c r="I99" s="190">
        <f>IFERROR(AVERAGEIFS(표16[specialty_cagr],표16[specialty_category],$B99,표16[end_use_category],I$86),"")</f>
        <v/>
      </c>
      <c r="J99" s="189">
        <f>IFERROR(AVERAGEIFS(표16[specialty_cagr],표16[specialty_category],$B99,표16[end_use_category],J$86),"")</f>
        <v/>
      </c>
      <c r="K99" s="189">
        <f>IFERROR(AVERAGEIFS(표16[specialty_cagr],표16[specialty_category],$B99,표16[end_use_category],K$86),"")</f>
        <v/>
      </c>
      <c r="L99" s="189">
        <f>IFERROR(AVERAGEIFS(표16[specialty_cagr],표16[specialty_category],$B99,표16[end_use_category],L$86),"")</f>
        <v/>
      </c>
    </row>
    <row r="100">
      <c r="B100" s="84" t="inlineStr">
        <is>
          <t>Cleaners, industrial and institutional</t>
        </is>
      </c>
      <c r="C100" s="89" t="inlineStr">
        <is>
          <t>산업·상업·공공시설용 전문 세정제 산업</t>
        </is>
      </c>
      <c r="D100" s="188">
        <f>_xlfn.XLOOKUP(B100,end_use_specialty!$I$2:$I$31,end_use_specialty!$J$2:$J$31)</f>
        <v/>
      </c>
      <c r="E100" s="189">
        <f>IFERROR(AVERAGEIFS(표16[specialty_cagr],표16[specialty_category],$B100,표16[end_use_category],E$86),"")</f>
        <v/>
      </c>
      <c r="F100" s="190">
        <f>IFERROR(AVERAGEIFS(표16[specialty_cagr],표16[specialty_category],$B100,표16[end_use_category],F$86),"")</f>
        <v/>
      </c>
      <c r="G100" s="189">
        <f>IFERROR(AVERAGEIFS(표16[specialty_cagr],표16[specialty_category],$B100,표16[end_use_category],G$86),"")</f>
        <v/>
      </c>
      <c r="H100" s="189">
        <f>IFERROR(AVERAGEIFS(표16[specialty_cagr],표16[specialty_category],$B100,표16[end_use_category],H$86),"")</f>
        <v/>
      </c>
      <c r="I100" s="189">
        <f>IFERROR(AVERAGEIFS(표16[specialty_cagr],표16[specialty_category],$B100,표16[end_use_category],I$86),"")</f>
        <v/>
      </c>
      <c r="J100" s="189">
        <f>IFERROR(AVERAGEIFS(표16[specialty_cagr],표16[specialty_category],$B100,표16[end_use_category],J$86),"")</f>
        <v/>
      </c>
      <c r="K100" s="190">
        <f>IFERROR(AVERAGEIFS(표16[specialty_cagr],표16[specialty_category],$B100,표16[end_use_category],K$86),"")</f>
        <v/>
      </c>
      <c r="L100" s="189">
        <f>IFERROR(AVERAGEIFS(표16[specialty_cagr],표16[specialty_category],$B100,표16[end_use_category],L$86),"")</f>
        <v/>
      </c>
    </row>
    <row r="101">
      <c r="B101" s="84" t="inlineStr">
        <is>
          <t>Plastics additives</t>
        </is>
      </c>
      <c r="C101" s="89" t="inlineStr">
        <is>
          <t>플라스틱 성능 향상을 위한 첨가제 산업</t>
        </is>
      </c>
      <c r="D101" s="188">
        <f>_xlfn.XLOOKUP(B101,end_use_specialty!$I$2:$I$31,end_use_specialty!$J$2:$J$31)</f>
        <v/>
      </c>
      <c r="E101" s="190">
        <f>IFERROR(AVERAGEIFS(표16[specialty_cagr],표16[specialty_category],$B101,표16[end_use_category],E$86),"")</f>
        <v/>
      </c>
      <c r="F101" s="190">
        <f>IFERROR(AVERAGEIFS(표16[specialty_cagr],표16[specialty_category],$B101,표16[end_use_category],F$86),"")</f>
        <v/>
      </c>
      <c r="G101" s="190">
        <f>IFERROR(AVERAGEIFS(표16[specialty_cagr],표16[specialty_category],$B101,표16[end_use_category],G$86),"")</f>
        <v/>
      </c>
      <c r="H101" s="189">
        <f>IFERROR(AVERAGEIFS(표16[specialty_cagr],표16[specialty_category],$B101,표16[end_use_category],H$86),"")</f>
        <v/>
      </c>
      <c r="I101" s="189">
        <f>IFERROR(AVERAGEIFS(표16[specialty_cagr],표16[specialty_category],$B101,표16[end_use_category],I$86),"")</f>
        <v/>
      </c>
      <c r="J101" s="190">
        <f>IFERROR(AVERAGEIFS(표16[specialty_cagr],표16[specialty_category],$B101,표16[end_use_category],J$86),"")</f>
        <v/>
      </c>
      <c r="K101" s="189">
        <f>IFERROR(AVERAGEIFS(표16[specialty_cagr],표16[specialty_category],$B101,표16[end_use_category],K$86),"")</f>
        <v/>
      </c>
      <c r="L101" s="190">
        <f>IFERROR(AVERAGEIFS(표16[specialty_cagr],표16[specialty_category],$B101,표16[end_use_category],L$86),"")</f>
        <v/>
      </c>
    </row>
    <row r="102">
      <c r="B102" s="84" t="inlineStr">
        <is>
          <t>Specialty adhesives and sealants</t>
        </is>
      </c>
      <c r="C102" s="89" t="inlineStr">
        <is>
          <t>고성능 접착·실링 소재 산업</t>
        </is>
      </c>
      <c r="D102" s="188">
        <f>_xlfn.XLOOKUP(B102,end_use_specialty!$I$2:$I$31,end_use_specialty!$J$2:$J$31)</f>
        <v/>
      </c>
      <c r="E102" s="190">
        <f>IFERROR(AVERAGEIFS(표16[specialty_cagr],표16[specialty_category],$B102,표16[end_use_category],E$86),"")</f>
        <v/>
      </c>
      <c r="F102" s="190">
        <f>IFERROR(AVERAGEIFS(표16[specialty_cagr],표16[specialty_category],$B102,표16[end_use_category],F$86),"")</f>
        <v/>
      </c>
      <c r="G102" s="190">
        <f>IFERROR(AVERAGEIFS(표16[specialty_cagr],표16[specialty_category],$B102,표16[end_use_category],G$86),"")</f>
        <v/>
      </c>
      <c r="H102" s="189">
        <f>IFERROR(AVERAGEIFS(표16[specialty_cagr],표16[specialty_category],$B102,표16[end_use_category],H$86),"")</f>
        <v/>
      </c>
      <c r="I102" s="189">
        <f>IFERROR(AVERAGEIFS(표16[specialty_cagr],표16[specialty_category],$B102,표16[end_use_category],I$86),"")</f>
        <v/>
      </c>
      <c r="J102" s="189">
        <f>IFERROR(AVERAGEIFS(표16[specialty_cagr],표16[specialty_category],$B102,표16[end_use_category],J$86),"")</f>
        <v/>
      </c>
      <c r="K102" s="190">
        <f>IFERROR(AVERAGEIFS(표16[specialty_cagr],표16[specialty_category],$B102,표16[end_use_category],K$86),"")</f>
        <v/>
      </c>
      <c r="L102" s="190">
        <f>IFERROR(AVERAGEIFS(표16[specialty_cagr],표16[specialty_category],$B102,표16[end_use_category],L$86),"")</f>
        <v/>
      </c>
    </row>
    <row r="103">
      <c r="B103" s="84" t="inlineStr">
        <is>
          <t>Rubber-processing chemicals</t>
        </is>
      </c>
      <c r="C103" s="89" t="inlineStr">
        <is>
          <t>고무 가공 및 가황 보조 화학 산업</t>
        </is>
      </c>
      <c r="D103" s="188">
        <f>_xlfn.XLOOKUP(B103,end_use_specialty!$I$2:$I$31,end_use_specialty!$J$2:$J$31)</f>
        <v/>
      </c>
      <c r="E103" s="189">
        <f>IFERROR(AVERAGEIFS(표16[specialty_cagr],표16[specialty_category],$B103,표16[end_use_category],E$86),"")</f>
        <v/>
      </c>
      <c r="F103" s="189">
        <f>IFERROR(AVERAGEIFS(표16[specialty_cagr],표16[specialty_category],$B103,표16[end_use_category],F$86),"")</f>
        <v/>
      </c>
      <c r="G103" s="190">
        <f>IFERROR(AVERAGEIFS(표16[specialty_cagr],표16[specialty_category],$B103,표16[end_use_category],G$86),"")</f>
        <v/>
      </c>
      <c r="H103" s="189">
        <f>IFERROR(AVERAGEIFS(표16[specialty_cagr],표16[specialty_category],$B103,표16[end_use_category],H$86),"")</f>
        <v/>
      </c>
      <c r="I103" s="189">
        <f>IFERROR(AVERAGEIFS(표16[specialty_cagr],표16[specialty_category],$B103,표16[end_use_category],I$86),"")</f>
        <v/>
      </c>
      <c r="J103" s="189">
        <f>IFERROR(AVERAGEIFS(표16[specialty_cagr],표16[specialty_category],$B103,표16[end_use_category],J$86),"")</f>
        <v/>
      </c>
      <c r="K103" s="190">
        <f>IFERROR(AVERAGEIFS(표16[specialty_cagr],표16[specialty_category],$B103,표16[end_use_category],K$86),"")</f>
        <v/>
      </c>
      <c r="L103" s="189">
        <f>IFERROR(AVERAGEIFS(표16[specialty_cagr],표16[specialty_category],$B103,표16[end_use_category],L$86),"")</f>
        <v/>
      </c>
    </row>
    <row r="104">
      <c r="B104" s="84" t="inlineStr">
        <is>
          <t>Textile chemicals</t>
        </is>
      </c>
      <c r="C104" s="89" t="inlineStr">
        <is>
          <t>섬유 생산·염색·가공용 기능성 화학 산업</t>
        </is>
      </c>
      <c r="D104" s="188">
        <f>_xlfn.XLOOKUP(B104,end_use_specialty!$I$2:$I$31,end_use_specialty!$J$2:$J$31)</f>
        <v/>
      </c>
      <c r="E104" s="189">
        <f>IFERROR(AVERAGEIFS(표16[specialty_cagr],표16[specialty_category],$B104,표16[end_use_category],E$86),"")</f>
        <v/>
      </c>
      <c r="F104" s="190">
        <f>IFERROR(AVERAGEIFS(표16[specialty_cagr],표16[specialty_category],$B104,표16[end_use_category],F$86),"")</f>
        <v/>
      </c>
      <c r="G104" s="190">
        <f>IFERROR(AVERAGEIFS(표16[specialty_cagr],표16[specialty_category],$B104,표16[end_use_category],G$86),"")</f>
        <v/>
      </c>
      <c r="H104" s="189">
        <f>IFERROR(AVERAGEIFS(표16[specialty_cagr],표16[specialty_category],$B104,표16[end_use_category],H$86),"")</f>
        <v/>
      </c>
      <c r="I104" s="189">
        <f>IFERROR(AVERAGEIFS(표16[specialty_cagr],표16[specialty_category],$B104,표16[end_use_category],I$86),"")</f>
        <v/>
      </c>
      <c r="J104" s="189">
        <f>IFERROR(AVERAGEIFS(표16[specialty_cagr],표16[specialty_category],$B104,표16[end_use_category],J$86),"")</f>
        <v/>
      </c>
      <c r="K104" s="190">
        <f>IFERROR(AVERAGEIFS(표16[specialty_cagr],표16[specialty_category],$B104,표16[end_use_category],K$86),"")</f>
        <v/>
      </c>
      <c r="L104" s="189">
        <f>IFERROR(AVERAGEIFS(표16[specialty_cagr],표16[specialty_category],$B104,표16[end_use_category],L$86),"")</f>
        <v/>
      </c>
    </row>
    <row r="105">
      <c r="B105" s="84" t="inlineStr">
        <is>
          <t>Printing inks</t>
        </is>
      </c>
      <c r="C105" s="89" t="inlineStr">
        <is>
          <t>인쇄 및 패키징용 기능성 잉크 산업</t>
        </is>
      </c>
      <c r="D105" s="188">
        <f>_xlfn.XLOOKUP(B105,end_use_specialty!$I$2:$I$31,end_use_specialty!$J$2:$J$31)</f>
        <v/>
      </c>
      <c r="E105" s="189">
        <f>IFERROR(AVERAGEIFS(표16[specialty_cagr],표16[specialty_category],$B105,표16[end_use_category],E$86),"")</f>
        <v/>
      </c>
      <c r="F105" s="190">
        <f>IFERROR(AVERAGEIFS(표16[specialty_cagr],표16[specialty_category],$B105,표16[end_use_category],F$86),"")</f>
        <v/>
      </c>
      <c r="G105" s="189">
        <f>IFERROR(AVERAGEIFS(표16[specialty_cagr],표16[specialty_category],$B105,표16[end_use_category],G$86),"")</f>
        <v/>
      </c>
      <c r="H105" s="189">
        <f>IFERROR(AVERAGEIFS(표16[specialty_cagr],표16[specialty_category],$B105,표16[end_use_category],H$86),"")</f>
        <v/>
      </c>
      <c r="I105" s="189">
        <f>IFERROR(AVERAGEIFS(표16[specialty_cagr],표16[specialty_category],$B105,표16[end_use_category],I$86),"")</f>
        <v/>
      </c>
      <c r="J105" s="189">
        <f>IFERROR(AVERAGEIFS(표16[specialty_cagr],표16[specialty_category],$B105,표16[end_use_category],J$86),"")</f>
        <v/>
      </c>
      <c r="K105" s="190">
        <f>IFERROR(AVERAGEIFS(표16[specialty_cagr],표16[specialty_category],$B105,표16[end_use_category],K$86),"")</f>
        <v/>
      </c>
      <c r="L105" s="189">
        <f>IFERROR(AVERAGEIFS(표16[specialty_cagr],표16[specialty_category],$B105,표16[end_use_category],L$86),"")</f>
        <v/>
      </c>
    </row>
    <row r="106">
      <c r="B106" s="84" t="inlineStr">
        <is>
          <t>Flavors and fragrances</t>
        </is>
      </c>
      <c r="C106" s="89" t="inlineStr">
        <is>
          <t>향료·향수 및 식품 풍미 소재 산업</t>
        </is>
      </c>
      <c r="D106" s="188">
        <f>_xlfn.XLOOKUP(B106,end_use_specialty!$I$2:$I$31,end_use_specialty!$J$2:$J$31)</f>
        <v/>
      </c>
      <c r="E106" s="189">
        <f>IFERROR(AVERAGEIFS(표16[specialty_cagr],표16[specialty_category],$B106,표16[end_use_category],E$86),"")</f>
        <v/>
      </c>
      <c r="F106" s="190">
        <f>IFERROR(AVERAGEIFS(표16[specialty_cagr],표16[specialty_category],$B106,표16[end_use_category],F$86),"")</f>
        <v/>
      </c>
      <c r="G106" s="189">
        <f>IFERROR(AVERAGEIFS(표16[specialty_cagr],표16[specialty_category],$B106,표16[end_use_category],G$86),"")</f>
        <v/>
      </c>
      <c r="H106" s="189">
        <f>IFERROR(AVERAGEIFS(표16[specialty_cagr],표16[specialty_category],$B106,표16[end_use_category],H$86),"")</f>
        <v/>
      </c>
      <c r="I106" s="190">
        <f>IFERROR(AVERAGEIFS(표16[specialty_cagr],표16[specialty_category],$B106,표16[end_use_category],I$86),"")</f>
        <v/>
      </c>
      <c r="J106" s="189">
        <f>IFERROR(AVERAGEIFS(표16[specialty_cagr],표16[specialty_category],$B106,표16[end_use_category],J$86),"")</f>
        <v/>
      </c>
      <c r="K106" s="189">
        <f>IFERROR(AVERAGEIFS(표16[specialty_cagr],표16[specialty_category],$B106,표16[end_use_category],K$86),"")</f>
        <v/>
      </c>
      <c r="L106" s="189">
        <f>IFERROR(AVERAGEIFS(표16[specialty_cagr],표16[specialty_category],$B106,표16[end_use_category],L$86),"")</f>
        <v/>
      </c>
    </row>
    <row r="107">
      <c r="B107" s="84" t="inlineStr">
        <is>
          <t>Food additives</t>
        </is>
      </c>
      <c r="C107" s="89" t="inlineStr">
        <is>
          <t>식품 기능성 첨가제 산업</t>
        </is>
      </c>
      <c r="D107" s="188">
        <f>_xlfn.XLOOKUP(B107,end_use_specialty!$I$2:$I$31,end_use_specialty!$J$2:$J$31)</f>
        <v/>
      </c>
      <c r="E107" s="189">
        <f>IFERROR(AVERAGEIFS(표16[specialty_cagr],표16[specialty_category],$B107,표16[end_use_category],E$86),"")</f>
        <v/>
      </c>
      <c r="F107" s="190">
        <f>IFERROR(AVERAGEIFS(표16[specialty_cagr],표16[specialty_category],$B107,표16[end_use_category],F$86),"")</f>
        <v/>
      </c>
      <c r="G107" s="189">
        <f>IFERROR(AVERAGEIFS(표16[specialty_cagr],표16[specialty_category],$B107,표16[end_use_category],G$86),"")</f>
        <v/>
      </c>
      <c r="H107" s="189">
        <f>IFERROR(AVERAGEIFS(표16[specialty_cagr],표16[specialty_category],$B107,표16[end_use_category],H$86),"")</f>
        <v/>
      </c>
      <c r="I107" s="190">
        <f>IFERROR(AVERAGEIFS(표16[specialty_cagr],표16[specialty_category],$B107,표16[end_use_category],I$86),"")</f>
        <v/>
      </c>
      <c r="J107" s="190">
        <f>IFERROR(AVERAGEIFS(표16[specialty_cagr],표16[specialty_category],$B107,표16[end_use_category],J$86),"")</f>
        <v/>
      </c>
      <c r="K107" s="189">
        <f>IFERROR(AVERAGEIFS(표16[specialty_cagr],표16[specialty_category],$B107,표16[end_use_category],K$86),"")</f>
        <v/>
      </c>
      <c r="L107" s="189">
        <f>IFERROR(AVERAGEIFS(표16[specialty_cagr],표16[specialty_category],$B107,표16[end_use_category],L$86),"")</f>
        <v/>
      </c>
    </row>
    <row r="108">
      <c r="B108" s="84" t="inlineStr">
        <is>
          <t>Feed additives</t>
        </is>
      </c>
      <c r="C108" s="89" t="inlineStr">
        <is>
          <t>동물사료 기능성 첨가제 산업</t>
        </is>
      </c>
      <c r="D108" s="188">
        <f>_xlfn.XLOOKUP(B108,end_use_specialty!$I$2:$I$31,end_use_specialty!$J$2:$J$31)</f>
        <v/>
      </c>
      <c r="E108" s="189">
        <f>IFERROR(AVERAGEIFS(표16[specialty_cagr],표16[specialty_category],$B108,표16[end_use_category],E$86),"")</f>
        <v/>
      </c>
      <c r="F108" s="189">
        <f>IFERROR(AVERAGEIFS(표16[specialty_cagr],표16[specialty_category],$B108,표16[end_use_category],F$86),"")</f>
        <v/>
      </c>
      <c r="G108" s="189">
        <f>IFERROR(AVERAGEIFS(표16[specialty_cagr],표16[specialty_category],$B108,표16[end_use_category],G$86),"")</f>
        <v/>
      </c>
      <c r="H108" s="189">
        <f>IFERROR(AVERAGEIFS(표16[specialty_cagr],표16[specialty_category],$B108,표16[end_use_category],H$86),"")</f>
        <v/>
      </c>
      <c r="I108" s="189">
        <f>IFERROR(AVERAGEIFS(표16[specialty_cagr],표16[specialty_category],$B108,표16[end_use_category],I$86),"")</f>
        <v/>
      </c>
      <c r="J108" s="190">
        <f>IFERROR(AVERAGEIFS(표16[specialty_cagr],표16[specialty_category],$B108,표16[end_use_category],J$86),"")</f>
        <v/>
      </c>
      <c r="K108" s="189">
        <f>IFERROR(AVERAGEIFS(표16[specialty_cagr],표16[specialty_category],$B108,표16[end_use_category],K$86),"")</f>
        <v/>
      </c>
      <c r="L108" s="189">
        <f>IFERROR(AVERAGEIFS(표16[specialty_cagr],표16[specialty_category],$B108,표16[end_use_category],L$86),"")</f>
        <v/>
      </c>
    </row>
    <row r="109">
      <c r="B109" s="84" t="inlineStr">
        <is>
          <t>Lubricants, synthetic</t>
        </is>
      </c>
      <c r="C109" s="89" t="inlineStr">
        <is>
          <t>합성 윤활유 산업</t>
        </is>
      </c>
      <c r="D109" s="188">
        <f>_xlfn.XLOOKUP(B109,end_use_specialty!$I$2:$I$31,end_use_specialty!$J$2:$J$31)</f>
        <v/>
      </c>
      <c r="E109" s="189">
        <f>IFERROR(AVERAGEIFS(표16[specialty_cagr],표16[specialty_category],$B109,표16[end_use_category],E$86),"")</f>
        <v/>
      </c>
      <c r="F109" s="189">
        <f>IFERROR(AVERAGEIFS(표16[specialty_cagr],표16[specialty_category],$B109,표16[end_use_category],F$86),"")</f>
        <v/>
      </c>
      <c r="G109" s="190">
        <f>IFERROR(AVERAGEIFS(표16[specialty_cagr],표16[specialty_category],$B109,표16[end_use_category],G$86),"")</f>
        <v/>
      </c>
      <c r="H109" s="190">
        <f>IFERROR(AVERAGEIFS(표16[specialty_cagr],표16[specialty_category],$B109,표16[end_use_category],H$86),"")</f>
        <v/>
      </c>
      <c r="I109" s="189">
        <f>IFERROR(AVERAGEIFS(표16[specialty_cagr],표16[specialty_category],$B109,표16[end_use_category],I$86),"")</f>
        <v/>
      </c>
      <c r="J109" s="189">
        <f>IFERROR(AVERAGEIFS(표16[specialty_cagr],표16[specialty_category],$B109,표16[end_use_category],J$86),"")</f>
        <v/>
      </c>
      <c r="K109" s="190">
        <f>IFERROR(AVERAGEIFS(표16[specialty_cagr],표16[specialty_category],$B109,표16[end_use_category],K$86),"")</f>
        <v/>
      </c>
      <c r="L109" s="189">
        <f>IFERROR(AVERAGEIFS(표16[specialty_cagr],표16[specialty_category],$B109,표16[end_use_category],L$86),"")</f>
        <v/>
      </c>
    </row>
    <row r="110">
      <c r="B110" s="84" t="inlineStr">
        <is>
          <t>Paper chemicals</t>
        </is>
      </c>
      <c r="C110" s="89" t="inlineStr">
        <is>
          <t>제지 공정 및 기능성 종이 화학 산업</t>
        </is>
      </c>
      <c r="D110" s="188">
        <f>_xlfn.XLOOKUP(B110,end_use_specialty!$I$2:$I$31,end_use_specialty!$J$2:$J$31)</f>
        <v/>
      </c>
      <c r="E110" s="189">
        <f>IFERROR(AVERAGEIFS(표16[specialty_cagr],표16[specialty_category],$B110,표16[end_use_category],E$86),"")</f>
        <v/>
      </c>
      <c r="F110" s="190">
        <f>IFERROR(AVERAGEIFS(표16[specialty_cagr],표16[specialty_category],$B110,표16[end_use_category],F$86),"")</f>
        <v/>
      </c>
      <c r="G110" s="189">
        <f>IFERROR(AVERAGEIFS(표16[specialty_cagr],표16[specialty_category],$B110,표16[end_use_category],G$86),"")</f>
        <v/>
      </c>
      <c r="H110" s="189">
        <f>IFERROR(AVERAGEIFS(표16[specialty_cagr],표16[specialty_category],$B110,표16[end_use_category],H$86),"")</f>
        <v/>
      </c>
      <c r="I110" s="189">
        <f>IFERROR(AVERAGEIFS(표16[specialty_cagr],표16[specialty_category],$B110,표16[end_use_category],I$86),"")</f>
        <v/>
      </c>
      <c r="J110" s="189">
        <f>IFERROR(AVERAGEIFS(표16[specialty_cagr],표16[specialty_category],$B110,표16[end_use_category],J$86),"")</f>
        <v/>
      </c>
      <c r="K110" s="190">
        <f>IFERROR(AVERAGEIFS(표16[specialty_cagr],표16[specialty_category],$B110,표16[end_use_category],K$86),"")</f>
        <v/>
      </c>
      <c r="L110" s="189">
        <f>IFERROR(AVERAGEIFS(표16[specialty_cagr],표16[specialty_category],$B110,표16[end_use_category],L$86),"")</f>
        <v/>
      </c>
    </row>
    <row r="111">
      <c r="B111" s="84" t="inlineStr">
        <is>
          <t>Construction chemicals</t>
        </is>
      </c>
      <c r="C111" s="89" t="inlineStr">
        <is>
          <t>건설용 기능성 화학소재 산업</t>
        </is>
      </c>
      <c r="D111" s="188">
        <f>_xlfn.XLOOKUP(B111,end_use_specialty!$I$2:$I$31,end_use_specialty!$J$2:$J$31)</f>
        <v/>
      </c>
      <c r="E111" s="190">
        <f>IFERROR(AVERAGEIFS(표16[specialty_cagr],표16[specialty_category],$B111,표16[end_use_category],E$86),"")</f>
        <v/>
      </c>
      <c r="F111" s="189">
        <f>IFERROR(AVERAGEIFS(표16[specialty_cagr],표16[specialty_category],$B111,표16[end_use_category],F$86),"")</f>
        <v/>
      </c>
      <c r="G111" s="189">
        <f>IFERROR(AVERAGEIFS(표16[specialty_cagr],표16[specialty_category],$B111,표16[end_use_category],G$86),"")</f>
        <v/>
      </c>
      <c r="H111" s="189">
        <f>IFERROR(AVERAGEIFS(표16[specialty_cagr],표16[specialty_category],$B111,표16[end_use_category],H$86),"")</f>
        <v/>
      </c>
      <c r="I111" s="189">
        <f>IFERROR(AVERAGEIFS(표16[specialty_cagr],표16[specialty_category],$B111,표16[end_use_category],I$86),"")</f>
        <v/>
      </c>
      <c r="J111" s="189">
        <f>IFERROR(AVERAGEIFS(표16[specialty_cagr],표16[specialty_category],$B111,표16[end_use_category],J$86),"")</f>
        <v/>
      </c>
      <c r="K111" s="189">
        <f>IFERROR(AVERAGEIFS(표16[specialty_cagr],표16[specialty_category],$B111,표16[end_use_category],K$86),"")</f>
        <v/>
      </c>
      <c r="L111" s="189">
        <f>IFERROR(AVERAGEIFS(표16[specialty_cagr],표16[specialty_category],$B111,표16[end_use_category],L$86),"")</f>
        <v/>
      </c>
    </row>
    <row r="112">
      <c r="B112" s="84" t="inlineStr">
        <is>
          <t>Mining chemicals</t>
        </is>
      </c>
      <c r="C112" s="89" t="inlineStr">
        <is>
          <t>광물 채굴·선광용 화학소재 산업</t>
        </is>
      </c>
      <c r="D112" s="188">
        <f>_xlfn.XLOOKUP(B112,end_use_specialty!$I$2:$I$31,end_use_specialty!$J$2:$J$31)</f>
        <v/>
      </c>
      <c r="E112" s="189">
        <f>IFERROR(AVERAGEIFS(표16[specialty_cagr],표16[specialty_category],$B112,표16[end_use_category],E$86),"")</f>
        <v/>
      </c>
      <c r="F112" s="189">
        <f>IFERROR(AVERAGEIFS(표16[specialty_cagr],표16[specialty_category],$B112,표16[end_use_category],F$86),"")</f>
        <v/>
      </c>
      <c r="G112" s="189">
        <f>IFERROR(AVERAGEIFS(표16[specialty_cagr],표16[specialty_category],$B112,표16[end_use_category],G$86),"")</f>
        <v/>
      </c>
      <c r="H112" s="190">
        <f>IFERROR(AVERAGEIFS(표16[specialty_cagr],표16[specialty_category],$B112,표16[end_use_category],H$86),"")</f>
        <v/>
      </c>
      <c r="I112" s="189">
        <f>IFERROR(AVERAGEIFS(표16[specialty_cagr],표16[specialty_category],$B112,표16[end_use_category],I$86),"")</f>
        <v/>
      </c>
      <c r="J112" s="189">
        <f>IFERROR(AVERAGEIFS(표16[specialty_cagr],표16[specialty_category],$B112,표16[end_use_category],J$86),"")</f>
        <v/>
      </c>
      <c r="K112" s="190">
        <f>IFERROR(AVERAGEIFS(표16[specialty_cagr],표16[specialty_category],$B112,표16[end_use_category],K$86),"")</f>
        <v/>
      </c>
      <c r="L112" s="189">
        <f>IFERROR(AVERAGEIFS(표16[specialty_cagr],표16[specialty_category],$B112,표16[end_use_category],L$86),"")</f>
        <v/>
      </c>
    </row>
    <row r="113">
      <c r="B113" s="84" t="inlineStr">
        <is>
          <t>Lubricating oil additives</t>
        </is>
      </c>
      <c r="C113" s="89" t="inlineStr">
        <is>
          <t>윤활유 성능 강화 첨가제 산업</t>
        </is>
      </c>
      <c r="D113" s="188">
        <f>_xlfn.XLOOKUP(B113,end_use_specialty!$I$2:$I$31,end_use_specialty!$J$2:$J$31)</f>
        <v/>
      </c>
      <c r="E113" s="189">
        <f>IFERROR(AVERAGEIFS(표16[specialty_cagr],표16[specialty_category],$B113,표16[end_use_category],E$86),"")</f>
        <v/>
      </c>
      <c r="F113" s="189">
        <f>IFERROR(AVERAGEIFS(표16[specialty_cagr],표16[specialty_category],$B113,표16[end_use_category],F$86),"")</f>
        <v/>
      </c>
      <c r="G113" s="190">
        <f>IFERROR(AVERAGEIFS(표16[specialty_cagr],표16[specialty_category],$B113,표16[end_use_category],G$86),"")</f>
        <v/>
      </c>
      <c r="H113" s="190">
        <f>IFERROR(AVERAGEIFS(표16[specialty_cagr],표16[specialty_category],$B113,표16[end_use_category],H$86),"")</f>
        <v/>
      </c>
      <c r="I113" s="189">
        <f>IFERROR(AVERAGEIFS(표16[specialty_cagr],표16[specialty_category],$B113,표16[end_use_category],I$86),"")</f>
        <v/>
      </c>
      <c r="J113" s="189">
        <f>IFERROR(AVERAGEIFS(표16[specialty_cagr],표16[specialty_category],$B113,표16[end_use_category],J$86),"")</f>
        <v/>
      </c>
      <c r="K113" s="190">
        <f>IFERROR(AVERAGEIFS(표16[specialty_cagr],표16[specialty_category],$B113,표16[end_use_category],K$86),"")</f>
        <v/>
      </c>
      <c r="L113" s="189">
        <f>IFERROR(AVERAGEIFS(표16[specialty_cagr],표16[specialty_category],$B113,표16[end_use_category],L$86),"")</f>
        <v/>
      </c>
    </row>
    <row r="114">
      <c r="B114" s="84" t="inlineStr">
        <is>
          <t>Oil field chemicals</t>
        </is>
      </c>
      <c r="C114" s="89" t="inlineStr">
        <is>
          <t>유전·가스전 생산용 화학소재 산업</t>
        </is>
      </c>
      <c r="D114" s="188">
        <f>_xlfn.XLOOKUP(B114,end_use_specialty!$I$2:$I$31,end_use_specialty!$J$2:$J$31)</f>
        <v/>
      </c>
      <c r="E114" s="189">
        <f>IFERROR(AVERAGEIFS(표16[specialty_cagr],표16[specialty_category],$B114,표16[end_use_category],E$86),"")</f>
        <v/>
      </c>
      <c r="F114" s="189">
        <f>IFERROR(AVERAGEIFS(표16[specialty_cagr],표16[specialty_category],$B114,표16[end_use_category],F$86),"")</f>
        <v/>
      </c>
      <c r="G114" s="189">
        <f>IFERROR(AVERAGEIFS(표16[specialty_cagr],표16[specialty_category],$B114,표16[end_use_category],G$86),"")</f>
        <v/>
      </c>
      <c r="H114" s="190">
        <f>IFERROR(AVERAGEIFS(표16[specialty_cagr],표16[specialty_category],$B114,표16[end_use_category],H$86),"")</f>
        <v/>
      </c>
      <c r="I114" s="189">
        <f>IFERROR(AVERAGEIFS(표16[specialty_cagr],표16[specialty_category],$B114,표16[end_use_category],I$86),"")</f>
        <v/>
      </c>
      <c r="J114" s="189">
        <f>IFERROR(AVERAGEIFS(표16[specialty_cagr],표16[specialty_category],$B114,표16[end_use_category],J$86),"")</f>
        <v/>
      </c>
      <c r="K114" s="189">
        <f>IFERROR(AVERAGEIFS(표16[specialty_cagr],표16[specialty_category],$B114,표16[end_use_category],K$86),"")</f>
        <v/>
      </c>
      <c r="L114" s="189">
        <f>IFERROR(AVERAGEIFS(표16[specialty_cagr],표16[specialty_category],$B114,표16[end_use_category],L$86),"")</f>
        <v/>
      </c>
    </row>
    <row r="115">
      <c r="B115" s="84" t="inlineStr">
        <is>
          <t>Petroleum refining/chemical process</t>
        </is>
      </c>
      <c r="C115" s="89" t="inlineStr">
        <is>
          <t>정유·석화 공정용 촉매 산업</t>
        </is>
      </c>
      <c r="D115" s="188">
        <f>_xlfn.XLOOKUP(B115,end_use_specialty!$I$2:$I$31,end_use_specialty!$J$2:$J$31)</f>
        <v/>
      </c>
      <c r="E115" s="189">
        <f>IFERROR(AVERAGEIFS(표16[specialty_cagr],표16[specialty_category],$B115,표16[end_use_category],E$86),"")</f>
        <v/>
      </c>
      <c r="F115" s="189">
        <f>IFERROR(AVERAGEIFS(표16[specialty_cagr],표16[specialty_category],$B115,표16[end_use_category],F$86),"")</f>
        <v/>
      </c>
      <c r="G115" s="189">
        <f>IFERROR(AVERAGEIFS(표16[specialty_cagr],표16[specialty_category],$B115,표16[end_use_category],G$86),"")</f>
        <v/>
      </c>
      <c r="H115" s="190">
        <f>IFERROR(AVERAGEIFS(표16[specialty_cagr],표16[specialty_category],$B115,표16[end_use_category],H$86),"")</f>
        <v/>
      </c>
      <c r="I115" s="189">
        <f>IFERROR(AVERAGEIFS(표16[specialty_cagr],표16[specialty_category],$B115,표16[end_use_category],I$86),"")</f>
        <v/>
      </c>
      <c r="J115" s="189">
        <f>IFERROR(AVERAGEIFS(표16[specialty_cagr],표16[specialty_category],$B115,표16[end_use_category],J$86),"")</f>
        <v/>
      </c>
      <c r="K115" s="190">
        <f>IFERROR(AVERAGEIFS(표16[specialty_cagr],표16[specialty_category],$B115,표16[end_use_category],K$86),"")</f>
        <v/>
      </c>
      <c r="L115" s="189">
        <f>IFERROR(AVERAGEIFS(표16[specialty_cagr],표16[specialty_category],$B115,표16[end_use_category],L$86),"")</f>
        <v/>
      </c>
    </row>
    <row r="116">
      <c r="B116" s="84" t="inlineStr">
        <is>
          <t>Emission control</t>
        </is>
      </c>
      <c r="C116" s="89" t="inlineStr">
        <is>
          <t>배출가스 저감 촉매 산업</t>
        </is>
      </c>
      <c r="D116" s="188">
        <f>_xlfn.XLOOKUP(B116,end_use_specialty!$I$2:$I$31,end_use_specialty!$J$2:$J$31)</f>
        <v/>
      </c>
      <c r="E116" s="189">
        <f>IFERROR(AVERAGEIFS(표16[specialty_cagr],표16[specialty_category],$B116,표16[end_use_category],E$86),"")</f>
        <v/>
      </c>
      <c r="F116" s="189">
        <f>IFERROR(AVERAGEIFS(표16[specialty_cagr],표16[specialty_category],$B116,표16[end_use_category],F$86),"")</f>
        <v/>
      </c>
      <c r="G116" s="190">
        <f>IFERROR(AVERAGEIFS(표16[specialty_cagr],표16[specialty_category],$B116,표16[end_use_category],G$86),"")</f>
        <v/>
      </c>
      <c r="H116" s="190">
        <f>IFERROR(AVERAGEIFS(표16[specialty_cagr],표16[specialty_category],$B116,표16[end_use_category],H$86),"")</f>
        <v/>
      </c>
      <c r="I116" s="189">
        <f>IFERROR(AVERAGEIFS(표16[specialty_cagr],표16[specialty_category],$B116,표16[end_use_category],I$86),"")</f>
        <v/>
      </c>
      <c r="J116" s="189">
        <f>IFERROR(AVERAGEIFS(표16[specialty_cagr],표16[specialty_category],$B116,표16[end_use_category],J$86),"")</f>
        <v/>
      </c>
      <c r="K116" s="189">
        <f>IFERROR(AVERAGEIFS(표16[specialty_cagr],표16[specialty_category],$B116,표16[end_use_category],K$86),"")</f>
        <v/>
      </c>
      <c r="L116" s="189">
        <f>IFERROR(AVERAGEIFS(표16[specialty_cagr],표16[specialty_category],$B116,표16[end_use_category],L$86),"")</f>
        <v/>
      </c>
    </row>
    <row r="117">
      <c r="C117" s="90" t="n"/>
    </row>
    <row r="118">
      <c r="C118" s="90" t="n"/>
    </row>
    <row r="119">
      <c r="C119" s="90" t="n"/>
    </row>
    <row r="120">
      <c r="C120" s="90" t="n"/>
    </row>
    <row r="121">
      <c r="C121" s="90" t="n"/>
    </row>
    <row r="122">
      <c r="C122" s="90" t="n"/>
    </row>
    <row r="123">
      <c r="C123" s="90" t="n"/>
    </row>
    <row r="124">
      <c r="C124" s="90" t="n"/>
    </row>
    <row r="125">
      <c r="C125" s="90" t="n"/>
    </row>
    <row r="126">
      <c r="C126" s="90" t="n"/>
    </row>
    <row r="127">
      <c r="C127" s="90" t="n"/>
    </row>
    <row r="128">
      <c r="C128" s="90" t="n"/>
    </row>
    <row r="129">
      <c r="C129" s="90" t="n"/>
    </row>
    <row r="130">
      <c r="C130" s="90" t="n"/>
    </row>
    <row r="131">
      <c r="C131" s="90" t="n"/>
    </row>
    <row r="132">
      <c r="C132" s="90" t="n"/>
    </row>
    <row r="133">
      <c r="C133" s="90" t="n"/>
    </row>
    <row r="134">
      <c r="C134" s="90" t="n"/>
    </row>
    <row r="135">
      <c r="C135" s="90" t="n"/>
    </row>
    <row r="136">
      <c r="C136" s="90" t="n"/>
    </row>
    <row r="137">
      <c r="C137" s="90" t="n"/>
    </row>
    <row r="138">
      <c r="C138" s="90" t="n"/>
    </row>
    <row r="139">
      <c r="C139" s="90" t="n"/>
    </row>
    <row r="140">
      <c r="C140" s="90" t="n"/>
    </row>
    <row r="141">
      <c r="C141" s="90" t="n"/>
    </row>
    <row r="142">
      <c r="C142" s="90" t="n"/>
    </row>
    <row r="143">
      <c r="C143" s="90" t="n"/>
    </row>
    <row r="144">
      <c r="C144" s="90" t="n"/>
    </row>
    <row r="145">
      <c r="C145" s="90" t="n"/>
    </row>
    <row r="146">
      <c r="C146" s="90" t="n"/>
    </row>
    <row r="147">
      <c r="C147" s="90" t="n"/>
    </row>
    <row r="148">
      <c r="C148" s="90" t="n"/>
    </row>
    <row r="149">
      <c r="C149" s="90" t="n"/>
    </row>
    <row r="150">
      <c r="C150" s="90" t="n"/>
    </row>
    <row r="151">
      <c r="C151" s="90" t="n"/>
    </row>
    <row r="152">
      <c r="C152" s="90" t="n"/>
    </row>
    <row r="153">
      <c r="C153" s="90" t="n"/>
    </row>
    <row r="154">
      <c r="C154" s="90" t="n"/>
    </row>
    <row r="155">
      <c r="C155" s="90" t="n"/>
    </row>
    <row r="156">
      <c r="C156" s="90" t="n"/>
    </row>
    <row r="157">
      <c r="C157" s="90" t="n"/>
    </row>
    <row r="158">
      <c r="C158" s="90" t="n"/>
    </row>
    <row r="159">
      <c r="C159" s="90" t="n"/>
    </row>
    <row r="160">
      <c r="C160" s="90" t="n"/>
    </row>
    <row r="161">
      <c r="C161" s="90" t="n"/>
    </row>
    <row r="162">
      <c r="C162" s="90" t="n"/>
    </row>
    <row r="163">
      <c r="C163" s="90" t="n"/>
    </row>
    <row r="164">
      <c r="C164" s="90" t="n"/>
    </row>
    <row r="165">
      <c r="C165" s="90" t="n"/>
    </row>
    <row r="166">
      <c r="C166" s="90" t="n"/>
    </row>
    <row r="167">
      <c r="C167" s="90" t="n"/>
    </row>
    <row r="168">
      <c r="C168" s="90" t="n"/>
    </row>
    <row r="169">
      <c r="C169" s="90" t="n"/>
    </row>
    <row r="170">
      <c r="C170" s="90" t="n"/>
    </row>
    <row r="171">
      <c r="C171" s="90" t="n"/>
    </row>
    <row r="172">
      <c r="C172" s="90" t="n"/>
    </row>
    <row r="173">
      <c r="C173" s="90" t="n"/>
    </row>
    <row r="174">
      <c r="C174" s="90" t="n"/>
    </row>
    <row r="175">
      <c r="C175" s="90" t="n"/>
    </row>
    <row r="176">
      <c r="C176" s="90" t="n"/>
    </row>
    <row r="177">
      <c r="C177" s="90" t="n"/>
    </row>
    <row r="178">
      <c r="C178" s="90" t="n"/>
    </row>
    <row r="179">
      <c r="C179" s="90" t="n"/>
    </row>
    <row r="180">
      <c r="C180" s="90" t="n"/>
    </row>
    <row r="181">
      <c r="C181" s="90" t="n"/>
    </row>
    <row r="182">
      <c r="C182" s="90" t="n"/>
    </row>
    <row r="183">
      <c r="C183" s="90" t="n"/>
    </row>
    <row r="184">
      <c r="C184" s="90" t="n"/>
    </row>
    <row r="185">
      <c r="C185" s="90" t="n"/>
    </row>
    <row r="186">
      <c r="C186" s="90" t="n"/>
    </row>
    <row r="187">
      <c r="C187" s="90" t="n"/>
    </row>
    <row r="188">
      <c r="C188" s="90" t="n"/>
    </row>
    <row r="189">
      <c r="C189" s="90" t="n"/>
    </row>
    <row r="190">
      <c r="C190" s="90" t="n"/>
    </row>
    <row r="191">
      <c r="C191" s="90" t="n"/>
    </row>
    <row r="192">
      <c r="C192" s="90" t="n"/>
    </row>
    <row r="193">
      <c r="C193" s="90" t="n"/>
    </row>
    <row r="194">
      <c r="C194" s="90" t="n"/>
    </row>
    <row r="195">
      <c r="C195" s="90" t="n"/>
    </row>
    <row r="196">
      <c r="C196" s="90" t="n"/>
    </row>
    <row r="197">
      <c r="C197" s="90" t="n"/>
    </row>
    <row r="198">
      <c r="C198" s="90" t="n"/>
    </row>
    <row r="199">
      <c r="C199" s="90" t="n"/>
    </row>
    <row r="200">
      <c r="C200" s="90" t="n"/>
    </row>
    <row r="201">
      <c r="C201" s="90" t="n"/>
    </row>
    <row r="202">
      <c r="C202" s="90" t="n"/>
    </row>
    <row r="203">
      <c r="C203" s="90" t="n"/>
    </row>
    <row r="204">
      <c r="C204" s="90" t="n"/>
    </row>
    <row r="205">
      <c r="C205" s="90" t="n"/>
    </row>
    <row r="206">
      <c r="C206" s="90" t="n"/>
    </row>
    <row r="207">
      <c r="C207" s="90" t="n"/>
    </row>
    <row r="208">
      <c r="C208" s="90" t="n"/>
    </row>
    <row r="209">
      <c r="C209" s="90" t="n"/>
    </row>
    <row r="210">
      <c r="C210" s="90" t="n"/>
    </row>
    <row r="211">
      <c r="C211" s="90" t="n"/>
    </row>
    <row r="212">
      <c r="C212" s="90" t="n"/>
    </row>
    <row r="213">
      <c r="C213" s="90" t="n"/>
    </row>
    <row r="214">
      <c r="C214" s="90" t="n"/>
    </row>
    <row r="215">
      <c r="C215" s="90" t="n"/>
    </row>
    <row r="216">
      <c r="C216" s="90" t="n"/>
    </row>
    <row r="217">
      <c r="C217" s="90" t="n"/>
    </row>
    <row r="218">
      <c r="C218" s="90" t="n"/>
    </row>
    <row r="219">
      <c r="C219" s="90" t="n"/>
    </row>
    <row r="220">
      <c r="C220" s="90" t="n"/>
    </row>
    <row r="221">
      <c r="C221" s="90" t="n"/>
    </row>
    <row r="222">
      <c r="C222" s="90" t="n"/>
    </row>
    <row r="223">
      <c r="C223" s="90" t="n"/>
    </row>
    <row r="224">
      <c r="C224" s="90" t="n"/>
    </row>
    <row r="225">
      <c r="C225" s="90" t="n"/>
    </row>
    <row r="226">
      <c r="C226" s="90" t="n"/>
    </row>
    <row r="227">
      <c r="C227" s="90" t="n"/>
    </row>
    <row r="228">
      <c r="C228" s="90" t="n"/>
    </row>
    <row r="229">
      <c r="C229" s="90" t="n"/>
    </row>
    <row r="230">
      <c r="C230" s="90" t="n"/>
    </row>
    <row r="231">
      <c r="C231" s="90" t="n"/>
    </row>
    <row r="232">
      <c r="C232" s="90" t="n"/>
    </row>
    <row r="233">
      <c r="C233" s="90" t="n"/>
    </row>
    <row r="234">
      <c r="C234" s="90" t="n"/>
    </row>
    <row r="235">
      <c r="C235" s="90" t="n"/>
    </row>
    <row r="236">
      <c r="C236" s="90" t="n"/>
    </row>
    <row r="237">
      <c r="C237" s="90" t="n"/>
    </row>
    <row r="238">
      <c r="C238" s="90" t="n"/>
    </row>
    <row r="239">
      <c r="C239" s="90" t="n"/>
    </row>
    <row r="240">
      <c r="C240" s="90" t="n"/>
    </row>
    <row r="241">
      <c r="C241" s="90" t="n"/>
    </row>
    <row r="242">
      <c r="C242" s="90" t="n"/>
    </row>
    <row r="243">
      <c r="C243" s="90" t="n"/>
    </row>
    <row r="244">
      <c r="C244" s="90" t="n"/>
    </row>
    <row r="245">
      <c r="C245" s="90" t="n"/>
    </row>
    <row r="246">
      <c r="C246" s="90" t="n"/>
    </row>
    <row r="247">
      <c r="C247" s="90" t="n"/>
    </row>
    <row r="248">
      <c r="C248" s="90" t="n"/>
    </row>
    <row r="249">
      <c r="C249" s="90" t="n"/>
    </row>
    <row r="250">
      <c r="C250" s="90" t="n"/>
    </row>
    <row r="251">
      <c r="C251" s="90" t="n"/>
    </row>
    <row r="252">
      <c r="C252" s="90" t="n"/>
    </row>
    <row r="253">
      <c r="C253" s="90" t="n"/>
    </row>
    <row r="254">
      <c r="C254" s="90" t="n"/>
    </row>
    <row r="255">
      <c r="C255" s="90" t="n"/>
    </row>
    <row r="256">
      <c r="C256" s="90" t="n"/>
    </row>
    <row r="257">
      <c r="C257" s="90" t="n"/>
    </row>
    <row r="258">
      <c r="C258" s="90" t="n"/>
    </row>
    <row r="259">
      <c r="C259" s="90" t="n"/>
    </row>
    <row r="260">
      <c r="C260" s="90" t="n"/>
    </row>
    <row r="261">
      <c r="C261" s="90" t="n"/>
    </row>
    <row r="262">
      <c r="C262" s="90" t="n"/>
    </row>
    <row r="263">
      <c r="C263" s="90" t="n"/>
    </row>
    <row r="264">
      <c r="C264" s="90" t="n"/>
    </row>
    <row r="265">
      <c r="C265" s="90" t="n"/>
    </row>
    <row r="266">
      <c r="C266" s="90" t="n"/>
    </row>
    <row r="267">
      <c r="C267" s="90" t="n"/>
    </row>
    <row r="268">
      <c r="C268" s="90" t="n"/>
    </row>
    <row r="269">
      <c r="C269" s="90" t="n"/>
    </row>
    <row r="270">
      <c r="C270" s="90" t="n"/>
    </row>
    <row r="271">
      <c r="C271" s="90" t="n"/>
    </row>
    <row r="272">
      <c r="C272" s="90" t="n"/>
    </row>
    <row r="273">
      <c r="C273" s="90" t="n"/>
    </row>
    <row r="274">
      <c r="C274" s="90" t="n"/>
    </row>
    <row r="275">
      <c r="C275" s="90" t="n"/>
    </row>
    <row r="276">
      <c r="C276" s="90" t="n"/>
    </row>
    <row r="277">
      <c r="C277" s="90" t="n"/>
    </row>
    <row r="278">
      <c r="C278" s="90" t="n"/>
    </row>
    <row r="279">
      <c r="C279" s="90" t="n"/>
    </row>
    <row r="280">
      <c r="C280" s="90" t="n"/>
    </row>
    <row r="281">
      <c r="C281" s="90" t="n"/>
    </row>
    <row r="282">
      <c r="C282" s="90" t="n"/>
    </row>
    <row r="283">
      <c r="C283" s="90" t="n"/>
    </row>
    <row r="284">
      <c r="C284" s="90" t="n"/>
    </row>
    <row r="285">
      <c r="C285" s="90" t="n"/>
    </row>
    <row r="286">
      <c r="C286" s="90" t="n"/>
    </row>
    <row r="287">
      <c r="C287" s="90" t="n"/>
    </row>
    <row r="288">
      <c r="C288" s="90" t="n"/>
    </row>
    <row r="289">
      <c r="C289" s="90" t="n"/>
    </row>
    <row r="290">
      <c r="C290" s="90" t="n"/>
    </row>
    <row r="291">
      <c r="C291" s="90" t="n"/>
    </row>
    <row r="292">
      <c r="C292" s="90" t="n"/>
    </row>
    <row r="293">
      <c r="C293" s="90" t="n"/>
    </row>
    <row r="294">
      <c r="C294" s="90" t="n"/>
    </row>
    <row r="295">
      <c r="C295" s="90" t="n"/>
    </row>
    <row r="296">
      <c r="C296" s="90" t="n"/>
    </row>
    <row r="297">
      <c r="C297" s="90" t="n"/>
    </row>
    <row r="298">
      <c r="C298" s="90" t="n"/>
    </row>
    <row r="299">
      <c r="C299" s="90" t="n"/>
    </row>
    <row r="300">
      <c r="C300" s="90" t="n"/>
    </row>
    <row r="301">
      <c r="C301" s="90" t="n"/>
    </row>
    <row r="302">
      <c r="C302" s="90" t="n"/>
    </row>
    <row r="303">
      <c r="C303" s="90" t="n"/>
    </row>
    <row r="304">
      <c r="C304" s="90" t="n"/>
    </row>
    <row r="305">
      <c r="C305" s="90" t="n"/>
    </row>
    <row r="306">
      <c r="C306" s="90" t="n"/>
    </row>
    <row r="307">
      <c r="C307" s="90" t="n"/>
    </row>
    <row r="308">
      <c r="C308" s="90" t="n"/>
    </row>
    <row r="309">
      <c r="C309" s="90" t="n"/>
    </row>
    <row r="310">
      <c r="C310" s="90" t="n"/>
    </row>
    <row r="311">
      <c r="C311" s="90" t="n"/>
    </row>
    <row r="312">
      <c r="C312" s="90" t="n"/>
    </row>
    <row r="313">
      <c r="C313" s="90" t="n"/>
    </row>
    <row r="314">
      <c r="C314" s="90" t="n"/>
    </row>
    <row r="315">
      <c r="C315" s="90" t="n"/>
    </row>
    <row r="316">
      <c r="C316" s="90" t="n"/>
    </row>
    <row r="317">
      <c r="C317" s="90" t="n"/>
    </row>
    <row r="318">
      <c r="C318" s="90" t="n"/>
    </row>
    <row r="319">
      <c r="C319" s="90" t="n"/>
    </row>
    <row r="320">
      <c r="C320" s="90" t="n"/>
    </row>
    <row r="321">
      <c r="C321" s="90" t="n"/>
    </row>
    <row r="322">
      <c r="C322" s="90" t="n"/>
    </row>
    <row r="323">
      <c r="C323" s="90" t="n"/>
    </row>
    <row r="324">
      <c r="C324" s="90" t="n"/>
    </row>
    <row r="325">
      <c r="C325" s="90" t="n"/>
    </row>
    <row r="326">
      <c r="C326" s="90" t="n"/>
    </row>
    <row r="327">
      <c r="C327" s="90" t="n"/>
    </row>
    <row r="328">
      <c r="C328" s="90" t="n"/>
    </row>
    <row r="329">
      <c r="C329" s="90" t="n"/>
    </row>
    <row r="330">
      <c r="C330" s="90" t="n"/>
    </row>
    <row r="331">
      <c r="C331" s="90" t="n"/>
    </row>
    <row r="332">
      <c r="C332" s="90" t="n"/>
    </row>
    <row r="333">
      <c r="C333" s="90" t="n"/>
    </row>
    <row r="334">
      <c r="C334" s="90" t="n"/>
    </row>
    <row r="335">
      <c r="C335" s="90" t="n"/>
    </row>
    <row r="336">
      <c r="C336" s="90" t="n"/>
    </row>
    <row r="337">
      <c r="C337" s="90" t="n"/>
    </row>
    <row r="338">
      <c r="C338" s="90" t="n"/>
    </row>
    <row r="339">
      <c r="C339" s="90" t="n"/>
    </row>
    <row r="340">
      <c r="C340" s="90" t="n"/>
    </row>
    <row r="341">
      <c r="C341" s="90" t="n"/>
    </row>
    <row r="342">
      <c r="C342" s="90" t="n"/>
    </row>
    <row r="343">
      <c r="C343" s="90" t="n"/>
    </row>
    <row r="344">
      <c r="C344" s="90" t="n"/>
    </row>
    <row r="345">
      <c r="C345" s="90" t="n"/>
    </row>
    <row r="346">
      <c r="C346" s="90" t="n"/>
    </row>
    <row r="347">
      <c r="C347" s="90" t="n"/>
    </row>
    <row r="348">
      <c r="C348" s="90" t="n"/>
    </row>
    <row r="349">
      <c r="C349" s="90" t="n"/>
    </row>
    <row r="350">
      <c r="C350" s="90" t="n"/>
    </row>
    <row r="351">
      <c r="C351" s="90" t="n"/>
    </row>
    <row r="352">
      <c r="C352" s="90" t="n"/>
    </row>
    <row r="353">
      <c r="C353" s="90" t="n"/>
    </row>
    <row r="354">
      <c r="C354" s="90" t="n"/>
    </row>
    <row r="355">
      <c r="C355" s="90" t="n"/>
    </row>
    <row r="356">
      <c r="C356" s="90" t="n"/>
    </row>
    <row r="357">
      <c r="C357" s="90" t="n"/>
    </row>
    <row r="358">
      <c r="C358" s="90" t="n"/>
    </row>
    <row r="359">
      <c r="C359" s="90" t="n"/>
    </row>
    <row r="360">
      <c r="C360" s="90" t="n"/>
    </row>
    <row r="361">
      <c r="C361" s="90" t="n"/>
    </row>
    <row r="362">
      <c r="C362" s="90" t="n"/>
    </row>
    <row r="363">
      <c r="C363" s="90" t="n"/>
    </row>
    <row r="364">
      <c r="C364" s="90" t="n"/>
    </row>
    <row r="365">
      <c r="C365" s="90" t="n"/>
    </row>
    <row r="366">
      <c r="C366" s="90" t="n"/>
    </row>
    <row r="367">
      <c r="C367" s="90" t="n"/>
    </row>
    <row r="368">
      <c r="C368" s="90" t="n"/>
    </row>
    <row r="369">
      <c r="C369" s="90" t="n"/>
    </row>
    <row r="370">
      <c r="C370" s="90" t="n"/>
    </row>
    <row r="371">
      <c r="C371" s="90" t="n"/>
    </row>
    <row r="372">
      <c r="C372" s="90" t="n"/>
    </row>
    <row r="373">
      <c r="C373" s="90" t="n"/>
    </row>
    <row r="374">
      <c r="C374" s="90" t="n"/>
    </row>
    <row r="375">
      <c r="C375" s="90" t="n"/>
    </row>
    <row r="376">
      <c r="C376" s="90" t="n"/>
    </row>
  </sheetData>
  <pageMargins left="0.7" right="0.7" top="0.75" bottom="0.75" header="0.3" footer="0.3"/>
  <pageSetup orientation="portrait" paperSize="9" verticalDpi="0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C44"/>
  <sheetViews>
    <sheetView topLeftCell="A10" zoomScale="85" zoomScaleNormal="85" workbookViewId="0">
      <selection activeCell="B39" sqref="B39"/>
    </sheetView>
  </sheetViews>
  <sheetFormatPr baseColWidth="8" defaultRowHeight="16.5"/>
  <cols>
    <col width="9.375" bestFit="1" customWidth="1" style="179" min="1" max="1"/>
    <col width="44.625" bestFit="1" customWidth="1" style="179" min="2" max="2"/>
    <col width="49.375" bestFit="1" customWidth="1" style="179" min="3" max="3"/>
  </cols>
  <sheetData>
    <row r="1">
      <c r="A1" t="inlineStr">
        <is>
          <t>app_id</t>
        </is>
      </c>
      <c r="B1" t="inlineStr">
        <is>
          <t>application_taxonomy</t>
        </is>
      </c>
      <c r="C1" t="inlineStr">
        <is>
          <t>Definition</t>
        </is>
      </c>
    </row>
    <row r="2">
      <c r="A2" s="11" t="inlineStr">
        <is>
          <t>A01</t>
        </is>
      </c>
      <c r="B2" s="11" t="inlineStr">
        <is>
          <t>Major chemical intermediate</t>
        </is>
      </c>
      <c r="C2" s="11" t="inlineStr">
        <is>
          <t>Dominant intermediate to major downstream chain</t>
        </is>
      </c>
    </row>
    <row r="3">
      <c r="A3" s="11" t="inlineStr">
        <is>
          <t>A02</t>
        </is>
      </c>
      <c r="B3" s="11" t="inlineStr">
        <is>
          <t>Specialty chemical intermediate</t>
        </is>
      </c>
      <c r="C3" s="11" t="inlineStr">
        <is>
          <t>Intermediate feeding multiple specialty chains</t>
        </is>
      </c>
    </row>
    <row r="4">
      <c r="A4" s="11" t="inlineStr">
        <is>
          <t>A03</t>
        </is>
      </c>
      <c r="B4" s="11" t="inlineStr">
        <is>
          <t>Reactive monomer / comonomer</t>
        </is>
      </c>
      <c r="C4" s="11" t="inlineStr">
        <is>
          <t>Reactive polymer or resin feedstock</t>
        </is>
      </c>
    </row>
    <row r="5">
      <c r="A5" s="11" t="inlineStr">
        <is>
          <t>A04</t>
        </is>
      </c>
      <c r="B5" s="11" t="inlineStr">
        <is>
          <t>Polymer resin / molding material</t>
        </is>
      </c>
      <c r="C5" s="11" t="inlineStr">
        <is>
          <t>Resin used for molding or shaping</t>
        </is>
      </c>
    </row>
    <row r="6">
      <c r="A6" s="11" t="inlineStr">
        <is>
          <t>A05</t>
        </is>
      </c>
      <c r="B6" s="11" t="inlineStr">
        <is>
          <t>Flexible packaging</t>
        </is>
      </c>
      <c r="C6" s="11" t="inlineStr">
        <is>
          <t>Flexible film or pouch packaging</t>
        </is>
      </c>
    </row>
    <row r="7">
      <c r="A7" s="11" t="inlineStr">
        <is>
          <t>A06</t>
        </is>
      </c>
      <c r="B7" s="11" t="inlineStr">
        <is>
          <t>Rigid packaging</t>
        </is>
      </c>
      <c r="C7" s="11" t="inlineStr">
        <is>
          <t>Bottle, container, rigid packaging</t>
        </is>
      </c>
    </row>
    <row r="8">
      <c r="A8" s="11" t="inlineStr">
        <is>
          <t>A07</t>
        </is>
      </c>
      <c r="B8" s="11" t="inlineStr">
        <is>
          <t>Barrier packaging</t>
        </is>
      </c>
      <c r="C8" s="11" t="inlineStr">
        <is>
          <t>Moisture/oxygen/aroma barrier</t>
        </is>
      </c>
    </row>
    <row r="9">
      <c r="A9" s="11" t="inlineStr">
        <is>
          <t>A08</t>
        </is>
      </c>
      <c r="B9" s="11" t="inlineStr">
        <is>
          <t>Protective packaging</t>
        </is>
      </c>
      <c r="C9" s="11" t="inlineStr">
        <is>
          <t>Cushioning and protective packaging</t>
        </is>
      </c>
    </row>
    <row r="10">
      <c r="A10" s="11" t="inlineStr">
        <is>
          <t>A09</t>
        </is>
      </c>
      <c r="B10" s="11" t="inlineStr">
        <is>
          <t>Pipe &amp; fluid conveyance</t>
        </is>
      </c>
      <c r="C10" s="11" t="inlineStr">
        <is>
          <t>Pipe, tubing, fluid transfer</t>
        </is>
      </c>
    </row>
    <row r="11">
      <c r="A11" s="11" t="inlineStr">
        <is>
          <t>A10</t>
        </is>
      </c>
      <c r="B11" s="11" t="inlineStr">
        <is>
          <t>Building materials &amp; profiles</t>
        </is>
      </c>
      <c r="C11" s="11" t="inlineStr">
        <is>
          <t>Building profiles and construction materials</t>
        </is>
      </c>
    </row>
    <row r="12">
      <c r="A12" s="11" t="inlineStr">
        <is>
          <t>A11</t>
        </is>
      </c>
      <c r="B12" s="11" t="inlineStr">
        <is>
          <t>Flooring &amp; interior materials</t>
        </is>
      </c>
      <c r="C12" s="11" t="inlineStr">
        <is>
          <t>Flooring and interior surfaces</t>
        </is>
      </c>
    </row>
    <row r="13">
      <c r="A13" s="11" t="inlineStr">
        <is>
          <t>A12</t>
        </is>
      </c>
      <c r="B13" s="11" t="inlineStr">
        <is>
          <t>Thermal insulation</t>
        </is>
      </c>
      <c r="C13" s="11" t="inlineStr">
        <is>
          <t>Heat insulation materials</t>
        </is>
      </c>
    </row>
    <row r="14">
      <c r="A14" s="11" t="inlineStr">
        <is>
          <t>A13</t>
        </is>
      </c>
      <c r="B14" s="11" t="inlineStr">
        <is>
          <t>Electrical insulation</t>
        </is>
      </c>
      <c r="C14" s="11" t="inlineStr">
        <is>
          <t>Electrical insulation and cable materials</t>
        </is>
      </c>
    </row>
    <row r="15">
      <c r="A15" s="11" t="inlineStr">
        <is>
          <t>A14</t>
        </is>
      </c>
      <c r="B15" s="11" t="inlineStr">
        <is>
          <t>Renewable energy materials</t>
        </is>
      </c>
      <c r="C15" s="11" t="inlineStr">
        <is>
          <t>Solar, wind, renewable energy materials</t>
        </is>
      </c>
    </row>
    <row r="16">
      <c r="A16" s="11" t="inlineStr">
        <is>
          <t>A15</t>
        </is>
      </c>
      <c r="B16" s="11" t="inlineStr">
        <is>
          <t>Battery &amp; thermal-management materials</t>
        </is>
      </c>
      <c r="C16" s="11" t="inlineStr">
        <is>
          <t>Battery and thermal management</t>
        </is>
      </c>
    </row>
    <row r="17">
      <c r="A17" s="11" t="inlineStr">
        <is>
          <t>A16</t>
        </is>
      </c>
      <c r="B17" s="11" t="inlineStr">
        <is>
          <t>Automotive components &amp; lightweighting</t>
        </is>
      </c>
      <c r="C17" s="11" t="inlineStr">
        <is>
          <t>Automotive structural or lightweight materials</t>
        </is>
      </c>
    </row>
    <row r="18">
      <c r="A18" s="11" t="inlineStr">
        <is>
          <t>A17</t>
        </is>
      </c>
      <c r="B18" s="11" t="inlineStr">
        <is>
          <t>Cushioning &amp; comfort materials</t>
        </is>
      </c>
      <c r="C18" s="11" t="inlineStr">
        <is>
          <t>Foam and comfort applications</t>
        </is>
      </c>
    </row>
    <row r="19">
      <c r="A19" s="11" t="inlineStr">
        <is>
          <t>A18</t>
        </is>
      </c>
      <c r="B19" s="11" t="inlineStr">
        <is>
          <t>Elastomeric performance materials</t>
        </is>
      </c>
      <c r="C19" s="11" t="inlineStr">
        <is>
          <t>Rubber and elastomer performance</t>
        </is>
      </c>
    </row>
    <row r="20">
      <c r="A20" s="11" t="inlineStr">
        <is>
          <t>A19</t>
        </is>
      </c>
      <c r="B20" s="11" t="inlineStr">
        <is>
          <t>Tire &amp; rubber applications</t>
        </is>
      </c>
      <c r="C20" s="11" t="inlineStr">
        <is>
          <t>Tire and rubber goods</t>
        </is>
      </c>
    </row>
    <row r="21">
      <c r="A21" s="11" t="inlineStr">
        <is>
          <t>A20</t>
        </is>
      </c>
      <c r="B21" s="11" t="inlineStr">
        <is>
          <t>Adhesive bonding</t>
        </is>
      </c>
      <c r="C21" s="11" t="inlineStr">
        <is>
          <t>Adhesives and bonding</t>
        </is>
      </c>
    </row>
    <row r="22">
      <c r="A22" s="11" t="inlineStr">
        <is>
          <t>A21</t>
        </is>
      </c>
      <c r="B22" s="11" t="inlineStr">
        <is>
          <t>Sealants &amp; joint protection</t>
        </is>
      </c>
      <c r="C22" s="11" t="inlineStr">
        <is>
          <t>Sealing and joint protection</t>
        </is>
      </c>
    </row>
    <row r="23">
      <c r="A23" s="11" t="inlineStr">
        <is>
          <t>A22</t>
        </is>
      </c>
      <c r="B23" s="11" t="inlineStr">
        <is>
          <t>Surface coating</t>
        </is>
      </c>
      <c r="C23" s="11" t="inlineStr">
        <is>
          <t>Paints and coatings</t>
        </is>
      </c>
    </row>
    <row r="24">
      <c r="A24" s="11" t="inlineStr">
        <is>
          <t>A23</t>
        </is>
      </c>
      <c r="B24" s="11" t="inlineStr">
        <is>
          <t>Printing inks &amp; graphic materials</t>
        </is>
      </c>
      <c r="C24" s="11" t="inlineStr">
        <is>
          <t>Printing and graphic materials</t>
        </is>
      </c>
    </row>
    <row r="25">
      <c r="A25" s="11" t="inlineStr">
        <is>
          <t>A24</t>
        </is>
      </c>
      <c r="B25" s="11" t="inlineStr">
        <is>
          <t>Solvent &amp; extraction</t>
        </is>
      </c>
      <c r="C25" s="11" t="inlineStr">
        <is>
          <t>Solvents and extraction</t>
        </is>
      </c>
    </row>
    <row r="26">
      <c r="A26" s="11" t="inlineStr">
        <is>
          <t>A25</t>
        </is>
      </c>
      <c r="B26" s="11" t="inlineStr">
        <is>
          <t>Industrial cleaning &amp; degreasing</t>
        </is>
      </c>
      <c r="C26" s="11" t="inlineStr">
        <is>
          <t>Industrial cleaning and degreasing</t>
        </is>
      </c>
    </row>
    <row r="27">
      <c r="A27" s="11" t="inlineStr">
        <is>
          <t>A26</t>
        </is>
      </c>
      <c r="B27" s="11" t="inlineStr">
        <is>
          <t>Gas treatment &amp; purification</t>
        </is>
      </c>
      <c r="C27" s="11" t="inlineStr">
        <is>
          <t>Gas purification and treating</t>
        </is>
      </c>
    </row>
    <row r="28">
      <c r="A28" s="11" t="inlineStr">
        <is>
          <t>A27</t>
        </is>
      </c>
      <c r="B28" s="11" t="inlineStr">
        <is>
          <t>Water treatment &amp; dispersants</t>
        </is>
      </c>
      <c r="C28" s="11" t="inlineStr">
        <is>
          <t>Water treatment and dispersants</t>
        </is>
      </c>
    </row>
    <row r="29">
      <c r="A29" s="11" t="inlineStr">
        <is>
          <t>A28</t>
        </is>
      </c>
      <c r="B29" s="11" t="inlineStr">
        <is>
          <t>Lubrication &amp; friction control</t>
        </is>
      </c>
      <c r="C29" s="11" t="inlineStr">
        <is>
          <t>Lubricants and additives</t>
        </is>
      </c>
    </row>
    <row r="30">
      <c r="A30" s="11" t="inlineStr">
        <is>
          <t>A29</t>
        </is>
      </c>
      <c r="B30" s="11" t="inlineStr">
        <is>
          <t>Corrosion inhibition &amp; metalworking</t>
        </is>
      </c>
      <c r="C30" s="11" t="inlineStr">
        <is>
          <t>Corrosion and metalworking</t>
        </is>
      </c>
    </row>
    <row r="31">
      <c r="A31" s="11" t="inlineStr">
        <is>
          <t>A30</t>
        </is>
      </c>
      <c r="B31" s="11" t="inlineStr">
        <is>
          <t>Surfactant &amp; emulsification</t>
        </is>
      </c>
      <c r="C31" s="11" t="inlineStr">
        <is>
          <t>Surface activity and emulsification</t>
        </is>
      </c>
    </row>
    <row r="32">
      <c r="A32" s="11" t="inlineStr">
        <is>
          <t>A31</t>
        </is>
      </c>
      <c r="B32" s="11" t="inlineStr">
        <is>
          <t>Personal care formulation</t>
        </is>
      </c>
      <c r="C32" s="11" t="inlineStr">
        <is>
          <t>Cosmetic and personal care formulation</t>
        </is>
      </c>
    </row>
    <row r="33">
      <c r="A33" s="11" t="inlineStr">
        <is>
          <t>A32</t>
        </is>
      </c>
      <c r="B33" s="11" t="inlineStr">
        <is>
          <t>Hygiene &amp; absorbency</t>
        </is>
      </c>
      <c r="C33" s="11" t="inlineStr">
        <is>
          <t>Hygiene and absorbent materials</t>
        </is>
      </c>
    </row>
    <row r="34">
      <c r="A34" s="11" t="inlineStr">
        <is>
          <t>A33</t>
        </is>
      </c>
      <c r="B34" s="11" t="inlineStr">
        <is>
          <t>Medical &amp; healthcare materials</t>
        </is>
      </c>
      <c r="C34" s="11" t="inlineStr">
        <is>
          <t>Medical applications</t>
        </is>
      </c>
    </row>
    <row r="35">
      <c r="A35" s="11" t="inlineStr">
        <is>
          <t>A34</t>
        </is>
      </c>
      <c r="B35" s="11" t="inlineStr">
        <is>
          <t>Agricultural productivity materials</t>
        </is>
      </c>
      <c r="C35" s="11" t="inlineStr">
        <is>
          <t>Agricultural productivity applications</t>
        </is>
      </c>
    </row>
    <row r="36">
      <c r="A36" s="11" t="inlineStr">
        <is>
          <t>A35</t>
        </is>
      </c>
      <c r="B36" s="11" t="inlineStr">
        <is>
          <t>Crop protection &amp; agrochemical intermediates</t>
        </is>
      </c>
      <c r="C36" s="11" t="inlineStr">
        <is>
          <t>Agrochemical chain</t>
        </is>
      </c>
    </row>
    <row r="37">
      <c r="A37" s="11" t="inlineStr">
        <is>
          <t>A36</t>
        </is>
      </c>
      <c r="B37" s="11" t="inlineStr">
        <is>
          <t>Food additives &amp; preservation</t>
        </is>
      </c>
      <c r="C37" s="11" t="inlineStr">
        <is>
          <t>Food additive and preservation</t>
        </is>
      </c>
    </row>
    <row r="38">
      <c r="A38" s="11" t="inlineStr">
        <is>
          <t>A37</t>
        </is>
      </c>
      <c r="B38" s="11" t="inlineStr">
        <is>
          <t>Cement &amp; concrete additives</t>
        </is>
      </c>
      <c r="C38" s="11" t="inlineStr">
        <is>
          <t>Cement and concrete chemistry</t>
        </is>
      </c>
    </row>
    <row r="39">
      <c r="A39" s="11" t="inlineStr">
        <is>
          <t>A38</t>
        </is>
      </c>
      <c r="B39" s="11" t="inlineStr">
        <is>
          <t>Polymer modification &amp; additives</t>
        </is>
      </c>
      <c r="C39" s="11" t="inlineStr">
        <is>
          <t>Polymer modifiers and additives</t>
        </is>
      </c>
    </row>
    <row r="40">
      <c r="A40" s="11" t="inlineStr">
        <is>
          <t>A39</t>
        </is>
      </c>
      <c r="B40" s="11" t="inlineStr">
        <is>
          <t>Flame retardancy &amp; fire protection</t>
        </is>
      </c>
      <c r="C40" s="11" t="inlineStr">
        <is>
          <t>Flame retardancy</t>
        </is>
      </c>
    </row>
    <row r="41">
      <c r="A41" s="11" t="inlineStr">
        <is>
          <t>A40</t>
        </is>
      </c>
      <c r="B41" s="11" t="inlineStr">
        <is>
          <t>Electronic chemicals &amp; materials</t>
        </is>
      </c>
      <c r="C41" s="11" t="inlineStr">
        <is>
          <t>Semiconductor and electronic materials</t>
        </is>
      </c>
    </row>
    <row r="42">
      <c r="A42" s="11" t="inlineStr">
        <is>
          <t>A41</t>
        </is>
      </c>
      <c r="B42" s="11" t="inlineStr">
        <is>
          <t>Display &amp; optical materials</t>
        </is>
      </c>
      <c r="C42" s="11" t="inlineStr">
        <is>
          <t>Optical and display materials</t>
        </is>
      </c>
    </row>
    <row r="43">
      <c r="A43" s="11" t="inlineStr">
        <is>
          <t>A42</t>
        </is>
      </c>
      <c r="B43" s="11" t="inlineStr">
        <is>
          <t>Composite &amp; performance resins</t>
        </is>
      </c>
      <c r="C43" s="11" t="inlineStr">
        <is>
          <t>Composite and performance resins</t>
        </is>
      </c>
    </row>
    <row r="44">
      <c r="A44" s="11" t="inlineStr">
        <is>
          <t>A43</t>
        </is>
      </c>
      <c r="B44" s="11" t="inlineStr">
        <is>
          <t>Fuel / fuel additive</t>
        </is>
      </c>
      <c r="C44" s="11" t="inlineStr">
        <is>
          <t>Fuel or fuel additive</t>
        </is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L466"/>
  <sheetViews>
    <sheetView topLeftCell="A413" zoomScale="85" zoomScaleNormal="85" workbookViewId="0">
      <selection activeCell="A361" sqref="A361"/>
    </sheetView>
  </sheetViews>
  <sheetFormatPr baseColWidth="8" defaultRowHeight="16.5"/>
  <cols>
    <col width="8.625" customWidth="1" style="179" min="1" max="4"/>
    <col width="17.125" bestFit="1" customWidth="1" style="179" min="5" max="5"/>
    <col width="30.625" customWidth="1" style="179" min="6" max="8"/>
    <col width="13.875" bestFit="1" customWidth="1" style="179" min="9" max="9"/>
    <col width="50.625" customWidth="1" style="179" min="10" max="10"/>
    <col width="19.5" bestFit="1" customWidth="1" style="179" min="11" max="11"/>
    <col width="9.5" bestFit="1" customWidth="1" style="179" min="12" max="12"/>
  </cols>
  <sheetData>
    <row r="1">
      <c r="A1" s="25" t="inlineStr">
        <is>
          <t>material_id</t>
        </is>
      </c>
      <c r="B1" s="25" t="inlineStr">
        <is>
          <t>app_id</t>
        </is>
      </c>
      <c r="C1" s="25" t="inlineStr">
        <is>
          <t>end_use_id</t>
        </is>
      </c>
      <c r="D1" s="24" t="inlineStr">
        <is>
          <t>rating</t>
        </is>
      </c>
      <c r="E1" s="6" t="inlineStr">
        <is>
          <t>material_name</t>
        </is>
      </c>
      <c r="F1" s="6" t="inlineStr">
        <is>
          <t>raw application</t>
        </is>
      </c>
      <c r="G1" s="6" t="inlineStr">
        <is>
          <t>application_taxonomy</t>
        </is>
      </c>
      <c r="H1" s="6" t="inlineStr">
        <is>
          <t>end_use_industry</t>
        </is>
      </c>
      <c r="I1" s="6" t="inlineStr">
        <is>
          <t>importance</t>
        </is>
      </c>
      <c r="J1" s="6" t="inlineStr">
        <is>
          <t>reasoning</t>
        </is>
      </c>
      <c r="K1" s="6" t="inlineStr">
        <is>
          <t>taxonomy_action</t>
        </is>
      </c>
      <c r="L1" s="6" t="inlineStr">
        <is>
          <t>source</t>
        </is>
      </c>
    </row>
    <row r="2">
      <c r="A2" s="11">
        <f>_xlfn.XLOOKUP(표14[[#This Row],[material_name]],표2[material_name],표2[material_id])</f>
        <v/>
      </c>
      <c r="B2" s="11">
        <f>_xlfn.XLOOKUP(표14[[#This Row],[application_taxonomy]],표11[application_taxonomy],표11[app_id])</f>
        <v/>
      </c>
      <c r="C2" s="11">
        <f>_xlfn.XLOOKUP(표14[[#This Row],[end_use_industry]],표13[end_use_category],표13[end_use_id])</f>
        <v/>
      </c>
      <c r="D2" s="11">
        <f>_xlfn.XLOOKUP(표14[[#This Row],[importance]],표15[importance],표15[rating])</f>
        <v/>
      </c>
      <c r="E2" s="1" t="inlineStr">
        <is>
          <t>HDPE</t>
        </is>
      </c>
      <c r="F2" s="1" t="inlineStr">
        <is>
          <t>Blow molding</t>
        </is>
      </c>
      <c r="G2" s="1" t="inlineStr">
        <is>
          <t>Rigid packaging</t>
        </is>
      </c>
      <c r="H2" s="1" t="inlineStr">
        <is>
          <t>Consumer Products &amp; Packaging</t>
        </is>
      </c>
      <c r="I2" s="1" t="inlineStr">
        <is>
          <t>Primary</t>
        </is>
      </c>
      <c r="J2" s="1" t="inlineStr">
        <is>
          <t>2024년 27%로 최대 용도, 병·용기 중심</t>
        </is>
      </c>
      <c r="K2" s="1" t="inlineStr">
        <is>
          <t>Existing</t>
        </is>
      </c>
      <c r="L2" s="11" t="n"/>
    </row>
    <row r="3">
      <c r="A3" s="11">
        <f>_xlfn.XLOOKUP(표14[[#This Row],[material_name]],표2[material_name],표2[material_id])</f>
        <v/>
      </c>
      <c r="B3" s="11">
        <f>_xlfn.XLOOKUP(표14[[#This Row],[application_taxonomy]],표11[application_taxonomy],표11[app_id])</f>
        <v/>
      </c>
      <c r="C3" s="11">
        <f>_xlfn.XLOOKUP(표14[[#This Row],[end_use_industry]],표13[end_use_category],표13[end_use_id])</f>
        <v/>
      </c>
      <c r="D3" s="11">
        <f>_xlfn.XLOOKUP(표14[[#This Row],[importance]],표15[importance],표15[rating])</f>
        <v/>
      </c>
      <c r="E3" s="1" t="inlineStr">
        <is>
          <t>HDPE</t>
        </is>
      </c>
      <c r="F3" s="1" t="inlineStr">
        <is>
          <t>Film and sheet</t>
        </is>
      </c>
      <c r="G3" s="1" t="inlineStr">
        <is>
          <t>Flexible packaging</t>
        </is>
      </c>
      <c r="H3" s="1" t="inlineStr">
        <is>
          <t>Consumer Products &amp; Packaging</t>
        </is>
      </c>
      <c r="I3" s="1" t="inlineStr">
        <is>
          <t>Primary</t>
        </is>
      </c>
      <c r="J3" s="1" t="inlineStr">
        <is>
          <t>2024년 24%로 blow molding과 함께 핵심 수요</t>
        </is>
      </c>
      <c r="K3" s="1" t="inlineStr">
        <is>
          <t>Existing</t>
        </is>
      </c>
      <c r="L3" s="11" t="n"/>
    </row>
    <row r="4">
      <c r="A4" s="11">
        <f>_xlfn.XLOOKUP(표14[[#This Row],[material_name]],표2[material_name],표2[material_id])</f>
        <v/>
      </c>
      <c r="B4" s="11">
        <f>_xlfn.XLOOKUP(표14[[#This Row],[application_taxonomy]],표11[application_taxonomy],표11[app_id])</f>
        <v/>
      </c>
      <c r="C4" s="11">
        <f>_xlfn.XLOOKUP(표14[[#This Row],[end_use_industry]],표13[end_use_category],표13[end_use_id])</f>
        <v/>
      </c>
      <c r="D4" s="11">
        <f>_xlfn.XLOOKUP(표14[[#This Row],[importance]],표15[importance],표15[rating])</f>
        <v/>
      </c>
      <c r="E4" s="1" t="inlineStr">
        <is>
          <t>HDPE</t>
        </is>
      </c>
      <c r="F4" s="1" t="inlineStr">
        <is>
          <t>Pipe and extrusion</t>
        </is>
      </c>
      <c r="G4" s="1" t="inlineStr">
        <is>
          <t>Pipe &amp; fluid conveyance</t>
        </is>
      </c>
      <c r="H4" s="1" t="inlineStr">
        <is>
          <t>Construction &amp; Infrastructure</t>
        </is>
      </c>
      <c r="I4" s="1" t="inlineStr">
        <is>
          <t>Primary</t>
        </is>
      </c>
      <c r="J4" s="1" t="inlineStr">
        <is>
          <t>2024년 20%, 인프라·배관 수요와 직접 연결</t>
        </is>
      </c>
      <c r="K4" s="1" t="inlineStr">
        <is>
          <t>Existing</t>
        </is>
      </c>
      <c r="L4" s="11" t="n"/>
    </row>
    <row r="5">
      <c r="A5" s="11">
        <f>_xlfn.XLOOKUP(표14[[#This Row],[material_name]],표2[material_name],표2[material_id])</f>
        <v/>
      </c>
      <c r="B5" s="11">
        <f>_xlfn.XLOOKUP(표14[[#This Row],[application_taxonomy]],표11[application_taxonomy],표11[app_id])</f>
        <v/>
      </c>
      <c r="C5" s="11">
        <f>_xlfn.XLOOKUP(표14[[#This Row],[end_use_industry]],표13[end_use_category],표13[end_use_id])</f>
        <v/>
      </c>
      <c r="D5" s="11">
        <f>_xlfn.XLOOKUP(표14[[#This Row],[importance]],표15[importance],표15[rating])</f>
        <v/>
      </c>
      <c r="E5" s="1" t="inlineStr">
        <is>
          <t>HDPE</t>
        </is>
      </c>
      <c r="F5" s="1" t="inlineStr">
        <is>
          <t>Injection molding</t>
        </is>
      </c>
      <c r="G5" s="1" t="inlineStr">
        <is>
          <t>Polymer resin / molding material</t>
        </is>
      </c>
      <c r="H5" s="1" t="inlineStr">
        <is>
          <t>Consumer Products &amp; Packaging</t>
        </is>
      </c>
      <c r="I5" s="1" t="inlineStr">
        <is>
          <t>Secondary</t>
        </is>
      </c>
      <c r="J5" s="1" t="inlineStr">
        <is>
          <t>2024년 17%로 주요 성형 application</t>
        </is>
      </c>
      <c r="K5" s="1" t="inlineStr">
        <is>
          <t>Existing</t>
        </is>
      </c>
      <c r="L5" s="11" t="n"/>
    </row>
    <row r="6" ht="33" customHeight="1" s="179">
      <c r="A6" s="11">
        <f>_xlfn.XLOOKUP(표14[[#This Row],[material_name]],표2[material_name],표2[material_id])</f>
        <v/>
      </c>
      <c r="B6" s="11">
        <f>_xlfn.XLOOKUP(표14[[#This Row],[application_taxonomy]],표11[application_taxonomy],표11[app_id])</f>
        <v/>
      </c>
      <c r="C6" s="11">
        <f>_xlfn.XLOOKUP(표14[[#This Row],[end_use_industry]],표13[end_use_category],표13[end_use_id])</f>
        <v/>
      </c>
      <c r="D6" s="11">
        <f>_xlfn.XLOOKUP(표14[[#This Row],[importance]],표15[importance],표15[rating])</f>
        <v/>
      </c>
      <c r="E6" s="1" t="inlineStr">
        <is>
          <t>HDPE</t>
        </is>
      </c>
      <c r="F6" s="1" t="inlineStr">
        <is>
          <t>Water supply and durable storage containers</t>
        </is>
      </c>
      <c r="G6" s="1" t="inlineStr">
        <is>
          <t>Pipe &amp; fluid conveyance</t>
        </is>
      </c>
      <c r="H6" s="1" t="inlineStr">
        <is>
          <t>Construction &amp; Infrastructure</t>
        </is>
      </c>
      <c r="I6" s="1" t="inlineStr">
        <is>
          <t>Secondary</t>
        </is>
      </c>
      <c r="J6" s="1" t="inlineStr">
        <is>
          <t>물 공급·저장용 내구재로 사용</t>
        </is>
      </c>
      <c r="K6" s="1" t="inlineStr">
        <is>
          <t>Existing</t>
        </is>
      </c>
      <c r="L6" s="11" t="n"/>
    </row>
    <row r="7" ht="33" customHeight="1" s="179">
      <c r="A7" s="11">
        <f>_xlfn.XLOOKUP(표14[[#This Row],[material_name]],표2[material_name],표2[material_id])</f>
        <v/>
      </c>
      <c r="B7" s="11">
        <f>_xlfn.XLOOKUP(표14[[#This Row],[application_taxonomy]],표11[application_taxonomy],표11[app_id])</f>
        <v/>
      </c>
      <c r="C7" s="11">
        <f>_xlfn.XLOOKUP(표14[[#This Row],[end_use_industry]],표13[end_use_category],표13[end_use_id])</f>
        <v/>
      </c>
      <c r="D7" s="11">
        <f>_xlfn.XLOOKUP(표14[[#This Row],[importance]],표15[importance],표15[rating])</f>
        <v/>
      </c>
      <c r="E7" s="1" t="inlineStr">
        <is>
          <t>HDPE</t>
        </is>
      </c>
      <c r="F7" s="1" t="inlineStr">
        <is>
          <t>Automotive fuel tanks and reservoirs</t>
        </is>
      </c>
      <c r="G7" s="1" t="inlineStr">
        <is>
          <t>Automotive components &amp; lightweighting</t>
        </is>
      </c>
      <c r="H7" s="1" t="inlineStr">
        <is>
          <t>Automotive &amp; Future Mobility</t>
        </is>
      </c>
      <c r="I7" s="1" t="inlineStr">
        <is>
          <t>Secondary</t>
        </is>
      </c>
      <c r="J7" s="1" t="inlineStr">
        <is>
          <t>자동차 연료탱크·저장용기 적용</t>
        </is>
      </c>
      <c r="K7" s="1" t="inlineStr">
        <is>
          <t>Existing</t>
        </is>
      </c>
      <c r="L7" s="11" t="n"/>
    </row>
    <row r="8">
      <c r="A8" s="11">
        <f>_xlfn.XLOOKUP(표14[[#This Row],[material_name]],표2[material_name],표2[material_id])</f>
        <v/>
      </c>
      <c r="B8" s="11">
        <f>_xlfn.XLOOKUP(표14[[#This Row],[application_taxonomy]],표11[application_taxonomy],표11[app_id])</f>
        <v/>
      </c>
      <c r="C8" s="11">
        <f>_xlfn.XLOOKUP(표14[[#This Row],[end_use_industry]],표13[end_use_category],표13[end_use_id])</f>
        <v/>
      </c>
      <c r="D8" s="11">
        <f>_xlfn.XLOOKUP(표14[[#This Row],[importance]],표15[importance],표15[rating])</f>
        <v/>
      </c>
      <c r="E8" s="1" t="inlineStr">
        <is>
          <t>LDPE</t>
        </is>
      </c>
      <c r="F8" s="1" t="inlineStr">
        <is>
          <t>Film and sheet</t>
        </is>
      </c>
      <c r="G8" s="1" t="inlineStr">
        <is>
          <t>Flexible packaging</t>
        </is>
      </c>
      <c r="H8" s="1" t="inlineStr">
        <is>
          <t>Consumer Products &amp; Packaging</t>
        </is>
      </c>
      <c r="I8" s="1" t="inlineStr">
        <is>
          <t>Primary</t>
        </is>
      </c>
      <c r="J8" s="1" t="inlineStr">
        <is>
          <t>2024년 수요의 69%로 최대 용도</t>
        </is>
      </c>
      <c r="K8" s="1" t="inlineStr">
        <is>
          <t>Existing</t>
        </is>
      </c>
      <c r="L8" s="11" t="n"/>
    </row>
    <row r="9">
      <c r="A9" s="11">
        <f>_xlfn.XLOOKUP(표14[[#This Row],[material_name]],표2[material_name],표2[material_id])</f>
        <v/>
      </c>
      <c r="B9" s="11">
        <f>_xlfn.XLOOKUP(표14[[#This Row],[application_taxonomy]],표11[application_taxonomy],표11[app_id])</f>
        <v/>
      </c>
      <c r="C9" s="11">
        <f>_xlfn.XLOOKUP(표14[[#This Row],[end_use_industry]],표13[end_use_category],표13[end_use_id])</f>
        <v/>
      </c>
      <c r="D9" s="11">
        <f>_xlfn.XLOOKUP(표14[[#This Row],[importance]],표15[importance],표15[rating])</f>
        <v/>
      </c>
      <c r="E9" s="1" t="inlineStr">
        <is>
          <t>LDPE</t>
        </is>
      </c>
      <c r="F9" s="1" t="inlineStr">
        <is>
          <t>Extrusion coating</t>
        </is>
      </c>
      <c r="G9" s="1" t="inlineStr">
        <is>
          <t>Barrier packaging</t>
        </is>
      </c>
      <c r="H9" s="1" t="inlineStr">
        <is>
          <t>Consumer Products &amp; Packaging</t>
        </is>
      </c>
      <c r="I9" s="1" t="inlineStr">
        <is>
          <t>Secondary</t>
        </is>
      </c>
      <c r="J9" s="1" t="inlineStr">
        <is>
          <t>포장재 코팅 및 배리어 용도에서 중요한 2차 application</t>
        </is>
      </c>
      <c r="K9" s="1" t="inlineStr">
        <is>
          <t>Existing</t>
        </is>
      </c>
      <c r="L9" s="11" t="n"/>
    </row>
    <row r="10">
      <c r="A10" s="11">
        <f>_xlfn.XLOOKUP(표14[[#This Row],[material_name]],표2[material_name],표2[material_id])</f>
        <v/>
      </c>
      <c r="B10" s="11">
        <f>_xlfn.XLOOKUP(표14[[#This Row],[application_taxonomy]],표11[application_taxonomy],표11[app_id])</f>
        <v/>
      </c>
      <c r="C10" s="11">
        <f>_xlfn.XLOOKUP(표14[[#This Row],[end_use_industry]],표13[end_use_category],표13[end_use_id])</f>
        <v/>
      </c>
      <c r="D10" s="11">
        <f>_xlfn.XLOOKUP(표14[[#This Row],[importance]],표15[importance],표15[rating])</f>
        <v/>
      </c>
      <c r="E10" s="1" t="inlineStr">
        <is>
          <t>LDPE</t>
        </is>
      </c>
      <c r="F10" s="1" t="inlineStr">
        <is>
          <t> </t>
        </is>
      </c>
      <c r="G10" s="1" t="inlineStr">
        <is>
          <t>Electrical insulation</t>
        </is>
      </c>
      <c r="H10" s="1" t="inlineStr">
        <is>
          <t>Energy, Power &amp; Utilities</t>
        </is>
      </c>
      <c r="I10" s="1" t="inlineStr">
        <is>
          <t>Secondary</t>
        </is>
      </c>
      <c r="J10" s="1" t="inlineStr">
        <is>
          <t>절연·재킷용으로 사용되나 비중은 제한적</t>
        </is>
      </c>
      <c r="K10" s="1" t="inlineStr">
        <is>
          <t>Existing</t>
        </is>
      </c>
      <c r="L10" s="11" t="n"/>
    </row>
    <row r="11">
      <c r="A11" s="11">
        <f>_xlfn.XLOOKUP(표14[[#This Row],[material_name]],표2[material_name],표2[material_id])</f>
        <v/>
      </c>
      <c r="B11" s="11">
        <f>_xlfn.XLOOKUP(표14[[#This Row],[application_taxonomy]],표11[application_taxonomy],표11[app_id])</f>
        <v/>
      </c>
      <c r="C11" s="11">
        <f>_xlfn.XLOOKUP(표14[[#This Row],[end_use_industry]],표13[end_use_category],표13[end_use_id])</f>
        <v/>
      </c>
      <c r="D11" s="11">
        <f>_xlfn.XLOOKUP(표14[[#This Row],[importance]],표15[importance],표15[rating])</f>
        <v/>
      </c>
      <c r="E11" s="1" t="inlineStr">
        <is>
          <t>LDPE</t>
        </is>
      </c>
      <c r="F11" s="1" t="inlineStr">
        <is>
          <t>Injection molding</t>
        </is>
      </c>
      <c r="G11" s="1" t="inlineStr">
        <is>
          <t>Polymer resin / molding material</t>
        </is>
      </c>
      <c r="H11" s="1" t="inlineStr">
        <is>
          <t>Consumer Products &amp; Packaging</t>
        </is>
      </c>
      <c r="I11" s="1" t="inlineStr">
        <is>
          <t>Secondary</t>
        </is>
      </c>
      <c r="J11" s="1" t="inlineStr">
        <is>
          <t>캡, 완구, 생활용품 등 성형품 용도</t>
        </is>
      </c>
      <c r="K11" s="1" t="inlineStr">
        <is>
          <t>Existing</t>
        </is>
      </c>
      <c r="L11" s="11" t="n"/>
    </row>
    <row r="12" ht="33" customHeight="1" s="179">
      <c r="A12" s="11">
        <f>_xlfn.XLOOKUP(표14[[#This Row],[material_name]],표2[material_name],표2[material_id])</f>
        <v/>
      </c>
      <c r="B12" s="11">
        <f>_xlfn.XLOOKUP(표14[[#This Row],[application_taxonomy]],표11[application_taxonomy],표11[app_id])</f>
        <v/>
      </c>
      <c r="C12" s="11">
        <f>_xlfn.XLOOKUP(표14[[#This Row],[end_use_industry]],표13[end_use_category],표13[end_use_id])</f>
        <v/>
      </c>
      <c r="D12" s="11">
        <f>_xlfn.XLOOKUP(표14[[#This Row],[importance]],표15[importance],표15[rating])</f>
        <v/>
      </c>
      <c r="E12" s="1" t="inlineStr">
        <is>
          <t>LDPE</t>
        </is>
      </c>
      <c r="F12" s="1" t="inlineStr">
        <is>
          <t>Pipe and extrusion</t>
        </is>
      </c>
      <c r="G12" s="1" t="inlineStr">
        <is>
          <t>Pipe &amp; fluid conveyance</t>
        </is>
      </c>
      <c r="H12" s="1" t="inlineStr">
        <is>
          <t>Construction &amp; Infrastructure</t>
        </is>
      </c>
      <c r="I12" s="1" t="inlineStr">
        <is>
          <t>Niche / Emerging</t>
        </is>
      </c>
      <c r="J12" s="1" t="inlineStr">
        <is>
          <t>관·튜빙 용도는 2024년 약 2%로 제한적</t>
        </is>
      </c>
      <c r="K12" s="1" t="inlineStr">
        <is>
          <t>Existing</t>
        </is>
      </c>
      <c r="L12" s="11" t="n"/>
    </row>
    <row r="13" ht="33" customHeight="1" s="179">
      <c r="A13" s="11">
        <f>_xlfn.XLOOKUP(표14[[#This Row],[material_name]],표2[material_name],표2[material_id])</f>
        <v/>
      </c>
      <c r="B13" s="11">
        <f>_xlfn.XLOOKUP(표14[[#This Row],[application_taxonomy]],표11[application_taxonomy],표11[app_id])</f>
        <v/>
      </c>
      <c r="C13" s="11">
        <f>_xlfn.XLOOKUP(표14[[#This Row],[end_use_industry]],표13[end_use_category],표13[end_use_id])</f>
        <v/>
      </c>
      <c r="D13" s="11">
        <f>_xlfn.XLOOKUP(표14[[#This Row],[importance]],표15[importance],표15[rating])</f>
        <v/>
      </c>
      <c r="E13" s="1" t="inlineStr">
        <is>
          <t>LDPE</t>
        </is>
      </c>
      <c r="F13" s="1" t="inlineStr">
        <is>
          <t>Adhesives and sealants</t>
        </is>
      </c>
      <c r="G13" s="1" t="inlineStr">
        <is>
          <t>Adhesive bonding</t>
        </is>
      </c>
      <c r="H13" s="1" t="inlineStr">
        <is>
          <t>Industrial Goods &amp; Advanced Manufacturing</t>
        </is>
      </c>
      <c r="I13" s="1" t="inlineStr">
        <is>
          <t>Niche / Emerging</t>
        </is>
      </c>
      <c r="J13" s="1" t="inlineStr">
        <is>
          <t>EVA계 hot-melt adhesive 등 특수 용도</t>
        </is>
      </c>
      <c r="K13" s="1" t="inlineStr">
        <is>
          <t>Existing</t>
        </is>
      </c>
      <c r="L13" s="11" t="n"/>
    </row>
    <row r="14">
      <c r="A14" s="11">
        <f>_xlfn.XLOOKUP(표14[[#This Row],[material_name]],표2[material_name],표2[material_id])</f>
        <v/>
      </c>
      <c r="B14" s="11">
        <f>_xlfn.XLOOKUP(표14[[#This Row],[application_taxonomy]],표11[application_taxonomy],표11[app_id])</f>
        <v/>
      </c>
      <c r="C14" s="11">
        <f>_xlfn.XLOOKUP(표14[[#This Row],[end_use_industry]],표13[end_use_category],표13[end_use_id])</f>
        <v/>
      </c>
      <c r="D14" s="11">
        <f>_xlfn.XLOOKUP(표14[[#This Row],[importance]],표15[importance],표15[rating])</f>
        <v/>
      </c>
      <c r="E14" s="1" t="inlineStr">
        <is>
          <t>LLDPE</t>
        </is>
      </c>
      <c r="F14" s="1" t="inlineStr">
        <is>
          <t>Film and sheet</t>
        </is>
      </c>
      <c r="G14" s="1" t="inlineStr">
        <is>
          <t>Flexible packaging</t>
        </is>
      </c>
      <c r="H14" s="1" t="inlineStr">
        <is>
          <t>Consumer Products &amp; Packaging</t>
        </is>
      </c>
      <c r="I14" s="1" t="inlineStr">
        <is>
          <t>Primary</t>
        </is>
      </c>
      <c r="J14" s="1" t="inlineStr">
        <is>
          <t>2023년 수요의 78%로 압도적 핵심 용도</t>
        </is>
      </c>
      <c r="K14" s="1" t="inlineStr">
        <is>
          <t>Existing</t>
        </is>
      </c>
      <c r="L14" s="11" t="n"/>
    </row>
    <row r="15" ht="33" customHeight="1" s="179">
      <c r="A15" s="11">
        <f>_xlfn.XLOOKUP(표14[[#This Row],[material_name]],표2[material_name],표2[material_id])</f>
        <v/>
      </c>
      <c r="B15" s="11">
        <f>_xlfn.XLOOKUP(표14[[#This Row],[application_taxonomy]],표11[application_taxonomy],표11[app_id])</f>
        <v/>
      </c>
      <c r="C15" s="11">
        <f>_xlfn.XLOOKUP(표14[[#This Row],[end_use_industry]],표13[end_use_category],표13[end_use_id])</f>
        <v/>
      </c>
      <c r="D15" s="11">
        <f>_xlfn.XLOOKUP(표14[[#This Row],[importance]],표15[importance],표15[rating])</f>
        <v/>
      </c>
      <c r="E15" s="1" t="inlineStr">
        <is>
          <t>LLDPE</t>
        </is>
      </c>
      <c r="F15" s="1" t="inlineStr">
        <is>
          <t>Agricultural films</t>
        </is>
      </c>
      <c r="G15" s="1" t="inlineStr">
        <is>
          <t>Agricultural productivity materials</t>
        </is>
      </c>
      <c r="H15" s="1" t="inlineStr">
        <is>
          <t>Agriculture</t>
        </is>
      </c>
      <c r="I15" s="1" t="inlineStr">
        <is>
          <t>Secondary</t>
        </is>
      </c>
      <c r="J15" s="1" t="inlineStr">
        <is>
          <t>mulch film, greenhouse covering 등 농업필름 수요가 성장 동인</t>
        </is>
      </c>
      <c r="K15" s="1" t="inlineStr">
        <is>
          <t>Existing</t>
        </is>
      </c>
      <c r="L15" s="11" t="n"/>
    </row>
    <row r="16">
      <c r="A16" s="11">
        <f>_xlfn.XLOOKUP(표14[[#This Row],[material_name]],표2[material_name],표2[material_id])</f>
        <v/>
      </c>
      <c r="B16" s="11">
        <f>_xlfn.XLOOKUP(표14[[#This Row],[application_taxonomy]],표11[application_taxonomy],표11[app_id])</f>
        <v/>
      </c>
      <c r="C16" s="11">
        <f>_xlfn.XLOOKUP(표14[[#This Row],[end_use_industry]],표13[end_use_category],표13[end_use_id])</f>
        <v/>
      </c>
      <c r="D16" s="11">
        <f>_xlfn.XLOOKUP(표14[[#This Row],[importance]],표15[importance],표15[rating])</f>
        <v/>
      </c>
      <c r="E16" s="1" t="inlineStr">
        <is>
          <t>LLDPE</t>
        </is>
      </c>
      <c r="F16" s="1" t="inlineStr">
        <is>
          <t>Injection molding</t>
        </is>
      </c>
      <c r="G16" s="1" t="inlineStr">
        <is>
          <t>Polymer resin / molding material</t>
        </is>
      </c>
      <c r="H16" s="1" t="inlineStr">
        <is>
          <t>Consumer Products &amp; Packaging</t>
        </is>
      </c>
      <c r="I16" s="1" t="inlineStr">
        <is>
          <t>Secondary</t>
        </is>
      </c>
      <c r="J16" s="1" t="inlineStr">
        <is>
          <t>전체 대비 8% 수준의 의미 있는 성형 용도</t>
        </is>
      </c>
      <c r="K16" s="1" t="inlineStr">
        <is>
          <t>Existing</t>
        </is>
      </c>
      <c r="L16" s="11" t="n"/>
    </row>
    <row r="17" ht="33" customHeight="1" s="179">
      <c r="A17" s="11">
        <f>_xlfn.XLOOKUP(표14[[#This Row],[material_name]],표2[material_name],표2[material_id])</f>
        <v/>
      </c>
      <c r="B17" s="11">
        <f>_xlfn.XLOOKUP(표14[[#This Row],[application_taxonomy]],표11[application_taxonomy],표11[app_id])</f>
        <v/>
      </c>
      <c r="C17" s="11">
        <f>_xlfn.XLOOKUP(표14[[#This Row],[end_use_industry]],표13[end_use_category],표13[end_use_id])</f>
        <v/>
      </c>
      <c r="D17" s="11">
        <f>_xlfn.XLOOKUP(표14[[#This Row],[importance]],표15[importance],표15[rating])</f>
        <v/>
      </c>
      <c r="E17" s="1" t="inlineStr">
        <is>
          <t>LLDPE</t>
        </is>
      </c>
      <c r="F17" s="1" t="inlineStr">
        <is>
          <t>Wire and cable</t>
        </is>
      </c>
      <c r="G17" s="1" t="inlineStr">
        <is>
          <t>Electrical insulation</t>
        </is>
      </c>
      <c r="H17" s="1" t="inlineStr">
        <is>
          <t>Energy, Power &amp; Utilities</t>
        </is>
      </c>
      <c r="I17" s="1" t="inlineStr">
        <is>
          <t>Niche / Emerging</t>
        </is>
      </c>
      <c r="J17" s="1" t="inlineStr">
        <is>
          <t>수요 비중은 작지만 전선·케이블 용도 존재</t>
        </is>
      </c>
      <c r="K17" s="1" t="inlineStr">
        <is>
          <t>Existing</t>
        </is>
      </c>
      <c r="L17" s="11" t="n"/>
    </row>
    <row r="18" ht="33" customHeight="1" s="179">
      <c r="A18" s="11">
        <f>_xlfn.XLOOKUP(표14[[#This Row],[material_name]],표2[material_name],표2[material_id])</f>
        <v/>
      </c>
      <c r="B18" s="11">
        <f>_xlfn.XLOOKUP(표14[[#This Row],[application_taxonomy]],표11[application_taxonomy],표11[app_id])</f>
        <v/>
      </c>
      <c r="C18" s="11">
        <f>_xlfn.XLOOKUP(표14[[#This Row],[end_use_industry]],표13[end_use_category],표13[end_use_id])</f>
        <v/>
      </c>
      <c r="D18" s="11">
        <f>_xlfn.XLOOKUP(표14[[#This Row],[importance]],표15[importance],표15[rating])</f>
        <v/>
      </c>
      <c r="E18" s="1" t="inlineStr">
        <is>
          <t>EDC</t>
        </is>
      </c>
      <c r="F18" s="1" t="inlineStr">
        <is>
          <t>Vinyl chloride monomer</t>
        </is>
      </c>
      <c r="G18" s="1" t="inlineStr">
        <is>
          <t>Major chemical intermediate</t>
        </is>
      </c>
      <c r="H18" s="1" t="inlineStr">
        <is>
          <t>Industrial Goods &amp; Advanced Manufacturing</t>
        </is>
      </c>
      <c r="I18" s="1" t="inlineStr">
        <is>
          <t>Primary</t>
        </is>
      </c>
      <c r="J18" s="1" t="inlineStr">
        <is>
          <t>EDC 소비의 99% 이상이 VCM 생산용</t>
        </is>
      </c>
      <c r="K18" s="1" t="inlineStr">
        <is>
          <t>Existing</t>
        </is>
      </c>
      <c r="L18" s="11" t="n"/>
    </row>
    <row r="19" ht="33" customHeight="1" s="179">
      <c r="A19" s="11">
        <f>_xlfn.XLOOKUP(표14[[#This Row],[material_name]],표2[material_name],표2[material_id])</f>
        <v/>
      </c>
      <c r="B19" s="11">
        <f>_xlfn.XLOOKUP(표14[[#This Row],[application_taxonomy]],표11[application_taxonomy],표11[app_id])</f>
        <v/>
      </c>
      <c r="C19" s="11">
        <f>_xlfn.XLOOKUP(표14[[#This Row],[end_use_industry]],표13[end_use_category],표13[end_use_id])</f>
        <v/>
      </c>
      <c r="D19" s="11">
        <f>_xlfn.XLOOKUP(표14[[#This Row],[importance]],표15[importance],표15[rating])</f>
        <v/>
      </c>
      <c r="E19" s="1" t="inlineStr">
        <is>
          <t>EDC</t>
        </is>
      </c>
      <c r="F19" s="1" t="inlineStr">
        <is>
          <t>C2 chlorinated solvents</t>
        </is>
      </c>
      <c r="G19" s="1" t="inlineStr">
        <is>
          <t>Specialty chemical intermediate</t>
        </is>
      </c>
      <c r="H19" s="1" t="inlineStr">
        <is>
          <t>Industrial Goods &amp; Advanced Manufacturing</t>
        </is>
      </c>
      <c r="I19" s="1" t="inlineStr">
        <is>
          <t>Niche / Emerging</t>
        </is>
      </c>
      <c r="J19" s="1" t="inlineStr">
        <is>
          <t>PCE/TCE 등으로 연결되나 비중은 매우 작음</t>
        </is>
      </c>
      <c r="K19" s="1" t="inlineStr">
        <is>
          <t>Existing</t>
        </is>
      </c>
      <c r="L19" s="11" t="n"/>
    </row>
    <row r="20" ht="33" customHeight="1" s="179">
      <c r="A20" s="11">
        <f>_xlfn.XLOOKUP(표14[[#This Row],[material_name]],표2[material_name],표2[material_id])</f>
        <v/>
      </c>
      <c r="B20" s="11">
        <f>_xlfn.XLOOKUP(표14[[#This Row],[application_taxonomy]],표11[application_taxonomy],표11[app_id])</f>
        <v/>
      </c>
      <c r="C20" s="11">
        <f>_xlfn.XLOOKUP(표14[[#This Row],[end_use_industry]],표13[end_use_category],표13[end_use_id])</f>
        <v/>
      </c>
      <c r="D20" s="11">
        <f>_xlfn.XLOOKUP(표14[[#This Row],[importance]],표15[importance],표15[rating])</f>
        <v/>
      </c>
      <c r="E20" s="1" t="inlineStr">
        <is>
          <t>EDC</t>
        </is>
      </c>
      <c r="F20" s="1" t="inlineStr">
        <is>
          <t>Ethyleneamines</t>
        </is>
      </c>
      <c r="G20" s="1" t="inlineStr">
        <is>
          <t>Specialty chemical intermediate</t>
        </is>
      </c>
      <c r="H20" s="1" t="inlineStr">
        <is>
          <t>Industrial Goods &amp; Advanced Manufacturing</t>
        </is>
      </c>
      <c r="I20" s="1" t="inlineStr">
        <is>
          <t>Niche / Emerging</t>
        </is>
      </c>
      <c r="J20" s="1" t="inlineStr">
        <is>
          <t>암모니아와 반응해 ethyleneamines 생산</t>
        </is>
      </c>
      <c r="K20" s="1" t="inlineStr">
        <is>
          <t>Existing</t>
        </is>
      </c>
      <c r="L20" s="11" t="n"/>
    </row>
    <row r="21" ht="33" customHeight="1" s="179">
      <c r="A21" s="11">
        <f>_xlfn.XLOOKUP(표14[[#This Row],[material_name]],표2[material_name],표2[material_id])</f>
        <v/>
      </c>
      <c r="B21" s="11">
        <f>_xlfn.XLOOKUP(표14[[#This Row],[application_taxonomy]],표11[application_taxonomy],표11[app_id])</f>
        <v/>
      </c>
      <c r="C21" s="11">
        <f>_xlfn.XLOOKUP(표14[[#This Row],[end_use_industry]],표13[end_use_category],표13[end_use_id])</f>
        <v/>
      </c>
      <c r="D21" s="11">
        <f>_xlfn.XLOOKUP(표14[[#This Row],[importance]],표15[importance],표15[rating])</f>
        <v/>
      </c>
      <c r="E21" s="1" t="inlineStr">
        <is>
          <t>VCM</t>
        </is>
      </c>
      <c r="F21" s="1" t="inlineStr">
        <is>
          <t>Polyvinyl chloride resins</t>
        </is>
      </c>
      <c r="G21" s="1" t="inlineStr">
        <is>
          <t>Major chemical intermediate</t>
        </is>
      </c>
      <c r="H21" s="1" t="inlineStr">
        <is>
          <t>Industrial Goods &amp; Advanced Manufacturing</t>
        </is>
      </c>
      <c r="I21" s="1" t="inlineStr">
        <is>
          <t>Primary</t>
        </is>
      </c>
      <c r="J21" s="1" t="inlineStr">
        <is>
          <t>VCM은 거의 전량 PVC resin 생산에 사용</t>
        </is>
      </c>
      <c r="K21" s="1" t="inlineStr">
        <is>
          <t>Existing</t>
        </is>
      </c>
      <c r="L21" s="11" t="n"/>
    </row>
    <row r="22" ht="33" customHeight="1" s="179">
      <c r="A22" s="11">
        <f>_xlfn.XLOOKUP(표14[[#This Row],[material_name]],표2[material_name],표2[material_id])</f>
        <v/>
      </c>
      <c r="B22" s="11">
        <f>_xlfn.XLOOKUP(표14[[#This Row],[application_taxonomy]],표11[application_taxonomy],표11[app_id])</f>
        <v/>
      </c>
      <c r="C22" s="11">
        <f>_xlfn.XLOOKUP(표14[[#This Row],[end_use_industry]],표13[end_use_category],표13[end_use_id])</f>
        <v/>
      </c>
      <c r="D22" s="11">
        <f>_xlfn.XLOOKUP(표14[[#This Row],[importance]],표15[importance],표15[rating])</f>
        <v/>
      </c>
      <c r="E22" s="1" t="inlineStr">
        <is>
          <t>VCM</t>
        </is>
      </c>
      <c r="F22" s="1" t="inlineStr">
        <is>
          <t>Polyvinylidene chloride copolymers</t>
        </is>
      </c>
      <c r="G22" s="1" t="inlineStr">
        <is>
          <t>Reactive monomer / comonomer</t>
        </is>
      </c>
      <c r="H22" s="1" t="inlineStr">
        <is>
          <t>Industrial Goods &amp; Advanced Manufacturing</t>
        </is>
      </c>
      <c r="I22" s="1" t="inlineStr">
        <is>
          <t>Niche / Emerging</t>
        </is>
      </c>
      <c r="J22" s="1" t="inlineStr">
        <is>
          <t>VDC/PVDC계 copolymer 용도는 부수적 application</t>
        </is>
      </c>
      <c r="K22" s="1" t="inlineStr">
        <is>
          <t>Existing</t>
        </is>
      </c>
      <c r="L22" s="11" t="n"/>
    </row>
    <row r="23">
      <c r="A23" s="11">
        <f>_xlfn.XLOOKUP(표14[[#This Row],[material_name]],표2[material_name],표2[material_id])</f>
        <v/>
      </c>
      <c r="B23" s="11">
        <f>_xlfn.XLOOKUP(표14[[#This Row],[application_taxonomy]],표11[application_taxonomy],표11[app_id])</f>
        <v/>
      </c>
      <c r="C23" s="11">
        <f>_xlfn.XLOOKUP(표14[[#This Row],[end_use_industry]],표13[end_use_category],표13[end_use_id])</f>
        <v/>
      </c>
      <c r="D23" s="11">
        <f>_xlfn.XLOOKUP(표14[[#This Row],[importance]],표15[importance],표15[rating])</f>
        <v/>
      </c>
      <c r="E23" s="1" t="inlineStr">
        <is>
          <t>PVC</t>
        </is>
      </c>
      <c r="F23" s="1" t="inlineStr">
        <is>
          <t>Pipe and fittings</t>
        </is>
      </c>
      <c r="G23" s="1" t="inlineStr">
        <is>
          <t>Pipe &amp; fluid conveyance</t>
        </is>
      </c>
      <c r="H23" s="1" t="inlineStr">
        <is>
          <t>Construction &amp; Infrastructure</t>
        </is>
      </c>
      <c r="I23" s="1" t="inlineStr">
        <is>
          <t>Primary</t>
        </is>
      </c>
      <c r="J23" s="1" t="inlineStr">
        <is>
          <t>PVC의 최대·대표 용도이며 건설·인프라 수요와 직결</t>
        </is>
      </c>
      <c r="K23" s="1" t="inlineStr">
        <is>
          <t>Existing</t>
        </is>
      </c>
      <c r="L23" s="11" t="n"/>
    </row>
    <row r="24">
      <c r="A24" s="11">
        <f>_xlfn.XLOOKUP(표14[[#This Row],[material_name]],표2[material_name],표2[material_id])</f>
        <v/>
      </c>
      <c r="B24" s="11">
        <f>_xlfn.XLOOKUP(표14[[#This Row],[application_taxonomy]],표11[application_taxonomy],표11[app_id])</f>
        <v/>
      </c>
      <c r="C24" s="11">
        <f>_xlfn.XLOOKUP(표14[[#This Row],[end_use_industry]],표13[end_use_category],표13[end_use_id])</f>
        <v/>
      </c>
      <c r="D24" s="11">
        <f>_xlfn.XLOOKUP(표14[[#This Row],[importance]],표15[importance],표15[rating])</f>
        <v/>
      </c>
      <c r="E24" s="1" t="inlineStr">
        <is>
          <t>PVC</t>
        </is>
      </c>
      <c r="F24" s="1" t="inlineStr">
        <is>
          <t>Rigid profiles</t>
        </is>
      </c>
      <c r="G24" s="1" t="inlineStr">
        <is>
          <t>Building materials &amp; profiles</t>
        </is>
      </c>
      <c r="H24" s="1" t="inlineStr">
        <is>
          <t>Construction &amp; Infrastructure</t>
        </is>
      </c>
      <c r="I24" s="1" t="inlineStr">
        <is>
          <t>Primary</t>
        </is>
      </c>
      <c r="J24" s="1" t="inlineStr">
        <is>
          <t>창호, 문, siding 등 rigid profile 주요 용도</t>
        </is>
      </c>
      <c r="K24" s="1" t="inlineStr">
        <is>
          <t>Existing</t>
        </is>
      </c>
      <c r="L24" s="11" t="n"/>
    </row>
    <row r="25">
      <c r="A25" s="11">
        <f>_xlfn.XLOOKUP(표14[[#This Row],[material_name]],표2[material_name],표2[material_id])</f>
        <v/>
      </c>
      <c r="B25" s="11">
        <f>_xlfn.XLOOKUP(표14[[#This Row],[application_taxonomy]],표11[application_taxonomy],표11[app_id])</f>
        <v/>
      </c>
      <c r="C25" s="11">
        <f>_xlfn.XLOOKUP(표14[[#This Row],[end_use_industry]],표13[end_use_category],표13[end_use_id])</f>
        <v/>
      </c>
      <c r="D25" s="11">
        <f>_xlfn.XLOOKUP(표14[[#This Row],[importance]],표15[importance],표15[rating])</f>
        <v/>
      </c>
      <c r="E25" s="1" t="inlineStr">
        <is>
          <t>PVC</t>
        </is>
      </c>
      <c r="F25" s="1" t="inlineStr">
        <is>
          <t>Wire and cable insulation</t>
        </is>
      </c>
      <c r="G25" s="1" t="inlineStr">
        <is>
          <t>Electrical insulation</t>
        </is>
      </c>
      <c r="H25" s="1" t="inlineStr">
        <is>
          <t>Energy, Power &amp; Utilities</t>
        </is>
      </c>
      <c r="I25" s="1" t="inlineStr">
        <is>
          <t>Secondary</t>
        </is>
      </c>
      <c r="J25" s="1" t="inlineStr">
        <is>
          <t>flexible PVC의 대표 전기 절연 용도</t>
        </is>
      </c>
      <c r="K25" s="1" t="inlineStr">
        <is>
          <t>Existing</t>
        </is>
      </c>
      <c r="L25" s="11" t="n"/>
    </row>
    <row r="26">
      <c r="A26" s="11">
        <f>_xlfn.XLOOKUP(표14[[#This Row],[material_name]],표2[material_name],표2[material_id])</f>
        <v/>
      </c>
      <c r="B26" s="11">
        <f>_xlfn.XLOOKUP(표14[[#This Row],[application_taxonomy]],표11[application_taxonomy],표11[app_id])</f>
        <v/>
      </c>
      <c r="C26" s="11">
        <f>_xlfn.XLOOKUP(표14[[#This Row],[end_use_industry]],표13[end_use_category],표13[end_use_id])</f>
        <v/>
      </c>
      <c r="D26" s="11">
        <f>_xlfn.XLOOKUP(표14[[#This Row],[importance]],표15[importance],표15[rating])</f>
        <v/>
      </c>
      <c r="E26" s="1" t="inlineStr">
        <is>
          <t>PVC</t>
        </is>
      </c>
      <c r="F26" s="1" t="inlineStr">
        <is>
          <t>Flooring</t>
        </is>
      </c>
      <c r="G26" s="1" t="inlineStr">
        <is>
          <t>Flooring &amp; interior materials</t>
        </is>
      </c>
      <c r="H26" s="1" t="inlineStr">
        <is>
          <t>Construction &amp; Infrastructure</t>
        </is>
      </c>
      <c r="I26" s="1" t="inlineStr">
        <is>
          <t>Secondary</t>
        </is>
      </c>
      <c r="J26" s="1" t="inlineStr">
        <is>
          <t>바닥재 및 interior surface 용도</t>
        </is>
      </c>
      <c r="K26" s="1" t="inlineStr">
        <is>
          <t>Existing</t>
        </is>
      </c>
      <c r="L26" s="11" t="n"/>
    </row>
    <row r="27">
      <c r="A27" s="11">
        <f>_xlfn.XLOOKUP(표14[[#This Row],[material_name]],표2[material_name],표2[material_id])</f>
        <v/>
      </c>
      <c r="B27" s="11">
        <f>_xlfn.XLOOKUP(표14[[#This Row],[application_taxonomy]],표11[application_taxonomy],표11[app_id])</f>
        <v/>
      </c>
      <c r="C27" s="11">
        <f>_xlfn.XLOOKUP(표14[[#This Row],[end_use_industry]],표13[end_use_category],표13[end_use_id])</f>
        <v/>
      </c>
      <c r="D27" s="11">
        <f>_xlfn.XLOOKUP(표14[[#This Row],[importance]],표15[importance],표15[rating])</f>
        <v/>
      </c>
      <c r="E27" s="1" t="inlineStr">
        <is>
          <t>PVC</t>
        </is>
      </c>
      <c r="F27" s="1" t="inlineStr">
        <is>
          <t>Film and sheet</t>
        </is>
      </c>
      <c r="G27" s="1" t="inlineStr">
        <is>
          <t>Flexible packaging</t>
        </is>
      </c>
      <c r="H27" s="1" t="inlineStr">
        <is>
          <t>Consumer Products &amp; Packaging</t>
        </is>
      </c>
      <c r="I27" s="1" t="inlineStr">
        <is>
          <t>Secondary</t>
        </is>
      </c>
      <c r="J27" s="1" t="inlineStr">
        <is>
          <t>film/sheet 및 비식품 포장재 용도 존재</t>
        </is>
      </c>
      <c r="K27" s="1" t="inlineStr">
        <is>
          <t>Existing</t>
        </is>
      </c>
      <c r="L27" s="11" t="n"/>
    </row>
    <row r="28" ht="33" customHeight="1" s="179">
      <c r="A28" s="11">
        <f>_xlfn.XLOOKUP(표14[[#This Row],[material_name]],표2[material_name],표2[material_id])</f>
        <v/>
      </c>
      <c r="B28" s="11">
        <f>_xlfn.XLOOKUP(표14[[#This Row],[application_taxonomy]],표11[application_taxonomy],표11[app_id])</f>
        <v/>
      </c>
      <c r="C28" s="11">
        <f>_xlfn.XLOOKUP(표14[[#This Row],[end_use_industry]],표13[end_use_category],표13[end_use_id])</f>
        <v/>
      </c>
      <c r="D28" s="11">
        <f>_xlfn.XLOOKUP(표14[[#This Row],[importance]],표15[importance],표15[rating])</f>
        <v/>
      </c>
      <c r="E28" s="1" t="inlineStr">
        <is>
          <t>PVC</t>
        </is>
      </c>
      <c r="F28" s="1" t="inlineStr">
        <is>
          <t>Coatings</t>
        </is>
      </c>
      <c r="G28" s="1" t="inlineStr">
        <is>
          <t>Surface coating</t>
        </is>
      </c>
      <c r="H28" s="1" t="inlineStr">
        <is>
          <t>Industrial Goods &amp; Advanced Manufacturing</t>
        </is>
      </c>
      <c r="I28" s="1" t="inlineStr">
        <is>
          <t>Niche / Emerging</t>
        </is>
      </c>
      <c r="J28" s="1" t="inlineStr">
        <is>
          <t>PVC copolymer 및 plastisol 기반 coating 용도</t>
        </is>
      </c>
      <c r="K28" s="1" t="inlineStr">
        <is>
          <t>Existing</t>
        </is>
      </c>
      <c r="L28" s="11" t="n"/>
    </row>
    <row r="29" ht="33" customHeight="1" s="179">
      <c r="A29" s="11">
        <f>_xlfn.XLOOKUP(표14[[#This Row],[material_name]],표2[material_name],표2[material_id])</f>
        <v/>
      </c>
      <c r="B29" s="11">
        <f>_xlfn.XLOOKUP(표14[[#This Row],[application_taxonomy]],표11[application_taxonomy],표11[app_id])</f>
        <v/>
      </c>
      <c r="C29" s="11">
        <f>_xlfn.XLOOKUP(표14[[#This Row],[end_use_industry]],표13[end_use_category],표13[end_use_id])</f>
        <v/>
      </c>
      <c r="D29" s="11">
        <f>_xlfn.XLOOKUP(표14[[#This Row],[importance]],표15[importance],표15[rating])</f>
        <v/>
      </c>
      <c r="E29" s="1" t="inlineStr">
        <is>
          <t>PVC</t>
        </is>
      </c>
      <c r="F29" s="1" t="inlineStr">
        <is>
          <t>Medical tubing / healthcare materials</t>
        </is>
      </c>
      <c r="G29" s="1" t="inlineStr">
        <is>
          <t>Medical &amp; healthcare materials</t>
        </is>
      </c>
      <c r="H29" s="1" t="inlineStr">
        <is>
          <t>Healthcare &amp; Life Sciences</t>
        </is>
      </c>
      <c r="I29" s="1" t="inlineStr">
        <is>
          <t>Niche / Emerging</t>
        </is>
      </c>
      <c r="J29" s="1" t="inlineStr">
        <is>
          <t>healthcare 산업 노출은 있으나 전체 PVC 내 비중은 제한적</t>
        </is>
      </c>
      <c r="K29" s="1" t="inlineStr">
        <is>
          <t>Existing</t>
        </is>
      </c>
      <c r="L29" s="11" t="n"/>
    </row>
    <row r="30">
      <c r="A30" s="11">
        <f>_xlfn.XLOOKUP(표14[[#This Row],[material_name]],표2[material_name],표2[material_id])</f>
        <v/>
      </c>
      <c r="B30" s="11">
        <f>_xlfn.XLOOKUP(표14[[#This Row],[application_taxonomy]],표11[application_taxonomy],표11[app_id])</f>
        <v/>
      </c>
      <c r="C30" s="11">
        <f>_xlfn.XLOOKUP(표14[[#This Row],[end_use_industry]],표13[end_use_category],표13[end_use_id])</f>
        <v/>
      </c>
      <c r="D30" s="11">
        <f>_xlfn.XLOOKUP(표14[[#This Row],[importance]],표15[importance],표15[rating])</f>
        <v/>
      </c>
      <c r="E30" s="1" t="inlineStr">
        <is>
          <t>Ethanol</t>
        </is>
      </c>
      <c r="F30" s="1" t="inlineStr">
        <is>
          <t>Motor fuel</t>
        </is>
      </c>
      <c r="G30" s="1" t="inlineStr">
        <is>
          <t>Fuel / fuel additive</t>
        </is>
      </c>
      <c r="H30" s="1" t="inlineStr">
        <is>
          <t>Energy, Power &amp; Utilities</t>
        </is>
      </c>
      <c r="I30" s="1" t="inlineStr">
        <is>
          <t>Primary</t>
        </is>
      </c>
      <c r="J30" s="1" t="inlineStr">
        <is>
          <t>전체 ethanol 소비의 80–90%를 차지하는 최대 용도</t>
        </is>
      </c>
      <c r="K30" s="1" t="inlineStr">
        <is>
          <t>Existing</t>
        </is>
      </c>
      <c r="L30" s="11" t="n"/>
    </row>
    <row r="31" ht="33" customHeight="1" s="179">
      <c r="A31" s="11">
        <f>_xlfn.XLOOKUP(표14[[#This Row],[material_name]],표2[material_name],표2[material_id])</f>
        <v/>
      </c>
      <c r="B31" s="11">
        <f>_xlfn.XLOOKUP(표14[[#This Row],[application_taxonomy]],표11[application_taxonomy],표11[app_id])</f>
        <v/>
      </c>
      <c r="C31" s="11">
        <f>_xlfn.XLOOKUP(표14[[#This Row],[end_use_industry]],표13[end_use_category],표13[end_use_id])</f>
        <v/>
      </c>
      <c r="D31" s="11">
        <f>_xlfn.XLOOKUP(표14[[#This Row],[importance]],표15[importance],표15[rating])</f>
        <v/>
      </c>
      <c r="E31" s="1" t="inlineStr">
        <is>
          <t>Ethanol</t>
        </is>
      </c>
      <c r="F31" s="1" t="inlineStr">
        <is>
          <t>Solvent applications</t>
        </is>
      </c>
      <c r="G31" s="1" t="inlineStr">
        <is>
          <t>Solvent &amp; extraction</t>
        </is>
      </c>
      <c r="H31" s="1" t="inlineStr">
        <is>
          <t>Industrial Goods &amp; Advanced Manufacturing</t>
        </is>
      </c>
      <c r="I31" s="1" t="inlineStr">
        <is>
          <t>Secondary</t>
        </is>
      </c>
      <c r="J31" s="1" t="inlineStr">
        <is>
          <t>소독제, 산업용 용제 등 주요 industrial alcohol 용도</t>
        </is>
      </c>
      <c r="K31" s="1" t="inlineStr">
        <is>
          <t>Existing</t>
        </is>
      </c>
      <c r="L31" s="11" t="n"/>
    </row>
    <row r="32" ht="33" customHeight="1" s="179">
      <c r="A32" s="11">
        <f>_xlfn.XLOOKUP(표14[[#This Row],[material_name]],표2[material_name],표2[material_id])</f>
        <v/>
      </c>
      <c r="B32" s="11">
        <f>_xlfn.XLOOKUP(표14[[#This Row],[application_taxonomy]],표11[application_taxonomy],표11[app_id])</f>
        <v/>
      </c>
      <c r="C32" s="11">
        <f>_xlfn.XLOOKUP(표14[[#This Row],[end_use_industry]],표13[end_use_category],표13[end_use_id])</f>
        <v/>
      </c>
      <c r="D32" s="11">
        <f>_xlfn.XLOOKUP(표14[[#This Row],[importance]],표15[importance],표15[rating])</f>
        <v/>
      </c>
      <c r="E32" s="1" t="inlineStr">
        <is>
          <t>Ethanol</t>
        </is>
      </c>
      <c r="F32" s="1" t="inlineStr">
        <is>
          <t>Chemical raw materials</t>
        </is>
      </c>
      <c r="G32" s="1" t="inlineStr">
        <is>
          <t>Major chemical intermediate</t>
        </is>
      </c>
      <c r="H32" s="1" t="inlineStr">
        <is>
          <t>Industrial Goods &amp; Advanced Manufacturing</t>
        </is>
      </c>
      <c r="I32" s="1" t="inlineStr">
        <is>
          <t>Secondary</t>
        </is>
      </c>
      <c r="J32" s="1" t="inlineStr">
        <is>
          <t>ETBE, ethyl acetate, acetaldehyde 등 화학 원료로 사용</t>
        </is>
      </c>
      <c r="K32" s="1" t="inlineStr">
        <is>
          <t>Existing</t>
        </is>
      </c>
      <c r="L32" s="11" t="n"/>
    </row>
    <row r="33" ht="33" customHeight="1" s="179">
      <c r="A33" s="11">
        <f>_xlfn.XLOOKUP(표14[[#This Row],[material_name]],표2[material_name],표2[material_id])</f>
        <v/>
      </c>
      <c r="B33" s="11">
        <f>_xlfn.XLOOKUP(표14[[#This Row],[application_taxonomy]],표11[application_taxonomy],표11[app_id])</f>
        <v/>
      </c>
      <c r="C33" s="11">
        <f>_xlfn.XLOOKUP(표14[[#This Row],[end_use_industry]],표13[end_use_category],표13[end_use_id])</f>
        <v/>
      </c>
      <c r="D33" s="11">
        <f>_xlfn.XLOOKUP(표14[[#This Row],[importance]],표15[importance],표15[rating])</f>
        <v/>
      </c>
      <c r="E33" s="1" t="inlineStr">
        <is>
          <t>Ethanol</t>
        </is>
      </c>
      <c r="F33" s="1" t="inlineStr">
        <is>
          <t>Sustainable aviation fuel</t>
        </is>
      </c>
      <c r="G33" s="1" t="inlineStr">
        <is>
          <t>Renewable energy materials</t>
        </is>
      </c>
      <c r="H33" s="1" t="inlineStr">
        <is>
          <t>Energy, Power &amp; Utilities</t>
        </is>
      </c>
      <c r="I33" s="1" t="inlineStr">
        <is>
          <t>Niche / Emerging</t>
        </is>
      </c>
      <c r="J33" s="1" t="inlineStr">
        <is>
          <t>ethanol-to-jet SAF는 성장 중인 신규 연료 application</t>
        </is>
      </c>
      <c r="K33" s="1" t="inlineStr">
        <is>
          <t>Existing</t>
        </is>
      </c>
      <c r="L33" s="11" t="n"/>
    </row>
    <row r="34" ht="33" customHeight="1" s="179">
      <c r="A34" s="11">
        <f>_xlfn.XLOOKUP(표14[[#This Row],[material_name]],표2[material_name],표2[material_id])</f>
        <v/>
      </c>
      <c r="B34" s="11">
        <f>_xlfn.XLOOKUP(표14[[#This Row],[application_taxonomy]],표11[application_taxonomy],표11[app_id])</f>
        <v/>
      </c>
      <c r="C34" s="11">
        <f>_xlfn.XLOOKUP(표14[[#This Row],[end_use_industry]],표13[end_use_category],표13[end_use_id])</f>
        <v/>
      </c>
      <c r="D34" s="11">
        <f>_xlfn.XLOOKUP(표14[[#This Row],[importance]],표15[importance],표15[rating])</f>
        <v/>
      </c>
      <c r="E34" s="1" t="inlineStr">
        <is>
          <t>Ethyl acetate</t>
        </is>
      </c>
      <c r="F34" s="1" t="inlineStr">
        <is>
          <t>Surface coatings</t>
        </is>
      </c>
      <c r="G34" s="1" t="inlineStr">
        <is>
          <t>Surface coating</t>
        </is>
      </c>
      <c r="H34" s="1" t="inlineStr">
        <is>
          <t>Industrial Goods &amp; Advanced Manufacturing</t>
        </is>
      </c>
      <c r="I34" s="1" t="inlineStr">
        <is>
          <t>Primary</t>
        </is>
      </c>
      <c r="J34" s="1" t="inlineStr">
        <is>
          <t>ethyl acetate의 최대 수요처는 surface coating 계열</t>
        </is>
      </c>
      <c r="K34" s="1" t="inlineStr">
        <is>
          <t>Existing</t>
        </is>
      </c>
      <c r="L34" s="11" t="n"/>
    </row>
    <row r="35">
      <c r="A35" s="11">
        <f>_xlfn.XLOOKUP(표14[[#This Row],[material_name]],표2[material_name],표2[material_id])</f>
        <v/>
      </c>
      <c r="B35" s="11">
        <f>_xlfn.XLOOKUP(표14[[#This Row],[application_taxonomy]],표11[application_taxonomy],표11[app_id])</f>
        <v/>
      </c>
      <c r="C35" s="11">
        <f>_xlfn.XLOOKUP(표14[[#This Row],[end_use_industry]],표13[end_use_category],표13[end_use_id])</f>
        <v/>
      </c>
      <c r="D35" s="11">
        <f>_xlfn.XLOOKUP(표14[[#This Row],[importance]],표15[importance],표15[rating])</f>
        <v/>
      </c>
      <c r="E35" s="1" t="inlineStr">
        <is>
          <t>Ethyl acetate</t>
        </is>
      </c>
      <c r="F35" s="1" t="inlineStr">
        <is>
          <t>Printing inks</t>
        </is>
      </c>
      <c r="G35" s="1" t="inlineStr">
        <is>
          <t>Printing inks &amp; graphic materials</t>
        </is>
      </c>
      <c r="H35" s="1" t="inlineStr">
        <is>
          <t>Consumer Products &amp; Packaging</t>
        </is>
      </c>
      <c r="I35" s="1" t="inlineStr">
        <is>
          <t>Secondary</t>
        </is>
      </c>
      <c r="J35" s="1" t="inlineStr">
        <is>
          <t>포장·출판용 ink solvent로 사용</t>
        </is>
      </c>
      <c r="K35" s="1" t="inlineStr">
        <is>
          <t>Existing</t>
        </is>
      </c>
      <c r="L35" s="11" t="n"/>
    </row>
    <row r="36" ht="33" customHeight="1" s="179">
      <c r="A36" s="11">
        <f>_xlfn.XLOOKUP(표14[[#This Row],[material_name]],표2[material_name],표2[material_id])</f>
        <v/>
      </c>
      <c r="B36" s="11">
        <f>_xlfn.XLOOKUP(표14[[#This Row],[application_taxonomy]],표11[application_taxonomy],표11[app_id])</f>
        <v/>
      </c>
      <c r="C36" s="11">
        <f>_xlfn.XLOOKUP(표14[[#This Row],[end_use_industry]],표13[end_use_category],표13[end_use_id])</f>
        <v/>
      </c>
      <c r="D36" s="11">
        <f>_xlfn.XLOOKUP(표14[[#This Row],[importance]],표15[importance],표15[rating])</f>
        <v/>
      </c>
      <c r="E36" s="1" t="inlineStr">
        <is>
          <t>Ethyl acetate</t>
        </is>
      </c>
      <c r="F36" s="1" t="inlineStr">
        <is>
          <t>Process/extraction solvents</t>
        </is>
      </c>
      <c r="G36" s="1" t="inlineStr">
        <is>
          <t>Solvent &amp; extraction</t>
        </is>
      </c>
      <c r="H36" s="1" t="inlineStr">
        <is>
          <t>Industrial Goods &amp; Advanced Manufacturing</t>
        </is>
      </c>
      <c r="I36" s="1" t="inlineStr">
        <is>
          <t>Secondary</t>
        </is>
      </c>
      <c r="J36" s="1" t="inlineStr">
        <is>
          <t>공정용·추출용 solvent로 사용</t>
        </is>
      </c>
      <c r="K36" s="1" t="inlineStr">
        <is>
          <t>Existing</t>
        </is>
      </c>
      <c r="L36" s="11" t="n"/>
    </row>
    <row r="37" ht="33" customHeight="1" s="179">
      <c r="A37" s="11">
        <f>_xlfn.XLOOKUP(표14[[#This Row],[material_name]],표2[material_name],표2[material_id])</f>
        <v/>
      </c>
      <c r="B37" s="11">
        <f>_xlfn.XLOOKUP(표14[[#This Row],[application_taxonomy]],표11[application_taxonomy],표11[app_id])</f>
        <v/>
      </c>
      <c r="C37" s="11">
        <f>_xlfn.XLOOKUP(표14[[#This Row],[end_use_industry]],표13[end_use_category],표13[end_use_id])</f>
        <v/>
      </c>
      <c r="D37" s="11">
        <f>_xlfn.XLOOKUP(표14[[#This Row],[importance]],표15[importance],표15[rating])</f>
        <v/>
      </c>
      <c r="E37" s="1" t="inlineStr">
        <is>
          <t>Ethyl acetate</t>
        </is>
      </c>
      <c r="F37" s="1" t="inlineStr">
        <is>
          <t>Adhesives</t>
        </is>
      </c>
      <c r="G37" s="1" t="inlineStr">
        <is>
          <t>Adhesive bonding</t>
        </is>
      </c>
      <c r="H37" s="1" t="inlineStr">
        <is>
          <t>Industrial Goods &amp; Advanced Manufacturing</t>
        </is>
      </c>
      <c r="I37" s="1" t="inlineStr">
        <is>
          <t>Secondary</t>
        </is>
      </c>
      <c r="J37" s="1" t="inlineStr">
        <is>
          <t>접착제 formulation의 용제 성격 application</t>
        </is>
      </c>
      <c r="K37" s="1" t="inlineStr">
        <is>
          <t>Existing</t>
        </is>
      </c>
      <c r="L37" s="11" t="n"/>
    </row>
    <row r="38" ht="33" customHeight="1" s="179">
      <c r="A38" s="11">
        <f>_xlfn.XLOOKUP(표14[[#This Row],[material_name]],표2[material_name],표2[material_id])</f>
        <v/>
      </c>
      <c r="B38" s="11">
        <f>_xlfn.XLOOKUP(표14[[#This Row],[application_taxonomy]],표11[application_taxonomy],표11[app_id])</f>
        <v/>
      </c>
      <c r="C38" s="11">
        <f>_xlfn.XLOOKUP(표14[[#This Row],[end_use_industry]],표13[end_use_category],표13[end_use_id])</f>
        <v/>
      </c>
      <c r="D38" s="11">
        <f>_xlfn.XLOOKUP(표14[[#This Row],[importance]],표15[importance],표15[rating])</f>
        <v/>
      </c>
      <c r="E38" s="1" t="inlineStr">
        <is>
          <t>EO</t>
        </is>
      </c>
      <c r="F38" s="1" t="inlineStr">
        <is>
          <t>Ethylene glycols</t>
        </is>
      </c>
      <c r="G38" s="1" t="inlineStr">
        <is>
          <t>Major chemical intermediate</t>
        </is>
      </c>
      <c r="H38" s="1" t="inlineStr">
        <is>
          <t>Industrial Goods &amp; Advanced Manufacturing</t>
        </is>
      </c>
      <c r="I38" s="1" t="inlineStr">
        <is>
          <t>Primary</t>
        </is>
      </c>
      <c r="J38" s="1" t="inlineStr">
        <is>
          <t>EO의 약 74%가 EG 생산에 사용</t>
        </is>
      </c>
      <c r="K38" s="1" t="inlineStr">
        <is>
          <t>Existing</t>
        </is>
      </c>
      <c r="L38" s="11" t="n"/>
    </row>
    <row r="39">
      <c r="A39" s="11">
        <f>_xlfn.XLOOKUP(표14[[#This Row],[material_name]],표2[material_name],표2[material_id])</f>
        <v/>
      </c>
      <c r="B39" s="11">
        <f>_xlfn.XLOOKUP(표14[[#This Row],[application_taxonomy]],표11[application_taxonomy],표11[app_id])</f>
        <v/>
      </c>
      <c r="C39" s="11">
        <f>_xlfn.XLOOKUP(표14[[#This Row],[end_use_industry]],표13[end_use_category],표13[end_use_id])</f>
        <v/>
      </c>
      <c r="D39" s="11">
        <f>_xlfn.XLOOKUP(표14[[#This Row],[importance]],표15[importance],표15[rating])</f>
        <v/>
      </c>
      <c r="E39" s="1" t="inlineStr">
        <is>
          <t>EO</t>
        </is>
      </c>
      <c r="F39" s="1" t="inlineStr">
        <is>
          <t>Ethoxylates</t>
        </is>
      </c>
      <c r="G39" s="1" t="inlineStr">
        <is>
          <t>Surfactant &amp; emulsification</t>
        </is>
      </c>
      <c r="H39" s="1" t="inlineStr">
        <is>
          <t>Consumer Products &amp; Packaging</t>
        </is>
      </c>
      <c r="I39" s="1" t="inlineStr">
        <is>
          <t>Secondary</t>
        </is>
      </c>
      <c r="J39" s="1" t="inlineStr">
        <is>
          <t>세제·계면활성제 downstream으로 연결</t>
        </is>
      </c>
      <c r="K39" s="1" t="inlineStr">
        <is>
          <t>Existing</t>
        </is>
      </c>
      <c r="L39" s="11" t="n"/>
    </row>
    <row r="40" ht="33" customHeight="1" s="179">
      <c r="A40" s="11">
        <f>_xlfn.XLOOKUP(표14[[#This Row],[material_name]],표2[material_name],표2[material_id])</f>
        <v/>
      </c>
      <c r="B40" s="11">
        <f>_xlfn.XLOOKUP(표14[[#This Row],[application_taxonomy]],표11[application_taxonomy],표11[app_id])</f>
        <v/>
      </c>
      <c r="C40" s="11">
        <f>_xlfn.XLOOKUP(표14[[#This Row],[end_use_industry]],표13[end_use_category],표13[end_use_id])</f>
        <v/>
      </c>
      <c r="D40" s="11">
        <f>_xlfn.XLOOKUP(표14[[#This Row],[importance]],표15[importance],표15[rating])</f>
        <v/>
      </c>
      <c r="E40" s="1" t="inlineStr">
        <is>
          <t>EO</t>
        </is>
      </c>
      <c r="F40" s="1" t="inlineStr">
        <is>
          <t>Ethanolamines</t>
        </is>
      </c>
      <c r="G40" s="1" t="inlineStr">
        <is>
          <t>Major chemical intermediate</t>
        </is>
      </c>
      <c r="H40" s="1" t="inlineStr">
        <is>
          <t>Industrial Goods &amp; Advanced Manufacturing</t>
        </is>
      </c>
      <c r="I40" s="1" t="inlineStr">
        <is>
          <t>Secondary</t>
        </is>
      </c>
      <c r="J40" s="1" t="inlineStr">
        <is>
          <t>MEA/DEA/TEA 생산 원료</t>
        </is>
      </c>
      <c r="K40" s="1" t="inlineStr">
        <is>
          <t>Existing</t>
        </is>
      </c>
      <c r="L40" s="11" t="n"/>
    </row>
    <row r="41" ht="33" customHeight="1" s="179">
      <c r="A41" s="11">
        <f>_xlfn.XLOOKUP(표14[[#This Row],[material_name]],표2[material_name],표2[material_id])</f>
        <v/>
      </c>
      <c r="B41" s="11">
        <f>_xlfn.XLOOKUP(표14[[#This Row],[application_taxonomy]],표11[application_taxonomy],표11[app_id])</f>
        <v/>
      </c>
      <c r="C41" s="11">
        <f>_xlfn.XLOOKUP(표14[[#This Row],[end_use_industry]],표13[end_use_category],표13[end_use_id])</f>
        <v/>
      </c>
      <c r="D41" s="11">
        <f>_xlfn.XLOOKUP(표14[[#This Row],[importance]],표15[importance],표15[rating])</f>
        <v/>
      </c>
      <c r="E41" s="1" t="inlineStr">
        <is>
          <t>EO</t>
        </is>
      </c>
      <c r="F41" s="1" t="inlineStr">
        <is>
          <t>Glycol ethers</t>
        </is>
      </c>
      <c r="G41" s="1" t="inlineStr">
        <is>
          <t>Solvent &amp; extraction</t>
        </is>
      </c>
      <c r="H41" s="1" t="inlineStr">
        <is>
          <t>Industrial Goods &amp; Advanced Manufacturing</t>
        </is>
      </c>
      <c r="I41" s="1" t="inlineStr">
        <is>
          <t>Secondary</t>
        </is>
      </c>
      <c r="J41" s="1" t="inlineStr">
        <is>
          <t>용제계 downstream 원료</t>
        </is>
      </c>
      <c r="K41" s="1" t="inlineStr">
        <is>
          <t>Existing</t>
        </is>
      </c>
      <c r="L41" s="11" t="n"/>
    </row>
    <row r="42">
      <c r="A42" s="11">
        <f>_xlfn.XLOOKUP(표14[[#This Row],[material_name]],표2[material_name],표2[material_id])</f>
        <v/>
      </c>
      <c r="B42" s="11">
        <f>_xlfn.XLOOKUP(표14[[#This Row],[application_taxonomy]],표11[application_taxonomy],표11[app_id])</f>
        <v/>
      </c>
      <c r="C42" s="11">
        <f>_xlfn.XLOOKUP(표14[[#This Row],[end_use_industry]],표13[end_use_category],표13[end_use_id])</f>
        <v/>
      </c>
      <c r="D42" s="11">
        <f>_xlfn.XLOOKUP(표14[[#This Row],[importance]],표15[importance],표15[rating])</f>
        <v/>
      </c>
      <c r="E42" s="1" t="inlineStr">
        <is>
          <t>EO</t>
        </is>
      </c>
      <c r="F42" s="1" t="inlineStr">
        <is>
          <t>Polyether polyols</t>
        </is>
      </c>
      <c r="G42" s="1" t="inlineStr">
        <is>
          <t>Cushioning &amp; comfort materials</t>
        </is>
      </c>
      <c r="H42" s="1" t="inlineStr">
        <is>
          <t>Consumer Products &amp; Packaging</t>
        </is>
      </c>
      <c r="I42" s="1" t="inlineStr">
        <is>
          <t>Secondary</t>
        </is>
      </c>
      <c r="J42" s="1" t="inlineStr">
        <is>
          <t>PU foam 등 polyol chain으로 연결</t>
        </is>
      </c>
      <c r="K42" s="1" t="inlineStr">
        <is>
          <t>Existing</t>
        </is>
      </c>
      <c r="L42" s="11" t="n"/>
    </row>
    <row r="43" ht="33" customHeight="1" s="179">
      <c r="A43" s="11">
        <f>_xlfn.XLOOKUP(표14[[#This Row],[material_name]],표2[material_name],표2[material_id])</f>
        <v/>
      </c>
      <c r="B43" s="11">
        <f>_xlfn.XLOOKUP(표14[[#This Row],[application_taxonomy]],표11[application_taxonomy],표11[app_id])</f>
        <v/>
      </c>
      <c r="C43" s="11">
        <f>_xlfn.XLOOKUP(표14[[#This Row],[end_use_industry]],표13[end_use_category],표13[end_use_id])</f>
        <v/>
      </c>
      <c r="D43" s="11">
        <f>_xlfn.XLOOKUP(표14[[#This Row],[importance]],표15[importance],표15[rating])</f>
        <v/>
      </c>
      <c r="E43" s="1" t="inlineStr">
        <is>
          <t>MEA</t>
        </is>
      </c>
      <c r="F43" s="1" t="inlineStr">
        <is>
          <t>Ethyleneamines</t>
        </is>
      </c>
      <c r="G43" s="1" t="inlineStr">
        <is>
          <t>Specialty chemical intermediate</t>
        </is>
      </c>
      <c r="H43" s="1" t="inlineStr">
        <is>
          <t>Industrial Goods &amp; Advanced Manufacturing</t>
        </is>
      </c>
      <c r="I43" s="1" t="inlineStr">
        <is>
          <t>Primary</t>
        </is>
      </c>
      <c r="J43" s="1" t="inlineStr">
        <is>
          <t>MEA 수요는 ethyleneamines, 특히 EDA 생산이 핵심 동인</t>
        </is>
      </c>
      <c r="K43" s="1" t="inlineStr">
        <is>
          <t>Existing</t>
        </is>
      </c>
      <c r="L43" s="11" t="n"/>
    </row>
    <row r="44" ht="33" customHeight="1" s="179">
      <c r="A44" s="11">
        <f>_xlfn.XLOOKUP(표14[[#This Row],[material_name]],표2[material_name],표2[material_id])</f>
        <v/>
      </c>
      <c r="B44" s="11">
        <f>_xlfn.XLOOKUP(표14[[#This Row],[application_taxonomy]],표11[application_taxonomy],표11[app_id])</f>
        <v/>
      </c>
      <c r="C44" s="11">
        <f>_xlfn.XLOOKUP(표14[[#This Row],[end_use_industry]],표13[end_use_category],표13[end_use_id])</f>
        <v/>
      </c>
      <c r="D44" s="11">
        <f>_xlfn.XLOOKUP(표14[[#This Row],[importance]],표15[importance],표15[rating])</f>
        <v/>
      </c>
      <c r="E44" s="1" t="inlineStr">
        <is>
          <t>MEA</t>
        </is>
      </c>
      <c r="F44" s="1" t="inlineStr">
        <is>
          <t>Gas purification/treatment / triazine</t>
        </is>
      </c>
      <c r="G44" s="1" t="inlineStr">
        <is>
          <t>Gas treatment &amp; purification</t>
        </is>
      </c>
      <c r="H44" s="1" t="inlineStr">
        <is>
          <t>Energy, Power &amp; Utilities</t>
        </is>
      </c>
      <c r="I44" s="1" t="inlineStr">
        <is>
          <t>Primary</t>
        </is>
      </c>
      <c r="J44" s="1" t="inlineStr">
        <is>
          <t>산성가스 제거 및 H2S scavenger용 triazine 생산에 사용</t>
        </is>
      </c>
      <c r="K44" s="1" t="inlineStr">
        <is>
          <t>Existing</t>
        </is>
      </c>
      <c r="L44" s="11" t="n"/>
    </row>
    <row r="45">
      <c r="A45" s="11">
        <f>_xlfn.XLOOKUP(표14[[#This Row],[material_name]],표2[material_name],표2[material_id])</f>
        <v/>
      </c>
      <c r="B45" s="11">
        <f>_xlfn.XLOOKUP(표14[[#This Row],[application_taxonomy]],표11[application_taxonomy],표11[app_id])</f>
        <v/>
      </c>
      <c r="C45" s="11">
        <f>_xlfn.XLOOKUP(표14[[#This Row],[end_use_industry]],표13[end_use_category],표13[end_use_id])</f>
        <v/>
      </c>
      <c r="D45" s="11">
        <f>_xlfn.XLOOKUP(표14[[#This Row],[importance]],표15[importance],표15[rating])</f>
        <v/>
      </c>
      <c r="E45" s="1" t="inlineStr">
        <is>
          <t>MEA</t>
        </is>
      </c>
      <c r="F45" s="1" t="inlineStr">
        <is>
          <t>Surfactants / soaps</t>
        </is>
      </c>
      <c r="G45" s="1" t="inlineStr">
        <is>
          <t>Surfactant &amp; emulsification</t>
        </is>
      </c>
      <c r="H45" s="1" t="inlineStr">
        <is>
          <t>Consumer Products &amp; Packaging</t>
        </is>
      </c>
      <c r="I45" s="1" t="inlineStr">
        <is>
          <t>Secondary</t>
        </is>
      </c>
      <c r="J45" s="1" t="inlineStr">
        <is>
          <t>세제·personal care 계면활성제 및 비누 형성에 사용</t>
        </is>
      </c>
      <c r="K45" s="1" t="inlineStr">
        <is>
          <t>Existing</t>
        </is>
      </c>
      <c r="L45" s="11" t="n"/>
    </row>
    <row r="46">
      <c r="A46" s="11">
        <f>_xlfn.XLOOKUP(표14[[#This Row],[material_name]],표2[material_name],표2[material_id])</f>
        <v/>
      </c>
      <c r="B46" s="11">
        <f>_xlfn.XLOOKUP(표14[[#This Row],[application_taxonomy]],표11[application_taxonomy],표11[app_id])</f>
        <v/>
      </c>
      <c r="C46" s="11">
        <f>_xlfn.XLOOKUP(표14[[#This Row],[end_use_industry]],표13[end_use_category],표13[end_use_id])</f>
        <v/>
      </c>
      <c r="D46" s="11">
        <f>_xlfn.XLOOKUP(표14[[#This Row],[importance]],표15[importance],표15[rating])</f>
        <v/>
      </c>
      <c r="E46" s="1" t="inlineStr">
        <is>
          <t>MEA</t>
        </is>
      </c>
      <c r="F46" s="1" t="inlineStr">
        <is>
          <t>Wood preservatives</t>
        </is>
      </c>
      <c r="G46" s="1" t="inlineStr">
        <is>
          <t>Specialty chemical intermediate</t>
        </is>
      </c>
      <c r="H46" s="1" t="inlineStr">
        <is>
          <t>Construction &amp; Infrastructure</t>
        </is>
      </c>
      <c r="I46" s="1" t="inlineStr">
        <is>
          <t>Secondary</t>
        </is>
      </c>
      <c r="J46" s="1" t="inlineStr">
        <is>
          <t>ACQ 목재 방부제 제조에 사용되나 성장성은 제한적</t>
        </is>
      </c>
      <c r="K46" s="1" t="inlineStr">
        <is>
          <t>Existing</t>
        </is>
      </c>
      <c r="L46" s="11" t="n"/>
    </row>
    <row r="47">
      <c r="A47" s="11">
        <f>_xlfn.XLOOKUP(표14[[#This Row],[material_name]],표2[material_name],표2[material_id])</f>
        <v/>
      </c>
      <c r="B47" s="11">
        <f>_xlfn.XLOOKUP(표14[[#This Row],[application_taxonomy]],표11[application_taxonomy],표11[app_id])</f>
        <v/>
      </c>
      <c r="C47" s="11">
        <f>_xlfn.XLOOKUP(표14[[#This Row],[end_use_industry]],표13[end_use_category],표13[end_use_id])</f>
        <v/>
      </c>
      <c r="D47" s="11">
        <f>_xlfn.XLOOKUP(표14[[#This Row],[importance]],표15[importance],표15[rating])</f>
        <v/>
      </c>
      <c r="E47" s="1" t="inlineStr">
        <is>
          <t>DEA</t>
        </is>
      </c>
      <c r="F47" s="1" t="inlineStr">
        <is>
          <t>Glyphosate herbicides</t>
        </is>
      </c>
      <c r="G47" s="1" t="inlineStr">
        <is>
          <t>Specialty chemical intermediate</t>
        </is>
      </c>
      <c r="H47" s="1" t="inlineStr">
        <is>
          <t>Agriculture</t>
        </is>
      </c>
      <c r="I47" s="1" t="inlineStr">
        <is>
          <t>Primary</t>
        </is>
      </c>
      <c r="J47" s="1" t="inlineStr">
        <is>
          <t>DEA의 주요 용도는 glyphosate herbicide 합성 중간체</t>
        </is>
      </c>
      <c r="K47" s="1" t="inlineStr">
        <is>
          <t>Existing</t>
        </is>
      </c>
      <c r="L47" s="11" t="n"/>
    </row>
    <row r="48">
      <c r="A48" s="11">
        <f>_xlfn.XLOOKUP(표14[[#This Row],[material_name]],표2[material_name],표2[material_id])</f>
        <v/>
      </c>
      <c r="B48" s="11">
        <f>_xlfn.XLOOKUP(표14[[#This Row],[application_taxonomy]],표11[application_taxonomy],표11[app_id])</f>
        <v/>
      </c>
      <c r="C48" s="11">
        <f>_xlfn.XLOOKUP(표14[[#This Row],[end_use_industry]],표13[end_use_category],표13[end_use_id])</f>
        <v/>
      </c>
      <c r="D48" s="11">
        <f>_xlfn.XLOOKUP(표14[[#This Row],[importance]],표15[importance],표15[rating])</f>
        <v/>
      </c>
      <c r="E48" s="1" t="inlineStr">
        <is>
          <t>DEA</t>
        </is>
      </c>
      <c r="F48" s="1" t="inlineStr">
        <is>
          <t>DEIPA for cement grinding aid</t>
        </is>
      </c>
      <c r="G48" s="1" t="inlineStr">
        <is>
          <t>Building materials &amp; profiles</t>
        </is>
      </c>
      <c r="H48" s="1" t="inlineStr">
        <is>
          <t>Construction &amp; Infrastructure</t>
        </is>
      </c>
      <c r="I48" s="1" t="inlineStr">
        <is>
          <t>Secondary</t>
        </is>
      </c>
      <c r="J48" s="1" t="inlineStr">
        <is>
          <t>DEIPA가 cement grinding 효율 개선용으로 빠르게 성장</t>
        </is>
      </c>
      <c r="K48" s="1" t="inlineStr">
        <is>
          <t>Existing</t>
        </is>
      </c>
      <c r="L48" s="11" t="n"/>
    </row>
    <row r="49">
      <c r="A49" s="11">
        <f>_xlfn.XLOOKUP(표14[[#This Row],[material_name]],표2[material_name],표2[material_id])</f>
        <v/>
      </c>
      <c r="B49" s="11">
        <f>_xlfn.XLOOKUP(표14[[#This Row],[application_taxonomy]],표11[application_taxonomy],표11[app_id])</f>
        <v/>
      </c>
      <c r="C49" s="11">
        <f>_xlfn.XLOOKUP(표14[[#This Row],[end_use_industry]],표13[end_use_category],표13[end_use_id])</f>
        <v/>
      </c>
      <c r="D49" s="11">
        <f>_xlfn.XLOOKUP(표14[[#This Row],[importance]],표15[importance],표15[rating])</f>
        <v/>
      </c>
      <c r="E49" s="1" t="inlineStr">
        <is>
          <t>DEA</t>
        </is>
      </c>
      <c r="F49" s="1" t="inlineStr">
        <is>
          <t>Fatty alkanolamides / surfactants</t>
        </is>
      </c>
      <c r="G49" s="1" t="inlineStr">
        <is>
          <t>Surfactant &amp; emulsification</t>
        </is>
      </c>
      <c r="H49" s="1" t="inlineStr">
        <is>
          <t>Consumer Products &amp; Packaging</t>
        </is>
      </c>
      <c r="I49" s="1" t="inlineStr">
        <is>
          <t>Secondary</t>
        </is>
      </c>
      <c r="J49" s="1" t="inlineStr">
        <is>
          <t>계면활성제 원료이나 nitrosamine 우려로 일부 대체 진행</t>
        </is>
      </c>
      <c r="K49" s="1" t="inlineStr">
        <is>
          <t>Existing</t>
        </is>
      </c>
      <c r="L49" s="11" t="n"/>
    </row>
    <row r="50" ht="33" customHeight="1" s="179">
      <c r="A50" s="11">
        <f>_xlfn.XLOOKUP(표14[[#This Row],[material_name]],표2[material_name],표2[material_id])</f>
        <v/>
      </c>
      <c r="B50" s="11">
        <f>_xlfn.XLOOKUP(표14[[#This Row],[application_taxonomy]],표11[application_taxonomy],표11[app_id])</f>
        <v/>
      </c>
      <c r="C50" s="11">
        <f>_xlfn.XLOOKUP(표14[[#This Row],[end_use_industry]],표13[end_use_category],표13[end_use_id])</f>
        <v/>
      </c>
      <c r="D50" s="11">
        <f>_xlfn.XLOOKUP(표14[[#This Row],[importance]],표15[importance],표15[rating])</f>
        <v/>
      </c>
      <c r="E50" s="1" t="inlineStr">
        <is>
          <t>DEA</t>
        </is>
      </c>
      <c r="F50" s="1" t="inlineStr">
        <is>
          <t>Metalworking fluids</t>
        </is>
      </c>
      <c r="G50" s="1" t="inlineStr">
        <is>
          <t>Corrosion inhibition &amp; metalworking</t>
        </is>
      </c>
      <c r="H50" s="1" t="inlineStr">
        <is>
          <t>Industrial Goods &amp; Advanced Manufacturing</t>
        </is>
      </c>
      <c r="I50" s="1" t="inlineStr">
        <is>
          <t>Niche / Emerging</t>
        </is>
      </c>
      <c r="J50" s="1" t="inlineStr">
        <is>
          <t>금속가공유 용도는 환경 이슈로 축소됨</t>
        </is>
      </c>
      <c r="K50" s="1" t="inlineStr">
        <is>
          <t>Existing</t>
        </is>
      </c>
      <c r="L50" s="11" t="n"/>
    </row>
    <row r="51" ht="33" customHeight="1" s="179">
      <c r="A51" s="11">
        <f>_xlfn.XLOOKUP(표14[[#This Row],[material_name]],표2[material_name],표2[material_id])</f>
        <v/>
      </c>
      <c r="B51" s="11">
        <f>_xlfn.XLOOKUP(표14[[#This Row],[application_taxonomy]],표11[application_taxonomy],표11[app_id])</f>
        <v/>
      </c>
      <c r="C51" s="11">
        <f>_xlfn.XLOOKUP(표14[[#This Row],[end_use_industry]],표13[end_use_category],표13[end_use_id])</f>
        <v/>
      </c>
      <c r="D51" s="11">
        <f>_xlfn.XLOOKUP(표14[[#This Row],[importance]],표15[importance],표15[rating])</f>
        <v/>
      </c>
      <c r="E51" s="1" t="inlineStr">
        <is>
          <t>TEA</t>
        </is>
      </c>
      <c r="F51" s="1" t="inlineStr">
        <is>
          <t>Cement grinding / concrete formulations</t>
        </is>
      </c>
      <c r="G51" s="1" t="inlineStr">
        <is>
          <t>Building materials &amp; profiles</t>
        </is>
      </c>
      <c r="H51" s="1" t="inlineStr">
        <is>
          <t>Construction &amp; Infrastructure</t>
        </is>
      </c>
      <c r="I51" s="1" t="inlineStr">
        <is>
          <t>Primary</t>
        </is>
      </c>
      <c r="J51" s="1" t="inlineStr">
        <is>
          <t>TEA는 cement grinding 및 concrete formulation의 대표 용도</t>
        </is>
      </c>
      <c r="K51" s="1" t="inlineStr">
        <is>
          <t>Existing</t>
        </is>
      </c>
      <c r="L51" s="11" t="n"/>
    </row>
    <row r="52" ht="33" customHeight="1" s="179">
      <c r="A52" s="11">
        <f>_xlfn.XLOOKUP(표14[[#This Row],[material_name]],표2[material_name],표2[material_id])</f>
        <v/>
      </c>
      <c r="B52" s="11">
        <f>_xlfn.XLOOKUP(표14[[#This Row],[application_taxonomy]],표11[application_taxonomy],표11[app_id])</f>
        <v/>
      </c>
      <c r="C52" s="11">
        <f>_xlfn.XLOOKUP(표14[[#This Row],[end_use_industry]],표13[end_use_category],표13[end_use_id])</f>
        <v/>
      </c>
      <c r="D52" s="11">
        <f>_xlfn.XLOOKUP(표14[[#This Row],[importance]],표15[importance],표15[rating])</f>
        <v/>
      </c>
      <c r="E52" s="1" t="inlineStr">
        <is>
          <t>TEA</t>
        </is>
      </c>
      <c r="F52" s="1" t="inlineStr">
        <is>
          <t>Heavy-duty liquid laundry detergents</t>
        </is>
      </c>
      <c r="G52" s="1" t="inlineStr">
        <is>
          <t>Surfactant &amp; emulsification</t>
        </is>
      </c>
      <c r="H52" s="1" t="inlineStr">
        <is>
          <t>Consumer Products &amp; Packaging</t>
        </is>
      </c>
      <c r="I52" s="1" t="inlineStr">
        <is>
          <t>Primary</t>
        </is>
      </c>
      <c r="J52" s="1" t="inlineStr">
        <is>
          <t>세제 formulation 및 ester quat 계면활성제 합성에 사용</t>
        </is>
      </c>
      <c r="K52" s="1" t="inlineStr">
        <is>
          <t>Existing</t>
        </is>
      </c>
      <c r="L52" s="11" t="n"/>
    </row>
    <row r="53" ht="33" customHeight="1" s="179">
      <c r="A53" s="11">
        <f>_xlfn.XLOOKUP(표14[[#This Row],[material_name]],표2[material_name],표2[material_id])</f>
        <v/>
      </c>
      <c r="B53" s="11">
        <f>_xlfn.XLOOKUP(표14[[#This Row],[application_taxonomy]],표11[application_taxonomy],표11[app_id])</f>
        <v/>
      </c>
      <c r="C53" s="11">
        <f>_xlfn.XLOOKUP(표14[[#This Row],[end_use_industry]],표13[end_use_category],표13[end_use_id])</f>
        <v/>
      </c>
      <c r="D53" s="11">
        <f>_xlfn.XLOOKUP(표14[[#This Row],[importance]],표15[importance],표15[rating])</f>
        <v/>
      </c>
      <c r="E53" s="1" t="inlineStr">
        <is>
          <t>TEA</t>
        </is>
      </c>
      <c r="F53" s="1" t="inlineStr">
        <is>
          <t>Personal care products / shaving foams / soaps</t>
        </is>
      </c>
      <c r="G53" s="1" t="inlineStr">
        <is>
          <t>Personal care formulation</t>
        </is>
      </c>
      <c r="H53" s="1" t="inlineStr">
        <is>
          <t>Consumer Products &amp; Packaging</t>
        </is>
      </c>
      <c r="I53" s="1" t="inlineStr">
        <is>
          <t>Secondary</t>
        </is>
      </c>
      <c r="J53" s="1" t="inlineStr">
        <is>
          <t>personal care 및 비누류 formulation에 사용</t>
        </is>
      </c>
      <c r="K53" s="1" t="inlineStr">
        <is>
          <t>Existing</t>
        </is>
      </c>
      <c r="L53" s="11" t="n"/>
    </row>
    <row r="54" ht="33" customHeight="1" s="179">
      <c r="A54" s="11">
        <f>_xlfn.XLOOKUP(표14[[#This Row],[material_name]],표2[material_name],표2[material_id])</f>
        <v/>
      </c>
      <c r="B54" s="11">
        <f>_xlfn.XLOOKUP(표14[[#This Row],[application_taxonomy]],표11[application_taxonomy],표11[app_id])</f>
        <v/>
      </c>
      <c r="C54" s="11">
        <f>_xlfn.XLOOKUP(표14[[#This Row],[end_use_industry]],표13[end_use_category],표13[end_use_id])</f>
        <v/>
      </c>
      <c r="D54" s="11">
        <f>_xlfn.XLOOKUP(표14[[#This Row],[importance]],표15[importance],표15[rating])</f>
        <v/>
      </c>
      <c r="E54" s="1" t="inlineStr">
        <is>
          <t>TEA</t>
        </is>
      </c>
      <c r="F54" s="1" t="inlineStr">
        <is>
          <t>Metalworking fluids / corrosion inhibitors</t>
        </is>
      </c>
      <c r="G54" s="1" t="inlineStr">
        <is>
          <t>Corrosion inhibition &amp; metalworking</t>
        </is>
      </c>
      <c r="H54" s="1" t="inlineStr">
        <is>
          <t>Industrial Goods &amp; Advanced Manufacturing</t>
        </is>
      </c>
      <c r="I54" s="1" t="inlineStr">
        <is>
          <t>Secondary</t>
        </is>
      </c>
      <c r="J54" s="1" t="inlineStr">
        <is>
          <t>금속가공유에서 가장 널리 쓰이는 ethanolamine</t>
        </is>
      </c>
      <c r="K54" s="1" t="inlineStr">
        <is>
          <t>Existing</t>
        </is>
      </c>
      <c r="L54" s="11" t="n"/>
    </row>
    <row r="55">
      <c r="A55" s="11">
        <f>_xlfn.XLOOKUP(표14[[#This Row],[material_name]],표2[material_name],표2[material_id])</f>
        <v/>
      </c>
      <c r="B55" s="11">
        <f>_xlfn.XLOOKUP(표14[[#This Row],[application_taxonomy]],표11[application_taxonomy],표11[app_id])</f>
        <v/>
      </c>
      <c r="C55" s="11">
        <f>_xlfn.XLOOKUP(표14[[#This Row],[end_use_industry]],표13[end_use_category],표13[end_use_id])</f>
        <v/>
      </c>
      <c r="D55" s="11">
        <f>_xlfn.XLOOKUP(표14[[#This Row],[importance]],표15[importance],표15[rating])</f>
        <v/>
      </c>
      <c r="E55" s="1" t="inlineStr">
        <is>
          <t>MEG</t>
        </is>
      </c>
      <c r="F55" s="1" t="inlineStr">
        <is>
          <t>Polyester / PET fibers</t>
        </is>
      </c>
      <c r="G55" s="1" t="inlineStr">
        <is>
          <t>Major chemical intermediate</t>
        </is>
      </c>
      <c r="H55" s="1" t="inlineStr">
        <is>
          <t>Consumer Products &amp; Packaging</t>
        </is>
      </c>
      <c r="I55" s="1" t="inlineStr">
        <is>
          <t>Primary</t>
        </is>
      </c>
      <c r="J55" s="1" t="inlineStr">
        <is>
          <t>MEG 소비의 92% 이상이 polyester/PET 용도</t>
        </is>
      </c>
      <c r="K55" s="1" t="inlineStr">
        <is>
          <t>Existing</t>
        </is>
      </c>
      <c r="L55" s="11" t="n"/>
    </row>
    <row r="56" ht="33" customHeight="1" s="179">
      <c r="A56" s="11">
        <f>_xlfn.XLOOKUP(표14[[#This Row],[material_name]],표2[material_name],표2[material_id])</f>
        <v/>
      </c>
      <c r="B56" s="11">
        <f>_xlfn.XLOOKUP(표14[[#This Row],[application_taxonomy]],표11[application_taxonomy],표11[app_id])</f>
        <v/>
      </c>
      <c r="C56" s="11">
        <f>_xlfn.XLOOKUP(표14[[#This Row],[end_use_industry]],표13[end_use_category],표13[end_use_id])</f>
        <v/>
      </c>
      <c r="D56" s="11">
        <f>_xlfn.XLOOKUP(표14[[#This Row],[importance]],표15[importance],표15[rating])</f>
        <v/>
      </c>
      <c r="E56" s="1" t="inlineStr">
        <is>
          <t>MEG</t>
        </is>
      </c>
      <c r="F56" s="1" t="inlineStr">
        <is>
          <t>Antifreeze</t>
        </is>
      </c>
      <c r="G56" s="1" t="inlineStr">
        <is>
          <t>Battery &amp; thermal-management materials</t>
        </is>
      </c>
      <c r="H56" s="1" t="inlineStr">
        <is>
          <t>Automotive &amp; Future Mobility</t>
        </is>
      </c>
      <c r="I56" s="1" t="inlineStr">
        <is>
          <t>Secondary</t>
        </is>
      </c>
      <c r="J56" s="1" t="inlineStr">
        <is>
          <t>냉각·부동액 용도이나 PET 대비 규모는 작음</t>
        </is>
      </c>
      <c r="K56" s="1" t="inlineStr">
        <is>
          <t>Existing</t>
        </is>
      </c>
      <c r="L56" s="11" t="n"/>
    </row>
    <row r="57" ht="33" customHeight="1" s="179">
      <c r="A57" s="11">
        <f>_xlfn.XLOOKUP(표14[[#This Row],[material_name]],표2[material_name],표2[material_id])</f>
        <v/>
      </c>
      <c r="B57" s="11">
        <f>_xlfn.XLOOKUP(표14[[#This Row],[application_taxonomy]],표11[application_taxonomy],표11[app_id])</f>
        <v/>
      </c>
      <c r="C57" s="11">
        <f>_xlfn.XLOOKUP(표14[[#This Row],[end_use_industry]],표13[end_use_category],표13[end_use_id])</f>
        <v/>
      </c>
      <c r="D57" s="11">
        <f>_xlfn.XLOOKUP(표14[[#This Row],[importance]],표15[importance],표15[rating])</f>
        <v/>
      </c>
      <c r="E57" s="1" t="inlineStr">
        <is>
          <t>VAM</t>
        </is>
      </c>
      <c r="F57" s="1" t="inlineStr">
        <is>
          <t>Polyvinyl alcohol (PVOH)</t>
        </is>
      </c>
      <c r="G57" s="1" t="inlineStr">
        <is>
          <t>Major chemical intermediate</t>
        </is>
      </c>
      <c r="H57" s="1" t="inlineStr">
        <is>
          <t>Industrial Goods &amp; Advanced Manufacturing</t>
        </is>
      </c>
      <c r="I57" s="1" t="inlineStr">
        <is>
          <t>Primary</t>
        </is>
      </c>
      <c r="J57" s="1" t="inlineStr">
        <is>
          <t>2024년 VAM 소비의 33%로 최대 downstream</t>
        </is>
      </c>
      <c r="K57" s="1" t="inlineStr">
        <is>
          <t>Existing</t>
        </is>
      </c>
      <c r="L57" s="11" t="n"/>
    </row>
    <row r="58" ht="33" customHeight="1" s="179">
      <c r="A58" s="11">
        <f>_xlfn.XLOOKUP(표14[[#This Row],[material_name]],표2[material_name],표2[material_id])</f>
        <v/>
      </c>
      <c r="B58" s="11">
        <f>_xlfn.XLOOKUP(표14[[#This Row],[application_taxonomy]],표11[application_taxonomy],표11[app_id])</f>
        <v/>
      </c>
      <c r="C58" s="11">
        <f>_xlfn.XLOOKUP(표14[[#This Row],[end_use_industry]],표13[end_use_category],표13[end_use_id])</f>
        <v/>
      </c>
      <c r="D58" s="11">
        <f>_xlfn.XLOOKUP(표14[[#This Row],[importance]],표15[importance],표15[rating])</f>
        <v/>
      </c>
      <c r="E58" s="1" t="inlineStr">
        <is>
          <t>VAM</t>
        </is>
      </c>
      <c r="F58" s="1" t="inlineStr">
        <is>
          <t>Polyvinyl acetate (PVA)</t>
        </is>
      </c>
      <c r="G58" s="1" t="inlineStr">
        <is>
          <t>Major chemical intermediate</t>
        </is>
      </c>
      <c r="H58" s="1" t="inlineStr">
        <is>
          <t>Industrial Goods &amp; Advanced Manufacturing</t>
        </is>
      </c>
      <c r="I58" s="1" t="inlineStr">
        <is>
          <t>Primary</t>
        </is>
      </c>
      <c r="J58" s="1" t="inlineStr">
        <is>
          <t>2024년 VAM 소비의 28%로 주요 polymer 원료</t>
        </is>
      </c>
      <c r="K58" s="1" t="inlineStr">
        <is>
          <t>Existing</t>
        </is>
      </c>
      <c r="L58" s="11" t="n"/>
    </row>
    <row r="59" ht="33" customHeight="1" s="179">
      <c r="A59" s="11">
        <f>_xlfn.XLOOKUP(표14[[#This Row],[material_name]],표2[material_name],표2[material_id])</f>
        <v/>
      </c>
      <c r="B59" s="11">
        <f>_xlfn.XLOOKUP(표14[[#This Row],[application_taxonomy]],표11[application_taxonomy],표11[app_id])</f>
        <v/>
      </c>
      <c r="C59" s="11">
        <f>_xlfn.XLOOKUP(표14[[#This Row],[end_use_industry]],표13[end_use_category],표13[end_use_id])</f>
        <v/>
      </c>
      <c r="D59" s="11">
        <f>_xlfn.XLOOKUP(표14[[#This Row],[importance]],표15[importance],표15[rating])</f>
        <v/>
      </c>
      <c r="E59" s="1" t="inlineStr">
        <is>
          <t>VAM</t>
        </is>
      </c>
      <c r="F59" s="1" t="inlineStr">
        <is>
          <t>Ethylene-vinyl acetate (EVA)</t>
        </is>
      </c>
      <c r="G59" s="1" t="inlineStr">
        <is>
          <t>Major chemical intermediate</t>
        </is>
      </c>
      <c r="H59" s="1" t="inlineStr">
        <is>
          <t>Industrial Goods &amp; Advanced Manufacturing</t>
        </is>
      </c>
      <c r="I59" s="1" t="inlineStr">
        <is>
          <t>Secondary</t>
        </is>
      </c>
      <c r="J59" s="1" t="inlineStr">
        <is>
          <t>EVA/VAE 수요가 빠르게 성장하는 VAM downstream</t>
        </is>
      </c>
      <c r="K59" s="1" t="inlineStr">
        <is>
          <t>Existing</t>
        </is>
      </c>
      <c r="L59" s="11" t="n"/>
    </row>
    <row r="60">
      <c r="A60" s="11">
        <f>_xlfn.XLOOKUP(표14[[#This Row],[material_name]],표2[material_name],표2[material_id])</f>
        <v/>
      </c>
      <c r="B60" s="11">
        <f>_xlfn.XLOOKUP(표14[[#This Row],[application_taxonomy]],표11[application_taxonomy],표11[app_id])</f>
        <v/>
      </c>
      <c r="C60" s="11">
        <f>_xlfn.XLOOKUP(표14[[#This Row],[end_use_industry]],표13[end_use_category],표13[end_use_id])</f>
        <v/>
      </c>
      <c r="D60" s="11">
        <f>_xlfn.XLOOKUP(표14[[#This Row],[importance]],표15[importance],표15[rating])</f>
        <v/>
      </c>
      <c r="E60" s="1" t="inlineStr">
        <is>
          <t>VAM</t>
        </is>
      </c>
      <c r="F60" s="1" t="inlineStr">
        <is>
          <t>Ethylene-vinyl alcohol (EVOH)</t>
        </is>
      </c>
      <c r="G60" s="1" t="inlineStr">
        <is>
          <t>Major chemical intermediate</t>
        </is>
      </c>
      <c r="H60" s="1" t="inlineStr">
        <is>
          <t>Consumer Products &amp; Packaging</t>
        </is>
      </c>
      <c r="I60" s="1" t="inlineStr">
        <is>
          <t>Secondary</t>
        </is>
      </c>
      <c r="J60" s="1" t="inlineStr">
        <is>
          <t>EVOH barrier resin으로 연결되는 comonomer 용도</t>
        </is>
      </c>
      <c r="K60" s="1" t="inlineStr">
        <is>
          <t>Existing</t>
        </is>
      </c>
      <c r="L60" s="11" t="n"/>
    </row>
    <row r="61" ht="33" customHeight="1" s="179">
      <c r="A61" s="11">
        <f>_xlfn.XLOOKUP(표14[[#This Row],[material_name]],표2[material_name],표2[material_id])</f>
        <v/>
      </c>
      <c r="B61" s="11">
        <f>_xlfn.XLOOKUP(표14[[#This Row],[application_taxonomy]],표11[application_taxonomy],표11[app_id])</f>
        <v/>
      </c>
      <c r="C61" s="11">
        <f>_xlfn.XLOOKUP(표14[[#This Row],[end_use_industry]],표13[end_use_category],표13[end_use_id])</f>
        <v/>
      </c>
      <c r="D61" s="11">
        <f>_xlfn.XLOOKUP(표14[[#This Row],[importance]],표15[importance],표15[rating])</f>
        <v/>
      </c>
      <c r="E61" s="1" t="inlineStr">
        <is>
          <t>AN</t>
        </is>
      </c>
      <c r="F61" s="1" t="inlineStr">
        <is>
          <t>ABS resins</t>
        </is>
      </c>
      <c r="G61" s="23" t="inlineStr">
        <is>
          <t>Major chemical intermediate</t>
        </is>
      </c>
      <c r="H61" s="1" t="inlineStr">
        <is>
          <t>Industrial Goods &amp; Advanced Manufacturing</t>
        </is>
      </c>
      <c r="I61" s="1" t="inlineStr">
        <is>
          <t>Primary</t>
        </is>
      </c>
      <c r="J61" s="1" t="inlineStr">
        <is>
          <t>AN 최대 수요처로 2024년 약 35% 차지</t>
        </is>
      </c>
      <c r="K61" s="1" t="inlineStr">
        <is>
          <t>Existing</t>
        </is>
      </c>
      <c r="L61" s="11" t="n"/>
    </row>
    <row r="62" ht="33" customHeight="1" s="179">
      <c r="A62" s="11">
        <f>_xlfn.XLOOKUP(표14[[#This Row],[material_name]],표2[material_name],표2[material_id])</f>
        <v/>
      </c>
      <c r="B62" s="11">
        <f>_xlfn.XLOOKUP(표14[[#This Row],[application_taxonomy]],표11[application_taxonomy],표11[app_id])</f>
        <v/>
      </c>
      <c r="C62" s="11">
        <f>_xlfn.XLOOKUP(표14[[#This Row],[end_use_industry]],표13[end_use_category],표13[end_use_id])</f>
        <v/>
      </c>
      <c r="D62" s="11">
        <f>_xlfn.XLOOKUP(표14[[#This Row],[importance]],표15[importance],표15[rating])</f>
        <v/>
      </c>
      <c r="E62" s="1" t="inlineStr">
        <is>
          <t>AN</t>
        </is>
      </c>
      <c r="F62" s="1" t="inlineStr">
        <is>
          <t>Acrylamide</t>
        </is>
      </c>
      <c r="G62" s="1" t="inlineStr">
        <is>
          <t>Specialty chemical intermediate</t>
        </is>
      </c>
      <c r="H62" s="1" t="inlineStr">
        <is>
          <t>Industrial Goods &amp; Advanced Manufacturing</t>
        </is>
      </c>
      <c r="I62" s="1" t="inlineStr">
        <is>
          <t>Primary</t>
        </is>
      </c>
      <c r="J62" s="1" t="inlineStr">
        <is>
          <t>PAM 및 wastewater treatment로 연결되는 주요 수요처</t>
        </is>
      </c>
      <c r="K62" s="1" t="inlineStr">
        <is>
          <t>Existing</t>
        </is>
      </c>
      <c r="L62" s="11" t="n"/>
    </row>
    <row r="63">
      <c r="A63" s="11">
        <f>_xlfn.XLOOKUP(표14[[#This Row],[material_name]],표2[material_name],표2[material_id])</f>
        <v/>
      </c>
      <c r="B63" s="11">
        <f>_xlfn.XLOOKUP(표14[[#This Row],[application_taxonomy]],표11[application_taxonomy],표11[app_id])</f>
        <v/>
      </c>
      <c r="C63" s="11">
        <f>_xlfn.XLOOKUP(표14[[#This Row],[end_use_industry]],표13[end_use_category],표13[end_use_id])</f>
        <v/>
      </c>
      <c r="D63" s="11">
        <f>_xlfn.XLOOKUP(표14[[#This Row],[importance]],표15[importance],표15[rating])</f>
        <v/>
      </c>
      <c r="E63" s="1" t="inlineStr">
        <is>
          <t>AN</t>
        </is>
      </c>
      <c r="F63" s="1" t="inlineStr">
        <is>
          <t>Acrylic fibers</t>
        </is>
      </c>
      <c r="G63" s="1" t="inlineStr">
        <is>
          <t>Reactive monomer / comonomer</t>
        </is>
      </c>
      <c r="H63" s="1" t="inlineStr">
        <is>
          <t>Consumer Products &amp; Packaging</t>
        </is>
      </c>
      <c r="I63" s="1" t="inlineStr">
        <is>
          <t>Primary</t>
        </is>
      </c>
      <c r="J63" s="1" t="inlineStr">
        <is>
          <t>역사적 핵심 수요처이나 polyester와 경쟁으로 성장 둔화</t>
        </is>
      </c>
      <c r="K63" s="1" t="inlineStr">
        <is>
          <t>Existing</t>
        </is>
      </c>
      <c r="L63" s="11" t="n"/>
    </row>
    <row r="64" ht="33" customHeight="1" s="179">
      <c r="A64" s="11">
        <f>_xlfn.XLOOKUP(표14[[#This Row],[material_name]],표2[material_name],표2[material_id])</f>
        <v/>
      </c>
      <c r="B64" s="11">
        <f>_xlfn.XLOOKUP(표14[[#This Row],[application_taxonomy]],표11[application_taxonomy],표11[app_id])</f>
        <v/>
      </c>
      <c r="C64" s="11">
        <f>_xlfn.XLOOKUP(표14[[#This Row],[end_use_industry]],표13[end_use_category],표13[end_use_id])</f>
        <v/>
      </c>
      <c r="D64" s="11">
        <f>_xlfn.XLOOKUP(표14[[#This Row],[importance]],표15[importance],표15[rating])</f>
        <v/>
      </c>
      <c r="E64" s="1" t="inlineStr">
        <is>
          <t>AN</t>
        </is>
      </c>
      <c r="F64" s="1" t="inlineStr">
        <is>
          <t>SAN resins</t>
        </is>
      </c>
      <c r="G64" s="23" t="inlineStr">
        <is>
          <t>Major chemical intermediate</t>
        </is>
      </c>
      <c r="H64" s="1" t="inlineStr">
        <is>
          <t>Industrial Goods &amp; Advanced Manufacturing</t>
        </is>
      </c>
      <c r="I64" s="1" t="inlineStr">
        <is>
          <t>Secondary</t>
        </is>
      </c>
      <c r="J64" s="1" t="inlineStr">
        <is>
          <t>SAN 및 ABS/ASA/AES chain으로 연결</t>
        </is>
      </c>
      <c r="K64" s="1" t="inlineStr">
        <is>
          <t>Existing</t>
        </is>
      </c>
      <c r="L64" s="11" t="n"/>
    </row>
    <row r="65" ht="33" customHeight="1" s="179">
      <c r="A65" s="11">
        <f>_xlfn.XLOOKUP(표14[[#This Row],[material_name]],표2[material_name],표2[material_id])</f>
        <v/>
      </c>
      <c r="B65" s="11">
        <f>_xlfn.XLOOKUP(표14[[#This Row],[application_taxonomy]],표11[application_taxonomy],표11[app_id])</f>
        <v/>
      </c>
      <c r="C65" s="11">
        <f>_xlfn.XLOOKUP(표14[[#This Row],[end_use_industry]],표13[end_use_category],표13[end_use_id])</f>
        <v/>
      </c>
      <c r="D65" s="11">
        <f>_xlfn.XLOOKUP(표14[[#This Row],[importance]],표15[importance],표15[rating])</f>
        <v/>
      </c>
      <c r="E65" s="1" t="inlineStr">
        <is>
          <t>AN</t>
        </is>
      </c>
      <c r="F65" s="1" t="inlineStr">
        <is>
          <t>PAN-based carbon fiber</t>
        </is>
      </c>
      <c r="G65" s="23" t="inlineStr">
        <is>
          <t>Major chemical intermediate</t>
        </is>
      </c>
      <c r="H65" s="1" t="inlineStr">
        <is>
          <t>Automotive &amp; Future Mobility</t>
        </is>
      </c>
      <c r="I65" s="1" t="inlineStr">
        <is>
          <t>Niche / Emerging</t>
        </is>
      </c>
      <c r="J65" s="1" t="inlineStr">
        <is>
          <t>carbon fiber 성장성이 있으나 현재 비중은 작음</t>
        </is>
      </c>
      <c r="K65" s="1" t="inlineStr">
        <is>
          <t>Existing</t>
        </is>
      </c>
      <c r="L65" s="11" t="n"/>
    </row>
    <row r="66">
      <c r="A66" s="11">
        <f>_xlfn.XLOOKUP(표14[[#This Row],[material_name]],표2[material_name],표2[material_id])</f>
        <v/>
      </c>
      <c r="B66" s="11">
        <f>_xlfn.XLOOKUP(표14[[#This Row],[application_taxonomy]],표11[application_taxonomy],표11[app_id])</f>
        <v/>
      </c>
      <c r="C66" s="11">
        <f>_xlfn.XLOOKUP(표14[[#This Row],[end_use_industry]],표13[end_use_category],표13[end_use_id])</f>
        <v/>
      </c>
      <c r="D66" s="11">
        <f>_xlfn.XLOOKUP(표14[[#This Row],[importance]],표15[importance],표15[rating])</f>
        <v/>
      </c>
      <c r="E66" s="1" t="inlineStr">
        <is>
          <t>ABS</t>
        </is>
      </c>
      <c r="F66" s="1" t="inlineStr">
        <is>
          <t>Appliances</t>
        </is>
      </c>
      <c r="G66" s="1" t="inlineStr">
        <is>
          <t>Polymer resin / molding material</t>
        </is>
      </c>
      <c r="H66" s="1" t="inlineStr">
        <is>
          <t>Consumer Products &amp; Packaging</t>
        </is>
      </c>
      <c r="I66" s="1" t="inlineStr">
        <is>
          <t>Primary</t>
        </is>
      </c>
      <c r="J66" s="1" t="inlineStr">
        <is>
          <t>2025년 ABS 최대 end use, 약 42%</t>
        </is>
      </c>
      <c r="K66" s="1" t="inlineStr">
        <is>
          <t>Existing</t>
        </is>
      </c>
      <c r="L66" s="11" t="n"/>
    </row>
    <row r="67" ht="33" customHeight="1" s="179">
      <c r="A67" s="11">
        <f>_xlfn.XLOOKUP(표14[[#This Row],[material_name]],표2[material_name],표2[material_id])</f>
        <v/>
      </c>
      <c r="B67" s="11">
        <f>_xlfn.XLOOKUP(표14[[#This Row],[application_taxonomy]],표11[application_taxonomy],표11[app_id])</f>
        <v/>
      </c>
      <c r="C67" s="11">
        <f>_xlfn.XLOOKUP(표14[[#This Row],[end_use_industry]],표13[end_use_category],표13[end_use_id])</f>
        <v/>
      </c>
      <c r="D67" s="11">
        <f>_xlfn.XLOOKUP(표14[[#This Row],[importance]],표15[importance],표15[rating])</f>
        <v/>
      </c>
      <c r="E67" s="1" t="inlineStr">
        <is>
          <t>ABS</t>
        </is>
      </c>
      <c r="F67" s="1" t="inlineStr">
        <is>
          <t>Electrical/electronic applications</t>
        </is>
      </c>
      <c r="G67" s="1" t="inlineStr">
        <is>
          <t>Electronic chemicals &amp; materials</t>
        </is>
      </c>
      <c r="H67" s="1" t="inlineStr">
        <is>
          <t>Electronics, Semiconductors &amp; Digital Infrastructure</t>
        </is>
      </c>
      <c r="I67" s="1" t="inlineStr">
        <is>
          <t>Primary</t>
        </is>
      </c>
      <c r="J67" s="1" t="inlineStr">
        <is>
          <t>2025년 약 21%로 주요 소비처</t>
        </is>
      </c>
      <c r="K67" s="1" t="inlineStr">
        <is>
          <t>Existing</t>
        </is>
      </c>
      <c r="L67" s="11" t="n"/>
    </row>
    <row r="68" ht="33" customHeight="1" s="179">
      <c r="A68" s="11">
        <f>_xlfn.XLOOKUP(표14[[#This Row],[material_name]],표2[material_name],표2[material_id])</f>
        <v/>
      </c>
      <c r="B68" s="11">
        <f>_xlfn.XLOOKUP(표14[[#This Row],[application_taxonomy]],표11[application_taxonomy],표11[app_id])</f>
        <v/>
      </c>
      <c r="C68" s="11">
        <f>_xlfn.XLOOKUP(표14[[#This Row],[end_use_industry]],표13[end_use_category],표13[end_use_id])</f>
        <v/>
      </c>
      <c r="D68" s="11">
        <f>_xlfn.XLOOKUP(표14[[#This Row],[importance]],표15[importance],표15[rating])</f>
        <v/>
      </c>
      <c r="E68" s="1" t="inlineStr">
        <is>
          <t>ABS</t>
        </is>
      </c>
      <c r="F68" s="1" t="inlineStr">
        <is>
          <t>Transportation</t>
        </is>
      </c>
      <c r="G68" s="1" t="inlineStr">
        <is>
          <t>Automotive components &amp; lightweighting</t>
        </is>
      </c>
      <c r="H68" s="1" t="inlineStr">
        <is>
          <t>Automotive &amp; Future Mobility</t>
        </is>
      </c>
      <c r="I68" s="1" t="inlineStr">
        <is>
          <t>Secondary</t>
        </is>
      </c>
      <c r="J68" s="1" t="inlineStr">
        <is>
          <t>경량화와 내충격성이 요구되는 자동차 부품용</t>
        </is>
      </c>
      <c r="K68" s="1" t="inlineStr">
        <is>
          <t>Existing</t>
        </is>
      </c>
      <c r="L68" s="11" t="n"/>
    </row>
    <row r="69">
      <c r="A69" s="11">
        <f>_xlfn.XLOOKUP(표14[[#This Row],[material_name]],표2[material_name],표2[material_id])</f>
        <v/>
      </c>
      <c r="B69" s="11">
        <f>_xlfn.XLOOKUP(표14[[#This Row],[application_taxonomy]],표11[application_taxonomy],표11[app_id])</f>
        <v/>
      </c>
      <c r="C69" s="11">
        <f>_xlfn.XLOOKUP(표14[[#This Row],[end_use_industry]],표13[end_use_category],표13[end_use_id])</f>
        <v/>
      </c>
      <c r="D69" s="11">
        <f>_xlfn.XLOOKUP(표14[[#This Row],[importance]],표15[importance],표15[rating])</f>
        <v/>
      </c>
      <c r="E69" s="1" t="inlineStr">
        <is>
          <t>ABS</t>
        </is>
      </c>
      <c r="F69" s="1" t="inlineStr">
        <is>
          <t>Building and construction</t>
        </is>
      </c>
      <c r="G69" s="1" t="inlineStr">
        <is>
          <t>Building materials &amp; profiles</t>
        </is>
      </c>
      <c r="H69" s="1" t="inlineStr">
        <is>
          <t>Construction &amp; Infrastructure</t>
        </is>
      </c>
      <c r="I69" s="1" t="inlineStr">
        <is>
          <t>Secondary</t>
        </is>
      </c>
      <c r="J69" s="1" t="inlineStr">
        <is>
          <t>건축·건설용 성형 소재 수요</t>
        </is>
      </c>
      <c r="K69" s="1" t="inlineStr">
        <is>
          <t>Existing</t>
        </is>
      </c>
      <c r="L69" s="11" t="n"/>
    </row>
    <row r="70" ht="33" customHeight="1" s="179">
      <c r="A70" s="11">
        <f>_xlfn.XLOOKUP(표14[[#This Row],[material_name]],표2[material_name],표2[material_id])</f>
        <v/>
      </c>
      <c r="B70" s="11">
        <f>_xlfn.XLOOKUP(표14[[#This Row],[application_taxonomy]],표11[application_taxonomy],표11[app_id])</f>
        <v/>
      </c>
      <c r="C70" s="11">
        <f>_xlfn.XLOOKUP(표14[[#This Row],[end_use_industry]],표13[end_use_category],표13[end_use_id])</f>
        <v/>
      </c>
      <c r="D70" s="11">
        <f>_xlfn.XLOOKUP(표14[[#This Row],[importance]],표15[importance],표15[rating])</f>
        <v/>
      </c>
      <c r="E70" s="1" t="inlineStr">
        <is>
          <t>ABS</t>
        </is>
      </c>
      <c r="F70" s="1" t="inlineStr">
        <is>
          <t>PC/ABS, PBT/ABS, polyamide/ABS blends</t>
        </is>
      </c>
      <c r="G70" s="1" t="inlineStr">
        <is>
          <t>Polymer modification &amp; additives</t>
        </is>
      </c>
      <c r="H70" s="1" t="inlineStr">
        <is>
          <t>Industrial Goods &amp; Advanced Manufacturing</t>
        </is>
      </c>
      <c r="I70" s="1" t="inlineStr">
        <is>
          <t>Secondary</t>
        </is>
      </c>
      <c r="J70" s="1" t="inlineStr">
        <is>
          <t>다른 engineering plastics와 blend되어 물성 보완</t>
        </is>
      </c>
      <c r="K70" s="1" t="inlineStr">
        <is>
          <t>Existing</t>
        </is>
      </c>
      <c r="L70" s="11" t="n"/>
    </row>
    <row r="71">
      <c r="A71" s="11">
        <f>_xlfn.XLOOKUP(표14[[#This Row],[material_name]],표2[material_name],표2[material_id])</f>
        <v/>
      </c>
      <c r="B71" s="11">
        <f>_xlfn.XLOOKUP(표14[[#This Row],[application_taxonomy]],표11[application_taxonomy],표11[app_id])</f>
        <v/>
      </c>
      <c r="C71" s="11">
        <f>_xlfn.XLOOKUP(표14[[#This Row],[end_use_industry]],표13[end_use_category],표13[end_use_id])</f>
        <v/>
      </c>
      <c r="D71" s="11">
        <f>_xlfn.XLOOKUP(표14[[#This Row],[importance]],표15[importance],표15[rating])</f>
        <v/>
      </c>
      <c r="E71" s="1" t="inlineStr">
        <is>
          <t>SAN</t>
        </is>
      </c>
      <c r="F71" s="1" t="inlineStr">
        <is>
          <t>Housewares</t>
        </is>
      </c>
      <c r="G71" s="1" t="inlineStr">
        <is>
          <t>Polymer resin / molding material</t>
        </is>
      </c>
      <c r="H71" s="1" t="inlineStr">
        <is>
          <t>Consumer Products &amp; Packaging</t>
        </is>
      </c>
      <c r="I71" s="1" t="inlineStr">
        <is>
          <t>Primary</t>
        </is>
      </c>
      <c r="J71" s="1" t="inlineStr">
        <is>
          <t>투명성, 내화학성, 내열성이 필요한 생활용품 주요 용도</t>
        </is>
      </c>
      <c r="K71" s="1" t="inlineStr">
        <is>
          <t>Existing</t>
        </is>
      </c>
      <c r="L71" s="11" t="n"/>
    </row>
    <row r="72" ht="33" customHeight="1" s="179">
      <c r="A72" s="11">
        <f>_xlfn.XLOOKUP(표14[[#This Row],[material_name]],표2[material_name],표2[material_id])</f>
        <v/>
      </c>
      <c r="B72" s="11">
        <f>_xlfn.XLOOKUP(표14[[#This Row],[application_taxonomy]],표11[application_taxonomy],표11[app_id])</f>
        <v/>
      </c>
      <c r="C72" s="11">
        <f>_xlfn.XLOOKUP(표14[[#This Row],[end_use_industry]],표13[end_use_category],표13[end_use_id])</f>
        <v/>
      </c>
      <c r="D72" s="11">
        <f>_xlfn.XLOOKUP(표14[[#This Row],[importance]],표15[importance],표15[rating])</f>
        <v/>
      </c>
      <c r="E72" s="1" t="inlineStr">
        <is>
          <t>SAN</t>
        </is>
      </c>
      <c r="F72" s="1" t="inlineStr">
        <is>
          <t>Compounding</t>
        </is>
      </c>
      <c r="G72" s="1" t="inlineStr">
        <is>
          <t>Polymer modification &amp; additives</t>
        </is>
      </c>
      <c r="H72" s="1" t="inlineStr">
        <is>
          <t>Industrial Goods &amp; Advanced Manufacturing</t>
        </is>
      </c>
      <c r="I72" s="1" t="inlineStr">
        <is>
          <t>Primary</t>
        </is>
      </c>
      <c r="J72" s="1" t="inlineStr">
        <is>
          <t>PVC stiffening, ABS compounding, additive carrier 등</t>
        </is>
      </c>
      <c r="K72" s="1" t="inlineStr">
        <is>
          <t>Existing</t>
        </is>
      </c>
      <c r="L72" s="11" t="n"/>
    </row>
    <row r="73">
      <c r="A73" s="11">
        <f>_xlfn.XLOOKUP(표14[[#This Row],[material_name]],표2[material_name],표2[material_id])</f>
        <v/>
      </c>
      <c r="B73" s="11">
        <f>_xlfn.XLOOKUP(표14[[#This Row],[application_taxonomy]],표11[application_taxonomy],표11[app_id])</f>
        <v/>
      </c>
      <c r="C73" s="11">
        <f>_xlfn.XLOOKUP(표14[[#This Row],[end_use_industry]],표13[end_use_category],표13[end_use_id])</f>
        <v/>
      </c>
      <c r="D73" s="11">
        <f>_xlfn.XLOOKUP(표14[[#This Row],[importance]],표15[importance],표15[rating])</f>
        <v/>
      </c>
      <c r="E73" s="1" t="inlineStr">
        <is>
          <t>SAN</t>
        </is>
      </c>
      <c r="F73" s="1" t="inlineStr">
        <is>
          <t>Packaging</t>
        </is>
      </c>
      <c r="G73" s="1" t="inlineStr">
        <is>
          <t>Rigid packaging</t>
        </is>
      </c>
      <c r="H73" s="1" t="inlineStr">
        <is>
          <t>Consumer Products &amp; Packaging</t>
        </is>
      </c>
      <c r="I73" s="1" t="inlineStr">
        <is>
          <t>Secondary</t>
        </is>
      </c>
      <c r="J73" s="1" t="inlineStr">
        <is>
          <t>cosmetics packaging, caps, nozzles, containers 등</t>
        </is>
      </c>
      <c r="K73" s="1" t="inlineStr">
        <is>
          <t>Existing</t>
        </is>
      </c>
      <c r="L73" s="11" t="n"/>
    </row>
    <row r="74">
      <c r="A74" s="11">
        <f>_xlfn.XLOOKUP(표14[[#This Row],[material_name]],표2[material_name],표2[material_id])</f>
        <v/>
      </c>
      <c r="B74" s="11">
        <f>_xlfn.XLOOKUP(표14[[#This Row],[application_taxonomy]],표11[application_taxonomy],표11[app_id])</f>
        <v/>
      </c>
      <c r="C74" s="11">
        <f>_xlfn.XLOOKUP(표14[[#This Row],[end_use_industry]],표13[end_use_category],표13[end_use_id])</f>
        <v/>
      </c>
      <c r="D74" s="11">
        <f>_xlfn.XLOOKUP(표14[[#This Row],[importance]],표15[importance],표15[rating])</f>
        <v/>
      </c>
      <c r="E74" s="1" t="inlineStr">
        <is>
          <t>SAN</t>
        </is>
      </c>
      <c r="F74" s="1" t="inlineStr">
        <is>
          <t>Appliances</t>
        </is>
      </c>
      <c r="G74" s="1" t="inlineStr">
        <is>
          <t>Polymer resin / molding material</t>
        </is>
      </c>
      <c r="H74" s="1" t="inlineStr">
        <is>
          <t>Consumer Products &amp; Packaging</t>
        </is>
      </c>
      <c r="I74" s="1" t="inlineStr">
        <is>
          <t>Secondary</t>
        </is>
      </c>
      <c r="J74" s="1" t="inlineStr">
        <is>
          <t>refrigerator liners, panels, blender jars 등 투명 성형부품</t>
        </is>
      </c>
      <c r="K74" s="1" t="inlineStr">
        <is>
          <t>Existing</t>
        </is>
      </c>
      <c r="L74" s="11" t="n"/>
    </row>
    <row r="75" ht="33" customHeight="1" s="179">
      <c r="A75" s="11">
        <f>_xlfn.XLOOKUP(표14[[#This Row],[material_name]],표2[material_name],표2[material_id])</f>
        <v/>
      </c>
      <c r="B75" s="11">
        <f>_xlfn.XLOOKUP(표14[[#This Row],[application_taxonomy]],표11[application_taxonomy],표11[app_id])</f>
        <v/>
      </c>
      <c r="C75" s="11">
        <f>_xlfn.XLOOKUP(표14[[#This Row],[end_use_industry]],표13[end_use_category],표13[end_use_id])</f>
        <v/>
      </c>
      <c r="D75" s="11">
        <f>_xlfn.XLOOKUP(표14[[#This Row],[importance]],표15[importance],표15[rating])</f>
        <v/>
      </c>
      <c r="E75" s="1" t="inlineStr">
        <is>
          <t>SAN</t>
        </is>
      </c>
      <c r="F75" s="1" t="inlineStr">
        <is>
          <t>Medical instruments and utensils</t>
        </is>
      </c>
      <c r="G75" s="1" t="inlineStr">
        <is>
          <t>Medical &amp; healthcare materials</t>
        </is>
      </c>
      <c r="H75" s="1" t="inlineStr">
        <is>
          <t>Healthcare &amp; Life Sciences</t>
        </is>
      </c>
      <c r="I75" s="1" t="inlineStr">
        <is>
          <t>Niche / Emerging</t>
        </is>
      </c>
      <c r="J75" s="1" t="inlineStr">
        <is>
          <t>hemodialyzer housings, connectors, labware 등 niche medical use</t>
        </is>
      </c>
      <c r="K75" s="1" t="inlineStr">
        <is>
          <t>Existing</t>
        </is>
      </c>
      <c r="L75" s="11" t="n"/>
    </row>
    <row r="76" ht="33" customHeight="1" s="179">
      <c r="A76" s="11">
        <f>_xlfn.XLOOKUP(표14[[#This Row],[material_name]],표2[material_name],표2[material_id])</f>
        <v/>
      </c>
      <c r="B76" s="11">
        <f>_xlfn.XLOOKUP(표14[[#This Row],[application_taxonomy]],표11[application_taxonomy],표11[app_id])</f>
        <v/>
      </c>
      <c r="C76" s="11">
        <f>_xlfn.XLOOKUP(표14[[#This Row],[end_use_industry]],표13[end_use_category],표13[end_use_id])</f>
        <v/>
      </c>
      <c r="D76" s="11">
        <f>_xlfn.XLOOKUP(표14[[#This Row],[importance]],표15[importance],표15[rating])</f>
        <v/>
      </c>
      <c r="E76" s="1" t="inlineStr">
        <is>
          <t>SAN</t>
        </is>
      </c>
      <c r="F76" s="1" t="inlineStr">
        <is>
          <t>Instrument panel lenses or covers</t>
        </is>
      </c>
      <c r="G76" s="1" t="inlineStr">
        <is>
          <t>Display &amp; optical materials</t>
        </is>
      </c>
      <c r="H76" s="1" t="inlineStr">
        <is>
          <t>Automotive &amp; Future Mobility</t>
        </is>
      </c>
      <c r="I76" s="1" t="inlineStr">
        <is>
          <t>Niche / Emerging</t>
        </is>
      </c>
      <c r="J76" s="1" t="inlineStr">
        <is>
          <t>자동차 계기판 lens/cover용 투명 소재</t>
        </is>
      </c>
      <c r="K76" s="1" t="inlineStr">
        <is>
          <t>Existing</t>
        </is>
      </c>
      <c r="L76" s="11" t="n"/>
    </row>
    <row r="77">
      <c r="A77" s="11">
        <f>_xlfn.XLOOKUP(표14[[#This Row],[material_name]],표2[material_name],표2[material_id])</f>
        <v/>
      </c>
      <c r="B77" s="11">
        <f>_xlfn.XLOOKUP(표14[[#This Row],[application_taxonomy]],표11[application_taxonomy],표11[app_id])</f>
        <v/>
      </c>
      <c r="C77" s="11">
        <f>_xlfn.XLOOKUP(표14[[#This Row],[end_use_industry]],표13[end_use_category],표13[end_use_id])</f>
        <v/>
      </c>
      <c r="D77" s="11">
        <f>_xlfn.XLOOKUP(표14[[#This Row],[importance]],표15[importance],표15[rating])</f>
        <v/>
      </c>
      <c r="E77" s="1" t="inlineStr">
        <is>
          <t>NBR</t>
        </is>
      </c>
      <c r="F77" s="1" t="inlineStr">
        <is>
          <t>Nitrile gloves</t>
        </is>
      </c>
      <c r="G77" s="1" t="inlineStr">
        <is>
          <t>Medical &amp; healthcare materials</t>
        </is>
      </c>
      <c r="H77" s="1" t="inlineStr">
        <is>
          <t>Healthcare &amp; Life Sciences</t>
        </is>
      </c>
      <c r="I77" s="1" t="inlineStr">
        <is>
          <t>Primary</t>
        </is>
      </c>
      <c r="J77" s="1" t="inlineStr">
        <is>
          <t>NBR latex 최대 성장 동인, 의료·보호장갑용</t>
        </is>
      </c>
      <c r="K77" s="1" t="inlineStr">
        <is>
          <t>Existing</t>
        </is>
      </c>
      <c r="L77" s="11" t="n"/>
    </row>
    <row r="78" ht="33" customHeight="1" s="179">
      <c r="A78" s="11">
        <f>_xlfn.XLOOKUP(표14[[#This Row],[material_name]],표2[material_name],표2[material_id])</f>
        <v/>
      </c>
      <c r="B78" s="11">
        <f>_xlfn.XLOOKUP(표14[[#This Row],[application_taxonomy]],표11[application_taxonomy],표11[app_id])</f>
        <v/>
      </c>
      <c r="C78" s="11">
        <f>_xlfn.XLOOKUP(표14[[#This Row],[end_use_industry]],표13[end_use_category],표13[end_use_id])</f>
        <v/>
      </c>
      <c r="D78" s="11">
        <f>_xlfn.XLOOKUP(표14[[#This Row],[importance]],표15[importance],표15[rating])</f>
        <v/>
      </c>
      <c r="E78" s="1" t="inlineStr">
        <is>
          <t>NBR</t>
        </is>
      </c>
      <c r="F78" s="1" t="inlineStr">
        <is>
          <t>Automotive hoses, belts, gaskets, O-rings, seals</t>
        </is>
      </c>
      <c r="G78" s="1" t="inlineStr">
        <is>
          <t>Elastomeric performance materials</t>
        </is>
      </c>
      <c r="H78" s="1" t="inlineStr">
        <is>
          <t>Automotive &amp; Future Mobility</t>
        </is>
      </c>
      <c r="I78" s="1" t="inlineStr">
        <is>
          <t>Primary</t>
        </is>
      </c>
      <c r="J78" s="1" t="inlineStr">
        <is>
          <t>solid NBR의 최대 시장, 내유·내열 rubber goods</t>
        </is>
      </c>
      <c r="K78" s="1" t="inlineStr">
        <is>
          <t>Existing</t>
        </is>
      </c>
      <c r="L78" s="11" t="n"/>
    </row>
    <row r="79" ht="33" customHeight="1" s="179">
      <c r="A79" s="11">
        <f>_xlfn.XLOOKUP(표14[[#This Row],[material_name]],표2[material_name],표2[material_id])</f>
        <v/>
      </c>
      <c r="B79" s="11">
        <f>_xlfn.XLOOKUP(표14[[#This Row],[application_taxonomy]],표11[application_taxonomy],표11[app_id])</f>
        <v/>
      </c>
      <c r="C79" s="11">
        <f>_xlfn.XLOOKUP(표14[[#This Row],[end_use_industry]],표13[end_use_category],표13[end_use_id])</f>
        <v/>
      </c>
      <c r="D79" s="11">
        <f>_xlfn.XLOOKUP(표14[[#This Row],[importance]],표15[importance],표15[rating])</f>
        <v/>
      </c>
      <c r="E79" s="1" t="inlineStr">
        <is>
          <t>NBR</t>
        </is>
      </c>
      <c r="F79" s="1" t="inlineStr">
        <is>
          <t>Technical rubber goods</t>
        </is>
      </c>
      <c r="G79" s="1" t="inlineStr">
        <is>
          <t>Tire &amp; rubber applications</t>
        </is>
      </c>
      <c r="H79" s="1" t="inlineStr">
        <is>
          <t>Industrial Goods &amp; Advanced Manufacturing</t>
        </is>
      </c>
      <c r="I79" s="1" t="inlineStr">
        <is>
          <t>Secondary</t>
        </is>
      </c>
      <c r="J79" s="1" t="inlineStr">
        <is>
          <t>conveyor belts, tank linings, rolls, molded parts 등</t>
        </is>
      </c>
      <c r="K79" s="1" t="inlineStr">
        <is>
          <t>Existing</t>
        </is>
      </c>
      <c r="L79" s="11" t="n"/>
    </row>
    <row r="80">
      <c r="A80" s="11">
        <f>_xlfn.XLOOKUP(표14[[#This Row],[material_name]],표2[material_name],표2[material_id])</f>
        <v/>
      </c>
      <c r="B80" s="11">
        <f>_xlfn.XLOOKUP(표14[[#This Row],[application_taxonomy]],표11[application_taxonomy],표11[app_id])</f>
        <v/>
      </c>
      <c r="C80" s="11">
        <f>_xlfn.XLOOKUP(표14[[#This Row],[end_use_industry]],표13[end_use_category],표13[end_use_id])</f>
        <v/>
      </c>
      <c r="D80" s="11">
        <f>_xlfn.XLOOKUP(표14[[#This Row],[importance]],표15[importance],표15[rating])</f>
        <v/>
      </c>
      <c r="E80" s="1" t="inlineStr">
        <is>
          <t>NBR</t>
        </is>
      </c>
      <c r="F80" s="1" t="inlineStr">
        <is>
          <t>Wire and cable jacketing</t>
        </is>
      </c>
      <c r="G80" s="1" t="inlineStr">
        <is>
          <t>Electrical insulation</t>
        </is>
      </c>
      <c r="H80" s="1" t="inlineStr">
        <is>
          <t>Energy, Power &amp; Utilities</t>
        </is>
      </c>
      <c r="I80" s="1" t="inlineStr">
        <is>
          <t>Secondary</t>
        </is>
      </c>
      <c r="J80" s="1" t="inlineStr">
        <is>
          <t>NBR/PVC blend가 cable jacket 등에 사용</t>
        </is>
      </c>
      <c r="K80" s="1" t="inlineStr">
        <is>
          <t>Existing</t>
        </is>
      </c>
      <c r="L80" s="11" t="n"/>
    </row>
    <row r="81" ht="33" customHeight="1" s="179">
      <c r="A81" s="11">
        <f>_xlfn.XLOOKUP(표14[[#This Row],[material_name]],표2[material_name],표2[material_id])</f>
        <v/>
      </c>
      <c r="B81" s="11">
        <f>_xlfn.XLOOKUP(표14[[#This Row],[application_taxonomy]],표11[application_taxonomy],표11[app_id])</f>
        <v/>
      </c>
      <c r="C81" s="11">
        <f>_xlfn.XLOOKUP(표14[[#This Row],[end_use_industry]],표13[end_use_category],표13[end_use_id])</f>
        <v/>
      </c>
      <c r="D81" s="11">
        <f>_xlfn.XLOOKUP(표14[[#This Row],[importance]],표15[importance],표15[rating])</f>
        <v/>
      </c>
      <c r="E81" s="1" t="inlineStr">
        <is>
          <t>NBR</t>
        </is>
      </c>
      <c r="F81" s="1" t="inlineStr">
        <is>
          <t>Adhesives</t>
        </is>
      </c>
      <c r="G81" s="1" t="inlineStr">
        <is>
          <t>Adhesive bonding</t>
        </is>
      </c>
      <c r="H81" s="1" t="inlineStr">
        <is>
          <t>Industrial Goods &amp; Advanced Manufacturing</t>
        </is>
      </c>
      <c r="I81" s="1" t="inlineStr">
        <is>
          <t>Secondary</t>
        </is>
      </c>
      <c r="J81" s="1" t="inlineStr">
        <is>
          <t>고강도·내유성이 필요한 adhesive 용도</t>
        </is>
      </c>
      <c r="K81" s="1" t="inlineStr">
        <is>
          <t>Existing</t>
        </is>
      </c>
      <c r="L81" s="11" t="n"/>
    </row>
    <row r="82" ht="33" customHeight="1" s="179">
      <c r="A82" s="11">
        <f>_xlfn.XLOOKUP(표14[[#This Row],[material_name]],표2[material_name],표2[material_id])</f>
        <v/>
      </c>
      <c r="B82" s="11">
        <f>_xlfn.XLOOKUP(표14[[#This Row],[application_taxonomy]],표11[application_taxonomy],표11[app_id])</f>
        <v/>
      </c>
      <c r="C82" s="11">
        <f>_xlfn.XLOOKUP(표14[[#This Row],[end_use_industry]],표13[end_use_category],표13[end_use_id])</f>
        <v/>
      </c>
      <c r="D82" s="11">
        <f>_xlfn.XLOOKUP(표14[[#This Row],[importance]],표15[importance],표15[rating])</f>
        <v/>
      </c>
      <c r="E82" s="1" t="inlineStr">
        <is>
          <t>NBR</t>
        </is>
      </c>
      <c r="F82" s="1" t="inlineStr">
        <is>
          <t>PVC and ABS modification</t>
        </is>
      </c>
      <c r="G82" s="1" t="inlineStr">
        <is>
          <t>Polymer modification &amp; additives</t>
        </is>
      </c>
      <c r="H82" s="1" t="inlineStr">
        <is>
          <t>Industrial Goods &amp; Advanced Manufacturing</t>
        </is>
      </c>
      <c r="I82" s="1" t="inlineStr">
        <is>
          <t>Secondary</t>
        </is>
      </c>
      <c r="J82" s="1" t="inlineStr">
        <is>
          <t>PVC/ABS impact modifier 및 flexibility 개선용</t>
        </is>
      </c>
      <c r="K82" s="1" t="inlineStr">
        <is>
          <t>Existing</t>
        </is>
      </c>
      <c r="L82" s="11" t="n"/>
    </row>
    <row r="83" ht="33" customHeight="1" s="179">
      <c r="A83" s="11">
        <f>_xlfn.XLOOKUP(표14[[#This Row],[material_name]],표2[material_name],표2[material_id])</f>
        <v/>
      </c>
      <c r="B83" s="11">
        <f>_xlfn.XLOOKUP(표14[[#This Row],[application_taxonomy]],표11[application_taxonomy],표11[app_id])</f>
        <v/>
      </c>
      <c r="C83" s="11">
        <f>_xlfn.XLOOKUP(표14[[#This Row],[end_use_industry]],표13[end_use_category],표13[end_use_id])</f>
        <v/>
      </c>
      <c r="D83" s="11">
        <f>_xlfn.XLOOKUP(표14[[#This Row],[importance]],표15[importance],표15[rating])</f>
        <v/>
      </c>
      <c r="E83" s="1" t="inlineStr">
        <is>
          <t>NBR</t>
        </is>
      </c>
      <c r="F83" s="1" t="inlineStr">
        <is>
          <t>Oil and gas field products</t>
        </is>
      </c>
      <c r="G83" s="1" t="inlineStr">
        <is>
          <t>Sealants &amp; joint protection</t>
        </is>
      </c>
      <c r="H83" s="1" t="inlineStr">
        <is>
          <t>Energy, Power &amp; Utilities</t>
        </is>
      </c>
      <c r="I83" s="1" t="inlineStr">
        <is>
          <t>Niche / Emerging</t>
        </is>
      </c>
      <c r="J83" s="1" t="inlineStr">
        <is>
          <t>blow out preventors, packers, stators 등 oilfield sealing 용도</t>
        </is>
      </c>
      <c r="K83" s="1" t="inlineStr">
        <is>
          <t>Existing</t>
        </is>
      </c>
      <c r="L83" s="11" t="n"/>
    </row>
    <row r="84">
      <c r="A84" s="11">
        <f>_xlfn.XLOOKUP(표14[[#This Row],[material_name]],표2[material_name],표2[material_id])</f>
        <v/>
      </c>
      <c r="B84" s="11">
        <f>_xlfn.XLOOKUP(표14[[#This Row],[application_taxonomy]],표11[application_taxonomy],표11[app_id])</f>
        <v/>
      </c>
      <c r="C84" s="11">
        <f>_xlfn.XLOOKUP(표14[[#This Row],[end_use_industry]],표13[end_use_category],표13[end_use_id])</f>
        <v/>
      </c>
      <c r="D84" s="11">
        <f>_xlfn.XLOOKUP(표14[[#This Row],[importance]],표15[importance],표15[rating])</f>
        <v/>
      </c>
      <c r="E84" s="1" t="inlineStr">
        <is>
          <t>PP</t>
        </is>
      </c>
      <c r="F84" s="1" t="inlineStr">
        <is>
          <t>Film and sheet</t>
        </is>
      </c>
      <c r="G84" s="1" t="inlineStr">
        <is>
          <t>Flexible packaging</t>
        </is>
      </c>
      <c r="H84" s="1" t="inlineStr">
        <is>
          <t>Consumer Products &amp; Packaging</t>
        </is>
      </c>
      <c r="I84" s="1" t="inlineStr">
        <is>
          <t>Primary</t>
        </is>
      </c>
      <c r="J84" s="1" t="inlineStr">
        <is>
          <t>세계 PP 소비의 핵심 end use이며 packaging 중심 수요</t>
        </is>
      </c>
      <c r="K84" s="1" t="inlineStr">
        <is>
          <t>Existing</t>
        </is>
      </c>
      <c r="L84" s="11" t="n"/>
    </row>
    <row r="85">
      <c r="A85" s="11">
        <f>_xlfn.XLOOKUP(표14[[#This Row],[material_name]],표2[material_name],표2[material_id])</f>
        <v/>
      </c>
      <c r="B85" s="11">
        <f>_xlfn.XLOOKUP(표14[[#This Row],[application_taxonomy]],표11[application_taxonomy],표11[app_id])</f>
        <v/>
      </c>
      <c r="C85" s="11">
        <f>_xlfn.XLOOKUP(표14[[#This Row],[end_use_industry]],표13[end_use_category],표13[end_use_id])</f>
        <v/>
      </c>
      <c r="D85" s="11">
        <f>_xlfn.XLOOKUP(표14[[#This Row],[importance]],표15[importance],표15[rating])</f>
        <v/>
      </c>
      <c r="E85" s="1" t="inlineStr">
        <is>
          <t>PP</t>
        </is>
      </c>
      <c r="F85" s="1" t="inlineStr">
        <is>
          <t>Injection molding</t>
        </is>
      </c>
      <c r="G85" s="1" t="inlineStr">
        <is>
          <t>Polymer resin / molding material</t>
        </is>
      </c>
      <c r="H85" s="1" t="inlineStr">
        <is>
          <t>Consumer Products &amp; Packaging</t>
        </is>
      </c>
      <c r="I85" s="1" t="inlineStr">
        <is>
          <t>Primary</t>
        </is>
      </c>
      <c r="J85" s="1" t="inlineStr">
        <is>
          <t>caps, closures, containers, housewares 등 대량 성형용</t>
        </is>
      </c>
      <c r="K85" s="1" t="inlineStr">
        <is>
          <t>Existing</t>
        </is>
      </c>
      <c r="L85" s="11" t="n"/>
    </row>
    <row r="86" ht="33" customHeight="1" s="179">
      <c r="A86" s="11">
        <f>_xlfn.XLOOKUP(표14[[#This Row],[material_name]],표2[material_name],표2[material_id])</f>
        <v/>
      </c>
      <c r="B86" s="11">
        <f>_xlfn.XLOOKUP(표14[[#This Row],[application_taxonomy]],표11[application_taxonomy],표11[app_id])</f>
        <v/>
      </c>
      <c r="C86" s="11">
        <f>_xlfn.XLOOKUP(표14[[#This Row],[end_use_industry]],표13[end_use_category],표13[end_use_id])</f>
        <v/>
      </c>
      <c r="D86" s="11">
        <f>_xlfn.XLOOKUP(표14[[#This Row],[importance]],표15[importance],표15[rating])</f>
        <v/>
      </c>
      <c r="E86" s="1" t="inlineStr">
        <is>
          <t>PP</t>
        </is>
      </c>
      <c r="F86" s="1" t="inlineStr">
        <is>
          <t>Transportation</t>
        </is>
      </c>
      <c r="G86" s="1" t="inlineStr">
        <is>
          <t>Automotive components &amp; lightweighting</t>
        </is>
      </c>
      <c r="H86" s="1" t="inlineStr">
        <is>
          <t>Automotive &amp; Future Mobility</t>
        </is>
      </c>
      <c r="I86" s="1" t="inlineStr">
        <is>
          <t>Primary</t>
        </is>
      </c>
      <c r="J86" s="1" t="inlineStr">
        <is>
          <t>저밀도와 기계적 물성으로 자동차 경량 부품에 적합</t>
        </is>
      </c>
      <c r="K86" s="1" t="inlineStr">
        <is>
          <t>Existing</t>
        </is>
      </c>
      <c r="L86" s="11" t="n"/>
    </row>
    <row r="87">
      <c r="A87" s="11">
        <f>_xlfn.XLOOKUP(표14[[#This Row],[material_name]],표2[material_name],표2[material_id])</f>
        <v/>
      </c>
      <c r="B87" s="11">
        <f>_xlfn.XLOOKUP(표14[[#This Row],[application_taxonomy]],표11[application_taxonomy],표11[app_id])</f>
        <v/>
      </c>
      <c r="C87" s="11">
        <f>_xlfn.XLOOKUP(표14[[#This Row],[end_use_industry]],표13[end_use_category],표13[end_use_id])</f>
        <v/>
      </c>
      <c r="D87" s="11">
        <f>_xlfn.XLOOKUP(표14[[#This Row],[importance]],표15[importance],표15[rating])</f>
        <v/>
      </c>
      <c r="E87" s="1" t="inlineStr">
        <is>
          <t>PP</t>
        </is>
      </c>
      <c r="F87" s="1" t="inlineStr">
        <is>
          <t>Raffia / woven sacks / jumbo bags</t>
        </is>
      </c>
      <c r="G87" s="1" t="inlineStr">
        <is>
          <t>Flexible packaging</t>
        </is>
      </c>
      <c r="H87" s="1" t="inlineStr">
        <is>
          <t>Consumer Products &amp; Packaging</t>
        </is>
      </c>
      <c r="I87" s="1" t="inlineStr">
        <is>
          <t>Primary</t>
        </is>
      </c>
      <c r="J87" s="1" t="inlineStr">
        <is>
          <t>건설자재, 비료, 농산물 포장용 woven sack 수요가 큼</t>
        </is>
      </c>
      <c r="K87" s="1" t="inlineStr">
        <is>
          <t>Existing</t>
        </is>
      </c>
      <c r="L87" s="11" t="n"/>
    </row>
    <row r="88">
      <c r="A88" s="11">
        <f>_xlfn.XLOOKUP(표14[[#This Row],[material_name]],표2[material_name],표2[material_id])</f>
        <v/>
      </c>
      <c r="B88" s="11">
        <f>_xlfn.XLOOKUP(표14[[#This Row],[application_taxonomy]],표11[application_taxonomy],표11[app_id])</f>
        <v/>
      </c>
      <c r="C88" s="11">
        <f>_xlfn.XLOOKUP(표14[[#This Row],[end_use_industry]],표13[end_use_category],표13[end_use_id])</f>
        <v/>
      </c>
      <c r="D88" s="11">
        <f>_xlfn.XLOOKUP(표14[[#This Row],[importance]],표15[importance],표15[rating])</f>
        <v/>
      </c>
      <c r="E88" s="1" t="inlineStr">
        <is>
          <t>PP</t>
        </is>
      </c>
      <c r="F88" s="1" t="inlineStr">
        <is>
          <t>Fibers and filaments / nonwovens</t>
        </is>
      </c>
      <c r="G88" s="1" t="inlineStr">
        <is>
          <t>Hygiene &amp; absorbency</t>
        </is>
      </c>
      <c r="H88" s="1" t="inlineStr">
        <is>
          <t>Healthcare &amp; Life Sciences</t>
        </is>
      </c>
      <c r="I88" s="1" t="inlineStr">
        <is>
          <t>Secondary</t>
        </is>
      </c>
      <c r="J88" s="1" t="inlineStr">
        <is>
          <t>nonwovens 및 의료 wearable 수요와 연결</t>
        </is>
      </c>
      <c r="K88" s="1" t="inlineStr">
        <is>
          <t>Existing</t>
        </is>
      </c>
      <c r="L88" s="11" t="n"/>
    </row>
    <row r="89">
      <c r="A89" s="11">
        <f>_xlfn.XLOOKUP(표14[[#This Row],[material_name]],표2[material_name],표2[material_id])</f>
        <v/>
      </c>
      <c r="B89" s="11">
        <f>_xlfn.XLOOKUP(표14[[#This Row],[application_taxonomy]],표11[application_taxonomy],표11[app_id])</f>
        <v/>
      </c>
      <c r="C89" s="11">
        <f>_xlfn.XLOOKUP(표14[[#This Row],[end_use_industry]],표13[end_use_category],표13[end_use_id])</f>
        <v/>
      </c>
      <c r="D89" s="11">
        <f>_xlfn.XLOOKUP(표14[[#This Row],[importance]],표15[importance],표15[rating])</f>
        <v/>
      </c>
      <c r="E89" s="1" t="inlineStr">
        <is>
          <t>PP</t>
        </is>
      </c>
      <c r="F89" s="1" t="inlineStr">
        <is>
          <t>Containers / blow molding</t>
        </is>
      </c>
      <c r="G89" s="1" t="inlineStr">
        <is>
          <t>Rigid packaging</t>
        </is>
      </c>
      <c r="H89" s="1" t="inlineStr">
        <is>
          <t>Consumer Products &amp; Packaging</t>
        </is>
      </c>
      <c r="I89" s="1" t="inlineStr">
        <is>
          <t>Secondary</t>
        </is>
      </c>
      <c r="J89" s="1" t="inlineStr">
        <is>
          <t>hot-fill 및 내화학성이 필요한 용기용</t>
        </is>
      </c>
      <c r="K89" s="1" t="inlineStr">
        <is>
          <t>Existing</t>
        </is>
      </c>
      <c r="L89" s="11" t="n"/>
    </row>
    <row r="90">
      <c r="A90" s="11">
        <f>_xlfn.XLOOKUP(표14[[#This Row],[material_name]],표2[material_name],표2[material_id])</f>
        <v/>
      </c>
      <c r="B90" s="11">
        <f>_xlfn.XLOOKUP(표14[[#This Row],[application_taxonomy]],표11[application_taxonomy],표11[app_id])</f>
        <v/>
      </c>
      <c r="C90" s="11">
        <f>_xlfn.XLOOKUP(표14[[#This Row],[end_use_industry]],표13[end_use_category],표13[end_use_id])</f>
        <v/>
      </c>
      <c r="D90" s="11">
        <f>_xlfn.XLOOKUP(표14[[#This Row],[importance]],표15[importance],표15[rating])</f>
        <v/>
      </c>
      <c r="E90" s="1" t="inlineStr">
        <is>
          <t>PP</t>
        </is>
      </c>
      <c r="F90" s="1" t="inlineStr">
        <is>
          <t>Pipe and extrusion</t>
        </is>
      </c>
      <c r="G90" s="1" t="inlineStr">
        <is>
          <t>Pipe &amp; fluid conveyance</t>
        </is>
      </c>
      <c r="H90" s="1" t="inlineStr">
        <is>
          <t>Construction &amp; Infrastructure</t>
        </is>
      </c>
      <c r="I90" s="1" t="inlineStr">
        <is>
          <t>Secondary</t>
        </is>
      </c>
      <c r="J90" s="1" t="inlineStr">
        <is>
          <t>pipe extrusion-grade PP가 별도 소비 category로 제시됨</t>
        </is>
      </c>
      <c r="K90" s="1" t="inlineStr">
        <is>
          <t>Existing</t>
        </is>
      </c>
      <c r="L90" s="11" t="n"/>
    </row>
    <row r="91">
      <c r="A91" s="11">
        <f>_xlfn.XLOOKUP(표14[[#This Row],[material_name]],표2[material_name],표2[material_id])</f>
        <v/>
      </c>
      <c r="B91" s="11">
        <f>_xlfn.XLOOKUP(표14[[#This Row],[application_taxonomy]],표11[application_taxonomy],표11[app_id])</f>
        <v/>
      </c>
      <c r="C91" s="11">
        <f>_xlfn.XLOOKUP(표14[[#This Row],[end_use_industry]],표13[end_use_category],표13[end_use_id])</f>
        <v/>
      </c>
      <c r="D91" s="11">
        <f>_xlfn.XLOOKUP(표14[[#This Row],[importance]],표15[importance],표15[rating])</f>
        <v/>
      </c>
      <c r="E91" s="1" t="inlineStr">
        <is>
          <t>PP</t>
        </is>
      </c>
      <c r="F91" s="1" t="inlineStr">
        <is>
          <t>Wire and cable</t>
        </is>
      </c>
      <c r="G91" s="1" t="inlineStr">
        <is>
          <t>Electrical insulation</t>
        </is>
      </c>
      <c r="H91" s="1" t="inlineStr">
        <is>
          <t>Energy, Power &amp; Utilities</t>
        </is>
      </c>
      <c r="I91" s="1" t="inlineStr">
        <is>
          <t>Secondary</t>
        </is>
      </c>
      <c r="J91" s="1" t="inlineStr">
        <is>
          <t>전선·케이블용 extrusion application</t>
        </is>
      </c>
      <c r="K91" s="1" t="inlineStr">
        <is>
          <t>Existing</t>
        </is>
      </c>
      <c r="L91" s="11" t="n"/>
    </row>
    <row r="92" ht="33" customHeight="1" s="179">
      <c r="A92" s="11">
        <f>_xlfn.XLOOKUP(표14[[#This Row],[material_name]],표2[material_name],표2[material_id])</f>
        <v/>
      </c>
      <c r="B92" s="11">
        <f>_xlfn.XLOOKUP(표14[[#This Row],[application_taxonomy]],표11[application_taxonomy],표11[app_id])</f>
        <v/>
      </c>
      <c r="C92" s="11">
        <f>_xlfn.XLOOKUP(표14[[#This Row],[end_use_industry]],표13[end_use_category],표13[end_use_id])</f>
        <v/>
      </c>
      <c r="D92" s="11">
        <f>_xlfn.XLOOKUP(표14[[#This Row],[importance]],표15[importance],표15[rating])</f>
        <v/>
      </c>
      <c r="E92" s="1" t="inlineStr">
        <is>
          <t>PP</t>
        </is>
      </c>
      <c r="F92" s="1" t="inlineStr">
        <is>
          <t>Medical products / disposable syringes</t>
        </is>
      </c>
      <c r="G92" s="1" t="inlineStr">
        <is>
          <t>Medical &amp; healthcare materials</t>
        </is>
      </c>
      <c r="H92" s="1" t="inlineStr">
        <is>
          <t>Healthcare &amp; Life Sciences</t>
        </is>
      </c>
      <c r="I92" s="1" t="inlineStr">
        <is>
          <t>Secondary</t>
        </is>
      </c>
      <c r="J92" s="1" t="inlineStr">
        <is>
          <t>의료제품 및 syringe 성형용으로 사용</t>
        </is>
      </c>
      <c r="K92" s="1" t="inlineStr">
        <is>
          <t>Existing</t>
        </is>
      </c>
      <c r="L92" s="11" t="n"/>
    </row>
    <row r="93">
      <c r="A93" s="11">
        <f>_xlfn.XLOOKUP(표14[[#This Row],[material_name]],표2[material_name],표2[material_id])</f>
        <v/>
      </c>
      <c r="B93" s="11">
        <f>_xlfn.XLOOKUP(표14[[#This Row],[application_taxonomy]],표11[application_taxonomy],표11[app_id])</f>
        <v/>
      </c>
      <c r="C93" s="11">
        <f>_xlfn.XLOOKUP(표14[[#This Row],[end_use_industry]],표13[end_use_category],표13[end_use_id])</f>
        <v/>
      </c>
      <c r="D93" s="11">
        <f>_xlfn.XLOOKUP(표14[[#This Row],[importance]],표15[importance],표15[rating])</f>
        <v/>
      </c>
      <c r="E93" s="1" t="inlineStr">
        <is>
          <t>PP</t>
        </is>
      </c>
      <c r="F93" s="1" t="inlineStr">
        <is>
          <t>Appliances</t>
        </is>
      </c>
      <c r="G93" s="1" t="inlineStr">
        <is>
          <t>Polymer resin / molding material</t>
        </is>
      </c>
      <c r="H93" s="1" t="inlineStr">
        <is>
          <t>Consumer Products &amp; Packaging</t>
        </is>
      </c>
      <c r="I93" s="1" t="inlineStr">
        <is>
          <t>Secondary</t>
        </is>
      </c>
      <c r="J93" s="1" t="inlineStr">
        <is>
          <t>appliance parts 성형용 application</t>
        </is>
      </c>
      <c r="K93" s="1" t="inlineStr">
        <is>
          <t>Existing</t>
        </is>
      </c>
      <c r="L93" s="11" t="n"/>
    </row>
    <row r="94">
      <c r="A94" s="11">
        <f>_xlfn.XLOOKUP(표14[[#This Row],[material_name]],표2[material_name],표2[material_id])</f>
        <v/>
      </c>
      <c r="B94" s="11">
        <f>_xlfn.XLOOKUP(표14[[#This Row],[application_taxonomy]],표11[application_taxonomy],표11[app_id])</f>
        <v/>
      </c>
      <c r="C94" s="11">
        <f>_xlfn.XLOOKUP(표14[[#This Row],[end_use_industry]],표13[end_use_category],표13[end_use_id])</f>
        <v/>
      </c>
      <c r="D94" s="11">
        <f>_xlfn.XLOOKUP(표14[[#This Row],[importance]],표15[importance],표15[rating])</f>
        <v/>
      </c>
      <c r="E94" s="1" t="inlineStr">
        <is>
          <t>PP</t>
        </is>
      </c>
      <c r="F94" s="1" t="inlineStr">
        <is>
          <t>Furniture / housewares</t>
        </is>
      </c>
      <c r="G94" s="1" t="inlineStr">
        <is>
          <t>Polymer resin / molding material</t>
        </is>
      </c>
      <c r="H94" s="1" t="inlineStr">
        <is>
          <t>Consumer Products &amp; Packaging</t>
        </is>
      </c>
      <c r="I94" s="1" t="inlineStr">
        <is>
          <t>Secondary</t>
        </is>
      </c>
      <c r="J94" s="1" t="inlineStr">
        <is>
          <t>household 및 furniture 성형품용</t>
        </is>
      </c>
      <c r="K94" s="1" t="inlineStr">
        <is>
          <t>Existing</t>
        </is>
      </c>
      <c r="L94" s="11" t="n"/>
    </row>
    <row r="95" ht="33" customHeight="1" s="179">
      <c r="A95" s="11">
        <f>_xlfn.XLOOKUP(표14[[#This Row],[material_name]],표2[material_name],표2[material_id])</f>
        <v/>
      </c>
      <c r="B95" s="11">
        <f>_xlfn.XLOOKUP(표14[[#This Row],[application_taxonomy]],표11[application_taxonomy],표11[app_id])</f>
        <v/>
      </c>
      <c r="C95" s="11">
        <f>_xlfn.XLOOKUP(표14[[#This Row],[end_use_industry]],표13[end_use_category],표13[end_use_id])</f>
        <v/>
      </c>
      <c r="D95" s="11">
        <f>_xlfn.XLOOKUP(표14[[#This Row],[importance]],표15[importance],표15[rating])</f>
        <v/>
      </c>
      <c r="E95" s="1" t="inlineStr">
        <is>
          <t>PP</t>
        </is>
      </c>
      <c r="F95" s="1" t="inlineStr">
        <is>
          <t>Capacitor and electronic industry films</t>
        </is>
      </c>
      <c r="G95" s="1" t="inlineStr">
        <is>
          <t>Electronic chemicals &amp; materials</t>
        </is>
      </c>
      <c r="H95" s="1" t="inlineStr">
        <is>
          <t>Electronics, Semiconductors &amp; Digital Infrastructure</t>
        </is>
      </c>
      <c r="I95" s="1" t="inlineStr">
        <is>
          <t>Niche / Emerging</t>
        </is>
      </c>
      <c r="J95" s="1" t="inlineStr">
        <is>
          <t>film 중 소량 specialty market로 언급됨</t>
        </is>
      </c>
      <c r="K95" s="1" t="inlineStr">
        <is>
          <t>Existing</t>
        </is>
      </c>
      <c r="L95" s="11" t="n"/>
    </row>
    <row r="96" ht="33" customHeight="1" s="179">
      <c r="A96" s="11">
        <f>_xlfn.XLOOKUP(표14[[#This Row],[material_name]],표2[material_name],표2[material_id])</f>
        <v/>
      </c>
      <c r="B96" s="11">
        <f>_xlfn.XLOOKUP(표14[[#This Row],[application_taxonomy]],표11[application_taxonomy],표11[app_id])</f>
        <v/>
      </c>
      <c r="C96" s="11">
        <f>_xlfn.XLOOKUP(표14[[#This Row],[end_use_industry]],표13[end_use_category],표13[end_use_id])</f>
        <v/>
      </c>
      <c r="D96" s="11">
        <f>_xlfn.XLOOKUP(표14[[#This Row],[importance]],표15[importance],표15[rating])</f>
        <v/>
      </c>
      <c r="E96" s="1" t="inlineStr">
        <is>
          <t>PO</t>
        </is>
      </c>
      <c r="F96" s="1" t="inlineStr">
        <is>
          <t>Polyether polyols</t>
        </is>
      </c>
      <c r="G96" s="1" t="inlineStr">
        <is>
          <t>Major chemical intermediate</t>
        </is>
      </c>
      <c r="H96" s="1" t="inlineStr">
        <is>
          <t>Industrial Goods &amp; Advanced Manufacturing</t>
        </is>
      </c>
      <c r="I96" s="1" t="inlineStr">
        <is>
          <t>Primary</t>
        </is>
      </c>
      <c r="J96" s="1" t="inlineStr">
        <is>
          <t>PO 수요의 72%로 최대 downstream route</t>
        </is>
      </c>
      <c r="K96" s="1" t="inlineStr">
        <is>
          <t>Existing</t>
        </is>
      </c>
      <c r="L96" s="11" t="n"/>
    </row>
    <row r="97" ht="33" customHeight="1" s="179">
      <c r="A97" s="11">
        <f>_xlfn.XLOOKUP(표14[[#This Row],[material_name]],표2[material_name],표2[material_id])</f>
        <v/>
      </c>
      <c r="B97" s="11">
        <f>_xlfn.XLOOKUP(표14[[#This Row],[application_taxonomy]],표11[application_taxonomy],표11[app_id])</f>
        <v/>
      </c>
      <c r="C97" s="11">
        <f>_xlfn.XLOOKUP(표14[[#This Row],[end_use_industry]],표13[end_use_category],표13[end_use_id])</f>
        <v/>
      </c>
      <c r="D97" s="11">
        <f>_xlfn.XLOOKUP(표14[[#This Row],[importance]],표15[importance],표15[rating])</f>
        <v/>
      </c>
      <c r="E97" s="1" t="inlineStr">
        <is>
          <t>PO</t>
        </is>
      </c>
      <c r="F97" s="1" t="inlineStr">
        <is>
          <t>Propylene glycols</t>
        </is>
      </c>
      <c r="G97" s="1" t="inlineStr">
        <is>
          <t>Major chemical intermediate</t>
        </is>
      </c>
      <c r="H97" s="1" t="inlineStr">
        <is>
          <t>Industrial Goods &amp; Advanced Manufacturing</t>
        </is>
      </c>
      <c r="I97" s="1" t="inlineStr">
        <is>
          <t>Secondary</t>
        </is>
      </c>
      <c r="J97" s="1" t="inlineStr">
        <is>
          <t>PO의 2대 수요처, 2024년 약 11%</t>
        </is>
      </c>
      <c r="K97" s="1" t="inlineStr">
        <is>
          <t>Existing</t>
        </is>
      </c>
      <c r="L97" s="11" t="n"/>
    </row>
    <row r="98" ht="33" customHeight="1" s="179">
      <c r="A98" s="11">
        <f>_xlfn.XLOOKUP(표14[[#This Row],[material_name]],표2[material_name],표2[material_id])</f>
        <v/>
      </c>
      <c r="B98" s="11">
        <f>_xlfn.XLOOKUP(표14[[#This Row],[application_taxonomy]],표11[application_taxonomy],표11[app_id])</f>
        <v/>
      </c>
      <c r="C98" s="11">
        <f>_xlfn.XLOOKUP(표14[[#This Row],[end_use_industry]],표13[end_use_category],표13[end_use_id])</f>
        <v/>
      </c>
      <c r="D98" s="11">
        <f>_xlfn.XLOOKUP(표14[[#This Row],[importance]],표15[importance],표15[rating])</f>
        <v/>
      </c>
      <c r="E98" s="1" t="inlineStr">
        <is>
          <t>PO</t>
        </is>
      </c>
      <c r="F98" s="1" t="inlineStr">
        <is>
          <t>Propylene carbonate</t>
        </is>
      </c>
      <c r="G98" s="1" t="inlineStr">
        <is>
          <t>Specialty chemical intermediate</t>
        </is>
      </c>
      <c r="H98" s="1" t="inlineStr">
        <is>
          <t>Electronics, Semiconductors &amp; Digital Infrastructure</t>
        </is>
      </c>
      <c r="I98" s="1" t="inlineStr">
        <is>
          <t>Secondary</t>
        </is>
      </c>
      <c r="J98" s="1" t="inlineStr">
        <is>
          <t>EV battery solvent/DMC 중간체 수요로 성장</t>
        </is>
      </c>
      <c r="K98" s="1" t="inlineStr">
        <is>
          <t>Existing</t>
        </is>
      </c>
      <c r="L98" s="11" t="n"/>
    </row>
    <row r="99" ht="33" customHeight="1" s="179">
      <c r="A99" s="11">
        <f>_xlfn.XLOOKUP(표14[[#This Row],[material_name]],표2[material_name],표2[material_id])</f>
        <v/>
      </c>
      <c r="B99" s="11">
        <f>_xlfn.XLOOKUP(표14[[#This Row],[application_taxonomy]],표11[application_taxonomy],표11[app_id])</f>
        <v/>
      </c>
      <c r="C99" s="11">
        <f>_xlfn.XLOOKUP(표14[[#This Row],[end_use_industry]],표13[end_use_category],표13[end_use_id])</f>
        <v/>
      </c>
      <c r="D99" s="11">
        <f>_xlfn.XLOOKUP(표14[[#This Row],[importance]],표15[importance],표15[rating])</f>
        <v/>
      </c>
      <c r="E99" s="1" t="inlineStr">
        <is>
          <t>PO</t>
        </is>
      </c>
      <c r="F99" s="1" t="inlineStr">
        <is>
          <t>1,4-Butanediol</t>
        </is>
      </c>
      <c r="G99" s="1" t="inlineStr">
        <is>
          <t>Specialty chemical intermediate</t>
        </is>
      </c>
      <c r="H99" s="1" t="inlineStr">
        <is>
          <t>Industrial Goods &amp; Advanced Manufacturing</t>
        </is>
      </c>
      <c r="I99" s="1" t="inlineStr">
        <is>
          <t>Niche / Emerging</t>
        </is>
      </c>
      <c r="J99" s="1" t="inlineStr">
        <is>
          <t>PO 기반 BDO route는 약 1%로 제한적</t>
        </is>
      </c>
      <c r="K99" s="1" t="inlineStr">
        <is>
          <t>Existing</t>
        </is>
      </c>
      <c r="L99" s="11" t="n"/>
    </row>
    <row r="100">
      <c r="A100" s="11">
        <f>_xlfn.XLOOKUP(표14[[#This Row],[material_name]],표2[material_name],표2[material_id])</f>
        <v/>
      </c>
      <c r="B100" s="11">
        <f>_xlfn.XLOOKUP(표14[[#This Row],[application_taxonomy]],표11[application_taxonomy],표11[app_id])</f>
        <v/>
      </c>
      <c r="C100" s="11">
        <f>_xlfn.XLOOKUP(표14[[#This Row],[end_use_industry]],표13[end_use_category],표13[end_use_id])</f>
        <v/>
      </c>
      <c r="D100" s="11">
        <f>_xlfn.XLOOKUP(표14[[#This Row],[importance]],표15[importance],표15[rating])</f>
        <v/>
      </c>
      <c r="E100" s="1" t="inlineStr">
        <is>
          <t>PG</t>
        </is>
      </c>
      <c r="F100" s="1" t="inlineStr">
        <is>
          <t>Unsaturated polyester resins</t>
        </is>
      </c>
      <c r="G100" s="1" t="inlineStr">
        <is>
          <t>Major chemical intermediate</t>
        </is>
      </c>
      <c r="H100" s="1" t="inlineStr">
        <is>
          <t>Construction &amp; Infrastructure</t>
        </is>
      </c>
      <c r="I100" s="1" t="inlineStr">
        <is>
          <t>Primary</t>
        </is>
      </c>
      <c r="J100" s="1" t="inlineStr">
        <is>
          <t>2023년 PG 최대 용도, 약 36%</t>
        </is>
      </c>
      <c r="K100" s="1" t="inlineStr">
        <is>
          <t>Existing</t>
        </is>
      </c>
      <c r="L100" s="11" t="n"/>
    </row>
    <row r="101" ht="33" customHeight="1" s="179">
      <c r="A101" s="11">
        <f>_xlfn.XLOOKUP(표14[[#This Row],[material_name]],표2[material_name],표2[material_id])</f>
        <v/>
      </c>
      <c r="B101" s="11">
        <f>_xlfn.XLOOKUP(표14[[#This Row],[application_taxonomy]],표11[application_taxonomy],표11[app_id])</f>
        <v/>
      </c>
      <c r="C101" s="11">
        <f>_xlfn.XLOOKUP(표14[[#This Row],[end_use_industry]],표13[end_use_category],표13[end_use_id])</f>
        <v/>
      </c>
      <c r="D101" s="11">
        <f>_xlfn.XLOOKUP(표14[[#This Row],[importance]],표15[importance],표15[rating])</f>
        <v/>
      </c>
      <c r="E101" s="1" t="inlineStr">
        <is>
          <t>PG</t>
        </is>
      </c>
      <c r="F101" s="1" t="inlineStr">
        <is>
          <t>Functional fluids and antifreezes</t>
        </is>
      </c>
      <c r="G101" s="1" t="inlineStr">
        <is>
          <t>Corrosion inhibition &amp; metalworking</t>
        </is>
      </c>
      <c r="H101" s="1" t="inlineStr">
        <is>
          <t>Industrial Goods &amp; Advanced Manufacturing</t>
        </is>
      </c>
      <c r="I101" s="1" t="inlineStr">
        <is>
          <t>Secondary</t>
        </is>
      </c>
      <c r="J101" s="1" t="inlineStr">
        <is>
          <t>동결점 저하 및 functional fluid 용도</t>
        </is>
      </c>
      <c r="K101" s="1" t="inlineStr">
        <is>
          <t>Existing</t>
        </is>
      </c>
      <c r="L101" s="11" t="n"/>
    </row>
    <row r="102" ht="33" customHeight="1" s="179">
      <c r="A102" s="11">
        <f>_xlfn.XLOOKUP(표14[[#This Row],[material_name]],표2[material_name],표2[material_id])</f>
        <v/>
      </c>
      <c r="B102" s="11">
        <f>_xlfn.XLOOKUP(표14[[#This Row],[application_taxonomy]],표11[application_taxonomy],표11[app_id])</f>
        <v/>
      </c>
      <c r="C102" s="11">
        <f>_xlfn.XLOOKUP(표14[[#This Row],[end_use_industry]],표13[end_use_category],표13[end_use_id])</f>
        <v/>
      </c>
      <c r="D102" s="11">
        <f>_xlfn.XLOOKUP(표14[[#This Row],[importance]],표15[importance],표15[rating])</f>
        <v/>
      </c>
      <c r="E102" s="1" t="inlineStr">
        <is>
          <t>PG</t>
        </is>
      </c>
      <c r="F102" s="1" t="inlineStr">
        <is>
          <t>Cosmetics and personal care products</t>
        </is>
      </c>
      <c r="G102" s="1" t="inlineStr">
        <is>
          <t>Personal care formulation</t>
        </is>
      </c>
      <c r="H102" s="1" t="inlineStr">
        <is>
          <t>Consumer Products &amp; Packaging</t>
        </is>
      </c>
      <c r="I102" s="1" t="inlineStr">
        <is>
          <t>Secondary</t>
        </is>
      </c>
      <c r="J102" s="1" t="inlineStr">
        <is>
          <t>보습, 점도 조절, emolliency 기능</t>
        </is>
      </c>
      <c r="K102" s="1" t="inlineStr">
        <is>
          <t>Existing</t>
        </is>
      </c>
      <c r="L102" s="11" t="n"/>
    </row>
    <row r="103">
      <c r="A103" s="11">
        <f>_xlfn.XLOOKUP(표14[[#This Row],[material_name]],표2[material_name],표2[material_id])</f>
        <v/>
      </c>
      <c r="B103" s="11">
        <f>_xlfn.XLOOKUP(표14[[#This Row],[application_taxonomy]],표11[application_taxonomy],표11[app_id])</f>
        <v/>
      </c>
      <c r="C103" s="11">
        <f>_xlfn.XLOOKUP(표14[[#This Row],[end_use_industry]],표13[end_use_category],표13[end_use_id])</f>
        <v/>
      </c>
      <c r="D103" s="11">
        <f>_xlfn.XLOOKUP(표14[[#This Row],[importance]],표15[importance],표15[rating])</f>
        <v/>
      </c>
      <c r="E103" s="1" t="inlineStr">
        <is>
          <t>PG</t>
        </is>
      </c>
      <c r="F103" s="1" t="inlineStr">
        <is>
          <t>Food/pharmaceutical grades</t>
        </is>
      </c>
      <c r="G103" s="1" t="inlineStr">
        <is>
          <t>Food additives &amp; preservation</t>
        </is>
      </c>
      <c r="H103" s="1" t="inlineStr">
        <is>
          <t>Healthcare &amp; Life Sciences</t>
        </is>
      </c>
      <c r="I103" s="1" t="inlineStr">
        <is>
          <t>Secondary</t>
        </is>
      </c>
      <c r="J103" s="1" t="inlineStr">
        <is>
          <t>USP/EP grade가 식품·의약·생활용품에 사용</t>
        </is>
      </c>
      <c r="K103" s="1" t="inlineStr">
        <is>
          <t>Existing</t>
        </is>
      </c>
      <c r="L103" s="11" t="n"/>
    </row>
    <row r="104">
      <c r="A104" s="11">
        <f>_xlfn.XLOOKUP(표14[[#This Row],[material_name]],표2[material_name],표2[material_id])</f>
        <v/>
      </c>
      <c r="B104" s="11">
        <f>_xlfn.XLOOKUP(표14[[#This Row],[application_taxonomy]],표11[application_taxonomy],표11[app_id])</f>
        <v/>
      </c>
      <c r="C104" s="11">
        <f>_xlfn.XLOOKUP(표14[[#This Row],[end_use_industry]],표13[end_use_category],표13[end_use_id])</f>
        <v/>
      </c>
      <c r="D104" s="11">
        <f>_xlfn.XLOOKUP(표14[[#This Row],[importance]],표15[importance],표15[rating])</f>
        <v/>
      </c>
      <c r="E104" s="1" t="inlineStr">
        <is>
          <t>PG</t>
        </is>
      </c>
      <c r="F104" s="1" t="inlineStr">
        <is>
          <t>Liquid detergents</t>
        </is>
      </c>
      <c r="G104" s="1" t="inlineStr">
        <is>
          <t>Surfactant &amp; emulsification</t>
        </is>
      </c>
      <c r="H104" s="1" t="inlineStr">
        <is>
          <t>Consumer Products &amp; Packaging</t>
        </is>
      </c>
      <c r="I104" s="1" t="inlineStr">
        <is>
          <t>Secondary</t>
        </is>
      </c>
      <c r="J104" s="1" t="inlineStr">
        <is>
          <t>household detergent formulation용</t>
        </is>
      </c>
      <c r="K104" s="1" t="inlineStr">
        <is>
          <t>Existing</t>
        </is>
      </c>
      <c r="L104" s="11" t="n"/>
    </row>
    <row r="105" ht="33" customHeight="1" s="179">
      <c r="A105" s="11">
        <f>_xlfn.XLOOKUP(표14[[#This Row],[material_name]],표2[material_name],표2[material_id])</f>
        <v/>
      </c>
      <c r="B105" s="11">
        <f>_xlfn.XLOOKUP(표14[[#This Row],[application_taxonomy]],표11[application_taxonomy],표11[app_id])</f>
        <v/>
      </c>
      <c r="C105" s="11">
        <f>_xlfn.XLOOKUP(표14[[#This Row],[end_use_industry]],표13[end_use_category],표13[end_use_id])</f>
        <v/>
      </c>
      <c r="D105" s="11">
        <f>_xlfn.XLOOKUP(표14[[#This Row],[importance]],표15[importance],표15[rating])</f>
        <v/>
      </c>
      <c r="E105" s="1" t="inlineStr">
        <is>
          <t>PG</t>
        </is>
      </c>
      <c r="F105" s="1" t="inlineStr">
        <is>
          <t>Polyurethanes</t>
        </is>
      </c>
      <c r="G105" s="1" t="inlineStr">
        <is>
          <t>Major chemical intermediate</t>
        </is>
      </c>
      <c r="H105" s="1" t="inlineStr">
        <is>
          <t>Industrial Goods &amp; Advanced Manufacturing</t>
        </is>
      </c>
      <c r="I105" s="1" t="inlineStr">
        <is>
          <t>Secondary</t>
        </is>
      </c>
      <c r="J105" s="1" t="inlineStr">
        <is>
          <t>polyurethane chain으로 연결되는 산업용 PG 수요</t>
        </is>
      </c>
      <c r="K105" s="1" t="inlineStr">
        <is>
          <t>Existing</t>
        </is>
      </c>
      <c r="L105" s="11" t="n"/>
    </row>
    <row r="106" ht="33" customHeight="1" s="179">
      <c r="A106" s="11">
        <f>_xlfn.XLOOKUP(표14[[#This Row],[material_name]],표2[material_name],표2[material_id])</f>
        <v/>
      </c>
      <c r="B106" s="11">
        <f>_xlfn.XLOOKUP(표14[[#This Row],[application_taxonomy]],표11[application_taxonomy],표11[app_id])</f>
        <v/>
      </c>
      <c r="C106" s="11">
        <f>_xlfn.XLOOKUP(표14[[#This Row],[end_use_industry]],표13[end_use_category],표13[end_use_id])</f>
        <v/>
      </c>
      <c r="D106" s="11">
        <f>_xlfn.XLOOKUP(표14[[#This Row],[importance]],표15[importance],표15[rating])</f>
        <v/>
      </c>
      <c r="E106" s="1" t="inlineStr">
        <is>
          <t>PPG</t>
        </is>
      </c>
      <c r="F106" s="1" t="inlineStr">
        <is>
          <t>Flexible PU foams</t>
        </is>
      </c>
      <c r="G106" s="1" t="inlineStr">
        <is>
          <t>Major chemical intermediate</t>
        </is>
      </c>
      <c r="H106" s="1" t="inlineStr">
        <is>
          <t>Consumer Products &amp; Packaging</t>
        </is>
      </c>
      <c r="I106" s="1" t="inlineStr">
        <is>
          <t>Primary</t>
        </is>
      </c>
      <c r="J106" s="1" t="inlineStr">
        <is>
          <t>bedding, furniture, transportation cushioning으로 연결되는 핵심 polyol route</t>
        </is>
      </c>
      <c r="K106" s="1" t="inlineStr">
        <is>
          <t>Existing</t>
        </is>
      </c>
      <c r="L106" s="11" t="inlineStr">
        <is>
          <t>GPT</t>
        </is>
      </c>
    </row>
    <row r="107">
      <c r="A107" s="11">
        <f>_xlfn.XLOOKUP(표14[[#This Row],[material_name]],표2[material_name],표2[material_id])</f>
        <v/>
      </c>
      <c r="B107" s="11">
        <f>_xlfn.XLOOKUP(표14[[#This Row],[application_taxonomy]],표11[application_taxonomy],표11[app_id])</f>
        <v/>
      </c>
      <c r="C107" s="11">
        <f>_xlfn.XLOOKUP(표14[[#This Row],[end_use_industry]],표13[end_use_category],표13[end_use_id])</f>
        <v/>
      </c>
      <c r="D107" s="11">
        <f>_xlfn.XLOOKUP(표14[[#This Row],[importance]],표15[importance],표15[rating])</f>
        <v/>
      </c>
      <c r="E107" s="1" t="inlineStr">
        <is>
          <t>PPG</t>
        </is>
      </c>
      <c r="F107" s="1" t="inlineStr">
        <is>
          <t>Rigid PU foams</t>
        </is>
      </c>
      <c r="G107" s="1" t="inlineStr">
        <is>
          <t>Major chemical intermediate</t>
        </is>
      </c>
      <c r="H107" s="1" t="inlineStr">
        <is>
          <t>Construction &amp; Infrastructure</t>
        </is>
      </c>
      <c r="I107" s="1" t="inlineStr">
        <is>
          <t>Primary</t>
        </is>
      </c>
      <c r="J107" s="1" t="inlineStr">
        <is>
          <t>건축·냉장·배관 insulation용 PU foam 원료</t>
        </is>
      </c>
      <c r="K107" s="1" t="inlineStr">
        <is>
          <t>Existing</t>
        </is>
      </c>
      <c r="L107" s="11" t="inlineStr">
        <is>
          <t>GPT</t>
        </is>
      </c>
    </row>
    <row r="108">
      <c r="A108" s="11">
        <f>_xlfn.XLOOKUP(표14[[#This Row],[material_name]],표2[material_name],표2[material_id])</f>
        <v/>
      </c>
      <c r="B108" s="11">
        <f>_xlfn.XLOOKUP(표14[[#This Row],[application_taxonomy]],표11[application_taxonomy],표11[app_id])</f>
        <v/>
      </c>
      <c r="C108" s="11">
        <f>_xlfn.XLOOKUP(표14[[#This Row],[end_use_industry]],표13[end_use_category],표13[end_use_id])</f>
        <v/>
      </c>
      <c r="D108" s="11">
        <f>_xlfn.XLOOKUP(표14[[#This Row],[importance]],표15[importance],표15[rating])</f>
        <v/>
      </c>
      <c r="E108" s="1" t="inlineStr">
        <is>
          <t>PPG</t>
        </is>
      </c>
      <c r="F108" s="1" t="inlineStr">
        <is>
          <t>Nonfoam PU applications</t>
        </is>
      </c>
      <c r="G108" s="1" t="inlineStr">
        <is>
          <t>Major chemical intermediate</t>
        </is>
      </c>
      <c r="H108" s="1" t="inlineStr">
        <is>
          <t>Automotive &amp; Future Mobility</t>
        </is>
      </c>
      <c r="I108" s="1" t="inlineStr">
        <is>
          <t>Secondary</t>
        </is>
      </c>
      <c r="J108" s="1" t="inlineStr">
        <is>
          <t>cast elastomers, tubing, hoses, fascias, shoe soles 등</t>
        </is>
      </c>
      <c r="K108" s="1" t="inlineStr">
        <is>
          <t>Existing</t>
        </is>
      </c>
      <c r="L108" s="11" t="inlineStr">
        <is>
          <t>GPT</t>
        </is>
      </c>
    </row>
    <row r="109" ht="33" customHeight="1" s="179">
      <c r="A109" s="11">
        <f>_xlfn.XLOOKUP(표14[[#This Row],[material_name]],표2[material_name],표2[material_id])</f>
        <v/>
      </c>
      <c r="B109" s="11">
        <f>_xlfn.XLOOKUP(표14[[#This Row],[application_taxonomy]],표11[application_taxonomy],표11[app_id])</f>
        <v/>
      </c>
      <c r="C109" s="11">
        <f>_xlfn.XLOOKUP(표14[[#This Row],[end_use_industry]],표13[end_use_category],표13[end_use_id])</f>
        <v/>
      </c>
      <c r="D109" s="11">
        <f>_xlfn.XLOOKUP(표14[[#This Row],[importance]],표15[importance],표15[rating])</f>
        <v/>
      </c>
      <c r="E109" s="1" t="inlineStr">
        <is>
          <t>PPG</t>
        </is>
      </c>
      <c r="F109" s="1" t="inlineStr">
        <is>
          <t>Adhesives and sealants</t>
        </is>
      </c>
      <c r="G109" s="1" t="inlineStr">
        <is>
          <t>Major chemical intermediate</t>
        </is>
      </c>
      <c r="H109" s="1" t="inlineStr">
        <is>
          <t>Industrial Goods &amp; Advanced Manufacturing</t>
        </is>
      </c>
      <c r="I109" s="1" t="inlineStr">
        <is>
          <t>Secondary</t>
        </is>
      </c>
      <c r="J109" s="1" t="inlineStr">
        <is>
          <t>PU adhesive/sealant chain으로 연결</t>
        </is>
      </c>
      <c r="K109" s="1" t="inlineStr">
        <is>
          <t>Existing</t>
        </is>
      </c>
      <c r="L109" s="11" t="inlineStr">
        <is>
          <t>GPT</t>
        </is>
      </c>
    </row>
    <row r="110" ht="33" customHeight="1" s="179">
      <c r="A110" s="11">
        <f>_xlfn.XLOOKUP(표14[[#This Row],[material_name]],표2[material_name],표2[material_id])</f>
        <v/>
      </c>
      <c r="B110" s="11">
        <f>_xlfn.XLOOKUP(표14[[#This Row],[application_taxonomy]],표11[application_taxonomy],표11[app_id])</f>
        <v/>
      </c>
      <c r="C110" s="11">
        <f>_xlfn.XLOOKUP(표14[[#This Row],[end_use_industry]],표13[end_use_category],표13[end_use_id])</f>
        <v/>
      </c>
      <c r="D110" s="11">
        <f>_xlfn.XLOOKUP(표14[[#This Row],[importance]],표15[importance],표15[rating])</f>
        <v/>
      </c>
      <c r="E110" s="1" t="inlineStr">
        <is>
          <t>PPG</t>
        </is>
      </c>
      <c r="F110" s="1" t="inlineStr">
        <is>
          <t>Surface coatings</t>
        </is>
      </c>
      <c r="G110" s="1" t="inlineStr">
        <is>
          <t>Major chemical intermediate</t>
        </is>
      </c>
      <c r="H110" s="1" t="inlineStr">
        <is>
          <t>Industrial Goods &amp; Advanced Manufacturing</t>
        </is>
      </c>
      <c r="I110" s="1" t="inlineStr">
        <is>
          <t>Secondary</t>
        </is>
      </c>
      <c r="J110" s="1" t="inlineStr">
        <is>
          <t>PU surface coating application 포함</t>
        </is>
      </c>
      <c r="K110" s="1" t="inlineStr">
        <is>
          <t>Existing</t>
        </is>
      </c>
      <c r="L110" s="11" t="inlineStr">
        <is>
          <t>GPT</t>
        </is>
      </c>
    </row>
    <row r="111" ht="33" customHeight="1" s="179">
      <c r="A111" s="11">
        <f>_xlfn.XLOOKUP(표14[[#This Row],[material_name]],표2[material_name],표2[material_id])</f>
        <v/>
      </c>
      <c r="B111" s="11">
        <f>_xlfn.XLOOKUP(표14[[#This Row],[application_taxonomy]],표11[application_taxonomy],표11[app_id])</f>
        <v/>
      </c>
      <c r="C111" s="11">
        <f>_xlfn.XLOOKUP(표14[[#This Row],[end_use_industry]],표13[end_use_category],표13[end_use_id])</f>
        <v/>
      </c>
      <c r="D111" s="11">
        <f>_xlfn.XLOOKUP(표14[[#This Row],[importance]],표15[importance],표15[rating])</f>
        <v/>
      </c>
      <c r="E111" s="1" t="inlineStr">
        <is>
          <t>Polyols</t>
        </is>
      </c>
      <c r="F111" s="1" t="inlineStr">
        <is>
          <t>Rigid PU/PIR foam</t>
        </is>
      </c>
      <c r="G111" s="1" t="inlineStr">
        <is>
          <t>Major chemical intermediate</t>
        </is>
      </c>
      <c r="H111" s="1" t="inlineStr">
        <is>
          <t>Construction &amp; Infrastructure</t>
        </is>
      </c>
      <c r="I111" s="1" t="inlineStr">
        <is>
          <t>Primary</t>
        </is>
      </c>
      <c r="J111" s="1" t="inlineStr">
        <is>
          <t>polyester polyol 최대 성장·핵심 용도, building insulation 중심</t>
        </is>
      </c>
      <c r="K111" s="1" t="inlineStr">
        <is>
          <t>Existing</t>
        </is>
      </c>
      <c r="L111" s="11" t="n"/>
    </row>
    <row r="112" ht="33" customHeight="1" s="179">
      <c r="A112" s="11">
        <f>_xlfn.XLOOKUP(표14[[#This Row],[material_name]],표2[material_name],표2[material_id])</f>
        <v/>
      </c>
      <c r="B112" s="11">
        <f>_xlfn.XLOOKUP(표14[[#This Row],[application_taxonomy]],표11[application_taxonomy],표11[app_id])</f>
        <v/>
      </c>
      <c r="C112" s="11">
        <f>_xlfn.XLOOKUP(표14[[#This Row],[end_use_industry]],표13[end_use_category],표13[end_use_id])</f>
        <v/>
      </c>
      <c r="D112" s="11">
        <f>_xlfn.XLOOKUP(표14[[#This Row],[importance]],표15[importance],표15[rating])</f>
        <v/>
      </c>
      <c r="E112" s="1" t="inlineStr">
        <is>
          <t>Polyols</t>
        </is>
      </c>
      <c r="F112" s="1" t="inlineStr">
        <is>
          <t>PU elastomers / TPU</t>
        </is>
      </c>
      <c r="G112" s="1" t="inlineStr">
        <is>
          <t>Major chemical intermediate</t>
        </is>
      </c>
      <c r="H112" s="1" t="inlineStr">
        <is>
          <t>Industrial Goods &amp; Advanced Manufacturing</t>
        </is>
      </c>
      <c r="I112" s="1" t="inlineStr">
        <is>
          <t>Primary</t>
        </is>
      </c>
      <c r="J112" s="1" t="inlineStr">
        <is>
          <t>nonfoam application 중 elastomer가 주요 수요처</t>
        </is>
      </c>
      <c r="K112" s="1" t="inlineStr">
        <is>
          <t>Existing</t>
        </is>
      </c>
      <c r="L112" s="11" t="n"/>
    </row>
    <row r="113" ht="33" customHeight="1" s="179">
      <c r="A113" s="11">
        <f>_xlfn.XLOOKUP(표14[[#This Row],[material_name]],표2[material_name],표2[material_id])</f>
        <v/>
      </c>
      <c r="B113" s="11">
        <f>_xlfn.XLOOKUP(표14[[#This Row],[application_taxonomy]],표11[application_taxonomy],표11[app_id])</f>
        <v/>
      </c>
      <c r="C113" s="11">
        <f>_xlfn.XLOOKUP(표14[[#This Row],[end_use_industry]],표13[end_use_category],표13[end_use_id])</f>
        <v/>
      </c>
      <c r="D113" s="11">
        <f>_xlfn.XLOOKUP(표14[[#This Row],[importance]],표15[importance],표15[rating])</f>
        <v/>
      </c>
      <c r="E113" s="1" t="inlineStr">
        <is>
          <t>Polyols</t>
        </is>
      </c>
      <c r="F113" s="1" t="inlineStr">
        <is>
          <t>Surface coatings</t>
        </is>
      </c>
      <c r="G113" s="1" t="inlineStr">
        <is>
          <t>Major chemical intermediate</t>
        </is>
      </c>
      <c r="H113" s="1" t="inlineStr">
        <is>
          <t>Industrial Goods &amp; Advanced Manufacturing</t>
        </is>
      </c>
      <c r="I113" s="1" t="inlineStr">
        <is>
          <t>Secondary</t>
        </is>
      </c>
      <c r="J113" s="1" t="inlineStr">
        <is>
          <t>aircraft, bridge, automotive coating 등에 사용</t>
        </is>
      </c>
      <c r="K113" s="1" t="inlineStr">
        <is>
          <t>Existing</t>
        </is>
      </c>
      <c r="L113" s="11" t="n"/>
    </row>
    <row r="114" ht="33" customHeight="1" s="179">
      <c r="A114" s="11">
        <f>_xlfn.XLOOKUP(표14[[#This Row],[material_name]],표2[material_name],표2[material_id])</f>
        <v/>
      </c>
      <c r="B114" s="11">
        <f>_xlfn.XLOOKUP(표14[[#This Row],[application_taxonomy]],표11[application_taxonomy],표11[app_id])</f>
        <v/>
      </c>
      <c r="C114" s="11">
        <f>_xlfn.XLOOKUP(표14[[#This Row],[end_use_industry]],표13[end_use_category],표13[end_use_id])</f>
        <v/>
      </c>
      <c r="D114" s="11">
        <f>_xlfn.XLOOKUP(표14[[#This Row],[importance]],표15[importance],표15[rating])</f>
        <v/>
      </c>
      <c r="E114" s="1" t="inlineStr">
        <is>
          <t>Polyols</t>
        </is>
      </c>
      <c r="F114" s="1" t="inlineStr">
        <is>
          <t>Adhesives and sealants</t>
        </is>
      </c>
      <c r="G114" s="1" t="inlineStr">
        <is>
          <t>Major chemical intermediate</t>
        </is>
      </c>
      <c r="H114" s="1" t="inlineStr">
        <is>
          <t>Industrial Goods &amp; Advanced Manufacturing</t>
        </is>
      </c>
      <c r="I114" s="1" t="inlineStr">
        <is>
          <t>Secondary</t>
        </is>
      </c>
      <c r="J114" s="1" t="inlineStr">
        <is>
          <t>PU hot-melt adhesive 및 sealant 원료</t>
        </is>
      </c>
      <c r="K114" s="1" t="inlineStr">
        <is>
          <t>Existing</t>
        </is>
      </c>
      <c r="L114" s="11" t="n"/>
    </row>
    <row r="115">
      <c r="A115" s="11">
        <f>_xlfn.XLOOKUP(표14[[#This Row],[material_name]],표2[material_name],표2[material_id])</f>
        <v/>
      </c>
      <c r="B115" s="11">
        <f>_xlfn.XLOOKUP(표14[[#This Row],[application_taxonomy]],표11[application_taxonomy],표11[app_id])</f>
        <v/>
      </c>
      <c r="C115" s="11">
        <f>_xlfn.XLOOKUP(표14[[#This Row],[end_use_industry]],표13[end_use_category],표13[end_use_id])</f>
        <v/>
      </c>
      <c r="D115" s="11">
        <f>_xlfn.XLOOKUP(표14[[#This Row],[importance]],표15[importance],표15[rating])</f>
        <v/>
      </c>
      <c r="E115" s="1" t="inlineStr">
        <is>
          <t>Polyols</t>
        </is>
      </c>
      <c r="F115" s="1" t="inlineStr">
        <is>
          <t>Flexible foams</t>
        </is>
      </c>
      <c r="G115" s="1" t="inlineStr">
        <is>
          <t>Major chemical intermediate</t>
        </is>
      </c>
      <c r="H115" s="1" t="inlineStr">
        <is>
          <t>Consumer Products &amp; Packaging</t>
        </is>
      </c>
      <c r="I115" s="1" t="inlineStr">
        <is>
          <t>Secondary</t>
        </is>
      </c>
      <c r="J115" s="1" t="inlineStr">
        <is>
          <t>textile laminates, bedding 등 specialty flexible foam</t>
        </is>
      </c>
      <c r="K115" s="1" t="inlineStr">
        <is>
          <t>Existing</t>
        </is>
      </c>
      <c r="L115" s="11" t="n"/>
    </row>
    <row r="116" ht="33" customHeight="1" s="179">
      <c r="A116" s="11">
        <f>_xlfn.XLOOKUP(표14[[#This Row],[material_name]],표2[material_name],표2[material_id])</f>
        <v/>
      </c>
      <c r="B116" s="11">
        <f>_xlfn.XLOOKUP(표14[[#This Row],[application_taxonomy]],표11[application_taxonomy],표11[app_id])</f>
        <v/>
      </c>
      <c r="C116" s="11">
        <f>_xlfn.XLOOKUP(표14[[#This Row],[end_use_industry]],표13[end_use_category],표13[end_use_id])</f>
        <v/>
      </c>
      <c r="D116" s="11">
        <f>_xlfn.XLOOKUP(표14[[#This Row],[importance]],표15[importance],표15[rating])</f>
        <v/>
      </c>
      <c r="E116" s="1" t="inlineStr">
        <is>
          <t>PU</t>
        </is>
      </c>
      <c r="F116" s="1" t="inlineStr">
        <is>
          <t>Flexible foams: bedding, furniture, transportation</t>
        </is>
      </c>
      <c r="G116" s="1" t="inlineStr">
        <is>
          <t>Cushioning &amp; comfort materials</t>
        </is>
      </c>
      <c r="H116" s="1" t="inlineStr">
        <is>
          <t>Consumer Products &amp; Packaging</t>
        </is>
      </c>
      <c r="I116" s="1" t="inlineStr">
        <is>
          <t>Primary</t>
        </is>
      </c>
      <c r="J116" s="1" t="inlineStr">
        <is>
          <t>flexible PU foam은 cushioning 소재로 대량 사용</t>
        </is>
      </c>
      <c r="K116" s="1" t="inlineStr">
        <is>
          <t>Existing</t>
        </is>
      </c>
      <c r="L116" s="11" t="n"/>
    </row>
    <row r="117" ht="33" customHeight="1" s="179">
      <c r="A117" s="11">
        <f>_xlfn.XLOOKUP(표14[[#This Row],[material_name]],표2[material_name],표2[material_id])</f>
        <v/>
      </c>
      <c r="B117" s="11">
        <f>_xlfn.XLOOKUP(표14[[#This Row],[application_taxonomy]],표11[application_taxonomy],표11[app_id])</f>
        <v/>
      </c>
      <c r="C117" s="11">
        <f>_xlfn.XLOOKUP(표14[[#This Row],[end_use_industry]],표13[end_use_category],표13[end_use_id])</f>
        <v/>
      </c>
      <c r="D117" s="11">
        <f>_xlfn.XLOOKUP(표14[[#This Row],[importance]],표15[importance],표15[rating])</f>
        <v/>
      </c>
      <c r="E117" s="1" t="inlineStr">
        <is>
          <t>PU</t>
        </is>
      </c>
      <c r="F117" s="1" t="inlineStr">
        <is>
          <t>Rigid PU/PIR foams: construction and industrial insulation</t>
        </is>
      </c>
      <c r="G117" s="1" t="inlineStr">
        <is>
          <t>Thermal insulation</t>
        </is>
      </c>
      <c r="H117" s="1" t="inlineStr">
        <is>
          <t>Construction &amp; Infrastructure</t>
        </is>
      </c>
      <c r="I117" s="1" t="inlineStr">
        <is>
          <t>Primary</t>
        </is>
      </c>
      <c r="J117" s="1" t="inlineStr">
        <is>
          <t>rigid foam의 핵심은 construction 및 industrial insulation</t>
        </is>
      </c>
      <c r="K117" s="1" t="inlineStr">
        <is>
          <t>Existing</t>
        </is>
      </c>
      <c r="L117" s="11" t="n"/>
    </row>
    <row r="118">
      <c r="A118" s="11">
        <f>_xlfn.XLOOKUP(표14[[#This Row],[material_name]],표2[material_name],표2[material_id])</f>
        <v/>
      </c>
      <c r="B118" s="11">
        <f>_xlfn.XLOOKUP(표14[[#This Row],[application_taxonomy]],표11[application_taxonomy],표11[app_id])</f>
        <v/>
      </c>
      <c r="C118" s="11">
        <f>_xlfn.XLOOKUP(표14[[#This Row],[end_use_industry]],표13[end_use_category],표13[end_use_id])</f>
        <v/>
      </c>
      <c r="D118" s="11">
        <f>_xlfn.XLOOKUP(표14[[#This Row],[importance]],표15[importance],표15[rating])</f>
        <v/>
      </c>
      <c r="E118" s="1" t="inlineStr">
        <is>
          <t>PU</t>
        </is>
      </c>
      <c r="F118" s="1" t="inlineStr">
        <is>
          <t>Footwear / shoe soles</t>
        </is>
      </c>
      <c r="G118" s="1" t="inlineStr">
        <is>
          <t>Elastomeric performance materials</t>
        </is>
      </c>
      <c r="H118" s="1" t="inlineStr">
        <is>
          <t>Consumer Products &amp; Packaging</t>
        </is>
      </c>
      <c r="I118" s="1" t="inlineStr">
        <is>
          <t>Primary</t>
        </is>
      </c>
      <c r="J118" s="1" t="inlineStr">
        <is>
          <t>PU elastomer 최대 end-use, 약 38%</t>
        </is>
      </c>
      <c r="K118" s="1" t="inlineStr">
        <is>
          <t>Existing</t>
        </is>
      </c>
      <c r="L118" s="11" t="n"/>
    </row>
    <row r="119" ht="33" customHeight="1" s="179">
      <c r="A119" s="11">
        <f>_xlfn.XLOOKUP(표14[[#This Row],[material_name]],표2[material_name],표2[material_id])</f>
        <v/>
      </c>
      <c r="B119" s="11">
        <f>_xlfn.XLOOKUP(표14[[#This Row],[application_taxonomy]],표11[application_taxonomy],표11[app_id])</f>
        <v/>
      </c>
      <c r="C119" s="11">
        <f>_xlfn.XLOOKUP(표14[[#This Row],[end_use_industry]],표13[end_use_category],표13[end_use_id])</f>
        <v/>
      </c>
      <c r="D119" s="11">
        <f>_xlfn.XLOOKUP(표14[[#This Row],[importance]],표15[importance],표15[rating])</f>
        <v/>
      </c>
      <c r="E119" s="1" t="inlineStr">
        <is>
          <t>PU</t>
        </is>
      </c>
      <c r="F119" s="1" t="inlineStr">
        <is>
          <t>Transportation parts: gaskets, seals, O-rings, shock absorbers</t>
        </is>
      </c>
      <c r="G119" s="1" t="inlineStr">
        <is>
          <t>Automotive components &amp; lightweighting</t>
        </is>
      </c>
      <c r="H119" s="1" t="inlineStr">
        <is>
          <t>Automotive &amp; Future Mobility</t>
        </is>
      </c>
      <c r="I119" s="1" t="inlineStr">
        <is>
          <t>Secondary</t>
        </is>
      </c>
      <c r="J119" s="1" t="inlineStr">
        <is>
          <t>자동차용 elastomer 부품 및 comfort 소재</t>
        </is>
      </c>
      <c r="K119" s="1" t="inlineStr">
        <is>
          <t>Existing</t>
        </is>
      </c>
      <c r="L119" s="11" t="n"/>
    </row>
    <row r="120" ht="33" customHeight="1" s="179">
      <c r="A120" s="11">
        <f>_xlfn.XLOOKUP(표14[[#This Row],[material_name]],표2[material_name],표2[material_id])</f>
        <v/>
      </c>
      <c r="B120" s="11">
        <f>_xlfn.XLOOKUP(표14[[#This Row],[application_taxonomy]],표11[application_taxonomy],표11[app_id])</f>
        <v/>
      </c>
      <c r="C120" s="11">
        <f>_xlfn.XLOOKUP(표14[[#This Row],[end_use_industry]],표13[end_use_category],표13[end_use_id])</f>
        <v/>
      </c>
      <c r="D120" s="11">
        <f>_xlfn.XLOOKUP(표14[[#This Row],[importance]],표15[importance],표15[rating])</f>
        <v/>
      </c>
      <c r="E120" s="1" t="inlineStr">
        <is>
          <t>PU</t>
        </is>
      </c>
      <c r="F120" s="1" t="inlineStr">
        <is>
          <t>Wheels and tires</t>
        </is>
      </c>
      <c r="G120" s="1" t="inlineStr">
        <is>
          <t>Tire &amp; rubber applications</t>
        </is>
      </c>
      <c r="H120" s="1" t="inlineStr">
        <is>
          <t>Industrial Goods &amp; Advanced Manufacturing</t>
        </is>
      </c>
      <c r="I120" s="1" t="inlineStr">
        <is>
          <t>Secondary</t>
        </is>
      </c>
      <c r="J120" s="1" t="inlineStr">
        <is>
          <t>forklift solid tires, rollerblade wheels 등</t>
        </is>
      </c>
      <c r="K120" s="1" t="inlineStr">
        <is>
          <t>Existing</t>
        </is>
      </c>
      <c r="L120" s="11" t="n"/>
    </row>
    <row r="121" ht="33" customHeight="1" s="179">
      <c r="A121" s="11">
        <f>_xlfn.XLOOKUP(표14[[#This Row],[material_name]],표2[material_name],표2[material_id])</f>
        <v/>
      </c>
      <c r="B121" s="11">
        <f>_xlfn.XLOOKUP(표14[[#This Row],[application_taxonomy]],표11[application_taxonomy],표11[app_id])</f>
        <v/>
      </c>
      <c r="C121" s="11">
        <f>_xlfn.XLOOKUP(표14[[#This Row],[end_use_industry]],표13[end_use_category],표13[end_use_id])</f>
        <v/>
      </c>
      <c r="D121" s="11">
        <f>_xlfn.XLOOKUP(표14[[#This Row],[importance]],표15[importance],표15[rating])</f>
        <v/>
      </c>
      <c r="E121" s="1" t="inlineStr">
        <is>
          <t>PU</t>
        </is>
      </c>
      <c r="F121" s="1" t="inlineStr">
        <is>
          <t>Machinery: rollers, belts, pulleys, seals</t>
        </is>
      </c>
      <c r="G121" s="1" t="inlineStr">
        <is>
          <t>Elastomeric performance materials</t>
        </is>
      </c>
      <c r="H121" s="1" t="inlineStr">
        <is>
          <t>Industrial Goods &amp; Advanced Manufacturing</t>
        </is>
      </c>
      <c r="I121" s="1" t="inlineStr">
        <is>
          <t>Secondary</t>
        </is>
      </c>
      <c r="J121" s="1" t="inlineStr">
        <is>
          <t>내마모·고하중 산업부품용 cast elastomer</t>
        </is>
      </c>
      <c r="K121" s="1" t="inlineStr">
        <is>
          <t>Existing</t>
        </is>
      </c>
      <c r="L121" s="11" t="n"/>
    </row>
    <row r="122" ht="33" customHeight="1" s="179">
      <c r="A122" s="11">
        <f>_xlfn.XLOOKUP(표14[[#This Row],[material_name]],표2[material_name],표2[material_id])</f>
        <v/>
      </c>
      <c r="B122" s="11">
        <f>_xlfn.XLOOKUP(표14[[#This Row],[application_taxonomy]],표11[application_taxonomy],표11[app_id])</f>
        <v/>
      </c>
      <c r="C122" s="11">
        <f>_xlfn.XLOOKUP(표14[[#This Row],[end_use_industry]],표13[end_use_category],표13[end_use_id])</f>
        <v/>
      </c>
      <c r="D122" s="11">
        <f>_xlfn.XLOOKUP(표14[[#This Row],[importance]],표15[importance],표15[rating])</f>
        <v/>
      </c>
      <c r="E122" s="1" t="inlineStr">
        <is>
          <t>PU</t>
        </is>
      </c>
      <c r="F122" s="1" t="inlineStr">
        <is>
          <t>Wire and cable / electrical covering</t>
        </is>
      </c>
      <c r="G122" s="1" t="inlineStr">
        <is>
          <t>Electrical insulation</t>
        </is>
      </c>
      <c r="H122" s="1" t="inlineStr">
        <is>
          <t>Energy, Power &amp; Utilities</t>
        </is>
      </c>
      <c r="I122" s="1" t="inlineStr">
        <is>
          <t>Niche / Emerging</t>
        </is>
      </c>
      <c r="J122" s="1" t="inlineStr">
        <is>
          <t>TPU가 wire, cable, fiber optics 보호 피복에 사용</t>
        </is>
      </c>
      <c r="K122" s="1" t="inlineStr">
        <is>
          <t>Existing</t>
        </is>
      </c>
      <c r="L122" s="11" t="n"/>
    </row>
    <row r="123" ht="33" customHeight="1" s="179">
      <c r="A123" s="11">
        <f>_xlfn.XLOOKUP(표14[[#This Row],[material_name]],표2[material_name],표2[material_id])</f>
        <v/>
      </c>
      <c r="B123" s="11">
        <f>_xlfn.XLOOKUP(표14[[#This Row],[application_taxonomy]],표11[application_taxonomy],표11[app_id])</f>
        <v/>
      </c>
      <c r="C123" s="11">
        <f>_xlfn.XLOOKUP(표14[[#This Row],[end_use_industry]],표13[end_use_category],표13[end_use_id])</f>
        <v/>
      </c>
      <c r="D123" s="11">
        <f>_xlfn.XLOOKUP(표14[[#This Row],[importance]],표15[importance],표15[rating])</f>
        <v/>
      </c>
      <c r="E123" s="1" t="inlineStr">
        <is>
          <t>PU</t>
        </is>
      </c>
      <c r="F123" s="1" t="inlineStr">
        <is>
          <t>Medical hose/tubing, catheters, wound dressings</t>
        </is>
      </c>
      <c r="G123" s="1" t="inlineStr">
        <is>
          <t>Medical &amp; healthcare materials</t>
        </is>
      </c>
      <c r="H123" s="1" t="inlineStr">
        <is>
          <t>Healthcare &amp; Life Sciences</t>
        </is>
      </c>
      <c r="I123" s="1" t="inlineStr">
        <is>
          <t>Niche / Emerging</t>
        </is>
      </c>
      <c r="J123" s="1" t="inlineStr">
        <is>
          <t>TPU medical tubing 및 biomedical products 용도</t>
        </is>
      </c>
      <c r="K123" s="1" t="inlineStr">
        <is>
          <t>Existing</t>
        </is>
      </c>
      <c r="L123" s="11" t="n"/>
    </row>
    <row r="124" ht="33" customHeight="1" s="179">
      <c r="A124" s="11">
        <f>_xlfn.XLOOKUP(표14[[#This Row],[material_name]],표2[material_name],표2[material_id])</f>
        <v/>
      </c>
      <c r="B124" s="11">
        <f>_xlfn.XLOOKUP(표14[[#This Row],[application_taxonomy]],표11[application_taxonomy],표11[app_id])</f>
        <v/>
      </c>
      <c r="C124" s="11">
        <f>_xlfn.XLOOKUP(표14[[#This Row],[end_use_industry]],표13[end_use_category],표13[end_use_id])</f>
        <v/>
      </c>
      <c r="D124" s="11">
        <f>_xlfn.XLOOKUP(표14[[#This Row],[importance]],표15[importance],표15[rating])</f>
        <v/>
      </c>
      <c r="E124" s="1" t="inlineStr">
        <is>
          <t>Acrylic acid</t>
        </is>
      </c>
      <c r="F124" s="1" t="inlineStr">
        <is>
          <t>Acrylate esters</t>
        </is>
      </c>
      <c r="G124" s="1" t="inlineStr">
        <is>
          <t>Major chemical intermediate</t>
        </is>
      </c>
      <c r="H124" s="1" t="inlineStr">
        <is>
          <t>Industrial Goods &amp; Advanced Manufacturing</t>
        </is>
      </c>
      <c r="I124" s="1" t="inlineStr">
        <is>
          <t>Primary</t>
        </is>
      </c>
      <c r="J124" s="1" t="inlineStr">
        <is>
          <t>CAA의 약 50%가 acrylate esters로 전환되는 핵심 다운스트림 경로</t>
        </is>
      </c>
      <c r="K124" s="1" t="inlineStr">
        <is>
          <t>Existing</t>
        </is>
      </c>
      <c r="L124" s="11" t="n"/>
    </row>
    <row r="125">
      <c r="A125" s="11">
        <f>_xlfn.XLOOKUP(표14[[#This Row],[material_name]],표2[material_name],표2[material_id])</f>
        <v/>
      </c>
      <c r="B125" s="11">
        <f>_xlfn.XLOOKUP(표14[[#This Row],[application_taxonomy]],표11[application_taxonomy],표11[app_id])</f>
        <v/>
      </c>
      <c r="C125" s="11">
        <f>_xlfn.XLOOKUP(표14[[#This Row],[end_use_industry]],표13[end_use_category],표13[end_use_id])</f>
        <v/>
      </c>
      <c r="D125" s="11">
        <f>_xlfn.XLOOKUP(표14[[#This Row],[importance]],표15[importance],표15[rating])</f>
        <v/>
      </c>
      <c r="E125" s="1" t="inlineStr">
        <is>
          <t>Acrylic acid</t>
        </is>
      </c>
      <c r="F125" s="1" t="inlineStr">
        <is>
          <t>Superabsorbent polymers</t>
        </is>
      </c>
      <c r="G125" s="1" t="inlineStr">
        <is>
          <t>Major chemical intermediate</t>
        </is>
      </c>
      <c r="H125" s="1" t="inlineStr">
        <is>
          <t>Consumer Products &amp; Packaging</t>
        </is>
      </c>
      <c r="I125" s="1" t="inlineStr">
        <is>
          <t>Primary</t>
        </is>
      </c>
      <c r="J125" s="1" t="inlineStr">
        <is>
          <t>GAA 기반 SAP가 위생재의 핵심 흡수 소재로 사용됨</t>
        </is>
      </c>
      <c r="K125" s="1" t="inlineStr">
        <is>
          <t>Existing</t>
        </is>
      </c>
      <c r="L125" s="11" t="n"/>
    </row>
    <row r="126" ht="33" customHeight="1" s="179">
      <c r="A126" s="11">
        <f>_xlfn.XLOOKUP(표14[[#This Row],[material_name]],표2[material_name],표2[material_id])</f>
        <v/>
      </c>
      <c r="B126" s="11">
        <f>_xlfn.XLOOKUP(표14[[#This Row],[application_taxonomy]],표11[application_taxonomy],표11[app_id])</f>
        <v/>
      </c>
      <c r="C126" s="11">
        <f>_xlfn.XLOOKUP(표14[[#This Row],[end_use_industry]],표13[end_use_category],표13[end_use_id])</f>
        <v/>
      </c>
      <c r="D126" s="11">
        <f>_xlfn.XLOOKUP(표14[[#This Row],[importance]],표15[importance],표15[rating])</f>
        <v/>
      </c>
      <c r="E126" s="1" t="inlineStr">
        <is>
          <t>Acrylic acid</t>
        </is>
      </c>
      <c r="F126" s="1" t="inlineStr">
        <is>
          <t>Detergent cobuilders / water treatment</t>
        </is>
      </c>
      <c r="G126" s="1" t="inlineStr">
        <is>
          <t>Water treatment &amp; dispersants</t>
        </is>
      </c>
      <c r="H126" s="1" t="inlineStr">
        <is>
          <t>Industrial Goods &amp; Advanced Manufacturing</t>
        </is>
      </c>
      <c r="I126" s="1" t="inlineStr">
        <is>
          <t>Secondary</t>
        </is>
      </c>
      <c r="J126" s="1" t="inlineStr">
        <is>
          <t>PAA 및 공중합체가 수처리, 분산제, detergent cobuilder에 사용됨</t>
        </is>
      </c>
      <c r="K126" s="1" t="inlineStr">
        <is>
          <t>Existing</t>
        </is>
      </c>
      <c r="L126" s="11" t="n"/>
    </row>
    <row r="127" ht="33" customHeight="1" s="179">
      <c r="A127" s="11">
        <f>_xlfn.XLOOKUP(표14[[#This Row],[material_name]],표2[material_name],표2[material_id])</f>
        <v/>
      </c>
      <c r="B127" s="11">
        <f>_xlfn.XLOOKUP(표14[[#This Row],[application_taxonomy]],표11[application_taxonomy],표11[app_id])</f>
        <v/>
      </c>
      <c r="C127" s="11">
        <f>_xlfn.XLOOKUP(표14[[#This Row],[end_use_industry]],표13[end_use_category],표13[end_use_id])</f>
        <v/>
      </c>
      <c r="D127" s="11">
        <f>_xlfn.XLOOKUP(표14[[#This Row],[importance]],표15[importance],표15[rating])</f>
        <v/>
      </c>
      <c r="E127" s="1" t="inlineStr">
        <is>
          <t>Acrylate ester</t>
        </is>
      </c>
      <c r="F127" s="1" t="inlineStr">
        <is>
          <t>Surface coatings</t>
        </is>
      </c>
      <c r="G127" s="1" t="inlineStr">
        <is>
          <t>Surface coating</t>
        </is>
      </c>
      <c r="H127" s="1" t="inlineStr">
        <is>
          <t>Construction &amp; Infrastructure</t>
        </is>
      </c>
      <c r="I127" s="1" t="inlineStr">
        <is>
          <t>Primary</t>
        </is>
      </c>
      <c r="J127" s="1" t="inlineStr">
        <is>
          <t>Commodity acrylate esters의 최대 용도이며 coatings용 polymer 생산에 사용됨</t>
        </is>
      </c>
      <c r="K127" s="1" t="inlineStr">
        <is>
          <t>Existing</t>
        </is>
      </c>
      <c r="L127" s="11" t="n"/>
    </row>
    <row r="128" ht="33" customHeight="1" s="179">
      <c r="A128" s="11">
        <f>_xlfn.XLOOKUP(표14[[#This Row],[material_name]],표2[material_name],표2[material_id])</f>
        <v/>
      </c>
      <c r="B128" s="11">
        <f>_xlfn.XLOOKUP(표14[[#This Row],[application_taxonomy]],표11[application_taxonomy],표11[app_id])</f>
        <v/>
      </c>
      <c r="C128" s="11">
        <f>_xlfn.XLOOKUP(표14[[#This Row],[end_use_industry]],표13[end_use_category],표13[end_use_id])</f>
        <v/>
      </c>
      <c r="D128" s="11">
        <f>_xlfn.XLOOKUP(표14[[#This Row],[importance]],표15[importance],표15[rating])</f>
        <v/>
      </c>
      <c r="E128" s="1" t="inlineStr">
        <is>
          <t>Acrylate ester</t>
        </is>
      </c>
      <c r="F128" s="1" t="inlineStr">
        <is>
          <t>Adhesives and sealants</t>
        </is>
      </c>
      <c r="G128" s="1" t="inlineStr">
        <is>
          <t>Adhesive bonding</t>
        </is>
      </c>
      <c r="H128" s="1" t="inlineStr">
        <is>
          <t>Consumer Products &amp; Packaging</t>
        </is>
      </c>
      <c r="I128" s="1" t="inlineStr">
        <is>
          <t>Primary</t>
        </is>
      </c>
      <c r="J128" s="1" t="inlineStr">
        <is>
          <t>coatings 다음의 대형 수요처로 adhesives 및 sealants용 polymer에 사용됨</t>
        </is>
      </c>
      <c r="K128" s="1" t="inlineStr">
        <is>
          <t>Existing</t>
        </is>
      </c>
      <c r="L128" s="11" t="n"/>
    </row>
    <row r="129" ht="33" customHeight="1" s="179">
      <c r="A129" s="11">
        <f>_xlfn.XLOOKUP(표14[[#This Row],[material_name]],표2[material_name],표2[material_id])</f>
        <v/>
      </c>
      <c r="B129" s="11">
        <f>_xlfn.XLOOKUP(표14[[#This Row],[application_taxonomy]],표11[application_taxonomy],표11[app_id])</f>
        <v/>
      </c>
      <c r="C129" s="11">
        <f>_xlfn.XLOOKUP(표14[[#This Row],[end_use_industry]],표13[end_use_category],표13[end_use_id])</f>
        <v/>
      </c>
      <c r="D129" s="11">
        <f>_xlfn.XLOOKUP(표14[[#This Row],[importance]],표15[importance],표15[rating])</f>
        <v/>
      </c>
      <c r="E129" s="1" t="inlineStr">
        <is>
          <t>Acrylate ester</t>
        </is>
      </c>
      <c r="F129" s="1" t="inlineStr">
        <is>
          <t>Textiles</t>
        </is>
      </c>
      <c r="G129" s="1" t="inlineStr">
        <is>
          <t>Surface coating</t>
        </is>
      </c>
      <c r="H129" s="1" t="inlineStr">
        <is>
          <t>Industrial Goods &amp; Advanced Manufacturing</t>
        </is>
      </c>
      <c r="I129" s="1" t="inlineStr">
        <is>
          <t>Secondary</t>
        </is>
      </c>
      <c r="J129" s="1" t="inlineStr">
        <is>
          <t>textile backing 및 처리용 latex/polymer application으로 사용됨</t>
        </is>
      </c>
      <c r="K129" s="1" t="inlineStr">
        <is>
          <t>Existing</t>
        </is>
      </c>
      <c r="L129" s="11" t="n"/>
    </row>
    <row r="130" ht="33" customHeight="1" s="179">
      <c r="A130" s="11">
        <f>_xlfn.XLOOKUP(표14[[#This Row],[material_name]],표2[material_name],표2[material_id])</f>
        <v/>
      </c>
      <c r="B130" s="11">
        <f>_xlfn.XLOOKUP(표14[[#This Row],[application_taxonomy]],표11[application_taxonomy],표11[app_id])</f>
        <v/>
      </c>
      <c r="C130" s="11">
        <f>_xlfn.XLOOKUP(표14[[#This Row],[end_use_industry]],표13[end_use_category],표13[end_use_id])</f>
        <v/>
      </c>
      <c r="D130" s="11">
        <f>_xlfn.XLOOKUP(표14[[#This Row],[importance]],표15[importance],표15[rating])</f>
        <v/>
      </c>
      <c r="E130" s="1" t="inlineStr">
        <is>
          <t>Acrylate ester</t>
        </is>
      </c>
      <c r="F130" s="1" t="inlineStr">
        <is>
          <t>Plastic additives / copolymers</t>
        </is>
      </c>
      <c r="G130" s="1" t="inlineStr">
        <is>
          <t>Polymer modification &amp; additives</t>
        </is>
      </c>
      <c r="H130" s="1" t="inlineStr">
        <is>
          <t>Industrial Goods &amp; Advanced Manufacturing</t>
        </is>
      </c>
      <c r="I130" s="1" t="inlineStr">
        <is>
          <t>Secondary</t>
        </is>
      </c>
      <c r="J130" s="1" t="inlineStr">
        <is>
          <t>플라스틱 개질 및 copolymer 용도로 상업적 수요가 존재함</t>
        </is>
      </c>
      <c r="K130" s="1" t="inlineStr">
        <is>
          <t>Existing</t>
        </is>
      </c>
      <c r="L130" s="11" t="n"/>
    </row>
    <row r="131" ht="33" customHeight="1" s="179">
      <c r="A131" s="11">
        <f>_xlfn.XLOOKUP(표14[[#This Row],[material_name]],표2[material_name],표2[material_id])</f>
        <v/>
      </c>
      <c r="B131" s="11">
        <f>_xlfn.XLOOKUP(표14[[#This Row],[application_taxonomy]],표11[application_taxonomy],표11[app_id])</f>
        <v/>
      </c>
      <c r="C131" s="11">
        <f>_xlfn.XLOOKUP(표14[[#This Row],[end_use_industry]],표13[end_use_category],표13[end_use_id])</f>
        <v/>
      </c>
      <c r="D131" s="11">
        <f>_xlfn.XLOOKUP(표14[[#This Row],[importance]],표15[importance],표15[rating])</f>
        <v/>
      </c>
      <c r="E131" s="1" t="inlineStr">
        <is>
          <t>SAP</t>
        </is>
      </c>
      <c r="F131" s="1" t="inlineStr">
        <is>
          <t>Baby diapers / training pants</t>
        </is>
      </c>
      <c r="G131" s="1" t="inlineStr">
        <is>
          <t>Hygiene &amp; absorbency</t>
        </is>
      </c>
      <c r="H131" s="1" t="inlineStr">
        <is>
          <t>Consumer Products &amp; Packaging</t>
        </is>
      </c>
      <c r="I131" s="1" t="inlineStr">
        <is>
          <t>Primary</t>
        </is>
      </c>
      <c r="J131" s="1" t="inlineStr">
        <is>
          <t>SAP 소비의 최대 application으로, 글로벌 소비의 약 70% 이상을 차지</t>
        </is>
      </c>
      <c r="K131" s="1" t="inlineStr">
        <is>
          <t>Existing</t>
        </is>
      </c>
      <c r="L131" s="11" t="n"/>
    </row>
    <row r="132">
      <c r="A132" s="11">
        <f>_xlfn.XLOOKUP(표14[[#This Row],[material_name]],표2[material_name],표2[material_id])</f>
        <v/>
      </c>
      <c r="B132" s="11">
        <f>_xlfn.XLOOKUP(표14[[#This Row],[application_taxonomy]],표11[application_taxonomy],표11[app_id])</f>
        <v/>
      </c>
      <c r="C132" s="11">
        <f>_xlfn.XLOOKUP(표14[[#This Row],[end_use_industry]],표13[end_use_category],표13[end_use_id])</f>
        <v/>
      </c>
      <c r="D132" s="11">
        <f>_xlfn.XLOOKUP(표14[[#This Row],[importance]],표15[importance],표15[rating])</f>
        <v/>
      </c>
      <c r="E132" s="1" t="inlineStr">
        <is>
          <t>SAP</t>
        </is>
      </c>
      <c r="F132" s="1" t="inlineStr">
        <is>
          <t>Adult incontinence</t>
        </is>
      </c>
      <c r="G132" s="1" t="inlineStr">
        <is>
          <t>Hygiene &amp; absorbency</t>
        </is>
      </c>
      <c r="H132" s="1" t="inlineStr">
        <is>
          <t>Healthcare &amp; Life Sciences</t>
        </is>
      </c>
      <c r="I132" s="1" t="inlineStr">
        <is>
          <t>Secondary</t>
        </is>
      </c>
      <c r="J132" s="1" t="inlineStr">
        <is>
          <t>고령화로 성장성이 높은 위생·헬스케어 흡수재 application</t>
        </is>
      </c>
      <c r="K132" s="1" t="inlineStr">
        <is>
          <t>Existing</t>
        </is>
      </c>
      <c r="L132" s="11" t="n"/>
    </row>
    <row r="133">
      <c r="A133" s="11">
        <f>_xlfn.XLOOKUP(표14[[#This Row],[material_name]],표2[material_name],표2[material_id])</f>
        <v/>
      </c>
      <c r="B133" s="11">
        <f>_xlfn.XLOOKUP(표14[[#This Row],[application_taxonomy]],표11[application_taxonomy],표11[app_id])</f>
        <v/>
      </c>
      <c r="C133" s="11">
        <f>_xlfn.XLOOKUP(표14[[#This Row],[end_use_industry]],표13[end_use_category],표13[end_use_id])</f>
        <v/>
      </c>
      <c r="D133" s="11">
        <f>_xlfn.XLOOKUP(표14[[#This Row],[importance]],표15[importance],표15[rating])</f>
        <v/>
      </c>
      <c r="E133" s="1" t="inlineStr">
        <is>
          <t>SAP</t>
        </is>
      </c>
      <c r="F133" s="1" t="inlineStr">
        <is>
          <t>Feminine hygiene</t>
        </is>
      </c>
      <c r="G133" s="1" t="inlineStr">
        <is>
          <t>Hygiene &amp; absorbency</t>
        </is>
      </c>
      <c r="H133" s="1" t="inlineStr">
        <is>
          <t>Consumer Products &amp; Packaging</t>
        </is>
      </c>
      <c r="I133" s="1" t="inlineStr">
        <is>
          <t>Secondary</t>
        </is>
      </c>
      <c r="J133" s="1" t="inlineStr">
        <is>
          <t>여성 위생용 흡수재로 사용되나 diapers 대비 규모는 작음</t>
        </is>
      </c>
      <c r="K133" s="1" t="inlineStr">
        <is>
          <t>Existing</t>
        </is>
      </c>
      <c r="L133" s="11" t="n"/>
    </row>
    <row r="134" ht="33" customHeight="1" s="179">
      <c r="A134" s="11">
        <f>_xlfn.XLOOKUP(표14[[#This Row],[material_name]],표2[material_name],표2[material_id])</f>
        <v/>
      </c>
      <c r="B134" s="11">
        <f>_xlfn.XLOOKUP(표14[[#This Row],[application_taxonomy]],표11[application_taxonomy],표11[app_id])</f>
        <v/>
      </c>
      <c r="C134" s="11">
        <f>_xlfn.XLOOKUP(표14[[#This Row],[end_use_industry]],표13[end_use_category],표13[end_use_id])</f>
        <v/>
      </c>
      <c r="D134" s="11">
        <f>_xlfn.XLOOKUP(표14[[#This Row],[importance]],표15[importance],표15[rating])</f>
        <v/>
      </c>
      <c r="E134" s="1" t="inlineStr">
        <is>
          <t>SAP</t>
        </is>
      </c>
      <c r="F134" s="1" t="inlineStr">
        <is>
          <t>Agriculture water release / soil moisture control</t>
        </is>
      </c>
      <c r="G134" s="1" t="inlineStr">
        <is>
          <t>Agricultural productivity materials</t>
        </is>
      </c>
      <c r="H134" s="1" t="inlineStr">
        <is>
          <t>Agriculture</t>
        </is>
      </c>
      <c r="I134" s="1" t="inlineStr">
        <is>
          <t>Niche / Emerging</t>
        </is>
      </c>
      <c r="J134" s="1" t="inlineStr">
        <is>
          <t>토양 수분 조절용 산업·농업 application이나 전체 SAP 내 비중은 작음</t>
        </is>
      </c>
      <c r="K134" s="1" t="inlineStr">
        <is>
          <t>Existing</t>
        </is>
      </c>
      <c r="L134" s="11" t="n"/>
    </row>
    <row r="135" ht="33" customHeight="1" s="179">
      <c r="A135" s="11">
        <f>_xlfn.XLOOKUP(표14[[#This Row],[material_name]],표2[material_name],표2[material_id])</f>
        <v/>
      </c>
      <c r="B135" s="11">
        <f>_xlfn.XLOOKUP(표14[[#This Row],[application_taxonomy]],표11[application_taxonomy],표11[app_id])</f>
        <v/>
      </c>
      <c r="C135" s="11">
        <f>_xlfn.XLOOKUP(표14[[#This Row],[end_use_industry]],표13[end_use_category],표13[end_use_id])</f>
        <v/>
      </c>
      <c r="D135" s="11">
        <f>_xlfn.XLOOKUP(표14[[#This Row],[importance]],표15[importance],표15[rating])</f>
        <v/>
      </c>
      <c r="E135" s="1" t="inlineStr">
        <is>
          <t>n-Butyraldehyde</t>
        </is>
      </c>
      <c r="F135" s="1" t="inlineStr">
        <is>
          <t>2-Ethylhexanol</t>
        </is>
      </c>
      <c r="G135" s="1" t="inlineStr">
        <is>
          <t>Major chemical intermediate</t>
        </is>
      </c>
      <c r="H135" s="1" t="inlineStr">
        <is>
          <t>Industrial Goods &amp; Advanced Manufacturing</t>
        </is>
      </c>
      <c r="I135" s="1" t="inlineStr">
        <is>
          <t>Primary</t>
        </is>
      </c>
      <c r="J135" s="1" t="inlineStr">
        <is>
          <t>n-butyraldehyde의 최대 전환 경로 중 하나이며 plasticizer alcohol 체인의 핵심 중간체</t>
        </is>
      </c>
      <c r="K135" s="1" t="inlineStr">
        <is>
          <t>Existing</t>
        </is>
      </c>
      <c r="L135" s="11" t="n"/>
    </row>
    <row r="136" ht="33" customHeight="1" s="179">
      <c r="A136" s="11">
        <f>_xlfn.XLOOKUP(표14[[#This Row],[material_name]],표2[material_name],표2[material_id])</f>
        <v/>
      </c>
      <c r="B136" s="11">
        <f>_xlfn.XLOOKUP(표14[[#This Row],[application_taxonomy]],표11[application_taxonomy],표11[app_id])</f>
        <v/>
      </c>
      <c r="C136" s="11">
        <f>_xlfn.XLOOKUP(표14[[#This Row],[end_use_industry]],표13[end_use_category],표13[end_use_id])</f>
        <v/>
      </c>
      <c r="D136" s="11">
        <f>_xlfn.XLOOKUP(표14[[#This Row],[importance]],표15[importance],표15[rating])</f>
        <v/>
      </c>
      <c r="E136" s="1" t="inlineStr">
        <is>
          <t>n-Butyraldehyde</t>
        </is>
      </c>
      <c r="F136" s="1" t="inlineStr">
        <is>
          <t>n-Butanol</t>
        </is>
      </c>
      <c r="G136" s="1" t="inlineStr">
        <is>
          <t>Major chemical intermediate</t>
        </is>
      </c>
      <c r="H136" s="1" t="inlineStr">
        <is>
          <t>Industrial Goods &amp; Advanced Manufacturing</t>
        </is>
      </c>
      <c r="I136" s="1" t="inlineStr">
        <is>
          <t>Primary</t>
        </is>
      </c>
      <c r="J136" s="1" t="inlineStr">
        <is>
          <t>n-butanol과 2-EH가 n-butyraldehyde 소비의 대부분을 차지</t>
        </is>
      </c>
      <c r="K136" s="1" t="inlineStr">
        <is>
          <t>Existing</t>
        </is>
      </c>
      <c r="L136" s="11" t="n"/>
    </row>
    <row r="137" ht="33" customHeight="1" s="179">
      <c r="A137" s="11">
        <f>_xlfn.XLOOKUP(표14[[#This Row],[material_name]],표2[material_name],표2[material_id])</f>
        <v/>
      </c>
      <c r="B137" s="11">
        <f>_xlfn.XLOOKUP(표14[[#This Row],[application_taxonomy]],표11[application_taxonomy],표11[app_id])</f>
        <v/>
      </c>
      <c r="C137" s="11">
        <f>_xlfn.XLOOKUP(표14[[#This Row],[end_use_industry]],표13[end_use_category],표13[end_use_id])</f>
        <v/>
      </c>
      <c r="D137" s="11">
        <f>_xlfn.XLOOKUP(표14[[#This Row],[importance]],표15[importance],표15[rating])</f>
        <v/>
      </c>
      <c r="E137" s="1" t="inlineStr">
        <is>
          <t>n-Butyraldehyde</t>
        </is>
      </c>
      <c r="F137" s="1" t="inlineStr">
        <is>
          <t>Polyvinyl butyral</t>
        </is>
      </c>
      <c r="G137" s="1" t="inlineStr">
        <is>
          <t>Specialty chemical intermediate</t>
        </is>
      </c>
      <c r="H137" s="1" t="inlineStr">
        <is>
          <t>Industrial Goods &amp; Advanced Manufacturing</t>
        </is>
      </c>
      <c r="I137" s="1" t="inlineStr">
        <is>
          <t>Secondary</t>
        </is>
      </c>
      <c r="J137" s="1" t="inlineStr">
        <is>
          <t>PVB 등 특수 유도체로 전환되나 2-EH/n-butanol 대비 비중은 작음</t>
        </is>
      </c>
      <c r="K137" s="1" t="inlineStr">
        <is>
          <t>Existing</t>
        </is>
      </c>
      <c r="L137" s="11" t="n"/>
    </row>
    <row r="138" ht="33" customHeight="1" s="179">
      <c r="A138" s="11">
        <f>_xlfn.XLOOKUP(표14[[#This Row],[material_name]],표2[material_name],표2[material_id])</f>
        <v/>
      </c>
      <c r="B138" s="11">
        <f>_xlfn.XLOOKUP(표14[[#This Row],[application_taxonomy]],표11[application_taxonomy],표11[app_id])</f>
        <v/>
      </c>
      <c r="C138" s="11">
        <f>_xlfn.XLOOKUP(표14[[#This Row],[end_use_industry]],표13[end_use_category],표13[end_use_id])</f>
        <v/>
      </c>
      <c r="D138" s="11">
        <f>_xlfn.XLOOKUP(표14[[#This Row],[importance]],표15[importance],표15[rating])</f>
        <v/>
      </c>
      <c r="E138" s="1" t="inlineStr">
        <is>
          <t>n-Butyraldehyde</t>
        </is>
      </c>
      <c r="F138" s="1" t="inlineStr">
        <is>
          <t>Condensation/esterification products</t>
        </is>
      </c>
      <c r="G138" s="1" t="inlineStr">
        <is>
          <t>Specialty chemical intermediate</t>
        </is>
      </c>
      <c r="H138" s="1" t="inlineStr">
        <is>
          <t>Industrial Goods &amp; Advanced Manufacturing</t>
        </is>
      </c>
      <c r="I138" s="1" t="inlineStr">
        <is>
          <t>Primary</t>
        </is>
      </c>
      <c r="J138" s="1" t="inlineStr">
        <is>
          <t>TMPD, Texanol, TXIB, IBIB 등 용제·수지·가소제 계열로 전환되는 주요 경로</t>
        </is>
      </c>
      <c r="K138" s="1" t="inlineStr">
        <is>
          <t>Existing</t>
        </is>
      </c>
      <c r="L138" s="11" t="n"/>
    </row>
    <row r="139" ht="33" customHeight="1" s="179">
      <c r="A139" s="11">
        <f>_xlfn.XLOOKUP(표14[[#This Row],[material_name]],표2[material_name],표2[material_id])</f>
        <v/>
      </c>
      <c r="B139" s="11">
        <f>_xlfn.XLOOKUP(표14[[#This Row],[application_taxonomy]],표11[application_taxonomy],표11[app_id])</f>
        <v/>
      </c>
      <c r="C139" s="11">
        <f>_xlfn.XLOOKUP(표14[[#This Row],[end_use_industry]],표13[end_use_category],표13[end_use_id])</f>
        <v/>
      </c>
      <c r="D139" s="11">
        <f>_xlfn.XLOOKUP(표14[[#This Row],[importance]],표15[importance],표15[rating])</f>
        <v/>
      </c>
      <c r="E139" s="1" t="inlineStr">
        <is>
          <t>n-Butyraldehyde</t>
        </is>
      </c>
      <c r="F139" s="1" t="inlineStr">
        <is>
          <t>Isobutanol</t>
        </is>
      </c>
      <c r="G139" s="1" t="inlineStr">
        <is>
          <t>Major chemical intermediate</t>
        </is>
      </c>
      <c r="H139" s="1" t="inlineStr">
        <is>
          <t>Industrial Goods &amp; Advanced Manufacturing</t>
        </is>
      </c>
      <c r="I139" s="1" t="inlineStr">
        <is>
          <t>Secondary</t>
        </is>
      </c>
      <c r="J139" s="1" t="inlineStr">
        <is>
          <t>isobutanol, neopentyl glycol, isobutyric acid 등으로 전환되는 중간체</t>
        </is>
      </c>
      <c r="K139" s="1" t="inlineStr">
        <is>
          <t>Existing</t>
        </is>
      </c>
      <c r="L139" s="11" t="n"/>
    </row>
    <row r="140" ht="33" customHeight="1" s="179">
      <c r="A140" s="11">
        <f>_xlfn.XLOOKUP(표14[[#This Row],[material_name]],표2[material_name],표2[material_id])</f>
        <v/>
      </c>
      <c r="B140" s="11">
        <f>_xlfn.XLOOKUP(표14[[#This Row],[application_taxonomy]],표11[application_taxonomy],표11[app_id])</f>
        <v/>
      </c>
      <c r="C140" s="11">
        <f>_xlfn.XLOOKUP(표14[[#This Row],[end_use_industry]],표13[end_use_category],표13[end_use_id])</f>
        <v/>
      </c>
      <c r="D140" s="11">
        <f>_xlfn.XLOOKUP(표14[[#This Row],[importance]],표15[importance],표15[rating])</f>
        <v/>
      </c>
      <c r="E140" s="1" t="inlineStr">
        <is>
          <t>2-ethylhexanol</t>
        </is>
      </c>
      <c r="F140" s="1" t="inlineStr">
        <is>
          <t>Plasticizers</t>
        </is>
      </c>
      <c r="G140" s="1" t="inlineStr">
        <is>
          <t>Polymer modification &amp; additives</t>
        </is>
      </c>
      <c r="H140" s="1" t="inlineStr">
        <is>
          <t>Construction &amp; Infrastructure</t>
        </is>
      </c>
      <c r="I140" s="1" t="inlineStr">
        <is>
          <t>Primary</t>
        </is>
      </c>
      <c r="J140" s="1" t="inlineStr">
        <is>
          <t>2-EH 소비의 절반 이상이 DOTP, DEHP 등 plasticizer 생산에 사용</t>
        </is>
      </c>
      <c r="K140" s="1" t="inlineStr">
        <is>
          <t>Existing</t>
        </is>
      </c>
      <c r="L140" s="11" t="n"/>
    </row>
    <row r="141" ht="33" customHeight="1" s="179">
      <c r="A141" s="11">
        <f>_xlfn.XLOOKUP(표14[[#This Row],[material_name]],표2[material_name],표2[material_id])</f>
        <v/>
      </c>
      <c r="B141" s="11">
        <f>_xlfn.XLOOKUP(표14[[#This Row],[application_taxonomy]],표11[application_taxonomy],표11[app_id])</f>
        <v/>
      </c>
      <c r="C141" s="11">
        <f>_xlfn.XLOOKUP(표14[[#This Row],[end_use_industry]],표13[end_use_category],표13[end_use_id])</f>
        <v/>
      </c>
      <c r="D141" s="11">
        <f>_xlfn.XLOOKUP(표14[[#This Row],[importance]],표15[importance],표15[rating])</f>
        <v/>
      </c>
      <c r="E141" s="1" t="inlineStr">
        <is>
          <t>2-ethylhexanol</t>
        </is>
      </c>
      <c r="F141" s="1" t="inlineStr">
        <is>
          <t>Acrylate/methacrylate esters</t>
        </is>
      </c>
      <c r="G141" s="1" t="inlineStr">
        <is>
          <t>Reactive monomer / comonomer</t>
        </is>
      </c>
      <c r="H141" s="1" t="inlineStr">
        <is>
          <t>Industrial Goods &amp; Advanced Manufacturing</t>
        </is>
      </c>
      <c r="I141" s="1" t="inlineStr">
        <is>
          <t>Primary</t>
        </is>
      </c>
      <c r="J141" s="1" t="inlineStr">
        <is>
          <t>2-EH의 대형 수요처로 2-ethylhexyl acrylate 등 생산에 사용</t>
        </is>
      </c>
      <c r="K141" s="1" t="inlineStr">
        <is>
          <t>Existing</t>
        </is>
      </c>
      <c r="L141" s="11" t="n"/>
    </row>
    <row r="142" ht="33" customHeight="1" s="179">
      <c r="A142" s="11">
        <f>_xlfn.XLOOKUP(표14[[#This Row],[material_name]],표2[material_name],표2[material_id])</f>
        <v/>
      </c>
      <c r="B142" s="11">
        <f>_xlfn.XLOOKUP(표14[[#This Row],[application_taxonomy]],표11[application_taxonomy],표11[app_id])</f>
        <v/>
      </c>
      <c r="C142" s="11">
        <f>_xlfn.XLOOKUP(표14[[#This Row],[end_use_industry]],표13[end_use_category],표13[end_use_id])</f>
        <v/>
      </c>
      <c r="D142" s="11">
        <f>_xlfn.XLOOKUP(표14[[#This Row],[importance]],표15[importance],표15[rating])</f>
        <v/>
      </c>
      <c r="E142" s="1" t="inlineStr">
        <is>
          <t>n-butanol</t>
        </is>
      </c>
      <c r="F142" s="1" t="inlineStr">
        <is>
          <t>n-Butyl acrylate / methacrylate esters</t>
        </is>
      </c>
      <c r="G142" s="1" t="inlineStr">
        <is>
          <t>Major chemical intermediate</t>
        </is>
      </c>
      <c r="H142" s="1" t="inlineStr">
        <is>
          <t>Industrial Goods &amp; Advanced Manufacturing</t>
        </is>
      </c>
      <c r="I142" s="1" t="inlineStr">
        <is>
          <t>Primary</t>
        </is>
      </c>
      <c r="J142" s="1" t="inlineStr">
        <is>
          <t>n-butanol의 최대 end use이며 coatings, sealants, adhesives용 acrylate 생산에 사용</t>
        </is>
      </c>
      <c r="K142" s="1" t="inlineStr">
        <is>
          <t>Existing</t>
        </is>
      </c>
      <c r="L142" s="11" t="n"/>
    </row>
    <row r="143" ht="33" customHeight="1" s="179">
      <c r="A143" s="11">
        <f>_xlfn.XLOOKUP(표14[[#This Row],[material_name]],표2[material_name],표2[material_id])</f>
        <v/>
      </c>
      <c r="B143" s="11">
        <f>_xlfn.XLOOKUP(표14[[#This Row],[application_taxonomy]],표11[application_taxonomy],표11[app_id])</f>
        <v/>
      </c>
      <c r="C143" s="11">
        <f>_xlfn.XLOOKUP(표14[[#This Row],[end_use_industry]],표13[end_use_category],표13[end_use_id])</f>
        <v/>
      </c>
      <c r="D143" s="11">
        <f>_xlfn.XLOOKUP(표14[[#This Row],[importance]],표15[importance],표15[rating])</f>
        <v/>
      </c>
      <c r="E143" s="1" t="inlineStr">
        <is>
          <t>n-butanol</t>
        </is>
      </c>
      <c r="F143" s="1" t="inlineStr">
        <is>
          <t>Surface coatings solvent / n-butyl acetate / glycol ethers</t>
        </is>
      </c>
      <c r="G143" s="1" t="inlineStr">
        <is>
          <t>Solvent &amp; extraction</t>
        </is>
      </c>
      <c r="H143" s="1" t="inlineStr">
        <is>
          <t>Industrial Goods &amp; Advanced Manufacturing</t>
        </is>
      </c>
      <c r="I143" s="1" t="inlineStr">
        <is>
          <t>Primary</t>
        </is>
      </c>
      <c r="J143" s="1" t="inlineStr">
        <is>
          <t>직접 용제 및 acetate/glycol ether 유도체로 coatings 용제에 사용</t>
        </is>
      </c>
      <c r="K143" s="1" t="inlineStr">
        <is>
          <t>Existing</t>
        </is>
      </c>
      <c r="L143" s="11" t="n"/>
    </row>
    <row r="144" ht="33" customHeight="1" s="179">
      <c r="A144" s="11">
        <f>_xlfn.XLOOKUP(표14[[#This Row],[material_name]],표2[material_name],표2[material_id])</f>
        <v/>
      </c>
      <c r="B144" s="11">
        <f>_xlfn.XLOOKUP(표14[[#This Row],[application_taxonomy]],표11[application_taxonomy],표11[app_id])</f>
        <v/>
      </c>
      <c r="C144" s="11">
        <f>_xlfn.XLOOKUP(표14[[#This Row],[end_use_industry]],표13[end_use_category],표13[end_use_id])</f>
        <v/>
      </c>
      <c r="D144" s="11">
        <f>_xlfn.XLOOKUP(표14[[#This Row],[importance]],표15[importance],표15[rating])</f>
        <v/>
      </c>
      <c r="E144" s="1" t="inlineStr">
        <is>
          <t>n-butyl acetate</t>
        </is>
      </c>
      <c r="F144" s="1" t="inlineStr">
        <is>
          <t>Surface coatings solvent</t>
        </is>
      </c>
      <c r="G144" s="1" t="inlineStr">
        <is>
          <t>Solvent &amp; extraction</t>
        </is>
      </c>
      <c r="H144" s="1" t="inlineStr">
        <is>
          <t>Industrial Goods &amp; Advanced Manufacturing</t>
        </is>
      </c>
      <c r="I144" s="1" t="inlineStr">
        <is>
          <t>Primary</t>
        </is>
      </c>
      <c r="J144" s="1" t="inlineStr">
        <is>
          <t>coating resin용 효과적 용제로 사용됨</t>
        </is>
      </c>
      <c r="K144" s="1" t="inlineStr">
        <is>
          <t>Existing</t>
        </is>
      </c>
      <c r="L144" s="11" t="n"/>
    </row>
    <row r="145" ht="33" customHeight="1" s="179">
      <c r="A145" s="11">
        <f>_xlfn.XLOOKUP(표14[[#This Row],[material_name]],표2[material_name],표2[material_id])</f>
        <v/>
      </c>
      <c r="B145" s="11">
        <f>_xlfn.XLOOKUP(표14[[#This Row],[application_taxonomy]],표11[application_taxonomy],표11[app_id])</f>
        <v/>
      </c>
      <c r="C145" s="11">
        <f>_xlfn.XLOOKUP(표14[[#This Row],[end_use_industry]],표13[end_use_category],표13[end_use_id])</f>
        <v/>
      </c>
      <c r="D145" s="11">
        <f>_xlfn.XLOOKUP(표14[[#This Row],[importance]],표15[importance],표15[rating])</f>
        <v/>
      </c>
      <c r="E145" s="1" t="inlineStr">
        <is>
          <t>isobutanol</t>
        </is>
      </c>
      <c r="F145" s="1" t="inlineStr">
        <is>
          <t>Isobutyl acetate</t>
        </is>
      </c>
      <c r="G145" s="1" t="inlineStr">
        <is>
          <t>Major chemical intermediate</t>
        </is>
      </c>
      <c r="H145" s="1" t="inlineStr">
        <is>
          <t>Industrial Goods &amp; Advanced Manufacturing</t>
        </is>
      </c>
      <c r="I145" s="1" t="inlineStr">
        <is>
          <t>Primary</t>
        </is>
      </c>
      <c r="J145" s="1" t="inlineStr">
        <is>
          <t>isobutanol의 최대 소비처이며 isobutyl acetate는 coatings 용제로 사용</t>
        </is>
      </c>
      <c r="K145" s="1" t="inlineStr">
        <is>
          <t>Existing</t>
        </is>
      </c>
      <c r="L145" s="11" t="n"/>
    </row>
    <row r="146" ht="33" customHeight="1" s="179">
      <c r="A146" s="11">
        <f>_xlfn.XLOOKUP(표14[[#This Row],[material_name]],표2[material_name],표2[material_id])</f>
        <v/>
      </c>
      <c r="B146" s="11">
        <f>_xlfn.XLOOKUP(표14[[#This Row],[application_taxonomy]],표11[application_taxonomy],표11[app_id])</f>
        <v/>
      </c>
      <c r="C146" s="11">
        <f>_xlfn.XLOOKUP(표14[[#This Row],[end_use_industry]],표13[end_use_category],표13[end_use_id])</f>
        <v/>
      </c>
      <c r="D146" s="11">
        <f>_xlfn.XLOOKUP(표14[[#This Row],[importance]],표15[importance],표15[rating])</f>
        <v/>
      </c>
      <c r="E146" s="1" t="inlineStr">
        <is>
          <t>isobutanol</t>
        </is>
      </c>
      <c r="F146" s="1" t="inlineStr">
        <is>
          <t>Lube oil additives / isobutyl ZDDP</t>
        </is>
      </c>
      <c r="G146" s="1" t="inlineStr">
        <is>
          <t>Lubrication &amp; friction control</t>
        </is>
      </c>
      <c r="H146" s="1" t="inlineStr">
        <is>
          <t>Industrial Goods &amp; Advanced Manufacturing</t>
        </is>
      </c>
      <c r="I146" s="1" t="inlineStr">
        <is>
          <t>Primary</t>
        </is>
      </c>
      <c r="J146" s="1" t="inlineStr">
        <is>
          <t>ZDDP계 윤활유 첨가제 제조에 사용되는 주요 application</t>
        </is>
      </c>
      <c r="K146" s="1" t="inlineStr">
        <is>
          <t>Existing</t>
        </is>
      </c>
      <c r="L146" s="11" t="n"/>
    </row>
    <row r="147" ht="33" customHeight="1" s="179">
      <c r="A147" s="11">
        <f>_xlfn.XLOOKUP(표14[[#This Row],[material_name]],표2[material_name],표2[material_id])</f>
        <v/>
      </c>
      <c r="B147" s="11">
        <f>_xlfn.XLOOKUP(표14[[#This Row],[application_taxonomy]],표11[application_taxonomy],표11[app_id])</f>
        <v/>
      </c>
      <c r="C147" s="11">
        <f>_xlfn.XLOOKUP(표14[[#This Row],[end_use_industry]],표13[end_use_category],표13[end_use_id])</f>
        <v/>
      </c>
      <c r="D147" s="11">
        <f>_xlfn.XLOOKUP(표14[[#This Row],[importance]],표15[importance],표15[rating])</f>
        <v/>
      </c>
      <c r="E147" s="1" t="inlineStr">
        <is>
          <t>isobutanol</t>
        </is>
      </c>
      <c r="F147" s="1" t="inlineStr">
        <is>
          <t>Direct solvent in surface coatings and adhesives</t>
        </is>
      </c>
      <c r="G147" s="1" t="inlineStr">
        <is>
          <t>Solvent &amp; extraction</t>
        </is>
      </c>
      <c r="H147" s="1" t="inlineStr">
        <is>
          <t>Industrial Goods &amp; Advanced Manufacturing</t>
        </is>
      </c>
      <c r="I147" s="1" t="inlineStr">
        <is>
          <t>Secondary</t>
        </is>
      </c>
      <c r="J147" s="1" t="inlineStr">
        <is>
          <t>coatings 및 adhesives용 latent/direct solvent로 사용</t>
        </is>
      </c>
      <c r="K147" s="1" t="inlineStr">
        <is>
          <t>Existing</t>
        </is>
      </c>
      <c r="L147" s="11" t="n"/>
    </row>
    <row r="148" ht="33" customHeight="1" s="179">
      <c r="A148" s="11">
        <f>_xlfn.XLOOKUP(표14[[#This Row],[material_name]],표2[material_name],표2[material_id])</f>
        <v/>
      </c>
      <c r="B148" s="11">
        <f>_xlfn.XLOOKUP(표14[[#This Row],[application_taxonomy]],표11[application_taxonomy],표11[app_id])</f>
        <v/>
      </c>
      <c r="C148" s="11">
        <f>_xlfn.XLOOKUP(표14[[#This Row],[end_use_industry]],표13[end_use_category],표13[end_use_id])</f>
        <v/>
      </c>
      <c r="D148" s="11">
        <f>_xlfn.XLOOKUP(표14[[#This Row],[importance]],표15[importance],표15[rating])</f>
        <v/>
      </c>
      <c r="E148" s="1" t="inlineStr">
        <is>
          <t>isobutyl acetate</t>
        </is>
      </c>
      <c r="F148" s="1" t="inlineStr">
        <is>
          <t>Surface coatings</t>
        </is>
      </c>
      <c r="G148" s="1" t="inlineStr">
        <is>
          <t>Solvent &amp; extraction</t>
        </is>
      </c>
      <c r="H148" s="1" t="inlineStr">
        <is>
          <t>Industrial Goods &amp; Advanced Manufacturing</t>
        </is>
      </c>
      <c r="I148" s="1" t="inlineStr">
        <is>
          <t>Primary</t>
        </is>
      </c>
      <c r="J148" s="1" t="inlineStr">
        <is>
          <t>거의 전량이 surface coatings 용제로 사용되며 2024년 미국 기준 89%</t>
        </is>
      </c>
      <c r="K148" s="1" t="inlineStr">
        <is>
          <t>Existing</t>
        </is>
      </c>
      <c r="L148" s="11" t="n"/>
    </row>
    <row r="149" ht="49.5" customHeight="1" s="179">
      <c r="A149" s="11">
        <f>_xlfn.XLOOKUP(표14[[#This Row],[material_name]],표2[material_name],표2[material_id])</f>
        <v/>
      </c>
      <c r="B149" s="11">
        <f>_xlfn.XLOOKUP(표14[[#This Row],[application_taxonomy]],표11[application_taxonomy],표11[app_id])</f>
        <v/>
      </c>
      <c r="C149" s="11">
        <f>_xlfn.XLOOKUP(표14[[#This Row],[end_use_industry]],표13[end_use_category],표13[end_use_id])</f>
        <v/>
      </c>
      <c r="D149" s="11">
        <f>_xlfn.XLOOKUP(표14[[#This Row],[importance]],표15[importance],표15[rating])</f>
        <v/>
      </c>
      <c r="E149" s="1" t="inlineStr">
        <is>
          <t>IPA</t>
        </is>
      </c>
      <c r="F149" s="1" t="inlineStr">
        <is>
          <t>Direct solvent: surface coatings, inks, pesticide formulations, resins, household cleaners</t>
        </is>
      </c>
      <c r="G149" s="1" t="inlineStr">
        <is>
          <t>Solvent &amp; extraction</t>
        </is>
      </c>
      <c r="H149" s="1" t="inlineStr">
        <is>
          <t>Industrial Goods &amp; Advanced Manufacturing</t>
        </is>
      </c>
      <c r="I149" s="1" t="inlineStr">
        <is>
          <t>Primary</t>
        </is>
      </c>
      <c r="J149" s="1" t="inlineStr">
        <is>
          <t>2023년 주요 지역 IPA 소비의 최대 용도이며 direct solvent가 약 55% 차지</t>
        </is>
      </c>
      <c r="K149" s="1" t="inlineStr">
        <is>
          <t>Existing</t>
        </is>
      </c>
      <c r="L149" s="11" t="n"/>
    </row>
    <row r="150" ht="49.5" customHeight="1" s="179">
      <c r="A150" s="11">
        <f>_xlfn.XLOOKUP(표14[[#This Row],[material_name]],표2[material_name],표2[material_id])</f>
        <v/>
      </c>
      <c r="B150" s="11">
        <f>_xlfn.XLOOKUP(표14[[#This Row],[application_taxonomy]],표11[application_taxonomy],표11[app_id])</f>
        <v/>
      </c>
      <c r="C150" s="11">
        <f>_xlfn.XLOOKUP(표14[[#This Row],[end_use_industry]],표13[end_use_category],표13[end_use_id])</f>
        <v/>
      </c>
      <c r="D150" s="11">
        <f>_xlfn.XLOOKUP(표14[[#This Row],[importance]],표15[importance],표15[rating])</f>
        <v/>
      </c>
      <c r="E150" s="1" t="inlineStr">
        <is>
          <t>IPA</t>
        </is>
      </c>
      <c r="F150" s="1" t="inlineStr">
        <is>
          <t>Cleaning printed circuit boards, flat-panel displays and electronic devices</t>
        </is>
      </c>
      <c r="G150" s="1" t="inlineStr">
        <is>
          <t>Electronic chemicals &amp; materials</t>
        </is>
      </c>
      <c r="H150" s="1" t="inlineStr">
        <is>
          <t>Electronics, Semiconductors &amp; Digital Infrastructure</t>
        </is>
      </c>
      <c r="I150" s="1" t="inlineStr">
        <is>
          <t>Niche / Emerging</t>
        </is>
      </c>
      <c r="J150" s="1" t="inlineStr">
        <is>
          <t>electronic-grade IPA는 PCB, FPD 등 전자부품 세정에 사용되며 주요 지역 소비의 8% 차지</t>
        </is>
      </c>
      <c r="K150" s="1" t="inlineStr">
        <is>
          <t>Existing</t>
        </is>
      </c>
      <c r="L150" s="11" t="n"/>
    </row>
    <row r="151" ht="33" customHeight="1" s="179">
      <c r="A151" s="11">
        <f>_xlfn.XLOOKUP(표14[[#This Row],[material_name]],표2[material_name],표2[material_id])</f>
        <v/>
      </c>
      <c r="B151" s="11">
        <f>_xlfn.XLOOKUP(표14[[#This Row],[application_taxonomy]],표11[application_taxonomy],표11[app_id])</f>
        <v/>
      </c>
      <c r="C151" s="11">
        <f>_xlfn.XLOOKUP(표14[[#This Row],[end_use_industry]],표13[end_use_category],표13[end_use_id])</f>
        <v/>
      </c>
      <c r="D151" s="11">
        <f>_xlfn.XLOOKUP(표14[[#This Row],[importance]],표15[importance],표15[rating])</f>
        <v/>
      </c>
      <c r="E151" s="1" t="inlineStr">
        <is>
          <t>IPA</t>
        </is>
      </c>
      <c r="F151" s="1" t="inlineStr">
        <is>
          <t>Isopropyl acetate</t>
        </is>
      </c>
      <c r="G151" s="1" t="inlineStr">
        <is>
          <t>Major chemical intermediate</t>
        </is>
      </c>
      <c r="H151" s="1" t="inlineStr">
        <is>
          <t>Industrial Goods &amp; Advanced Manufacturing</t>
        </is>
      </c>
      <c r="I151" s="1" t="inlineStr">
        <is>
          <t>Secondary</t>
        </is>
      </c>
      <c r="J151" s="1" t="inlineStr">
        <is>
          <t>IPA 유도체 중 최대 품목이며 미국 기준 2023년 22천 톤 소비</t>
        </is>
      </c>
      <c r="K151" s="1" t="inlineStr">
        <is>
          <t>Existing</t>
        </is>
      </c>
      <c r="L151" s="11" t="n"/>
    </row>
    <row r="152" ht="49.5" customHeight="1" s="179">
      <c r="A152" s="11">
        <f>_xlfn.XLOOKUP(표14[[#This Row],[material_name]],표2[material_name],표2[material_id])</f>
        <v/>
      </c>
      <c r="B152" s="11">
        <f>_xlfn.XLOOKUP(표14[[#This Row],[application_taxonomy]],표11[application_taxonomy],표11[app_id])</f>
        <v/>
      </c>
      <c r="C152" s="11">
        <f>_xlfn.XLOOKUP(표14[[#This Row],[end_use_industry]],표13[end_use_category],표13[end_use_id])</f>
        <v/>
      </c>
      <c r="D152" s="11">
        <f>_xlfn.XLOOKUP(표14[[#This Row],[importance]],표15[importance],표15[rating])</f>
        <v/>
      </c>
      <c r="E152" s="1" t="inlineStr">
        <is>
          <t>IPA</t>
        </is>
      </c>
      <c r="F152" s="1" t="inlineStr">
        <is>
          <t>Cosmetic and personal care products / rubbing alcohol / hand sanitizer</t>
        </is>
      </c>
      <c r="G152" s="1" t="inlineStr">
        <is>
          <t>Personal care formulation</t>
        </is>
      </c>
      <c r="H152" s="1" t="inlineStr">
        <is>
          <t>Consumer Products &amp; Packaging</t>
        </is>
      </c>
      <c r="I152" s="1" t="inlineStr">
        <is>
          <t>Secondary</t>
        </is>
      </c>
      <c r="J152" s="1" t="inlineStr">
        <is>
          <t>cosmetic grade는 personal care, rubbing alcohol, hand sanitizer에 사용됨</t>
        </is>
      </c>
      <c r="K152" s="1" t="inlineStr">
        <is>
          <t>Existing</t>
        </is>
      </c>
      <c r="L152" s="11" t="n"/>
    </row>
    <row r="153" ht="33" customHeight="1" s="179">
      <c r="A153" s="11">
        <f>_xlfn.XLOOKUP(표14[[#This Row],[material_name]],표2[material_name],표2[material_id])</f>
        <v/>
      </c>
      <c r="B153" s="11">
        <f>_xlfn.XLOOKUP(표14[[#This Row],[application_taxonomy]],표11[application_taxonomy],표11[app_id])</f>
        <v/>
      </c>
      <c r="C153" s="11">
        <f>_xlfn.XLOOKUP(표14[[#This Row],[end_use_industry]],표13[end_use_category],표13[end_use_id])</f>
        <v/>
      </c>
      <c r="D153" s="11">
        <f>_xlfn.XLOOKUP(표14[[#This Row],[importance]],표15[importance],표15[rating])</f>
        <v/>
      </c>
      <c r="E153" s="1" t="inlineStr">
        <is>
          <t>IPA</t>
        </is>
      </c>
      <c r="F153" s="1" t="inlineStr">
        <is>
          <t>Processing solvent during drug manufacture / medical wipes</t>
        </is>
      </c>
      <c r="G153" s="1" t="inlineStr">
        <is>
          <t>Medical &amp; healthcare materials</t>
        </is>
      </c>
      <c r="H153" s="1" t="inlineStr">
        <is>
          <t>Healthcare &amp; Life Sciences</t>
        </is>
      </c>
      <c r="I153" s="1" t="inlineStr">
        <is>
          <t>Secondary</t>
        </is>
      </c>
      <c r="J153" s="1" t="inlineStr">
        <is>
          <t>pharma grade는 의약 제조용 solvent, medical wipes, 일부 formulation에 사용됨</t>
        </is>
      </c>
      <c r="K153" s="1" t="inlineStr">
        <is>
          <t>Existing</t>
        </is>
      </c>
      <c r="L153" s="11" t="n"/>
    </row>
    <row r="154" ht="33" customHeight="1" s="179">
      <c r="A154" s="11">
        <f>_xlfn.XLOOKUP(표14[[#This Row],[material_name]],표2[material_name],표2[material_id])</f>
        <v/>
      </c>
      <c r="B154" s="11">
        <f>_xlfn.XLOOKUP(표14[[#This Row],[application_taxonomy]],표11[application_taxonomy],표11[app_id])</f>
        <v/>
      </c>
      <c r="C154" s="11">
        <f>_xlfn.XLOOKUP(표14[[#This Row],[end_use_industry]],표13[end_use_category],표13[end_use_id])</f>
        <v/>
      </c>
      <c r="D154" s="11">
        <f>_xlfn.XLOOKUP(표14[[#This Row],[importance]],표15[importance],표15[rating])</f>
        <v/>
      </c>
      <c r="E154" s="1" t="inlineStr">
        <is>
          <t>Isopropyl acetate</t>
        </is>
      </c>
      <c r="F154" s="1" t="inlineStr">
        <is>
          <t>Solvent in cellulose and plastics manufacture</t>
        </is>
      </c>
      <c r="G154" s="1" t="inlineStr">
        <is>
          <t>Solvent &amp; extraction</t>
        </is>
      </c>
      <c r="H154" s="1" t="inlineStr">
        <is>
          <t>Industrial Goods &amp; Advanced Manufacturing</t>
        </is>
      </c>
      <c r="I154" s="1" t="inlineStr">
        <is>
          <t>Primary</t>
        </is>
      </c>
      <c r="J154" s="1" t="inlineStr">
        <is>
          <t>cellulose 및 plastics 제조용 solvent로 사용됨</t>
        </is>
      </c>
      <c r="K154" s="1" t="inlineStr">
        <is>
          <t>Existing</t>
        </is>
      </c>
      <c r="L154" s="11" t="n"/>
    </row>
    <row r="155" ht="33" customHeight="1" s="179">
      <c r="A155" s="11">
        <f>_xlfn.XLOOKUP(표14[[#This Row],[material_name]],표2[material_name],표2[material_id])</f>
        <v/>
      </c>
      <c r="B155" s="11">
        <f>_xlfn.XLOOKUP(표14[[#This Row],[application_taxonomy]],표11[application_taxonomy],표11[app_id])</f>
        <v/>
      </c>
      <c r="C155" s="11">
        <f>_xlfn.XLOOKUP(표14[[#This Row],[end_use_industry]],표13[end_use_category],표13[end_use_id])</f>
        <v/>
      </c>
      <c r="D155" s="11">
        <f>_xlfn.XLOOKUP(표14[[#This Row],[importance]],표15[importance],표15[rating])</f>
        <v/>
      </c>
      <c r="E155" s="1" t="inlineStr">
        <is>
          <t>Isopropyl acetate</t>
        </is>
      </c>
      <c r="F155" s="1" t="inlineStr">
        <is>
          <t>Printing inks</t>
        </is>
      </c>
      <c r="G155" s="1" t="inlineStr">
        <is>
          <t>Printing inks &amp; graphic materials</t>
        </is>
      </c>
      <c r="H155" s="1" t="inlineStr">
        <is>
          <t>Industrial Goods &amp; Advanced Manufacturing</t>
        </is>
      </c>
      <c r="I155" s="1" t="inlineStr">
        <is>
          <t>Secondary</t>
        </is>
      </c>
      <c r="J155" s="1" t="inlineStr">
        <is>
          <t>일부 printing inks의 구성 성분으로 사용됨</t>
        </is>
      </c>
      <c r="K155" s="1" t="inlineStr">
        <is>
          <t>Existing</t>
        </is>
      </c>
      <c r="L155" s="11" t="n"/>
    </row>
    <row r="156" ht="33" customHeight="1" s="179">
      <c r="A156" s="11">
        <f>_xlfn.XLOOKUP(표14[[#This Row],[material_name]],표2[material_name],표2[material_id])</f>
        <v/>
      </c>
      <c r="B156" s="11">
        <f>_xlfn.XLOOKUP(표14[[#This Row],[application_taxonomy]],표11[application_taxonomy],표11[app_id])</f>
        <v/>
      </c>
      <c r="C156" s="11">
        <f>_xlfn.XLOOKUP(표14[[#This Row],[end_use_industry]],표13[end_use_category],표13[end_use_id])</f>
        <v/>
      </c>
      <c r="D156" s="11">
        <f>_xlfn.XLOOKUP(표14[[#This Row],[importance]],표15[importance],표15[rating])</f>
        <v/>
      </c>
      <c r="E156" s="1" t="inlineStr">
        <is>
          <t>Isopropyl acetate</t>
        </is>
      </c>
      <c r="F156" s="1" t="inlineStr">
        <is>
          <t>Perfumes</t>
        </is>
      </c>
      <c r="G156" s="1" t="inlineStr">
        <is>
          <t>Personal care formulation</t>
        </is>
      </c>
      <c r="H156" s="1" t="inlineStr">
        <is>
          <t>Consumer Products &amp; Packaging</t>
        </is>
      </c>
      <c r="I156" s="1" t="inlineStr">
        <is>
          <t>Niche / Emerging</t>
        </is>
      </c>
      <c r="J156" s="1" t="inlineStr">
        <is>
          <t>perfume 성분으로 사용되나 IPA derivative 내 비중은 제한적</t>
        </is>
      </c>
      <c r="K156" s="1" t="inlineStr">
        <is>
          <t>Existing</t>
        </is>
      </c>
      <c r="L156" s="11" t="n"/>
    </row>
    <row r="157" ht="33" customHeight="1" s="179">
      <c r="A157" s="11">
        <f>_xlfn.XLOOKUP(표14[[#This Row],[material_name]],표2[material_name],표2[material_id])</f>
        <v/>
      </c>
      <c r="B157" s="11">
        <f>_xlfn.XLOOKUP(표14[[#This Row],[application_taxonomy]],표11[application_taxonomy],표11[app_id])</f>
        <v/>
      </c>
      <c r="C157" s="11">
        <f>_xlfn.XLOOKUP(표14[[#This Row],[end_use_industry]],표13[end_use_category],표13[end_use_id])</f>
        <v/>
      </c>
      <c r="D157" s="11">
        <f>_xlfn.XLOOKUP(표14[[#This Row],[importance]],표15[importance],표15[rating])</f>
        <v/>
      </c>
      <c r="E157" s="1" t="inlineStr">
        <is>
          <t>Butadiene</t>
        </is>
      </c>
      <c r="F157" s="1" t="inlineStr">
        <is>
          <t>Polybutadiene rubber</t>
        </is>
      </c>
      <c r="G157" s="1" t="inlineStr">
        <is>
          <t>Major chemical intermediate</t>
        </is>
      </c>
      <c r="H157" s="1" t="inlineStr">
        <is>
          <t>Industrial Goods &amp; Advanced Manufacturing</t>
        </is>
      </c>
      <c r="I157" s="1" t="inlineStr">
        <is>
          <t>Primary</t>
        </is>
      </c>
      <c r="J157" s="1" t="inlineStr">
        <is>
          <t>2024년 butadiene 최대 수요처이며, PBR 생산용 직접 원료</t>
        </is>
      </c>
      <c r="K157" s="1" t="inlineStr">
        <is>
          <t>Existing</t>
        </is>
      </c>
      <c r="L157" s="11" t="n"/>
    </row>
    <row r="158" ht="33" customHeight="1" s="179">
      <c r="A158" s="11">
        <f>_xlfn.XLOOKUP(표14[[#This Row],[material_name]],표2[material_name],표2[material_id])</f>
        <v/>
      </c>
      <c r="B158" s="11">
        <f>_xlfn.XLOOKUP(표14[[#This Row],[application_taxonomy]],표11[application_taxonomy],표11[app_id])</f>
        <v/>
      </c>
      <c r="C158" s="11">
        <f>_xlfn.XLOOKUP(표14[[#This Row],[end_use_industry]],표13[end_use_category],표13[end_use_id])</f>
        <v/>
      </c>
      <c r="D158" s="11">
        <f>_xlfn.XLOOKUP(표14[[#This Row],[importance]],표15[importance],표15[rating])</f>
        <v/>
      </c>
      <c r="E158" s="1" t="inlineStr">
        <is>
          <t>Butadiene</t>
        </is>
      </c>
      <c r="F158" s="1" t="inlineStr">
        <is>
          <t>SBR, emulsion / SBR, solution</t>
        </is>
      </c>
      <c r="G158" s="1" t="inlineStr">
        <is>
          <t>Major chemical intermediate</t>
        </is>
      </c>
      <c r="H158" s="1" t="inlineStr">
        <is>
          <t>Industrial Goods &amp; Advanced Manufacturing</t>
        </is>
      </c>
      <c r="I158" s="1" t="inlineStr">
        <is>
          <t>Primary</t>
        </is>
      </c>
      <c r="J158" s="1" t="inlineStr">
        <is>
          <t>PBR과 SBR 합산이 2024년 butadiene 시장의 약 54%</t>
        </is>
      </c>
      <c r="K158" s="1" t="inlineStr">
        <is>
          <t>Existing</t>
        </is>
      </c>
      <c r="L158" s="11" t="n"/>
    </row>
    <row r="159" ht="33" customHeight="1" s="179">
      <c r="A159" s="11">
        <f>_xlfn.XLOOKUP(표14[[#This Row],[material_name]],표2[material_name],표2[material_id])</f>
        <v/>
      </c>
      <c r="B159" s="11">
        <f>_xlfn.XLOOKUP(표14[[#This Row],[application_taxonomy]],표11[application_taxonomy],표11[app_id])</f>
        <v/>
      </c>
      <c r="C159" s="11">
        <f>_xlfn.XLOOKUP(표14[[#This Row],[end_use_industry]],표13[end_use_category],표13[end_use_id])</f>
        <v/>
      </c>
      <c r="D159" s="11">
        <f>_xlfn.XLOOKUP(표14[[#This Row],[importance]],표15[importance],표15[rating])</f>
        <v/>
      </c>
      <c r="E159" s="1" t="inlineStr">
        <is>
          <t>Butadiene</t>
        </is>
      </c>
      <c r="F159" s="1" t="inlineStr">
        <is>
          <t>ABS resins</t>
        </is>
      </c>
      <c r="G159" s="1" t="inlineStr">
        <is>
          <t>Major chemical intermediate</t>
        </is>
      </c>
      <c r="H159" s="1" t="inlineStr">
        <is>
          <t>Industrial Goods &amp; Advanced Manufacturing</t>
        </is>
      </c>
      <c r="I159" s="1" t="inlineStr">
        <is>
          <t>Secondary</t>
        </is>
      </c>
      <c r="J159" s="1" t="inlineStr">
        <is>
          <t>ABS resin용 주요 butadiene 파생 수요</t>
        </is>
      </c>
      <c r="K159" s="1" t="inlineStr">
        <is>
          <t>Existing</t>
        </is>
      </c>
      <c r="L159" s="11" t="n"/>
    </row>
    <row r="160" ht="33" customHeight="1" s="179">
      <c r="A160" s="11">
        <f>_xlfn.XLOOKUP(표14[[#This Row],[material_name]],표2[material_name],표2[material_id])</f>
        <v/>
      </c>
      <c r="B160" s="11">
        <f>_xlfn.XLOOKUP(표14[[#This Row],[application_taxonomy]],표11[application_taxonomy],표11[app_id])</f>
        <v/>
      </c>
      <c r="C160" s="11">
        <f>_xlfn.XLOOKUP(표14[[#This Row],[end_use_industry]],표13[end_use_category],표13[end_use_id])</f>
        <v/>
      </c>
      <c r="D160" s="11">
        <f>_xlfn.XLOOKUP(표14[[#This Row],[importance]],표15[importance],표15[rating])</f>
        <v/>
      </c>
      <c r="E160" s="1" t="inlineStr">
        <is>
          <t>Butadiene</t>
        </is>
      </c>
      <c r="F160" s="1" t="inlineStr">
        <is>
          <t>Nitrile latex / Nitrile rubber</t>
        </is>
      </c>
      <c r="G160" s="1" t="inlineStr">
        <is>
          <t>Major chemical intermediate</t>
        </is>
      </c>
      <c r="H160" s="1" t="inlineStr">
        <is>
          <t>Industrial Goods &amp; Advanced Manufacturing</t>
        </is>
      </c>
      <c r="I160" s="1" t="inlineStr">
        <is>
          <t>Secondary</t>
        </is>
      </c>
      <c r="J160" s="1" t="inlineStr">
        <is>
          <t>NBL/NBR 생산에 사용되는 specialty elastomer 원료</t>
        </is>
      </c>
      <c r="K160" s="1" t="inlineStr">
        <is>
          <t>Existing</t>
        </is>
      </c>
      <c r="L160" s="11" t="n"/>
    </row>
    <row r="161" ht="33" customHeight="1" s="179">
      <c r="A161" s="11">
        <f>_xlfn.XLOOKUP(표14[[#This Row],[material_name]],표2[material_name],표2[material_id])</f>
        <v/>
      </c>
      <c r="B161" s="11">
        <f>_xlfn.XLOOKUP(표14[[#This Row],[application_taxonomy]],표11[application_taxonomy],표11[app_id])</f>
        <v/>
      </c>
      <c r="C161" s="11">
        <f>_xlfn.XLOOKUP(표14[[#This Row],[end_use_industry]],표13[end_use_category],표13[end_use_id])</f>
        <v/>
      </c>
      <c r="D161" s="11">
        <f>_xlfn.XLOOKUP(표14[[#This Row],[importance]],표15[importance],표15[rating])</f>
        <v/>
      </c>
      <c r="E161" s="1" t="inlineStr">
        <is>
          <t>Butadiene</t>
        </is>
      </c>
      <c r="F161" s="1" t="inlineStr">
        <is>
          <t>Styrene-butadiene latex</t>
        </is>
      </c>
      <c r="G161" s="1" t="inlineStr">
        <is>
          <t>Major chemical intermediate</t>
        </is>
      </c>
      <c r="H161" s="1" t="inlineStr">
        <is>
          <t>Industrial Goods &amp; Advanced Manufacturing</t>
        </is>
      </c>
      <c r="I161" s="1" t="inlineStr">
        <is>
          <t>Secondary</t>
        </is>
      </c>
      <c r="J161" s="1" t="inlineStr">
        <is>
          <t>SBL 생산용 downstream route</t>
        </is>
      </c>
      <c r="K161" s="1" t="inlineStr">
        <is>
          <t>Existing</t>
        </is>
      </c>
      <c r="L161" s="11" t="n"/>
    </row>
    <row r="162" ht="33" customHeight="1" s="179">
      <c r="A162" s="11">
        <f>_xlfn.XLOOKUP(표14[[#This Row],[material_name]],표2[material_name],표2[material_id])</f>
        <v/>
      </c>
      <c r="B162" s="11">
        <f>_xlfn.XLOOKUP(표14[[#This Row],[application_taxonomy]],표11[application_taxonomy],표11[app_id])</f>
        <v/>
      </c>
      <c r="C162" s="11">
        <f>_xlfn.XLOOKUP(표14[[#This Row],[end_use_industry]],표13[end_use_category],표13[end_use_id])</f>
        <v/>
      </c>
      <c r="D162" s="11">
        <f>_xlfn.XLOOKUP(표14[[#This Row],[importance]],표15[importance],표15[rating])</f>
        <v/>
      </c>
      <c r="E162" s="1" t="inlineStr">
        <is>
          <t>Butadiene</t>
        </is>
      </c>
      <c r="F162" s="1" t="inlineStr">
        <is>
          <t>Adiponitrile</t>
        </is>
      </c>
      <c r="G162" s="1" t="inlineStr">
        <is>
          <t>Major chemical intermediate</t>
        </is>
      </c>
      <c r="H162" s="1" t="inlineStr">
        <is>
          <t>Industrial Goods &amp; Advanced Manufacturing</t>
        </is>
      </c>
      <c r="I162" s="1" t="inlineStr">
        <is>
          <t>Secondary</t>
        </is>
      </c>
      <c r="J162" s="1" t="inlineStr">
        <is>
          <t>nylon chain으로 연결되는 화학 중간체 수요</t>
        </is>
      </c>
      <c r="K162" s="1" t="inlineStr">
        <is>
          <t>Existing</t>
        </is>
      </c>
      <c r="L162" s="11" t="n"/>
    </row>
    <row r="163">
      <c r="A163" s="11">
        <f>_xlfn.XLOOKUP(표14[[#This Row],[material_name]],표2[material_name],표2[material_id])</f>
        <v/>
      </c>
      <c r="B163" s="11">
        <f>_xlfn.XLOOKUP(표14[[#This Row],[application_taxonomy]],표11[application_taxonomy],표11[app_id])</f>
        <v/>
      </c>
      <c r="C163" s="11">
        <f>_xlfn.XLOOKUP(표14[[#This Row],[end_use_industry]],표13[end_use_category],표13[end_use_id])</f>
        <v/>
      </c>
      <c r="D163" s="11">
        <f>_xlfn.XLOOKUP(표14[[#This Row],[importance]],표15[importance],표15[rating])</f>
        <v/>
      </c>
      <c r="E163" s="1" t="inlineStr">
        <is>
          <t>BR</t>
        </is>
      </c>
      <c r="F163" s="1" t="inlineStr">
        <is>
          <t>Tires</t>
        </is>
      </c>
      <c r="G163" s="1" t="inlineStr">
        <is>
          <t>Tire &amp; rubber applications</t>
        </is>
      </c>
      <c r="H163" s="1" t="inlineStr">
        <is>
          <t>Automotive &amp; Future Mobility</t>
        </is>
      </c>
      <c r="I163" s="1" t="inlineStr">
        <is>
          <t>Primary</t>
        </is>
      </c>
      <c r="J163" s="1" t="inlineStr">
        <is>
          <t>PBR 소비의 약 75%가 tires이며 최대 end use</t>
        </is>
      </c>
      <c r="K163" s="1" t="inlineStr">
        <is>
          <t>Existing</t>
        </is>
      </c>
      <c r="L163" s="11" t="n"/>
    </row>
    <row r="164">
      <c r="A164" s="11">
        <f>_xlfn.XLOOKUP(표14[[#This Row],[material_name]],표2[material_name],표2[material_id])</f>
        <v/>
      </c>
      <c r="B164" s="11">
        <f>_xlfn.XLOOKUP(표14[[#This Row],[application_taxonomy]],표11[application_taxonomy],표11[app_id])</f>
        <v/>
      </c>
      <c r="C164" s="11">
        <f>_xlfn.XLOOKUP(표14[[#This Row],[end_use_industry]],표13[end_use_category],표13[end_use_id])</f>
        <v/>
      </c>
      <c r="D164" s="11">
        <f>_xlfn.XLOOKUP(표14[[#This Row],[importance]],표15[importance],표15[rating])</f>
        <v/>
      </c>
      <c r="E164" s="1" t="inlineStr">
        <is>
          <t>BR</t>
        </is>
      </c>
      <c r="F164" s="1" t="inlineStr">
        <is>
          <t>ABS/HIPS impact modification</t>
        </is>
      </c>
      <c r="G164" s="1" t="inlineStr">
        <is>
          <t>Polymer modification &amp; additives</t>
        </is>
      </c>
      <c r="H164" s="1" t="inlineStr">
        <is>
          <t>Consumer Products &amp; Packaging</t>
        </is>
      </c>
      <c r="I164" s="1" t="inlineStr">
        <is>
          <t>Secondary</t>
        </is>
      </c>
      <c r="J164" s="1" t="inlineStr">
        <is>
          <t>HIPS/ABS toughness 개선용 impact modifier</t>
        </is>
      </c>
      <c r="K164" s="1" t="inlineStr">
        <is>
          <t>Existing</t>
        </is>
      </c>
      <c r="L164" s="11" t="n"/>
    </row>
    <row r="165" ht="33" customHeight="1" s="179">
      <c r="A165" s="11">
        <f>_xlfn.XLOOKUP(표14[[#This Row],[material_name]],표2[material_name],표2[material_id])</f>
        <v/>
      </c>
      <c r="B165" s="11">
        <f>_xlfn.XLOOKUP(표14[[#This Row],[application_taxonomy]],표11[application_taxonomy],표11[app_id])</f>
        <v/>
      </c>
      <c r="C165" s="11">
        <f>_xlfn.XLOOKUP(표14[[#This Row],[end_use_industry]],표13[end_use_category],표13[end_use_id])</f>
        <v/>
      </c>
      <c r="D165" s="11">
        <f>_xlfn.XLOOKUP(표14[[#This Row],[importance]],표15[importance],표15[rating])</f>
        <v/>
      </c>
      <c r="E165" s="1" t="inlineStr">
        <is>
          <t>BR</t>
        </is>
      </c>
      <c r="F165" s="1" t="inlineStr">
        <is>
          <t>V-belts, conveyor belt coverings and hoses</t>
        </is>
      </c>
      <c r="G165" s="1" t="inlineStr">
        <is>
          <t>Tire &amp; rubber applications</t>
        </is>
      </c>
      <c r="H165" s="1" t="inlineStr">
        <is>
          <t>Industrial Goods &amp; Advanced Manufacturing</t>
        </is>
      </c>
      <c r="I165" s="1" t="inlineStr">
        <is>
          <t>Secondary</t>
        </is>
      </c>
      <c r="J165" s="1" t="inlineStr">
        <is>
          <t>타이어 외 rubber goods용 의미 있는 수요</t>
        </is>
      </c>
      <c r="K165" s="1" t="inlineStr">
        <is>
          <t>Existing</t>
        </is>
      </c>
      <c r="L165" s="11" t="n"/>
    </row>
    <row r="166">
      <c r="A166" s="11">
        <f>_xlfn.XLOOKUP(표14[[#This Row],[material_name]],표2[material_name],표2[material_id])</f>
        <v/>
      </c>
      <c r="B166" s="11">
        <f>_xlfn.XLOOKUP(표14[[#This Row],[application_taxonomy]],표11[application_taxonomy],표11[app_id])</f>
        <v/>
      </c>
      <c r="C166" s="11">
        <f>_xlfn.XLOOKUP(표14[[#This Row],[end_use_industry]],표13[end_use_category],표13[end_use_id])</f>
        <v/>
      </c>
      <c r="D166" s="11">
        <f>_xlfn.XLOOKUP(표14[[#This Row],[importance]],표15[importance],표15[rating])</f>
        <v/>
      </c>
      <c r="E166" s="1" t="inlineStr">
        <is>
          <t>SBR</t>
        </is>
      </c>
      <c r="F166" s="1" t="inlineStr">
        <is>
          <t>Tire production</t>
        </is>
      </c>
      <c r="G166" s="1" t="inlineStr">
        <is>
          <t>Tire &amp; rubber applications</t>
        </is>
      </c>
      <c r="H166" s="1" t="inlineStr">
        <is>
          <t>Automotive &amp; Future Mobility</t>
        </is>
      </c>
      <c r="I166" s="1" t="inlineStr">
        <is>
          <t>Primary</t>
        </is>
      </c>
      <c r="J166" s="1" t="inlineStr">
        <is>
          <t>SBR의 핵심 용도이며 최대 synthetic rubber application</t>
        </is>
      </c>
      <c r="K166" s="1" t="inlineStr">
        <is>
          <t>Existing</t>
        </is>
      </c>
      <c r="L166" s="11" t="n"/>
    </row>
    <row r="167" ht="33" customHeight="1" s="179">
      <c r="A167" s="11">
        <f>_xlfn.XLOOKUP(표14[[#This Row],[material_name]],표2[material_name],표2[material_id])</f>
        <v/>
      </c>
      <c r="B167" s="11">
        <f>_xlfn.XLOOKUP(표14[[#This Row],[application_taxonomy]],표11[application_taxonomy],표11[app_id])</f>
        <v/>
      </c>
      <c r="C167" s="11">
        <f>_xlfn.XLOOKUP(표14[[#This Row],[end_use_industry]],표13[end_use_category],표13[end_use_id])</f>
        <v/>
      </c>
      <c r="D167" s="11">
        <f>_xlfn.XLOOKUP(표14[[#This Row],[importance]],표15[importance],표15[rating])</f>
        <v/>
      </c>
      <c r="E167" s="1" t="inlineStr">
        <is>
          <t>SBR</t>
        </is>
      </c>
      <c r="F167" s="1" t="inlineStr">
        <is>
          <t>Belts, hoses, mechanical parts and gaskets</t>
        </is>
      </c>
      <c r="G167" s="1" t="inlineStr">
        <is>
          <t>Tire &amp; rubber applications</t>
        </is>
      </c>
      <c r="H167" s="1" t="inlineStr">
        <is>
          <t>Industrial Goods &amp; Advanced Manufacturing</t>
        </is>
      </c>
      <c r="I167" s="1" t="inlineStr">
        <is>
          <t>Secondary</t>
        </is>
      </c>
      <c r="J167" s="1" t="inlineStr">
        <is>
          <t>nontire mechanical rubber goods용 상업 수요</t>
        </is>
      </c>
      <c r="K167" s="1" t="inlineStr">
        <is>
          <t>Existing</t>
        </is>
      </c>
      <c r="L167" s="11" t="n"/>
    </row>
    <row r="168" ht="33" customHeight="1" s="179">
      <c r="A168" s="11">
        <f>_xlfn.XLOOKUP(표14[[#This Row],[material_name]],표2[material_name],표2[material_id])</f>
        <v/>
      </c>
      <c r="B168" s="11">
        <f>_xlfn.XLOOKUP(표14[[#This Row],[application_taxonomy]],표11[application_taxonomy],표11[app_id])</f>
        <v/>
      </c>
      <c r="C168" s="11">
        <f>_xlfn.XLOOKUP(표14[[#This Row],[end_use_industry]],표13[end_use_category],표13[end_use_id])</f>
        <v/>
      </c>
      <c r="D168" s="11">
        <f>_xlfn.XLOOKUP(표14[[#This Row],[importance]],표15[importance],표15[rating])</f>
        <v/>
      </c>
      <c r="E168" s="1" t="inlineStr">
        <is>
          <t>SBR</t>
        </is>
      </c>
      <c r="F168" s="1" t="inlineStr">
        <is>
          <t>Automotive parts</t>
        </is>
      </c>
      <c r="G168" s="1" t="inlineStr">
        <is>
          <t>Automotive components &amp; lightweighting</t>
        </is>
      </c>
      <c r="H168" s="1" t="inlineStr">
        <is>
          <t>Automotive &amp; Future Mobility</t>
        </is>
      </c>
      <c r="I168" s="1" t="inlineStr">
        <is>
          <t>Secondary</t>
        </is>
      </c>
      <c r="J168" s="1" t="inlineStr">
        <is>
          <t>hoses, seals, mats 등 nontire automotive rubber parts</t>
        </is>
      </c>
      <c r="K168" s="1" t="inlineStr">
        <is>
          <t>Existing</t>
        </is>
      </c>
      <c r="L168" s="11" t="n"/>
    </row>
    <row r="169" ht="33" customHeight="1" s="179">
      <c r="A169" s="11">
        <f>_xlfn.XLOOKUP(표14[[#This Row],[material_name]],표2[material_name],표2[material_id])</f>
        <v/>
      </c>
      <c r="B169" s="11">
        <f>_xlfn.XLOOKUP(표14[[#This Row],[application_taxonomy]],표11[application_taxonomy],표11[app_id])</f>
        <v/>
      </c>
      <c r="C169" s="11">
        <f>_xlfn.XLOOKUP(표14[[#This Row],[end_use_industry]],표13[end_use_category],표13[end_use_id])</f>
        <v/>
      </c>
      <c r="D169" s="11">
        <f>_xlfn.XLOOKUP(표14[[#This Row],[importance]],표15[importance],표15[rating])</f>
        <v/>
      </c>
      <c r="E169" s="1" t="inlineStr">
        <is>
          <t>SBR</t>
        </is>
      </c>
      <c r="F169" s="1" t="inlineStr">
        <is>
          <t>Adhesives, chewing gum base, coated fabrics, molded goods</t>
        </is>
      </c>
      <c r="G169" s="1" t="inlineStr">
        <is>
          <t>Adhesive bonding</t>
        </is>
      </c>
      <c r="H169" s="1" t="inlineStr">
        <is>
          <t>Consumer Products &amp; Packaging</t>
        </is>
      </c>
      <c r="I169" s="1" t="inlineStr">
        <is>
          <t>Niche / Emerging</t>
        </is>
      </c>
      <c r="J169" s="1" t="inlineStr">
        <is>
          <t>hot E-SBR의 잔존 specialty application</t>
        </is>
      </c>
      <c r="K169" s="1" t="inlineStr">
        <is>
          <t>Existing</t>
        </is>
      </c>
      <c r="L169" s="11" t="n"/>
    </row>
    <row r="170" ht="33" customHeight="1" s="179">
      <c r="A170" s="11">
        <f>_xlfn.XLOOKUP(표14[[#This Row],[material_name]],표2[material_name],표2[material_id])</f>
        <v/>
      </c>
      <c r="B170" s="11">
        <f>_xlfn.XLOOKUP(표14[[#This Row],[application_taxonomy]],표11[application_taxonomy],표11[app_id])</f>
        <v/>
      </c>
      <c r="C170" s="11">
        <f>_xlfn.XLOOKUP(표14[[#This Row],[end_use_industry]],표13[end_use_category],표13[end_use_id])</f>
        <v/>
      </c>
      <c r="D170" s="11">
        <f>_xlfn.XLOOKUP(표14[[#This Row],[importance]],표15[importance],표15[rating])</f>
        <v/>
      </c>
      <c r="E170" s="1" t="inlineStr">
        <is>
          <t>Isobutylene</t>
        </is>
      </c>
      <c r="F170" s="1" t="inlineStr">
        <is>
          <t>MTBE</t>
        </is>
      </c>
      <c r="G170" s="1" t="inlineStr">
        <is>
          <t>Major chemical intermediate</t>
        </is>
      </c>
      <c r="H170" s="1" t="inlineStr">
        <is>
          <t>Industrial Goods &amp; Advanced Manufacturing</t>
        </is>
      </c>
      <c r="I170" s="1" t="inlineStr">
        <is>
          <t>Primary</t>
        </is>
      </c>
      <c r="J170" s="1" t="inlineStr">
        <is>
          <t>MTBE는 butylenes의 주요 outlet이며 isobutylene과 methanol 반응으로 생산</t>
        </is>
      </c>
      <c r="K170" s="1" t="inlineStr">
        <is>
          <t>Existing</t>
        </is>
      </c>
      <c r="L170" s="11" t="n"/>
    </row>
    <row r="171" ht="33" customHeight="1" s="179">
      <c r="A171" s="11">
        <f>_xlfn.XLOOKUP(표14[[#This Row],[material_name]],표2[material_name],표2[material_id])</f>
        <v/>
      </c>
      <c r="B171" s="11">
        <f>_xlfn.XLOOKUP(표14[[#This Row],[application_taxonomy]],표11[application_taxonomy],표11[app_id])</f>
        <v/>
      </c>
      <c r="C171" s="11">
        <f>_xlfn.XLOOKUP(표14[[#This Row],[end_use_industry]],표13[end_use_category],표13[end_use_id])</f>
        <v/>
      </c>
      <c r="D171" s="11">
        <f>_xlfn.XLOOKUP(표14[[#This Row],[importance]],표15[importance],표15[rating])</f>
        <v/>
      </c>
      <c r="E171" s="1" t="inlineStr">
        <is>
          <t>Isobutylene</t>
        </is>
      </c>
      <c r="F171" s="1" t="inlineStr">
        <is>
          <t>High-purity isobutylene for butyl rubber and polyisobutylene</t>
        </is>
      </c>
      <c r="G171" s="1" t="inlineStr">
        <is>
          <t>Major chemical intermediate</t>
        </is>
      </c>
      <c r="H171" s="1" t="inlineStr">
        <is>
          <t>Industrial Goods &amp; Advanced Manufacturing</t>
        </is>
      </c>
      <c r="I171" s="1" t="inlineStr">
        <is>
          <t>Secondary</t>
        </is>
      </c>
      <c r="J171" s="1" t="inlineStr">
        <is>
          <t>HPIB는 butyl rubber와 PIB 합성용 원료</t>
        </is>
      </c>
      <c r="K171" s="1" t="inlineStr">
        <is>
          <t>Existing</t>
        </is>
      </c>
      <c r="L171" s="11" t="n"/>
    </row>
    <row r="172">
      <c r="A172" s="11">
        <f>_xlfn.XLOOKUP(표14[[#This Row],[material_name]],표2[material_name],표2[material_id])</f>
        <v/>
      </c>
      <c r="B172" s="11">
        <f>_xlfn.XLOOKUP(표14[[#This Row],[application_taxonomy]],표11[application_taxonomy],표11[app_id])</f>
        <v/>
      </c>
      <c r="C172" s="11">
        <f>_xlfn.XLOOKUP(표14[[#This Row],[end_use_industry]],표13[end_use_category],표13[end_use_id])</f>
        <v/>
      </c>
      <c r="D172" s="11">
        <f>_xlfn.XLOOKUP(표14[[#This Row],[importance]],표15[importance],표15[rating])</f>
        <v/>
      </c>
      <c r="E172" s="1" t="inlineStr">
        <is>
          <t>Isobutylene</t>
        </is>
      </c>
      <c r="F172" s="1" t="inlineStr">
        <is>
          <t>ETBE / isooctane</t>
        </is>
      </c>
      <c r="G172" s="1" t="inlineStr">
        <is>
          <t>Fuel / fuel additive</t>
        </is>
      </c>
      <c r="H172" s="1" t="inlineStr">
        <is>
          <t>Energy, Power &amp; Utilities</t>
        </is>
      </c>
      <c r="I172" s="1" t="inlineStr">
        <is>
          <t>Secondary</t>
        </is>
      </c>
      <c r="J172" s="1" t="inlineStr">
        <is>
          <t>gasoline blendstock 및 octane enhancer route</t>
        </is>
      </c>
      <c r="K172" s="1" t="inlineStr">
        <is>
          <t>Existing</t>
        </is>
      </c>
      <c r="L172" s="11" t="n"/>
    </row>
    <row r="173" ht="33" customHeight="1" s="179">
      <c r="A173" s="11">
        <f>_xlfn.XLOOKUP(표14[[#This Row],[material_name]],표2[material_name],표2[material_id])</f>
        <v/>
      </c>
      <c r="B173" s="11">
        <f>_xlfn.XLOOKUP(표14[[#This Row],[application_taxonomy]],표11[application_taxonomy],표11[app_id])</f>
        <v/>
      </c>
      <c r="C173" s="11">
        <f>_xlfn.XLOOKUP(표14[[#This Row],[end_use_industry]],표13[end_use_category],표13[end_use_id])</f>
        <v/>
      </c>
      <c r="D173" s="11">
        <f>_xlfn.XLOOKUP(표14[[#This Row],[importance]],표15[importance],표15[rating])</f>
        <v/>
      </c>
      <c r="E173" s="1" t="inlineStr">
        <is>
          <t>PIB</t>
        </is>
      </c>
      <c r="F173" s="1" t="inlineStr">
        <is>
          <t>Lubricants and fuel additives</t>
        </is>
      </c>
      <c r="G173" s="1" t="inlineStr">
        <is>
          <t>Lubrication &amp; friction control</t>
        </is>
      </c>
      <c r="H173" s="1" t="inlineStr">
        <is>
          <t>Industrial Goods &amp; Advanced Manufacturing</t>
        </is>
      </c>
      <c r="I173" s="1" t="inlineStr">
        <is>
          <t>Primary</t>
        </is>
      </c>
      <c r="J173" s="1" t="inlineStr">
        <is>
          <t>PIB의 대표적 고부가 수요로 윤활유·연료 첨가제에 사용</t>
        </is>
      </c>
      <c r="K173" s="1" t="inlineStr">
        <is>
          <t>Existing</t>
        </is>
      </c>
      <c r="L173" s="11" t="inlineStr">
        <is>
          <t>GPT</t>
        </is>
      </c>
    </row>
    <row r="174" ht="33" customHeight="1" s="179">
      <c r="A174" s="11">
        <f>_xlfn.XLOOKUP(표14[[#This Row],[material_name]],표2[material_name],표2[material_id])</f>
        <v/>
      </c>
      <c r="B174" s="11">
        <f>_xlfn.XLOOKUP(표14[[#This Row],[application_taxonomy]],표11[application_taxonomy],표11[app_id])</f>
        <v/>
      </c>
      <c r="C174" s="11">
        <f>_xlfn.XLOOKUP(표14[[#This Row],[end_use_industry]],표13[end_use_category],표13[end_use_id])</f>
        <v/>
      </c>
      <c r="D174" s="11">
        <f>_xlfn.XLOOKUP(표14[[#This Row],[importance]],표15[importance],표15[rating])</f>
        <v/>
      </c>
      <c r="E174" s="1" t="inlineStr">
        <is>
          <t>PIB</t>
        </is>
      </c>
      <c r="F174" s="1" t="inlineStr">
        <is>
          <t>Adhesives and sealants</t>
        </is>
      </c>
      <c r="G174" s="1" t="inlineStr">
        <is>
          <t>Adhesive bonding</t>
        </is>
      </c>
      <c r="H174" s="1" t="inlineStr">
        <is>
          <t>Industrial Goods &amp; Advanced Manufacturing</t>
        </is>
      </c>
      <c r="I174" s="1" t="inlineStr">
        <is>
          <t>Secondary</t>
        </is>
      </c>
      <c r="J174" s="1" t="inlineStr">
        <is>
          <t>tackiness와 방수성 기반 adhesive/sealant formulation에 사용</t>
        </is>
      </c>
      <c r="K174" s="1" t="inlineStr">
        <is>
          <t>Existing</t>
        </is>
      </c>
      <c r="L174" s="11" t="inlineStr">
        <is>
          <t>GPT</t>
        </is>
      </c>
    </row>
    <row r="175">
      <c r="A175" s="11">
        <f>_xlfn.XLOOKUP(표14[[#This Row],[material_name]],표2[material_name],표2[material_id])</f>
        <v/>
      </c>
      <c r="B175" s="11">
        <f>_xlfn.XLOOKUP(표14[[#This Row],[application_taxonomy]],표11[application_taxonomy],표11[app_id])</f>
        <v/>
      </c>
      <c r="C175" s="11">
        <f>_xlfn.XLOOKUP(표14[[#This Row],[end_use_industry]],표13[end_use_category],표13[end_use_id])</f>
        <v/>
      </c>
      <c r="D175" s="11">
        <f>_xlfn.XLOOKUP(표14[[#This Row],[importance]],표15[importance],표15[rating])</f>
        <v/>
      </c>
      <c r="E175" s="1" t="inlineStr">
        <is>
          <t>PIB</t>
        </is>
      </c>
      <c r="F175" s="1" t="inlineStr">
        <is>
          <t>Electrical insulation materials</t>
        </is>
      </c>
      <c r="G175" s="1" t="inlineStr">
        <is>
          <t>Electrical insulation</t>
        </is>
      </c>
      <c r="H175" s="1" t="inlineStr">
        <is>
          <t>Energy, Power &amp; Utilities</t>
        </is>
      </c>
      <c r="I175" s="1" t="inlineStr">
        <is>
          <t>Secondary</t>
        </is>
      </c>
      <c r="J175" s="1" t="inlineStr">
        <is>
          <t>케이블·전기 절연 소재로 사용 가능</t>
        </is>
      </c>
      <c r="K175" s="1" t="inlineStr">
        <is>
          <t>Existing</t>
        </is>
      </c>
      <c r="L175" s="11" t="inlineStr">
        <is>
          <t>GPT</t>
        </is>
      </c>
    </row>
    <row r="176">
      <c r="A176" s="11">
        <f>_xlfn.XLOOKUP(표14[[#This Row],[material_name]],표2[material_name],표2[material_id])</f>
        <v/>
      </c>
      <c r="B176" s="11">
        <f>_xlfn.XLOOKUP(표14[[#This Row],[application_taxonomy]],표11[application_taxonomy],표11[app_id])</f>
        <v/>
      </c>
      <c r="C176" s="11">
        <f>_xlfn.XLOOKUP(표14[[#This Row],[end_use_industry]],표13[end_use_category],표13[end_use_id])</f>
        <v/>
      </c>
      <c r="D176" s="11">
        <f>_xlfn.XLOOKUP(표14[[#This Row],[importance]],표15[importance],표15[rating])</f>
        <v/>
      </c>
      <c r="E176" s="1" t="inlineStr">
        <is>
          <t>PB-1</t>
        </is>
      </c>
      <c r="F176" s="1" t="inlineStr">
        <is>
          <t>Hot and cold water piping systems</t>
        </is>
      </c>
      <c r="G176" s="1" t="inlineStr">
        <is>
          <t>Pipe &amp; fluid conveyance</t>
        </is>
      </c>
      <c r="H176" s="1" t="inlineStr">
        <is>
          <t>Construction &amp; Infrastructure</t>
        </is>
      </c>
      <c r="I176" s="1" t="inlineStr">
        <is>
          <t>Primary</t>
        </is>
      </c>
      <c r="J176" s="1" t="inlineStr">
        <is>
          <t>PB-1의 대표 application은 온수·냉수 배관 및 fittings</t>
        </is>
      </c>
      <c r="K176" s="1" t="inlineStr">
        <is>
          <t>Existing</t>
        </is>
      </c>
      <c r="L176" s="11" t="inlineStr">
        <is>
          <t>GPT</t>
        </is>
      </c>
    </row>
    <row r="177" ht="33" customHeight="1" s="179">
      <c r="A177" s="11">
        <f>_xlfn.XLOOKUP(표14[[#This Row],[material_name]],표2[material_name],표2[material_id])</f>
        <v/>
      </c>
      <c r="B177" s="11">
        <f>_xlfn.XLOOKUP(표14[[#This Row],[application_taxonomy]],표11[application_taxonomy],표11[app_id])</f>
        <v/>
      </c>
      <c r="C177" s="11">
        <f>_xlfn.XLOOKUP(표14[[#This Row],[end_use_industry]],표13[end_use_category],표13[end_use_id])</f>
        <v/>
      </c>
      <c r="D177" s="11">
        <f>_xlfn.XLOOKUP(표14[[#This Row],[importance]],표15[importance],표15[rating])</f>
        <v/>
      </c>
      <c r="E177" s="1" t="inlineStr">
        <is>
          <t>PB-1</t>
        </is>
      </c>
      <c r="F177" s="1" t="inlineStr">
        <is>
          <t>Easy-open packaging / film modification</t>
        </is>
      </c>
      <c r="G177" s="1" t="inlineStr">
        <is>
          <t>Flexible packaging</t>
        </is>
      </c>
      <c r="H177" s="1" t="inlineStr">
        <is>
          <t>Consumer Products &amp; Packaging</t>
        </is>
      </c>
      <c r="I177" s="1" t="inlineStr">
        <is>
          <t>Secondary</t>
        </is>
      </c>
      <c r="J177" s="1" t="inlineStr">
        <is>
          <t>packaging film 및 easy-peel 구조에 사용</t>
        </is>
      </c>
      <c r="K177" s="1" t="inlineStr">
        <is>
          <t>Existing</t>
        </is>
      </c>
      <c r="L177" s="11" t="inlineStr">
        <is>
          <t>GPT</t>
        </is>
      </c>
    </row>
    <row r="178">
      <c r="A178" s="11">
        <f>_xlfn.XLOOKUP(표14[[#This Row],[material_name]],표2[material_name],표2[material_id])</f>
        <v/>
      </c>
      <c r="B178" s="11">
        <f>_xlfn.XLOOKUP(표14[[#This Row],[application_taxonomy]],표11[application_taxonomy],표11[app_id])</f>
        <v/>
      </c>
      <c r="C178" s="11">
        <f>_xlfn.XLOOKUP(표14[[#This Row],[end_use_industry]],표13[end_use_category],표13[end_use_id])</f>
        <v/>
      </c>
      <c r="D178" s="11">
        <f>_xlfn.XLOOKUP(표14[[#This Row],[importance]],표15[importance],표15[rating])</f>
        <v/>
      </c>
      <c r="E178" s="1" t="inlineStr">
        <is>
          <t>PB-1</t>
        </is>
      </c>
      <c r="F178" s="1" t="inlineStr">
        <is>
          <t>Hot melt adhesives</t>
        </is>
      </c>
      <c r="G178" s="1" t="inlineStr">
        <is>
          <t>Adhesive bonding</t>
        </is>
      </c>
      <c r="H178" s="1" t="inlineStr">
        <is>
          <t>Consumer Products &amp; Packaging</t>
        </is>
      </c>
      <c r="I178" s="1" t="inlineStr">
        <is>
          <t>Secondary</t>
        </is>
      </c>
      <c r="J178" s="1" t="inlineStr">
        <is>
          <t>packaging 및 hygiene용 HMA formulation에 사용</t>
        </is>
      </c>
      <c r="K178" s="1" t="inlineStr">
        <is>
          <t>Existing</t>
        </is>
      </c>
      <c r="L178" s="11" t="inlineStr">
        <is>
          <t>GPT</t>
        </is>
      </c>
    </row>
    <row r="179">
      <c r="A179" s="11">
        <f>_xlfn.XLOOKUP(표14[[#This Row],[material_name]],표2[material_name],표2[material_id])</f>
        <v/>
      </c>
      <c r="B179" s="11">
        <f>_xlfn.XLOOKUP(표14[[#This Row],[application_taxonomy]],표11[application_taxonomy],표11[app_id])</f>
        <v/>
      </c>
      <c r="C179" s="11">
        <f>_xlfn.XLOOKUP(표14[[#This Row],[end_use_industry]],표13[end_use_category],표13[end_use_id])</f>
        <v/>
      </c>
      <c r="D179" s="11">
        <f>_xlfn.XLOOKUP(표14[[#This Row],[importance]],표15[importance],표15[rating])</f>
        <v/>
      </c>
      <c r="E179" s="1" t="inlineStr">
        <is>
          <t>MTBE</t>
        </is>
      </c>
      <c r="F179" s="1" t="inlineStr">
        <is>
          <t>Gasoline applications</t>
        </is>
      </c>
      <c r="G179" s="1" t="inlineStr">
        <is>
          <t>Fuel / fuel additive</t>
        </is>
      </c>
      <c r="H179" s="1" t="inlineStr">
        <is>
          <t>Energy, Power &amp; Utilities</t>
        </is>
      </c>
      <c r="I179" s="1" t="inlineStr">
        <is>
          <t>Primary</t>
        </is>
      </c>
      <c r="J179" s="1" t="inlineStr">
        <is>
          <t>2024년 MTBE 소비의 약 94%가 gasoline application</t>
        </is>
      </c>
      <c r="K179" s="1" t="inlineStr">
        <is>
          <t>Existing</t>
        </is>
      </c>
      <c r="L179" s="11" t="n"/>
    </row>
    <row r="180" ht="33" customHeight="1" s="179">
      <c r="A180" s="11">
        <f>_xlfn.XLOOKUP(표14[[#This Row],[material_name]],표2[material_name],표2[material_id])</f>
        <v/>
      </c>
      <c r="B180" s="11">
        <f>_xlfn.XLOOKUP(표14[[#This Row],[application_taxonomy]],표11[application_taxonomy],표11[app_id])</f>
        <v/>
      </c>
      <c r="C180" s="11">
        <f>_xlfn.XLOOKUP(표14[[#This Row],[end_use_industry]],표13[end_use_category],표13[end_use_id])</f>
        <v/>
      </c>
      <c r="D180" s="11">
        <f>_xlfn.XLOOKUP(표14[[#This Row],[importance]],표15[importance],표15[rating])</f>
        <v/>
      </c>
      <c r="E180" s="1" t="inlineStr">
        <is>
          <t>MTBE</t>
        </is>
      </c>
      <c r="F180" s="1" t="inlineStr">
        <is>
          <t>Production of HPIB</t>
        </is>
      </c>
      <c r="G180" s="1" t="inlineStr">
        <is>
          <t>Major chemical intermediate</t>
        </is>
      </c>
      <c r="H180" s="1" t="inlineStr">
        <is>
          <t>Industrial Goods &amp; Advanced Manufacturing</t>
        </is>
      </c>
      <c r="I180" s="1" t="inlineStr">
        <is>
          <t>Secondary</t>
        </is>
      </c>
      <c r="J180" s="1" t="inlineStr">
        <is>
          <t>미국 등에서는 HPIB 생산용 intermediate로 사용</t>
        </is>
      </c>
      <c r="K180" s="1" t="inlineStr">
        <is>
          <t>Existing</t>
        </is>
      </c>
      <c r="L180" s="11" t="n"/>
    </row>
    <row r="181" ht="33" customHeight="1" s="179">
      <c r="A181" s="11">
        <f>_xlfn.XLOOKUP(표14[[#This Row],[material_name]],표2[material_name],표2[material_id])</f>
        <v/>
      </c>
      <c r="B181" s="11">
        <f>_xlfn.XLOOKUP(표14[[#This Row],[application_taxonomy]],표11[application_taxonomy],표11[app_id])</f>
        <v/>
      </c>
      <c r="C181" s="11">
        <f>_xlfn.XLOOKUP(표14[[#This Row],[end_use_industry]],표13[end_use_category],표13[end_use_id])</f>
        <v/>
      </c>
      <c r="D181" s="11">
        <f>_xlfn.XLOOKUP(표14[[#This Row],[importance]],표15[importance],표15[rating])</f>
        <v/>
      </c>
      <c r="E181" s="1" t="inlineStr">
        <is>
          <t>MTBE</t>
        </is>
      </c>
      <c r="F181" s="1" t="inlineStr">
        <is>
          <t>Reaction, extraction and crystallization solvent</t>
        </is>
      </c>
      <c r="G181" s="1" t="inlineStr">
        <is>
          <t>Solvent &amp; extraction</t>
        </is>
      </c>
      <c r="H181" s="1" t="inlineStr">
        <is>
          <t>Healthcare &amp; Life Sciences</t>
        </is>
      </c>
      <c r="I181" s="1" t="inlineStr">
        <is>
          <t>Niche / Emerging</t>
        </is>
      </c>
      <c r="J181" s="1" t="inlineStr">
        <is>
          <t>pharma/fine chemical solvent로 제한적 사용</t>
        </is>
      </c>
      <c r="K181" s="1" t="inlineStr">
        <is>
          <t>Existing</t>
        </is>
      </c>
      <c r="L181" s="11" t="n"/>
    </row>
    <row r="182" ht="33" customHeight="1" s="179">
      <c r="A182" s="11">
        <f>_xlfn.XLOOKUP(표14[[#This Row],[material_name]],표2[material_name],표2[material_id])</f>
        <v/>
      </c>
      <c r="B182" s="11">
        <f>_xlfn.XLOOKUP(표14[[#This Row],[application_taxonomy]],표11[application_taxonomy],표11[app_id])</f>
        <v/>
      </c>
      <c r="C182" s="11">
        <f>_xlfn.XLOOKUP(표14[[#This Row],[end_use_industry]],표13[end_use_category],표13[end_use_id])</f>
        <v/>
      </c>
      <c r="D182" s="11">
        <f>_xlfn.XLOOKUP(표14[[#This Row],[importance]],표15[importance],표15[rating])</f>
        <v/>
      </c>
      <c r="E182" s="1" t="inlineStr">
        <is>
          <t>Butyl rubber</t>
        </is>
      </c>
      <c r="F182" s="1" t="inlineStr">
        <is>
          <t>Tubeless tire inner liners / tire inner tubes</t>
        </is>
      </c>
      <c r="G182" s="1" t="inlineStr">
        <is>
          <t>Tire &amp; rubber applications</t>
        </is>
      </c>
      <c r="H182" s="1" t="inlineStr">
        <is>
          <t>Automotive &amp; Future Mobility</t>
        </is>
      </c>
      <c r="I182" s="1" t="inlineStr">
        <is>
          <t>Primary</t>
        </is>
      </c>
      <c r="J182" s="1" t="inlineStr">
        <is>
          <t>타이어 inner liner와 inner tube가 핵심 수요처로 제시됨.</t>
        </is>
      </c>
      <c r="K182" s="1" t="inlineStr">
        <is>
          <t>Existing</t>
        </is>
      </c>
      <c r="L182" s="11" t="n"/>
    </row>
    <row r="183" ht="33" customHeight="1" s="179">
      <c r="A183" s="11">
        <f>_xlfn.XLOOKUP(표14[[#This Row],[material_name]],표2[material_name],표2[material_id])</f>
        <v/>
      </c>
      <c r="B183" s="11">
        <f>_xlfn.XLOOKUP(표14[[#This Row],[application_taxonomy]],표11[application_taxonomy],표11[app_id])</f>
        <v/>
      </c>
      <c r="C183" s="11">
        <f>_xlfn.XLOOKUP(표14[[#This Row],[end_use_industry]],표13[end_use_category],표13[end_use_id])</f>
        <v/>
      </c>
      <c r="D183" s="11">
        <f>_xlfn.XLOOKUP(표14[[#This Row],[importance]],표15[importance],표15[rating])</f>
        <v/>
      </c>
      <c r="E183" s="1" t="inlineStr">
        <is>
          <t>Butyl rubber</t>
        </is>
      </c>
      <c r="F183" s="1" t="inlineStr">
        <is>
          <t>Pharmaceutical stoppers and plunger seals</t>
        </is>
      </c>
      <c r="G183" s="1" t="inlineStr">
        <is>
          <t>Medical &amp; healthcare materials</t>
        </is>
      </c>
      <c r="H183" s="1" t="inlineStr">
        <is>
          <t>Healthcare &amp; Life Sciences</t>
        </is>
      </c>
      <c r="I183" s="1" t="inlineStr">
        <is>
          <t>Secondary</t>
        </is>
      </c>
      <c r="J183" s="1" t="inlineStr">
        <is>
          <t>청정성, 내화학성, 낮은 기체·수분 투과성이 요구되는 의료용 application.</t>
        </is>
      </c>
      <c r="K183" s="1" t="inlineStr">
        <is>
          <t>Existing</t>
        </is>
      </c>
      <c r="L183" s="11" t="n"/>
    </row>
    <row r="184" ht="33" customHeight="1" s="179">
      <c r="A184" s="11">
        <f>_xlfn.XLOOKUP(표14[[#This Row],[material_name]],표2[material_name],표2[material_id])</f>
        <v/>
      </c>
      <c r="B184" s="11">
        <f>_xlfn.XLOOKUP(표14[[#This Row],[application_taxonomy]],표11[application_taxonomy],표11[app_id])</f>
        <v/>
      </c>
      <c r="C184" s="11">
        <f>_xlfn.XLOOKUP(표14[[#This Row],[end_use_industry]],표13[end_use_category],표13[end_use_id])</f>
        <v/>
      </c>
      <c r="D184" s="11">
        <f>_xlfn.XLOOKUP(표14[[#This Row],[importance]],표15[importance],표15[rating])</f>
        <v/>
      </c>
      <c r="E184" s="1" t="inlineStr">
        <is>
          <t>Butyl rubber</t>
        </is>
      </c>
      <c r="F184" s="1" t="inlineStr">
        <is>
          <t>Adhesives and sealants</t>
        </is>
      </c>
      <c r="G184" s="1" t="inlineStr">
        <is>
          <t>Adhesive bonding</t>
        </is>
      </c>
      <c r="H184" s="1" t="inlineStr">
        <is>
          <t>Industrial Goods &amp; Advanced Manufacturing</t>
        </is>
      </c>
      <c r="I184" s="1" t="inlineStr">
        <is>
          <t>Secondary</t>
        </is>
      </c>
      <c r="J184" s="1" t="inlineStr">
        <is>
          <t>접착제, sealant tape, caulk 등에 사용됨.</t>
        </is>
      </c>
      <c r="K184" s="1" t="inlineStr">
        <is>
          <t>Existing</t>
        </is>
      </c>
      <c r="L184" s="11" t="n"/>
    </row>
    <row r="185" ht="33" customHeight="1" s="179">
      <c r="A185" s="11">
        <f>_xlfn.XLOOKUP(표14[[#This Row],[material_name]],표2[material_name],표2[material_id])</f>
        <v/>
      </c>
      <c r="B185" s="11">
        <f>_xlfn.XLOOKUP(표14[[#This Row],[application_taxonomy]],표11[application_taxonomy],표11[app_id])</f>
        <v/>
      </c>
      <c r="C185" s="11">
        <f>_xlfn.XLOOKUP(표14[[#This Row],[end_use_industry]],표13[end_use_category],표13[end_use_id])</f>
        <v/>
      </c>
      <c r="D185" s="11">
        <f>_xlfn.XLOOKUP(표14[[#This Row],[importance]],표15[importance],표15[rating])</f>
        <v/>
      </c>
      <c r="E185" s="1" t="inlineStr">
        <is>
          <t>Butyl rubber</t>
        </is>
      </c>
      <c r="F185" s="1" t="inlineStr">
        <is>
          <t>Automotive hoses, gaskets and engine mounts</t>
        </is>
      </c>
      <c r="G185" s="1" t="inlineStr">
        <is>
          <t>Elastomeric performance materials</t>
        </is>
      </c>
      <c r="H185" s="1" t="inlineStr">
        <is>
          <t>Automotive &amp; Future Mobility</t>
        </is>
      </c>
      <c r="I185" s="1" t="inlineStr">
        <is>
          <t>Secondary</t>
        </is>
      </c>
      <c r="J185" s="1" t="inlineStr">
        <is>
          <t>내열·내노화·진동감쇠 특성을 활용한 자동차 고무부품.</t>
        </is>
      </c>
      <c r="K185" s="1" t="inlineStr">
        <is>
          <t>Existing</t>
        </is>
      </c>
      <c r="L185" s="11" t="n"/>
    </row>
    <row r="186">
      <c r="A186" s="11">
        <f>_xlfn.XLOOKUP(표14[[#This Row],[material_name]],표2[material_name],표2[material_id])</f>
        <v/>
      </c>
      <c r="B186" s="11">
        <f>_xlfn.XLOOKUP(표14[[#This Row],[application_taxonomy]],표11[application_taxonomy],표11[app_id])</f>
        <v/>
      </c>
      <c r="C186" s="11">
        <f>_xlfn.XLOOKUP(표14[[#This Row],[end_use_industry]],표13[end_use_category],표13[end_use_id])</f>
        <v/>
      </c>
      <c r="D186" s="11">
        <f>_xlfn.XLOOKUP(표14[[#This Row],[importance]],표15[importance],표15[rating])</f>
        <v/>
      </c>
      <c r="E186" s="1" t="inlineStr">
        <is>
          <t>1-Butene</t>
        </is>
      </c>
      <c r="F186" s="1" t="inlineStr">
        <is>
          <t>Polyethylene comonomer</t>
        </is>
      </c>
      <c r="G186" s="1" t="inlineStr">
        <is>
          <t>Reactive monomer / comonomer</t>
        </is>
      </c>
      <c r="H186" s="1" t="inlineStr">
        <is>
          <t>Consumer Products &amp; Packaging</t>
        </is>
      </c>
      <c r="I186" s="1" t="inlineStr">
        <is>
          <t>Primary</t>
        </is>
      </c>
      <c r="J186" s="1" t="inlineStr">
        <is>
          <t>butene-1의 주용도는 PE 생산용 comonomer</t>
        </is>
      </c>
      <c r="K186" s="1" t="inlineStr">
        <is>
          <t>Existing</t>
        </is>
      </c>
      <c r="L186" s="11" t="n"/>
    </row>
    <row r="187" ht="33" customHeight="1" s="179">
      <c r="A187" s="11">
        <f>_xlfn.XLOOKUP(표14[[#This Row],[material_name]],표2[material_name],표2[material_id])</f>
        <v/>
      </c>
      <c r="B187" s="11">
        <f>_xlfn.XLOOKUP(표14[[#This Row],[application_taxonomy]],표11[application_taxonomy],표11[app_id])</f>
        <v/>
      </c>
      <c r="C187" s="11">
        <f>_xlfn.XLOOKUP(표14[[#This Row],[end_use_industry]],표13[end_use_category],표13[end_use_id])</f>
        <v/>
      </c>
      <c r="D187" s="11">
        <f>_xlfn.XLOOKUP(표14[[#This Row],[importance]],표15[importance],표15[rating])</f>
        <v/>
      </c>
      <c r="E187" s="1" t="inlineStr">
        <is>
          <t>1-Butene</t>
        </is>
      </c>
      <c r="F187" s="1" t="inlineStr">
        <is>
          <t>Polybutene-1</t>
        </is>
      </c>
      <c r="G187" s="1" t="inlineStr">
        <is>
          <t>Major chemical intermediate</t>
        </is>
      </c>
      <c r="H187" s="1" t="inlineStr">
        <is>
          <t>Industrial Goods &amp; Advanced Manufacturing</t>
        </is>
      </c>
      <c r="I187" s="1" t="inlineStr">
        <is>
          <t>Secondary</t>
        </is>
      </c>
      <c r="J187" s="1" t="inlineStr">
        <is>
          <t>고순도 butene-1은 PB-1 생산에 필요</t>
        </is>
      </c>
      <c r="K187" s="1" t="inlineStr">
        <is>
          <t>Existing</t>
        </is>
      </c>
      <c r="L187" s="11" t="n"/>
    </row>
    <row r="188" ht="33" customHeight="1" s="179">
      <c r="A188" s="11">
        <f>_xlfn.XLOOKUP(표14[[#This Row],[material_name]],표2[material_name],표2[material_id])</f>
        <v/>
      </c>
      <c r="B188" s="11">
        <f>_xlfn.XLOOKUP(표14[[#This Row],[application_taxonomy]],표11[application_taxonomy],표11[app_id])</f>
        <v/>
      </c>
      <c r="C188" s="11">
        <f>_xlfn.XLOOKUP(표14[[#This Row],[end_use_industry]],표13[end_use_category],표13[end_use_id])</f>
        <v/>
      </c>
      <c r="D188" s="11">
        <f>_xlfn.XLOOKUP(표14[[#This Row],[importance]],표15[importance],표15[rating])</f>
        <v/>
      </c>
      <c r="E188" s="1" t="inlineStr">
        <is>
          <t>Ethylbenzene</t>
        </is>
      </c>
      <c r="F188" s="1" t="inlineStr">
        <is>
          <t>Styrene production</t>
        </is>
      </c>
      <c r="G188" s="1" t="inlineStr">
        <is>
          <t>Major chemical intermediate</t>
        </is>
      </c>
      <c r="H188" s="1" t="inlineStr">
        <is>
          <t>Industrial Goods &amp; Advanced Manufacturing</t>
        </is>
      </c>
      <c r="I188" s="1" t="inlineStr">
        <is>
          <t>Primary</t>
        </is>
      </c>
      <c r="J188" s="1" t="inlineStr">
        <is>
          <t>EB의 99.7%가 styrene 생산에 사용되는 지배적 경로</t>
        </is>
      </c>
      <c r="K188" s="1" t="inlineStr">
        <is>
          <t>Existing</t>
        </is>
      </c>
      <c r="L188" s="11" t="n"/>
    </row>
    <row r="189" ht="33" customHeight="1" s="179">
      <c r="A189" s="11">
        <f>_xlfn.XLOOKUP(표14[[#This Row],[material_name]],표2[material_name],표2[material_id])</f>
        <v/>
      </c>
      <c r="B189" s="11">
        <f>_xlfn.XLOOKUP(표14[[#This Row],[application_taxonomy]],표11[application_taxonomy],표11[app_id])</f>
        <v/>
      </c>
      <c r="C189" s="11">
        <f>_xlfn.XLOOKUP(표14[[#This Row],[end_use_industry]],표13[end_use_category],표13[end_use_id])</f>
        <v/>
      </c>
      <c r="D189" s="11">
        <f>_xlfn.XLOOKUP(표14[[#This Row],[importance]],표15[importance],표15[rating])</f>
        <v/>
      </c>
      <c r="E189" s="1" t="inlineStr">
        <is>
          <t>Ethylbenzene</t>
        </is>
      </c>
      <c r="F189" s="1" t="inlineStr">
        <is>
          <t>Solvent</t>
        </is>
      </c>
      <c r="G189" s="1" t="inlineStr">
        <is>
          <t>Solvent &amp; extraction</t>
        </is>
      </c>
      <c r="H189" s="1" t="inlineStr">
        <is>
          <t>Industrial Goods &amp; Advanced Manufacturing</t>
        </is>
      </c>
      <c r="I189" s="1" t="inlineStr">
        <is>
          <t>Niche / Emerging</t>
        </is>
      </c>
      <c r="J189" s="1" t="inlineStr">
        <is>
          <t>styrene 외 용도는 1% 미만의 소량 용도</t>
        </is>
      </c>
      <c r="K189" s="1" t="inlineStr">
        <is>
          <t>Existing</t>
        </is>
      </c>
      <c r="L189" s="11" t="n"/>
    </row>
    <row r="190">
      <c r="A190" s="11">
        <f>_xlfn.XLOOKUP(표14[[#This Row],[material_name]],표2[material_name],표2[material_id])</f>
        <v/>
      </c>
      <c r="B190" s="11">
        <f>_xlfn.XLOOKUP(표14[[#This Row],[application_taxonomy]],표11[application_taxonomy],표11[app_id])</f>
        <v/>
      </c>
      <c r="C190" s="11">
        <f>_xlfn.XLOOKUP(표14[[#This Row],[end_use_industry]],표13[end_use_category],표13[end_use_id])</f>
        <v/>
      </c>
      <c r="D190" s="11">
        <f>_xlfn.XLOOKUP(표14[[#This Row],[importance]],표15[importance],표15[rating])</f>
        <v/>
      </c>
      <c r="E190" s="1" t="inlineStr">
        <is>
          <t>Styrene</t>
        </is>
      </c>
      <c r="F190" s="1" t="inlineStr">
        <is>
          <t>Polystyrene</t>
        </is>
      </c>
      <c r="G190" s="1" t="inlineStr">
        <is>
          <t>Major chemical intermediate</t>
        </is>
      </c>
      <c r="H190" s="1" t="inlineStr">
        <is>
          <t>Consumer Products &amp; Packaging</t>
        </is>
      </c>
      <c r="I190" s="1" t="inlineStr">
        <is>
          <t>Primary</t>
        </is>
      </c>
      <c r="J190" s="1" t="inlineStr">
        <is>
          <t>PS가 2024년 styrene 최대 수요처</t>
        </is>
      </c>
      <c r="K190" s="1" t="inlineStr">
        <is>
          <t>Existing</t>
        </is>
      </c>
      <c r="L190" s="11" t="n"/>
    </row>
    <row r="191" ht="33" customHeight="1" s="179">
      <c r="A191" s="11">
        <f>_xlfn.XLOOKUP(표14[[#This Row],[material_name]],표2[material_name],표2[material_id])</f>
        <v/>
      </c>
      <c r="B191" s="11">
        <f>_xlfn.XLOOKUP(표14[[#This Row],[application_taxonomy]],표11[application_taxonomy],표11[app_id])</f>
        <v/>
      </c>
      <c r="C191" s="11">
        <f>_xlfn.XLOOKUP(표14[[#This Row],[end_use_industry]],표13[end_use_category],표13[end_use_id])</f>
        <v/>
      </c>
      <c r="D191" s="11">
        <f>_xlfn.XLOOKUP(표14[[#This Row],[importance]],표15[importance],표15[rating])</f>
        <v/>
      </c>
      <c r="E191" s="1" t="inlineStr">
        <is>
          <t>Styrene</t>
        </is>
      </c>
      <c r="F191" s="1" t="inlineStr">
        <is>
          <t>Expandable polystyrene</t>
        </is>
      </c>
      <c r="G191" s="1" t="inlineStr">
        <is>
          <t>Major chemical intermediate</t>
        </is>
      </c>
      <c r="H191" s="1" t="inlineStr">
        <is>
          <t>Construction &amp; Infrastructure</t>
        </is>
      </c>
      <c r="I191" s="1" t="inlineStr">
        <is>
          <t>Primary</t>
        </is>
      </c>
      <c r="J191" s="1" t="inlineStr">
        <is>
          <t>EPS는 styrene 주요 derivative이며 단열·보호포장 수요와 연결</t>
        </is>
      </c>
      <c r="K191" s="1" t="inlineStr">
        <is>
          <t>Existing</t>
        </is>
      </c>
      <c r="L191" s="11" t="n"/>
    </row>
    <row r="192" ht="33" customHeight="1" s="179">
      <c r="A192" s="11">
        <f>_xlfn.XLOOKUP(표14[[#This Row],[material_name]],표2[material_name],표2[material_id])</f>
        <v/>
      </c>
      <c r="B192" s="11">
        <f>_xlfn.XLOOKUP(표14[[#This Row],[application_taxonomy]],표11[application_taxonomy],표11[app_id])</f>
        <v/>
      </c>
      <c r="C192" s="11">
        <f>_xlfn.XLOOKUP(표14[[#This Row],[end_use_industry]],표13[end_use_category],표13[end_use_id])</f>
        <v/>
      </c>
      <c r="D192" s="11">
        <f>_xlfn.XLOOKUP(표14[[#This Row],[importance]],표15[importance],표15[rating])</f>
        <v/>
      </c>
      <c r="E192" s="1" t="inlineStr">
        <is>
          <t>Styrene</t>
        </is>
      </c>
      <c r="F192" s="1" t="inlineStr">
        <is>
          <t>Acrylonitrile-butadiene-styrene resins</t>
        </is>
      </c>
      <c r="G192" s="1" t="inlineStr">
        <is>
          <t>Major chemical intermediate</t>
        </is>
      </c>
      <c r="H192" s="1" t="inlineStr">
        <is>
          <t>Automotive &amp; Future Mobility</t>
        </is>
      </c>
      <c r="I192" s="1" t="inlineStr">
        <is>
          <t>Primary</t>
        </is>
      </c>
      <c r="J192" s="1" t="inlineStr">
        <is>
          <t>ABS는 주요 styrene derivative이며 성장 기여도가 큼</t>
        </is>
      </c>
      <c r="K192" s="1" t="inlineStr">
        <is>
          <t>Existing</t>
        </is>
      </c>
      <c r="L192" s="11" t="n"/>
    </row>
    <row r="193" ht="33" customHeight="1" s="179">
      <c r="A193" s="11">
        <f>_xlfn.XLOOKUP(표14[[#This Row],[material_name]],표2[material_name],표2[material_id])</f>
        <v/>
      </c>
      <c r="B193" s="11">
        <f>_xlfn.XLOOKUP(표14[[#This Row],[application_taxonomy]],표11[application_taxonomy],표11[app_id])</f>
        <v/>
      </c>
      <c r="C193" s="11">
        <f>_xlfn.XLOOKUP(표14[[#This Row],[end_use_industry]],표13[end_use_category],표13[end_use_id])</f>
        <v/>
      </c>
      <c r="D193" s="11">
        <f>_xlfn.XLOOKUP(표14[[#This Row],[importance]],표15[importance],표15[rating])</f>
        <v/>
      </c>
      <c r="E193" s="1" t="inlineStr">
        <is>
          <t>Styrene</t>
        </is>
      </c>
      <c r="F193" s="1" t="inlineStr">
        <is>
          <t>Unsaturated polyester resins</t>
        </is>
      </c>
      <c r="G193" s="1" t="inlineStr">
        <is>
          <t>Major chemical intermediate</t>
        </is>
      </c>
      <c r="H193" s="1" t="inlineStr">
        <is>
          <t>Construction &amp; Infrastructure</t>
        </is>
      </c>
      <c r="I193" s="1" t="inlineStr">
        <is>
          <t>Secondary</t>
        </is>
      </c>
      <c r="J193" s="1" t="inlineStr">
        <is>
          <t>UPR은 의미 있는 downstream resin 경로이나 PS/EPS/ABS보다 작음</t>
        </is>
      </c>
      <c r="K193" s="1" t="inlineStr">
        <is>
          <t>Existing</t>
        </is>
      </c>
      <c r="L193" s="11" t="n"/>
    </row>
    <row r="194" ht="33" customHeight="1" s="179">
      <c r="A194" s="11">
        <f>_xlfn.XLOOKUP(표14[[#This Row],[material_name]],표2[material_name],표2[material_id])</f>
        <v/>
      </c>
      <c r="B194" s="11">
        <f>_xlfn.XLOOKUP(표14[[#This Row],[application_taxonomy]],표11[application_taxonomy],표11[app_id])</f>
        <v/>
      </c>
      <c r="C194" s="11">
        <f>_xlfn.XLOOKUP(표14[[#This Row],[end_use_industry]],표13[end_use_category],표13[end_use_id])</f>
        <v/>
      </c>
      <c r="D194" s="11">
        <f>_xlfn.XLOOKUP(표14[[#This Row],[importance]],표15[importance],표15[rating])</f>
        <v/>
      </c>
      <c r="E194" s="1" t="inlineStr">
        <is>
          <t>Styrene</t>
        </is>
      </c>
      <c r="F194" s="1" t="inlineStr">
        <is>
          <t>Styrene-butadiene latex</t>
        </is>
      </c>
      <c r="G194" s="1" t="inlineStr">
        <is>
          <t>Major chemical intermediate</t>
        </is>
      </c>
      <c r="H194" s="1" t="inlineStr">
        <is>
          <t>Industrial Goods &amp; Advanced Manufacturing</t>
        </is>
      </c>
      <c r="I194" s="1" t="inlineStr">
        <is>
          <t>Secondary</t>
        </is>
      </c>
      <c r="J194" s="1" t="inlineStr">
        <is>
          <t>latex 및 coating/바인더 계열의 상업적 수요</t>
        </is>
      </c>
      <c r="K194" s="1" t="inlineStr">
        <is>
          <t>Existing</t>
        </is>
      </c>
      <c r="L194" s="11" t="n"/>
    </row>
    <row r="195">
      <c r="A195" s="11">
        <f>_xlfn.XLOOKUP(표14[[#This Row],[material_name]],표2[material_name],표2[material_id])</f>
        <v/>
      </c>
      <c r="B195" s="11">
        <f>_xlfn.XLOOKUP(표14[[#This Row],[application_taxonomy]],표11[application_taxonomy],표11[app_id])</f>
        <v/>
      </c>
      <c r="C195" s="11">
        <f>_xlfn.XLOOKUP(표14[[#This Row],[end_use_industry]],표13[end_use_category],표13[end_use_id])</f>
        <v/>
      </c>
      <c r="D195" s="11">
        <f>_xlfn.XLOOKUP(표14[[#This Row],[importance]],표15[importance],표15[rating])</f>
        <v/>
      </c>
      <c r="E195" s="1" t="inlineStr">
        <is>
          <t>Styrene</t>
        </is>
      </c>
      <c r="F195" s="1" t="inlineStr">
        <is>
          <t>Styrene-butadiene rubber</t>
        </is>
      </c>
      <c r="G195" s="1" t="inlineStr">
        <is>
          <t>Major chemical intermediate</t>
        </is>
      </c>
      <c r="H195" s="1" t="inlineStr">
        <is>
          <t>Automotive &amp; Future Mobility</t>
        </is>
      </c>
      <c r="I195" s="1" t="inlineStr">
        <is>
          <t>Secondary</t>
        </is>
      </c>
      <c r="J195" s="1" t="inlineStr">
        <is>
          <t>SBR은 타이어·고무 체인으로 연결되는 수요</t>
        </is>
      </c>
      <c r="K195" s="1" t="inlineStr">
        <is>
          <t>Existing</t>
        </is>
      </c>
      <c r="L195" s="11" t="n"/>
    </row>
    <row r="196">
      <c r="A196" s="11">
        <f>_xlfn.XLOOKUP(표14[[#This Row],[material_name]],표2[material_name],표2[material_id])</f>
        <v/>
      </c>
      <c r="B196" s="11">
        <f>_xlfn.XLOOKUP(표14[[#This Row],[application_taxonomy]],표11[application_taxonomy],표11[app_id])</f>
        <v/>
      </c>
      <c r="C196" s="11">
        <f>_xlfn.XLOOKUP(표14[[#This Row],[end_use_industry]],표13[end_use_category],표13[end_use_id])</f>
        <v/>
      </c>
      <c r="D196" s="11">
        <f>_xlfn.XLOOKUP(표14[[#This Row],[importance]],표15[importance],표15[rating])</f>
        <v/>
      </c>
      <c r="E196" s="1" t="inlineStr">
        <is>
          <t>PS</t>
        </is>
      </c>
      <c r="F196" s="1" t="inlineStr">
        <is>
          <t>Packaging applications</t>
        </is>
      </c>
      <c r="G196" s="1" t="inlineStr">
        <is>
          <t>Rigid packaging</t>
        </is>
      </c>
      <c r="H196" s="1" t="inlineStr">
        <is>
          <t>Consumer Products &amp; Packaging</t>
        </is>
      </c>
      <c r="I196" s="1" t="inlineStr">
        <is>
          <t>Primary</t>
        </is>
      </c>
      <c r="J196" s="1" t="inlineStr">
        <is>
          <t>2024년 PS 수요의 최대 application, 약 34%</t>
        </is>
      </c>
      <c r="K196" s="1" t="inlineStr">
        <is>
          <t>Existing</t>
        </is>
      </c>
      <c r="L196" s="11" t="n"/>
    </row>
    <row r="197" ht="33" customHeight="1" s="179">
      <c r="A197" s="11">
        <f>_xlfn.XLOOKUP(표14[[#This Row],[material_name]],표2[material_name],표2[material_id])</f>
        <v/>
      </c>
      <c r="B197" s="11">
        <f>_xlfn.XLOOKUP(표14[[#This Row],[application_taxonomy]],표11[application_taxonomy],표11[app_id])</f>
        <v/>
      </c>
      <c r="C197" s="11">
        <f>_xlfn.XLOOKUP(표14[[#This Row],[end_use_industry]],표13[end_use_category],표13[end_use_id])</f>
        <v/>
      </c>
      <c r="D197" s="11">
        <f>_xlfn.XLOOKUP(표14[[#This Row],[importance]],표15[importance],표15[rating])</f>
        <v/>
      </c>
      <c r="E197" s="1" t="inlineStr">
        <is>
          <t>PS</t>
        </is>
      </c>
      <c r="F197" s="1" t="inlineStr">
        <is>
          <t>Electrical/electronic</t>
        </is>
      </c>
      <c r="G197" s="1" t="inlineStr">
        <is>
          <t>Electronic chemicals &amp; materials</t>
        </is>
      </c>
      <c r="H197" s="1" t="inlineStr">
        <is>
          <t>Electronics, Semiconductors &amp; Digital Infrastructure</t>
        </is>
      </c>
      <c r="I197" s="1" t="inlineStr">
        <is>
          <t>Primary</t>
        </is>
      </c>
      <c r="J197" s="1" t="inlineStr">
        <is>
          <t>2024년 PS 수요의 약 31%로 두 번째 대형 수요처</t>
        </is>
      </c>
      <c r="K197" s="1" t="inlineStr">
        <is>
          <t>Existing</t>
        </is>
      </c>
      <c r="L197" s="11" t="n"/>
    </row>
    <row r="198">
      <c r="A198" s="11">
        <f>_xlfn.XLOOKUP(표14[[#This Row],[material_name]],표2[material_name],표2[material_id])</f>
        <v/>
      </c>
      <c r="B198" s="11">
        <f>_xlfn.XLOOKUP(표14[[#This Row],[application_taxonomy]],표11[application_taxonomy],표11[app_id])</f>
        <v/>
      </c>
      <c r="C198" s="11">
        <f>_xlfn.XLOOKUP(표14[[#This Row],[end_use_industry]],표13[end_use_category],표13[end_use_id])</f>
        <v/>
      </c>
      <c r="D198" s="11">
        <f>_xlfn.XLOOKUP(표14[[#This Row],[importance]],표15[importance],표15[rating])</f>
        <v/>
      </c>
      <c r="E198" s="1" t="inlineStr">
        <is>
          <t>PS</t>
        </is>
      </c>
      <c r="F198" s="1" t="inlineStr">
        <is>
          <t>Consumer goods</t>
        </is>
      </c>
      <c r="G198" s="1" t="inlineStr">
        <is>
          <t>Polymer resin / molding material</t>
        </is>
      </c>
      <c r="H198" s="1" t="inlineStr">
        <is>
          <t>Consumer Products &amp; Packaging</t>
        </is>
      </c>
      <c r="I198" s="1" t="inlineStr">
        <is>
          <t>Secondary</t>
        </is>
      </c>
      <c r="J198" s="1" t="inlineStr">
        <is>
          <t>생활용품·가전 부품 등 성형재 용도</t>
        </is>
      </c>
      <c r="K198" s="1" t="inlineStr">
        <is>
          <t>Existing</t>
        </is>
      </c>
      <c r="L198" s="11" t="n"/>
    </row>
    <row r="199">
      <c r="A199" s="11">
        <f>_xlfn.XLOOKUP(표14[[#This Row],[material_name]],표2[material_name],표2[material_id])</f>
        <v/>
      </c>
      <c r="B199" s="11">
        <f>_xlfn.XLOOKUP(표14[[#This Row],[application_taxonomy]],표11[application_taxonomy],표11[app_id])</f>
        <v/>
      </c>
      <c r="C199" s="11">
        <f>_xlfn.XLOOKUP(표14[[#This Row],[end_use_industry]],표13[end_use_category],표13[end_use_id])</f>
        <v/>
      </c>
      <c r="D199" s="11">
        <f>_xlfn.XLOOKUP(표14[[#This Row],[importance]],표15[importance],표15[rating])</f>
        <v/>
      </c>
      <c r="E199" s="1" t="inlineStr">
        <is>
          <t>PS</t>
        </is>
      </c>
      <c r="F199" s="1" t="inlineStr">
        <is>
          <t>Building/construction</t>
        </is>
      </c>
      <c r="G199" s="1" t="inlineStr">
        <is>
          <t>Building materials &amp; profiles</t>
        </is>
      </c>
      <c r="H199" s="1" t="inlineStr">
        <is>
          <t>Construction &amp; Infrastructure</t>
        </is>
      </c>
      <c r="I199" s="1" t="inlineStr">
        <is>
          <t>Secondary</t>
        </is>
      </c>
      <c r="J199" s="1" t="inlineStr">
        <is>
          <t>XPS/건축재 등 건설 관련 수요</t>
        </is>
      </c>
      <c r="K199" s="1" t="inlineStr">
        <is>
          <t>Existing</t>
        </is>
      </c>
      <c r="L199" s="11" t="n"/>
    </row>
    <row r="200" ht="33" customHeight="1" s="179">
      <c r="A200" s="11">
        <f>_xlfn.XLOOKUP(표14[[#This Row],[material_name]],표2[material_name],표2[material_id])</f>
        <v/>
      </c>
      <c r="B200" s="11">
        <f>_xlfn.XLOOKUP(표14[[#This Row],[application_taxonomy]],표11[application_taxonomy],표11[app_id])</f>
        <v/>
      </c>
      <c r="C200" s="11">
        <f>_xlfn.XLOOKUP(표14[[#This Row],[end_use_industry]],표13[end_use_category],표13[end_use_id])</f>
        <v/>
      </c>
      <c r="D200" s="11">
        <f>_xlfn.XLOOKUP(표14[[#This Row],[importance]],표15[importance],표15[rating])</f>
        <v/>
      </c>
      <c r="E200" s="1" t="inlineStr">
        <is>
          <t>PS</t>
        </is>
      </c>
      <c r="F200" s="1" t="inlineStr">
        <is>
          <t>Medical and diagnostic labware</t>
        </is>
      </c>
      <c r="G200" s="1" t="inlineStr">
        <is>
          <t>Medical &amp; healthcare materials</t>
        </is>
      </c>
      <c r="H200" s="1" t="inlineStr">
        <is>
          <t>Healthcare &amp; Life Sciences</t>
        </is>
      </c>
      <c r="I200" s="1" t="inlineStr">
        <is>
          <t>Niche / Emerging</t>
        </is>
      </c>
      <c r="J200" s="1" t="inlineStr">
        <is>
          <t>GPPS 성형품의 의료·진단용 labware 용도</t>
        </is>
      </c>
      <c r="K200" s="1" t="inlineStr">
        <is>
          <t>Existing</t>
        </is>
      </c>
      <c r="L200" s="11" t="n"/>
    </row>
    <row r="201">
      <c r="A201" s="11">
        <f>_xlfn.XLOOKUP(표14[[#This Row],[material_name]],표2[material_name],표2[material_id])</f>
        <v/>
      </c>
      <c r="B201" s="11">
        <f>_xlfn.XLOOKUP(표14[[#This Row],[application_taxonomy]],표11[application_taxonomy],표11[app_id])</f>
        <v/>
      </c>
      <c r="C201" s="11">
        <f>_xlfn.XLOOKUP(표14[[#This Row],[end_use_industry]],표13[end_use_category],표13[end_use_id])</f>
        <v/>
      </c>
      <c r="D201" s="11">
        <f>_xlfn.XLOOKUP(표14[[#This Row],[importance]],표15[importance],표15[rating])</f>
        <v/>
      </c>
      <c r="E201" s="1" t="inlineStr">
        <is>
          <t>PS</t>
        </is>
      </c>
      <c r="F201" s="1" t="inlineStr">
        <is>
          <t>Foam board stock, insulation</t>
        </is>
      </c>
      <c r="G201" s="1" t="inlineStr">
        <is>
          <t>Thermal insulation</t>
        </is>
      </c>
      <c r="H201" s="1" t="inlineStr">
        <is>
          <t>Construction &amp; Infrastructure</t>
        </is>
      </c>
      <c r="I201" s="1" t="inlineStr">
        <is>
          <t>Secondary</t>
        </is>
      </c>
      <c r="J201" s="1" t="inlineStr">
        <is>
          <t>건축 단열재로 사용되는 PS foam 용도</t>
        </is>
      </c>
      <c r="K201" s="1" t="inlineStr">
        <is>
          <t>Existing</t>
        </is>
      </c>
      <c r="L201" s="11" t="n"/>
    </row>
    <row r="202" ht="33" customHeight="1" s="179">
      <c r="A202" s="11">
        <f>_xlfn.XLOOKUP(표14[[#This Row],[material_name]],표2[material_name],표2[material_id])</f>
        <v/>
      </c>
      <c r="B202" s="11">
        <f>_xlfn.XLOOKUP(표14[[#This Row],[application_taxonomy]],표11[application_taxonomy],표11[app_id])</f>
        <v/>
      </c>
      <c r="C202" s="11">
        <f>_xlfn.XLOOKUP(표14[[#This Row],[end_use_industry]],표13[end_use_category],표13[end_use_id])</f>
        <v/>
      </c>
      <c r="D202" s="11">
        <f>_xlfn.XLOOKUP(표14[[#This Row],[importance]],표15[importance],표15[rating])</f>
        <v/>
      </c>
      <c r="E202" s="1" t="inlineStr">
        <is>
          <t>Cumene</t>
        </is>
      </c>
      <c r="F202" s="1" t="inlineStr">
        <is>
          <t>Phenol and acetone production</t>
        </is>
      </c>
      <c r="G202" s="1" t="inlineStr">
        <is>
          <t>Major chemical intermediate</t>
        </is>
      </c>
      <c r="H202" s="1" t="inlineStr">
        <is>
          <t>Industrial Goods &amp; Advanced Manufacturing</t>
        </is>
      </c>
      <c r="I202" s="1" t="inlineStr">
        <is>
          <t>Primary</t>
        </is>
      </c>
      <c r="J202" s="1" t="inlineStr">
        <is>
          <t>전 세계 cumene의 약 99%가 phenol/acetone 생산에 사용됨</t>
        </is>
      </c>
      <c r="K202" s="1" t="inlineStr">
        <is>
          <t>Existing</t>
        </is>
      </c>
      <c r="L202" s="11" t="n"/>
    </row>
    <row r="203" ht="33" customHeight="1" s="179">
      <c r="A203" s="11">
        <f>_xlfn.XLOOKUP(표14[[#This Row],[material_name]],표2[material_name],표2[material_id])</f>
        <v/>
      </c>
      <c r="B203" s="11">
        <f>_xlfn.XLOOKUP(표14[[#This Row],[application_taxonomy]],표11[application_taxonomy],표11[app_id])</f>
        <v/>
      </c>
      <c r="C203" s="11">
        <f>_xlfn.XLOOKUP(표14[[#This Row],[end_use_industry]],표13[end_use_category],표13[end_use_id])</f>
        <v/>
      </c>
      <c r="D203" s="11">
        <f>_xlfn.XLOOKUP(표14[[#This Row],[importance]],표15[importance],표15[rating])</f>
        <v/>
      </c>
      <c r="E203" s="1" t="inlineStr">
        <is>
          <t>Cumene</t>
        </is>
      </c>
      <c r="F203" s="1" t="inlineStr">
        <is>
          <t>Thinners for paints, lacquers and enamels / solvents in coatings</t>
        </is>
      </c>
      <c r="G203" s="1" t="inlineStr">
        <is>
          <t>Solvent &amp; extraction</t>
        </is>
      </c>
      <c r="H203" s="1" t="inlineStr">
        <is>
          <t>Industrial Goods &amp; Advanced Manufacturing</t>
        </is>
      </c>
      <c r="I203" s="1" t="inlineStr">
        <is>
          <t>Niche / Emerging</t>
        </is>
      </c>
      <c r="J203" s="1" t="inlineStr">
        <is>
          <t>1% 내외의 소량 용도</t>
        </is>
      </c>
      <c r="K203" s="1" t="inlineStr">
        <is>
          <t>Existing</t>
        </is>
      </c>
      <c r="L203" s="11" t="n"/>
    </row>
    <row r="204" ht="33" customHeight="1" s="179">
      <c r="A204" s="11">
        <f>_xlfn.XLOOKUP(표14[[#This Row],[material_name]],표2[material_name],표2[material_id])</f>
        <v/>
      </c>
      <c r="B204" s="11">
        <f>_xlfn.XLOOKUP(표14[[#This Row],[application_taxonomy]],표11[application_taxonomy],표11[app_id])</f>
        <v/>
      </c>
      <c r="C204" s="11">
        <f>_xlfn.XLOOKUP(표14[[#This Row],[end_use_industry]],표13[end_use_category],표13[end_use_id])</f>
        <v/>
      </c>
      <c r="D204" s="11">
        <f>_xlfn.XLOOKUP(표14[[#This Row],[importance]],표15[importance],표15[rating])</f>
        <v/>
      </c>
      <c r="E204" s="1" t="inlineStr">
        <is>
          <t>Phenol</t>
        </is>
      </c>
      <c r="F204" s="1" t="inlineStr">
        <is>
          <t>Bisphenol A (BPA)</t>
        </is>
      </c>
      <c r="G204" s="1" t="inlineStr">
        <is>
          <t>Major chemical intermediate</t>
        </is>
      </c>
      <c r="H204" s="1" t="inlineStr">
        <is>
          <t>Industrial Goods &amp; Advanced Manufacturing</t>
        </is>
      </c>
      <c r="I204" s="1" t="inlineStr">
        <is>
          <t>Primary</t>
        </is>
      </c>
      <c r="J204" s="1" t="inlineStr">
        <is>
          <t>2024년 phenol 수요의 54%로 최대 downstream</t>
        </is>
      </c>
      <c r="K204" s="1" t="inlineStr">
        <is>
          <t>Existing</t>
        </is>
      </c>
      <c r="L204" s="11" t="n"/>
    </row>
    <row r="205" ht="33" customHeight="1" s="179">
      <c r="A205" s="11">
        <f>_xlfn.XLOOKUP(표14[[#This Row],[material_name]],표2[material_name],표2[material_id])</f>
        <v/>
      </c>
      <c r="B205" s="11">
        <f>_xlfn.XLOOKUP(표14[[#This Row],[application_taxonomy]],표11[application_taxonomy],표11[app_id])</f>
        <v/>
      </c>
      <c r="C205" s="11">
        <f>_xlfn.XLOOKUP(표14[[#This Row],[end_use_industry]],표13[end_use_category],표13[end_use_id])</f>
        <v/>
      </c>
      <c r="D205" s="11">
        <f>_xlfn.XLOOKUP(표14[[#This Row],[importance]],표15[importance],표15[rating])</f>
        <v/>
      </c>
      <c r="E205" s="1" t="inlineStr">
        <is>
          <t>Phenol</t>
        </is>
      </c>
      <c r="F205" s="1" t="inlineStr">
        <is>
          <t>Phenol-formaldehyde (PF) resins</t>
        </is>
      </c>
      <c r="G205" s="1" t="inlineStr">
        <is>
          <t>Reactive monomer / comonomer</t>
        </is>
      </c>
      <c r="H205" s="1" t="inlineStr">
        <is>
          <t>Construction &amp; Infrastructure</t>
        </is>
      </c>
      <c r="I205" s="1" t="inlineStr">
        <is>
          <t>Primary</t>
        </is>
      </c>
      <c r="J205" s="1" t="inlineStr">
        <is>
          <t>2024년 26%로 두 번째 대형 수요처, 목재·건설용 resin chain</t>
        </is>
      </c>
      <c r="K205" s="1" t="inlineStr">
        <is>
          <t>Existing</t>
        </is>
      </c>
      <c r="L205" s="11" t="n"/>
    </row>
    <row r="206" ht="33" customHeight="1" s="179">
      <c r="A206" s="11">
        <f>_xlfn.XLOOKUP(표14[[#This Row],[material_name]],표2[material_name],표2[material_id])</f>
        <v/>
      </c>
      <c r="B206" s="11">
        <f>_xlfn.XLOOKUP(표14[[#This Row],[application_taxonomy]],표11[application_taxonomy],표11[app_id])</f>
        <v/>
      </c>
      <c r="C206" s="11">
        <f>_xlfn.XLOOKUP(표14[[#This Row],[end_use_industry]],표13[end_use_category],표13[end_use_id])</f>
        <v/>
      </c>
      <c r="D206" s="11">
        <f>_xlfn.XLOOKUP(표14[[#This Row],[importance]],표15[importance],표15[rating])</f>
        <v/>
      </c>
      <c r="E206" s="1" t="inlineStr">
        <is>
          <t>Phenol</t>
        </is>
      </c>
      <c r="F206" s="1" t="inlineStr">
        <is>
          <t>Cyclohexanone / cyclohexanol / adipic acid</t>
        </is>
      </c>
      <c r="G206" s="1" t="inlineStr">
        <is>
          <t>Major chemical intermediate</t>
        </is>
      </c>
      <c r="H206" s="1" t="inlineStr">
        <is>
          <t>Automotive &amp; Future Mobility</t>
        </is>
      </c>
      <c r="I206" s="1" t="inlineStr">
        <is>
          <t>Secondary</t>
        </is>
      </c>
      <c r="J206" s="1" t="inlineStr">
        <is>
          <t>polyamide chain으로 연결되는 의미 있는 중간체 용도</t>
        </is>
      </c>
      <c r="K206" s="1" t="inlineStr">
        <is>
          <t>Existing</t>
        </is>
      </c>
      <c r="L206" s="11" t="n"/>
    </row>
    <row r="207" ht="33" customHeight="1" s="179">
      <c r="A207" s="11">
        <f>_xlfn.XLOOKUP(표14[[#This Row],[material_name]],표2[material_name],표2[material_id])</f>
        <v/>
      </c>
      <c r="B207" s="11">
        <f>_xlfn.XLOOKUP(표14[[#This Row],[application_taxonomy]],표11[application_taxonomy],표11[app_id])</f>
        <v/>
      </c>
      <c r="C207" s="11">
        <f>_xlfn.XLOOKUP(표14[[#This Row],[end_use_industry]],표13[end_use_category],표13[end_use_id])</f>
        <v/>
      </c>
      <c r="D207" s="11">
        <f>_xlfn.XLOOKUP(표14[[#This Row],[importance]],표15[importance],표15[rating])</f>
        <v/>
      </c>
      <c r="E207" s="1" t="inlineStr">
        <is>
          <t>Phenol</t>
        </is>
      </c>
      <c r="F207" s="1" t="inlineStr">
        <is>
          <t>Alkylphenols and other specialty chemicals</t>
        </is>
      </c>
      <c r="G207" s="1" t="inlineStr">
        <is>
          <t>Specialty chemical intermediate</t>
        </is>
      </c>
      <c r="H207" s="1" t="inlineStr">
        <is>
          <t>Industrial Goods &amp; Advanced Manufacturing</t>
        </is>
      </c>
      <c r="I207" s="1" t="inlineStr">
        <is>
          <t>Niche / Emerging</t>
        </is>
      </c>
      <c r="J207" s="1" t="inlineStr">
        <is>
          <t>기타 소량 specialty derivative</t>
        </is>
      </c>
      <c r="K207" s="1" t="inlineStr">
        <is>
          <t>Existing</t>
        </is>
      </c>
      <c r="L207" s="11" t="n"/>
    </row>
    <row r="208" ht="33" customHeight="1" s="179">
      <c r="A208" s="11">
        <f>_xlfn.XLOOKUP(표14[[#This Row],[material_name]],표2[material_name],표2[material_id])</f>
        <v/>
      </c>
      <c r="B208" s="11">
        <f>_xlfn.XLOOKUP(표14[[#This Row],[application_taxonomy]],표11[application_taxonomy],표11[app_id])</f>
        <v/>
      </c>
      <c r="C208" s="11">
        <f>_xlfn.XLOOKUP(표14[[#This Row],[end_use_industry]],표13[end_use_category],표13[end_use_id])</f>
        <v/>
      </c>
      <c r="D208" s="11">
        <f>_xlfn.XLOOKUP(표14[[#This Row],[importance]],표15[importance],표15[rating])</f>
        <v/>
      </c>
      <c r="E208" s="1" t="inlineStr">
        <is>
          <t>Acetone</t>
        </is>
      </c>
      <c r="F208" s="1" t="inlineStr">
        <is>
          <t>Direct solvent applications</t>
        </is>
      </c>
      <c r="G208" s="1" t="inlineStr">
        <is>
          <t>Solvent &amp; extraction</t>
        </is>
      </c>
      <c r="H208" s="1" t="inlineStr">
        <is>
          <t>Industrial Goods &amp; Advanced Manufacturing</t>
        </is>
      </c>
      <c r="I208" s="1" t="inlineStr">
        <is>
          <t>Primary</t>
        </is>
      </c>
      <c r="J208" s="1" t="inlineStr">
        <is>
          <t>2024년 약 43%로 acetone 최대 수요처</t>
        </is>
      </c>
      <c r="K208" s="1" t="inlineStr">
        <is>
          <t>Existing</t>
        </is>
      </c>
      <c r="L208" s="11" t="n"/>
    </row>
    <row r="209" ht="33" customHeight="1" s="179">
      <c r="A209" s="11">
        <f>_xlfn.XLOOKUP(표14[[#This Row],[material_name]],표2[material_name],표2[material_id])</f>
        <v/>
      </c>
      <c r="B209" s="11">
        <f>_xlfn.XLOOKUP(표14[[#This Row],[application_taxonomy]],표11[application_taxonomy],표11[app_id])</f>
        <v/>
      </c>
      <c r="C209" s="11">
        <f>_xlfn.XLOOKUP(표14[[#This Row],[end_use_industry]],표13[end_use_category],표13[end_use_id])</f>
        <v/>
      </c>
      <c r="D209" s="11">
        <f>_xlfn.XLOOKUP(표14[[#This Row],[importance]],표15[importance],표15[rating])</f>
        <v/>
      </c>
      <c r="E209" s="1" t="inlineStr">
        <is>
          <t>Acetone</t>
        </is>
      </c>
      <c r="F209" s="1" t="inlineStr">
        <is>
          <t>Bisphenol A (BPA)</t>
        </is>
      </c>
      <c r="G209" s="1" t="inlineStr">
        <is>
          <t>Major chemical intermediate</t>
        </is>
      </c>
      <c r="H209" s="1" t="inlineStr">
        <is>
          <t>Industrial Goods &amp; Advanced Manufacturing</t>
        </is>
      </c>
      <c r="I209" s="1" t="inlineStr">
        <is>
          <t>Primary</t>
        </is>
      </c>
      <c r="J209" s="1" t="inlineStr">
        <is>
          <t>2024년 약 28%로 두 번째 대형 수요처</t>
        </is>
      </c>
      <c r="K209" s="1" t="inlineStr">
        <is>
          <t>Existing</t>
        </is>
      </c>
      <c r="L209" s="11" t="n"/>
    </row>
    <row r="210" ht="33" customHeight="1" s="179">
      <c r="A210" s="11">
        <f>_xlfn.XLOOKUP(표14[[#This Row],[material_name]],표2[material_name],표2[material_id])</f>
        <v/>
      </c>
      <c r="B210" s="11">
        <f>_xlfn.XLOOKUP(표14[[#This Row],[application_taxonomy]],표11[application_taxonomy],표11[app_id])</f>
        <v/>
      </c>
      <c r="C210" s="11">
        <f>_xlfn.XLOOKUP(표14[[#This Row],[end_use_industry]],표13[end_use_category],표13[end_use_id])</f>
        <v/>
      </c>
      <c r="D210" s="11">
        <f>_xlfn.XLOOKUP(표14[[#This Row],[importance]],표15[importance],표15[rating])</f>
        <v/>
      </c>
      <c r="E210" s="1" t="inlineStr">
        <is>
          <t>Acetone</t>
        </is>
      </c>
      <c r="F210" s="1" t="inlineStr">
        <is>
          <t>Methyl methacrylate (MMA)</t>
        </is>
      </c>
      <c r="G210" s="1" t="inlineStr">
        <is>
          <t>Major chemical intermediate</t>
        </is>
      </c>
      <c r="H210" s="1" t="inlineStr">
        <is>
          <t>Industrial Goods &amp; Advanced Manufacturing</t>
        </is>
      </c>
      <c r="I210" s="1" t="inlineStr">
        <is>
          <t>Secondary</t>
        </is>
      </c>
      <c r="J210" s="1" t="inlineStr">
        <is>
          <t>2024년 약 20%, PMMA chain으로 연결</t>
        </is>
      </c>
      <c r="K210" s="1" t="inlineStr">
        <is>
          <t>Existing</t>
        </is>
      </c>
      <c r="L210" s="11" t="n"/>
    </row>
    <row r="211" ht="33" customHeight="1" s="179">
      <c r="A211" s="11">
        <f>_xlfn.XLOOKUP(표14[[#This Row],[material_name]],표2[material_name],표2[material_id])</f>
        <v/>
      </c>
      <c r="B211" s="11">
        <f>_xlfn.XLOOKUP(표14[[#This Row],[application_taxonomy]],표11[application_taxonomy],표11[app_id])</f>
        <v/>
      </c>
      <c r="C211" s="11">
        <f>_xlfn.XLOOKUP(표14[[#This Row],[end_use_industry]],표13[end_use_category],표13[end_use_id])</f>
        <v/>
      </c>
      <c r="D211" s="11">
        <f>_xlfn.XLOOKUP(표14[[#This Row],[importance]],표15[importance],표15[rating])</f>
        <v/>
      </c>
      <c r="E211" s="1" t="inlineStr">
        <is>
          <t>Acetone</t>
        </is>
      </c>
      <c r="F211" s="1" t="inlineStr">
        <is>
          <t>MIBK / aldol chemicals</t>
        </is>
      </c>
      <c r="G211" s="1" t="inlineStr">
        <is>
          <t>Specialty chemical intermediate</t>
        </is>
      </c>
      <c r="H211" s="1" t="inlineStr">
        <is>
          <t>Industrial Goods &amp; Advanced Manufacturing</t>
        </is>
      </c>
      <c r="I211" s="1" t="inlineStr">
        <is>
          <t>Niche / Emerging</t>
        </is>
      </c>
      <c r="J211" s="1" t="inlineStr">
        <is>
          <t>기타 소량 chemical intermediate 용도</t>
        </is>
      </c>
      <c r="K211" s="1" t="inlineStr">
        <is>
          <t>Existing</t>
        </is>
      </c>
      <c r="L211" s="11" t="n"/>
    </row>
    <row r="212" ht="33" customHeight="1" s="179">
      <c r="A212" s="11">
        <f>_xlfn.XLOOKUP(표14[[#This Row],[material_name]],표2[material_name],표2[material_id])</f>
        <v/>
      </c>
      <c r="B212" s="11">
        <f>_xlfn.XLOOKUP(표14[[#This Row],[application_taxonomy]],표11[application_taxonomy],표11[app_id])</f>
        <v/>
      </c>
      <c r="C212" s="11">
        <f>_xlfn.XLOOKUP(표14[[#This Row],[end_use_industry]],표13[end_use_category],표13[end_use_id])</f>
        <v/>
      </c>
      <c r="D212" s="11">
        <f>_xlfn.XLOOKUP(표14[[#This Row],[importance]],표15[importance],표15[rating])</f>
        <v/>
      </c>
      <c r="E212" s="1" t="inlineStr">
        <is>
          <t>BPA</t>
        </is>
      </c>
      <c r="F212" s="1" t="inlineStr">
        <is>
          <t>Polycarbonate resin</t>
        </is>
      </c>
      <c r="G212" s="1" t="inlineStr">
        <is>
          <t>Major chemical intermediate</t>
        </is>
      </c>
      <c r="H212" s="1" t="inlineStr">
        <is>
          <t>Industrial Goods &amp; Advanced Manufacturing</t>
        </is>
      </c>
      <c r="I212" s="1" t="inlineStr">
        <is>
          <t>Primary</t>
        </is>
      </c>
      <c r="J212" s="1" t="inlineStr">
        <is>
          <t>2024년 BPA 수요의 약 68%로 최대 용도</t>
        </is>
      </c>
      <c r="K212" s="1" t="inlineStr">
        <is>
          <t>Existing</t>
        </is>
      </c>
      <c r="L212" s="11" t="n"/>
    </row>
    <row r="213" ht="33" customHeight="1" s="179">
      <c r="A213" s="11">
        <f>_xlfn.XLOOKUP(표14[[#This Row],[material_name]],표2[material_name],표2[material_id])</f>
        <v/>
      </c>
      <c r="B213" s="11">
        <f>_xlfn.XLOOKUP(표14[[#This Row],[application_taxonomy]],표11[application_taxonomy],표11[app_id])</f>
        <v/>
      </c>
      <c r="C213" s="11">
        <f>_xlfn.XLOOKUP(표14[[#This Row],[end_use_industry]],표13[end_use_category],표13[end_use_id])</f>
        <v/>
      </c>
      <c r="D213" s="11">
        <f>_xlfn.XLOOKUP(표14[[#This Row],[importance]],표15[importance],표15[rating])</f>
        <v/>
      </c>
      <c r="E213" s="1" t="inlineStr">
        <is>
          <t>BPA</t>
        </is>
      </c>
      <c r="F213" s="1" t="inlineStr">
        <is>
          <t>Epoxy resins</t>
        </is>
      </c>
      <c r="G213" s="1" t="inlineStr">
        <is>
          <t>Major chemical intermediate</t>
        </is>
      </c>
      <c r="H213" s="1" t="inlineStr">
        <is>
          <t>Industrial Goods &amp; Advanced Manufacturing</t>
        </is>
      </c>
      <c r="I213" s="1" t="inlineStr">
        <is>
          <t>Primary</t>
        </is>
      </c>
      <c r="J213" s="1" t="inlineStr">
        <is>
          <t>2024년 BPA 수요의 약 32%로 두 번째 핵심 용도</t>
        </is>
      </c>
      <c r="K213" s="1" t="inlineStr">
        <is>
          <t>Existing</t>
        </is>
      </c>
      <c r="L213" s="11" t="n"/>
    </row>
    <row r="214" ht="49.5" customHeight="1" s="179">
      <c r="A214" s="11">
        <f>_xlfn.XLOOKUP(표14[[#This Row],[material_name]],표2[material_name],표2[material_id])</f>
        <v/>
      </c>
      <c r="B214" s="11">
        <f>_xlfn.XLOOKUP(표14[[#This Row],[application_taxonomy]],표11[application_taxonomy],표11[app_id])</f>
        <v/>
      </c>
      <c r="C214" s="11">
        <f>_xlfn.XLOOKUP(표14[[#This Row],[end_use_industry]],표13[end_use_category],표13[end_use_id])</f>
        <v/>
      </c>
      <c r="D214" s="11">
        <f>_xlfn.XLOOKUP(표14[[#This Row],[importance]],표15[importance],표15[rating])</f>
        <v/>
      </c>
      <c r="E214" s="1" t="inlineStr">
        <is>
          <t>BPA</t>
        </is>
      </c>
      <c r="F214" s="1" t="inlineStr">
        <is>
          <t>Flame retardants, unsaturated polyester resins, polysulfone, PEI, polyarylate resins</t>
        </is>
      </c>
      <c r="G214" s="1" t="inlineStr">
        <is>
          <t>Specialty chemical intermediate</t>
        </is>
      </c>
      <c r="H214" s="1" t="inlineStr">
        <is>
          <t>Industrial Goods &amp; Advanced Manufacturing</t>
        </is>
      </c>
      <c r="I214" s="1" t="inlineStr">
        <is>
          <t>Niche / Emerging</t>
        </is>
      </c>
      <c r="J214" s="1" t="inlineStr">
        <is>
          <t>PC/epoxy 외 소량 specialty resin chain</t>
        </is>
      </c>
      <c r="K214" s="1" t="inlineStr">
        <is>
          <t>Existing</t>
        </is>
      </c>
      <c r="L214" s="11" t="n"/>
    </row>
    <row r="215" ht="33" customHeight="1" s="179">
      <c r="A215" s="11">
        <f>_xlfn.XLOOKUP(표14[[#This Row],[material_name]],표2[material_name],표2[material_id])</f>
        <v/>
      </c>
      <c r="B215" s="11">
        <f>_xlfn.XLOOKUP(표14[[#This Row],[application_taxonomy]],표11[application_taxonomy],표11[app_id])</f>
        <v/>
      </c>
      <c r="C215" s="11">
        <f>_xlfn.XLOOKUP(표14[[#This Row],[end_use_industry]],표13[end_use_category],표13[end_use_id])</f>
        <v/>
      </c>
      <c r="D215" s="11">
        <f>_xlfn.XLOOKUP(표14[[#This Row],[importance]],표15[importance],표15[rating])</f>
        <v/>
      </c>
      <c r="E215" s="1" t="inlineStr">
        <is>
          <t>PC</t>
        </is>
      </c>
      <c r="F215" s="1" t="inlineStr">
        <is>
          <t>Electronics/electrical components</t>
        </is>
      </c>
      <c r="G215" s="1" t="inlineStr">
        <is>
          <t>Electronic chemicals &amp; materials</t>
        </is>
      </c>
      <c r="H215" s="1" t="inlineStr">
        <is>
          <t>Electronics, Semiconductors &amp; Digital Infrastructure</t>
        </is>
      </c>
      <c r="I215" s="1" t="inlineStr">
        <is>
          <t>Primary</t>
        </is>
      </c>
      <c r="J215" s="1" t="inlineStr">
        <is>
          <t>PC의 내충격성·내열성·전기저항 특성을 활용하는 핵심 수요</t>
        </is>
      </c>
      <c r="K215" s="1" t="inlineStr">
        <is>
          <t>Existing</t>
        </is>
      </c>
      <c r="L215" s="11" t="n"/>
    </row>
    <row r="216" ht="33" customHeight="1" s="179">
      <c r="A216" s="11">
        <f>_xlfn.XLOOKUP(표14[[#This Row],[material_name]],표2[material_name],표2[material_id])</f>
        <v/>
      </c>
      <c r="B216" s="11">
        <f>_xlfn.XLOOKUP(표14[[#This Row],[application_taxonomy]],표11[application_taxonomy],표11[app_id])</f>
        <v/>
      </c>
      <c r="C216" s="11">
        <f>_xlfn.XLOOKUP(표14[[#This Row],[end_use_industry]],표13[end_use_category],표13[end_use_id])</f>
        <v/>
      </c>
      <c r="D216" s="11">
        <f>_xlfn.XLOOKUP(표14[[#This Row],[importance]],표15[importance],표15[rating])</f>
        <v/>
      </c>
      <c r="E216" s="1" t="inlineStr">
        <is>
          <t>PC</t>
        </is>
      </c>
      <c r="F216" s="1" t="inlineStr">
        <is>
          <t>Transportation and automotive glazing / lighting</t>
        </is>
      </c>
      <c r="G216" s="1" t="inlineStr">
        <is>
          <t>Automotive components &amp; lightweighting</t>
        </is>
      </c>
      <c r="H216" s="1" t="inlineStr">
        <is>
          <t>Automotive &amp; Future Mobility</t>
        </is>
      </c>
      <c r="I216" s="1" t="inlineStr">
        <is>
          <t>Primary</t>
        </is>
      </c>
      <c r="J216" s="1" t="inlineStr">
        <is>
          <t>자동차 조명, glazing, 경량화 용도로 중요</t>
        </is>
      </c>
      <c r="K216" s="1" t="inlineStr">
        <is>
          <t>Existing</t>
        </is>
      </c>
      <c r="L216" s="11" t="n"/>
    </row>
    <row r="217" ht="33" customHeight="1" s="179">
      <c r="A217" s="11">
        <f>_xlfn.XLOOKUP(표14[[#This Row],[material_name]],표2[material_name],표2[material_id])</f>
        <v/>
      </c>
      <c r="B217" s="11">
        <f>_xlfn.XLOOKUP(표14[[#This Row],[application_taxonomy]],표11[application_taxonomy],표11[app_id])</f>
        <v/>
      </c>
      <c r="C217" s="11">
        <f>_xlfn.XLOOKUP(표14[[#This Row],[end_use_industry]],표13[end_use_category],표13[end_use_id])</f>
        <v/>
      </c>
      <c r="D217" s="11">
        <f>_xlfn.XLOOKUP(표14[[#This Row],[importance]],표15[importance],표15[rating])</f>
        <v/>
      </c>
      <c r="E217" s="1" t="inlineStr">
        <is>
          <t>PC</t>
        </is>
      </c>
      <c r="F217" s="1" t="inlineStr">
        <is>
          <t>Windows, construction glazing, greenhouses</t>
        </is>
      </c>
      <c r="G217" s="1" t="inlineStr">
        <is>
          <t>Building materials &amp; profiles</t>
        </is>
      </c>
      <c r="H217" s="1" t="inlineStr">
        <is>
          <t>Construction &amp; Infrastructure</t>
        </is>
      </c>
      <c r="I217" s="1" t="inlineStr">
        <is>
          <t>Secondary</t>
        </is>
      </c>
      <c r="J217" s="1" t="inlineStr">
        <is>
          <t>투명성·내구성을 활용한 sheet/glazing 용도</t>
        </is>
      </c>
      <c r="K217" s="1" t="inlineStr">
        <is>
          <t>Existing</t>
        </is>
      </c>
      <c r="L217" s="11" t="n"/>
    </row>
    <row r="218">
      <c r="A218" s="11">
        <f>_xlfn.XLOOKUP(표14[[#This Row],[material_name]],표2[material_name],표2[material_id])</f>
        <v/>
      </c>
      <c r="B218" s="11">
        <f>_xlfn.XLOOKUP(표14[[#This Row],[application_taxonomy]],표11[application_taxonomy],표11[app_id])</f>
        <v/>
      </c>
      <c r="C218" s="11">
        <f>_xlfn.XLOOKUP(표14[[#This Row],[end_use_industry]],표13[end_use_category],표13[end_use_id])</f>
        <v/>
      </c>
      <c r="D218" s="11">
        <f>_xlfn.XLOOKUP(표14[[#This Row],[importance]],표15[importance],표15[rating])</f>
        <v/>
      </c>
      <c r="E218" s="1" t="inlineStr">
        <is>
          <t>PC</t>
        </is>
      </c>
      <c r="F218" s="1" t="inlineStr">
        <is>
          <t>Consumer goods and appliances</t>
        </is>
      </c>
      <c r="G218" s="1" t="inlineStr">
        <is>
          <t>Polymer resin / molding material</t>
        </is>
      </c>
      <c r="H218" s="1" t="inlineStr">
        <is>
          <t>Consumer Products &amp; Packaging</t>
        </is>
      </c>
      <c r="I218" s="1" t="inlineStr">
        <is>
          <t>Secondary</t>
        </is>
      </c>
      <c r="J218" s="1" t="inlineStr">
        <is>
          <t>내충격성 성형재로 가전·소비재에 사용</t>
        </is>
      </c>
      <c r="K218" s="1" t="inlineStr">
        <is>
          <t>Existing</t>
        </is>
      </c>
      <c r="L218" s="11" t="n"/>
    </row>
    <row r="219" ht="33" customHeight="1" s="179">
      <c r="A219" s="11">
        <f>_xlfn.XLOOKUP(표14[[#This Row],[material_name]],표2[material_name],표2[material_id])</f>
        <v/>
      </c>
      <c r="B219" s="11">
        <f>_xlfn.XLOOKUP(표14[[#This Row],[application_taxonomy]],표11[application_taxonomy],표11[app_id])</f>
        <v/>
      </c>
      <c r="C219" s="11">
        <f>_xlfn.XLOOKUP(표14[[#This Row],[end_use_industry]],표13[end_use_category],표13[end_use_id])</f>
        <v/>
      </c>
      <c r="D219" s="11">
        <f>_xlfn.XLOOKUP(표14[[#This Row],[importance]],표15[importance],표15[rating])</f>
        <v/>
      </c>
      <c r="E219" s="1" t="inlineStr">
        <is>
          <t>PC</t>
        </is>
      </c>
      <c r="F219" s="1" t="inlineStr">
        <is>
          <t>Medical devices / ophthalmic lenses</t>
        </is>
      </c>
      <c r="G219" s="1" t="inlineStr">
        <is>
          <t>Medical &amp; healthcare materials</t>
        </is>
      </c>
      <c r="H219" s="1" t="inlineStr">
        <is>
          <t>Healthcare &amp; Life Sciences</t>
        </is>
      </c>
      <c r="I219" s="1" t="inlineStr">
        <is>
          <t>Niche / Emerging</t>
        </is>
      </c>
      <c r="J219" s="1" t="inlineStr">
        <is>
          <t>의료기기·렌즈용 고성능 specialty application</t>
        </is>
      </c>
      <c r="K219" s="1" t="inlineStr">
        <is>
          <t>Existing</t>
        </is>
      </c>
      <c r="L219" s="11" t="n"/>
    </row>
    <row r="220" ht="33" customHeight="1" s="179">
      <c r="A220" s="11">
        <f>_xlfn.XLOOKUP(표14[[#This Row],[material_name]],표2[material_name],표2[material_id])</f>
        <v/>
      </c>
      <c r="B220" s="11">
        <f>_xlfn.XLOOKUP(표14[[#This Row],[application_taxonomy]],표11[application_taxonomy],표11[app_id])</f>
        <v/>
      </c>
      <c r="C220" s="11">
        <f>_xlfn.XLOOKUP(표14[[#This Row],[end_use_industry]],표13[end_use_category],표13[end_use_id])</f>
        <v/>
      </c>
      <c r="D220" s="11">
        <f>_xlfn.XLOOKUP(표14[[#This Row],[importance]],표15[importance],표15[rating])</f>
        <v/>
      </c>
      <c r="E220" s="1" t="inlineStr">
        <is>
          <t>Epoxy resin</t>
        </is>
      </c>
      <c r="F220" s="1" t="inlineStr">
        <is>
          <t>Coatings</t>
        </is>
      </c>
      <c r="G220" s="1" t="inlineStr">
        <is>
          <t>Surface coating</t>
        </is>
      </c>
      <c r="H220" s="1" t="inlineStr">
        <is>
          <t>Industrial Goods &amp; Advanced Manufacturing</t>
        </is>
      </c>
      <c r="I220" s="1" t="inlineStr">
        <is>
          <t>Primary</t>
        </is>
      </c>
      <c r="J220" s="1" t="inlineStr">
        <is>
          <t>2024년 epoxy 수요의 44%로 최대 application</t>
        </is>
      </c>
      <c r="K220" s="1" t="inlineStr">
        <is>
          <t>Existing</t>
        </is>
      </c>
      <c r="L220" s="11" t="n"/>
    </row>
    <row r="221" ht="33" customHeight="1" s="179">
      <c r="A221" s="11">
        <f>_xlfn.XLOOKUP(표14[[#This Row],[material_name]],표2[material_name],표2[material_id])</f>
        <v/>
      </c>
      <c r="B221" s="11">
        <f>_xlfn.XLOOKUP(표14[[#This Row],[application_taxonomy]],표11[application_taxonomy],표11[app_id])</f>
        <v/>
      </c>
      <c r="C221" s="11">
        <f>_xlfn.XLOOKUP(표14[[#This Row],[end_use_industry]],표13[end_use_category],표13[end_use_id])</f>
        <v/>
      </c>
      <c r="D221" s="11">
        <f>_xlfn.XLOOKUP(표14[[#This Row],[importance]],표15[importance],표15[rating])</f>
        <v/>
      </c>
      <c r="E221" s="1" t="inlineStr">
        <is>
          <t>Epoxy resin</t>
        </is>
      </c>
      <c r="F221" s="1" t="inlineStr">
        <is>
          <t>Electrical and electronics</t>
        </is>
      </c>
      <c r="G221" s="1" t="inlineStr">
        <is>
          <t>Electronic chemicals &amp; materials</t>
        </is>
      </c>
      <c r="H221" s="1" t="inlineStr">
        <is>
          <t>Electronics, Semiconductors &amp; Digital Infrastructure</t>
        </is>
      </c>
      <c r="I221" s="1" t="inlineStr">
        <is>
          <t>Primary</t>
        </is>
      </c>
      <c r="J221" s="1" t="inlineStr">
        <is>
          <t>2024년 19%, PCB/laminate 등 주요 수요</t>
        </is>
      </c>
      <c r="K221" s="1" t="inlineStr">
        <is>
          <t>Existing</t>
        </is>
      </c>
      <c r="L221" s="11" t="n"/>
    </row>
    <row r="222" ht="33" customHeight="1" s="179">
      <c r="A222" s="11">
        <f>_xlfn.XLOOKUP(표14[[#This Row],[material_name]],표2[material_name],표2[material_id])</f>
        <v/>
      </c>
      <c r="B222" s="11">
        <f>_xlfn.XLOOKUP(표14[[#This Row],[application_taxonomy]],표11[application_taxonomy],표11[app_id])</f>
        <v/>
      </c>
      <c r="C222" s="11">
        <f>_xlfn.XLOOKUP(표14[[#This Row],[end_use_industry]],표13[end_use_category],표13[end_use_id])</f>
        <v/>
      </c>
      <c r="D222" s="11">
        <f>_xlfn.XLOOKUP(표14[[#This Row],[importance]],표15[importance],표15[rating])</f>
        <v/>
      </c>
      <c r="E222" s="1" t="inlineStr">
        <is>
          <t>Epoxy resin</t>
        </is>
      </c>
      <c r="F222" s="1" t="inlineStr">
        <is>
          <t>Civil engineering, flooring, paving and construction</t>
        </is>
      </c>
      <c r="G222" s="1" t="inlineStr">
        <is>
          <t>Flooring &amp; interior materials</t>
        </is>
      </c>
      <c r="H222" s="1" t="inlineStr">
        <is>
          <t>Construction &amp; Infrastructure</t>
        </is>
      </c>
      <c r="I222" s="1" t="inlineStr">
        <is>
          <t>Secondary</t>
        </is>
      </c>
      <c r="J222" s="1" t="inlineStr">
        <is>
          <t>2024년 14%, 건설·바닥재·토목용</t>
        </is>
      </c>
      <c r="K222" s="1" t="inlineStr">
        <is>
          <t>Existing</t>
        </is>
      </c>
      <c r="L222" s="11" t="n"/>
    </row>
    <row r="223">
      <c r="A223" s="11">
        <f>_xlfn.XLOOKUP(표14[[#This Row],[material_name]],표2[material_name],표2[material_id])</f>
        <v/>
      </c>
      <c r="B223" s="11">
        <f>_xlfn.XLOOKUP(표14[[#This Row],[application_taxonomy]],표11[application_taxonomy],표11[app_id])</f>
        <v/>
      </c>
      <c r="C223" s="11">
        <f>_xlfn.XLOOKUP(표14[[#This Row],[end_use_industry]],표13[end_use_category],표13[end_use_id])</f>
        <v/>
      </c>
      <c r="D223" s="11">
        <f>_xlfn.XLOOKUP(표14[[#This Row],[importance]],표15[importance],표15[rating])</f>
        <v/>
      </c>
      <c r="E223" s="1" t="inlineStr">
        <is>
          <t>Epoxy resin</t>
        </is>
      </c>
      <c r="F223" s="1" t="inlineStr">
        <is>
          <t>Composites</t>
        </is>
      </c>
      <c r="G223" s="1" t="inlineStr">
        <is>
          <t>Composite &amp; performance resins</t>
        </is>
      </c>
      <c r="H223" s="1" t="inlineStr">
        <is>
          <t>Automotive &amp; Future Mobility</t>
        </is>
      </c>
      <c r="I223" s="1" t="inlineStr">
        <is>
          <t>Secondary</t>
        </is>
      </c>
      <c r="J223" s="1" t="inlineStr">
        <is>
          <t>2024년 11%, 풍력 블레이드·항공·자동차 경량화에 사용</t>
        </is>
      </c>
      <c r="K223" s="1" t="inlineStr">
        <is>
          <t>Existing</t>
        </is>
      </c>
      <c r="L223" s="11" t="n"/>
    </row>
    <row r="224" ht="33" customHeight="1" s="179">
      <c r="A224" s="11">
        <f>_xlfn.XLOOKUP(표14[[#This Row],[material_name]],표2[material_name],표2[material_id])</f>
        <v/>
      </c>
      <c r="B224" s="11">
        <f>_xlfn.XLOOKUP(표14[[#This Row],[application_taxonomy]],표11[application_taxonomy],표11[app_id])</f>
        <v/>
      </c>
      <c r="C224" s="11">
        <f>_xlfn.XLOOKUP(표14[[#This Row],[end_use_industry]],표13[end_use_category],표13[end_use_id])</f>
        <v/>
      </c>
      <c r="D224" s="11">
        <f>_xlfn.XLOOKUP(표14[[#This Row],[importance]],표15[importance],표15[rating])</f>
        <v/>
      </c>
      <c r="E224" s="1" t="inlineStr">
        <is>
          <t>Epoxy resin</t>
        </is>
      </c>
      <c r="F224" s="1" t="inlineStr">
        <is>
          <t>Adhesives</t>
        </is>
      </c>
      <c r="G224" s="1" t="inlineStr">
        <is>
          <t>Adhesive bonding</t>
        </is>
      </c>
      <c r="H224" s="1" t="inlineStr">
        <is>
          <t>Industrial Goods &amp; Advanced Manufacturing</t>
        </is>
      </c>
      <c r="I224" s="1" t="inlineStr">
        <is>
          <t>Secondary</t>
        </is>
      </c>
      <c r="J224" s="1" t="inlineStr">
        <is>
          <t>2024년 7%, 자동차·항공의 이종재 접합 수요 성장</t>
        </is>
      </c>
      <c r="K224" s="1" t="inlineStr">
        <is>
          <t>Existing</t>
        </is>
      </c>
      <c r="L224" s="11" t="n"/>
    </row>
    <row r="225" ht="33" customHeight="1" s="179">
      <c r="A225" s="11">
        <f>_xlfn.XLOOKUP(표14[[#This Row],[material_name]],표2[material_name],표2[material_id])</f>
        <v/>
      </c>
      <c r="B225" s="11">
        <f>_xlfn.XLOOKUP(표14[[#This Row],[application_taxonomy]],표11[application_taxonomy],표11[app_id])</f>
        <v/>
      </c>
      <c r="C225" s="11">
        <f>_xlfn.XLOOKUP(표14[[#This Row],[end_use_industry]],표13[end_use_category],표13[end_use_id])</f>
        <v/>
      </c>
      <c r="D225" s="11">
        <f>_xlfn.XLOOKUP(표14[[#This Row],[importance]],표15[importance],표15[rating])</f>
        <v/>
      </c>
      <c r="E225" s="1" t="inlineStr">
        <is>
          <t>Cyclohexane</t>
        </is>
      </c>
      <c r="F225" s="1" t="inlineStr">
        <is>
          <t>Cyclohexanone production</t>
        </is>
      </c>
      <c r="G225" s="1" t="inlineStr">
        <is>
          <t>Major chemical intermediate</t>
        </is>
      </c>
      <c r="H225" s="1" t="inlineStr">
        <is>
          <t>Industrial Goods &amp; Advanced Manufacturing</t>
        </is>
      </c>
      <c r="I225" s="1" t="inlineStr">
        <is>
          <t>Primary</t>
        </is>
      </c>
      <c r="J225" s="1" t="inlineStr">
        <is>
          <t>2024년 cyclohexane 수요의 64%로 최대 downstream</t>
        </is>
      </c>
      <c r="K225" s="1" t="inlineStr">
        <is>
          <t>Existing</t>
        </is>
      </c>
      <c r="L225" s="11" t="n"/>
    </row>
    <row r="226" ht="33" customHeight="1" s="179">
      <c r="A226" s="11">
        <f>_xlfn.XLOOKUP(표14[[#This Row],[material_name]],표2[material_name],표2[material_id])</f>
        <v/>
      </c>
      <c r="B226" s="11">
        <f>_xlfn.XLOOKUP(표14[[#This Row],[application_taxonomy]],표11[application_taxonomy],표11[app_id])</f>
        <v/>
      </c>
      <c r="C226" s="11">
        <f>_xlfn.XLOOKUP(표14[[#This Row],[end_use_industry]],표13[end_use_category],표13[end_use_id])</f>
        <v/>
      </c>
      <c r="D226" s="11">
        <f>_xlfn.XLOOKUP(표14[[#This Row],[importance]],표15[importance],표15[rating])</f>
        <v/>
      </c>
      <c r="E226" s="1" t="inlineStr">
        <is>
          <t>Cyclohexane</t>
        </is>
      </c>
      <c r="F226" s="1" t="inlineStr">
        <is>
          <t>Adipic acid production</t>
        </is>
      </c>
      <c r="G226" s="1" t="inlineStr">
        <is>
          <t>Major chemical intermediate</t>
        </is>
      </c>
      <c r="H226" s="1" t="inlineStr">
        <is>
          <t>Industrial Goods &amp; Advanced Manufacturing</t>
        </is>
      </c>
      <c r="I226" s="1" t="inlineStr">
        <is>
          <t>Primary</t>
        </is>
      </c>
      <c r="J226" s="1" t="inlineStr">
        <is>
          <t>2024년 cyclohexane 수요의 23%로 핵심 downstream</t>
        </is>
      </c>
      <c r="K226" s="1" t="inlineStr">
        <is>
          <t>Existing</t>
        </is>
      </c>
      <c r="L226" s="11" t="n"/>
    </row>
    <row r="227" ht="33" customHeight="1" s="179">
      <c r="A227" s="11">
        <f>_xlfn.XLOOKUP(표14[[#This Row],[material_name]],표2[material_name],표2[material_id])</f>
        <v/>
      </c>
      <c r="B227" s="11">
        <f>_xlfn.XLOOKUP(표14[[#This Row],[application_taxonomy]],표11[application_taxonomy],표11[app_id])</f>
        <v/>
      </c>
      <c r="C227" s="11">
        <f>_xlfn.XLOOKUP(표14[[#This Row],[end_use_industry]],표13[end_use_category],표13[end_use_id])</f>
        <v/>
      </c>
      <c r="D227" s="11">
        <f>_xlfn.XLOOKUP(표14[[#This Row],[importance]],표15[importance],표15[rating])</f>
        <v/>
      </c>
      <c r="E227" s="1" t="inlineStr">
        <is>
          <t>Cyclohexane</t>
        </is>
      </c>
      <c r="F227" s="1" t="inlineStr">
        <is>
          <t>Solvent and other applications</t>
        </is>
      </c>
      <c r="G227" s="1" t="inlineStr">
        <is>
          <t>Solvent &amp; extraction</t>
        </is>
      </c>
      <c r="H227" s="1" t="inlineStr">
        <is>
          <t>Industrial Goods &amp; Advanced Manufacturing</t>
        </is>
      </c>
      <c r="I227" s="1" t="inlineStr">
        <is>
          <t>Niche / Emerging</t>
        </is>
      </c>
      <c r="J227" s="1" t="inlineStr">
        <is>
          <t>기타 용도가 11%로 존재하나 주력은 intermediate</t>
        </is>
      </c>
      <c r="K227" s="1" t="inlineStr">
        <is>
          <t>Existing</t>
        </is>
      </c>
      <c r="L227" s="11" t="n"/>
    </row>
    <row r="228" ht="33" customHeight="1" s="179">
      <c r="A228" s="11">
        <f>_xlfn.XLOOKUP(표14[[#This Row],[material_name]],표2[material_name],표2[material_id])</f>
        <v/>
      </c>
      <c r="B228" s="11">
        <f>_xlfn.XLOOKUP(표14[[#This Row],[application_taxonomy]],표11[application_taxonomy],표11[app_id])</f>
        <v/>
      </c>
      <c r="C228" s="11">
        <f>_xlfn.XLOOKUP(표14[[#This Row],[end_use_industry]],표13[end_use_category],표13[end_use_id])</f>
        <v/>
      </c>
      <c r="D228" s="11">
        <f>_xlfn.XLOOKUP(표14[[#This Row],[importance]],표15[importance],표15[rating])</f>
        <v/>
      </c>
      <c r="E228" s="1" t="inlineStr">
        <is>
          <t>Aniline</t>
        </is>
      </c>
      <c r="F228" s="1" t="inlineStr">
        <is>
          <t>MDI production</t>
        </is>
      </c>
      <c r="G228" s="1" t="inlineStr">
        <is>
          <t>Major chemical intermediate</t>
        </is>
      </c>
      <c r="H228" s="1" t="inlineStr">
        <is>
          <t>Industrial Goods &amp; Advanced Manufacturing</t>
        </is>
      </c>
      <c r="I228" s="1" t="inlineStr">
        <is>
          <t>Primary</t>
        </is>
      </c>
      <c r="J228" s="1" t="inlineStr">
        <is>
          <t>2023년 전세계 aniline 수요의 약 85%가 MDI용으로 소비된 핵심 route</t>
        </is>
      </c>
      <c r="K228" s="1" t="inlineStr">
        <is>
          <t>Existing</t>
        </is>
      </c>
      <c r="L228" s="11" t="n"/>
    </row>
    <row r="229">
      <c r="A229" s="11">
        <f>_xlfn.XLOOKUP(표14[[#This Row],[material_name]],표2[material_name],표2[material_id])</f>
        <v/>
      </c>
      <c r="B229" s="11">
        <f>_xlfn.XLOOKUP(표14[[#This Row],[application_taxonomy]],표11[application_taxonomy],표11[app_id])</f>
        <v/>
      </c>
      <c r="C229" s="11">
        <f>_xlfn.XLOOKUP(표14[[#This Row],[end_use_industry]],표13[end_use_category],표13[end_use_id])</f>
        <v/>
      </c>
      <c r="D229" s="11">
        <f>_xlfn.XLOOKUP(표14[[#This Row],[importance]],표15[importance],표15[rating])</f>
        <v/>
      </c>
      <c r="E229" s="1" t="inlineStr">
        <is>
          <t>Aniline</t>
        </is>
      </c>
      <c r="F229" s="1" t="inlineStr">
        <is>
          <t>Rubber-processing chemicals</t>
        </is>
      </c>
      <c r="G229" s="1" t="inlineStr">
        <is>
          <t>Tire &amp; rubber applications</t>
        </is>
      </c>
      <c r="H229" s="1" t="inlineStr">
        <is>
          <t>Automotive &amp; Future Mobility</t>
        </is>
      </c>
      <c r="I229" s="1" t="inlineStr">
        <is>
          <t>Secondary</t>
        </is>
      </c>
      <c r="J229" s="1" t="inlineStr">
        <is>
          <t>비-MDI 주요 용도이며 rubber additives 원료로 사용</t>
        </is>
      </c>
      <c r="K229" s="1" t="inlineStr">
        <is>
          <t>Existing</t>
        </is>
      </c>
      <c r="L229" s="11" t="n"/>
    </row>
    <row r="230" ht="33" customHeight="1" s="179">
      <c r="A230" s="11">
        <f>_xlfn.XLOOKUP(표14[[#This Row],[material_name]],표2[material_name],표2[material_id])</f>
        <v/>
      </c>
      <c r="B230" s="11">
        <f>_xlfn.XLOOKUP(표14[[#This Row],[application_taxonomy]],표11[application_taxonomy],표11[app_id])</f>
        <v/>
      </c>
      <c r="C230" s="11">
        <f>_xlfn.XLOOKUP(표14[[#This Row],[end_use_industry]],표13[end_use_category],표13[end_use_id])</f>
        <v/>
      </c>
      <c r="D230" s="11">
        <f>_xlfn.XLOOKUP(표14[[#This Row],[importance]],표15[importance],표15[rating])</f>
        <v/>
      </c>
      <c r="E230" s="1" t="inlineStr">
        <is>
          <t>Aniline</t>
        </is>
      </c>
      <c r="F230" s="1" t="inlineStr">
        <is>
          <t>Dyes and pigments</t>
        </is>
      </c>
      <c r="G230" s="1" t="inlineStr">
        <is>
          <t>Printing inks &amp; graphic materials</t>
        </is>
      </c>
      <c r="H230" s="1" t="inlineStr">
        <is>
          <t>Industrial Goods &amp; Advanced Manufacturing</t>
        </is>
      </c>
      <c r="I230" s="1" t="inlineStr">
        <is>
          <t>Secondary</t>
        </is>
      </c>
      <c r="J230" s="1" t="inlineStr">
        <is>
          <t>염료·안료용 aniline계 중간체로 사용되나 MDI 대비 소량</t>
        </is>
      </c>
      <c r="K230" s="1" t="inlineStr">
        <is>
          <t>Existing</t>
        </is>
      </c>
      <c r="L230" s="11" t="n"/>
    </row>
    <row r="231" ht="33" customHeight="1" s="179">
      <c r="A231" s="11">
        <f>_xlfn.XLOOKUP(표14[[#This Row],[material_name]],표2[material_name],표2[material_id])</f>
        <v/>
      </c>
      <c r="B231" s="11">
        <f>_xlfn.XLOOKUP(표14[[#This Row],[application_taxonomy]],표11[application_taxonomy],표11[app_id])</f>
        <v/>
      </c>
      <c r="C231" s="11">
        <f>_xlfn.XLOOKUP(표14[[#This Row],[end_use_industry]],표13[end_use_category],표13[end_use_id])</f>
        <v/>
      </c>
      <c r="D231" s="11">
        <f>_xlfn.XLOOKUP(표14[[#This Row],[importance]],표15[importance],표15[rating])</f>
        <v/>
      </c>
      <c r="E231" s="1" t="inlineStr">
        <is>
          <t>Aniline</t>
        </is>
      </c>
      <c r="F231" s="1" t="inlineStr">
        <is>
          <t>Pharmaceuticals</t>
        </is>
      </c>
      <c r="G231" s="1" t="inlineStr">
        <is>
          <t>Medical &amp; healthcare materials</t>
        </is>
      </c>
      <c r="H231" s="1" t="inlineStr">
        <is>
          <t>Healthcare &amp; Life Sciences</t>
        </is>
      </c>
      <c r="I231" s="1" t="inlineStr">
        <is>
          <t>Niche / Emerging</t>
        </is>
      </c>
      <c r="J231" s="1" t="inlineStr">
        <is>
          <t>의약품 중간체로 언급되나 전체 수요 내 비중은 제한적</t>
        </is>
      </c>
      <c r="K231" s="1" t="inlineStr">
        <is>
          <t>Existing</t>
        </is>
      </c>
      <c r="L231" s="11" t="n"/>
    </row>
    <row r="232" ht="33" customHeight="1" s="179">
      <c r="A232" s="11">
        <f>_xlfn.XLOOKUP(표14[[#This Row],[material_name]],표2[material_name],표2[material_id])</f>
        <v/>
      </c>
      <c r="B232" s="11">
        <f>_xlfn.XLOOKUP(표14[[#This Row],[application_taxonomy]],표11[application_taxonomy],표11[app_id])</f>
        <v/>
      </c>
      <c r="C232" s="11">
        <f>_xlfn.XLOOKUP(표14[[#This Row],[end_use_industry]],표13[end_use_category],표13[end_use_id])</f>
        <v/>
      </c>
      <c r="D232" s="11">
        <f>_xlfn.XLOOKUP(표14[[#This Row],[importance]],표15[importance],표15[rating])</f>
        <v/>
      </c>
      <c r="E232" s="1" t="inlineStr">
        <is>
          <t>Aniline</t>
        </is>
      </c>
      <c r="F232" s="1" t="inlineStr">
        <is>
          <t>Herbicides / insecticides / fungicides</t>
        </is>
      </c>
      <c r="G232" s="1" t="inlineStr">
        <is>
          <t>Crop protection &amp; agrochemical intermediates</t>
        </is>
      </c>
      <c r="H232" s="1" t="inlineStr">
        <is>
          <t>Agriculture</t>
        </is>
      </c>
      <c r="I232" s="1" t="inlineStr">
        <is>
          <t>Niche / Emerging</t>
        </is>
      </c>
      <c r="J232" s="1" t="inlineStr">
        <is>
          <t>작물보호제 중간체로 사용되나 비-MDI 내 세부 niche 용도</t>
        </is>
      </c>
      <c r="K232" s="1" t="inlineStr">
        <is>
          <t>Existing</t>
        </is>
      </c>
      <c r="L232" s="11" t="n"/>
    </row>
    <row r="233" ht="33" customHeight="1" s="179">
      <c r="A233" s="11">
        <f>_xlfn.XLOOKUP(표14[[#This Row],[material_name]],표2[material_name],표2[material_id])</f>
        <v/>
      </c>
      <c r="B233" s="11">
        <f>_xlfn.XLOOKUP(표14[[#This Row],[application_taxonomy]],표11[application_taxonomy],표11[app_id])</f>
        <v/>
      </c>
      <c r="C233" s="11">
        <f>_xlfn.XLOOKUP(표14[[#This Row],[end_use_industry]],표13[end_use_category],표13[end_use_id])</f>
        <v/>
      </c>
      <c r="D233" s="11">
        <f>_xlfn.XLOOKUP(표14[[#This Row],[importance]],표15[importance],표15[rating])</f>
        <v/>
      </c>
      <c r="E233" s="1" t="inlineStr">
        <is>
          <t>LAB</t>
        </is>
      </c>
      <c r="F233" s="1" t="inlineStr">
        <is>
          <t>Linear alkylbenzene sulfonate (LAS)</t>
        </is>
      </c>
      <c r="G233" s="1" t="inlineStr">
        <is>
          <t>Major chemical intermediate</t>
        </is>
      </c>
      <c r="H233" s="1" t="inlineStr">
        <is>
          <t>Industrial Goods &amp; Advanced Manufacturing</t>
        </is>
      </c>
      <c r="I233" s="1" t="inlineStr">
        <is>
          <t>Primary</t>
        </is>
      </c>
      <c r="J233" s="1" t="inlineStr">
        <is>
          <t>LAB의 거의 전량이 sulfonation을 통해 LAS로 전환되는 핵심 downstream route</t>
        </is>
      </c>
      <c r="K233" s="1" t="inlineStr">
        <is>
          <t>Existing</t>
        </is>
      </c>
      <c r="L233" s="11" t="n"/>
    </row>
    <row r="234" ht="33" customHeight="1" s="179">
      <c r="A234" s="11">
        <f>_xlfn.XLOOKUP(표14[[#This Row],[material_name]],표2[material_name],표2[material_id])</f>
        <v/>
      </c>
      <c r="B234" s="11">
        <f>_xlfn.XLOOKUP(표14[[#This Row],[application_taxonomy]],표11[application_taxonomy],표11[app_id])</f>
        <v/>
      </c>
      <c r="C234" s="11">
        <f>_xlfn.XLOOKUP(표14[[#This Row],[end_use_industry]],표13[end_use_category],표13[end_use_id])</f>
        <v/>
      </c>
      <c r="D234" s="11">
        <f>_xlfn.XLOOKUP(표14[[#This Row],[importance]],표15[importance],표15[rating])</f>
        <v/>
      </c>
      <c r="E234" s="1" t="inlineStr">
        <is>
          <t>LAB</t>
        </is>
      </c>
      <c r="F234" s="1" t="inlineStr">
        <is>
          <t>Household detergents</t>
        </is>
      </c>
      <c r="G234" s="1" t="inlineStr">
        <is>
          <t>Surfactant &amp; emulsification</t>
        </is>
      </c>
      <c r="H234" s="1" t="inlineStr">
        <is>
          <t>Consumer Products &amp; Packaging</t>
        </is>
      </c>
      <c r="I234" s="1" t="inlineStr">
        <is>
          <t>Primary</t>
        </is>
      </c>
      <c r="J234" s="1" t="inlineStr">
        <is>
          <t>LAS는 household detergent와 cleaning product의 주요 synthetic surfactant</t>
        </is>
      </c>
      <c r="K234" s="1" t="inlineStr">
        <is>
          <t>Existing</t>
        </is>
      </c>
      <c r="L234" s="11" t="n"/>
    </row>
    <row r="235" ht="33" customHeight="1" s="179">
      <c r="A235" s="11">
        <f>_xlfn.XLOOKUP(표14[[#This Row],[material_name]],표2[material_name],표2[material_id])</f>
        <v/>
      </c>
      <c r="B235" s="11">
        <f>_xlfn.XLOOKUP(표14[[#This Row],[application_taxonomy]],표11[application_taxonomy],표11[app_id])</f>
        <v/>
      </c>
      <c r="C235" s="11">
        <f>_xlfn.XLOOKUP(표14[[#This Row],[end_use_industry]],표13[end_use_category],표13[end_use_id])</f>
        <v/>
      </c>
      <c r="D235" s="11">
        <f>_xlfn.XLOOKUP(표14[[#This Row],[importance]],표15[importance],표15[rating])</f>
        <v/>
      </c>
      <c r="E235" s="1" t="inlineStr">
        <is>
          <t>LAB</t>
        </is>
      </c>
      <c r="F235" s="1" t="inlineStr">
        <is>
          <t>Refrigerator oils</t>
        </is>
      </c>
      <c r="G235" s="1" t="inlineStr">
        <is>
          <t>Lubrication &amp; friction control</t>
        </is>
      </c>
      <c r="H235" s="1" t="inlineStr">
        <is>
          <t>Industrial Goods &amp; Advanced Manufacturing</t>
        </is>
      </c>
      <c r="I235" s="1" t="inlineStr">
        <is>
          <t>Niche / Emerging</t>
        </is>
      </c>
      <c r="J235" s="1" t="inlineStr">
        <is>
          <t>bottoms cut의 특수 윤활유 용도로 언급되나 본 LAB 시장에는 포함되지 않는 주변 용도</t>
        </is>
      </c>
      <c r="K235" s="1" t="inlineStr">
        <is>
          <t>Existing</t>
        </is>
      </c>
      <c r="L235" s="11" t="n"/>
    </row>
    <row r="236" ht="33" customHeight="1" s="179">
      <c r="A236" s="11">
        <f>_xlfn.XLOOKUP(표14[[#This Row],[material_name]],표2[material_name],표2[material_id])</f>
        <v/>
      </c>
      <c r="B236" s="11">
        <f>_xlfn.XLOOKUP(표14[[#This Row],[application_taxonomy]],표11[application_taxonomy],표11[app_id])</f>
        <v/>
      </c>
      <c r="C236" s="11">
        <f>_xlfn.XLOOKUP(표14[[#This Row],[end_use_industry]],표13[end_use_category],표13[end_use_id])</f>
        <v/>
      </c>
      <c r="D236" s="11">
        <f>_xlfn.XLOOKUP(표14[[#This Row],[importance]],표15[importance],표15[rating])</f>
        <v/>
      </c>
      <c r="E236" s="1" t="inlineStr">
        <is>
          <t>Cyclohexanone</t>
        </is>
      </c>
      <c r="F236" s="1" t="inlineStr">
        <is>
          <t>Caprolactam production</t>
        </is>
      </c>
      <c r="G236" s="1" t="inlineStr">
        <is>
          <t>Major chemical intermediate</t>
        </is>
      </c>
      <c r="H236" s="1" t="inlineStr">
        <is>
          <t>Industrial Goods &amp; Advanced Manufacturing</t>
        </is>
      </c>
      <c r="I236" s="1" t="inlineStr">
        <is>
          <t>Primary</t>
        </is>
      </c>
      <c r="J236" s="1" t="inlineStr">
        <is>
          <t>2024년 cyclohexanone 수요의 95%가 caprolactam 생산</t>
        </is>
      </c>
      <c r="K236" s="1" t="inlineStr">
        <is>
          <t>Existing</t>
        </is>
      </c>
      <c r="L236" s="11" t="n"/>
    </row>
    <row r="237" ht="33" customHeight="1" s="179">
      <c r="A237" s="11">
        <f>_xlfn.XLOOKUP(표14[[#This Row],[material_name]],표2[material_name],표2[material_id])</f>
        <v/>
      </c>
      <c r="B237" s="11">
        <f>_xlfn.XLOOKUP(표14[[#This Row],[application_taxonomy]],표11[application_taxonomy],표11[app_id])</f>
        <v/>
      </c>
      <c r="C237" s="11">
        <f>_xlfn.XLOOKUP(표14[[#This Row],[end_use_industry]],표13[end_use_category],표13[end_use_id])</f>
        <v/>
      </c>
      <c r="D237" s="11">
        <f>_xlfn.XLOOKUP(표14[[#This Row],[importance]],표15[importance],표15[rating])</f>
        <v/>
      </c>
      <c r="E237" s="1" t="inlineStr">
        <is>
          <t>Cyclohexanone</t>
        </is>
      </c>
      <c r="F237" s="1" t="inlineStr">
        <is>
          <t>Solvent in coatings, paints and adhesives</t>
        </is>
      </c>
      <c r="G237" s="1" t="inlineStr">
        <is>
          <t>Solvent &amp; extraction</t>
        </is>
      </c>
      <c r="H237" s="1" t="inlineStr">
        <is>
          <t>Industrial Goods &amp; Advanced Manufacturing</t>
        </is>
      </c>
      <c r="I237" s="1" t="inlineStr">
        <is>
          <t>Niche / Emerging</t>
        </is>
      </c>
      <c r="J237" s="1" t="inlineStr">
        <is>
          <t>caprolactam 외 소량 용도</t>
        </is>
      </c>
      <c r="K237" s="1" t="inlineStr">
        <is>
          <t>Existing</t>
        </is>
      </c>
      <c r="L237" s="11" t="n"/>
    </row>
    <row r="238" ht="33" customHeight="1" s="179">
      <c r="A238" s="11">
        <f>_xlfn.XLOOKUP(표14[[#This Row],[material_name]],표2[material_name],표2[material_id])</f>
        <v/>
      </c>
      <c r="B238" s="11">
        <f>_xlfn.XLOOKUP(표14[[#This Row],[application_taxonomy]],표11[application_taxonomy],표11[app_id])</f>
        <v/>
      </c>
      <c r="C238" s="11">
        <f>_xlfn.XLOOKUP(표14[[#This Row],[end_use_industry]],표13[end_use_category],표13[end_use_id])</f>
        <v/>
      </c>
      <c r="D238" s="11">
        <f>_xlfn.XLOOKUP(표14[[#This Row],[importance]],표15[importance],표15[rating])</f>
        <v/>
      </c>
      <c r="E238" s="1" t="inlineStr">
        <is>
          <t>Cyclohexanone</t>
        </is>
      </c>
      <c r="F238" s="1" t="inlineStr">
        <is>
          <t>Herbicides and pesticides intermediate</t>
        </is>
      </c>
      <c r="G238" s="1" t="inlineStr">
        <is>
          <t>Specialty chemical intermediate</t>
        </is>
      </c>
      <c r="H238" s="1" t="inlineStr">
        <is>
          <t>Agriculture</t>
        </is>
      </c>
      <c r="I238" s="1" t="inlineStr">
        <is>
          <t>Niche / Emerging</t>
        </is>
      </c>
      <c r="J238" s="1" t="inlineStr">
        <is>
          <t>농약 중간체로 언급되나 규모는 작음</t>
        </is>
      </c>
      <c r="K238" s="1" t="inlineStr">
        <is>
          <t>Existing</t>
        </is>
      </c>
      <c r="L238" s="11" t="n"/>
    </row>
    <row r="239" ht="33" customHeight="1" s="179">
      <c r="A239" s="11">
        <f>_xlfn.XLOOKUP(표14[[#This Row],[material_name]],표2[material_name],표2[material_id])</f>
        <v/>
      </c>
      <c r="B239" s="11">
        <f>_xlfn.XLOOKUP(표14[[#This Row],[application_taxonomy]],표11[application_taxonomy],표11[app_id])</f>
        <v/>
      </c>
      <c r="C239" s="11">
        <f>_xlfn.XLOOKUP(표14[[#This Row],[end_use_industry]],표13[end_use_category],표13[end_use_id])</f>
        <v/>
      </c>
      <c r="D239" s="11">
        <f>_xlfn.XLOOKUP(표14[[#This Row],[importance]],표15[importance],표15[rating])</f>
        <v/>
      </c>
      <c r="E239" s="1" t="inlineStr">
        <is>
          <t>MA</t>
        </is>
      </c>
      <c r="F239" s="1" t="inlineStr">
        <is>
          <t>Unsaturated polyester resins</t>
        </is>
      </c>
      <c r="G239" s="1" t="inlineStr">
        <is>
          <t>Major chemical intermediate</t>
        </is>
      </c>
      <c r="H239" s="1" t="inlineStr">
        <is>
          <t>Construction &amp; Infrastructure</t>
        </is>
      </c>
      <c r="I239" s="1" t="inlineStr">
        <is>
          <t>Primary</t>
        </is>
      </c>
      <c r="J239" s="1" t="inlineStr">
        <is>
          <t>2024년 MAN 소비의 58%로 최대 수요처이며 건설·자동차·해양 FRP와 연계</t>
        </is>
      </c>
      <c r="K239" s="1" t="inlineStr">
        <is>
          <t>Existing</t>
        </is>
      </c>
      <c r="L239" s="11" t="n"/>
    </row>
    <row r="240" ht="33" customHeight="1" s="179">
      <c r="A240" s="11">
        <f>_xlfn.XLOOKUP(표14[[#This Row],[material_name]],표2[material_name],표2[material_id])</f>
        <v/>
      </c>
      <c r="B240" s="11">
        <f>_xlfn.XLOOKUP(표14[[#This Row],[application_taxonomy]],표11[application_taxonomy],표11[app_id])</f>
        <v/>
      </c>
      <c r="C240" s="11">
        <f>_xlfn.XLOOKUP(표14[[#This Row],[end_use_industry]],표13[end_use_category],표13[end_use_id])</f>
        <v/>
      </c>
      <c r="D240" s="11">
        <f>_xlfn.XLOOKUP(표14[[#This Row],[importance]],표15[importance],표15[rating])</f>
        <v/>
      </c>
      <c r="E240" s="1" t="inlineStr">
        <is>
          <t>MA</t>
        </is>
      </c>
      <c r="F240" s="1" t="inlineStr">
        <is>
          <t>Fumaric acid</t>
        </is>
      </c>
      <c r="G240" s="1" t="inlineStr">
        <is>
          <t>Specialty chemical intermediate</t>
        </is>
      </c>
      <c r="H240" s="1" t="inlineStr">
        <is>
          <t>Industrial Goods &amp; Advanced Manufacturing</t>
        </is>
      </c>
      <c r="I240" s="1" t="inlineStr">
        <is>
          <t>Secondary</t>
        </is>
      </c>
      <c r="J240" s="1" t="inlineStr">
        <is>
          <t>2024년 9% 수요처이며 식품, UPR, paper sizing 등으로 연결</t>
        </is>
      </c>
      <c r="K240" s="1" t="inlineStr">
        <is>
          <t>Existing</t>
        </is>
      </c>
      <c r="L240" s="11" t="n"/>
    </row>
    <row r="241" ht="33" customHeight="1" s="179">
      <c r="A241" s="11">
        <f>_xlfn.XLOOKUP(표14[[#This Row],[material_name]],표2[material_name],표2[material_id])</f>
        <v/>
      </c>
      <c r="B241" s="11">
        <f>_xlfn.XLOOKUP(표14[[#This Row],[application_taxonomy]],표11[application_taxonomy],표11[app_id])</f>
        <v/>
      </c>
      <c r="C241" s="11">
        <f>_xlfn.XLOOKUP(표14[[#This Row],[end_use_industry]],표13[end_use_category],표13[end_use_id])</f>
        <v/>
      </c>
      <c r="D241" s="11">
        <f>_xlfn.XLOOKUP(표14[[#This Row],[importance]],표15[importance],표15[rating])</f>
        <v/>
      </c>
      <c r="E241" s="1" t="inlineStr">
        <is>
          <t>MA</t>
        </is>
      </c>
      <c r="F241" s="1" t="inlineStr">
        <is>
          <t>Lubricating oil additives</t>
        </is>
      </c>
      <c r="G241" s="1" t="inlineStr">
        <is>
          <t>Lubrication &amp; friction control</t>
        </is>
      </c>
      <c r="H241" s="1" t="inlineStr">
        <is>
          <t>Industrial Goods &amp; Advanced Manufacturing</t>
        </is>
      </c>
      <c r="I241" s="1" t="inlineStr">
        <is>
          <t>Secondary</t>
        </is>
      </c>
      <c r="J241" s="1" t="inlineStr">
        <is>
          <t>dispersant 및 corrosion inhibitor용 lube additive 중간체</t>
        </is>
      </c>
      <c r="K241" s="1" t="inlineStr">
        <is>
          <t>Existing</t>
        </is>
      </c>
      <c r="L241" s="11" t="n"/>
    </row>
    <row r="242" ht="33" customHeight="1" s="179">
      <c r="A242" s="11">
        <f>_xlfn.XLOOKUP(표14[[#This Row],[material_name]],표2[material_name],표2[material_id])</f>
        <v/>
      </c>
      <c r="B242" s="11">
        <f>_xlfn.XLOOKUP(표14[[#This Row],[application_taxonomy]],표11[application_taxonomy],표11[app_id])</f>
        <v/>
      </c>
      <c r="C242" s="11">
        <f>_xlfn.XLOOKUP(표14[[#This Row],[end_use_industry]],표13[end_use_category],표13[end_use_id])</f>
        <v/>
      </c>
      <c r="D242" s="11">
        <f>_xlfn.XLOOKUP(표14[[#This Row],[importance]],표15[importance],표15[rating])</f>
        <v/>
      </c>
      <c r="E242" s="1" t="inlineStr">
        <is>
          <t>MA</t>
        </is>
      </c>
      <c r="F242" s="1" t="inlineStr">
        <is>
          <t>Copolymers</t>
        </is>
      </c>
      <c r="G242" s="1" t="inlineStr">
        <is>
          <t>Polymer modification &amp; additives</t>
        </is>
      </c>
      <c r="H242" s="1" t="inlineStr">
        <is>
          <t>Industrial Goods &amp; Advanced Manufacturing</t>
        </is>
      </c>
      <c r="I242" s="1" t="inlineStr">
        <is>
          <t>Secondary</t>
        </is>
      </c>
      <c r="J242" s="1" t="inlineStr">
        <is>
          <t>SMA, PVM/MA, grafted polyolefin 등 compatibilizer·dispersant 용도</t>
        </is>
      </c>
      <c r="K242" s="1" t="inlineStr">
        <is>
          <t>Existing</t>
        </is>
      </c>
      <c r="L242" s="11" t="n"/>
    </row>
    <row r="243" ht="33" customHeight="1" s="179">
      <c r="A243" s="11">
        <f>_xlfn.XLOOKUP(표14[[#This Row],[material_name]],표2[material_name],표2[material_id])</f>
        <v/>
      </c>
      <c r="B243" s="11">
        <f>_xlfn.XLOOKUP(표14[[#This Row],[application_taxonomy]],표11[application_taxonomy],표11[app_id])</f>
        <v/>
      </c>
      <c r="C243" s="11">
        <f>_xlfn.XLOOKUP(표14[[#This Row],[end_use_industry]],표13[end_use_category],표13[end_use_id])</f>
        <v/>
      </c>
      <c r="D243" s="11">
        <f>_xlfn.XLOOKUP(표14[[#This Row],[importance]],표15[importance],표15[rating])</f>
        <v/>
      </c>
      <c r="E243" s="1" t="inlineStr">
        <is>
          <t>MA</t>
        </is>
      </c>
      <c r="F243" s="1" t="inlineStr">
        <is>
          <t>Alkenyl succinic anhydrides</t>
        </is>
      </c>
      <c r="G243" s="1" t="inlineStr">
        <is>
          <t>Water treatment &amp; dispersants</t>
        </is>
      </c>
      <c r="H243" s="1" t="inlineStr">
        <is>
          <t>Industrial Goods &amp; Advanced Manufacturing</t>
        </is>
      </c>
      <c r="I243" s="1" t="inlineStr">
        <is>
          <t>Secondary</t>
        </is>
      </c>
      <c r="J243" s="1" t="inlineStr">
        <is>
          <t>ASA는 paper sizing, detergents, dispersant 등에 사용</t>
        </is>
      </c>
      <c r="K243" s="1" t="inlineStr">
        <is>
          <t>Existing</t>
        </is>
      </c>
      <c r="L243" s="11" t="n"/>
    </row>
    <row r="244" ht="33" customHeight="1" s="179">
      <c r="A244" s="11">
        <f>_xlfn.XLOOKUP(표14[[#This Row],[material_name]],표2[material_name],표2[material_id])</f>
        <v/>
      </c>
      <c r="B244" s="11">
        <f>_xlfn.XLOOKUP(표14[[#This Row],[application_taxonomy]],표11[application_taxonomy],표11[app_id])</f>
        <v/>
      </c>
      <c r="C244" s="11">
        <f>_xlfn.XLOOKUP(표14[[#This Row],[end_use_industry]],표13[end_use_category],표13[end_use_id])</f>
        <v/>
      </c>
      <c r="D244" s="11">
        <f>_xlfn.XLOOKUP(표14[[#This Row],[importance]],표15[importance],표15[rating])</f>
        <v/>
      </c>
      <c r="E244" s="1" t="inlineStr">
        <is>
          <t>MA</t>
        </is>
      </c>
      <c r="F244" s="1" t="inlineStr">
        <is>
          <t>Malic acid</t>
        </is>
      </c>
      <c r="G244" s="1" t="inlineStr">
        <is>
          <t>Food additives &amp; preservation</t>
        </is>
      </c>
      <c r="H244" s="1" t="inlineStr">
        <is>
          <t>Consumer Products &amp; Packaging</t>
        </is>
      </c>
      <c r="I244" s="1" t="inlineStr">
        <is>
          <t>Secondary</t>
        </is>
      </c>
      <c r="J244" s="1" t="inlineStr">
        <is>
          <t>malic acid는 주로 food &amp; beverage의 산미료·flavor enhancer로 사용</t>
        </is>
      </c>
      <c r="K244" s="1" t="inlineStr">
        <is>
          <t>Existing</t>
        </is>
      </c>
      <c r="L244" s="11" t="n"/>
    </row>
    <row r="245" ht="33" customHeight="1" s="179">
      <c r="A245" s="11">
        <f>_xlfn.XLOOKUP(표14[[#This Row],[material_name]],표2[material_name],표2[material_id])</f>
        <v/>
      </c>
      <c r="B245" s="11">
        <f>_xlfn.XLOOKUP(표14[[#This Row],[application_taxonomy]],표11[application_taxonomy],표11[app_id])</f>
        <v/>
      </c>
      <c r="C245" s="11">
        <f>_xlfn.XLOOKUP(표14[[#This Row],[end_use_industry]],표13[end_use_category],표13[end_use_id])</f>
        <v/>
      </c>
      <c r="D245" s="11">
        <f>_xlfn.XLOOKUP(표14[[#This Row],[importance]],표15[importance],표15[rating])</f>
        <v/>
      </c>
      <c r="E245" s="1" t="inlineStr">
        <is>
          <t>MA</t>
        </is>
      </c>
      <c r="F245" s="1" t="inlineStr">
        <is>
          <t>Surface coatings / alkyd resins</t>
        </is>
      </c>
      <c r="G245" s="1" t="inlineStr">
        <is>
          <t>Surface coating</t>
        </is>
      </c>
      <c r="H245" s="1" t="inlineStr">
        <is>
          <t>Industrial Goods &amp; Advanced Manufacturing</t>
        </is>
      </c>
      <c r="I245" s="1" t="inlineStr">
        <is>
          <t>Secondary</t>
        </is>
      </c>
      <c r="J245" s="1" t="inlineStr">
        <is>
          <t>alkyd resin 및 coating resin 중간체로 사용</t>
        </is>
      </c>
      <c r="K245" s="1" t="inlineStr">
        <is>
          <t>Existing</t>
        </is>
      </c>
      <c r="L245" s="11" t="n"/>
    </row>
    <row r="246" ht="33" customHeight="1" s="179">
      <c r="A246" s="11">
        <f>_xlfn.XLOOKUP(표14[[#This Row],[material_name]],표2[material_name],표2[material_id])</f>
        <v/>
      </c>
      <c r="B246" s="11">
        <f>_xlfn.XLOOKUP(표14[[#This Row],[application_taxonomy]],표11[application_taxonomy],표11[app_id])</f>
        <v/>
      </c>
      <c r="C246" s="11">
        <f>_xlfn.XLOOKUP(표14[[#This Row],[end_use_industry]],표13[end_use_category],표13[end_use_id])</f>
        <v/>
      </c>
      <c r="D246" s="11">
        <f>_xlfn.XLOOKUP(표14[[#This Row],[importance]],표15[importance],표15[rating])</f>
        <v/>
      </c>
      <c r="E246" s="1" t="inlineStr">
        <is>
          <t>MA</t>
        </is>
      </c>
      <c r="F246" s="1" t="inlineStr">
        <is>
          <t>Agricultural chemicals</t>
        </is>
      </c>
      <c r="G246" s="1" t="inlineStr">
        <is>
          <t>Crop protection &amp; agrochemical intermediates</t>
        </is>
      </c>
      <c r="H246" s="1" t="inlineStr">
        <is>
          <t>Agriculture</t>
        </is>
      </c>
      <c r="I246" s="1" t="inlineStr">
        <is>
          <t>Niche / Emerging</t>
        </is>
      </c>
      <c r="J246" s="1" t="inlineStr">
        <is>
          <t>maleic hydrazide, captan 등 agrochemical chain에 제한적 사용</t>
        </is>
      </c>
      <c r="K246" s="1" t="inlineStr">
        <is>
          <t>Existing</t>
        </is>
      </c>
      <c r="L246" s="11" t="n"/>
    </row>
    <row r="247" ht="49.5" customHeight="1" s="179">
      <c r="A247" s="11">
        <f>_xlfn.XLOOKUP(표14[[#This Row],[material_name]],표2[material_name],표2[material_id])</f>
        <v/>
      </c>
      <c r="B247" s="11">
        <f>_xlfn.XLOOKUP(표14[[#This Row],[application_taxonomy]],표11[application_taxonomy],표11[app_id])</f>
        <v/>
      </c>
      <c r="C247" s="11">
        <f>_xlfn.XLOOKUP(표14[[#This Row],[end_use_industry]],표13[end_use_category],표13[end_use_id])</f>
        <v/>
      </c>
      <c r="D247" s="11">
        <f>_xlfn.XLOOKUP(표14[[#This Row],[importance]],표15[importance],표15[rating])</f>
        <v/>
      </c>
      <c r="E247" s="1" t="inlineStr">
        <is>
          <t>Methanol</t>
        </is>
      </c>
      <c r="F247" s="1" t="inlineStr">
        <is>
          <t>Formaldehyde</t>
        </is>
      </c>
      <c r="G247" s="1" t="inlineStr">
        <is>
          <t>Major chemical intermediate</t>
        </is>
      </c>
      <c r="H247" s="1" t="inlineStr">
        <is>
          <t>Industrial Goods &amp; Advanced Manufacturing</t>
        </is>
      </c>
      <c r="I247" s="1" t="inlineStr">
        <is>
          <t>Primary</t>
        </is>
      </c>
      <c r="J247" s="1" t="inlineStr">
        <is>
          <t>전체 methanol 소비의 약 25%를 차지하는 최대 용도이며, formaldehyde를 거쳐 UF/PF 수지 등 다양한 화학제품으로 이어지는 핵심 중간체임</t>
        </is>
      </c>
      <c r="K247" s="1" t="inlineStr">
        <is>
          <t>Existing</t>
        </is>
      </c>
      <c r="L247" s="11" t="n"/>
    </row>
    <row r="248" ht="33" customHeight="1" s="179">
      <c r="A248" s="11">
        <f>_xlfn.XLOOKUP(표14[[#This Row],[material_name]],표2[material_name],표2[material_id])</f>
        <v/>
      </c>
      <c r="B248" s="11">
        <f>_xlfn.XLOOKUP(표14[[#This Row],[application_taxonomy]],표11[application_taxonomy],표11[app_id])</f>
        <v/>
      </c>
      <c r="C248" s="11">
        <f>_xlfn.XLOOKUP(표14[[#This Row],[end_use_industry]],표13[end_use_category],표13[end_use_id])</f>
        <v/>
      </c>
      <c r="D248" s="11">
        <f>_xlfn.XLOOKUP(표14[[#This Row],[importance]],표15[importance],표15[rating])</f>
        <v/>
      </c>
      <c r="E248" s="1" t="inlineStr">
        <is>
          <t>Methanol</t>
        </is>
      </c>
      <c r="F248" s="1" t="inlineStr">
        <is>
          <t>Methanol-to-Olefins (MTO)</t>
        </is>
      </c>
      <c r="G248" s="1" t="inlineStr">
        <is>
          <t>Major chemical intermediate</t>
        </is>
      </c>
      <c r="H248" s="1" t="inlineStr">
        <is>
          <t>Industrial Goods &amp; Advanced Manufacturing</t>
        </is>
      </c>
      <c r="I248" s="1" t="inlineStr">
        <is>
          <t>Primary</t>
        </is>
      </c>
      <c r="J248" s="1" t="inlineStr">
        <is>
          <t>에틸렌·프로필렌 생산을 위한 직접 원료로 사용되며, 중국 중심의 주요 methanol 소비처임</t>
        </is>
      </c>
      <c r="K248" s="1" t="inlineStr">
        <is>
          <t>Existing</t>
        </is>
      </c>
      <c r="L248" s="11" t="n"/>
    </row>
    <row r="249" ht="33" customHeight="1" s="179">
      <c r="A249" s="11">
        <f>_xlfn.XLOOKUP(표14[[#This Row],[material_name]],표2[material_name],표2[material_id])</f>
        <v/>
      </c>
      <c r="B249" s="11">
        <f>_xlfn.XLOOKUP(표14[[#This Row],[application_taxonomy]],표11[application_taxonomy],표11[app_id])</f>
        <v/>
      </c>
      <c r="C249" s="11">
        <f>_xlfn.XLOOKUP(표14[[#This Row],[end_use_industry]],표13[end_use_category],표13[end_use_id])</f>
        <v/>
      </c>
      <c r="D249" s="11">
        <f>_xlfn.XLOOKUP(표14[[#This Row],[importance]],표15[importance],표15[rating])</f>
        <v/>
      </c>
      <c r="E249" s="1" t="inlineStr">
        <is>
          <t>Methanol</t>
        </is>
      </c>
      <c r="F249" s="1" t="inlineStr">
        <is>
          <t>Acetic acid</t>
        </is>
      </c>
      <c r="G249" s="1" t="inlineStr">
        <is>
          <t>Major chemical intermediate</t>
        </is>
      </c>
      <c r="H249" s="1" t="inlineStr">
        <is>
          <t>Industrial Goods &amp; Advanced Manufacturing</t>
        </is>
      </c>
      <c r="I249" s="1" t="inlineStr">
        <is>
          <t>Secondary</t>
        </is>
      </c>
      <c r="J249" s="1" t="inlineStr">
        <is>
          <t>Acetic acid 제조의 핵심 원료로 사용되며 VAM, PTA 등 다양한 화학 가치사슬로 연결됨</t>
        </is>
      </c>
      <c r="K249" s="1" t="inlineStr">
        <is>
          <t>Existing</t>
        </is>
      </c>
      <c r="L249" s="11" t="n"/>
    </row>
    <row r="250" ht="33" customHeight="1" s="179">
      <c r="A250" s="11">
        <f>_xlfn.XLOOKUP(표14[[#This Row],[material_name]],표2[material_name],표2[material_id])</f>
        <v/>
      </c>
      <c r="B250" s="11">
        <f>_xlfn.XLOOKUP(표14[[#This Row],[application_taxonomy]],표11[application_taxonomy],표11[app_id])</f>
        <v/>
      </c>
      <c r="C250" s="11">
        <f>_xlfn.XLOOKUP(표14[[#This Row],[end_use_industry]],표13[end_use_category],표13[end_use_id])</f>
        <v/>
      </c>
      <c r="D250" s="11">
        <f>_xlfn.XLOOKUP(표14[[#This Row],[importance]],표15[importance],표15[rating])</f>
        <v/>
      </c>
      <c r="E250" s="1" t="inlineStr">
        <is>
          <t>Methanol</t>
        </is>
      </c>
      <c r="F250" s="1" t="inlineStr">
        <is>
          <t>MTBE/TAME</t>
        </is>
      </c>
      <c r="G250" s="1" t="inlineStr">
        <is>
          <t>Fuel / fuel additive</t>
        </is>
      </c>
      <c r="H250" s="1" t="inlineStr">
        <is>
          <t>Energy, Power &amp; Utilities</t>
        </is>
      </c>
      <c r="I250" s="1" t="inlineStr">
        <is>
          <t>Secondary</t>
        </is>
      </c>
      <c r="J250" s="1" t="inlineStr">
        <is>
          <t>가솔린 옥탄가 향상용 연료첨가제 제조의 주요 원료로 사용됨</t>
        </is>
      </c>
      <c r="K250" s="1" t="inlineStr">
        <is>
          <t>Existing</t>
        </is>
      </c>
      <c r="L250" s="11" t="n"/>
    </row>
    <row r="251" ht="33" customHeight="1" s="179">
      <c r="A251" s="11">
        <f>_xlfn.XLOOKUP(표14[[#This Row],[material_name]],표2[material_name],표2[material_id])</f>
        <v/>
      </c>
      <c r="B251" s="11">
        <f>_xlfn.XLOOKUP(표14[[#This Row],[application_taxonomy]],표11[application_taxonomy],표11[app_id])</f>
        <v/>
      </c>
      <c r="C251" s="11">
        <f>_xlfn.XLOOKUP(표14[[#This Row],[end_use_industry]],표13[end_use_category],표13[end_use_id])</f>
        <v/>
      </c>
      <c r="D251" s="11">
        <f>_xlfn.XLOOKUP(표14[[#This Row],[importance]],표15[importance],표15[rating])</f>
        <v/>
      </c>
      <c r="E251" s="1" t="inlineStr">
        <is>
          <t>Methanol</t>
        </is>
      </c>
      <c r="F251" s="1" t="inlineStr">
        <is>
          <t>Biodiesel</t>
        </is>
      </c>
      <c r="G251" s="1" t="inlineStr">
        <is>
          <t>Fuel / fuel additive</t>
        </is>
      </c>
      <c r="H251" s="1" t="inlineStr">
        <is>
          <t>Energy, Power &amp; Utilities</t>
        </is>
      </c>
      <c r="I251" s="1" t="inlineStr">
        <is>
          <t>Secondary</t>
        </is>
      </c>
      <c r="J251" s="1" t="inlineStr">
        <is>
          <t>지방산 메틸에스터(FAME) 기반 바이오디젤 생산의 핵심 반응물임</t>
        </is>
      </c>
      <c r="K251" s="1" t="inlineStr">
        <is>
          <t>Existing</t>
        </is>
      </c>
      <c r="L251" s="11" t="n"/>
    </row>
    <row r="252">
      <c r="A252" s="11">
        <f>_xlfn.XLOOKUP(표14[[#This Row],[material_name]],표2[material_name],표2[material_id])</f>
        <v/>
      </c>
      <c r="B252" s="11">
        <f>_xlfn.XLOOKUP(표14[[#This Row],[application_taxonomy]],표11[application_taxonomy],표11[app_id])</f>
        <v/>
      </c>
      <c r="C252" s="11">
        <f>_xlfn.XLOOKUP(표14[[#This Row],[end_use_industry]],표13[end_use_category],표13[end_use_id])</f>
        <v/>
      </c>
      <c r="D252" s="11">
        <f>_xlfn.XLOOKUP(표14[[#This Row],[importance]],표15[importance],표15[rating])</f>
        <v/>
      </c>
      <c r="E252" s="1" t="inlineStr">
        <is>
          <t>Methanol</t>
        </is>
      </c>
      <c r="F252" s="1" t="inlineStr">
        <is>
          <t>Direct gasoline blending</t>
        </is>
      </c>
      <c r="G252" s="1" t="inlineStr">
        <is>
          <t>Fuel / fuel additive</t>
        </is>
      </c>
      <c r="H252" s="1" t="inlineStr">
        <is>
          <t>Energy, Power &amp; Utilities</t>
        </is>
      </c>
      <c r="I252" s="1" t="inlineStr">
        <is>
          <t>Secondary</t>
        </is>
      </c>
      <c r="J252" s="1" t="inlineStr">
        <is>
          <t>메탄올을 연료에 직접 혼합하여 사용하는 application</t>
        </is>
      </c>
      <c r="K252" s="1" t="inlineStr">
        <is>
          <t>Existing</t>
        </is>
      </c>
      <c r="L252" s="11" t="n"/>
    </row>
    <row r="253">
      <c r="A253" s="11">
        <f>_xlfn.XLOOKUP(표14[[#This Row],[material_name]],표2[material_name],표2[material_id])</f>
        <v/>
      </c>
      <c r="B253" s="11">
        <f>_xlfn.XLOOKUP(표14[[#This Row],[application_taxonomy]],표11[application_taxonomy],표11[app_id])</f>
        <v/>
      </c>
      <c r="C253" s="11">
        <f>_xlfn.XLOOKUP(표14[[#This Row],[end_use_industry]],표13[end_use_category],표13[end_use_id])</f>
        <v/>
      </c>
      <c r="D253" s="11">
        <f>_xlfn.XLOOKUP(표14[[#This Row],[importance]],표15[importance],표15[rating])</f>
        <v/>
      </c>
      <c r="E253" s="1" t="inlineStr">
        <is>
          <t>Methanol</t>
        </is>
      </c>
      <c r="F253" s="1" t="inlineStr">
        <is>
          <t>Dimethyl ether (DME)</t>
        </is>
      </c>
      <c r="G253" s="1" t="inlineStr">
        <is>
          <t>Fuel / fuel additive</t>
        </is>
      </c>
      <c r="H253" s="1" t="inlineStr">
        <is>
          <t>Energy, Power &amp; Utilities</t>
        </is>
      </c>
      <c r="I253" s="1" t="inlineStr">
        <is>
          <t>Secondary</t>
        </is>
      </c>
      <c r="J253" s="1" t="inlineStr">
        <is>
          <t>LPG 대체 및 연료용 DME 제조의 원료로 사용됨</t>
        </is>
      </c>
      <c r="K253" s="1" t="inlineStr">
        <is>
          <t>Existing</t>
        </is>
      </c>
      <c r="L253" s="11" t="n"/>
    </row>
    <row r="254" ht="33" customHeight="1" s="179">
      <c r="A254" s="11">
        <f>_xlfn.XLOOKUP(표14[[#This Row],[material_name]],표2[material_name],표2[material_id])</f>
        <v/>
      </c>
      <c r="B254" s="11">
        <f>_xlfn.XLOOKUP(표14[[#This Row],[application_taxonomy]],표11[application_taxonomy],표11[app_id])</f>
        <v/>
      </c>
      <c r="C254" s="11">
        <f>_xlfn.XLOOKUP(표14[[#This Row],[end_use_industry]],표13[end_use_category],표13[end_use_id])</f>
        <v/>
      </c>
      <c r="D254" s="11">
        <f>_xlfn.XLOOKUP(표14[[#This Row],[importance]],표15[importance],표15[rating])</f>
        <v/>
      </c>
      <c r="E254" s="1" t="inlineStr">
        <is>
          <t>Methanol</t>
        </is>
      </c>
      <c r="F254" s="1" t="inlineStr">
        <is>
          <t>Bunker fuel</t>
        </is>
      </c>
      <c r="G254" s="1" t="inlineStr">
        <is>
          <t>Fuel / fuel additive</t>
        </is>
      </c>
      <c r="H254" s="1" t="inlineStr">
        <is>
          <t>Energy, Power &amp; Utilities</t>
        </is>
      </c>
      <c r="I254" s="1" t="inlineStr">
        <is>
          <t>Secondary</t>
        </is>
      </c>
      <c r="J254" s="1" t="inlineStr">
        <is>
          <t>해운 탈탄소화에 따라 직접 선박연료로 빠르게 성장하는 application</t>
        </is>
      </c>
      <c r="K254" s="1" t="inlineStr">
        <is>
          <t>Existing</t>
        </is>
      </c>
      <c r="L254" s="11" t="n"/>
    </row>
    <row r="255" ht="33" customHeight="1" s="179">
      <c r="A255" s="11">
        <f>_xlfn.XLOOKUP(표14[[#This Row],[material_name]],표2[material_name],표2[material_id])</f>
        <v/>
      </c>
      <c r="B255" s="11">
        <f>_xlfn.XLOOKUP(표14[[#This Row],[application_taxonomy]],표11[application_taxonomy],표11[app_id])</f>
        <v/>
      </c>
      <c r="C255" s="11">
        <f>_xlfn.XLOOKUP(표14[[#This Row],[end_use_industry]],표13[end_use_category],표13[end_use_id])</f>
        <v/>
      </c>
      <c r="D255" s="11">
        <f>_xlfn.XLOOKUP(표14[[#This Row],[importance]],표15[importance],표15[rating])</f>
        <v/>
      </c>
      <c r="E255" s="1" t="inlineStr">
        <is>
          <t>Methanol</t>
        </is>
      </c>
      <c r="F255" s="1" t="inlineStr">
        <is>
          <t>Methyl methacrylate (MMA)</t>
        </is>
      </c>
      <c r="G255" s="1" t="inlineStr">
        <is>
          <t>Major chemical intermediate</t>
        </is>
      </c>
      <c r="H255" s="1" t="inlineStr">
        <is>
          <t>Industrial Goods &amp; Advanced Manufacturing</t>
        </is>
      </c>
      <c r="I255" s="1" t="inlineStr">
        <is>
          <t>Secondary</t>
        </is>
      </c>
      <c r="J255" s="1" t="inlineStr">
        <is>
          <t>MMA 제조의 원료이며 PMMA, 코팅 및 접착제 가치사슬로 연결됨</t>
        </is>
      </c>
      <c r="K255" s="1" t="inlineStr">
        <is>
          <t>Existing</t>
        </is>
      </c>
      <c r="L255" s="11" t="n"/>
    </row>
    <row r="256" ht="33" customHeight="1" s="179">
      <c r="A256" s="11">
        <f>_xlfn.XLOOKUP(표14[[#This Row],[material_name]],표2[material_name],표2[material_id])</f>
        <v/>
      </c>
      <c r="B256" s="11">
        <f>_xlfn.XLOOKUP(표14[[#This Row],[application_taxonomy]],표11[application_taxonomy],표11[app_id])</f>
        <v/>
      </c>
      <c r="C256" s="11">
        <f>_xlfn.XLOOKUP(표14[[#This Row],[end_use_industry]],표13[end_use_category],표13[end_use_id])</f>
        <v/>
      </c>
      <c r="D256" s="11">
        <f>_xlfn.XLOOKUP(표14[[#This Row],[importance]],표15[importance],표15[rating])</f>
        <v/>
      </c>
      <c r="E256" s="1" t="inlineStr">
        <is>
          <t>Methanol</t>
        </is>
      </c>
      <c r="F256" s="1" t="inlineStr">
        <is>
          <t>Methylamines</t>
        </is>
      </c>
      <c r="G256" s="1" t="inlineStr">
        <is>
          <t>Specialty chemical intermediate</t>
        </is>
      </c>
      <c r="H256" s="1" t="inlineStr">
        <is>
          <t>Industrial Goods &amp; Advanced Manufacturing</t>
        </is>
      </c>
      <c r="I256" s="1" t="inlineStr">
        <is>
          <t>Secondary</t>
        </is>
      </c>
      <c r="J256" s="1" t="inlineStr">
        <is>
          <t>Methylamine 제조를 통해 NMP, 계면활성제, 의약 및 농약 등 특수화학으로 연결됨</t>
        </is>
      </c>
      <c r="K256" s="1" t="inlineStr">
        <is>
          <t>Existing</t>
        </is>
      </c>
      <c r="L256" s="11" t="n"/>
    </row>
    <row r="257" ht="33" customHeight="1" s="179">
      <c r="A257" s="11">
        <f>_xlfn.XLOOKUP(표14[[#This Row],[material_name]],표2[material_name],표2[material_id])</f>
        <v/>
      </c>
      <c r="B257" s="11">
        <f>_xlfn.XLOOKUP(표14[[#This Row],[application_taxonomy]],표11[application_taxonomy],표11[app_id])</f>
        <v/>
      </c>
      <c r="C257" s="11">
        <f>_xlfn.XLOOKUP(표14[[#This Row],[end_use_industry]],표13[end_use_category],표13[end_use_id])</f>
        <v/>
      </c>
      <c r="D257" s="11">
        <f>_xlfn.XLOOKUP(표14[[#This Row],[importance]],표15[importance],표15[rating])</f>
        <v/>
      </c>
      <c r="E257" s="1" t="inlineStr">
        <is>
          <t>Methanol</t>
        </is>
      </c>
      <c r="F257" s="1" t="inlineStr">
        <is>
          <t>Chloromethanes</t>
        </is>
      </c>
      <c r="G257" s="1" t="inlineStr">
        <is>
          <t>Specialty chemical intermediate</t>
        </is>
      </c>
      <c r="H257" s="1" t="inlineStr">
        <is>
          <t>Industrial Goods &amp; Advanced Manufacturing</t>
        </is>
      </c>
      <c r="I257" s="1" t="inlineStr">
        <is>
          <t>Secondary</t>
        </is>
      </c>
      <c r="J257" s="1" t="inlineStr">
        <is>
          <t>실리콘, 냉매 및 기타 특수화학제품 제조용 중간체 생산에 사용됨</t>
        </is>
      </c>
      <c r="K257" s="1" t="inlineStr">
        <is>
          <t>Existing</t>
        </is>
      </c>
      <c r="L257" s="11" t="n"/>
    </row>
    <row r="258" ht="33" customHeight="1" s="179">
      <c r="A258" s="11">
        <f>_xlfn.XLOOKUP(표14[[#This Row],[material_name]],표2[material_name],표2[material_id])</f>
        <v/>
      </c>
      <c r="B258" s="11">
        <f>_xlfn.XLOOKUP(표14[[#This Row],[application_taxonomy]],표11[application_taxonomy],표11[app_id])</f>
        <v/>
      </c>
      <c r="C258" s="11">
        <f>_xlfn.XLOOKUP(표14[[#This Row],[end_use_industry]],표13[end_use_category],표13[end_use_id])</f>
        <v/>
      </c>
      <c r="D258" s="11">
        <f>_xlfn.XLOOKUP(표14[[#This Row],[importance]],표15[importance],표15[rating])</f>
        <v/>
      </c>
      <c r="E258" s="1" t="inlineStr">
        <is>
          <t>Methanol</t>
        </is>
      </c>
      <c r="F258" s="1" t="inlineStr">
        <is>
          <t>Solvents</t>
        </is>
      </c>
      <c r="G258" s="1" t="inlineStr">
        <is>
          <t>Solvent &amp; extraction</t>
        </is>
      </c>
      <c r="H258" s="1" t="inlineStr">
        <is>
          <t>Industrial Goods &amp; Advanced Manufacturing</t>
        </is>
      </c>
      <c r="I258" s="1" t="inlineStr">
        <is>
          <t>Secondary</t>
        </is>
      </c>
      <c r="J258" s="1" t="inlineStr">
        <is>
          <t>공정용 용제 및 세정·추출용 용매로 직접 사용됨</t>
        </is>
      </c>
      <c r="K258" s="1" t="inlineStr">
        <is>
          <t>Existing</t>
        </is>
      </c>
      <c r="L258" s="11" t="n"/>
    </row>
    <row r="259" ht="33" customHeight="1" s="179">
      <c r="A259" s="11">
        <f>_xlfn.XLOOKUP(표14[[#This Row],[material_name]],표2[material_name],표2[material_id])</f>
        <v/>
      </c>
      <c r="B259" s="11">
        <f>_xlfn.XLOOKUP(표14[[#This Row],[application_taxonomy]],표11[application_taxonomy],표11[app_id])</f>
        <v/>
      </c>
      <c r="C259" s="11">
        <f>_xlfn.XLOOKUP(표14[[#This Row],[end_use_industry]],표13[end_use_category],표13[end_use_id])</f>
        <v/>
      </c>
      <c r="D259" s="11">
        <f>_xlfn.XLOOKUP(표14[[#This Row],[importance]],표15[importance],표15[rating])</f>
        <v/>
      </c>
      <c r="E259" s="1" t="inlineStr">
        <is>
          <t>Methanol</t>
        </is>
      </c>
      <c r="F259" s="1" t="inlineStr">
        <is>
          <t>Dimethyl terephthalate (DMT)</t>
        </is>
      </c>
      <c r="G259" s="1" t="inlineStr">
        <is>
          <t>Specialty chemical intermediate</t>
        </is>
      </c>
      <c r="H259" s="1" t="inlineStr">
        <is>
          <t>Industrial Goods &amp; Advanced Manufacturing</t>
        </is>
      </c>
      <c r="I259" s="1" t="inlineStr">
        <is>
          <t>Niche / Emerging</t>
        </is>
      </c>
      <c r="J259" s="1" t="inlineStr">
        <is>
          <t>DMT 제조 원료로 사용되며 현재 시장 비중은 제한적임</t>
        </is>
      </c>
      <c r="K259" s="1" t="inlineStr">
        <is>
          <t>Existing</t>
        </is>
      </c>
      <c r="L259" s="11" t="n"/>
    </row>
    <row r="260" ht="33" customHeight="1" s="179">
      <c r="A260" s="11">
        <f>_xlfn.XLOOKUP(표14[[#This Row],[material_name]],표2[material_name],표2[material_id])</f>
        <v/>
      </c>
      <c r="B260" s="11">
        <f>_xlfn.XLOOKUP(표14[[#This Row],[application_taxonomy]],표11[application_taxonomy],표11[app_id])</f>
        <v/>
      </c>
      <c r="C260" s="11">
        <f>_xlfn.XLOOKUP(표14[[#This Row],[end_use_industry]],표13[end_use_category],표13[end_use_id])</f>
        <v/>
      </c>
      <c r="D260" s="11">
        <f>_xlfn.XLOOKUP(표14[[#This Row],[importance]],표15[importance],표15[rating])</f>
        <v/>
      </c>
      <c r="E260" s="1" t="inlineStr">
        <is>
          <t>Methanol</t>
        </is>
      </c>
      <c r="F260" s="1" t="inlineStr">
        <is>
          <t>Antifreeze</t>
        </is>
      </c>
      <c r="G260" s="1" t="inlineStr">
        <is>
          <t>Battery &amp; thermal-management materials</t>
        </is>
      </c>
      <c r="H260" s="1" t="inlineStr">
        <is>
          <t>Industrial Goods &amp; Advanced Manufacturing</t>
        </is>
      </c>
      <c r="I260" s="1" t="inlineStr">
        <is>
          <t>Niche / Emerging</t>
        </is>
      </c>
      <c r="J260" s="1" t="inlineStr">
        <is>
          <t>천연가스 배관 hydrate inhibitor 및 제빙·부동액 용도로 직접 사용됨</t>
        </is>
      </c>
      <c r="K260" s="1" t="inlineStr">
        <is>
          <t>Existing</t>
        </is>
      </c>
      <c r="L260" s="11" t="n"/>
    </row>
    <row r="261" ht="33" customHeight="1" s="179">
      <c r="A261" s="11">
        <f>_xlfn.XLOOKUP(표14[[#This Row],[material_name]],표2[material_name],표2[material_id])</f>
        <v/>
      </c>
      <c r="B261" s="11">
        <f>_xlfn.XLOOKUP(표14[[#This Row],[application_taxonomy]],표11[application_taxonomy],표11[app_id])</f>
        <v/>
      </c>
      <c r="C261" s="11">
        <f>_xlfn.XLOOKUP(표14[[#This Row],[end_use_industry]],표13[end_use_category],표13[end_use_id])</f>
        <v/>
      </c>
      <c r="D261" s="11">
        <f>_xlfn.XLOOKUP(표14[[#This Row],[importance]],표15[importance],표15[rating])</f>
        <v/>
      </c>
      <c r="E261" s="1" t="inlineStr">
        <is>
          <t>Methanol</t>
        </is>
      </c>
      <c r="F261" s="1" t="inlineStr">
        <is>
          <t>Glycol methyl ethers</t>
        </is>
      </c>
      <c r="G261" s="1" t="inlineStr">
        <is>
          <t>Solvent &amp; extraction</t>
        </is>
      </c>
      <c r="H261" s="1" t="inlineStr">
        <is>
          <t>Industrial Goods &amp; Advanced Manufacturing</t>
        </is>
      </c>
      <c r="I261" s="1" t="inlineStr">
        <is>
          <t>Niche / Emerging</t>
        </is>
      </c>
      <c r="J261" s="1" t="inlineStr">
        <is>
          <t>다양한 glycol ether 계열 특수용제 제조 원료로 사용됨</t>
        </is>
      </c>
      <c r="K261" s="1" t="inlineStr">
        <is>
          <t>Existing</t>
        </is>
      </c>
      <c r="L261" s="11" t="n"/>
    </row>
    <row r="262" ht="33" customHeight="1" s="179">
      <c r="A262" s="11">
        <f>_xlfn.XLOOKUP(표14[[#This Row],[material_name]],표2[material_name],표2[material_id])</f>
        <v/>
      </c>
      <c r="B262" s="11">
        <f>_xlfn.XLOOKUP(표14[[#This Row],[application_taxonomy]],표11[application_taxonomy],표11[app_id])</f>
        <v/>
      </c>
      <c r="C262" s="11">
        <f>_xlfn.XLOOKUP(표14[[#This Row],[end_use_industry]],표13[end_use_category],표13[end_use_id])</f>
        <v/>
      </c>
      <c r="D262" s="11">
        <f>_xlfn.XLOOKUP(표14[[#This Row],[importance]],표15[importance],표15[rating])</f>
        <v/>
      </c>
      <c r="E262" s="1" t="inlineStr">
        <is>
          <t>Acetic acid</t>
        </is>
      </c>
      <c r="F262" s="1" t="inlineStr">
        <is>
          <t>Vinyl acetate monomer (VAM)</t>
        </is>
      </c>
      <c r="G262" s="1" t="inlineStr">
        <is>
          <t>Major chemical intermediate</t>
        </is>
      </c>
      <c r="H262" s="1" t="inlineStr">
        <is>
          <t>Industrial Goods &amp; Advanced Manufacturing</t>
        </is>
      </c>
      <c r="I262" s="1" t="inlineStr">
        <is>
          <t>Primary</t>
        </is>
      </c>
      <c r="J262" s="1" t="inlineStr">
        <is>
          <t>Acetic acid 최대 수요처(약 28%)이며 PVA, PVOH, EVA 등 다양한 폴리머 가치사슬의 핵심 중간체</t>
        </is>
      </c>
      <c r="K262" s="1" t="inlineStr">
        <is>
          <t>Existing</t>
        </is>
      </c>
      <c r="L262" s="11" t="n"/>
    </row>
    <row r="263" ht="33" customHeight="1" s="179">
      <c r="A263" s="11">
        <f>_xlfn.XLOOKUP(표14[[#This Row],[material_name]],표2[material_name],표2[material_id])</f>
        <v/>
      </c>
      <c r="B263" s="11">
        <f>_xlfn.XLOOKUP(표14[[#This Row],[application_taxonomy]],표11[application_taxonomy],표11[app_id])</f>
        <v/>
      </c>
      <c r="C263" s="11">
        <f>_xlfn.XLOOKUP(표14[[#This Row],[end_use_industry]],표13[end_use_category],표13[end_use_id])</f>
        <v/>
      </c>
      <c r="D263" s="11">
        <f>_xlfn.XLOOKUP(표14[[#This Row],[importance]],표15[importance],표15[rating])</f>
        <v/>
      </c>
      <c r="E263" s="1" t="inlineStr">
        <is>
          <t>Acetic acid</t>
        </is>
      </c>
      <c r="F263" s="1" t="inlineStr">
        <is>
          <t>Purified terephthalic acid (PTA)</t>
        </is>
      </c>
      <c r="G263" s="1" t="inlineStr">
        <is>
          <t>Major chemical intermediate</t>
        </is>
      </c>
      <c r="H263" s="1" t="inlineStr">
        <is>
          <t>Industrial Goods &amp; Advanced Manufacturing</t>
        </is>
      </c>
      <c r="I263" s="1" t="inlineStr">
        <is>
          <t>Primary</t>
        </is>
      </c>
      <c r="J263" s="1" t="inlineStr">
        <is>
          <t>PTA 제조 시 용매로 사용되며 PET resin, polyester fiber, film 가치사슬의 핵심 원료</t>
        </is>
      </c>
      <c r="K263" s="1" t="inlineStr">
        <is>
          <t>Existing</t>
        </is>
      </c>
      <c r="L263" s="11" t="n"/>
    </row>
    <row r="264" ht="33" customHeight="1" s="179">
      <c r="A264" s="11">
        <f>_xlfn.XLOOKUP(표14[[#This Row],[material_name]],표2[material_name],표2[material_id])</f>
        <v/>
      </c>
      <c r="B264" s="11">
        <f>_xlfn.XLOOKUP(표14[[#This Row],[application_taxonomy]],표11[application_taxonomy],표11[app_id])</f>
        <v/>
      </c>
      <c r="C264" s="11">
        <f>_xlfn.XLOOKUP(표14[[#This Row],[end_use_industry]],표13[end_use_category],표13[end_use_id])</f>
        <v/>
      </c>
      <c r="D264" s="11">
        <f>_xlfn.XLOOKUP(표14[[#This Row],[importance]],표15[importance],표15[rating])</f>
        <v/>
      </c>
      <c r="E264" s="1" t="inlineStr">
        <is>
          <t>Acetic acid</t>
        </is>
      </c>
      <c r="F264" s="1" t="inlineStr">
        <is>
          <t>Acetic anhydride</t>
        </is>
      </c>
      <c r="G264" s="1" t="inlineStr">
        <is>
          <t>Major chemical intermediate</t>
        </is>
      </c>
      <c r="H264" s="1" t="inlineStr">
        <is>
          <t>Industrial Goods &amp; Advanced Manufacturing</t>
        </is>
      </c>
      <c r="I264" s="1" t="inlineStr">
        <is>
          <t>Primary</t>
        </is>
      </c>
      <c r="J264" s="1" t="inlineStr">
        <is>
          <t>Cellulose acetate, pharmaceuticals, TAED 생산의 핵심 중간체</t>
        </is>
      </c>
      <c r="K264" s="1" t="inlineStr">
        <is>
          <t>Existing</t>
        </is>
      </c>
      <c r="L264" s="11" t="n"/>
    </row>
    <row r="265" ht="33" customHeight="1" s="179">
      <c r="A265" s="11">
        <f>_xlfn.XLOOKUP(표14[[#This Row],[material_name]],표2[material_name],표2[material_id])</f>
        <v/>
      </c>
      <c r="B265" s="11">
        <f>_xlfn.XLOOKUP(표14[[#This Row],[application_taxonomy]],표11[application_taxonomy],표11[app_id])</f>
        <v/>
      </c>
      <c r="C265" s="11">
        <f>_xlfn.XLOOKUP(표14[[#This Row],[end_use_industry]],표13[end_use_category],표13[end_use_id])</f>
        <v/>
      </c>
      <c r="D265" s="11">
        <f>_xlfn.XLOOKUP(표14[[#This Row],[importance]],표15[importance],표15[rating])</f>
        <v/>
      </c>
      <c r="E265" s="1" t="inlineStr">
        <is>
          <t>Acetic acid</t>
        </is>
      </c>
      <c r="F265" s="1" t="inlineStr">
        <is>
          <t>Ethyl acetate</t>
        </is>
      </c>
      <c r="G265" s="1" t="inlineStr">
        <is>
          <t>Solvent &amp; extraction</t>
        </is>
      </c>
      <c r="H265" s="1" t="inlineStr">
        <is>
          <t>Industrial Goods &amp; Advanced Manufacturing</t>
        </is>
      </c>
      <c r="I265" s="1" t="inlineStr">
        <is>
          <t>Secondary</t>
        </is>
      </c>
      <c r="J265" s="1" t="inlineStr">
        <is>
          <t>가장 큰 acetate ester이며 잉크·도료·코팅용 용제 제조</t>
        </is>
      </c>
      <c r="K265" s="1" t="inlineStr">
        <is>
          <t>Existing</t>
        </is>
      </c>
      <c r="L265" s="11" t="n"/>
    </row>
    <row r="266" ht="33" customHeight="1" s="179">
      <c r="A266" s="11">
        <f>_xlfn.XLOOKUP(표14[[#This Row],[material_name]],표2[material_name],표2[material_id])</f>
        <v/>
      </c>
      <c r="B266" s="11">
        <f>_xlfn.XLOOKUP(표14[[#This Row],[application_taxonomy]],표11[application_taxonomy],표11[app_id])</f>
        <v/>
      </c>
      <c r="C266" s="11">
        <f>_xlfn.XLOOKUP(표14[[#This Row],[end_use_industry]],표13[end_use_category],표13[end_use_id])</f>
        <v/>
      </c>
      <c r="D266" s="11">
        <f>_xlfn.XLOOKUP(표14[[#This Row],[importance]],표15[importance],표15[rating])</f>
        <v/>
      </c>
      <c r="E266" s="1" t="inlineStr">
        <is>
          <t>Acetic acid</t>
        </is>
      </c>
      <c r="F266" s="1" t="inlineStr">
        <is>
          <t>n-Butyl acetate</t>
        </is>
      </c>
      <c r="G266" s="1" t="inlineStr">
        <is>
          <t>Solvent &amp; extraction</t>
        </is>
      </c>
      <c r="H266" s="1" t="inlineStr">
        <is>
          <t>Industrial Goods &amp; Advanced Manufacturing</t>
        </is>
      </c>
      <c r="I266" s="1" t="inlineStr">
        <is>
          <t>Secondary</t>
        </is>
      </c>
      <c r="J266" s="1" t="inlineStr">
        <is>
          <t>Surface coating 및 산업용 coating solvent의 주요 원료</t>
        </is>
      </c>
      <c r="K266" s="1" t="inlineStr">
        <is>
          <t>Existing</t>
        </is>
      </c>
      <c r="L266" s="11" t="n"/>
    </row>
    <row r="267" ht="33" customHeight="1" s="179">
      <c r="A267" s="11">
        <f>_xlfn.XLOOKUP(표14[[#This Row],[material_name]],표2[material_name],표2[material_id])</f>
        <v/>
      </c>
      <c r="B267" s="11">
        <f>_xlfn.XLOOKUP(표14[[#This Row],[application_taxonomy]],표11[application_taxonomy],표11[app_id])</f>
        <v/>
      </c>
      <c r="C267" s="11">
        <f>_xlfn.XLOOKUP(표14[[#This Row],[end_use_industry]],표13[end_use_category],표13[end_use_id])</f>
        <v/>
      </c>
      <c r="D267" s="11">
        <f>_xlfn.XLOOKUP(표14[[#This Row],[importance]],표15[importance],표15[rating])</f>
        <v/>
      </c>
      <c r="E267" s="1" t="inlineStr">
        <is>
          <t>Acetic acid</t>
        </is>
      </c>
      <c r="F267" s="1" t="inlineStr">
        <is>
          <t>sec-Butyl acetate</t>
        </is>
      </c>
      <c r="G267" s="1" t="inlineStr">
        <is>
          <t>Solvent &amp; extraction</t>
        </is>
      </c>
      <c r="H267" s="1" t="inlineStr">
        <is>
          <t>Industrial Goods &amp; Advanced Manufacturing</t>
        </is>
      </c>
      <c r="I267" s="1" t="inlineStr">
        <is>
          <t>Secondary</t>
        </is>
      </c>
      <c r="J267" s="1" t="inlineStr">
        <is>
          <t>Coatings 및 specialty solvent 시장에 사용</t>
        </is>
      </c>
      <c r="K267" s="1" t="inlineStr">
        <is>
          <t>Existing</t>
        </is>
      </c>
      <c r="L267" s="11" t="n"/>
    </row>
    <row r="268" ht="33" customHeight="1" s="179">
      <c r="A268" s="11">
        <f>_xlfn.XLOOKUP(표14[[#This Row],[material_name]],표2[material_name],표2[material_id])</f>
        <v/>
      </c>
      <c r="B268" s="11">
        <f>_xlfn.XLOOKUP(표14[[#This Row],[application_taxonomy]],표11[application_taxonomy],표11[app_id])</f>
        <v/>
      </c>
      <c r="C268" s="11">
        <f>_xlfn.XLOOKUP(표14[[#This Row],[end_use_industry]],표13[end_use_category],표13[end_use_id])</f>
        <v/>
      </c>
      <c r="D268" s="11">
        <f>_xlfn.XLOOKUP(표14[[#This Row],[importance]],표15[importance],표15[rating])</f>
        <v/>
      </c>
      <c r="E268" s="1" t="inlineStr">
        <is>
          <t>Acetic acid</t>
        </is>
      </c>
      <c r="F268" s="1" t="inlineStr">
        <is>
          <t>Glycol ether acetates</t>
        </is>
      </c>
      <c r="G268" s="1" t="inlineStr">
        <is>
          <t>Solvent &amp; extraction</t>
        </is>
      </c>
      <c r="H268" s="1" t="inlineStr">
        <is>
          <t>Industrial Goods &amp; Advanced Manufacturing</t>
        </is>
      </c>
      <c r="I268" s="1" t="inlineStr">
        <is>
          <t>Secondary</t>
        </is>
      </c>
      <c r="J268" s="1" t="inlineStr">
        <is>
          <t>PMA, EBA, EEA 등 coating 및 전자용 solvent 제조</t>
        </is>
      </c>
      <c r="K268" s="1" t="inlineStr">
        <is>
          <t>Existing</t>
        </is>
      </c>
      <c r="L268" s="11" t="n"/>
    </row>
    <row r="269" ht="33" customHeight="1" s="179">
      <c r="A269" s="11">
        <f>_xlfn.XLOOKUP(표14[[#This Row],[material_name]],표2[material_name],표2[material_id])</f>
        <v/>
      </c>
      <c r="B269" s="11">
        <f>_xlfn.XLOOKUP(표14[[#This Row],[application_taxonomy]],표11[application_taxonomy],표11[app_id])</f>
        <v/>
      </c>
      <c r="C269" s="11">
        <f>_xlfn.XLOOKUP(표14[[#This Row],[end_use_industry]],표13[end_use_category],표13[end_use_id])</f>
        <v/>
      </c>
      <c r="D269" s="11">
        <f>_xlfn.XLOOKUP(표14[[#This Row],[importance]],표15[importance],표15[rating])</f>
        <v/>
      </c>
      <c r="E269" s="1" t="inlineStr">
        <is>
          <t>Acetic acid</t>
        </is>
      </c>
      <c r="F269" s="1" t="inlineStr">
        <is>
          <t>Monochloroacetic acid (MCAA)</t>
        </is>
      </c>
      <c r="G269" s="1" t="inlineStr">
        <is>
          <t>Specialty chemical intermediate</t>
        </is>
      </c>
      <c r="H269" s="1" t="inlineStr">
        <is>
          <t>Industrial Goods &amp; Advanced Manufacturing</t>
        </is>
      </c>
      <c r="I269" s="1" t="inlineStr">
        <is>
          <t>Secondary</t>
        </is>
      </c>
      <c r="J269" s="1" t="inlineStr">
        <is>
          <t>CMC, glyphosate, surfactant, thioglycolic acid 등 특수화학 중간체</t>
        </is>
      </c>
      <c r="K269" s="1" t="inlineStr">
        <is>
          <t>Existing</t>
        </is>
      </c>
      <c r="L269" s="11" t="n"/>
    </row>
    <row r="270" ht="33" customHeight="1" s="179">
      <c r="A270" s="11">
        <f>_xlfn.XLOOKUP(표14[[#This Row],[material_name]],표2[material_name],표2[material_id])</f>
        <v/>
      </c>
      <c r="B270" s="11">
        <f>_xlfn.XLOOKUP(표14[[#This Row],[application_taxonomy]],표11[application_taxonomy],표11[app_id])</f>
        <v/>
      </c>
      <c r="C270" s="11">
        <f>_xlfn.XLOOKUP(표14[[#This Row],[end_use_industry]],표13[end_use_category],표13[end_use_id])</f>
        <v/>
      </c>
      <c r="D270" s="11">
        <f>_xlfn.XLOOKUP(표14[[#This Row],[importance]],표15[importance],표15[rating])</f>
        <v/>
      </c>
      <c r="E270" s="1" t="inlineStr">
        <is>
          <t>Acetic acid</t>
        </is>
      </c>
      <c r="F270" s="1" t="inlineStr">
        <is>
          <t>Ketene / Diketene derivatives</t>
        </is>
      </c>
      <c r="G270" s="1" t="inlineStr">
        <is>
          <t>Specialty chemical intermediate</t>
        </is>
      </c>
      <c r="H270" s="1" t="inlineStr">
        <is>
          <t>Industrial Goods &amp; Advanced Manufacturing</t>
        </is>
      </c>
      <c r="I270" s="1" t="inlineStr">
        <is>
          <t>Niche / Emerging</t>
        </is>
      </c>
      <c r="J270" s="1" t="inlineStr">
        <is>
          <t>Fine chemicals, pigments, pharmaceuticals, agrochemicals용 중간체</t>
        </is>
      </c>
      <c r="K270" s="1" t="inlineStr">
        <is>
          <t>Existing</t>
        </is>
      </c>
      <c r="L270" s="11" t="n"/>
    </row>
    <row r="271" ht="33" customHeight="1" s="179">
      <c r="A271" s="11">
        <f>_xlfn.XLOOKUP(표14[[#This Row],[material_name]],표2[material_name],표2[material_id])</f>
        <v/>
      </c>
      <c r="B271" s="11">
        <f>_xlfn.XLOOKUP(표14[[#This Row],[application_taxonomy]],표11[application_taxonomy],표11[app_id])</f>
        <v/>
      </c>
      <c r="C271" s="11">
        <f>_xlfn.XLOOKUP(표14[[#This Row],[end_use_industry]],표13[end_use_category],표13[end_use_id])</f>
        <v/>
      </c>
      <c r="D271" s="11">
        <f>_xlfn.XLOOKUP(표14[[#This Row],[importance]],표15[importance],표15[rating])</f>
        <v/>
      </c>
      <c r="E271" s="1" t="inlineStr">
        <is>
          <t>Acetic acid</t>
        </is>
      </c>
      <c r="F271" s="1" t="inlineStr">
        <is>
          <t>Dimethylacetamide (DMAC)</t>
        </is>
      </c>
      <c r="G271" s="1" t="inlineStr">
        <is>
          <t>Solvent &amp; extraction</t>
        </is>
      </c>
      <c r="H271" s="1" t="inlineStr">
        <is>
          <t>Industrial Goods &amp; Advanced Manufacturing</t>
        </is>
      </c>
      <c r="I271" s="1" t="inlineStr">
        <is>
          <t>Niche / Emerging</t>
        </is>
      </c>
      <c r="J271" s="1" t="inlineStr">
        <is>
          <t>고성능 섬유 및 resin 공정용 solvent 제조</t>
        </is>
      </c>
      <c r="K271" s="1" t="inlineStr">
        <is>
          <t>Existing</t>
        </is>
      </c>
      <c r="L271" s="11" t="n"/>
    </row>
    <row r="272" ht="33" customHeight="1" s="179">
      <c r="A272" s="11">
        <f>_xlfn.XLOOKUP(표14[[#This Row],[material_name]],표2[material_name],표2[material_id])</f>
        <v/>
      </c>
      <c r="B272" s="11">
        <f>_xlfn.XLOOKUP(표14[[#This Row],[application_taxonomy]],표11[application_taxonomy],표11[app_id])</f>
        <v/>
      </c>
      <c r="C272" s="11">
        <f>_xlfn.XLOOKUP(표14[[#This Row],[end_use_industry]],표13[end_use_category],표13[end_use_id])</f>
        <v/>
      </c>
      <c r="D272" s="11">
        <f>_xlfn.XLOOKUP(표14[[#This Row],[importance]],표15[importance],표15[rating])</f>
        <v/>
      </c>
      <c r="E272" s="1" t="inlineStr">
        <is>
          <t>Acetic acid</t>
        </is>
      </c>
      <c r="F272" s="1" t="inlineStr">
        <is>
          <t>Acetate salts</t>
        </is>
      </c>
      <c r="G272" s="1" t="inlineStr">
        <is>
          <t>Specialty chemical intermediate</t>
        </is>
      </c>
      <c r="H272" s="1" t="inlineStr">
        <is>
          <t>Industrial Goods &amp; Advanced Manufacturing</t>
        </is>
      </c>
      <c r="I272" s="1" t="inlineStr">
        <is>
          <t>Niche / Emerging</t>
        </is>
      </c>
      <c r="J272" s="1" t="inlineStr">
        <is>
          <t>Sodium acetate, potassium acetate 등 산업용 화학제품 제조</t>
        </is>
      </c>
      <c r="K272" s="1" t="inlineStr">
        <is>
          <t>Existing</t>
        </is>
      </c>
      <c r="L272" s="11" t="n"/>
    </row>
    <row r="273" ht="49.5" customHeight="1" s="179">
      <c r="A273" s="11">
        <f>_xlfn.XLOOKUP(표14[[#This Row],[material_name]],표2[material_name],표2[material_id])</f>
        <v/>
      </c>
      <c r="B273" s="11">
        <f>_xlfn.XLOOKUP(표14[[#This Row],[application_taxonomy]],표11[application_taxonomy],표11[app_id])</f>
        <v/>
      </c>
      <c r="C273" s="11">
        <f>_xlfn.XLOOKUP(표14[[#This Row],[end_use_industry]],표13[end_use_category],표13[end_use_id])</f>
        <v/>
      </c>
      <c r="D273" s="11">
        <f>_xlfn.XLOOKUP(표14[[#This Row],[importance]],표15[importance],표15[rating])</f>
        <v/>
      </c>
      <c r="E273" s="1" t="inlineStr">
        <is>
          <t>Acetic acid</t>
        </is>
      </c>
      <c r="F273" s="1" t="inlineStr">
        <is>
          <t>Textile processing</t>
        </is>
      </c>
      <c r="G273" s="1" t="inlineStr">
        <is>
          <t>Specialty chemical intermediate</t>
        </is>
      </c>
      <c r="H273" s="1" t="inlineStr">
        <is>
          <t>Industrial Goods &amp; Advanced Manufacturing</t>
        </is>
      </c>
      <c r="I273" s="1" t="inlineStr">
        <is>
          <t>Niche / Emerging</t>
        </is>
      </c>
      <c r="J273" s="1" t="inlineStr">
        <is>
          <t>섬유 염색·가공에서 pH 조절 및 공정 보조제로 사용되지만, 현 taxonomy에는 textile processing 항목이 없어 직접 기능보다는 specialty chemical use로 보수적으로 분류</t>
        </is>
      </c>
      <c r="K273" s="1" t="inlineStr">
        <is>
          <t>Existing</t>
        </is>
      </c>
      <c r="L273" s="11" t="n"/>
    </row>
    <row r="274" ht="33" customHeight="1" s="179">
      <c r="A274" s="11">
        <f>_xlfn.XLOOKUP(표14[[#This Row],[material_name]],표2[material_name],표2[material_id])</f>
        <v/>
      </c>
      <c r="B274" s="11">
        <f>_xlfn.XLOOKUP(표14[[#This Row],[application_taxonomy]],표11[application_taxonomy],표11[app_id])</f>
        <v/>
      </c>
      <c r="C274" s="11">
        <f>_xlfn.XLOOKUP(표14[[#This Row],[end_use_industry]],표13[end_use_category],표13[end_use_id])</f>
        <v/>
      </c>
      <c r="D274" s="11">
        <f>_xlfn.XLOOKUP(표14[[#This Row],[importance]],표15[importance],표15[rating])</f>
        <v/>
      </c>
      <c r="E274" s="1" t="inlineStr">
        <is>
          <t>Acetic acid</t>
        </is>
      </c>
      <c r="F274" s="1" t="inlineStr">
        <is>
          <t>Food vinegar</t>
        </is>
      </c>
      <c r="G274" s="1" t="inlineStr">
        <is>
          <t>Food additives &amp; preservation</t>
        </is>
      </c>
      <c r="H274" s="1" t="inlineStr">
        <is>
          <t>Consumer Products &amp; Packaging</t>
        </is>
      </c>
      <c r="I274" s="1" t="inlineStr">
        <is>
          <t>Niche / Emerging</t>
        </is>
      </c>
      <c r="J274" s="1" t="inlineStr">
        <is>
          <t>식초 및 식품 산미료로 사용되는 직접 소비 application이며, 기존 taxonomy의 식품첨가·보존 기능에 해당</t>
        </is>
      </c>
      <c r="K274" s="1" t="inlineStr">
        <is>
          <t>Existing</t>
        </is>
      </c>
      <c r="L274" s="11" t="n"/>
    </row>
    <row r="275" ht="49.5" customHeight="1" s="179">
      <c r="A275" s="11">
        <f>_xlfn.XLOOKUP(표14[[#This Row],[material_name]],표2[material_name],표2[material_id])</f>
        <v/>
      </c>
      <c r="B275" s="11">
        <f>_xlfn.XLOOKUP(표14[[#This Row],[application_taxonomy]],표11[application_taxonomy],표11[app_id])</f>
        <v/>
      </c>
      <c r="C275" s="11">
        <f>_xlfn.XLOOKUP(표14[[#This Row],[end_use_industry]],표13[end_use_category],표13[end_use_id])</f>
        <v/>
      </c>
      <c r="D275" s="11">
        <f>_xlfn.XLOOKUP(표14[[#This Row],[importance]],표15[importance],표15[rating])</f>
        <v/>
      </c>
      <c r="E275" s="1" t="inlineStr">
        <is>
          <t>Acetic acid</t>
        </is>
      </c>
      <c r="F275" s="1" t="inlineStr">
        <is>
          <t>Pharmaceuticals</t>
        </is>
      </c>
      <c r="G275" s="1" t="inlineStr">
        <is>
          <t>Specialty chemical intermediate</t>
        </is>
      </c>
      <c r="H275" s="1" t="inlineStr">
        <is>
          <t>Healthcare &amp; Life Sciences</t>
        </is>
      </c>
      <c r="I275" s="1" t="inlineStr">
        <is>
          <t>Niche / Emerging</t>
        </is>
      </c>
      <c r="J275" s="1" t="inlineStr">
        <is>
          <t>의약품 합성 및 공정용 시약으로 사용되며, 별도 pharmaceutical taxonomy가 없으므로 specialty intermediate로 분류</t>
        </is>
      </c>
      <c r="K275" s="1" t="inlineStr">
        <is>
          <t>Existing</t>
        </is>
      </c>
      <c r="L275" s="11" t="n"/>
    </row>
    <row r="276" ht="33" customHeight="1" s="179">
      <c r="A276" s="11">
        <f>_xlfn.XLOOKUP(표14[[#This Row],[material_name]],표2[material_name],표2[material_id])</f>
        <v/>
      </c>
      <c r="B276" s="11">
        <f>_xlfn.XLOOKUP(표14[[#This Row],[application_taxonomy]],표11[application_taxonomy],표11[app_id])</f>
        <v/>
      </c>
      <c r="C276" s="11">
        <f>_xlfn.XLOOKUP(표14[[#This Row],[end_use_industry]],표13[end_use_category],표13[end_use_id])</f>
        <v/>
      </c>
      <c r="D276" s="11">
        <f>_xlfn.XLOOKUP(표14[[#This Row],[importance]],표15[importance],표15[rating])</f>
        <v/>
      </c>
      <c r="E276" s="1" t="inlineStr">
        <is>
          <t>PA</t>
        </is>
      </c>
      <c r="F276" s="1" t="inlineStr">
        <is>
          <t>Phthalate plasticizers</t>
        </is>
      </c>
      <c r="G276" s="1" t="inlineStr">
        <is>
          <t>Polymer modification &amp; additives</t>
        </is>
      </c>
      <c r="H276" s="1" t="inlineStr">
        <is>
          <t>Industrial Goods &amp; Advanced Manufacturing</t>
        </is>
      </c>
      <c r="I276" s="1" t="inlineStr">
        <is>
          <t>Primary</t>
        </is>
      </c>
      <c r="J276" s="1" t="inlineStr">
        <is>
          <t>PA 소비의 약 절반이 flexible PVC용 phthalate plasticizer 생산에 사용</t>
        </is>
      </c>
      <c r="K276" s="1" t="inlineStr">
        <is>
          <t>Existing</t>
        </is>
      </c>
      <c r="L276" s="11" t="n"/>
    </row>
    <row r="277" ht="33" customHeight="1" s="179">
      <c r="A277" s="11">
        <f>_xlfn.XLOOKUP(표14[[#This Row],[material_name]],표2[material_name],표2[material_id])</f>
        <v/>
      </c>
      <c r="B277" s="11">
        <f>_xlfn.XLOOKUP(표14[[#This Row],[application_taxonomy]],표11[application_taxonomy],표11[app_id])</f>
        <v/>
      </c>
      <c r="C277" s="11">
        <f>_xlfn.XLOOKUP(표14[[#This Row],[end_use_industry]],표13[end_use_category],표13[end_use_id])</f>
        <v/>
      </c>
      <c r="D277" s="11">
        <f>_xlfn.XLOOKUP(표14[[#This Row],[importance]],표15[importance],표15[rating])</f>
        <v/>
      </c>
      <c r="E277" s="1" t="inlineStr">
        <is>
          <t>PA</t>
        </is>
      </c>
      <c r="F277" s="1" t="inlineStr">
        <is>
          <t>Flexible PVC</t>
        </is>
      </c>
      <c r="G277" s="1" t="inlineStr">
        <is>
          <t>Polymer modification &amp; additives</t>
        </is>
      </c>
      <c r="H277" s="1" t="inlineStr">
        <is>
          <t>Construction &amp; Infrastructure</t>
        </is>
      </c>
      <c r="I277" s="1" t="inlineStr">
        <is>
          <t>Primary</t>
        </is>
      </c>
      <c r="J277" s="1" t="inlineStr">
        <is>
          <t>phthalate plasticizer의 주요 downstream으로 PVC 건설재·전선·필름 등에 연결</t>
        </is>
      </c>
      <c r="K277" s="1" t="inlineStr">
        <is>
          <t>Existing</t>
        </is>
      </c>
      <c r="L277" s="11" t="n"/>
    </row>
    <row r="278" ht="33" customHeight="1" s="179">
      <c r="A278" s="11">
        <f>_xlfn.XLOOKUP(표14[[#This Row],[material_name]],표2[material_name],표2[material_id])</f>
        <v/>
      </c>
      <c r="B278" s="11">
        <f>_xlfn.XLOOKUP(표14[[#This Row],[application_taxonomy]],표11[application_taxonomy],표11[app_id])</f>
        <v/>
      </c>
      <c r="C278" s="11">
        <f>_xlfn.XLOOKUP(표14[[#This Row],[end_use_industry]],표13[end_use_category],표13[end_use_id])</f>
        <v/>
      </c>
      <c r="D278" s="11">
        <f>_xlfn.XLOOKUP(표14[[#This Row],[importance]],표15[importance],표15[rating])</f>
        <v/>
      </c>
      <c r="E278" s="1" t="inlineStr">
        <is>
          <t>PA</t>
        </is>
      </c>
      <c r="F278" s="1" t="inlineStr">
        <is>
          <t>Alkyd resins for surface coatings</t>
        </is>
      </c>
      <c r="G278" s="1" t="inlineStr">
        <is>
          <t>Surface coating</t>
        </is>
      </c>
      <c r="H278" s="1" t="inlineStr">
        <is>
          <t>Industrial Goods &amp; Advanced Manufacturing</t>
        </is>
      </c>
      <c r="I278" s="1" t="inlineStr">
        <is>
          <t>Secondary</t>
        </is>
      </c>
      <c r="J278" s="1" t="inlineStr">
        <is>
          <t>PA의 주요 시장 중 하나이나 환경규제로 성장 제약</t>
        </is>
      </c>
      <c r="K278" s="1" t="inlineStr">
        <is>
          <t>Existing</t>
        </is>
      </c>
      <c r="L278" s="11" t="n"/>
    </row>
    <row r="279" ht="33" customHeight="1" s="179">
      <c r="A279" s="11">
        <f>_xlfn.XLOOKUP(표14[[#This Row],[material_name]],표2[material_name],표2[material_id])</f>
        <v/>
      </c>
      <c r="B279" s="11">
        <f>_xlfn.XLOOKUP(표14[[#This Row],[application_taxonomy]],표11[application_taxonomy],표11[app_id])</f>
        <v/>
      </c>
      <c r="C279" s="11">
        <f>_xlfn.XLOOKUP(표14[[#This Row],[end_use_industry]],표13[end_use_category],표13[end_use_id])</f>
        <v/>
      </c>
      <c r="D279" s="11">
        <f>_xlfn.XLOOKUP(표14[[#This Row],[importance]],표15[importance],표15[rating])</f>
        <v/>
      </c>
      <c r="E279" s="1" t="inlineStr">
        <is>
          <t>PA</t>
        </is>
      </c>
      <c r="F279" s="1" t="inlineStr">
        <is>
          <t>Unsaturated polyester resins (UPR) / FRP</t>
        </is>
      </c>
      <c r="G279" s="1" t="inlineStr">
        <is>
          <t>Major chemical intermediate</t>
        </is>
      </c>
      <c r="H279" s="1" t="inlineStr">
        <is>
          <t>Industrial Goods &amp; Advanced Manufacturing</t>
        </is>
      </c>
      <c r="I279" s="1" t="inlineStr">
        <is>
          <t>Secondary</t>
        </is>
      </c>
      <c r="J279" s="1" t="inlineStr">
        <is>
          <t>UPR 및 fiberglass-reinforced plastics용으로 사용되는 주요 비-plasticizer 용도</t>
        </is>
      </c>
      <c r="K279" s="1" t="inlineStr">
        <is>
          <t>Existing</t>
        </is>
      </c>
      <c r="L279" s="11" t="n"/>
    </row>
    <row r="280" ht="33" customHeight="1" s="179">
      <c r="A280" s="11">
        <f>_xlfn.XLOOKUP(표14[[#This Row],[material_name]],표2[material_name],표2[material_id])</f>
        <v/>
      </c>
      <c r="B280" s="11">
        <f>_xlfn.XLOOKUP(표14[[#This Row],[application_taxonomy]],표11[application_taxonomy],표11[app_id])</f>
        <v/>
      </c>
      <c r="C280" s="11">
        <f>_xlfn.XLOOKUP(표14[[#This Row],[end_use_industry]],표13[end_use_category],표13[end_use_id])</f>
        <v/>
      </c>
      <c r="D280" s="11">
        <f>_xlfn.XLOOKUP(표14[[#This Row],[importance]],표15[importance],표15[rating])</f>
        <v/>
      </c>
      <c r="E280" s="1" t="inlineStr">
        <is>
          <t>PA</t>
        </is>
      </c>
      <c r="F280" s="1" t="inlineStr">
        <is>
          <t>Pigments and dyes</t>
        </is>
      </c>
      <c r="G280" s="1" t="inlineStr">
        <is>
          <t>Printing inks &amp; graphic materials</t>
        </is>
      </c>
      <c r="H280" s="1" t="inlineStr">
        <is>
          <t>Industrial Goods &amp; Advanced Manufacturing</t>
        </is>
      </c>
      <c r="I280" s="1" t="inlineStr">
        <is>
          <t>Niche / Emerging</t>
        </is>
      </c>
      <c r="J280" s="1" t="inlineStr">
        <is>
          <t>소량 용도이며 색재료 chain으로 연결</t>
        </is>
      </c>
      <c r="K280" s="1" t="inlineStr">
        <is>
          <t>Existing</t>
        </is>
      </c>
      <c r="L280" s="11" t="n"/>
    </row>
    <row r="281" ht="33" customHeight="1" s="179">
      <c r="A281" s="11">
        <f>_xlfn.XLOOKUP(표14[[#This Row],[material_name]],표2[material_name],표2[material_id])</f>
        <v/>
      </c>
      <c r="B281" s="11">
        <f>_xlfn.XLOOKUP(표14[[#This Row],[application_taxonomy]],표11[application_taxonomy],표11[app_id])</f>
        <v/>
      </c>
      <c r="C281" s="11">
        <f>_xlfn.XLOOKUP(표14[[#This Row],[end_use_industry]],표13[end_use_category],표13[end_use_id])</f>
        <v/>
      </c>
      <c r="D281" s="11">
        <f>_xlfn.XLOOKUP(표14[[#This Row],[importance]],표15[importance],표15[rating])</f>
        <v/>
      </c>
      <c r="E281" s="1" t="inlineStr">
        <is>
          <t>PA</t>
        </is>
      </c>
      <c r="F281" s="1" t="inlineStr">
        <is>
          <t>Flame retardants</t>
        </is>
      </c>
      <c r="G281" s="1" t="inlineStr">
        <is>
          <t>Flame retardancy &amp; fire protection</t>
        </is>
      </c>
      <c r="H281" s="1" t="inlineStr">
        <is>
          <t>Industrial Goods &amp; Advanced Manufacturing</t>
        </is>
      </c>
      <c r="I281" s="1" t="inlineStr">
        <is>
          <t>Niche / Emerging</t>
        </is>
      </c>
      <c r="J281" s="1" t="inlineStr">
        <is>
          <t>소규모 기타 용도 중 하나로 언급됨</t>
        </is>
      </c>
      <c r="K281" s="1" t="inlineStr">
        <is>
          <t>Existing</t>
        </is>
      </c>
      <c r="L281" s="11" t="n"/>
    </row>
    <row r="282">
      <c r="A282" s="11">
        <f>_xlfn.XLOOKUP(표14[[#This Row],[material_name]],표2[material_name],표2[material_id])</f>
        <v/>
      </c>
      <c r="B282" s="11">
        <f>_xlfn.XLOOKUP(표14[[#This Row],[application_taxonomy]],표11[application_taxonomy],표11[app_id])</f>
        <v/>
      </c>
      <c r="C282" s="11">
        <f>_xlfn.XLOOKUP(표14[[#This Row],[end_use_industry]],표13[end_use_category],표13[end_use_id])</f>
        <v/>
      </c>
      <c r="D282" s="11">
        <f>_xlfn.XLOOKUP(표14[[#This Row],[importance]],표15[importance],표15[rating])</f>
        <v/>
      </c>
      <c r="E282" s="1" t="inlineStr">
        <is>
          <t>Caprolactam</t>
        </is>
      </c>
      <c r="F282" s="1" t="inlineStr">
        <is>
          <t>Polyamide 6 fibers</t>
        </is>
      </c>
      <c r="G282" s="1" t="inlineStr">
        <is>
          <t>Reactive monomer / comonomer</t>
        </is>
      </c>
      <c r="H282" s="1" t="inlineStr">
        <is>
          <t>Consumer Products &amp; Packaging</t>
        </is>
      </c>
      <c r="I282" s="1" t="inlineStr">
        <is>
          <t>Primary</t>
        </is>
      </c>
      <c r="J282" s="1" t="inlineStr">
        <is>
          <t>caprolactam은 거의 전량 PA6 섬유·수지로 사용</t>
        </is>
      </c>
      <c r="K282" s="1" t="inlineStr">
        <is>
          <t>Existing</t>
        </is>
      </c>
      <c r="L282" s="11" t="n"/>
    </row>
    <row r="283">
      <c r="A283" s="11">
        <f>_xlfn.XLOOKUP(표14[[#This Row],[material_name]],표2[material_name],표2[material_id])</f>
        <v/>
      </c>
      <c r="B283" s="11">
        <f>_xlfn.XLOOKUP(표14[[#This Row],[application_taxonomy]],표11[application_taxonomy],표11[app_id])</f>
        <v/>
      </c>
      <c r="C283" s="11">
        <f>_xlfn.XLOOKUP(표14[[#This Row],[end_use_industry]],표13[end_use_category],표13[end_use_id])</f>
        <v/>
      </c>
      <c r="D283" s="11">
        <f>_xlfn.XLOOKUP(표14[[#This Row],[importance]],표15[importance],표15[rating])</f>
        <v/>
      </c>
      <c r="E283" s="1" t="inlineStr">
        <is>
          <t>Caprolactam</t>
        </is>
      </c>
      <c r="F283" s="1" t="inlineStr">
        <is>
          <t>Polyamide 6 plastics / resins</t>
        </is>
      </c>
      <c r="G283" s="1" t="inlineStr">
        <is>
          <t>Reactive monomer / comonomer</t>
        </is>
      </c>
      <c r="H283" s="1" t="inlineStr">
        <is>
          <t>Automotive &amp; Future Mobility</t>
        </is>
      </c>
      <c r="I283" s="1" t="inlineStr">
        <is>
          <t>Primary</t>
        </is>
      </c>
      <c r="J283" s="1" t="inlineStr">
        <is>
          <t>PA6 engineering resin은 자동차·전기부품 등 핵심 수요</t>
        </is>
      </c>
      <c r="K283" s="1" t="inlineStr">
        <is>
          <t>Existing</t>
        </is>
      </c>
      <c r="L283" s="11" t="n"/>
    </row>
    <row r="284" ht="33" customHeight="1" s="179">
      <c r="A284" s="11">
        <f>_xlfn.XLOOKUP(표14[[#This Row],[material_name]],표2[material_name],표2[material_id])</f>
        <v/>
      </c>
      <c r="B284" s="11">
        <f>_xlfn.XLOOKUP(표14[[#This Row],[application_taxonomy]],표11[application_taxonomy],표11[app_id])</f>
        <v/>
      </c>
      <c r="C284" s="11">
        <f>_xlfn.XLOOKUP(표14[[#This Row],[end_use_industry]],표13[end_use_category],표13[end_use_id])</f>
        <v/>
      </c>
      <c r="D284" s="11">
        <f>_xlfn.XLOOKUP(표14[[#This Row],[importance]],표15[importance],표15[rating])</f>
        <v/>
      </c>
      <c r="E284" s="1" t="inlineStr">
        <is>
          <t>Caprolactam</t>
        </is>
      </c>
      <c r="F284" s="1" t="inlineStr">
        <is>
          <t>Polyamide film for food and medical packaging</t>
        </is>
      </c>
      <c r="G284" s="1" t="inlineStr">
        <is>
          <t>Barrier packaging</t>
        </is>
      </c>
      <c r="H284" s="1" t="inlineStr">
        <is>
          <t>Consumer Products &amp; Packaging</t>
        </is>
      </c>
      <c r="I284" s="1" t="inlineStr">
        <is>
          <t>Secondary</t>
        </is>
      </c>
      <c r="J284" s="1" t="inlineStr">
        <is>
          <t>grease resistance와 낮은 gas transmission을 활용한 필름 용도</t>
        </is>
      </c>
      <c r="K284" s="1" t="inlineStr">
        <is>
          <t>Existing</t>
        </is>
      </c>
      <c r="L284" s="11" t="n"/>
    </row>
    <row r="285" ht="33" customHeight="1" s="179">
      <c r="A285" s="11">
        <f>_xlfn.XLOOKUP(표14[[#This Row],[material_name]],표2[material_name],표2[material_id])</f>
        <v/>
      </c>
      <c r="B285" s="11">
        <f>_xlfn.XLOOKUP(표14[[#This Row],[application_taxonomy]],표11[application_taxonomy],표11[app_id])</f>
        <v/>
      </c>
      <c r="C285" s="11">
        <f>_xlfn.XLOOKUP(표14[[#This Row],[end_use_industry]],표13[end_use_category],표13[end_use_id])</f>
        <v/>
      </c>
      <c r="D285" s="11">
        <f>_xlfn.XLOOKUP(표14[[#This Row],[importance]],표15[importance],표15[rating])</f>
        <v/>
      </c>
      <c r="E285" s="1" t="inlineStr">
        <is>
          <t>Caprolactam</t>
        </is>
      </c>
      <c r="F285" s="1" t="inlineStr">
        <is>
          <t>Wire and cable protective layer</t>
        </is>
      </c>
      <c r="G285" s="1" t="inlineStr">
        <is>
          <t>Electrical insulation</t>
        </is>
      </c>
      <c r="H285" s="1" t="inlineStr">
        <is>
          <t>Electronics, Semiconductors &amp; Digital Infrastructure</t>
        </is>
      </c>
      <c r="I285" s="1" t="inlineStr">
        <is>
          <t>Secondary</t>
        </is>
      </c>
      <c r="J285" s="1" t="inlineStr">
        <is>
          <t>PVC primary insulation 위 보호층으로 사용</t>
        </is>
      </c>
      <c r="K285" s="1" t="inlineStr">
        <is>
          <t>Existing</t>
        </is>
      </c>
      <c r="L285" s="11" t="n"/>
    </row>
    <row r="286">
      <c r="A286" s="11">
        <f>_xlfn.XLOOKUP(표14[[#This Row],[material_name]],표2[material_name],표2[material_id])</f>
        <v/>
      </c>
      <c r="B286" s="11">
        <f>_xlfn.XLOOKUP(표14[[#This Row],[application_taxonomy]],표11[application_taxonomy],표11[app_id])</f>
        <v/>
      </c>
      <c r="C286" s="11">
        <f>_xlfn.XLOOKUP(표14[[#This Row],[end_use_industry]],표13[end_use_category],표13[end_use_id])</f>
        <v/>
      </c>
      <c r="D286" s="11">
        <f>_xlfn.XLOOKUP(표14[[#This Row],[importance]],표15[importance],표15[rating])</f>
        <v/>
      </c>
      <c r="E286" s="1" t="inlineStr">
        <is>
          <t>Caprolactam</t>
        </is>
      </c>
      <c r="F286" s="1" t="inlineStr">
        <is>
          <t>Tire cord and industrial yarn</t>
        </is>
      </c>
      <c r="G286" s="1" t="inlineStr">
        <is>
          <t>Tire &amp; rubber applications</t>
        </is>
      </c>
      <c r="H286" s="1" t="inlineStr">
        <is>
          <t>Automotive &amp; Future Mobility</t>
        </is>
      </c>
      <c r="I286" s="1" t="inlineStr">
        <is>
          <t>Secondary</t>
        </is>
      </c>
      <c r="J286" s="1" t="inlineStr">
        <is>
          <t>고강도 polyamide yarn의 주요 산업용 수요</t>
        </is>
      </c>
      <c r="K286" s="1" t="inlineStr">
        <is>
          <t>Existing</t>
        </is>
      </c>
      <c r="L286" s="11" t="n"/>
    </row>
    <row r="287">
      <c r="A287" s="11">
        <f>_xlfn.XLOOKUP(표14[[#This Row],[material_name]],표2[material_name],표2[material_id])</f>
        <v/>
      </c>
      <c r="B287" s="11">
        <f>_xlfn.XLOOKUP(표14[[#This Row],[application_taxonomy]],표11[application_taxonomy],표11[app_id])</f>
        <v/>
      </c>
      <c r="C287" s="11">
        <f>_xlfn.XLOOKUP(표14[[#This Row],[end_use_industry]],표13[end_use_category],표13[end_use_id])</f>
        <v/>
      </c>
      <c r="D287" s="11">
        <f>_xlfn.XLOOKUP(표14[[#This Row],[importance]],표15[importance],표15[rating])</f>
        <v/>
      </c>
      <c r="E287" s="1" t="inlineStr">
        <is>
          <t>LAO</t>
        </is>
      </c>
      <c r="F287" s="1" t="inlineStr">
        <is>
          <t>Polyethylene comonomers</t>
        </is>
      </c>
      <c r="G287" s="1" t="inlineStr">
        <is>
          <t>Major chemical intermediate</t>
        </is>
      </c>
      <c r="H287" s="1" t="inlineStr">
        <is>
          <t>Consumer Products &amp; Packaging</t>
        </is>
      </c>
      <c r="I287" s="1" t="inlineStr">
        <is>
          <t>Primary</t>
        </is>
      </c>
      <c r="J287" s="1" t="inlineStr">
        <is>
          <t>LLDPE/HDPE용 comonomer가 LAO의 핵심 대량 수요처</t>
        </is>
      </c>
      <c r="K287" s="1" t="inlineStr">
        <is>
          <t>Existing</t>
        </is>
      </c>
      <c r="L287" s="11" t="inlineStr">
        <is>
          <t>GPT</t>
        </is>
      </c>
    </row>
    <row r="288" ht="33" customHeight="1" s="179">
      <c r="A288" s="11">
        <f>_xlfn.XLOOKUP(표14[[#This Row],[material_name]],표2[material_name],표2[material_id])</f>
        <v/>
      </c>
      <c r="B288" s="11">
        <f>_xlfn.XLOOKUP(표14[[#This Row],[application_taxonomy]],표11[application_taxonomy],표11[app_id])</f>
        <v/>
      </c>
      <c r="C288" s="11">
        <f>_xlfn.XLOOKUP(표14[[#This Row],[end_use_industry]],표13[end_use_category],표13[end_use_id])</f>
        <v/>
      </c>
      <c r="D288" s="11">
        <f>_xlfn.XLOOKUP(표14[[#This Row],[importance]],표15[importance],표15[rating])</f>
        <v/>
      </c>
      <c r="E288" s="1" t="inlineStr">
        <is>
          <t>LAO</t>
        </is>
      </c>
      <c r="F288" s="1" t="inlineStr">
        <is>
          <t>Polyalphaolefins for lubricants</t>
        </is>
      </c>
      <c r="G288" s="1" t="inlineStr">
        <is>
          <t>Major chemical intermediate</t>
        </is>
      </c>
      <c r="H288" s="1" t="inlineStr">
        <is>
          <t>Industrial Goods &amp; Advanced Manufacturing</t>
        </is>
      </c>
      <c r="I288" s="1" t="inlineStr">
        <is>
          <t>Primary</t>
        </is>
      </c>
      <c r="J288" s="1" t="inlineStr">
        <is>
          <t>PAO 합성기유로 연결되는 주요 downstream route</t>
        </is>
      </c>
      <c r="K288" s="1" t="inlineStr">
        <is>
          <t>Existing</t>
        </is>
      </c>
      <c r="L288" s="11" t="inlineStr">
        <is>
          <t>GPT</t>
        </is>
      </c>
    </row>
    <row r="289">
      <c r="A289" s="11">
        <f>_xlfn.XLOOKUP(표14[[#This Row],[material_name]],표2[material_name],표2[material_id])</f>
        <v/>
      </c>
      <c r="B289" s="11">
        <f>_xlfn.XLOOKUP(표14[[#This Row],[application_taxonomy]],표11[application_taxonomy],표11[app_id])</f>
        <v/>
      </c>
      <c r="C289" s="11">
        <f>_xlfn.XLOOKUP(표14[[#This Row],[end_use_industry]],표13[end_use_category],표13[end_use_id])</f>
        <v/>
      </c>
      <c r="D289" s="11">
        <f>_xlfn.XLOOKUP(표14[[#This Row],[importance]],표15[importance],표15[rating])</f>
        <v/>
      </c>
      <c r="E289" s="1" t="inlineStr">
        <is>
          <t>LAO</t>
        </is>
      </c>
      <c r="F289" s="1" t="inlineStr">
        <is>
          <t>Detergent alcohols / surfactants</t>
        </is>
      </c>
      <c r="G289" s="1" t="inlineStr">
        <is>
          <t>Surfactant &amp; emulsification</t>
        </is>
      </c>
      <c r="H289" s="1" t="inlineStr">
        <is>
          <t>Consumer Products &amp; Packaging</t>
        </is>
      </c>
      <c r="I289" s="1" t="inlineStr">
        <is>
          <t>Secondary</t>
        </is>
      </c>
      <c r="J289" s="1" t="inlineStr">
        <is>
          <t>세제 및 계면활성제 chain으로 사용</t>
        </is>
      </c>
      <c r="K289" s="1" t="inlineStr">
        <is>
          <t>Existing</t>
        </is>
      </c>
      <c r="L289" s="11" t="inlineStr">
        <is>
          <t>GPT</t>
        </is>
      </c>
    </row>
    <row r="290" ht="33" customHeight="1" s="179">
      <c r="A290" s="11">
        <f>_xlfn.XLOOKUP(표14[[#This Row],[material_name]],표2[material_name],표2[material_id])</f>
        <v/>
      </c>
      <c r="B290" s="11">
        <f>_xlfn.XLOOKUP(표14[[#This Row],[application_taxonomy]],표11[application_taxonomy],표11[app_id])</f>
        <v/>
      </c>
      <c r="C290" s="11">
        <f>_xlfn.XLOOKUP(표14[[#This Row],[end_use_industry]],표13[end_use_category],표13[end_use_id])</f>
        <v/>
      </c>
      <c r="D290" s="11">
        <f>_xlfn.XLOOKUP(표14[[#This Row],[importance]],표15[importance],표15[rating])</f>
        <v/>
      </c>
      <c r="E290" s="1" t="inlineStr">
        <is>
          <t>LAO</t>
        </is>
      </c>
      <c r="F290" s="1" t="inlineStr">
        <is>
          <t>Plasticizers</t>
        </is>
      </c>
      <c r="G290" s="1" t="inlineStr">
        <is>
          <t>Polymer modification &amp; additives</t>
        </is>
      </c>
      <c r="H290" s="1" t="inlineStr">
        <is>
          <t>Industrial Goods &amp; Advanced Manufacturing</t>
        </is>
      </c>
      <c r="I290" s="1" t="inlineStr">
        <is>
          <t>Secondary</t>
        </is>
      </c>
      <c r="J290" s="1" t="inlineStr">
        <is>
          <t>plasticizer alcohol 및 additive chain으로 연결</t>
        </is>
      </c>
      <c r="K290" s="1" t="inlineStr">
        <is>
          <t>Existing</t>
        </is>
      </c>
      <c r="L290" s="11" t="inlineStr">
        <is>
          <t>GPT</t>
        </is>
      </c>
    </row>
    <row r="291" ht="33" customHeight="1" s="179">
      <c r="A291" s="11">
        <f>_xlfn.XLOOKUP(표14[[#This Row],[material_name]],표2[material_name],표2[material_id])</f>
        <v/>
      </c>
      <c r="B291" s="11">
        <f>_xlfn.XLOOKUP(표14[[#This Row],[application_taxonomy]],표11[application_taxonomy],표11[app_id])</f>
        <v/>
      </c>
      <c r="C291" s="11">
        <f>_xlfn.XLOOKUP(표14[[#This Row],[end_use_industry]],표13[end_use_category],표13[end_use_id])</f>
        <v/>
      </c>
      <c r="D291" s="11">
        <f>_xlfn.XLOOKUP(표14[[#This Row],[importance]],표15[importance],표15[rating])</f>
        <v/>
      </c>
      <c r="E291" s="1" t="inlineStr">
        <is>
          <t>PAO</t>
        </is>
      </c>
      <c r="F291" s="1" t="inlineStr">
        <is>
          <t>Synthetic motor oils</t>
        </is>
      </c>
      <c r="G291" s="1" t="inlineStr">
        <is>
          <t>Lubrication &amp; friction control</t>
        </is>
      </c>
      <c r="H291" s="1" t="inlineStr">
        <is>
          <t>Automotive &amp; Future Mobility</t>
        </is>
      </c>
      <c r="I291" s="1" t="inlineStr">
        <is>
          <t>Primary</t>
        </is>
      </c>
      <c r="J291" s="1" t="inlineStr">
        <is>
          <t>PAO의 대표 application은 고성능 synthetic lubricant base oil</t>
        </is>
      </c>
      <c r="K291" s="1" t="inlineStr">
        <is>
          <t>Existing</t>
        </is>
      </c>
      <c r="L291" s="11" t="inlineStr">
        <is>
          <t>GPT</t>
        </is>
      </c>
    </row>
    <row r="292" ht="33" customHeight="1" s="179">
      <c r="A292" s="11">
        <f>_xlfn.XLOOKUP(표14[[#This Row],[material_name]],표2[material_name],표2[material_id])</f>
        <v/>
      </c>
      <c r="B292" s="11">
        <f>_xlfn.XLOOKUP(표14[[#This Row],[application_taxonomy]],표11[application_taxonomy],표11[app_id])</f>
        <v/>
      </c>
      <c r="C292" s="11">
        <f>_xlfn.XLOOKUP(표14[[#This Row],[end_use_industry]],표13[end_use_category],표13[end_use_id])</f>
        <v/>
      </c>
      <c r="D292" s="11">
        <f>_xlfn.XLOOKUP(표14[[#This Row],[importance]],표15[importance],표15[rating])</f>
        <v/>
      </c>
      <c r="E292" s="1" t="inlineStr">
        <is>
          <t>PAO</t>
        </is>
      </c>
      <c r="F292" s="1" t="inlineStr">
        <is>
          <t>Industrial gear oils</t>
        </is>
      </c>
      <c r="G292" s="1" t="inlineStr">
        <is>
          <t>Lubrication &amp; friction control</t>
        </is>
      </c>
      <c r="H292" s="1" t="inlineStr">
        <is>
          <t>Industrial Goods &amp; Advanced Manufacturing</t>
        </is>
      </c>
      <c r="I292" s="1" t="inlineStr">
        <is>
          <t>Primary</t>
        </is>
      </c>
      <c r="J292" s="1" t="inlineStr">
        <is>
          <t>gear, bearing, compressor, hydraulic oil 등에 광범위 사용</t>
        </is>
      </c>
      <c r="K292" s="1" t="inlineStr">
        <is>
          <t>Existing</t>
        </is>
      </c>
      <c r="L292" s="11" t="inlineStr">
        <is>
          <t>GPT</t>
        </is>
      </c>
    </row>
    <row r="293" ht="33" customHeight="1" s="179">
      <c r="A293" s="11">
        <f>_xlfn.XLOOKUP(표14[[#This Row],[material_name]],표2[material_name],표2[material_id])</f>
        <v/>
      </c>
      <c r="B293" s="11">
        <f>_xlfn.XLOOKUP(표14[[#This Row],[application_taxonomy]],표11[application_taxonomy],표11[app_id])</f>
        <v/>
      </c>
      <c r="C293" s="11">
        <f>_xlfn.XLOOKUP(표14[[#This Row],[end_use_industry]],표13[end_use_category],표13[end_use_id])</f>
        <v/>
      </c>
      <c r="D293" s="11">
        <f>_xlfn.XLOOKUP(표14[[#This Row],[importance]],표15[importance],표15[rating])</f>
        <v/>
      </c>
      <c r="E293" s="1" t="inlineStr">
        <is>
          <t>MMA</t>
        </is>
      </c>
      <c r="F293" s="1" t="inlineStr">
        <is>
          <t>PMMA molding and extruded resins / sheet</t>
        </is>
      </c>
      <c r="G293" s="1" t="inlineStr">
        <is>
          <t>Major chemical intermediate</t>
        </is>
      </c>
      <c r="H293" s="1" t="inlineStr">
        <is>
          <t>Industrial Goods &amp; Advanced Manufacturing</t>
        </is>
      </c>
      <c r="I293" s="1" t="inlineStr">
        <is>
          <t>Primary</t>
        </is>
      </c>
      <c r="J293" s="1" t="inlineStr">
        <is>
          <t>MMA의 대표 대량 수요처는 PMMA 생산용 monomer</t>
        </is>
      </c>
      <c r="K293" s="1" t="inlineStr">
        <is>
          <t>Existing</t>
        </is>
      </c>
      <c r="L293" s="11" t="inlineStr">
        <is>
          <t>GPT</t>
        </is>
      </c>
    </row>
    <row r="294" ht="33" customHeight="1" s="179">
      <c r="A294" s="11">
        <f>_xlfn.XLOOKUP(표14[[#This Row],[material_name]],표2[material_name],표2[material_id])</f>
        <v/>
      </c>
      <c r="B294" s="11">
        <f>_xlfn.XLOOKUP(표14[[#This Row],[application_taxonomy]],표11[application_taxonomy],표11[app_id])</f>
        <v/>
      </c>
      <c r="C294" s="11">
        <f>_xlfn.XLOOKUP(표14[[#This Row],[end_use_industry]],표13[end_use_category],표13[end_use_id])</f>
        <v/>
      </c>
      <c r="D294" s="11">
        <f>_xlfn.XLOOKUP(표14[[#This Row],[importance]],표15[importance],표15[rating])</f>
        <v/>
      </c>
      <c r="E294" s="1" t="inlineStr">
        <is>
          <t>MMA</t>
        </is>
      </c>
      <c r="F294" s="1" t="inlineStr">
        <is>
          <t>Adhesives</t>
        </is>
      </c>
      <c r="G294" s="1" t="inlineStr">
        <is>
          <t>Adhesive bonding</t>
        </is>
      </c>
      <c r="H294" s="1" t="inlineStr">
        <is>
          <t>Industrial Goods &amp; Advanced Manufacturing</t>
        </is>
      </c>
      <c r="I294" s="1" t="inlineStr">
        <is>
          <t>Secondary</t>
        </is>
      </c>
      <c r="J294" s="1" t="inlineStr">
        <is>
          <t>reactive adhesive formulation에 사용</t>
        </is>
      </c>
      <c r="K294" s="1" t="inlineStr">
        <is>
          <t>Existing</t>
        </is>
      </c>
      <c r="L294" s="11" t="inlineStr">
        <is>
          <t>GPT</t>
        </is>
      </c>
    </row>
    <row r="295" ht="33" customHeight="1" s="179">
      <c r="A295" s="11">
        <f>_xlfn.XLOOKUP(표14[[#This Row],[material_name]],표2[material_name],표2[material_id])</f>
        <v/>
      </c>
      <c r="B295" s="11">
        <f>_xlfn.XLOOKUP(표14[[#This Row],[application_taxonomy]],표11[application_taxonomy],표11[app_id])</f>
        <v/>
      </c>
      <c r="C295" s="11">
        <f>_xlfn.XLOOKUP(표14[[#This Row],[end_use_industry]],표13[end_use_category],표13[end_use_id])</f>
        <v/>
      </c>
      <c r="D295" s="11">
        <f>_xlfn.XLOOKUP(표14[[#This Row],[importance]],표15[importance],표15[rating])</f>
        <v/>
      </c>
      <c r="E295" s="1" t="inlineStr">
        <is>
          <t>MMA</t>
        </is>
      </c>
      <c r="F295" s="1" t="inlineStr">
        <is>
          <t>Mineral surface composites</t>
        </is>
      </c>
      <c r="G295" s="1" t="inlineStr">
        <is>
          <t>Composite &amp; performance resins</t>
        </is>
      </c>
      <c r="H295" s="1" t="inlineStr">
        <is>
          <t>Construction &amp; Infrastructure</t>
        </is>
      </c>
      <c r="I295" s="1" t="inlineStr">
        <is>
          <t>Niche / Emerging</t>
        </is>
      </c>
      <c r="J295" s="1" t="inlineStr">
        <is>
          <t>artificial marble 등 composite binder chain으로 사용</t>
        </is>
      </c>
      <c r="K295" s="1" t="inlineStr">
        <is>
          <t>Existing</t>
        </is>
      </c>
      <c r="L295" s="11" t="inlineStr">
        <is>
          <t>GPT</t>
        </is>
      </c>
    </row>
    <row r="296">
      <c r="A296" s="11">
        <f>_xlfn.XLOOKUP(표14[[#This Row],[material_name]],표2[material_name],표2[material_id])</f>
        <v/>
      </c>
      <c r="B296" s="11">
        <f>_xlfn.XLOOKUP(표14[[#This Row],[application_taxonomy]],표11[application_taxonomy],표11[app_id])</f>
        <v/>
      </c>
      <c r="C296" s="11">
        <f>_xlfn.XLOOKUP(표14[[#This Row],[end_use_industry]],표13[end_use_category],표13[end_use_id])</f>
        <v/>
      </c>
      <c r="D296" s="11">
        <f>_xlfn.XLOOKUP(표14[[#This Row],[importance]],표15[importance],표15[rating])</f>
        <v/>
      </c>
      <c r="E296" s="1" t="inlineStr">
        <is>
          <t>PMMA</t>
        </is>
      </c>
      <c r="F296" s="1" t="inlineStr">
        <is>
          <t>Acrylic sheets / glass substitute</t>
        </is>
      </c>
      <c r="G296" s="1" t="inlineStr">
        <is>
          <t>Display &amp; optical materials</t>
        </is>
      </c>
      <c r="H296" s="1" t="inlineStr">
        <is>
          <t>Construction &amp; Infrastructure</t>
        </is>
      </c>
      <c r="I296" s="1" t="inlineStr">
        <is>
          <t>Primary</t>
        </is>
      </c>
      <c r="J296" s="1" t="inlineStr">
        <is>
          <t>투명성·내후성 기반 sheet, window, signage에 사용</t>
        </is>
      </c>
      <c r="K296" s="1" t="inlineStr">
        <is>
          <t>Existing</t>
        </is>
      </c>
      <c r="L296" s="11" t="inlineStr">
        <is>
          <t>GPT</t>
        </is>
      </c>
    </row>
    <row r="297">
      <c r="A297" s="11">
        <f>_xlfn.XLOOKUP(표14[[#This Row],[material_name]],표2[material_name],표2[material_id])</f>
        <v/>
      </c>
      <c r="B297" s="11">
        <f>_xlfn.XLOOKUP(표14[[#This Row],[application_taxonomy]],표11[application_taxonomy],표11[app_id])</f>
        <v/>
      </c>
      <c r="C297" s="11">
        <f>_xlfn.XLOOKUP(표14[[#This Row],[end_use_industry]],표13[end_use_category],표13[end_use_id])</f>
        <v/>
      </c>
      <c r="D297" s="11">
        <f>_xlfn.XLOOKUP(표14[[#This Row],[importance]],표15[importance],표15[rating])</f>
        <v/>
      </c>
      <c r="E297" s="1" t="inlineStr">
        <is>
          <t>PMMA</t>
        </is>
      </c>
      <c r="F297" s="1" t="inlineStr">
        <is>
          <t>Automotive lighting lenses</t>
        </is>
      </c>
      <c r="G297" s="1" t="inlineStr">
        <is>
          <t>Display &amp; optical materials</t>
        </is>
      </c>
      <c r="H297" s="1" t="inlineStr">
        <is>
          <t>Automotive &amp; Future Mobility</t>
        </is>
      </c>
      <c r="I297" s="1" t="inlineStr">
        <is>
          <t>Primary</t>
        </is>
      </c>
      <c r="J297" s="1" t="inlineStr">
        <is>
          <t>rear light, lamp lens 등 투명 optical component</t>
        </is>
      </c>
      <c r="K297" s="1" t="inlineStr">
        <is>
          <t>Existing</t>
        </is>
      </c>
      <c r="L297" s="11" t="inlineStr">
        <is>
          <t>GPT</t>
        </is>
      </c>
    </row>
    <row r="298" ht="33" customHeight="1" s="179">
      <c r="A298" s="11">
        <f>_xlfn.XLOOKUP(표14[[#This Row],[material_name]],표2[material_name],표2[material_id])</f>
        <v/>
      </c>
      <c r="B298" s="11">
        <f>_xlfn.XLOOKUP(표14[[#This Row],[application_taxonomy]],표11[application_taxonomy],표11[app_id])</f>
        <v/>
      </c>
      <c r="C298" s="11">
        <f>_xlfn.XLOOKUP(표14[[#This Row],[end_use_industry]],표13[end_use_category],표13[end_use_id])</f>
        <v/>
      </c>
      <c r="D298" s="11">
        <f>_xlfn.XLOOKUP(표14[[#This Row],[importance]],표15[importance],표15[rating])</f>
        <v/>
      </c>
      <c r="E298" s="1" t="inlineStr">
        <is>
          <t>PMMA</t>
        </is>
      </c>
      <c r="F298" s="1" t="inlineStr">
        <is>
          <t>LCD screens / light guide panels</t>
        </is>
      </c>
      <c r="G298" s="1" t="inlineStr">
        <is>
          <t>Display &amp; optical materials</t>
        </is>
      </c>
      <c r="H298" s="1" t="inlineStr">
        <is>
          <t>Electronics, Semiconductors &amp; Digital Infrastructure</t>
        </is>
      </c>
      <c r="I298" s="1" t="inlineStr">
        <is>
          <t>Secondary</t>
        </is>
      </c>
      <c r="J298" s="1" t="inlineStr">
        <is>
          <t>display 및 light-guide용 투명 소재</t>
        </is>
      </c>
      <c r="K298" s="1" t="inlineStr">
        <is>
          <t>Existing</t>
        </is>
      </c>
      <c r="L298" s="11" t="inlineStr">
        <is>
          <t>GPT</t>
        </is>
      </c>
    </row>
    <row r="299">
      <c r="A299" s="11">
        <f>_xlfn.XLOOKUP(표14[[#This Row],[material_name]],표2[material_name],표2[material_id])</f>
        <v/>
      </c>
      <c r="B299" s="11">
        <f>_xlfn.XLOOKUP(표14[[#This Row],[application_taxonomy]],표11[application_taxonomy],표11[app_id])</f>
        <v/>
      </c>
      <c r="C299" s="11">
        <f>_xlfn.XLOOKUP(표14[[#This Row],[end_use_industry]],표13[end_use_category],표13[end_use_id])</f>
        <v/>
      </c>
      <c r="D299" s="11">
        <f>_xlfn.XLOOKUP(표14[[#This Row],[importance]],표15[importance],표15[rating])</f>
        <v/>
      </c>
      <c r="E299" s="1" t="inlineStr">
        <is>
          <t>PMMA</t>
        </is>
      </c>
      <c r="F299" s="1" t="inlineStr">
        <is>
          <t>Medical and dental applications</t>
        </is>
      </c>
      <c r="G299" s="1" t="inlineStr">
        <is>
          <t>Medical &amp; healthcare materials</t>
        </is>
      </c>
      <c r="H299" s="1" t="inlineStr">
        <is>
          <t>Healthcare &amp; Life Sciences</t>
        </is>
      </c>
      <c r="I299" s="1" t="inlineStr">
        <is>
          <t>Secondary</t>
        </is>
      </c>
      <c r="J299" s="1" t="inlineStr">
        <is>
          <t>bone cement, dental/medical component 등 의료용 사용</t>
        </is>
      </c>
      <c r="K299" s="1" t="inlineStr">
        <is>
          <t>Existing</t>
        </is>
      </c>
      <c r="L299" s="11" t="inlineStr">
        <is>
          <t>GPT</t>
        </is>
      </c>
    </row>
    <row r="300">
      <c r="A300" s="11">
        <f>_xlfn.XLOOKUP(표14[[#This Row],[material_name]],표2[material_name],표2[material_id])</f>
        <v/>
      </c>
      <c r="B300" s="11">
        <f>_xlfn.XLOOKUP(표14[[#This Row],[application_taxonomy]],표11[application_taxonomy],표11[app_id])</f>
        <v/>
      </c>
      <c r="C300" s="11">
        <f>_xlfn.XLOOKUP(표14[[#This Row],[end_use_industry]],표13[end_use_category],표13[end_use_id])</f>
        <v/>
      </c>
      <c r="D300" s="11">
        <f>_xlfn.XLOOKUP(표14[[#This Row],[importance]],표15[importance],표15[rating])</f>
        <v/>
      </c>
      <c r="E300" s="1" t="inlineStr">
        <is>
          <t>PMMA</t>
        </is>
      </c>
      <c r="F300" s="1" t="inlineStr">
        <is>
          <t>Signage and displays</t>
        </is>
      </c>
      <c r="G300" s="1" t="inlineStr">
        <is>
          <t>Display &amp; optical materials</t>
        </is>
      </c>
      <c r="H300" s="1" t="inlineStr">
        <is>
          <t>Consumer Products &amp; Packaging</t>
        </is>
      </c>
      <c r="I300" s="1" t="inlineStr">
        <is>
          <t>Secondary</t>
        </is>
      </c>
      <c r="J300" s="1" t="inlineStr">
        <is>
          <t>광고판, display panel, 투명 장식재로 사용</t>
        </is>
      </c>
      <c r="K300" s="1" t="inlineStr">
        <is>
          <t>Existing</t>
        </is>
      </c>
      <c r="L300" s="11" t="inlineStr">
        <is>
          <t>GPT</t>
        </is>
      </c>
    </row>
    <row r="301" ht="33" customHeight="1" s="179">
      <c r="A301" s="11">
        <f>_xlfn.XLOOKUP(표14[[#This Row],[material_name]],표2[material_name],표2[material_id])</f>
        <v/>
      </c>
      <c r="B301" s="11">
        <f>_xlfn.XLOOKUP(표14[[#This Row],[application_taxonomy]],표11[application_taxonomy],표11[app_id])</f>
        <v/>
      </c>
      <c r="C301" s="11">
        <f>_xlfn.XLOOKUP(표14[[#This Row],[end_use_industry]],표13[end_use_category],표13[end_use_id])</f>
        <v/>
      </c>
      <c r="D301" s="11">
        <f>_xlfn.XLOOKUP(표14[[#This Row],[importance]],표15[importance],표15[rating])</f>
        <v/>
      </c>
      <c r="E301" s="1" t="inlineStr">
        <is>
          <t>PMMA</t>
        </is>
      </c>
      <c r="F301" s="1" t="inlineStr">
        <is>
          <t>Electron-beam lithography resist</t>
        </is>
      </c>
      <c r="G301" s="1" t="inlineStr">
        <is>
          <t>Electronic chemicals &amp; materials</t>
        </is>
      </c>
      <c r="H301" s="1" t="inlineStr">
        <is>
          <t>Electronics, Semiconductors &amp; Digital Infrastructure</t>
        </is>
      </c>
      <c r="I301" s="1" t="inlineStr">
        <is>
          <t>Niche / Emerging</t>
        </is>
      </c>
      <c r="J301" s="1" t="inlineStr">
        <is>
          <t>semiconductor research/process용 resist로 제한적 사용</t>
        </is>
      </c>
      <c r="K301" s="1" t="inlineStr">
        <is>
          <t>Existing</t>
        </is>
      </c>
      <c r="L301" s="11" t="inlineStr">
        <is>
          <t>GPT</t>
        </is>
      </c>
    </row>
    <row r="302" ht="82.5" customHeight="1" s="179">
      <c r="A302" s="11">
        <f>_xlfn.XLOOKUP(표14[[#This Row],[material_name]],표2[material_name],표2[material_id])</f>
        <v/>
      </c>
      <c r="B302" s="11">
        <f>_xlfn.XLOOKUP(표14[[#This Row],[application_taxonomy]],표11[application_taxonomy],표11[app_id])</f>
        <v/>
      </c>
      <c r="C302" s="11">
        <f>_xlfn.XLOOKUP(표14[[#This Row],[end_use_industry]],표13[end_use_category],표13[end_use_id])</f>
        <v/>
      </c>
      <c r="D302" s="11">
        <f>_xlfn.XLOOKUP(표14[[#This Row],[importance]],표15[importance],표15[rating])</f>
        <v/>
      </c>
      <c r="E302" s="1" t="inlineStr">
        <is>
          <t>Formaldehyde</t>
        </is>
      </c>
      <c r="F302" s="1" t="inlineStr">
        <is>
          <t>Formaldehyde resins (UF/MF/PF)</t>
        </is>
      </c>
      <c r="G302" s="1" t="inlineStr">
        <is>
          <t>Adhesive bonding</t>
        </is>
      </c>
      <c r="H302" s="1" t="inlineStr">
        <is>
          <t>Construction &amp; Infrastructure</t>
        </is>
      </c>
      <c r="I302" s="1" t="inlineStr">
        <is>
          <t>Primary</t>
        </is>
      </c>
      <c r="J302" s="1" t="inlineStr">
        <is>
          <t>UF, MF, PF 수지는 전체 formaldehyde 소비의 약 63%를 차지하는 최대 수요처로, 목재 패널(MDF, PB, Plywood, OSB), 라미네이트 및 건축용 접착 시스템의 핵심 결합 기능을 수행함. 수지 종류는 다르지만 기능적으로는 모두 접착용 thermosetting resin으로 분류 가능</t>
        </is>
      </c>
      <c r="K302" s="1" t="inlineStr">
        <is>
          <t>Existing</t>
        </is>
      </c>
      <c r="L302" s="11" t="n"/>
    </row>
    <row r="303" ht="33" customHeight="1" s="179">
      <c r="A303" s="11">
        <f>_xlfn.XLOOKUP(표14[[#This Row],[material_name]],표2[material_name],표2[material_id])</f>
        <v/>
      </c>
      <c r="B303" s="11">
        <f>_xlfn.XLOOKUP(표14[[#This Row],[application_taxonomy]],표11[application_taxonomy],표11[app_id])</f>
        <v/>
      </c>
      <c r="C303" s="11">
        <f>_xlfn.XLOOKUP(표14[[#This Row],[end_use_industry]],표13[end_use_category],표13[end_use_id])</f>
        <v/>
      </c>
      <c r="D303" s="11">
        <f>_xlfn.XLOOKUP(표14[[#This Row],[importance]],표15[importance],표15[rating])</f>
        <v/>
      </c>
      <c r="E303" s="1" t="inlineStr">
        <is>
          <t>Formaldehyde</t>
        </is>
      </c>
      <c r="F303" s="1" t="inlineStr">
        <is>
          <t>Polyacetal resins</t>
        </is>
      </c>
      <c r="G303" s="1" t="inlineStr">
        <is>
          <t>Polymer resin / molding material</t>
        </is>
      </c>
      <c r="H303" s="1" t="inlineStr">
        <is>
          <t>Industrial Goods &amp; Advanced Manufacturing</t>
        </is>
      </c>
      <c r="I303" s="1" t="inlineStr">
        <is>
          <t>Secondary</t>
        </is>
      </c>
      <c r="J303" s="1" t="inlineStr">
        <is>
          <t>엔지니어링 플라스틱(POM) 제조용 핵심 원료로 사용되며 자동차, 전기전자 및 산업부품 수요에 의해 시장이 형성됨</t>
        </is>
      </c>
      <c r="K303" s="1" t="inlineStr">
        <is>
          <t>Existing</t>
        </is>
      </c>
      <c r="L303" s="11" t="n"/>
    </row>
    <row r="304" ht="49.5" customHeight="1" s="179">
      <c r="A304" s="11">
        <f>_xlfn.XLOOKUP(표14[[#This Row],[material_name]],표2[material_name],표2[material_id])</f>
        <v/>
      </c>
      <c r="B304" s="11">
        <f>_xlfn.XLOOKUP(표14[[#This Row],[application_taxonomy]],표11[application_taxonomy],표11[app_id])</f>
        <v/>
      </c>
      <c r="C304" s="11">
        <f>_xlfn.XLOOKUP(표14[[#This Row],[end_use_industry]],표13[end_use_category],표13[end_use_id])</f>
        <v/>
      </c>
      <c r="D304" s="11">
        <f>_xlfn.XLOOKUP(표14[[#This Row],[importance]],표15[importance],표15[rating])</f>
        <v/>
      </c>
      <c r="E304" s="1" t="inlineStr">
        <is>
          <t>Formaldehyde</t>
        </is>
      </c>
      <c r="F304" s="1" t="inlineStr">
        <is>
          <t>Methylene diphenyl diisocyanate (MDI)</t>
        </is>
      </c>
      <c r="G304" s="1" t="inlineStr">
        <is>
          <t>Major chemical intermediate</t>
        </is>
      </c>
      <c r="H304" s="1" t="inlineStr">
        <is>
          <t>Industrial Goods &amp; Advanced Manufacturing</t>
        </is>
      </c>
      <c r="I304" s="1" t="inlineStr">
        <is>
          <t>Secondary</t>
        </is>
      </c>
      <c r="J304" s="1" t="inlineStr">
        <is>
          <t>폴리우레탄 생산을 위한 핵심 중간체 제조용으로 사용되며, 건축 단열재와 자동차용 폼 등 다양한 다운스트림 시장으로 연결됨</t>
        </is>
      </c>
      <c r="K304" s="1" t="inlineStr">
        <is>
          <t>Existing</t>
        </is>
      </c>
      <c r="L304" s="11" t="n"/>
    </row>
    <row r="305" ht="33" customHeight="1" s="179">
      <c r="A305" s="11">
        <f>_xlfn.XLOOKUP(표14[[#This Row],[material_name]],표2[material_name],표2[material_id])</f>
        <v/>
      </c>
      <c r="B305" s="11">
        <f>_xlfn.XLOOKUP(표14[[#This Row],[application_taxonomy]],표11[application_taxonomy],표11[app_id])</f>
        <v/>
      </c>
      <c r="C305" s="11">
        <f>_xlfn.XLOOKUP(표14[[#This Row],[end_use_industry]],표13[end_use_category],표13[end_use_id])</f>
        <v/>
      </c>
      <c r="D305" s="11">
        <f>_xlfn.XLOOKUP(표14[[#This Row],[importance]],표15[importance],표15[rating])</f>
        <v/>
      </c>
      <c r="E305" s="1" t="inlineStr">
        <is>
          <t>Formaldehyde</t>
        </is>
      </c>
      <c r="F305" s="1" t="inlineStr">
        <is>
          <t>1,4-Butanediol (BDO)</t>
        </is>
      </c>
      <c r="G305" s="1" t="inlineStr">
        <is>
          <t>Major chemical intermediate</t>
        </is>
      </c>
      <c r="H305" s="1" t="inlineStr">
        <is>
          <t>Industrial Goods &amp; Advanced Manufacturing</t>
        </is>
      </c>
      <c r="I305" s="1" t="inlineStr">
        <is>
          <t>Secondary</t>
        </is>
      </c>
      <c r="J305" s="1" t="inlineStr">
        <is>
          <t>BDO 제조의 주요 원료이며 이후 PBT, TPU, 용제 등 다양한 화학 가치사슬로 이어지는 중간체 역할을 수행함</t>
        </is>
      </c>
      <c r="K305" s="1" t="inlineStr">
        <is>
          <t>Existing</t>
        </is>
      </c>
      <c r="L305" s="11" t="n"/>
    </row>
    <row r="306" ht="33" customHeight="1" s="179">
      <c r="A306" s="11">
        <f>_xlfn.XLOOKUP(표14[[#This Row],[material_name]],표2[material_name],표2[material_id])</f>
        <v/>
      </c>
      <c r="B306" s="11">
        <f>_xlfn.XLOOKUP(표14[[#This Row],[application_taxonomy]],표11[application_taxonomy],표11[app_id])</f>
        <v/>
      </c>
      <c r="C306" s="11">
        <f>_xlfn.XLOOKUP(표14[[#This Row],[end_use_industry]],표13[end_use_category],표13[end_use_id])</f>
        <v/>
      </c>
      <c r="D306" s="11">
        <f>_xlfn.XLOOKUP(표14[[#This Row],[importance]],표15[importance],표15[rating])</f>
        <v/>
      </c>
      <c r="E306" s="1" t="inlineStr">
        <is>
          <t>Formaldehyde</t>
        </is>
      </c>
      <c r="F306" s="1" t="inlineStr">
        <is>
          <t>Pentaerythritol</t>
        </is>
      </c>
      <c r="G306" s="1" t="inlineStr">
        <is>
          <t>Specialty chemical intermediate</t>
        </is>
      </c>
      <c r="H306" s="1" t="inlineStr">
        <is>
          <t>Industrial Goods &amp; Advanced Manufacturing</t>
        </is>
      </c>
      <c r="I306" s="1" t="inlineStr">
        <is>
          <t>Secondary</t>
        </is>
      </c>
      <c r="J306" s="1" t="inlineStr">
        <is>
          <t>알키드수지, 코팅 및 윤활유 첨가제 등의 특수화학 제품 제조를 위한 중간체로 사용됨</t>
        </is>
      </c>
      <c r="K306" s="1" t="inlineStr">
        <is>
          <t>Existing</t>
        </is>
      </c>
      <c r="L306" s="11" t="n"/>
    </row>
    <row r="307" ht="49.5" customHeight="1" s="179">
      <c r="A307" s="11">
        <f>_xlfn.XLOOKUP(표14[[#This Row],[material_name]],표2[material_name],표2[material_id])</f>
        <v/>
      </c>
      <c r="B307" s="11">
        <f>_xlfn.XLOOKUP(표14[[#This Row],[application_taxonomy]],표11[application_taxonomy],표11[app_id])</f>
        <v/>
      </c>
      <c r="C307" s="11">
        <f>_xlfn.XLOOKUP(표14[[#This Row],[end_use_industry]],표13[end_use_category],표13[end_use_id])</f>
        <v/>
      </c>
      <c r="D307" s="11">
        <f>_xlfn.XLOOKUP(표14[[#This Row],[importance]],표15[importance],표15[rating])</f>
        <v/>
      </c>
      <c r="E307" s="1" t="inlineStr">
        <is>
          <t>Formaldehyde</t>
        </is>
      </c>
      <c r="F307" s="1" t="inlineStr">
        <is>
          <t>Paraformaldehyde</t>
        </is>
      </c>
      <c r="G307" s="1" t="inlineStr">
        <is>
          <t>Specialty chemical intermediate</t>
        </is>
      </c>
      <c r="H307" s="1" t="inlineStr">
        <is>
          <t>Industrial Goods &amp; Advanced Manufacturing</t>
        </is>
      </c>
      <c r="I307" s="1" t="inlineStr">
        <is>
          <t>Niche / Emerging</t>
        </is>
      </c>
      <c r="J307" s="1" t="inlineStr">
        <is>
          <t>고체 formaldehyde 공급원으로 특수수지, 코팅 및 정밀화학 분야에서 사용되며 향후 가장 높은 성장률이 예상되는 응용 분야 중 하나임</t>
        </is>
      </c>
      <c r="K307" s="1" t="inlineStr">
        <is>
          <t>Existing</t>
        </is>
      </c>
      <c r="L307" s="11" t="n"/>
    </row>
    <row r="308" ht="33" customHeight="1" s="179">
      <c r="A308" s="11">
        <f>_xlfn.XLOOKUP(표14[[#This Row],[material_name]],표2[material_name],표2[material_id])</f>
        <v/>
      </c>
      <c r="B308" s="11">
        <f>_xlfn.XLOOKUP(표14[[#This Row],[application_taxonomy]],표11[application_taxonomy],표11[app_id])</f>
        <v/>
      </c>
      <c r="C308" s="11">
        <f>_xlfn.XLOOKUP(표14[[#This Row],[end_use_industry]],표13[end_use_category],표13[end_use_id])</f>
        <v/>
      </c>
      <c r="D308" s="11">
        <f>_xlfn.XLOOKUP(표14[[#This Row],[importance]],표15[importance],표15[rating])</f>
        <v/>
      </c>
      <c r="E308" s="1" t="inlineStr">
        <is>
          <t>Formaldehyde</t>
        </is>
      </c>
      <c r="F308" s="1" t="inlineStr">
        <is>
          <t>HMTA, TMP, Neopentyl glycol</t>
        </is>
      </c>
      <c r="G308" s="1" t="inlineStr">
        <is>
          <t>Specialty chemical intermediate</t>
        </is>
      </c>
      <c r="H308" s="1" t="inlineStr">
        <is>
          <t>Industrial Goods &amp; Advanced Manufacturing</t>
        </is>
      </c>
      <c r="I308" s="1" t="inlineStr">
        <is>
          <t>Niche / Emerging</t>
        </is>
      </c>
      <c r="J308" s="1" t="inlineStr">
        <is>
          <t>다양한 특수화학제품 및 수지 제조를 위한 중간체로 사용되며 개별 시장 규모는 제한적임</t>
        </is>
      </c>
      <c r="K308" s="1" t="inlineStr">
        <is>
          <t>Existing</t>
        </is>
      </c>
      <c r="L308" s="11" t="n"/>
    </row>
    <row r="309" ht="33" customHeight="1" s="179">
      <c r="A309" s="11">
        <f>_xlfn.XLOOKUP(표14[[#This Row],[material_name]],표2[material_name],표2[material_id])</f>
        <v/>
      </c>
      <c r="B309" s="11">
        <f>_xlfn.XLOOKUP(표14[[#This Row],[application_taxonomy]],표11[application_taxonomy],표11[app_id])</f>
        <v/>
      </c>
      <c r="C309" s="11">
        <f>_xlfn.XLOOKUP(표14[[#This Row],[end_use_industry]],표13[end_use_category],표13[end_use_id])</f>
        <v/>
      </c>
      <c r="D309" s="11">
        <f>_xlfn.XLOOKUP(표14[[#This Row],[importance]],표15[importance],표15[rating])</f>
        <v/>
      </c>
      <c r="E309" s="1" t="inlineStr">
        <is>
          <t>Formaldehyde</t>
        </is>
      </c>
      <c r="F309" s="1" t="inlineStr">
        <is>
          <t>Slow-release fertilizers (SRF)</t>
        </is>
      </c>
      <c r="G309" s="1" t="inlineStr">
        <is>
          <t>Agricultural productivity materials</t>
        </is>
      </c>
      <c r="H309" s="1" t="inlineStr">
        <is>
          <t>Agriculture</t>
        </is>
      </c>
      <c r="I309" s="1" t="inlineStr">
        <is>
          <t>Niche / Emerging</t>
        </is>
      </c>
      <c r="J309" s="1" t="inlineStr">
        <is>
          <t>완효성 비료 제조를 통해 비료의 지속 방출 기능을 제공하는 농업용 application</t>
        </is>
      </c>
      <c r="K309" s="1" t="inlineStr">
        <is>
          <t>Existing</t>
        </is>
      </c>
      <c r="L309" s="11" t="n"/>
    </row>
    <row r="310" ht="33" customHeight="1" s="179">
      <c r="A310" s="11">
        <f>_xlfn.XLOOKUP(표14[[#This Row],[material_name]],표2[material_name],표2[material_id])</f>
        <v/>
      </c>
      <c r="B310" s="11">
        <f>_xlfn.XLOOKUP(표14[[#This Row],[application_taxonomy]],표11[application_taxonomy],표11[app_id])</f>
        <v/>
      </c>
      <c r="C310" s="11">
        <f>_xlfn.XLOOKUP(표14[[#This Row],[end_use_industry]],표13[end_use_category],표13[end_use_id])</f>
        <v/>
      </c>
      <c r="D310" s="11">
        <f>_xlfn.XLOOKUP(표14[[#This Row],[importance]],표15[importance],표15[rating])</f>
        <v/>
      </c>
      <c r="E310" s="1" t="inlineStr">
        <is>
          <t>Formaldehyde</t>
        </is>
      </c>
      <c r="F310" s="1" t="inlineStr">
        <is>
          <t>Herbicides / pesticides</t>
        </is>
      </c>
      <c r="G310" s="1" t="inlineStr">
        <is>
          <t>Crop protection &amp; agrochemical intermediates</t>
        </is>
      </c>
      <c r="H310" s="1" t="inlineStr">
        <is>
          <t>Agriculture</t>
        </is>
      </c>
      <c r="I310" s="1" t="inlineStr">
        <is>
          <t>Niche / Emerging</t>
        </is>
      </c>
      <c r="J310" s="1" t="inlineStr">
        <is>
          <t>제초제 및 농약 제조를 위한 중간체로 사용되며 농화학 가치사슬에 기여함</t>
        </is>
      </c>
      <c r="K310" s="1" t="inlineStr">
        <is>
          <t>Existing</t>
        </is>
      </c>
      <c r="L310" s="11" t="n"/>
    </row>
    <row r="311" ht="33" customHeight="1" s="179">
      <c r="A311" s="11">
        <f>_xlfn.XLOOKUP(표14[[#This Row],[material_name]],표2[material_name],표2[material_id])</f>
        <v/>
      </c>
      <c r="B311" s="11">
        <f>_xlfn.XLOOKUP(표14[[#This Row],[application_taxonomy]],표11[application_taxonomy],표11[app_id])</f>
        <v/>
      </c>
      <c r="C311" s="11">
        <f>_xlfn.XLOOKUP(표14[[#This Row],[end_use_industry]],표13[end_use_category],표13[end_use_id])</f>
        <v/>
      </c>
      <c r="D311" s="11">
        <f>_xlfn.XLOOKUP(표14[[#This Row],[importance]],표15[importance],표15[rating])</f>
        <v/>
      </c>
      <c r="E311" s="1" t="inlineStr">
        <is>
          <t>EC</t>
        </is>
      </c>
      <c r="F311" s="1" t="inlineStr">
        <is>
          <t>Lithium-ion battery electrolyte solvent</t>
        </is>
      </c>
      <c r="G311" s="1" t="inlineStr">
        <is>
          <t>Battery &amp; thermal-management materials</t>
        </is>
      </c>
      <c r="H311" s="1" t="inlineStr">
        <is>
          <t>Automotive &amp; Future Mobility</t>
        </is>
      </c>
      <c r="I311" s="1" t="inlineStr">
        <is>
          <t>Primary</t>
        </is>
      </c>
      <c r="J311" s="1" t="inlineStr">
        <is>
          <t>EV/ESS용 Li-ion battery electrolyte의 핵심 carbonate solvent</t>
        </is>
      </c>
      <c r="K311" s="1" t="inlineStr">
        <is>
          <t>Existing</t>
        </is>
      </c>
      <c r="L311" s="11" t="inlineStr">
        <is>
          <t>GPT</t>
        </is>
      </c>
    </row>
    <row r="312" ht="33" customHeight="1" s="179">
      <c r="A312" s="11">
        <f>_xlfn.XLOOKUP(표14[[#This Row],[material_name]],표2[material_name],표2[material_id])</f>
        <v/>
      </c>
      <c r="B312" s="11">
        <f>_xlfn.XLOOKUP(표14[[#This Row],[application_taxonomy]],표11[application_taxonomy],표11[app_id])</f>
        <v/>
      </c>
      <c r="C312" s="11">
        <f>_xlfn.XLOOKUP(표14[[#This Row],[end_use_industry]],표13[end_use_category],표13[end_use_id])</f>
        <v/>
      </c>
      <c r="D312" s="11">
        <f>_xlfn.XLOOKUP(표14[[#This Row],[importance]],표15[importance],표15[rating])</f>
        <v/>
      </c>
      <c r="E312" s="1" t="inlineStr">
        <is>
          <t>EC</t>
        </is>
      </c>
      <c r="F312" s="1" t="inlineStr">
        <is>
          <t>Polar solvent for polymers/resins</t>
        </is>
      </c>
      <c r="G312" s="1" t="inlineStr">
        <is>
          <t>Solvent &amp; extraction</t>
        </is>
      </c>
      <c r="H312" s="1" t="inlineStr">
        <is>
          <t>Industrial Goods &amp; Advanced Manufacturing</t>
        </is>
      </c>
      <c r="I312" s="1" t="inlineStr">
        <is>
          <t>Secondary</t>
        </is>
      </c>
      <c r="J312" s="1" t="inlineStr">
        <is>
          <t>고극성 solvent로 polymer/resin 공정에 사용</t>
        </is>
      </c>
      <c r="K312" s="1" t="inlineStr">
        <is>
          <t>Existing</t>
        </is>
      </c>
      <c r="L312" s="11" t="inlineStr">
        <is>
          <t>GPT</t>
        </is>
      </c>
    </row>
    <row r="313" ht="33" customHeight="1" s="179">
      <c r="A313" s="11">
        <f>_xlfn.XLOOKUP(표14[[#This Row],[material_name]],표2[material_name],표2[material_id])</f>
        <v/>
      </c>
      <c r="B313" s="11">
        <f>_xlfn.XLOOKUP(표14[[#This Row],[application_taxonomy]],표11[application_taxonomy],표11[app_id])</f>
        <v/>
      </c>
      <c r="C313" s="11">
        <f>_xlfn.XLOOKUP(표14[[#This Row],[end_use_industry]],표13[end_use_category],표13[end_use_id])</f>
        <v/>
      </c>
      <c r="D313" s="11">
        <f>_xlfn.XLOOKUP(표14[[#This Row],[importance]],표15[importance],표15[rating])</f>
        <v/>
      </c>
      <c r="E313" s="1" t="inlineStr">
        <is>
          <t>EC</t>
        </is>
      </c>
      <c r="F313" s="1" t="inlineStr">
        <is>
          <t>Plasticizer</t>
        </is>
      </c>
      <c r="G313" s="1" t="inlineStr">
        <is>
          <t>Polymer modification &amp; additives</t>
        </is>
      </c>
      <c r="H313" s="1" t="inlineStr">
        <is>
          <t>Industrial Goods &amp; Advanced Manufacturing</t>
        </is>
      </c>
      <c r="I313" s="1" t="inlineStr">
        <is>
          <t>Secondary</t>
        </is>
      </c>
      <c r="J313" s="1" t="inlineStr">
        <is>
          <t>polymer electrolyte 및 수지 formulation에서 plasticizer 역할</t>
        </is>
      </c>
      <c r="K313" s="1" t="inlineStr">
        <is>
          <t>Existing</t>
        </is>
      </c>
      <c r="L313" s="11" t="inlineStr">
        <is>
          <t>GPT</t>
        </is>
      </c>
    </row>
    <row r="314" ht="33" customHeight="1" s="179">
      <c r="A314" s="11">
        <f>_xlfn.XLOOKUP(표14[[#This Row],[material_name]],표2[material_name],표2[material_id])</f>
        <v/>
      </c>
      <c r="B314" s="11">
        <f>_xlfn.XLOOKUP(표14[[#This Row],[application_taxonomy]],표11[application_taxonomy],표11[app_id])</f>
        <v/>
      </c>
      <c r="C314" s="11">
        <f>_xlfn.XLOOKUP(표14[[#This Row],[end_use_industry]],표13[end_use_category],표13[end_use_id])</f>
        <v/>
      </c>
      <c r="D314" s="11">
        <f>_xlfn.XLOOKUP(표14[[#This Row],[importance]],표15[importance],표15[rating])</f>
        <v/>
      </c>
      <c r="E314" s="1" t="inlineStr">
        <is>
          <t>DMC</t>
        </is>
      </c>
      <c r="F314" s="1" t="inlineStr">
        <is>
          <t>Polycarbonate synthesis</t>
        </is>
      </c>
      <c r="G314" s="1" t="inlineStr">
        <is>
          <t>Major chemical intermediate</t>
        </is>
      </c>
      <c r="H314" s="1" t="inlineStr">
        <is>
          <t>Industrial Goods &amp; Advanced Manufacturing</t>
        </is>
      </c>
      <c r="I314" s="1" t="inlineStr">
        <is>
          <t>Primary</t>
        </is>
      </c>
      <c r="J314" s="1" t="inlineStr">
        <is>
          <t>DMC의 대표 대량 수요처이며 non-phosgene PC route와 연결</t>
        </is>
      </c>
      <c r="K314" s="1" t="inlineStr">
        <is>
          <t>Existing</t>
        </is>
      </c>
      <c r="L314" s="11" t="inlineStr">
        <is>
          <t>GPT</t>
        </is>
      </c>
    </row>
    <row r="315" ht="33" customHeight="1" s="179">
      <c r="A315" s="11">
        <f>_xlfn.XLOOKUP(표14[[#This Row],[material_name]],표2[material_name],표2[material_id])</f>
        <v/>
      </c>
      <c r="B315" s="11">
        <f>_xlfn.XLOOKUP(표14[[#This Row],[application_taxonomy]],표11[application_taxonomy],표11[app_id])</f>
        <v/>
      </c>
      <c r="C315" s="11">
        <f>_xlfn.XLOOKUP(표14[[#This Row],[end_use_industry]],표13[end_use_category],표13[end_use_id])</f>
        <v/>
      </c>
      <c r="D315" s="11">
        <f>_xlfn.XLOOKUP(표14[[#This Row],[importance]],표15[importance],표15[rating])</f>
        <v/>
      </c>
      <c r="E315" s="1" t="inlineStr">
        <is>
          <t>DMC</t>
        </is>
      </c>
      <c r="F315" s="1" t="inlineStr">
        <is>
          <t>Battery electrolyte</t>
        </is>
      </c>
      <c r="G315" s="1" t="inlineStr">
        <is>
          <t>Battery &amp; thermal-management materials</t>
        </is>
      </c>
      <c r="H315" s="1" t="inlineStr">
        <is>
          <t>Automotive &amp; Future Mobility</t>
        </is>
      </c>
      <c r="I315" s="1" t="inlineStr">
        <is>
          <t>Primary</t>
        </is>
      </c>
      <c r="J315" s="1" t="inlineStr">
        <is>
          <t>EV battery electrolyte solvent로 빠르게 성장하는 application</t>
        </is>
      </c>
      <c r="K315" s="1" t="inlineStr">
        <is>
          <t>Existing</t>
        </is>
      </c>
      <c r="L315" s="11" t="inlineStr">
        <is>
          <t>GPT</t>
        </is>
      </c>
    </row>
    <row r="316" ht="33" customHeight="1" s="179">
      <c r="A316" s="11">
        <f>_xlfn.XLOOKUP(표14[[#This Row],[material_name]],표2[material_name],표2[material_id])</f>
        <v/>
      </c>
      <c r="B316" s="11">
        <f>_xlfn.XLOOKUP(표14[[#This Row],[application_taxonomy]],표11[application_taxonomy],표11[app_id])</f>
        <v/>
      </c>
      <c r="C316" s="11">
        <f>_xlfn.XLOOKUP(표14[[#This Row],[end_use_industry]],표13[end_use_category],표13[end_use_id])</f>
        <v/>
      </c>
      <c r="D316" s="11">
        <f>_xlfn.XLOOKUP(표14[[#This Row],[importance]],표15[importance],표15[rating])</f>
        <v/>
      </c>
      <c r="E316" s="1" t="inlineStr">
        <is>
          <t>DMC</t>
        </is>
      </c>
      <c r="F316" s="1" t="inlineStr">
        <is>
          <t>Solvents</t>
        </is>
      </c>
      <c r="G316" s="1" t="inlineStr">
        <is>
          <t>Solvent &amp; extraction</t>
        </is>
      </c>
      <c r="H316" s="1" t="inlineStr">
        <is>
          <t>Industrial Goods &amp; Advanced Manufacturing</t>
        </is>
      </c>
      <c r="I316" s="1" t="inlineStr">
        <is>
          <t>Secondary</t>
        </is>
      </c>
      <c r="J316" s="1" t="inlineStr">
        <is>
          <t>친환경 solvent 및 process solvent로 사용</t>
        </is>
      </c>
      <c r="K316" s="1" t="inlineStr">
        <is>
          <t>Existing</t>
        </is>
      </c>
      <c r="L316" s="11" t="inlineStr">
        <is>
          <t>GPT</t>
        </is>
      </c>
    </row>
    <row r="317" ht="33" customHeight="1" s="179">
      <c r="A317" s="11">
        <f>_xlfn.XLOOKUP(표14[[#This Row],[material_name]],표2[material_name],표2[material_id])</f>
        <v/>
      </c>
      <c r="B317" s="11">
        <f>_xlfn.XLOOKUP(표14[[#This Row],[application_taxonomy]],표11[application_taxonomy],표11[app_id])</f>
        <v/>
      </c>
      <c r="C317" s="11">
        <f>_xlfn.XLOOKUP(표14[[#This Row],[end_use_industry]],표13[end_use_category],표13[end_use_id])</f>
        <v/>
      </c>
      <c r="D317" s="11">
        <f>_xlfn.XLOOKUP(표14[[#This Row],[importance]],표15[importance],표15[rating])</f>
        <v/>
      </c>
      <c r="E317" s="1" t="inlineStr">
        <is>
          <t>PVOH</t>
        </is>
      </c>
      <c r="F317" s="1" t="inlineStr">
        <is>
          <t>Polymerization aids</t>
        </is>
      </c>
      <c r="G317" s="1" t="inlineStr">
        <is>
          <t>Specialty chemical intermediate</t>
        </is>
      </c>
      <c r="H317" s="1" t="inlineStr">
        <is>
          <t>Industrial Goods &amp; Advanced Manufacturing</t>
        </is>
      </c>
      <c r="I317" s="1" t="inlineStr">
        <is>
          <t>Primary</t>
        </is>
      </c>
      <c r="J317" s="1" t="inlineStr">
        <is>
          <t>2023년 글로벌 PVOH 최대 용도 27.1%</t>
        </is>
      </c>
      <c r="K317" s="1" t="inlineStr">
        <is>
          <t>Existing</t>
        </is>
      </c>
      <c r="L317" s="11" t="n"/>
    </row>
    <row r="318" ht="33" customHeight="1" s="179">
      <c r="A318" s="11">
        <f>_xlfn.XLOOKUP(표14[[#This Row],[material_name]],표2[material_name],표2[material_id])</f>
        <v/>
      </c>
      <c r="B318" s="11">
        <f>_xlfn.XLOOKUP(표14[[#This Row],[application_taxonomy]],표11[application_taxonomy],표11[app_id])</f>
        <v/>
      </c>
      <c r="C318" s="11">
        <f>_xlfn.XLOOKUP(표14[[#This Row],[end_use_industry]],표13[end_use_category],표13[end_use_id])</f>
        <v/>
      </c>
      <c r="D318" s="11">
        <f>_xlfn.XLOOKUP(표14[[#This Row],[importance]],표15[importance],표15[rating])</f>
        <v/>
      </c>
      <c r="E318" s="1" t="inlineStr">
        <is>
          <t>PVOH</t>
        </is>
      </c>
      <c r="F318" s="1" t="inlineStr">
        <is>
          <t>Polyvinyl butyral (PVB)</t>
        </is>
      </c>
      <c r="G318" s="1" t="inlineStr">
        <is>
          <t>Specialty chemical intermediate</t>
        </is>
      </c>
      <c r="H318" s="1" t="inlineStr">
        <is>
          <t>Automotive &amp; Future Mobility</t>
        </is>
      </c>
      <c r="I318" s="1" t="inlineStr">
        <is>
          <t>Primary</t>
        </is>
      </c>
      <c r="J318" s="1" t="inlineStr">
        <is>
          <t>PVB는 안전유리 interlayer로 연결되는 주요 PVOH downstream</t>
        </is>
      </c>
      <c r="K318" s="1" t="inlineStr">
        <is>
          <t>Existing</t>
        </is>
      </c>
      <c r="L318" s="11" t="n"/>
    </row>
    <row r="319" ht="33" customHeight="1" s="179">
      <c r="A319" s="11">
        <f>_xlfn.XLOOKUP(표14[[#This Row],[material_name]],표2[material_name],표2[material_id])</f>
        <v/>
      </c>
      <c r="B319" s="11">
        <f>_xlfn.XLOOKUP(표14[[#This Row],[application_taxonomy]],표11[application_taxonomy],표11[app_id])</f>
        <v/>
      </c>
      <c r="C319" s="11">
        <f>_xlfn.XLOOKUP(표14[[#This Row],[end_use_industry]],표13[end_use_category],표13[end_use_id])</f>
        <v/>
      </c>
      <c r="D319" s="11">
        <f>_xlfn.XLOOKUP(표14[[#This Row],[importance]],표15[importance],표15[rating])</f>
        <v/>
      </c>
      <c r="E319" s="1" t="inlineStr">
        <is>
          <t>PVOH</t>
        </is>
      </c>
      <c r="F319" s="1" t="inlineStr">
        <is>
          <t>Adhesives</t>
        </is>
      </c>
      <c r="G319" s="1" t="inlineStr">
        <is>
          <t>Adhesive bonding</t>
        </is>
      </c>
      <c r="H319" s="1" t="inlineStr">
        <is>
          <t>Industrial Goods &amp; Advanced Manufacturing</t>
        </is>
      </c>
      <c r="I319" s="1" t="inlineStr">
        <is>
          <t>Secondary</t>
        </is>
      </c>
      <c r="J319" s="1" t="inlineStr">
        <is>
          <t>2023년 주요 용도 12.8%</t>
        </is>
      </c>
      <c r="K319" s="1" t="inlineStr">
        <is>
          <t>Existing</t>
        </is>
      </c>
      <c r="L319" s="11" t="n"/>
    </row>
    <row r="320">
      <c r="A320" s="11">
        <f>_xlfn.XLOOKUP(표14[[#This Row],[material_name]],표2[material_name],표2[material_id])</f>
        <v/>
      </c>
      <c r="B320" s="11">
        <f>_xlfn.XLOOKUP(표14[[#This Row],[application_taxonomy]],표11[application_taxonomy],표11[app_id])</f>
        <v/>
      </c>
      <c r="C320" s="11">
        <f>_xlfn.XLOOKUP(표14[[#This Row],[end_use_industry]],표13[end_use_category],표13[end_use_id])</f>
        <v/>
      </c>
      <c r="D320" s="11">
        <f>_xlfn.XLOOKUP(표14[[#This Row],[importance]],표15[importance],표15[rating])</f>
        <v/>
      </c>
      <c r="E320" s="1" t="inlineStr">
        <is>
          <t>PVOH</t>
        </is>
      </c>
      <c r="F320" s="1" t="inlineStr">
        <is>
          <t>Textile warp sizing</t>
        </is>
      </c>
      <c r="G320" s="1" t="inlineStr">
        <is>
          <t>Surface coating</t>
        </is>
      </c>
      <c r="H320" s="1" t="inlineStr">
        <is>
          <t>Consumer Products &amp; Packaging</t>
        </is>
      </c>
      <c r="I320" s="1" t="inlineStr">
        <is>
          <t>Secondary</t>
        </is>
      </c>
      <c r="J320" s="1" t="inlineStr">
        <is>
          <t>섬유 sizing은 표면 처리·coating 성격의 용도</t>
        </is>
      </c>
      <c r="K320" s="1" t="inlineStr">
        <is>
          <t>Existing</t>
        </is>
      </c>
      <c r="L320" s="11" t="n"/>
    </row>
    <row r="321">
      <c r="A321" s="11">
        <f>_xlfn.XLOOKUP(표14[[#This Row],[material_name]],표2[material_name],표2[material_id])</f>
        <v/>
      </c>
      <c r="B321" s="11">
        <f>_xlfn.XLOOKUP(표14[[#This Row],[application_taxonomy]],표11[application_taxonomy],표11[app_id])</f>
        <v/>
      </c>
      <c r="C321" s="11">
        <f>_xlfn.XLOOKUP(표14[[#This Row],[end_use_industry]],표13[end_use_category],표13[end_use_id])</f>
        <v/>
      </c>
      <c r="D321" s="11">
        <f>_xlfn.XLOOKUP(표14[[#This Row],[importance]],표15[importance],표15[rating])</f>
        <v/>
      </c>
      <c r="E321" s="1" t="inlineStr">
        <is>
          <t>PVOH</t>
        </is>
      </c>
      <c r="F321" s="1" t="inlineStr">
        <is>
          <t>Paper sizings and coatings</t>
        </is>
      </c>
      <c r="G321" s="1" t="inlineStr">
        <is>
          <t>Surface coating</t>
        </is>
      </c>
      <c r="H321" s="1" t="inlineStr">
        <is>
          <t>Consumer Products &amp; Packaging</t>
        </is>
      </c>
      <c r="I321" s="1" t="inlineStr">
        <is>
          <t>Secondary</t>
        </is>
      </c>
      <c r="J321" s="1" t="inlineStr">
        <is>
          <t>종이 sizing 및 coating binder 용도</t>
        </is>
      </c>
      <c r="K321" s="1" t="inlineStr">
        <is>
          <t>Existing</t>
        </is>
      </c>
      <c r="L321" s="11" t="n"/>
    </row>
    <row r="322" ht="33" customHeight="1" s="179">
      <c r="A322" s="11">
        <f>_xlfn.XLOOKUP(표14[[#This Row],[material_name]],표2[material_name],표2[material_id])</f>
        <v/>
      </c>
      <c r="B322" s="11">
        <f>_xlfn.XLOOKUP(표14[[#This Row],[application_taxonomy]],표11[application_taxonomy],표11[app_id])</f>
        <v/>
      </c>
      <c r="C322" s="11">
        <f>_xlfn.XLOOKUP(표14[[#This Row],[end_use_industry]],표13[end_use_category],표13[end_use_id])</f>
        <v/>
      </c>
      <c r="D322" s="11">
        <f>_xlfn.XLOOKUP(표14[[#This Row],[importance]],표15[importance],표15[rating])</f>
        <v/>
      </c>
      <c r="E322" s="1" t="inlineStr">
        <is>
          <t>PVOH</t>
        </is>
      </c>
      <c r="F322" s="1" t="inlineStr">
        <is>
          <t>PVOH films</t>
        </is>
      </c>
      <c r="G322" s="1" t="inlineStr">
        <is>
          <t>Barrier packaging</t>
        </is>
      </c>
      <c r="H322" s="1" t="inlineStr">
        <is>
          <t>Consumer Products &amp; Packaging</t>
        </is>
      </c>
      <c r="I322" s="1" t="inlineStr">
        <is>
          <t>Niche / Emerging</t>
        </is>
      </c>
      <c r="J322" s="1" t="inlineStr">
        <is>
          <t>수용성·특수 필름 용도이나 전체 비중은 작음</t>
        </is>
      </c>
      <c r="K322" s="1" t="inlineStr">
        <is>
          <t>Existing</t>
        </is>
      </c>
      <c r="L322" s="11" t="n"/>
    </row>
    <row r="323" ht="33" customHeight="1" s="179">
      <c r="A323" s="11">
        <f>_xlfn.XLOOKUP(표14[[#This Row],[material_name]],표2[material_name],표2[material_id])</f>
        <v/>
      </c>
      <c r="B323" s="11">
        <f>_xlfn.XLOOKUP(표14[[#This Row],[application_taxonomy]],표11[application_taxonomy],표11[app_id])</f>
        <v/>
      </c>
      <c r="C323" s="11">
        <f>_xlfn.XLOOKUP(표14[[#This Row],[end_use_industry]],표13[end_use_category],표13[end_use_id])</f>
        <v/>
      </c>
      <c r="D323" s="11">
        <f>_xlfn.XLOOKUP(표14[[#This Row],[importance]],표15[importance],표15[rating])</f>
        <v/>
      </c>
      <c r="E323" s="1" t="inlineStr">
        <is>
          <t>EVA</t>
        </is>
      </c>
      <c r="F323" s="1" t="inlineStr">
        <is>
          <t>Solar photovoltaic modules / encapsulation sheets</t>
        </is>
      </c>
      <c r="G323" s="1" t="inlineStr">
        <is>
          <t>Renewable energy materials</t>
        </is>
      </c>
      <c r="H323" s="1" t="inlineStr">
        <is>
          <t>Energy, Power &amp; Utilities</t>
        </is>
      </c>
      <c r="I323" s="1" t="inlineStr">
        <is>
          <t>Primary</t>
        </is>
      </c>
      <c r="J323" s="1" t="inlineStr">
        <is>
          <t>2025년 EVA 수요의 41%로 최대·고성장 용도</t>
        </is>
      </c>
      <c r="K323" s="1" t="inlineStr">
        <is>
          <t>Existing</t>
        </is>
      </c>
      <c r="L323" s="11" t="n"/>
    </row>
    <row r="324">
      <c r="A324" s="11">
        <f>_xlfn.XLOOKUP(표14[[#This Row],[material_name]],표2[material_name],표2[material_id])</f>
        <v/>
      </c>
      <c r="B324" s="11">
        <f>_xlfn.XLOOKUP(표14[[#This Row],[application_taxonomy]],표11[application_taxonomy],표11[app_id])</f>
        <v/>
      </c>
      <c r="C324" s="11">
        <f>_xlfn.XLOOKUP(표14[[#This Row],[end_use_industry]],표13[end_use_category],표13[end_use_id])</f>
        <v/>
      </c>
      <c r="D324" s="11">
        <f>_xlfn.XLOOKUP(표14[[#This Row],[importance]],표15[importance],표15[rating])</f>
        <v/>
      </c>
      <c r="E324" s="1" t="inlineStr">
        <is>
          <t>EVA</t>
        </is>
      </c>
      <c r="F324" s="1" t="inlineStr">
        <is>
          <t>Consumer goods / foams</t>
        </is>
      </c>
      <c r="G324" s="1" t="inlineStr">
        <is>
          <t>Cushioning &amp; comfort materials</t>
        </is>
      </c>
      <c r="H324" s="1" t="inlineStr">
        <is>
          <t>Consumer Products &amp; Packaging</t>
        </is>
      </c>
      <c r="I324" s="1" t="inlineStr">
        <is>
          <t>Secondary</t>
        </is>
      </c>
      <c r="J324" s="1" t="inlineStr">
        <is>
          <t>footwear·fitness foam 등 소비재 용도</t>
        </is>
      </c>
      <c r="K324" s="1" t="inlineStr">
        <is>
          <t>Existing</t>
        </is>
      </c>
      <c r="L324" s="11" t="n"/>
    </row>
    <row r="325" ht="33" customHeight="1" s="179">
      <c r="A325" s="11">
        <f>_xlfn.XLOOKUP(표14[[#This Row],[material_name]],표2[material_name],표2[material_id])</f>
        <v/>
      </c>
      <c r="B325" s="11">
        <f>_xlfn.XLOOKUP(표14[[#This Row],[application_taxonomy]],표11[application_taxonomy],표11[app_id])</f>
        <v/>
      </c>
      <c r="C325" s="11">
        <f>_xlfn.XLOOKUP(표14[[#This Row],[end_use_industry]],표13[end_use_category],표13[end_use_id])</f>
        <v/>
      </c>
      <c r="D325" s="11">
        <f>_xlfn.XLOOKUP(표14[[#This Row],[importance]],표15[importance],표15[rating])</f>
        <v/>
      </c>
      <c r="E325" s="1" t="inlineStr">
        <is>
          <t>EVA</t>
        </is>
      </c>
      <c r="F325" s="1" t="inlineStr">
        <is>
          <t>Wire and cable</t>
        </is>
      </c>
      <c r="G325" s="1" t="inlineStr">
        <is>
          <t>Electrical insulation</t>
        </is>
      </c>
      <c r="H325" s="1" t="inlineStr">
        <is>
          <t>Energy, Power &amp; Utilities</t>
        </is>
      </c>
      <c r="I325" s="1" t="inlineStr">
        <is>
          <t>Niche / Emerging</t>
        </is>
      </c>
      <c r="J325" s="1" t="inlineStr">
        <is>
          <t>2025년 EVA 수요의 13%로 의미 있는 절연 용도</t>
        </is>
      </c>
      <c r="K325" s="1" t="inlineStr">
        <is>
          <t>Existing</t>
        </is>
      </c>
      <c r="L325" s="11" t="n"/>
    </row>
    <row r="326" ht="33" customHeight="1" s="179">
      <c r="A326" s="11">
        <f>_xlfn.XLOOKUP(표14[[#This Row],[material_name]],표2[material_name],표2[material_id])</f>
        <v/>
      </c>
      <c r="B326" s="11">
        <f>_xlfn.XLOOKUP(표14[[#This Row],[application_taxonomy]],표11[application_taxonomy],표11[app_id])</f>
        <v/>
      </c>
      <c r="C326" s="11">
        <f>_xlfn.XLOOKUP(표14[[#This Row],[end_use_industry]],표13[end_use_category],표13[end_use_id])</f>
        <v/>
      </c>
      <c r="D326" s="11">
        <f>_xlfn.XLOOKUP(표14[[#This Row],[importance]],표15[importance],표15[rating])</f>
        <v/>
      </c>
      <c r="E326" s="1" t="inlineStr">
        <is>
          <t>EVA</t>
        </is>
      </c>
      <c r="F326" s="1" t="inlineStr">
        <is>
          <t>Hot-melt adhesives</t>
        </is>
      </c>
      <c r="G326" s="1" t="inlineStr">
        <is>
          <t>Adhesive bonding</t>
        </is>
      </c>
      <c r="H326" s="1" t="inlineStr">
        <is>
          <t>Industrial Goods &amp; Advanced Manufacturing</t>
        </is>
      </c>
      <c r="I326" s="1" t="inlineStr">
        <is>
          <t>Niche / Emerging</t>
        </is>
      </c>
      <c r="J326" s="1" t="inlineStr">
        <is>
          <t>고 VAM grade의 대표 접착 application</t>
        </is>
      </c>
      <c r="K326" s="1" t="inlineStr">
        <is>
          <t>Existing</t>
        </is>
      </c>
      <c r="L326" s="11" t="n"/>
    </row>
    <row r="327" ht="33" customHeight="1" s="179">
      <c r="A327" s="11">
        <f>_xlfn.XLOOKUP(표14[[#This Row],[material_name]],표2[material_name],표2[material_id])</f>
        <v/>
      </c>
      <c r="B327" s="11">
        <f>_xlfn.XLOOKUP(표14[[#This Row],[application_taxonomy]],표11[application_taxonomy],표11[app_id])</f>
        <v/>
      </c>
      <c r="C327" s="11">
        <f>_xlfn.XLOOKUP(표14[[#This Row],[end_use_industry]],표13[end_use_category],표13[end_use_id])</f>
        <v/>
      </c>
      <c r="D327" s="11">
        <f>_xlfn.XLOOKUP(표14[[#This Row],[importance]],표15[importance],표15[rating])</f>
        <v/>
      </c>
      <c r="E327" s="1" t="inlineStr">
        <is>
          <t>EVA</t>
        </is>
      </c>
      <c r="F327" s="1" t="inlineStr">
        <is>
          <t>Packaging films / heat-seal films</t>
        </is>
      </c>
      <c r="G327" s="1" t="inlineStr">
        <is>
          <t>Flexible packaging</t>
        </is>
      </c>
      <c r="H327" s="1" t="inlineStr">
        <is>
          <t>Consumer Products &amp; Packaging</t>
        </is>
      </c>
      <c r="I327" s="1" t="inlineStr">
        <is>
          <t>Niche / Emerging</t>
        </is>
      </c>
      <c r="J327" s="1" t="inlineStr">
        <is>
          <t>VAM이 열봉합성·clarity·cling을 개선해 필름에 사용</t>
        </is>
      </c>
      <c r="K327" s="1" t="inlineStr">
        <is>
          <t>Existing</t>
        </is>
      </c>
      <c r="L327" s="11" t="n"/>
    </row>
    <row r="328" ht="33" customHeight="1" s="179">
      <c r="A328" s="11">
        <f>_xlfn.XLOOKUP(표14[[#This Row],[material_name]],표2[material_name],표2[material_id])</f>
        <v/>
      </c>
      <c r="B328" s="11">
        <f>_xlfn.XLOOKUP(표14[[#This Row],[application_taxonomy]],표11[application_taxonomy],표11[app_id])</f>
        <v/>
      </c>
      <c r="C328" s="11">
        <f>_xlfn.XLOOKUP(표14[[#This Row],[end_use_industry]],표13[end_use_category],표13[end_use_id])</f>
        <v/>
      </c>
      <c r="D328" s="11">
        <f>_xlfn.XLOOKUP(표14[[#This Row],[importance]],표15[importance],표15[rating])</f>
        <v/>
      </c>
      <c r="E328" s="1" t="inlineStr">
        <is>
          <t>MDI</t>
        </is>
      </c>
      <c r="F328" s="1" t="inlineStr">
        <is>
          <t>Rigid polyurethane foams</t>
        </is>
      </c>
      <c r="G328" s="1" t="inlineStr">
        <is>
          <t>Major chemical intermediate</t>
        </is>
      </c>
      <c r="H328" s="1" t="inlineStr">
        <is>
          <t>Construction &amp; Infrastructure</t>
        </is>
      </c>
      <c r="I328" s="1" t="inlineStr">
        <is>
          <t>Primary</t>
        </is>
      </c>
      <c r="J328" s="1" t="inlineStr">
        <is>
          <t>2024년 MDI 소비의 53%를 차지하는 최대 용도이며 건축 insulation 수요가 핵심</t>
        </is>
      </c>
      <c r="K328" s="1" t="inlineStr">
        <is>
          <t>Existing</t>
        </is>
      </c>
      <c r="L328" s="11" t="n"/>
    </row>
    <row r="329" ht="33" customHeight="1" s="179">
      <c r="A329" s="11">
        <f>_xlfn.XLOOKUP(표14[[#This Row],[material_name]],표2[material_name],표2[material_id])</f>
        <v/>
      </c>
      <c r="B329" s="11">
        <f>_xlfn.XLOOKUP(표14[[#This Row],[application_taxonomy]],표11[application_taxonomy],표11[app_id])</f>
        <v/>
      </c>
      <c r="C329" s="11">
        <f>_xlfn.XLOOKUP(표14[[#This Row],[end_use_industry]],표13[end_use_category],표13[end_use_id])</f>
        <v/>
      </c>
      <c r="D329" s="11">
        <f>_xlfn.XLOOKUP(표14[[#This Row],[importance]],표15[importance],표15[rating])</f>
        <v/>
      </c>
      <c r="E329" s="1" t="inlineStr">
        <is>
          <t>MDI</t>
        </is>
      </c>
      <c r="F329" s="1" t="inlineStr">
        <is>
          <t>Flexible polyurethane foams</t>
        </is>
      </c>
      <c r="G329" s="1" t="inlineStr">
        <is>
          <t>Major chemical intermediate</t>
        </is>
      </c>
      <c r="H329" s="1" t="inlineStr">
        <is>
          <t>Consumer Products &amp; Packaging</t>
        </is>
      </c>
      <c r="I329" s="1" t="inlineStr">
        <is>
          <t>Secondary</t>
        </is>
      </c>
      <c r="J329" s="1" t="inlineStr">
        <is>
          <t>MDI 소비의 약 8%로 bedding·seating 등 cushioning에 사용</t>
        </is>
      </c>
      <c r="K329" s="1" t="inlineStr">
        <is>
          <t>Existing</t>
        </is>
      </c>
      <c r="L329" s="11" t="n"/>
    </row>
    <row r="330" ht="33" customHeight="1" s="179">
      <c r="A330" s="11">
        <f>_xlfn.XLOOKUP(표14[[#This Row],[material_name]],표2[material_name],표2[material_id])</f>
        <v/>
      </c>
      <c r="B330" s="11">
        <f>_xlfn.XLOOKUP(표14[[#This Row],[application_taxonomy]],표11[application_taxonomy],표11[app_id])</f>
        <v/>
      </c>
      <c r="C330" s="11">
        <f>_xlfn.XLOOKUP(표14[[#This Row],[end_use_industry]],표13[end_use_category],표13[end_use_id])</f>
        <v/>
      </c>
      <c r="D330" s="11">
        <f>_xlfn.XLOOKUP(표14[[#This Row],[importance]],표15[importance],표15[rating])</f>
        <v/>
      </c>
      <c r="E330" s="1" t="inlineStr">
        <is>
          <t>MDI</t>
        </is>
      </c>
      <c r="F330" s="1" t="inlineStr">
        <is>
          <t>Polyurethane elastomers</t>
        </is>
      </c>
      <c r="G330" s="1" t="inlineStr">
        <is>
          <t>Major chemical intermediate</t>
        </is>
      </c>
      <c r="H330" s="1" t="inlineStr">
        <is>
          <t>Industrial Goods &amp; Advanced Manufacturing</t>
        </is>
      </c>
      <c r="I330" s="1" t="inlineStr">
        <is>
          <t>Secondary</t>
        </is>
      </c>
      <c r="J330" s="1" t="inlineStr">
        <is>
          <t>MDI 소비의 약 14%를 차지하는 주요 비-foam 용도</t>
        </is>
      </c>
      <c r="K330" s="1" t="inlineStr">
        <is>
          <t>Existing</t>
        </is>
      </c>
      <c r="L330" s="11" t="n"/>
    </row>
    <row r="331" ht="33" customHeight="1" s="179">
      <c r="A331" s="11">
        <f>_xlfn.XLOOKUP(표14[[#This Row],[material_name]],표2[material_name],표2[material_id])</f>
        <v/>
      </c>
      <c r="B331" s="11">
        <f>_xlfn.XLOOKUP(표14[[#This Row],[application_taxonomy]],표11[application_taxonomy],표11[app_id])</f>
        <v/>
      </c>
      <c r="C331" s="11">
        <f>_xlfn.XLOOKUP(표14[[#This Row],[end_use_industry]],표13[end_use_category],표13[end_use_id])</f>
        <v/>
      </c>
      <c r="D331" s="11">
        <f>_xlfn.XLOOKUP(표14[[#This Row],[importance]],표15[importance],표15[rating])</f>
        <v/>
      </c>
      <c r="E331" s="1" t="inlineStr">
        <is>
          <t>MDI</t>
        </is>
      </c>
      <c r="F331" s="1" t="inlineStr">
        <is>
          <t>Adhesives and sealants</t>
        </is>
      </c>
      <c r="G331" s="1" t="inlineStr">
        <is>
          <t>Major chemical intermediate</t>
        </is>
      </c>
      <c r="H331" s="1" t="inlineStr">
        <is>
          <t>Industrial Goods &amp; Advanced Manufacturing</t>
        </is>
      </c>
      <c r="I331" s="1" t="inlineStr">
        <is>
          <t>Secondary</t>
        </is>
      </c>
      <c r="J331" s="1" t="inlineStr">
        <is>
          <t>PU adhesive·sealant 용도로 사용되며 2024년 약 7% 비중</t>
        </is>
      </c>
      <c r="K331" s="1" t="inlineStr">
        <is>
          <t>Existing</t>
        </is>
      </c>
      <c r="L331" s="11" t="n"/>
    </row>
    <row r="332" ht="33" customHeight="1" s="179">
      <c r="A332" s="11">
        <f>_xlfn.XLOOKUP(표14[[#This Row],[material_name]],표2[material_name],표2[material_id])</f>
        <v/>
      </c>
      <c r="B332" s="11">
        <f>_xlfn.XLOOKUP(표14[[#This Row],[application_taxonomy]],표11[application_taxonomy],표11[app_id])</f>
        <v/>
      </c>
      <c r="C332" s="11">
        <f>_xlfn.XLOOKUP(표14[[#This Row],[end_use_industry]],표13[end_use_category],표13[end_use_id])</f>
        <v/>
      </c>
      <c r="D332" s="11">
        <f>_xlfn.XLOOKUP(표14[[#This Row],[importance]],표15[importance],표15[rating])</f>
        <v/>
      </c>
      <c r="E332" s="1" t="inlineStr">
        <is>
          <t>MDI</t>
        </is>
      </c>
      <c r="F332" s="1" t="inlineStr">
        <is>
          <t>Surface coatings</t>
        </is>
      </c>
      <c r="G332" s="1" t="inlineStr">
        <is>
          <t>Major chemical intermediate</t>
        </is>
      </c>
      <c r="H332" s="1" t="inlineStr">
        <is>
          <t>Industrial Goods &amp; Advanced Manufacturing</t>
        </is>
      </c>
      <c r="I332" s="1" t="inlineStr">
        <is>
          <t>Secondary</t>
        </is>
      </c>
      <c r="J332" s="1" t="inlineStr">
        <is>
          <t>MDI 기반 PU coating 용도이나 foam·elastomer 대비 비중은 작음</t>
        </is>
      </c>
      <c r="K332" s="1" t="inlineStr">
        <is>
          <t>Existing</t>
        </is>
      </c>
      <c r="L332" s="11" t="n"/>
    </row>
    <row r="333">
      <c r="A333" s="11">
        <f>_xlfn.XLOOKUP(표14[[#This Row],[material_name]],표2[material_name],표2[material_id])</f>
        <v/>
      </c>
      <c r="B333" s="11">
        <f>_xlfn.XLOOKUP(표14[[#This Row],[application_taxonomy]],표11[application_taxonomy],표11[app_id])</f>
        <v/>
      </c>
      <c r="C333" s="11">
        <f>_xlfn.XLOOKUP(표14[[#This Row],[end_use_industry]],표13[end_use_category],표13[end_use_id])</f>
        <v/>
      </c>
      <c r="D333" s="11">
        <f>_xlfn.XLOOKUP(표14[[#This Row],[importance]],표15[importance],표15[rating])</f>
        <v/>
      </c>
      <c r="E333" s="1" t="inlineStr">
        <is>
          <t>TDI</t>
        </is>
      </c>
      <c r="F333" s="1" t="inlineStr">
        <is>
          <t>Flexible polyurethane foams</t>
        </is>
      </c>
      <c r="G333" s="1" t="inlineStr">
        <is>
          <t>Major chemical intermediate</t>
        </is>
      </c>
      <c r="H333" s="1" t="inlineStr">
        <is>
          <t>Consumer Products &amp; Packaging</t>
        </is>
      </c>
      <c r="I333" s="1" t="inlineStr">
        <is>
          <t>Primary</t>
        </is>
      </c>
      <c r="J333" s="1" t="inlineStr">
        <is>
          <t>2024년 TDI 소비의 79%를 차지하는 압도적 핵심 용도</t>
        </is>
      </c>
      <c r="K333" s="1" t="inlineStr">
        <is>
          <t>Existing</t>
        </is>
      </c>
      <c r="L333" s="11" t="n"/>
    </row>
    <row r="334" ht="33" customHeight="1" s="179">
      <c r="A334" s="11">
        <f>_xlfn.XLOOKUP(표14[[#This Row],[material_name]],표2[material_name],표2[material_id])</f>
        <v/>
      </c>
      <c r="B334" s="11">
        <f>_xlfn.XLOOKUP(표14[[#This Row],[application_taxonomy]],표11[application_taxonomy],표11[app_id])</f>
        <v/>
      </c>
      <c r="C334" s="11">
        <f>_xlfn.XLOOKUP(표14[[#This Row],[end_use_industry]],표13[end_use_category],표13[end_use_id])</f>
        <v/>
      </c>
      <c r="D334" s="11">
        <f>_xlfn.XLOOKUP(표14[[#This Row],[importance]],표15[importance],표15[rating])</f>
        <v/>
      </c>
      <c r="E334" s="1" t="inlineStr">
        <is>
          <t>TDI</t>
        </is>
      </c>
      <c r="F334" s="1" t="inlineStr">
        <is>
          <t>Mattresses, furniture and automotive seats</t>
        </is>
      </c>
      <c r="G334" s="1" t="inlineStr">
        <is>
          <t>Major chemical intermediate</t>
        </is>
      </c>
      <c r="H334" s="1" t="inlineStr">
        <is>
          <t>Consumer Products &amp; Packaging</t>
        </is>
      </c>
      <c r="I334" s="1" t="inlineStr">
        <is>
          <t>Primary</t>
        </is>
      </c>
      <c r="J334" s="1" t="inlineStr">
        <is>
          <t>TDI flexible foam의 대표 downstream으로 cushioning 제품에 사용</t>
        </is>
      </c>
      <c r="K334" s="1" t="inlineStr">
        <is>
          <t>Existing</t>
        </is>
      </c>
      <c r="L334" s="11" t="n"/>
    </row>
    <row r="335" ht="33" customHeight="1" s="179">
      <c r="A335" s="11">
        <f>_xlfn.XLOOKUP(표14[[#This Row],[material_name]],표2[material_name],표2[material_id])</f>
        <v/>
      </c>
      <c r="B335" s="11">
        <f>_xlfn.XLOOKUP(표14[[#This Row],[application_taxonomy]],표11[application_taxonomy],표11[app_id])</f>
        <v/>
      </c>
      <c r="C335" s="11">
        <f>_xlfn.XLOOKUP(표14[[#This Row],[end_use_industry]],표13[end_use_category],표13[end_use_id])</f>
        <v/>
      </c>
      <c r="D335" s="11">
        <f>_xlfn.XLOOKUP(표14[[#This Row],[importance]],표15[importance],표15[rating])</f>
        <v/>
      </c>
      <c r="E335" s="1" t="inlineStr">
        <is>
          <t>TDI</t>
        </is>
      </c>
      <c r="F335" s="1" t="inlineStr">
        <is>
          <t>Surface coatings</t>
        </is>
      </c>
      <c r="G335" s="1" t="inlineStr">
        <is>
          <t>Major chemical intermediate</t>
        </is>
      </c>
      <c r="H335" s="1" t="inlineStr">
        <is>
          <t>Industrial Goods &amp; Advanced Manufacturing</t>
        </is>
      </c>
      <c r="I335" s="1" t="inlineStr">
        <is>
          <t>Secondary</t>
        </is>
      </c>
      <c r="J335" s="1" t="inlineStr">
        <is>
          <t>2024년 TDI 소비의 약 9%로 비-foam 주요 용도</t>
        </is>
      </c>
      <c r="K335" s="1" t="inlineStr">
        <is>
          <t>Existing</t>
        </is>
      </c>
      <c r="L335" s="11" t="n"/>
    </row>
    <row r="336" ht="33" customHeight="1" s="179">
      <c r="A336" s="11">
        <f>_xlfn.XLOOKUP(표14[[#This Row],[material_name]],표2[material_name],표2[material_id])</f>
        <v/>
      </c>
      <c r="B336" s="11">
        <f>_xlfn.XLOOKUP(표14[[#This Row],[application_taxonomy]],표11[application_taxonomy],표11[app_id])</f>
        <v/>
      </c>
      <c r="C336" s="11">
        <f>_xlfn.XLOOKUP(표14[[#This Row],[end_use_industry]],표13[end_use_category],표13[end_use_id])</f>
        <v/>
      </c>
      <c r="D336" s="11">
        <f>_xlfn.XLOOKUP(표14[[#This Row],[importance]],표15[importance],표15[rating])</f>
        <v/>
      </c>
      <c r="E336" s="1" t="inlineStr">
        <is>
          <t>TDI</t>
        </is>
      </c>
      <c r="F336" s="1" t="inlineStr">
        <is>
          <t>Adhesives and sealants</t>
        </is>
      </c>
      <c r="G336" s="1" t="inlineStr">
        <is>
          <t>Major chemical intermediate</t>
        </is>
      </c>
      <c r="H336" s="1" t="inlineStr">
        <is>
          <t>Industrial Goods &amp; Advanced Manufacturing</t>
        </is>
      </c>
      <c r="I336" s="1" t="inlineStr">
        <is>
          <t>Secondary</t>
        </is>
      </c>
      <c r="J336" s="1" t="inlineStr">
        <is>
          <t>2024년 TDI 소비의 약 6%를 차지하는 기능성 PU 용도</t>
        </is>
      </c>
      <c r="K336" s="1" t="inlineStr">
        <is>
          <t>Existing</t>
        </is>
      </c>
      <c r="L336" s="11" t="n"/>
    </row>
    <row r="337" ht="33" customHeight="1" s="179">
      <c r="A337" s="11">
        <f>_xlfn.XLOOKUP(표14[[#This Row],[material_name]],표2[material_name],표2[material_id])</f>
        <v/>
      </c>
      <c r="B337" s="11">
        <f>_xlfn.XLOOKUP(표14[[#This Row],[application_taxonomy]],표11[application_taxonomy],표11[app_id])</f>
        <v/>
      </c>
      <c r="C337" s="11">
        <f>_xlfn.XLOOKUP(표14[[#This Row],[end_use_industry]],표13[end_use_category],표13[end_use_id])</f>
        <v/>
      </c>
      <c r="D337" s="11">
        <f>_xlfn.XLOOKUP(표14[[#This Row],[importance]],표15[importance],표15[rating])</f>
        <v/>
      </c>
      <c r="E337" s="1" t="inlineStr">
        <is>
          <t>TDI</t>
        </is>
      </c>
      <c r="F337" s="1" t="inlineStr">
        <is>
          <t>Polyurethane elastomers</t>
        </is>
      </c>
      <c r="G337" s="1" t="inlineStr">
        <is>
          <t>Major chemical intermediate</t>
        </is>
      </c>
      <c r="H337" s="1" t="inlineStr">
        <is>
          <t>Industrial Goods &amp; Advanced Manufacturing</t>
        </is>
      </c>
      <c r="I337" s="1" t="inlineStr">
        <is>
          <t>Secondary</t>
        </is>
      </c>
      <c r="J337" s="1" t="inlineStr">
        <is>
          <t>2024년 TDI 소비의 약 4%로 제한적이나 상업적 용도 존재</t>
        </is>
      </c>
      <c r="K337" s="1" t="inlineStr">
        <is>
          <t>Existing</t>
        </is>
      </c>
      <c r="L337" s="11" t="n"/>
    </row>
    <row r="338" ht="33" customHeight="1" s="179">
      <c r="A338" s="11">
        <f>_xlfn.XLOOKUP(표14[[#This Row],[material_name]],표2[material_name],표2[material_id])</f>
        <v/>
      </c>
      <c r="B338" s="11">
        <f>_xlfn.XLOOKUP(표14[[#This Row],[application_taxonomy]],표11[application_taxonomy],표11[app_id])</f>
        <v/>
      </c>
      <c r="C338" s="11">
        <f>_xlfn.XLOOKUP(표14[[#This Row],[end_use_industry]],표13[end_use_category],표13[end_use_id])</f>
        <v/>
      </c>
      <c r="D338" s="11">
        <f>_xlfn.XLOOKUP(표14[[#This Row],[importance]],표15[importance],표15[rating])</f>
        <v/>
      </c>
      <c r="E338" s="1" t="inlineStr">
        <is>
          <t>o-Xylene</t>
        </is>
      </c>
      <c r="F338" s="1" t="inlineStr">
        <is>
          <t>Phthalic anhydride (PA)</t>
        </is>
      </c>
      <c r="G338" s="1" t="inlineStr">
        <is>
          <t>Major chemical intermediate</t>
        </is>
      </c>
      <c r="H338" s="1" t="inlineStr">
        <is>
          <t>Industrial Goods &amp; Advanced Manufacturing</t>
        </is>
      </c>
      <c r="I338" s="1" t="inlineStr">
        <is>
          <t>Primary</t>
        </is>
      </c>
      <c r="J338" s="1" t="inlineStr">
        <is>
          <t>OX 소비의 약 96%가 PA 생산용으로 사용되는 지배적 route</t>
        </is>
      </c>
      <c r="K338" s="1" t="inlineStr">
        <is>
          <t>Existing</t>
        </is>
      </c>
      <c r="L338" s="11" t="n"/>
    </row>
    <row r="339" ht="49.5" customHeight="1" s="179">
      <c r="A339" s="11">
        <f>_xlfn.XLOOKUP(표14[[#This Row],[material_name]],표2[material_name],표2[material_id])</f>
        <v/>
      </c>
      <c r="B339" s="11">
        <f>_xlfn.XLOOKUP(표14[[#This Row],[application_taxonomy]],표11[application_taxonomy],표11[app_id])</f>
        <v/>
      </c>
      <c r="C339" s="11">
        <f>_xlfn.XLOOKUP(표14[[#This Row],[end_use_industry]],표13[end_use_category],표13[end_use_id])</f>
        <v/>
      </c>
      <c r="D339" s="11">
        <f>_xlfn.XLOOKUP(표14[[#This Row],[importance]],표15[importance],표15[rating])</f>
        <v/>
      </c>
      <c r="E339" s="1" t="inlineStr">
        <is>
          <t>o-Xylene</t>
        </is>
      </c>
      <c r="F339" s="1" t="inlineStr">
        <is>
          <t>Other chemical intermediates, including bactericides and herbicides</t>
        </is>
      </c>
      <c r="G339" s="1" t="inlineStr">
        <is>
          <t>Specialty chemical intermediate</t>
        </is>
      </c>
      <c r="H339" s="1" t="inlineStr">
        <is>
          <t>Agriculture</t>
        </is>
      </c>
      <c r="I339" s="1" t="inlineStr">
        <is>
          <t>Niche / Emerging</t>
        </is>
      </c>
      <c r="J339" s="1" t="inlineStr">
        <is>
          <t>PA 외 약 4%의 소량 용도로 agrochemical 중간체가 언급됨</t>
        </is>
      </c>
      <c r="K339" s="1" t="inlineStr">
        <is>
          <t>Existing</t>
        </is>
      </c>
      <c r="L339" s="11" t="n"/>
    </row>
    <row r="340" ht="33" customHeight="1" s="179">
      <c r="A340" s="11">
        <f>_xlfn.XLOOKUP(표14[[#This Row],[material_name]],표2[material_name],표2[material_id])</f>
        <v/>
      </c>
      <c r="B340" s="11">
        <f>_xlfn.XLOOKUP(표14[[#This Row],[application_taxonomy]],표11[application_taxonomy],표11[app_id])</f>
        <v/>
      </c>
      <c r="C340" s="11">
        <f>_xlfn.XLOOKUP(표14[[#This Row],[end_use_industry]],표13[end_use_category],표13[end_use_id])</f>
        <v/>
      </c>
      <c r="D340" s="11">
        <f>_xlfn.XLOOKUP(표14[[#This Row],[importance]],표15[importance],표15[rating])</f>
        <v/>
      </c>
      <c r="E340" s="1" t="inlineStr">
        <is>
          <t>m-Xylene</t>
        </is>
      </c>
      <c r="F340" s="1" t="inlineStr">
        <is>
          <t>Purified isophthalic acid (PIA)</t>
        </is>
      </c>
      <c r="G340" s="1" t="inlineStr">
        <is>
          <t>Major chemical intermediate</t>
        </is>
      </c>
      <c r="H340" s="1" t="inlineStr">
        <is>
          <t>Industrial Goods &amp; Advanced Manufacturing</t>
        </is>
      </c>
      <c r="I340" s="1" t="inlineStr">
        <is>
          <t>Primary</t>
        </is>
      </c>
      <c r="J340" s="1" t="inlineStr">
        <is>
          <t>m-Xylene의 거의 전량이 PIA 생산용으로 소비되는 핵심 route</t>
        </is>
      </c>
      <c r="K340" s="1" t="inlineStr">
        <is>
          <t>Existing</t>
        </is>
      </c>
      <c r="L340" s="11" t="n"/>
    </row>
    <row r="341" ht="33" customHeight="1" s="179">
      <c r="A341" s="11">
        <f>_xlfn.XLOOKUP(표14[[#This Row],[material_name]],표2[material_name],표2[material_id])</f>
        <v/>
      </c>
      <c r="B341" s="11">
        <f>_xlfn.XLOOKUP(표14[[#This Row],[application_taxonomy]],표11[application_taxonomy],표11[app_id])</f>
        <v/>
      </c>
      <c r="C341" s="11">
        <f>_xlfn.XLOOKUP(표14[[#This Row],[end_use_industry]],표13[end_use_category],표13[end_use_id])</f>
        <v/>
      </c>
      <c r="D341" s="11">
        <f>_xlfn.XLOOKUP(표14[[#This Row],[importance]],표15[importance],표15[rating])</f>
        <v/>
      </c>
      <c r="E341" s="1" t="inlineStr">
        <is>
          <t>m-Xylene</t>
        </is>
      </c>
      <c r="F341" s="1" t="inlineStr">
        <is>
          <t>meta-Xylenediamine (MXDA)</t>
        </is>
      </c>
      <c r="G341" s="1" t="inlineStr">
        <is>
          <t>Specialty chemical intermediate</t>
        </is>
      </c>
      <c r="H341" s="1" t="inlineStr">
        <is>
          <t>Industrial Goods &amp; Advanced Manufacturing</t>
        </is>
      </c>
      <c r="I341" s="1" t="inlineStr">
        <is>
          <t>Secondary</t>
        </is>
      </c>
      <c r="J341" s="1" t="inlineStr">
        <is>
          <t>PIA 외 주요 성장 용도로 MXDA가 언급됨</t>
        </is>
      </c>
      <c r="K341" s="1" t="inlineStr">
        <is>
          <t>Existing</t>
        </is>
      </c>
      <c r="L341" s="11" t="n"/>
    </row>
    <row r="342" ht="33" customHeight="1" s="179">
      <c r="A342" s="11">
        <f>_xlfn.XLOOKUP(표14[[#This Row],[material_name]],표2[material_name],표2[material_id])</f>
        <v/>
      </c>
      <c r="B342" s="11">
        <f>_xlfn.XLOOKUP(표14[[#This Row],[application_taxonomy]],표11[application_taxonomy],표11[app_id])</f>
        <v/>
      </c>
      <c r="C342" s="11">
        <f>_xlfn.XLOOKUP(표14[[#This Row],[end_use_industry]],표13[end_use_category],표13[end_use_id])</f>
        <v/>
      </c>
      <c r="D342" s="11">
        <f>_xlfn.XLOOKUP(표14[[#This Row],[importance]],표15[importance],표15[rating])</f>
        <v/>
      </c>
      <c r="E342" s="1" t="inlineStr">
        <is>
          <t>m-Xylene</t>
        </is>
      </c>
      <c r="F342" s="1" t="inlineStr">
        <is>
          <t>Xylene-formaldehyde resin</t>
        </is>
      </c>
      <c r="G342" s="1" t="inlineStr">
        <is>
          <t>Composite &amp; performance resins</t>
        </is>
      </c>
      <c r="H342" s="1" t="inlineStr">
        <is>
          <t>Industrial Goods &amp; Advanced Manufacturing</t>
        </is>
      </c>
      <c r="I342" s="1" t="inlineStr">
        <is>
          <t>Niche / Emerging</t>
        </is>
      </c>
      <c r="J342" s="1" t="inlineStr">
        <is>
          <t>소량 specialty resin 중간체 용도</t>
        </is>
      </c>
      <c r="K342" s="1" t="inlineStr">
        <is>
          <t>Existing</t>
        </is>
      </c>
      <c r="L342" s="11" t="n"/>
    </row>
    <row r="343" ht="33" customHeight="1" s="179">
      <c r="A343" s="11">
        <f>_xlfn.XLOOKUP(표14[[#This Row],[material_name]],표2[material_name],표2[material_id])</f>
        <v/>
      </c>
      <c r="B343" s="11">
        <f>_xlfn.XLOOKUP(표14[[#This Row],[application_taxonomy]],표11[application_taxonomy],표11[app_id])</f>
        <v/>
      </c>
      <c r="C343" s="11">
        <f>_xlfn.XLOOKUP(표14[[#This Row],[end_use_industry]],표13[end_use_category],표13[end_use_id])</f>
        <v/>
      </c>
      <c r="D343" s="11">
        <f>_xlfn.XLOOKUP(표14[[#This Row],[importance]],표15[importance],표15[rating])</f>
        <v/>
      </c>
      <c r="E343" s="1" t="inlineStr">
        <is>
          <t>p-Xylene</t>
        </is>
      </c>
      <c r="F343" s="1" t="inlineStr">
        <is>
          <t>Purified terephthalic acid (PTA)</t>
        </is>
      </c>
      <c r="G343" s="1" t="inlineStr">
        <is>
          <t>Major chemical intermediate</t>
        </is>
      </c>
      <c r="H343" s="1" t="inlineStr">
        <is>
          <t>Industrial Goods &amp; Advanced Manufacturing</t>
        </is>
      </c>
      <c r="I343" s="1" t="inlineStr">
        <is>
          <t>Primary</t>
        </is>
      </c>
      <c r="J343" s="1" t="inlineStr">
        <is>
          <t>PX 수요의 약 99%가 PTA 생산용으로 사용되는 지배적 route</t>
        </is>
      </c>
      <c r="K343" s="1" t="inlineStr">
        <is>
          <t>Existing</t>
        </is>
      </c>
      <c r="L343" s="11" t="n"/>
    </row>
    <row r="344" ht="33" customHeight="1" s="179">
      <c r="A344" s="11">
        <f>_xlfn.XLOOKUP(표14[[#This Row],[material_name]],표2[material_name],표2[material_id])</f>
        <v/>
      </c>
      <c r="B344" s="11">
        <f>_xlfn.XLOOKUP(표14[[#This Row],[application_taxonomy]],표11[application_taxonomy],표11[app_id])</f>
        <v/>
      </c>
      <c r="C344" s="11">
        <f>_xlfn.XLOOKUP(표14[[#This Row],[end_use_industry]],표13[end_use_category],표13[end_use_id])</f>
        <v/>
      </c>
      <c r="D344" s="11">
        <f>_xlfn.XLOOKUP(표14[[#This Row],[importance]],표15[importance],표15[rating])</f>
        <v/>
      </c>
      <c r="E344" s="1" t="inlineStr">
        <is>
          <t>p-Xylene</t>
        </is>
      </c>
      <c r="F344" s="1" t="inlineStr">
        <is>
          <t>Dimethyl terephthalate (DMT)</t>
        </is>
      </c>
      <c r="G344" s="1" t="inlineStr">
        <is>
          <t>Major chemical intermediate</t>
        </is>
      </c>
      <c r="H344" s="1" t="inlineStr">
        <is>
          <t>Industrial Goods &amp; Advanced Manufacturing</t>
        </is>
      </c>
      <c r="I344" s="1" t="inlineStr">
        <is>
          <t>Niche / Emerging</t>
        </is>
      </c>
      <c r="J344" s="1" t="inlineStr">
        <is>
          <t>DMT route도 존재하나 PTA 대비 지속 감소 중</t>
        </is>
      </c>
      <c r="K344" s="1" t="inlineStr">
        <is>
          <t>Existing</t>
        </is>
      </c>
      <c r="L344" s="11" t="n"/>
    </row>
    <row r="345" ht="33" customHeight="1" s="179">
      <c r="A345" s="11">
        <f>_xlfn.XLOOKUP(표14[[#This Row],[material_name]],표2[material_name],표2[material_id])</f>
        <v/>
      </c>
      <c r="B345" s="11">
        <f>_xlfn.XLOOKUP(표14[[#This Row],[application_taxonomy]],표11[application_taxonomy],표11[app_id])</f>
        <v/>
      </c>
      <c r="C345" s="11">
        <f>_xlfn.XLOOKUP(표14[[#This Row],[end_use_industry]],표13[end_use_category],표13[end_use_id])</f>
        <v/>
      </c>
      <c r="D345" s="11">
        <f>_xlfn.XLOOKUP(표14[[#This Row],[importance]],표15[importance],표15[rating])</f>
        <v/>
      </c>
      <c r="E345" s="1" t="inlineStr">
        <is>
          <t>PIA</t>
        </is>
      </c>
      <c r="F345" s="1" t="inlineStr">
        <is>
          <t>Copolyester resins for PET bottles and fibers</t>
        </is>
      </c>
      <c r="G345" s="1" t="inlineStr">
        <is>
          <t>Polymer modification &amp; additives</t>
        </is>
      </c>
      <c r="H345" s="1" t="inlineStr">
        <is>
          <t>Consumer Products &amp; Packaging</t>
        </is>
      </c>
      <c r="I345" s="1" t="inlineStr">
        <is>
          <t>Primary</t>
        </is>
      </c>
      <c r="J345" s="1" t="inlineStr">
        <is>
          <t>2025년 PIA 수요의 약 46%로 PET bottle resin의 clarity·생산성 개선용</t>
        </is>
      </c>
      <c r="K345" s="1" t="inlineStr">
        <is>
          <t>Existing</t>
        </is>
      </c>
      <c r="L345" s="11" t="n"/>
    </row>
    <row r="346" ht="33" customHeight="1" s="179">
      <c r="A346" s="11">
        <f>_xlfn.XLOOKUP(표14[[#This Row],[material_name]],표2[material_name],표2[material_id])</f>
        <v/>
      </c>
      <c r="B346" s="11">
        <f>_xlfn.XLOOKUP(표14[[#This Row],[application_taxonomy]],표11[application_taxonomy],표11[app_id])</f>
        <v/>
      </c>
      <c r="C346" s="11">
        <f>_xlfn.XLOOKUP(표14[[#This Row],[end_use_industry]],표13[end_use_category],표13[end_use_id])</f>
        <v/>
      </c>
      <c r="D346" s="11">
        <f>_xlfn.XLOOKUP(표14[[#This Row],[importance]],표15[importance],표15[rating])</f>
        <v/>
      </c>
      <c r="E346" s="1" t="inlineStr">
        <is>
          <t>PIA</t>
        </is>
      </c>
      <c r="F346" s="1" t="inlineStr">
        <is>
          <t>Unsaturated polyester resins</t>
        </is>
      </c>
      <c r="G346" s="1" t="inlineStr">
        <is>
          <t>Major chemical intermediate</t>
        </is>
      </c>
      <c r="H346" s="1" t="inlineStr">
        <is>
          <t>Industrial Goods &amp; Advanced Manufacturing</t>
        </is>
      </c>
      <c r="I346" s="1" t="inlineStr">
        <is>
          <t>Secondary</t>
        </is>
      </c>
      <c r="J346" s="1" t="inlineStr">
        <is>
          <t>2025년 PIA 수요의 약 22%로 FRP용 premium polyester resin에 사용</t>
        </is>
      </c>
      <c r="K346" s="1" t="inlineStr">
        <is>
          <t>Existing</t>
        </is>
      </c>
      <c r="L346" s="11" t="n"/>
    </row>
    <row r="347" ht="33" customHeight="1" s="179">
      <c r="A347" s="11">
        <f>_xlfn.XLOOKUP(표14[[#This Row],[material_name]],표2[material_name],표2[material_id])</f>
        <v/>
      </c>
      <c r="B347" s="11">
        <f>_xlfn.XLOOKUP(표14[[#This Row],[application_taxonomy]],표11[application_taxonomy],표11[app_id])</f>
        <v/>
      </c>
      <c r="C347" s="11">
        <f>_xlfn.XLOOKUP(표14[[#This Row],[end_use_industry]],표13[end_use_category],표13[end_use_id])</f>
        <v/>
      </c>
      <c r="D347" s="11">
        <f>_xlfn.XLOOKUP(표14[[#This Row],[importance]],표15[importance],표15[rating])</f>
        <v/>
      </c>
      <c r="E347" s="1" t="inlineStr">
        <is>
          <t>PIA</t>
        </is>
      </c>
      <c r="F347" s="1" t="inlineStr">
        <is>
          <t>Polyester/alkyd surface coating resins</t>
        </is>
      </c>
      <c r="G347" s="1" t="inlineStr">
        <is>
          <t>Surface coating</t>
        </is>
      </c>
      <c r="H347" s="1" t="inlineStr">
        <is>
          <t>Industrial Goods &amp; Advanced Manufacturing</t>
        </is>
      </c>
      <c r="I347" s="1" t="inlineStr">
        <is>
          <t>Secondary</t>
        </is>
      </c>
      <c r="J347" s="1" t="inlineStr">
        <is>
          <t>2025년 PIA 수요의 약 16%로 coating resin의 내수성·내후성 개선</t>
        </is>
      </c>
      <c r="K347" s="1" t="inlineStr">
        <is>
          <t>Existing</t>
        </is>
      </c>
      <c r="L347" s="11" t="n"/>
    </row>
    <row r="348" ht="33" customHeight="1" s="179">
      <c r="A348" s="11">
        <f>_xlfn.XLOOKUP(표14[[#This Row],[material_name]],표2[material_name],표2[material_id])</f>
        <v/>
      </c>
      <c r="B348" s="11">
        <f>_xlfn.XLOOKUP(표14[[#This Row],[application_taxonomy]],표11[application_taxonomy],표11[app_id])</f>
        <v/>
      </c>
      <c r="C348" s="11">
        <f>_xlfn.XLOOKUP(표14[[#This Row],[end_use_industry]],표13[end_use_category],표13[end_use_id])</f>
        <v/>
      </c>
      <c r="D348" s="11">
        <f>_xlfn.XLOOKUP(표14[[#This Row],[importance]],표15[importance],표15[rating])</f>
        <v/>
      </c>
      <c r="E348" s="1" t="inlineStr">
        <is>
          <t>PIA</t>
        </is>
      </c>
      <c r="F348" s="1" t="inlineStr">
        <is>
          <t>Isophthaloyl chloride (IPC) / meta-aramid fiber</t>
        </is>
      </c>
      <c r="G348" s="1" t="inlineStr">
        <is>
          <t>Specialty chemical intermediate</t>
        </is>
      </c>
      <c r="H348" s="1" t="inlineStr">
        <is>
          <t>Industrial Goods &amp; Advanced Manufacturing</t>
        </is>
      </c>
      <c r="I348" s="1" t="inlineStr">
        <is>
          <t>Niche / Emerging</t>
        </is>
      </c>
      <c r="J348" s="1" t="inlineStr">
        <is>
          <t>IPC 및 meta-aramid fiber 원료로 사용되는 specialty route</t>
        </is>
      </c>
      <c r="K348" s="1" t="inlineStr">
        <is>
          <t>Existing</t>
        </is>
      </c>
      <c r="L348" s="11" t="n"/>
    </row>
    <row r="349" ht="33" customHeight="1" s="179">
      <c r="A349" s="11">
        <f>_xlfn.XLOOKUP(표14[[#This Row],[material_name]],표2[material_name],표2[material_id])</f>
        <v/>
      </c>
      <c r="B349" s="11">
        <f>_xlfn.XLOOKUP(표14[[#This Row],[application_taxonomy]],표11[application_taxonomy],표11[app_id])</f>
        <v/>
      </c>
      <c r="C349" s="11">
        <f>_xlfn.XLOOKUP(표14[[#This Row],[end_use_industry]],표13[end_use_category],표13[end_use_id])</f>
        <v/>
      </c>
      <c r="D349" s="11">
        <f>_xlfn.XLOOKUP(표14[[#This Row],[importance]],표15[importance],표15[rating])</f>
        <v/>
      </c>
      <c r="E349" s="1" t="inlineStr">
        <is>
          <t>PIA</t>
        </is>
      </c>
      <c r="F349" s="1" t="inlineStr">
        <is>
          <t>Low-melt polyester fiber</t>
        </is>
      </c>
      <c r="G349" s="1" t="inlineStr">
        <is>
          <t>Polymer resin / molding material</t>
        </is>
      </c>
      <c r="H349" s="1" t="inlineStr">
        <is>
          <t>Consumer Products &amp; Packaging</t>
        </is>
      </c>
      <c r="I349" s="1" t="inlineStr">
        <is>
          <t>Niche / Emerging</t>
        </is>
      </c>
      <c r="J349" s="1" t="inlineStr">
        <is>
          <t>hygiene·furniture·automotive interiors 등에 쓰이는 LMF 원료로 언급</t>
        </is>
      </c>
      <c r="K349" s="1" t="inlineStr">
        <is>
          <t>Existing</t>
        </is>
      </c>
      <c r="L349" s="11" t="n"/>
    </row>
    <row r="350" ht="33" customHeight="1" s="179">
      <c r="A350" s="11">
        <f>_xlfn.XLOOKUP(표14[[#This Row],[material_name]],표2[material_name],표2[material_id])</f>
        <v/>
      </c>
      <c r="B350" s="11">
        <f>_xlfn.XLOOKUP(표14[[#This Row],[application_taxonomy]],표11[application_taxonomy],표11[app_id])</f>
        <v/>
      </c>
      <c r="C350" s="11">
        <f>_xlfn.XLOOKUP(표14[[#This Row],[end_use_industry]],표13[end_use_category],표13[end_use_id])</f>
        <v/>
      </c>
      <c r="D350" s="11">
        <f>_xlfn.XLOOKUP(표14[[#This Row],[importance]],표15[importance],표15[rating])</f>
        <v/>
      </c>
      <c r="E350" s="1" t="inlineStr">
        <is>
          <t>PIA</t>
        </is>
      </c>
      <c r="F350" s="1" t="inlineStr">
        <is>
          <t>Adhesives</t>
        </is>
      </c>
      <c r="G350" s="1" t="inlineStr">
        <is>
          <t>Adhesive bonding</t>
        </is>
      </c>
      <c r="H350" s="1" t="inlineStr">
        <is>
          <t>Industrial Goods &amp; Advanced Manufacturing</t>
        </is>
      </c>
      <c r="I350" s="1" t="inlineStr">
        <is>
          <t>Niche / Emerging</t>
        </is>
      </c>
      <c r="J350" s="1" t="inlineStr">
        <is>
          <t>hot-melt polyester adhesive 등 소량 용도</t>
        </is>
      </c>
      <c r="K350" s="1" t="inlineStr">
        <is>
          <t>Existing</t>
        </is>
      </c>
      <c r="L350" s="11" t="n"/>
    </row>
    <row r="351" ht="33" customHeight="1" s="179">
      <c r="A351" s="11">
        <f>_xlfn.XLOOKUP(표14[[#This Row],[material_name]],표2[material_name],표2[material_id])</f>
        <v/>
      </c>
      <c r="B351" s="11">
        <f>_xlfn.XLOOKUP(표14[[#This Row],[application_taxonomy]],표11[application_taxonomy],표11[app_id])</f>
        <v/>
      </c>
      <c r="C351" s="11">
        <f>_xlfn.XLOOKUP(표14[[#This Row],[end_use_industry]],표13[end_use_category],표13[end_use_id])</f>
        <v/>
      </c>
      <c r="D351" s="11">
        <f>_xlfn.XLOOKUP(표14[[#This Row],[importance]],표15[importance],표15[rating])</f>
        <v/>
      </c>
      <c r="E351" s="1" t="inlineStr">
        <is>
          <t>TPA</t>
        </is>
      </c>
      <c r="F351" s="1" t="inlineStr">
        <is>
          <t>Polyethylene terephthalate (PET) polymer</t>
        </is>
      </c>
      <c r="G351" s="1" t="inlineStr">
        <is>
          <t>Major chemical intermediate</t>
        </is>
      </c>
      <c r="H351" s="1" t="inlineStr">
        <is>
          <t>Consumer Products &amp; Packaging</t>
        </is>
      </c>
      <c r="I351" s="1" t="inlineStr">
        <is>
          <t>Primary</t>
        </is>
      </c>
      <c r="J351" s="1" t="inlineStr">
        <is>
          <t>2024년 TPA 소비의 약 97%가 PET/polyester melt 생산용</t>
        </is>
      </c>
      <c r="K351" s="1" t="inlineStr">
        <is>
          <t>Existing</t>
        </is>
      </c>
      <c r="L351" s="11" t="n"/>
    </row>
    <row r="352" ht="33" customHeight="1" s="179">
      <c r="A352" s="11">
        <f>_xlfn.XLOOKUP(표14[[#This Row],[material_name]],표2[material_name],표2[material_id])</f>
        <v/>
      </c>
      <c r="B352" s="11">
        <f>_xlfn.XLOOKUP(표14[[#This Row],[application_taxonomy]],표11[application_taxonomy],표11[app_id])</f>
        <v/>
      </c>
      <c r="C352" s="11">
        <f>_xlfn.XLOOKUP(표14[[#This Row],[end_use_industry]],표13[end_use_category],표13[end_use_id])</f>
        <v/>
      </c>
      <c r="D352" s="11">
        <f>_xlfn.XLOOKUP(표14[[#This Row],[importance]],표15[importance],표15[rating])</f>
        <v/>
      </c>
      <c r="E352" s="1" t="inlineStr">
        <is>
          <t>TPA</t>
        </is>
      </c>
      <c r="F352" s="1" t="inlineStr">
        <is>
          <t>Polybutylene terephthalate (PBT)</t>
        </is>
      </c>
      <c r="G352" s="1" t="inlineStr">
        <is>
          <t>Polymer resin / molding material</t>
        </is>
      </c>
      <c r="H352" s="1" t="inlineStr">
        <is>
          <t>Electronics, Semiconductors &amp; Digital Infrastructure</t>
        </is>
      </c>
      <c r="I352" s="1" t="inlineStr">
        <is>
          <t>Niche / Emerging</t>
        </is>
      </c>
      <c r="J352" s="1" t="inlineStr">
        <is>
          <t>TPA의 잔여 비-PET 용도 중 하나로 engineering resin에 사용</t>
        </is>
      </c>
      <c r="K352" s="1" t="inlineStr">
        <is>
          <t>Existing</t>
        </is>
      </c>
      <c r="L352" s="11" t="n"/>
    </row>
    <row r="353" ht="33" customHeight="1" s="179">
      <c r="A353" s="11">
        <f>_xlfn.XLOOKUP(표14[[#This Row],[material_name]],표2[material_name],표2[material_id])</f>
        <v/>
      </c>
      <c r="B353" s="11">
        <f>_xlfn.XLOOKUP(표14[[#This Row],[application_taxonomy]],표11[application_taxonomy],표11[app_id])</f>
        <v/>
      </c>
      <c r="C353" s="11">
        <f>_xlfn.XLOOKUP(표14[[#This Row],[end_use_industry]],표13[end_use_category],표13[end_use_id])</f>
        <v/>
      </c>
      <c r="D353" s="11">
        <f>_xlfn.XLOOKUP(표14[[#This Row],[importance]],표15[importance],표15[rating])</f>
        <v/>
      </c>
      <c r="E353" s="1" t="inlineStr">
        <is>
          <t>TPA</t>
        </is>
      </c>
      <c r="F353" s="1" t="inlineStr">
        <is>
          <t>Dioctyl terephthalate (DOTP)</t>
        </is>
      </c>
      <c r="G353" s="1" t="inlineStr">
        <is>
          <t>Polymer modification &amp; additives</t>
        </is>
      </c>
      <c r="H353" s="1" t="inlineStr">
        <is>
          <t>Industrial Goods &amp; Advanced Manufacturing</t>
        </is>
      </c>
      <c r="I353" s="1" t="inlineStr">
        <is>
          <t>Niche / Emerging</t>
        </is>
      </c>
      <c r="J353" s="1" t="inlineStr">
        <is>
          <t>비-PET 용도의 plasticizer route로 언급됨</t>
        </is>
      </c>
      <c r="K353" s="1" t="inlineStr">
        <is>
          <t>Existing</t>
        </is>
      </c>
      <c r="L353" s="11" t="n"/>
    </row>
    <row r="354" ht="33" customHeight="1" s="179">
      <c r="A354" s="11">
        <f>_xlfn.XLOOKUP(표14[[#This Row],[material_name]],표2[material_name],표2[material_id])</f>
        <v/>
      </c>
      <c r="B354" s="11">
        <f>_xlfn.XLOOKUP(표14[[#This Row],[application_taxonomy]],표11[application_taxonomy],표11[app_id])</f>
        <v/>
      </c>
      <c r="C354" s="11">
        <f>_xlfn.XLOOKUP(표14[[#This Row],[end_use_industry]],표13[end_use_category],표13[end_use_id])</f>
        <v/>
      </c>
      <c r="D354" s="11">
        <f>_xlfn.XLOOKUP(표14[[#This Row],[importance]],표15[importance],표15[rating])</f>
        <v/>
      </c>
      <c r="E354" s="1" t="inlineStr">
        <is>
          <t>DMT</t>
        </is>
      </c>
      <c r="F354" s="1" t="inlineStr">
        <is>
          <t>Polyethylene terephthalate (PET) polymer</t>
        </is>
      </c>
      <c r="G354" s="1" t="inlineStr">
        <is>
          <t>Major chemical intermediate</t>
        </is>
      </c>
      <c r="H354" s="1" t="inlineStr">
        <is>
          <t>Consumer Products &amp; Packaging</t>
        </is>
      </c>
      <c r="I354" s="1" t="inlineStr">
        <is>
          <t>Primary</t>
        </is>
      </c>
      <c r="J354" s="1" t="inlineStr">
        <is>
          <t>DMT 수요의 약 85%가 PET/polyester 생산용이나 TPA로 대체되어 감소 중</t>
        </is>
      </c>
      <c r="K354" s="1" t="inlineStr">
        <is>
          <t>Existing</t>
        </is>
      </c>
      <c r="L354" s="11" t="n"/>
    </row>
    <row r="355" ht="33" customHeight="1" s="179">
      <c r="A355" s="11">
        <f>_xlfn.XLOOKUP(표14[[#This Row],[material_name]],표2[material_name],표2[material_id])</f>
        <v/>
      </c>
      <c r="B355" s="11">
        <f>_xlfn.XLOOKUP(표14[[#This Row],[application_taxonomy]],표11[application_taxonomy],표11[app_id])</f>
        <v/>
      </c>
      <c r="C355" s="11">
        <f>_xlfn.XLOOKUP(표14[[#This Row],[end_use_industry]],표13[end_use_category],표13[end_use_id])</f>
        <v/>
      </c>
      <c r="D355" s="11">
        <f>_xlfn.XLOOKUP(표14[[#This Row],[importance]],표15[importance],표15[rating])</f>
        <v/>
      </c>
      <c r="E355" s="1" t="inlineStr">
        <is>
          <t>DMT</t>
        </is>
      </c>
      <c r="F355" s="1" t="inlineStr">
        <is>
          <t>Polybutylene terephthalate (PBT)</t>
        </is>
      </c>
      <c r="G355" s="1" t="inlineStr">
        <is>
          <t>Polymer resin / molding material</t>
        </is>
      </c>
      <c r="H355" s="1" t="inlineStr">
        <is>
          <t>Electronics, Semiconductors &amp; Digital Infrastructure</t>
        </is>
      </c>
      <c r="I355" s="1" t="inlineStr">
        <is>
          <t>Niche / Emerging</t>
        </is>
      </c>
      <c r="J355" s="1" t="inlineStr">
        <is>
          <t>DMT의 비-PET 주요 잔여 용도 중 하나</t>
        </is>
      </c>
      <c r="K355" s="1" t="inlineStr">
        <is>
          <t>Existing</t>
        </is>
      </c>
      <c r="L355" s="11" t="n"/>
    </row>
    <row r="356">
      <c r="A356" s="11">
        <f>_xlfn.XLOOKUP(표14[[#This Row],[material_name]],표2[material_name],표2[material_id])</f>
        <v/>
      </c>
      <c r="B356" s="11">
        <f>_xlfn.XLOOKUP(표14[[#This Row],[application_taxonomy]],표11[application_taxonomy],표11[app_id])</f>
        <v/>
      </c>
      <c r="C356" s="11">
        <f>_xlfn.XLOOKUP(표14[[#This Row],[end_use_industry]],표13[end_use_category],표13[end_use_id])</f>
        <v/>
      </c>
      <c r="D356" s="11">
        <f>_xlfn.XLOOKUP(표14[[#This Row],[importance]],표15[importance],표15[rating])</f>
        <v/>
      </c>
      <c r="E356" s="1" t="inlineStr">
        <is>
          <t>PET</t>
        </is>
      </c>
      <c r="F356" s="1" t="inlineStr">
        <is>
          <t>Preforms/bottles</t>
        </is>
      </c>
      <c r="G356" s="1" t="inlineStr">
        <is>
          <t>Rigid packaging</t>
        </is>
      </c>
      <c r="H356" s="1" t="inlineStr">
        <is>
          <t>Consumer Products &amp; Packaging</t>
        </is>
      </c>
      <c r="I356" s="1" t="inlineStr">
        <is>
          <t>Primary</t>
        </is>
      </c>
      <c r="J356" s="1" t="inlineStr">
        <is>
          <t>2025년 bottle-grade PET 수요의 78%</t>
        </is>
      </c>
      <c r="K356" s="1" t="inlineStr">
        <is>
          <t>Existing</t>
        </is>
      </c>
      <c r="L356" s="11" t="n"/>
    </row>
    <row r="357">
      <c r="A357" s="11">
        <f>_xlfn.XLOOKUP(표14[[#This Row],[material_name]],표2[material_name],표2[material_id])</f>
        <v/>
      </c>
      <c r="B357" s="11">
        <f>_xlfn.XLOOKUP(표14[[#This Row],[application_taxonomy]],표11[application_taxonomy],표11[app_id])</f>
        <v/>
      </c>
      <c r="C357" s="11">
        <f>_xlfn.XLOOKUP(표14[[#This Row],[end_use_industry]],표13[end_use_category],표13[end_use_id])</f>
        <v/>
      </c>
      <c r="D357" s="11">
        <f>_xlfn.XLOOKUP(표14[[#This Row],[importance]],표15[importance],표15[rating])</f>
        <v/>
      </c>
      <c r="E357" s="1" t="inlineStr">
        <is>
          <t>PET</t>
        </is>
      </c>
      <c r="F357" s="1" t="inlineStr">
        <is>
          <t>Thermoform sheets/trays</t>
        </is>
      </c>
      <c r="G357" s="1" t="inlineStr">
        <is>
          <t>Rigid packaging</t>
        </is>
      </c>
      <c r="H357" s="1" t="inlineStr">
        <is>
          <t>Consumer Products &amp; Packaging</t>
        </is>
      </c>
      <c r="I357" s="1" t="inlineStr">
        <is>
          <t>Secondary</t>
        </is>
      </c>
      <c r="J357" s="1" t="inlineStr">
        <is>
          <t>2025년 수요의 15%로 주요 포장재 용도</t>
        </is>
      </c>
      <c r="K357" s="1" t="inlineStr">
        <is>
          <t>Existing</t>
        </is>
      </c>
      <c r="L357" s="11" t="n"/>
    </row>
    <row r="358">
      <c r="A358" s="11">
        <f>_xlfn.XLOOKUP(표14[[#This Row],[material_name]],표2[material_name],표2[material_id])</f>
        <v/>
      </c>
      <c r="B358" s="11">
        <f>_xlfn.XLOOKUP(표14[[#This Row],[application_taxonomy]],표11[application_taxonomy],표11[app_id])</f>
        <v/>
      </c>
      <c r="C358" s="11">
        <f>_xlfn.XLOOKUP(표14[[#This Row],[end_use_industry]],표13[end_use_category],표13[end_use_id])</f>
        <v/>
      </c>
      <c r="D358" s="11">
        <f>_xlfn.XLOOKUP(표14[[#This Row],[importance]],표15[importance],표15[rating])</f>
        <v/>
      </c>
      <c r="E358" s="1" t="inlineStr">
        <is>
          <t>PET</t>
        </is>
      </c>
      <c r="F358" s="1" t="inlineStr">
        <is>
          <t>Film</t>
        </is>
      </c>
      <c r="G358" s="1" t="inlineStr">
        <is>
          <t>Barrier packaging</t>
        </is>
      </c>
      <c r="H358" s="1" t="inlineStr">
        <is>
          <t>Consumer Products &amp; Packaging</t>
        </is>
      </c>
      <c r="I358" s="1" t="inlineStr">
        <is>
          <t>Secondary</t>
        </is>
      </c>
      <c r="J358" s="1" t="inlineStr">
        <is>
          <t>포장용 필름 및 산업용 필름 chain으로 연결</t>
        </is>
      </c>
      <c r="K358" s="1" t="inlineStr">
        <is>
          <t>Existing</t>
        </is>
      </c>
      <c r="L358" s="11" t="n"/>
    </row>
    <row r="359">
      <c r="A359" s="11">
        <f>_xlfn.XLOOKUP(표14[[#This Row],[material_name]],표2[material_name],표2[material_id])</f>
        <v/>
      </c>
      <c r="B359" s="11">
        <f>_xlfn.XLOOKUP(표14[[#This Row],[application_taxonomy]],표11[application_taxonomy],표11[app_id])</f>
        <v/>
      </c>
      <c r="C359" s="11">
        <f>_xlfn.XLOOKUP(표14[[#This Row],[end_use_industry]],표13[end_use_category],표13[end_use_id])</f>
        <v/>
      </c>
      <c r="D359" s="11">
        <f>_xlfn.XLOOKUP(표14[[#This Row],[importance]],표15[importance],표15[rating])</f>
        <v/>
      </c>
      <c r="E359" s="1" t="inlineStr">
        <is>
          <t>PET</t>
        </is>
      </c>
      <c r="F359" s="1" t="inlineStr">
        <is>
          <t>Fiber/filament</t>
        </is>
      </c>
      <c r="G359" t="inlineStr">
        <is>
          <t>Polymer resin / molding material</t>
        </is>
      </c>
      <c r="H359" s="1" t="inlineStr">
        <is>
          <t>Consumer Products &amp; Packaging</t>
        </is>
      </c>
      <c r="I359" s="1" t="inlineStr">
        <is>
          <t>Primary</t>
        </is>
      </c>
      <c r="J359" s="1" t="inlineStr">
        <is>
          <t>PET value chain의 대형 섬유·의류 용도</t>
        </is>
      </c>
      <c r="K359" s="1" t="inlineStr">
        <is>
          <t>Existing</t>
        </is>
      </c>
      <c r="L359" s="11" t="n"/>
    </row>
    <row r="360" ht="49.5" customHeight="1" s="179">
      <c r="A360" s="11">
        <f>_xlfn.XLOOKUP(표14[[#This Row],[material_name]],표2[material_name],표2[material_id])</f>
        <v/>
      </c>
      <c r="B360" s="11">
        <f>_xlfn.XLOOKUP(표14[[#This Row],[application_taxonomy]],표11[application_taxonomy],표11[app_id])</f>
        <v/>
      </c>
      <c r="C360" s="11">
        <f>_xlfn.XLOOKUP(표14[[#This Row],[end_use_industry]],표13[end_use_category],표13[end_use_id])</f>
        <v/>
      </c>
      <c r="D360" s="11">
        <f>_xlfn.XLOOKUP(표14[[#This Row],[importance]],표15[importance],표15[rating])</f>
        <v/>
      </c>
      <c r="E360" s="1" t="inlineStr">
        <is>
          <t>EPDM</t>
        </is>
      </c>
      <c r="F360" s="1" t="inlineStr">
        <is>
          <t>Automotive parts (weather strips, seals, hoses, gaskets, sidewalls, antivibration parts)</t>
        </is>
      </c>
      <c r="G360" s="1" t="inlineStr">
        <is>
          <t>Elastomeric performance materials</t>
        </is>
      </c>
      <c r="H360" s="1" t="inlineStr">
        <is>
          <t>Automotive &amp; Future Mobility</t>
        </is>
      </c>
      <c r="I360" s="1" t="inlineStr">
        <is>
          <t>Primary</t>
        </is>
      </c>
      <c r="J360" s="1" t="inlineStr">
        <is>
          <t>자동차용 weatherstripping, hose, seal, gasket, tire sidewall 등이 EPDM 최대 수요처이며 글로벌 수요의 60% 이상이 자동차 관련으로 연결됨.</t>
        </is>
      </c>
      <c r="K360" s="1" t="inlineStr">
        <is>
          <t>Existing</t>
        </is>
      </c>
      <c r="L360" s="11" t="n"/>
    </row>
    <row r="361" ht="49.5" customHeight="1" s="179">
      <c r="A361" s="11">
        <f>_xlfn.XLOOKUP(표14[[#This Row],[material_name]],표2[material_name],표2[material_id])</f>
        <v/>
      </c>
      <c r="B361" s="11">
        <f>_xlfn.XLOOKUP(표14[[#This Row],[application_taxonomy]],표11[application_taxonomy],표11[app_id])</f>
        <v/>
      </c>
      <c r="C361" s="11">
        <f>_xlfn.XLOOKUP(표14[[#This Row],[end_use_industry]],표13[end_use_category],표13[end_use_id])</f>
        <v/>
      </c>
      <c r="D361" s="11">
        <f>_xlfn.XLOOKUP(표14[[#This Row],[importance]],표15[importance],표15[rating])</f>
        <v/>
      </c>
      <c r="E361" s="1" t="inlineStr">
        <is>
          <t>EPDM</t>
        </is>
      </c>
      <c r="F361" s="1" t="inlineStr">
        <is>
          <t>Polymer modification and blending (TPO/TPV, thermoplastic modification)</t>
        </is>
      </c>
      <c r="G361" s="11" t="inlineStr">
        <is>
          <t>Polymer modification &amp; additives</t>
        </is>
      </c>
      <c r="H361" s="1" t="inlineStr">
        <is>
          <t>Industrial Goods &amp; Advanced Manufacturing</t>
        </is>
      </c>
      <c r="I361" s="1" t="inlineStr">
        <is>
          <t>Primary</t>
        </is>
      </c>
      <c r="J361" s="1" t="inlineStr">
        <is>
          <t>TPO/TPV 및 polyolefin modification용 주요 elastomer modifier로 사용됨. PP 및 기타 thermoplastic의 충격강도·내후성 개선에 기여.</t>
        </is>
      </c>
      <c r="K361" s="1" t="inlineStr">
        <is>
          <t>Existing</t>
        </is>
      </c>
      <c r="L361" s="11" t="n"/>
    </row>
    <row r="362" ht="33" customHeight="1" s="179">
      <c r="A362" s="11">
        <f>_xlfn.XLOOKUP(표14[[#This Row],[material_name]],표2[material_name],표2[material_id])</f>
        <v/>
      </c>
      <c r="B362" s="11">
        <f>_xlfn.XLOOKUP(표14[[#This Row],[application_taxonomy]],표11[application_taxonomy],표11[app_id])</f>
        <v/>
      </c>
      <c r="C362" s="11">
        <f>_xlfn.XLOOKUP(표14[[#This Row],[end_use_industry]],표13[end_use_category],표13[end_use_id])</f>
        <v/>
      </c>
      <c r="D362" s="11">
        <f>_xlfn.XLOOKUP(표14[[#This Row],[importance]],표15[importance],표15[rating])</f>
        <v/>
      </c>
      <c r="E362" s="1" t="inlineStr">
        <is>
          <t>EPDM</t>
        </is>
      </c>
      <c r="F362" s="1" t="inlineStr">
        <is>
          <t>Single-ply roofing and waterproofing construction</t>
        </is>
      </c>
      <c r="G362" s="1" t="inlineStr">
        <is>
          <t>Sealants &amp; joint protection</t>
        </is>
      </c>
      <c r="H362" s="1" t="inlineStr">
        <is>
          <t>Construction &amp; Infrastructure</t>
        </is>
      </c>
      <c r="I362" s="1" t="inlineStr">
        <is>
          <t>Primary</t>
        </is>
      </c>
      <c r="J362" s="1" t="inlineStr">
        <is>
          <t>EPDM roofing membrane는 단일층 지붕 및 waterproofing의 대표 소재로 내후성·내오존성이 핵심 가치임.</t>
        </is>
      </c>
      <c r="K362" s="1" t="inlineStr">
        <is>
          <t>Existing</t>
        </is>
      </c>
      <c r="L362" s="11" t="n"/>
    </row>
    <row r="363" ht="33" customHeight="1" s="179">
      <c r="A363" s="11">
        <f>_xlfn.XLOOKUP(표14[[#This Row],[material_name]],표2[material_name],표2[material_id])</f>
        <v/>
      </c>
      <c r="B363" s="11">
        <f>_xlfn.XLOOKUP(표14[[#This Row],[application_taxonomy]],표11[application_taxonomy],표11[app_id])</f>
        <v/>
      </c>
      <c r="C363" s="11">
        <f>_xlfn.XLOOKUP(표14[[#This Row],[end_use_industry]],표13[end_use_category],표13[end_use_id])</f>
        <v/>
      </c>
      <c r="D363" s="11">
        <f>_xlfn.XLOOKUP(표14[[#This Row],[importance]],표15[importance],표15[rating])</f>
        <v/>
      </c>
      <c r="E363" s="1" t="inlineStr">
        <is>
          <t>EPDM</t>
        </is>
      </c>
      <c r="F363" s="1" t="inlineStr">
        <is>
          <t>Wire and cable insulation / sheathing</t>
        </is>
      </c>
      <c r="G363" s="1" t="inlineStr">
        <is>
          <t>Electrical insulation</t>
        </is>
      </c>
      <c r="H363" s="1" t="inlineStr">
        <is>
          <t>Electronics, Semiconductors &amp; Digital Infrastructure</t>
        </is>
      </c>
      <c r="I363" s="1" t="inlineStr">
        <is>
          <t>Secondary</t>
        </is>
      </c>
      <c r="J363" s="1" t="inlineStr">
        <is>
          <t>우수한 전기특성, ozone/corona resistance 및 장기 내구성으로 wire &amp; cable insulation 및 jacketing에 사용됨.</t>
        </is>
      </c>
      <c r="K363" s="1" t="inlineStr">
        <is>
          <t>Existing</t>
        </is>
      </c>
      <c r="L363" s="11" t="n"/>
    </row>
    <row r="364" ht="33" customHeight="1" s="179">
      <c r="A364" s="11">
        <f>_xlfn.XLOOKUP(표14[[#This Row],[material_name]],표2[material_name],표2[material_id])</f>
        <v/>
      </c>
      <c r="B364" s="11">
        <f>_xlfn.XLOOKUP(표14[[#This Row],[application_taxonomy]],표11[application_taxonomy],표11[app_id])</f>
        <v/>
      </c>
      <c r="C364" s="11">
        <f>_xlfn.XLOOKUP(표14[[#This Row],[end_use_industry]],표13[end_use_category],표13[end_use_id])</f>
        <v/>
      </c>
      <c r="D364" s="11">
        <f>_xlfn.XLOOKUP(표14[[#This Row],[importance]],표15[importance],표15[rating])</f>
        <v/>
      </c>
      <c r="E364" s="1" t="inlineStr">
        <is>
          <t>EPDM</t>
        </is>
      </c>
      <c r="F364" s="1" t="inlineStr">
        <is>
          <t>Oil additives (viscosity index improvers)</t>
        </is>
      </c>
      <c r="G364" s="1" t="inlineStr">
        <is>
          <t>Lubrication &amp; friction control</t>
        </is>
      </c>
      <c r="H364" s="1" t="inlineStr">
        <is>
          <t>Automotive &amp; Future Mobility</t>
        </is>
      </c>
      <c r="I364" s="1" t="inlineStr">
        <is>
          <t>Secondary</t>
        </is>
      </c>
      <c r="J364" s="1" t="inlineStr">
        <is>
          <t>윤활유 점도지수 향상(VI improver)용 OCP 계열로 엔진오일 및 윤활유 formulation에 사용됨.</t>
        </is>
      </c>
      <c r="K364" s="1" t="inlineStr">
        <is>
          <t>Existing</t>
        </is>
      </c>
      <c r="L364" s="11" t="n"/>
    </row>
    <row r="365" ht="33" customHeight="1" s="179">
      <c r="A365" s="11">
        <f>_xlfn.XLOOKUP(표14[[#This Row],[material_name]],표2[material_name],표2[material_id])</f>
        <v/>
      </c>
      <c r="B365" s="11">
        <f>_xlfn.XLOOKUP(표14[[#This Row],[application_taxonomy]],표11[application_taxonomy],표11[app_id])</f>
        <v/>
      </c>
      <c r="C365" s="11">
        <f>_xlfn.XLOOKUP(표14[[#This Row],[end_use_industry]],표13[end_use_category],표13[end_use_id])</f>
        <v/>
      </c>
      <c r="D365" s="11">
        <f>_xlfn.XLOOKUP(표14[[#This Row],[importance]],표15[importance],표15[rating])</f>
        <v/>
      </c>
      <c r="E365" s="1" t="inlineStr">
        <is>
          <t>EPDM</t>
        </is>
      </c>
      <c r="F365" s="1" t="inlineStr">
        <is>
          <t>Appliance gaskets and seals</t>
        </is>
      </c>
      <c r="G365" s="1" t="inlineStr">
        <is>
          <t>Elastomeric performance materials</t>
        </is>
      </c>
      <c r="H365" s="1" t="inlineStr">
        <is>
          <t>Consumer Products &amp; Packaging</t>
        </is>
      </c>
      <c r="I365" s="1" t="inlineStr">
        <is>
          <t>Secondary</t>
        </is>
      </c>
      <c r="J365" s="1" t="inlineStr">
        <is>
          <t>세탁기·식기세척기 등 가전 sealing 부품에 사용되며 내열·내수성이 요구되는 application임.</t>
        </is>
      </c>
      <c r="K365" s="1" t="inlineStr">
        <is>
          <t>Existing</t>
        </is>
      </c>
      <c r="L365" s="11" t="n"/>
    </row>
    <row r="366" ht="33" customHeight="1" s="179">
      <c r="A366" s="11">
        <f>_xlfn.XLOOKUP(표14[[#This Row],[material_name]],표2[material_name],표2[material_id])</f>
        <v/>
      </c>
      <c r="B366" s="11">
        <f>_xlfn.XLOOKUP(표14[[#This Row],[application_taxonomy]],표11[application_taxonomy],표11[app_id])</f>
        <v/>
      </c>
      <c r="C366" s="11">
        <f>_xlfn.XLOOKUP(표14[[#This Row],[end_use_industry]],표13[end_use_category],표13[end_use_id])</f>
        <v/>
      </c>
      <c r="D366" s="11">
        <f>_xlfn.XLOOKUP(표14[[#This Row],[importance]],표15[importance],표15[rating])</f>
        <v/>
      </c>
      <c r="E366" s="1" t="inlineStr">
        <is>
          <t>EPDM</t>
        </is>
      </c>
      <c r="F366" s="1" t="inlineStr">
        <is>
          <t>Water/steam hoses and industrial hoses</t>
        </is>
      </c>
      <c r="G366" s="1" t="inlineStr">
        <is>
          <t>Pipe &amp; fluid conveyance</t>
        </is>
      </c>
      <c r="H366" s="1" t="inlineStr">
        <is>
          <t>Industrial Goods &amp; Advanced Manufacturing</t>
        </is>
      </c>
      <c r="I366" s="1" t="inlineStr">
        <is>
          <t>Secondary</t>
        </is>
      </c>
      <c r="J366" s="1" t="inlineStr">
        <is>
          <t>물·증기·압축공기 hose에 사용되며 내열성과 내후성이 핵심 성능임. 자동차 hose는 automotive route에 포함됨.</t>
        </is>
      </c>
      <c r="K366" s="1" t="inlineStr">
        <is>
          <t>Existing</t>
        </is>
      </c>
      <c r="L366" s="11" t="n"/>
    </row>
    <row r="367" ht="33" customHeight="1" s="179">
      <c r="A367" s="11">
        <f>_xlfn.XLOOKUP(표14[[#This Row],[material_name]],표2[material_name],표2[material_id])</f>
        <v/>
      </c>
      <c r="B367" s="11">
        <f>_xlfn.XLOOKUP(표14[[#This Row],[application_taxonomy]],표11[application_taxonomy],표11[app_id])</f>
        <v/>
      </c>
      <c r="C367" s="11">
        <f>_xlfn.XLOOKUP(표14[[#This Row],[end_use_industry]],표13[end_use_category],표13[end_use_id])</f>
        <v/>
      </c>
      <c r="D367" s="11">
        <f>_xlfn.XLOOKUP(표14[[#This Row],[importance]],표15[importance],표15[rating])</f>
        <v/>
      </c>
      <c r="E367" s="1" t="inlineStr">
        <is>
          <t>EPDM</t>
        </is>
      </c>
      <c r="F367" s="1" t="inlineStr">
        <is>
          <t>Sports fields, artificial turf and playgrounds</t>
        </is>
      </c>
      <c r="G367" s="1" t="inlineStr">
        <is>
          <t>Cushioning &amp; comfort materials</t>
        </is>
      </c>
      <c r="H367" s="1" t="inlineStr">
        <is>
          <t>Consumer Products &amp; Packaging</t>
        </is>
      </c>
      <c r="I367" s="1" t="inlineStr">
        <is>
          <t>Niche / Emerging</t>
        </is>
      </c>
      <c r="J367" s="1" t="inlineStr">
        <is>
          <t>스포츠 트랙·인조잔디 충진 및 cushioning 용도로 사용되나 자동차·건설 대비 비중은 제한적임.</t>
        </is>
      </c>
      <c r="K367" s="1" t="inlineStr">
        <is>
          <t>Existing</t>
        </is>
      </c>
      <c r="L367" s="11" t="n"/>
    </row>
    <row r="368" ht="33" customHeight="1" s="179">
      <c r="A368" s="11">
        <f>_xlfn.XLOOKUP(표14[[#This Row],[material_name]],표2[material_name],표2[material_id])</f>
        <v/>
      </c>
      <c r="B368" s="11">
        <f>_xlfn.XLOOKUP(표14[[#This Row],[application_taxonomy]],표11[application_taxonomy],표11[app_id])</f>
        <v/>
      </c>
      <c r="C368" s="11">
        <f>_xlfn.XLOOKUP(표14[[#This Row],[end_use_industry]],표13[end_use_category],표13[end_use_id])</f>
        <v/>
      </c>
      <c r="D368" s="11">
        <f>_xlfn.XLOOKUP(표14[[#This Row],[importance]],표15[importance],표15[rating])</f>
        <v/>
      </c>
      <c r="E368" s="1" t="inlineStr">
        <is>
          <t>ECH</t>
        </is>
      </c>
      <c r="F368" s="1" t="inlineStr">
        <is>
          <t>Epoxy resins</t>
        </is>
      </c>
      <c r="G368" s="1" t="inlineStr">
        <is>
          <t>Major chemical intermediate</t>
        </is>
      </c>
      <c r="H368" s="1" t="inlineStr">
        <is>
          <t>Industrial Goods &amp; Advanced Manufacturing</t>
        </is>
      </c>
      <c r="I368" s="1" t="inlineStr">
        <is>
          <t>Primary</t>
        </is>
      </c>
      <c r="J368" s="1" t="inlineStr">
        <is>
          <t>ECH 글로벌 수요의 약 90%를 차지하는 압도적 주력 application</t>
        </is>
      </c>
      <c r="K368" s="1" t="inlineStr">
        <is>
          <t>Existing</t>
        </is>
      </c>
      <c r="L368" s="11" t="n"/>
    </row>
    <row r="369" ht="33" customHeight="1" s="179">
      <c r="A369" s="11">
        <f>_xlfn.XLOOKUP(표14[[#This Row],[material_name]],표2[material_name],표2[material_id])</f>
        <v/>
      </c>
      <c r="B369" s="11">
        <f>_xlfn.XLOOKUP(표14[[#This Row],[application_taxonomy]],표11[application_taxonomy],표11[app_id])</f>
        <v/>
      </c>
      <c r="C369" s="11">
        <f>_xlfn.XLOOKUP(표14[[#This Row],[end_use_industry]],표13[end_use_category],표13[end_use_id])</f>
        <v/>
      </c>
      <c r="D369" s="11">
        <f>_xlfn.XLOOKUP(표14[[#This Row],[importance]],표15[importance],표15[rating])</f>
        <v/>
      </c>
      <c r="E369" s="1" t="inlineStr">
        <is>
          <t>ECH</t>
        </is>
      </c>
      <c r="F369" s="1" t="inlineStr">
        <is>
          <t>Polyamide-epichlorohydrin resins</t>
        </is>
      </c>
      <c r="G369" s="1" t="inlineStr">
        <is>
          <t>Specialty chemical intermediate</t>
        </is>
      </c>
      <c r="H369" s="1" t="inlineStr">
        <is>
          <t>Industrial Goods &amp; Advanced Manufacturing</t>
        </is>
      </c>
      <c r="I369" s="1" t="inlineStr">
        <is>
          <t>Niche / Emerging</t>
        </is>
      </c>
      <c r="J369" s="1" t="inlineStr">
        <is>
          <t>PAE resin은 종이 wet-strength resin용으로 사용되는 주요 부가 경로</t>
        </is>
      </c>
      <c r="K369" s="1" t="inlineStr">
        <is>
          <t>Existing</t>
        </is>
      </c>
      <c r="L369" s="11" t="n"/>
    </row>
    <row r="370" ht="33" customHeight="1" s="179">
      <c r="A370" s="11">
        <f>_xlfn.XLOOKUP(표14[[#This Row],[material_name]],표2[material_name],표2[material_id])</f>
        <v/>
      </c>
      <c r="B370" s="11">
        <f>_xlfn.XLOOKUP(표14[[#This Row],[application_taxonomy]],표11[application_taxonomy],표11[app_id])</f>
        <v/>
      </c>
      <c r="C370" s="11">
        <f>_xlfn.XLOOKUP(표14[[#This Row],[end_use_industry]],표13[end_use_category],표13[end_use_id])</f>
        <v/>
      </c>
      <c r="D370" s="11">
        <f>_xlfn.XLOOKUP(표14[[#This Row],[importance]],표15[importance],표15[rating])</f>
        <v/>
      </c>
      <c r="E370" s="1" t="inlineStr">
        <is>
          <t>ECH</t>
        </is>
      </c>
      <c r="F370" s="1" t="inlineStr">
        <is>
          <t>Water treatment chemicals / polyamines</t>
        </is>
      </c>
      <c r="G370" s="1" t="inlineStr">
        <is>
          <t>Water treatment &amp; dispersants</t>
        </is>
      </c>
      <c r="H370" s="1" t="inlineStr">
        <is>
          <t>Industrial Goods &amp; Advanced Manufacturing</t>
        </is>
      </c>
      <c r="I370" s="1" t="inlineStr">
        <is>
          <t>Niche / Emerging</t>
        </is>
      </c>
      <c r="J370" s="1" t="inlineStr">
        <is>
          <t>dimethylamine과 반응해 수처리용 coagulant/flocculant polyamine 제조에 사용</t>
        </is>
      </c>
      <c r="K370" s="1" t="inlineStr">
        <is>
          <t>Existing</t>
        </is>
      </c>
      <c r="L370" s="11" t="n"/>
    </row>
    <row r="371" ht="33" customHeight="1" s="179">
      <c r="A371" s="11">
        <f>_xlfn.XLOOKUP(표14[[#This Row],[material_name]],표2[material_name],표2[material_id])</f>
        <v/>
      </c>
      <c r="B371" s="11">
        <f>_xlfn.XLOOKUP(표14[[#This Row],[application_taxonomy]],표11[application_taxonomy],표11[app_id])</f>
        <v/>
      </c>
      <c r="C371" s="11">
        <f>_xlfn.XLOOKUP(표14[[#This Row],[end_use_industry]],표13[end_use_category],표13[end_use_id])</f>
        <v/>
      </c>
      <c r="D371" s="11">
        <f>_xlfn.XLOOKUP(표14[[#This Row],[importance]],표15[importance],표15[rating])</f>
        <v/>
      </c>
      <c r="E371" s="1" t="inlineStr">
        <is>
          <t>ECH</t>
        </is>
      </c>
      <c r="F371" s="1" t="inlineStr">
        <is>
          <t>Epichlorohydrin elastomers</t>
        </is>
      </c>
      <c r="G371" s="1" t="inlineStr">
        <is>
          <t>Elastomeric performance materials</t>
        </is>
      </c>
      <c r="H371" s="1" t="inlineStr">
        <is>
          <t>Automotive &amp; Future Mobility</t>
        </is>
      </c>
      <c r="I371" s="1" t="inlineStr">
        <is>
          <t>Niche / Emerging</t>
        </is>
      </c>
      <c r="J371" s="1" t="inlineStr">
        <is>
          <t>자동차 fuel hose, gasket, seal 등 특수 elastomer 소재로 사용되나 규모는 제한적</t>
        </is>
      </c>
      <c r="K371" s="1" t="inlineStr">
        <is>
          <t>Existing</t>
        </is>
      </c>
      <c r="L371" s="11" t="n"/>
    </row>
    <row r="372" ht="33" customHeight="1" s="179">
      <c r="A372" s="11">
        <f>_xlfn.XLOOKUP(표14[[#This Row],[material_name]],표2[material_name],표2[material_id])</f>
        <v/>
      </c>
      <c r="B372" s="11">
        <f>_xlfn.XLOOKUP(표14[[#This Row],[application_taxonomy]],표11[application_taxonomy],표11[app_id])</f>
        <v/>
      </c>
      <c r="C372" s="11">
        <f>_xlfn.XLOOKUP(표14[[#This Row],[end_use_industry]],표13[end_use_category],표13[end_use_id])</f>
        <v/>
      </c>
      <c r="D372" s="11">
        <f>_xlfn.XLOOKUP(표14[[#This Row],[importance]],표15[importance],표15[rating])</f>
        <v/>
      </c>
      <c r="E372" s="1" t="inlineStr">
        <is>
          <t>ECH</t>
        </is>
      </c>
      <c r="F372" s="1" t="inlineStr">
        <is>
          <t>Synthetic glycerin</t>
        </is>
      </c>
      <c r="G372" s="1" t="inlineStr">
        <is>
          <t>Specialty chemical intermediate</t>
        </is>
      </c>
      <c r="H372" s="1" t="inlineStr">
        <is>
          <t>Industrial Goods &amp; Advanced Manufacturing</t>
        </is>
      </c>
      <c r="I372" s="1" t="inlineStr">
        <is>
          <t>Niche / Emerging</t>
        </is>
      </c>
      <c r="J372" s="1" t="inlineStr">
        <is>
          <t>천연 glycerin 공급 증가로 현재는 제한적·특수 고순도 시장 중심</t>
        </is>
      </c>
      <c r="K372" s="1" t="inlineStr">
        <is>
          <t>Existing</t>
        </is>
      </c>
      <c r="L372" s="11" t="n"/>
    </row>
    <row r="373" ht="33" customHeight="1" s="179">
      <c r="A373" s="11">
        <f>_xlfn.XLOOKUP(표14[[#This Row],[material_name]],표2[material_name],표2[material_id])</f>
        <v/>
      </c>
      <c r="B373" s="11">
        <f>_xlfn.XLOOKUP(표14[[#This Row],[application_taxonomy]],표11[application_taxonomy],표11[app_id])</f>
        <v/>
      </c>
      <c r="C373" s="11">
        <f>_xlfn.XLOOKUP(표14[[#This Row],[end_use_industry]],표13[end_use_category],표13[end_use_id])</f>
        <v/>
      </c>
      <c r="D373" s="11">
        <f>_xlfn.XLOOKUP(표14[[#This Row],[importance]],표15[importance],표15[rating])</f>
        <v/>
      </c>
      <c r="E373" s="1" t="inlineStr">
        <is>
          <t>ECH</t>
        </is>
      </c>
      <c r="F373" s="1" t="inlineStr">
        <is>
          <t>Glycidyl ethers / glycidyl methacrylate / glycidyl acrylate</t>
        </is>
      </c>
      <c r="G373" s="1" t="inlineStr">
        <is>
          <t>Reactive monomer / comonomer</t>
        </is>
      </c>
      <c r="H373" s="1" t="inlineStr">
        <is>
          <t>Industrial Goods &amp; Advanced Manufacturing</t>
        </is>
      </c>
      <c r="I373" s="1" t="inlineStr">
        <is>
          <t>Niche / Emerging</t>
        </is>
      </c>
      <c r="J373" s="1" t="inlineStr">
        <is>
          <t>reactive diluent, UV-curable coatings, adhesives, inks용 specialty monomer 경로</t>
        </is>
      </c>
      <c r="K373" s="1" t="inlineStr">
        <is>
          <t>Existing</t>
        </is>
      </c>
      <c r="L373" s="11" t="n"/>
    </row>
    <row r="374">
      <c r="A374" s="11">
        <f>_xlfn.XLOOKUP(표14[[#This Row],[material_name]],표2[material_name],표2[material_id])</f>
        <v/>
      </c>
      <c r="B374" s="11">
        <f>_xlfn.XLOOKUP(표14[[#This Row],[application_taxonomy]],표11[application_taxonomy],표11[app_id])</f>
        <v/>
      </c>
      <c r="C374" s="11">
        <f>_xlfn.XLOOKUP(표14[[#This Row],[end_use_industry]],표13[end_use_category],표13[end_use_id])</f>
        <v/>
      </c>
      <c r="D374" s="11">
        <f>_xlfn.XLOOKUP(표14[[#This Row],[importance]],표15[importance],표15[rating])</f>
        <v/>
      </c>
      <c r="E374" s="1" t="inlineStr">
        <is>
          <t>Adipic Acid</t>
        </is>
      </c>
      <c r="F374" s="23" t="inlineStr">
        <is>
          <t>Polyamide 66 production</t>
        </is>
      </c>
      <c r="G374" s="1" t="inlineStr">
        <is>
          <t>Reactive monomer / comonomer</t>
        </is>
      </c>
      <c r="H374" s="1" t="inlineStr">
        <is>
          <t>Automotive &amp; Future Mobility</t>
        </is>
      </c>
      <c r="I374" s="1" t="inlineStr">
        <is>
          <t>Primary</t>
        </is>
      </c>
      <c r="J374" s="1" t="inlineStr">
        <is>
          <t>2024년 adipic acid 수요의 42%, PA66 체인의 핵심 중간체</t>
        </is>
      </c>
      <c r="K374" s="1" t="inlineStr">
        <is>
          <t>Existing</t>
        </is>
      </c>
      <c r="L374" s="11" t="n"/>
    </row>
    <row r="375">
      <c r="A375" s="11">
        <f>_xlfn.XLOOKUP(표14[[#This Row],[material_name]],표2[material_name],표2[material_id])</f>
        <v/>
      </c>
      <c r="B375" s="11">
        <f>_xlfn.XLOOKUP(표14[[#This Row],[application_taxonomy]],표11[application_taxonomy],표11[app_id])</f>
        <v/>
      </c>
      <c r="C375" s="11">
        <f>_xlfn.XLOOKUP(표14[[#This Row],[end_use_industry]],표13[end_use_category],표13[end_use_id])</f>
        <v/>
      </c>
      <c r="D375" s="11">
        <f>_xlfn.XLOOKUP(표14[[#This Row],[importance]],표15[importance],표15[rating])</f>
        <v/>
      </c>
      <c r="E375" s="1" t="inlineStr">
        <is>
          <t>Adipic Acid</t>
        </is>
      </c>
      <c r="F375" s="1" t="inlineStr">
        <is>
          <t>Polyols for polyurethanes</t>
        </is>
      </c>
      <c r="G375" s="1" t="inlineStr">
        <is>
          <t>Specialty chemical intermediate</t>
        </is>
      </c>
      <c r="H375" s="1" t="inlineStr">
        <is>
          <t>Construction &amp; Infrastructure</t>
        </is>
      </c>
      <c r="I375" s="1" t="inlineStr">
        <is>
          <t>Secondary</t>
        </is>
      </c>
      <c r="J375" s="1" t="inlineStr">
        <is>
          <t>PU foam, coatings, adhesives로 연결되는 비-PA 용도</t>
        </is>
      </c>
      <c r="K375" s="1" t="inlineStr">
        <is>
          <t>Existing</t>
        </is>
      </c>
      <c r="L375" s="11" t="n"/>
    </row>
    <row r="376">
      <c r="A376" s="11">
        <f>_xlfn.XLOOKUP(표14[[#This Row],[material_name]],표2[material_name],표2[material_id])</f>
        <v/>
      </c>
      <c r="B376" s="11">
        <f>_xlfn.XLOOKUP(표14[[#This Row],[application_taxonomy]],표11[application_taxonomy],표11[app_id])</f>
        <v/>
      </c>
      <c r="C376" s="11">
        <f>_xlfn.XLOOKUP(표14[[#This Row],[end_use_industry]],표13[end_use_category],표13[end_use_id])</f>
        <v/>
      </c>
      <c r="D376" s="11">
        <f>_xlfn.XLOOKUP(표14[[#This Row],[importance]],표15[importance],표15[rating])</f>
        <v/>
      </c>
      <c r="E376" s="1" t="inlineStr">
        <is>
          <t>Adipic Acid</t>
        </is>
      </c>
      <c r="F376" s="1" t="inlineStr">
        <is>
          <t>Plasticizers for PVC</t>
        </is>
      </c>
      <c r="G376" t="inlineStr">
        <is>
          <t>Polymer modification &amp; additives</t>
        </is>
      </c>
      <c r="H376" s="1" t="inlineStr">
        <is>
          <t>Construction &amp; Infrastructure</t>
        </is>
      </c>
      <c r="I376" s="1" t="inlineStr">
        <is>
          <t>Secondary</t>
        </is>
      </c>
      <c r="J376" s="1" t="inlineStr">
        <is>
          <t>PVC plasticizer용 ester 원료</t>
        </is>
      </c>
      <c r="K376" s="1" t="inlineStr">
        <is>
          <t>Existing</t>
        </is>
      </c>
      <c r="L376" s="11" t="n"/>
    </row>
    <row r="377" ht="33" customHeight="1" s="179">
      <c r="A377" s="11">
        <f>_xlfn.XLOOKUP(표14[[#This Row],[material_name]],표2[material_name],표2[material_id])</f>
        <v/>
      </c>
      <c r="B377" s="11">
        <f>_xlfn.XLOOKUP(표14[[#This Row],[application_taxonomy]],표11[application_taxonomy],표11[app_id])</f>
        <v/>
      </c>
      <c r="C377" s="11">
        <f>_xlfn.XLOOKUP(표14[[#This Row],[end_use_industry]],표13[end_use_category],표13[end_use_id])</f>
        <v/>
      </c>
      <c r="D377" s="11">
        <f>_xlfn.XLOOKUP(표14[[#This Row],[importance]],표15[importance],표15[rating])</f>
        <v/>
      </c>
      <c r="E377" s="1" t="inlineStr">
        <is>
          <t>Adipic Acid</t>
        </is>
      </c>
      <c r="F377" s="1" t="inlineStr">
        <is>
          <t>Food additives</t>
        </is>
      </c>
      <c r="G377" s="1" t="inlineStr">
        <is>
          <t>Food additives &amp; preservation</t>
        </is>
      </c>
      <c r="H377" s="1" t="inlineStr">
        <is>
          <t>Consumer Products &amp; Packaging</t>
        </is>
      </c>
      <c r="I377" s="1" t="inlineStr">
        <is>
          <t>Niche / Emerging</t>
        </is>
      </c>
      <c r="J377" s="1" t="inlineStr">
        <is>
          <t>산미 및 gelatin set 조절용 소량 식품첨가 용도</t>
        </is>
      </c>
      <c r="K377" s="1" t="inlineStr">
        <is>
          <t>Existing</t>
        </is>
      </c>
      <c r="L377" s="11" t="n"/>
    </row>
    <row r="378" ht="33" customHeight="1" s="179">
      <c r="A378" s="11">
        <f>_xlfn.XLOOKUP(표14[[#This Row],[material_name]],표2[material_name],표2[material_id])</f>
        <v/>
      </c>
      <c r="B378" s="11">
        <f>_xlfn.XLOOKUP(표14[[#This Row],[application_taxonomy]],표11[application_taxonomy],표11[app_id])</f>
        <v/>
      </c>
      <c r="C378" s="11">
        <f>_xlfn.XLOOKUP(표14[[#This Row],[end_use_industry]],표13[end_use_category],표13[end_use_id])</f>
        <v/>
      </c>
      <c r="D378" s="11">
        <f>_xlfn.XLOOKUP(표14[[#This Row],[importance]],표15[importance],표15[rating])</f>
        <v/>
      </c>
      <c r="E378" s="1" t="inlineStr">
        <is>
          <t>Adipic Acid</t>
        </is>
      </c>
      <c r="F378" s="1" t="inlineStr">
        <is>
          <t>Unsaturated polyester resins / PAE resins</t>
        </is>
      </c>
      <c r="G378" s="1" t="inlineStr">
        <is>
          <t>Major chemical intermediate</t>
        </is>
      </c>
      <c r="H378" s="1" t="inlineStr">
        <is>
          <t>Industrial Goods &amp; Advanced Manufacturing</t>
        </is>
      </c>
      <c r="I378" s="1" t="inlineStr">
        <is>
          <t>Niche / Emerging</t>
        </is>
      </c>
      <c r="J378" s="1" t="inlineStr">
        <is>
          <t>기타 resin chain의 소량 중간체</t>
        </is>
      </c>
      <c r="K378" s="1" t="inlineStr">
        <is>
          <t>Existing</t>
        </is>
      </c>
      <c r="L378" s="11" t="n"/>
    </row>
    <row r="379" ht="33" customHeight="1" s="179">
      <c r="A379" s="11">
        <f>_xlfn.XLOOKUP(표14[[#This Row],[material_name]],표2[material_name],표2[material_id])</f>
        <v/>
      </c>
      <c r="B379" s="11">
        <f>_xlfn.XLOOKUP(표14[[#This Row],[application_taxonomy]],표11[application_taxonomy],표11[app_id])</f>
        <v/>
      </c>
      <c r="C379" s="11">
        <f>_xlfn.XLOOKUP(표14[[#This Row],[end_use_industry]],표13[end_use_category],표13[end_use_id])</f>
        <v/>
      </c>
      <c r="D379" s="11">
        <f>_xlfn.XLOOKUP(표14[[#This Row],[importance]],표15[importance],표15[rating])</f>
        <v/>
      </c>
      <c r="E379" s="1" t="inlineStr">
        <is>
          <t>Adipic Acid</t>
        </is>
      </c>
      <c r="F379" s="1" t="inlineStr">
        <is>
          <t>Pharmaceuticals, cosmetics, detergent tablets</t>
        </is>
      </c>
      <c r="G379" s="1" t="inlineStr">
        <is>
          <t>Medical &amp; healthcare materials</t>
        </is>
      </c>
      <c r="H379" s="1" t="inlineStr">
        <is>
          <t>Healthcare &amp; Life Sciences</t>
        </is>
      </c>
      <c r="I379" s="1" t="inlineStr">
        <is>
          <t>Niche / Emerging</t>
        </is>
      </c>
      <c r="J379" s="1" t="inlineStr">
        <is>
          <t>다양한 specialty downstream이나 규모는 제한적</t>
        </is>
      </c>
      <c r="K379" s="1" t="inlineStr">
        <is>
          <t>Existing</t>
        </is>
      </c>
      <c r="L379" s="11" t="n"/>
    </row>
    <row r="380" ht="33" customHeight="1" s="179">
      <c r="A380" s="11">
        <f>_xlfn.XLOOKUP(표14[[#This Row],[material_name]],표2[material_name],표2[material_id])</f>
        <v/>
      </c>
      <c r="B380" s="11">
        <f>_xlfn.XLOOKUP(표14[[#This Row],[application_taxonomy]],표11[application_taxonomy],표11[app_id])</f>
        <v/>
      </c>
      <c r="C380" s="11">
        <f>_xlfn.XLOOKUP(표14[[#This Row],[end_use_industry]],표13[end_use_category],표13[end_use_id])</f>
        <v/>
      </c>
      <c r="D380" s="11">
        <f>_xlfn.XLOOKUP(표14[[#This Row],[importance]],표15[importance],표15[rating])</f>
        <v/>
      </c>
      <c r="E380" s="1" t="inlineStr">
        <is>
          <t>n-Butane</t>
        </is>
      </c>
      <c r="F380" s="1" t="inlineStr">
        <is>
          <t>Steam cracking feedstock (ethylene, propylene production)</t>
        </is>
      </c>
      <c r="G380" s="1" t="inlineStr">
        <is>
          <t>Major chemical intermediate</t>
        </is>
      </c>
      <c r="H380" s="1" t="inlineStr">
        <is>
          <t>Industrial Goods &amp; Advanced Manufacturing</t>
        </is>
      </c>
      <c r="I380" s="1" t="inlineStr">
        <is>
          <t>Primary</t>
        </is>
      </c>
      <c r="J380" s="1" t="inlineStr">
        <is>
          <t>n-Butane의 가장 중요한 석유화학 용도로 에틸렌·프로필렌 생산의 원료로 사용됨.</t>
        </is>
      </c>
      <c r="K380" s="1" t="inlineStr">
        <is>
          <t>Existing</t>
        </is>
      </c>
      <c r="L380" s="11" t="inlineStr">
        <is>
          <t>GPT</t>
        </is>
      </c>
    </row>
    <row r="381" ht="33" customHeight="1" s="179">
      <c r="A381" s="11">
        <f>_xlfn.XLOOKUP(표14[[#This Row],[material_name]],표2[material_name],표2[material_id])</f>
        <v/>
      </c>
      <c r="B381" s="11">
        <f>_xlfn.XLOOKUP(표14[[#This Row],[application_taxonomy]],표11[application_taxonomy],표11[app_id])</f>
        <v/>
      </c>
      <c r="C381" s="11">
        <f>_xlfn.XLOOKUP(표14[[#This Row],[end_use_industry]],표13[end_use_category],표13[end_use_id])</f>
        <v/>
      </c>
      <c r="D381" s="11">
        <f>_xlfn.XLOOKUP(표14[[#This Row],[importance]],표15[importance],표15[rating])</f>
        <v/>
      </c>
      <c r="E381" s="1" t="inlineStr">
        <is>
          <t>n-Butane</t>
        </is>
      </c>
      <c r="F381" s="1" t="inlineStr">
        <is>
          <t>Butadiene production</t>
        </is>
      </c>
      <c r="G381" s="1" t="inlineStr">
        <is>
          <t>Major chemical intermediate</t>
        </is>
      </c>
      <c r="H381" s="1" t="inlineStr">
        <is>
          <t>Industrial Goods &amp; Advanced Manufacturing</t>
        </is>
      </c>
      <c r="I381" s="1" t="inlineStr">
        <is>
          <t>Primary</t>
        </is>
      </c>
      <c r="J381" s="1" t="inlineStr">
        <is>
          <t>탈수소 공정 또는 크래킹 부산물을 통해 부타디엔 생산 원료로 활용됨.</t>
        </is>
      </c>
      <c r="K381" s="1" t="inlineStr">
        <is>
          <t>Existing</t>
        </is>
      </c>
      <c r="L381" s="11" t="inlineStr">
        <is>
          <t>GPT</t>
        </is>
      </c>
    </row>
    <row r="382" ht="33" customHeight="1" s="179">
      <c r="A382" s="11">
        <f>_xlfn.XLOOKUP(표14[[#This Row],[material_name]],표2[material_name],표2[material_id])</f>
        <v/>
      </c>
      <c r="B382" s="11">
        <f>_xlfn.XLOOKUP(표14[[#This Row],[application_taxonomy]],표11[application_taxonomy],표11[app_id])</f>
        <v/>
      </c>
      <c r="C382" s="11">
        <f>_xlfn.XLOOKUP(표14[[#This Row],[end_use_industry]],표13[end_use_category],표13[end_use_id])</f>
        <v/>
      </c>
      <c r="D382" s="11">
        <f>_xlfn.XLOOKUP(표14[[#This Row],[importance]],표15[importance],표15[rating])</f>
        <v/>
      </c>
      <c r="E382" s="1" t="inlineStr">
        <is>
          <t>n-Butane</t>
        </is>
      </c>
      <c r="F382" s="1" t="inlineStr">
        <is>
          <t>Maleic anhydride production</t>
        </is>
      </c>
      <c r="G382" s="1" t="inlineStr">
        <is>
          <t>Major chemical intermediate</t>
        </is>
      </c>
      <c r="H382" s="1" t="inlineStr">
        <is>
          <t>Industrial Goods &amp; Advanced Manufacturing</t>
        </is>
      </c>
      <c r="I382" s="1" t="inlineStr">
        <is>
          <t>Secondary</t>
        </is>
      </c>
      <c r="J382" s="1" t="inlineStr">
        <is>
          <t>n-Butane 산화 공정의 대표적인 화학 중간체 생산 용도임.</t>
        </is>
      </c>
      <c r="K382" s="1" t="inlineStr">
        <is>
          <t>Existing</t>
        </is>
      </c>
      <c r="L382" s="11" t="inlineStr">
        <is>
          <t>GPT</t>
        </is>
      </c>
    </row>
    <row r="383">
      <c r="A383" s="11">
        <f>_xlfn.XLOOKUP(표14[[#This Row],[material_name]],표2[material_name],표2[material_id])</f>
        <v/>
      </c>
      <c r="B383" s="11">
        <f>_xlfn.XLOOKUP(표14[[#This Row],[application_taxonomy]],표11[application_taxonomy],표11[app_id])</f>
        <v/>
      </c>
      <c r="C383" s="11">
        <f>_xlfn.XLOOKUP(표14[[#This Row],[end_use_industry]],표13[end_use_category],표13[end_use_id])</f>
        <v/>
      </c>
      <c r="D383" s="11">
        <f>_xlfn.XLOOKUP(표14[[#This Row],[importance]],표15[importance],표15[rating])</f>
        <v/>
      </c>
      <c r="E383" s="1" t="inlineStr">
        <is>
          <t>n-Butane</t>
        </is>
      </c>
      <c r="F383" s="1" t="inlineStr">
        <is>
          <t>LPG fuel</t>
        </is>
      </c>
      <c r="G383" s="1" t="inlineStr">
        <is>
          <t>Fuel / fuel additive</t>
        </is>
      </c>
      <c r="H383" s="1" t="inlineStr">
        <is>
          <t>Energy, Power &amp; Utilities</t>
        </is>
      </c>
      <c r="I383" s="1" t="inlineStr">
        <is>
          <t>Secondary</t>
        </is>
      </c>
      <c r="J383" s="1" t="inlineStr">
        <is>
          <t>LPG의 주요 성분으로 난방, 취사 및 산업용 연료로 사용됨.</t>
        </is>
      </c>
      <c r="K383" s="1" t="inlineStr">
        <is>
          <t>Existing</t>
        </is>
      </c>
      <c r="L383" s="11" t="inlineStr">
        <is>
          <t>GPT</t>
        </is>
      </c>
    </row>
    <row r="384">
      <c r="A384" s="11">
        <f>_xlfn.XLOOKUP(표14[[#This Row],[material_name]],표2[material_name],표2[material_id])</f>
        <v/>
      </c>
      <c r="B384" s="11">
        <f>_xlfn.XLOOKUP(표14[[#This Row],[application_taxonomy]],표11[application_taxonomy],표11[app_id])</f>
        <v/>
      </c>
      <c r="C384" s="11">
        <f>_xlfn.XLOOKUP(표14[[#This Row],[end_use_industry]],표13[end_use_category],표13[end_use_id])</f>
        <v/>
      </c>
      <c r="D384" s="11">
        <f>_xlfn.XLOOKUP(표14[[#This Row],[importance]],표15[importance],표15[rating])</f>
        <v/>
      </c>
      <c r="E384" s="1" t="inlineStr">
        <is>
          <t>n-Butane</t>
        </is>
      </c>
      <c r="F384" s="1" t="inlineStr">
        <is>
          <t>Gasoline blending</t>
        </is>
      </c>
      <c r="G384" s="1" t="inlineStr">
        <is>
          <t>Fuel / fuel additive</t>
        </is>
      </c>
      <c r="H384" s="1" t="inlineStr">
        <is>
          <t>Energy, Power &amp; Utilities</t>
        </is>
      </c>
      <c r="I384" s="1" t="inlineStr">
        <is>
          <t>Secondary</t>
        </is>
      </c>
      <c r="J384" s="1" t="inlineStr">
        <is>
          <t>휘발유 증기압 조절 및 블렌딩 성분으로 활용됨.</t>
        </is>
      </c>
      <c r="K384" s="1" t="inlineStr">
        <is>
          <t>Existing</t>
        </is>
      </c>
      <c r="L384" s="11" t="inlineStr">
        <is>
          <t>GPT</t>
        </is>
      </c>
    </row>
    <row r="385" ht="33" customHeight="1" s="179">
      <c r="A385" s="11">
        <f>_xlfn.XLOOKUP(표14[[#This Row],[material_name]],표2[material_name],표2[material_id])</f>
        <v/>
      </c>
      <c r="B385" s="11">
        <f>_xlfn.XLOOKUP(표14[[#This Row],[application_taxonomy]],표11[application_taxonomy],표11[app_id])</f>
        <v/>
      </c>
      <c r="C385" s="11">
        <f>_xlfn.XLOOKUP(표14[[#This Row],[end_use_industry]],표13[end_use_category],표13[end_use_id])</f>
        <v/>
      </c>
      <c r="D385" s="11">
        <f>_xlfn.XLOOKUP(표14[[#This Row],[importance]],표15[importance],표15[rating])</f>
        <v/>
      </c>
      <c r="E385" s="1" t="inlineStr">
        <is>
          <t>n-Butane</t>
        </is>
      </c>
      <c r="F385" s="1" t="inlineStr">
        <is>
          <t>Aerosol propellant</t>
        </is>
      </c>
      <c r="G385" s="1" t="inlineStr">
        <is>
          <t>Fuel / fuel additive</t>
        </is>
      </c>
      <c r="H385" s="1" t="inlineStr">
        <is>
          <t>Consumer Products &amp; Packaging</t>
        </is>
      </c>
      <c r="I385" s="1" t="inlineStr">
        <is>
          <t>Niche / Emerging</t>
        </is>
      </c>
      <c r="J385" s="1" t="inlineStr">
        <is>
          <t>에어로졸 제품의 분사 추진제로 사용되나 전체 n-Butane 수요에서는 제한적임.</t>
        </is>
      </c>
      <c r="K385" s="1" t="inlineStr">
        <is>
          <t>Existing</t>
        </is>
      </c>
      <c r="L385" s="11" t="inlineStr">
        <is>
          <t>GPT</t>
        </is>
      </c>
    </row>
    <row r="386" ht="33" customHeight="1" s="179">
      <c r="A386" s="11">
        <f>_xlfn.XLOOKUP(표14[[#This Row],[material_name]],표2[material_name],표2[material_id])</f>
        <v/>
      </c>
      <c r="B386" s="11">
        <f>_xlfn.XLOOKUP(표14[[#This Row],[application_taxonomy]],표11[application_taxonomy],표11[app_id])</f>
        <v/>
      </c>
      <c r="C386" s="11">
        <f>_xlfn.XLOOKUP(표14[[#This Row],[end_use_industry]],표13[end_use_category],표13[end_use_id])</f>
        <v/>
      </c>
      <c r="D386" s="11">
        <f>_xlfn.XLOOKUP(표14[[#This Row],[importance]],표15[importance],표15[rating])</f>
        <v/>
      </c>
      <c r="E386" s="1" t="inlineStr">
        <is>
          <t>n-Butane</t>
        </is>
      </c>
      <c r="F386" s="1" t="inlineStr">
        <is>
          <t>Refrigerant feedstock (isobutane, refrigerant blends)</t>
        </is>
      </c>
      <c r="G386" s="1" t="inlineStr">
        <is>
          <t>Major chemical intermediate</t>
        </is>
      </c>
      <c r="H386" s="1" t="inlineStr">
        <is>
          <t>Industrial Goods &amp; Advanced Manufacturing</t>
        </is>
      </c>
      <c r="I386" s="1" t="inlineStr">
        <is>
          <t>Niche / Emerging</t>
        </is>
      </c>
      <c r="J386" s="1" t="inlineStr">
        <is>
          <t>냉매 및 관련 화학제품 생산의 원료로 일부 사용됨.</t>
        </is>
      </c>
      <c r="K386" s="1" t="inlineStr">
        <is>
          <t>Existing</t>
        </is>
      </c>
      <c r="L386" s="11" t="inlineStr">
        <is>
          <t>GPT</t>
        </is>
      </c>
    </row>
    <row r="387" ht="33" customHeight="1" s="179">
      <c r="A387" s="11">
        <f>_xlfn.XLOOKUP(표14[[#This Row],[material_name]],표2[material_name],표2[material_id])</f>
        <v/>
      </c>
      <c r="B387" s="11">
        <f>_xlfn.XLOOKUP(표14[[#This Row],[application_taxonomy]],표11[application_taxonomy],표11[app_id])</f>
        <v/>
      </c>
      <c r="C387" s="11">
        <f>_xlfn.XLOOKUP(표14[[#This Row],[end_use_industry]],표13[end_use_category],표13[end_use_id])</f>
        <v/>
      </c>
      <c r="D387" s="11">
        <f>_xlfn.XLOOKUP(표14[[#This Row],[importance]],표15[importance],표15[rating])</f>
        <v/>
      </c>
      <c r="E387" s="1" t="inlineStr">
        <is>
          <t>Isoprene</t>
        </is>
      </c>
      <c r="F387" s="1" t="inlineStr">
        <is>
          <t>Polyisoprene rubber</t>
        </is>
      </c>
      <c r="G387" s="1" t="inlineStr">
        <is>
          <t>Major chemical intermediate</t>
        </is>
      </c>
      <c r="H387" s="1" t="inlineStr">
        <is>
          <t>Automotive &amp; Future Mobility</t>
        </is>
      </c>
      <c r="I387" s="1" t="inlineStr">
        <is>
          <t>Primary</t>
        </is>
      </c>
      <c r="J387" s="1" t="inlineStr">
        <is>
          <t>2023년 isoprene 소비의 56%로 최대 용도이며, 타이어·고무제품과 직접 연결됨.</t>
        </is>
      </c>
      <c r="K387" s="1" t="inlineStr">
        <is>
          <t>Existing</t>
        </is>
      </c>
      <c r="L387" s="11" t="n"/>
    </row>
    <row r="388" ht="33" customHeight="1" s="179">
      <c r="A388" s="11">
        <f>_xlfn.XLOOKUP(표14[[#This Row],[material_name]],표2[material_name],표2[material_id])</f>
        <v/>
      </c>
      <c r="B388" s="11">
        <f>_xlfn.XLOOKUP(표14[[#This Row],[application_taxonomy]],표11[application_taxonomy],표11[app_id])</f>
        <v/>
      </c>
      <c r="C388" s="11">
        <f>_xlfn.XLOOKUP(표14[[#This Row],[end_use_industry]],표13[end_use_category],표13[end_use_id])</f>
        <v/>
      </c>
      <c r="D388" s="11">
        <f>_xlfn.XLOOKUP(표14[[#This Row],[importance]],표15[importance],표15[rating])</f>
        <v/>
      </c>
      <c r="E388" s="1" t="inlineStr">
        <is>
          <t>Isoprene</t>
        </is>
      </c>
      <c r="F388" s="1" t="inlineStr">
        <is>
          <t>Styrene-isoprene-styrene block copolymers / SIS</t>
        </is>
      </c>
      <c r="G388" s="1" t="inlineStr">
        <is>
          <t>Major chemical intermediate</t>
        </is>
      </c>
      <c r="H388" s="1" t="inlineStr">
        <is>
          <t>Consumer Products &amp; Packaging</t>
        </is>
      </c>
      <c r="I388" s="1" t="inlineStr">
        <is>
          <t>Primary</t>
        </is>
      </c>
      <c r="J388" s="1" t="inlineStr">
        <is>
          <t>2023년 소비의 30%로 두 번째 핵심 용도이며, hygiene adhesive, tape, label adhesive 등에 사용됨.</t>
        </is>
      </c>
      <c r="K388" s="1" t="inlineStr">
        <is>
          <t>Existing</t>
        </is>
      </c>
      <c r="L388" s="11" t="n"/>
    </row>
    <row r="389" ht="33" customHeight="1" s="179">
      <c r="A389" s="11">
        <f>_xlfn.XLOOKUP(표14[[#This Row],[material_name]],표2[material_name],표2[material_id])</f>
        <v/>
      </c>
      <c r="B389" s="11">
        <f>_xlfn.XLOOKUP(표14[[#This Row],[application_taxonomy]],표11[application_taxonomy],표11[app_id])</f>
        <v/>
      </c>
      <c r="C389" s="11">
        <f>_xlfn.XLOOKUP(표14[[#This Row],[end_use_industry]],표13[end_use_category],표13[end_use_id])</f>
        <v/>
      </c>
      <c r="D389" s="11">
        <f>_xlfn.XLOOKUP(표14[[#This Row],[importance]],표15[importance],표15[rating])</f>
        <v/>
      </c>
      <c r="E389" s="1" t="inlineStr">
        <is>
          <t>Isoprene</t>
        </is>
      </c>
      <c r="F389" s="1" t="inlineStr">
        <is>
          <t>Butyl elastomers / butyl rubber</t>
        </is>
      </c>
      <c r="G389" s="1" t="inlineStr">
        <is>
          <t>Major chemical intermediate</t>
        </is>
      </c>
      <c r="H389" s="1" t="inlineStr">
        <is>
          <t>Automotive &amp; Future Mobility</t>
        </is>
      </c>
      <c r="I389" s="1" t="inlineStr">
        <is>
          <t>Secondary</t>
        </is>
      </c>
      <c r="J389" s="1" t="inlineStr">
        <is>
          <t>butyl rubber 생산용 comonomer로 사용되며 2023년 글로벌 소비의 약 5% 수준.</t>
        </is>
      </c>
      <c r="K389" s="1" t="inlineStr">
        <is>
          <t>Existing</t>
        </is>
      </c>
      <c r="L389" s="11" t="n"/>
    </row>
    <row r="390" ht="33" customHeight="1" s="179">
      <c r="A390" s="11">
        <f>_xlfn.XLOOKUP(표14[[#This Row],[material_name]],표2[material_name],표2[material_id])</f>
        <v/>
      </c>
      <c r="B390" s="11">
        <f>_xlfn.XLOOKUP(표14[[#This Row],[application_taxonomy]],표11[application_taxonomy],표11[app_id])</f>
        <v/>
      </c>
      <c r="C390" s="11">
        <f>_xlfn.XLOOKUP(표14[[#This Row],[end_use_industry]],표13[end_use_category],표13[end_use_id])</f>
        <v/>
      </c>
      <c r="D390" s="11">
        <f>_xlfn.XLOOKUP(표14[[#This Row],[importance]],표15[importance],표15[rating])</f>
        <v/>
      </c>
      <c r="E390" s="1" t="inlineStr">
        <is>
          <t>Isoprene</t>
        </is>
      </c>
      <c r="F390" s="1" t="inlineStr">
        <is>
          <t>Viscosity index improvers</t>
        </is>
      </c>
      <c r="G390" s="1" t="inlineStr">
        <is>
          <t>Lubrication &amp; friction control</t>
        </is>
      </c>
      <c r="H390" s="1" t="inlineStr">
        <is>
          <t>Automotive &amp; Future Mobility</t>
        </is>
      </c>
      <c r="I390" s="1" t="inlineStr">
        <is>
          <t>Niche / Emerging</t>
        </is>
      </c>
      <c r="J390" s="1" t="inlineStr">
        <is>
          <t>윤활유 VI improver 원료로 사용되나 주요 elastomer route 대비 소량.</t>
        </is>
      </c>
      <c r="K390" s="1" t="inlineStr">
        <is>
          <t>Existing</t>
        </is>
      </c>
      <c r="L390" s="11" t="n"/>
    </row>
    <row r="391" ht="49.5" customHeight="1" s="179">
      <c r="A391" s="11">
        <f>_xlfn.XLOOKUP(표14[[#This Row],[material_name]],표2[material_name],표2[material_id])</f>
        <v/>
      </c>
      <c r="B391" s="11">
        <f>_xlfn.XLOOKUP(표14[[#This Row],[application_taxonomy]],표11[application_taxonomy],표11[app_id])</f>
        <v/>
      </c>
      <c r="C391" s="11">
        <f>_xlfn.XLOOKUP(표14[[#This Row],[end_use_industry]],표13[end_use_category],표13[end_use_id])</f>
        <v/>
      </c>
      <c r="D391" s="11">
        <f>_xlfn.XLOOKUP(표14[[#This Row],[importance]],표15[importance],표15[rating])</f>
        <v/>
      </c>
      <c r="E391" s="1" t="inlineStr">
        <is>
          <t>Isoprene</t>
        </is>
      </c>
      <c r="F391" s="1" t="inlineStr">
        <is>
          <t>Flavors and fragrances / vitamins / medicinal chemicals / agrochemicals</t>
        </is>
      </c>
      <c r="G391" s="1" t="inlineStr">
        <is>
          <t>Specialty chemical intermediate</t>
        </is>
      </c>
      <c r="H391" s="1" t="inlineStr">
        <is>
          <t>Healthcare &amp; Life Sciences</t>
        </is>
      </c>
      <c r="I391" s="1" t="inlineStr">
        <is>
          <t>Niche / Emerging</t>
        </is>
      </c>
      <c r="J391" s="1" t="inlineStr">
        <is>
          <t>geraniol, vitamin A/E, medicinal chemicals 등 specialty intermediate 용도이나 규모는 제한적.</t>
        </is>
      </c>
      <c r="K391" s="1" t="inlineStr">
        <is>
          <t>Existing</t>
        </is>
      </c>
      <c r="L391" s="11" t="n"/>
    </row>
    <row r="392" ht="33" customHeight="1" s="179">
      <c r="A392" s="11">
        <f>_xlfn.XLOOKUP(표14[[#This Row],[material_name]],표2[material_name],표2[material_id])</f>
        <v/>
      </c>
      <c r="B392" s="11">
        <f>_xlfn.XLOOKUP(표14[[#This Row],[application_taxonomy]],표11[application_taxonomy],표11[app_id])</f>
        <v/>
      </c>
      <c r="C392" s="11">
        <f>_xlfn.XLOOKUP(표14[[#This Row],[end_use_industry]],표13[end_use_category],표13[end_use_id])</f>
        <v/>
      </c>
      <c r="D392" s="11">
        <f>_xlfn.XLOOKUP(표14[[#This Row],[importance]],표15[importance],표15[rating])</f>
        <v/>
      </c>
      <c r="E392" s="1" t="inlineStr">
        <is>
          <t>Isoprene</t>
        </is>
      </c>
      <c r="F392" s="1" t="inlineStr">
        <is>
          <t>Epoxy hardeners</t>
        </is>
      </c>
      <c r="G392" s="1" t="inlineStr">
        <is>
          <t>Specialty chemical intermediate</t>
        </is>
      </c>
      <c r="H392" s="1" t="inlineStr">
        <is>
          <t>Industrial Goods &amp; Advanced Manufacturing</t>
        </is>
      </c>
      <c r="I392" s="1" t="inlineStr">
        <is>
          <t>Niche / Emerging</t>
        </is>
      </c>
      <c r="J392" s="1" t="inlineStr">
        <is>
          <t>epoxy hardener 원료로 언급되지만 기타 소량 application에 해당.</t>
        </is>
      </c>
      <c r="K392" s="1" t="inlineStr">
        <is>
          <t>Existing</t>
        </is>
      </c>
      <c r="L392" s="11" t="n"/>
    </row>
    <row r="393" ht="33" customHeight="1" s="179">
      <c r="A393" s="11">
        <f>_xlfn.XLOOKUP(표14[[#This Row],[material_name]],표2[material_name],표2[material_id])</f>
        <v/>
      </c>
      <c r="B393" s="11">
        <f>_xlfn.XLOOKUP(표14[[#This Row],[application_taxonomy]],표11[application_taxonomy],표11[app_id])</f>
        <v/>
      </c>
      <c r="C393" s="11">
        <f>_xlfn.XLOOKUP(표14[[#This Row],[end_use_industry]],표13[end_use_category],표13[end_use_id])</f>
        <v/>
      </c>
      <c r="D393" s="11">
        <f>_xlfn.XLOOKUP(표14[[#This Row],[importance]],표15[importance],표15[rating])</f>
        <v/>
      </c>
      <c r="E393" s="1" t="inlineStr">
        <is>
          <t>Piperylene</t>
        </is>
      </c>
      <c r="F393" s="1" t="inlineStr">
        <is>
          <t>Petroleum resin feedstock</t>
        </is>
      </c>
      <c r="G393" s="1" t="inlineStr">
        <is>
          <t>Reactive monomer / comonomer</t>
        </is>
      </c>
      <c r="H393" s="1" t="inlineStr">
        <is>
          <t>Industrial Goods &amp; Advanced Manufacturing</t>
        </is>
      </c>
      <c r="I393" s="1" t="inlineStr">
        <is>
          <t>Primary</t>
        </is>
      </c>
      <c r="J393" s="1" t="inlineStr">
        <is>
          <t>C5 petroleum resin 제조의 핵심 반응성 원료로 가장 대표적인 수요처</t>
        </is>
      </c>
      <c r="K393" s="1" t="inlineStr">
        <is>
          <t>Existing</t>
        </is>
      </c>
      <c r="L393" s="11" t="inlineStr">
        <is>
          <t>GPT</t>
        </is>
      </c>
    </row>
    <row r="394" ht="33" customHeight="1" s="179">
      <c r="A394" s="11">
        <f>_xlfn.XLOOKUP(표14[[#This Row],[material_name]],표2[material_name],표2[material_id])</f>
        <v/>
      </c>
      <c r="B394" s="11">
        <f>_xlfn.XLOOKUP(표14[[#This Row],[application_taxonomy]],표11[application_taxonomy],표11[app_id])</f>
        <v/>
      </c>
      <c r="C394" s="11">
        <f>_xlfn.XLOOKUP(표14[[#This Row],[end_use_industry]],표13[end_use_category],표13[end_use_id])</f>
        <v/>
      </c>
      <c r="D394" s="11">
        <f>_xlfn.XLOOKUP(표14[[#This Row],[importance]],표15[importance],표15[rating])</f>
        <v/>
      </c>
      <c r="E394" s="1" t="inlineStr">
        <is>
          <t>Piperylene</t>
        </is>
      </c>
      <c r="F394" s="1" t="inlineStr">
        <is>
          <t>Hot-melt adhesive resin</t>
        </is>
      </c>
      <c r="G394" s="1" t="inlineStr">
        <is>
          <t>Adhesive bonding</t>
        </is>
      </c>
      <c r="H394" s="1" t="inlineStr">
        <is>
          <t>Industrial Goods &amp; Advanced Manufacturing</t>
        </is>
      </c>
      <c r="I394" s="1" t="inlineStr">
        <is>
          <t>Primary</t>
        </is>
      </c>
      <c r="J394" s="1" t="inlineStr">
        <is>
          <t>Piperylene 기반 hydrocarbon resin이 핫멜트 접착제의 점착성 부여에 광범위하게 사용</t>
        </is>
      </c>
      <c r="K394" s="1" t="inlineStr">
        <is>
          <t>Existing</t>
        </is>
      </c>
      <c r="L394" s="11" t="inlineStr">
        <is>
          <t>GPT</t>
        </is>
      </c>
    </row>
    <row r="395" ht="33" customHeight="1" s="179">
      <c r="A395" s="11">
        <f>_xlfn.XLOOKUP(표14[[#This Row],[material_name]],표2[material_name],표2[material_id])</f>
        <v/>
      </c>
      <c r="B395" s="11">
        <f>_xlfn.XLOOKUP(표14[[#This Row],[application_taxonomy]],표11[application_taxonomy],표11[app_id])</f>
        <v/>
      </c>
      <c r="C395" s="11">
        <f>_xlfn.XLOOKUP(표14[[#This Row],[end_use_industry]],표13[end_use_category],표13[end_use_id])</f>
        <v/>
      </c>
      <c r="D395" s="11">
        <f>_xlfn.XLOOKUP(표14[[#This Row],[importance]],표15[importance],표15[rating])</f>
        <v/>
      </c>
      <c r="E395" s="1" t="inlineStr">
        <is>
          <t>Piperylene</t>
        </is>
      </c>
      <c r="F395" s="1" t="inlineStr">
        <is>
          <t>Pressure-sensitive adhesive (PSA) resin</t>
        </is>
      </c>
      <c r="G395" s="1" t="inlineStr">
        <is>
          <t>Adhesive bonding</t>
        </is>
      </c>
      <c r="H395" s="1" t="inlineStr">
        <is>
          <t>Consumer Products &amp; Packaging</t>
        </is>
      </c>
      <c r="I395" s="1" t="inlineStr">
        <is>
          <t>Secondary</t>
        </is>
      </c>
      <c r="J395" s="1" t="inlineStr">
        <is>
          <t>라벨·테이프용 PSA resin의 tackifier 원료로 사용</t>
        </is>
      </c>
      <c r="K395" s="1" t="inlineStr">
        <is>
          <t>Existing</t>
        </is>
      </c>
      <c r="L395" s="11" t="inlineStr">
        <is>
          <t>GPT</t>
        </is>
      </c>
    </row>
    <row r="396">
      <c r="A396" s="11">
        <f>_xlfn.XLOOKUP(표14[[#This Row],[material_name]],표2[material_name],표2[material_id])</f>
        <v/>
      </c>
      <c r="B396" s="11">
        <f>_xlfn.XLOOKUP(표14[[#This Row],[application_taxonomy]],표11[application_taxonomy],표11[app_id])</f>
        <v/>
      </c>
      <c r="C396" s="11">
        <f>_xlfn.XLOOKUP(표14[[#This Row],[end_use_industry]],표13[end_use_category],표13[end_use_id])</f>
        <v/>
      </c>
      <c r="D396" s="11">
        <f>_xlfn.XLOOKUP(표14[[#This Row],[importance]],표15[importance],표15[rating])</f>
        <v/>
      </c>
      <c r="E396" s="1" t="inlineStr">
        <is>
          <t>Piperylene</t>
        </is>
      </c>
      <c r="F396" s="1" t="inlineStr">
        <is>
          <t>Tire rubber compounding resin</t>
        </is>
      </c>
      <c r="G396" s="1" t="inlineStr">
        <is>
          <t>Tire &amp; rubber applications</t>
        </is>
      </c>
      <c r="H396" s="1" t="inlineStr">
        <is>
          <t>Automotive &amp; Future Mobility</t>
        </is>
      </c>
      <c r="I396" s="1" t="inlineStr">
        <is>
          <t>Secondary</t>
        </is>
      </c>
      <c r="J396" s="1" t="inlineStr">
        <is>
          <t>타이어 및 고무 컴파운드의 성능 향상용 resin 원료</t>
        </is>
      </c>
      <c r="K396" s="1" t="inlineStr">
        <is>
          <t>Existing</t>
        </is>
      </c>
      <c r="L396" s="11" t="inlineStr">
        <is>
          <t>GPT</t>
        </is>
      </c>
    </row>
    <row r="397" ht="33" customHeight="1" s="179">
      <c r="A397" s="11">
        <f>_xlfn.XLOOKUP(표14[[#This Row],[material_name]],표2[material_name],표2[material_id])</f>
        <v/>
      </c>
      <c r="B397" s="11">
        <f>_xlfn.XLOOKUP(표14[[#This Row],[application_taxonomy]],표11[application_taxonomy],표11[app_id])</f>
        <v/>
      </c>
      <c r="C397" s="11">
        <f>_xlfn.XLOOKUP(표14[[#This Row],[end_use_industry]],표13[end_use_category],표13[end_use_id])</f>
        <v/>
      </c>
      <c r="D397" s="11">
        <f>_xlfn.XLOOKUP(표14[[#This Row],[importance]],표15[importance],표15[rating])</f>
        <v/>
      </c>
      <c r="E397" s="1" t="inlineStr">
        <is>
          <t>Piperylene</t>
        </is>
      </c>
      <c r="F397" s="1" t="inlineStr">
        <is>
          <t>Synthetic rubber intermediate</t>
        </is>
      </c>
      <c r="G397" s="1" t="inlineStr">
        <is>
          <t>Reactive monomer / comonomer</t>
        </is>
      </c>
      <c r="H397" s="1" t="inlineStr">
        <is>
          <t>Industrial Goods &amp; Advanced Manufacturing</t>
        </is>
      </c>
      <c r="I397" s="1" t="inlineStr">
        <is>
          <t>Secondary</t>
        </is>
      </c>
      <c r="J397" s="1" t="inlineStr">
        <is>
          <t>공중합체 및 특수 고무 제조에 사용되는 반응성 디엔 원료</t>
        </is>
      </c>
      <c r="K397" s="1" t="inlineStr">
        <is>
          <t>Existing</t>
        </is>
      </c>
      <c r="L397" s="11" t="inlineStr">
        <is>
          <t>GPT</t>
        </is>
      </c>
    </row>
    <row r="398" ht="33" customHeight="1" s="179">
      <c r="A398" s="11">
        <f>_xlfn.XLOOKUP(표14[[#This Row],[material_name]],표2[material_name],표2[material_id])</f>
        <v/>
      </c>
      <c r="B398" s="11">
        <f>_xlfn.XLOOKUP(표14[[#This Row],[application_taxonomy]],표11[application_taxonomy],표11[app_id])</f>
        <v/>
      </c>
      <c r="C398" s="11">
        <f>_xlfn.XLOOKUP(표14[[#This Row],[end_use_industry]],표13[end_use_category],표13[end_use_id])</f>
        <v/>
      </c>
      <c r="D398" s="11">
        <f>_xlfn.XLOOKUP(표14[[#This Row],[importance]],표15[importance],표15[rating])</f>
        <v/>
      </c>
      <c r="E398" s="1" t="inlineStr">
        <is>
          <t>Piperylene</t>
        </is>
      </c>
      <c r="F398" s="1" t="inlineStr">
        <is>
          <t>Sealant and caulking formulations</t>
        </is>
      </c>
      <c r="G398" s="1" t="inlineStr">
        <is>
          <t>Sealants &amp; joint protection</t>
        </is>
      </c>
      <c r="H398" s="1" t="inlineStr">
        <is>
          <t>Construction &amp; Infrastructure</t>
        </is>
      </c>
      <c r="I398" s="1" t="inlineStr">
        <is>
          <t>Secondary</t>
        </is>
      </c>
      <c r="J398" s="1" t="inlineStr">
        <is>
          <t>hydrocarbon resin 형태로 실란트의 점착 및 성능 개선에 사용</t>
        </is>
      </c>
      <c r="K398" s="1" t="inlineStr">
        <is>
          <t>Existing</t>
        </is>
      </c>
      <c r="L398" s="11" t="inlineStr">
        <is>
          <t>GPT</t>
        </is>
      </c>
    </row>
    <row r="399" ht="33" customHeight="1" s="179">
      <c r="A399" s="11">
        <f>_xlfn.XLOOKUP(표14[[#This Row],[material_name]],표2[material_name],표2[material_id])</f>
        <v/>
      </c>
      <c r="B399" s="11">
        <f>_xlfn.XLOOKUP(표14[[#This Row],[application_taxonomy]],표11[application_taxonomy],표11[app_id])</f>
        <v/>
      </c>
      <c r="C399" s="11">
        <f>_xlfn.XLOOKUP(표14[[#This Row],[end_use_industry]],표13[end_use_category],표13[end_use_id])</f>
        <v/>
      </c>
      <c r="D399" s="11">
        <f>_xlfn.XLOOKUP(표14[[#This Row],[importance]],표15[importance],표15[rating])</f>
        <v/>
      </c>
      <c r="E399" s="1" t="inlineStr">
        <is>
          <t>Piperylene</t>
        </is>
      </c>
      <c r="F399" s="1" t="inlineStr">
        <is>
          <t>Printing ink resin</t>
        </is>
      </c>
      <c r="G399" s="1" t="inlineStr">
        <is>
          <t>Printing inks &amp; graphic materials</t>
        </is>
      </c>
      <c r="H399" s="1" t="inlineStr">
        <is>
          <t>Consumer Products &amp; Packaging</t>
        </is>
      </c>
      <c r="I399" s="1" t="inlineStr">
        <is>
          <t>Niche / Emerging</t>
        </is>
      </c>
      <c r="J399" s="1" t="inlineStr">
        <is>
          <t>인쇄잉크용 resin 조성에 제한적으로 사용</t>
        </is>
      </c>
      <c r="K399" s="1" t="inlineStr">
        <is>
          <t>Existing</t>
        </is>
      </c>
      <c r="L399" s="11" t="inlineStr">
        <is>
          <t>GPT</t>
        </is>
      </c>
    </row>
    <row r="400" ht="33" customHeight="1" s="179">
      <c r="A400" s="11">
        <f>_xlfn.XLOOKUP(표14[[#This Row],[material_name]],표2[material_name],표2[material_id])</f>
        <v/>
      </c>
      <c r="B400" s="11">
        <f>_xlfn.XLOOKUP(표14[[#This Row],[application_taxonomy]],표11[application_taxonomy],표11[app_id])</f>
        <v/>
      </c>
      <c r="C400" s="11">
        <f>_xlfn.XLOOKUP(표14[[#This Row],[end_use_industry]],표13[end_use_category],표13[end_use_id])</f>
        <v/>
      </c>
      <c r="D400" s="11">
        <f>_xlfn.XLOOKUP(표14[[#This Row],[importance]],표15[importance],표15[rating])</f>
        <v/>
      </c>
      <c r="E400" s="1" t="inlineStr">
        <is>
          <t>Piperylene</t>
        </is>
      </c>
      <c r="F400" s="1" t="inlineStr">
        <is>
          <t>Coating resin modifier</t>
        </is>
      </c>
      <c r="G400" s="1" t="inlineStr">
        <is>
          <t>Surface coating</t>
        </is>
      </c>
      <c r="H400" s="1" t="inlineStr">
        <is>
          <t>Industrial Goods &amp; Advanced Manufacturing</t>
        </is>
      </c>
      <c r="I400" s="1" t="inlineStr">
        <is>
          <t>Niche / Emerging</t>
        </is>
      </c>
      <c r="J400" s="1" t="inlineStr">
        <is>
          <t>특수 코팅용 hydrocarbon resin 원료로 사용</t>
        </is>
      </c>
      <c r="K400" s="1" t="inlineStr">
        <is>
          <t>Existing</t>
        </is>
      </c>
      <c r="L400" s="11" t="inlineStr">
        <is>
          <t>GPT</t>
        </is>
      </c>
    </row>
    <row r="401" ht="33" customHeight="1" s="179">
      <c r="A401" s="11">
        <f>_xlfn.XLOOKUP(표14[[#This Row],[material_name]],표2[material_name],표2[material_id])</f>
        <v/>
      </c>
      <c r="B401" s="11">
        <f>_xlfn.XLOOKUP(표14[[#This Row],[application_taxonomy]],표11[application_taxonomy],표11[app_id])</f>
        <v/>
      </c>
      <c r="C401" s="11">
        <f>_xlfn.XLOOKUP(표14[[#This Row],[end_use_industry]],표13[end_use_category],표13[end_use_id])</f>
        <v/>
      </c>
      <c r="D401" s="11">
        <f>_xlfn.XLOOKUP(표14[[#This Row],[importance]],표15[importance],표15[rating])</f>
        <v/>
      </c>
      <c r="E401" s="1" t="inlineStr">
        <is>
          <t>DCPD</t>
        </is>
      </c>
      <c r="F401" s="1" t="inlineStr">
        <is>
          <t>Hydrocarbon resins</t>
        </is>
      </c>
      <c r="G401" s="1" t="inlineStr">
        <is>
          <t>Adhesive bonding</t>
        </is>
      </c>
      <c r="H401" s="1" t="inlineStr">
        <is>
          <t>Consumer Products &amp; Packaging</t>
        </is>
      </c>
      <c r="I401" s="1" t="inlineStr">
        <is>
          <t>Primary</t>
        </is>
      </c>
      <c r="J401" s="1" t="inlineStr">
        <is>
          <t>DCPD 최대 수요처이며 hot-melt adhesive, PSA label, diaper adhesive와 연결.</t>
        </is>
      </c>
      <c r="K401" s="1" t="inlineStr">
        <is>
          <t>Existing</t>
        </is>
      </c>
      <c r="L401" s="11" t="n"/>
    </row>
    <row r="402" ht="33" customHeight="1" s="179">
      <c r="A402" s="11">
        <f>_xlfn.XLOOKUP(표14[[#This Row],[material_name]],표2[material_name],표2[material_id])</f>
        <v/>
      </c>
      <c r="B402" s="11">
        <f>_xlfn.XLOOKUP(표14[[#This Row],[application_taxonomy]],표11[application_taxonomy],표11[app_id])</f>
        <v/>
      </c>
      <c r="C402" s="11">
        <f>_xlfn.XLOOKUP(표14[[#This Row],[end_use_industry]],표13[end_use_category],표13[end_use_id])</f>
        <v/>
      </c>
      <c r="D402" s="11">
        <f>_xlfn.XLOOKUP(표14[[#This Row],[importance]],표15[importance],표15[rating])</f>
        <v/>
      </c>
      <c r="E402" s="1" t="inlineStr">
        <is>
          <t>DCPD</t>
        </is>
      </c>
      <c r="F402" s="1" t="inlineStr">
        <is>
          <t>Unsaturated polyester resins</t>
        </is>
      </c>
      <c r="G402" s="1" t="inlineStr">
        <is>
          <t>Major chemical intermediate</t>
        </is>
      </c>
      <c r="H402" s="1" t="inlineStr">
        <is>
          <t>Industrial Goods &amp; Advanced Manufacturing</t>
        </is>
      </c>
      <c r="I402" s="1" t="inlineStr">
        <is>
          <t>Primary</t>
        </is>
      </c>
      <c r="J402" s="1" t="inlineStr">
        <is>
          <t>UPR 제조용 주요 반응성 feedstock; marine, bathroom, electrical 시장으로 연결.</t>
        </is>
      </c>
      <c r="K402" s="1" t="inlineStr">
        <is>
          <t>Existing</t>
        </is>
      </c>
      <c r="L402" s="11" t="n"/>
    </row>
    <row r="403" ht="33" customHeight="1" s="179">
      <c r="A403" s="11">
        <f>_xlfn.XLOOKUP(표14[[#This Row],[material_name]],표2[material_name],표2[material_id])</f>
        <v/>
      </c>
      <c r="B403" s="11">
        <f>_xlfn.XLOOKUP(표14[[#This Row],[application_taxonomy]],표11[application_taxonomy],표11[app_id])</f>
        <v/>
      </c>
      <c r="C403" s="11">
        <f>_xlfn.XLOOKUP(표14[[#This Row],[end_use_industry]],표13[end_use_category],표13[end_use_id])</f>
        <v/>
      </c>
      <c r="D403" s="11">
        <f>_xlfn.XLOOKUP(표14[[#This Row],[importance]],표15[importance],표15[rating])</f>
        <v/>
      </c>
      <c r="E403" s="1" t="inlineStr">
        <is>
          <t>DCPD</t>
        </is>
      </c>
      <c r="F403" s="1" t="inlineStr">
        <is>
          <t>EPDM elastomers / ENB</t>
        </is>
      </c>
      <c r="G403" s="1" t="inlineStr">
        <is>
          <t>Specialty chemical intermediate</t>
        </is>
      </c>
      <c r="H403" s="1" t="inlineStr">
        <is>
          <t>Automotive &amp; Future Mobility</t>
        </is>
      </c>
      <c r="I403" s="1" t="inlineStr">
        <is>
          <t>Secondary</t>
        </is>
      </c>
      <c r="J403" s="1" t="inlineStr">
        <is>
          <t>ENB 및 EPDM termonomer 경로로 자동차 weather stripping, hose 등에 연결.</t>
        </is>
      </c>
      <c r="K403" s="1" t="inlineStr">
        <is>
          <t>Existing</t>
        </is>
      </c>
      <c r="L403" s="11" t="n"/>
    </row>
    <row r="404" ht="33" customHeight="1" s="179">
      <c r="A404" s="11">
        <f>_xlfn.XLOOKUP(표14[[#This Row],[material_name]],표2[material_name],표2[material_id])</f>
        <v/>
      </c>
      <c r="B404" s="11">
        <f>_xlfn.XLOOKUP(표14[[#This Row],[application_taxonomy]],표11[application_taxonomy],표11[app_id])</f>
        <v/>
      </c>
      <c r="C404" s="11">
        <f>_xlfn.XLOOKUP(표14[[#This Row],[end_use_industry]],표13[end_use_category],표13[end_use_id])</f>
        <v/>
      </c>
      <c r="D404" s="11">
        <f>_xlfn.XLOOKUP(표14[[#This Row],[importance]],표15[importance],표15[rating])</f>
        <v/>
      </c>
      <c r="E404" s="1" t="inlineStr">
        <is>
          <t>DCPD</t>
        </is>
      </c>
      <c r="F404" s="1" t="inlineStr">
        <is>
          <t>Polydicyclopentadiene</t>
        </is>
      </c>
      <c r="G404" s="1" t="inlineStr">
        <is>
          <t>Polymer resin / molding material</t>
        </is>
      </c>
      <c r="H404" s="1" t="inlineStr">
        <is>
          <t>Industrial Goods &amp; Advanced Manufacturing</t>
        </is>
      </c>
      <c r="I404" s="1" t="inlineStr">
        <is>
          <t>Niche / Emerging</t>
        </is>
      </c>
      <c r="J404" s="1" t="inlineStr">
        <is>
          <t>특수 molding resin 수요로 전체 DCPD 대비 소규모.</t>
        </is>
      </c>
      <c r="K404" s="1" t="inlineStr">
        <is>
          <t>Existing</t>
        </is>
      </c>
      <c r="L404" s="11" t="n"/>
    </row>
    <row r="405" ht="33" customHeight="1" s="179">
      <c r="A405" s="11">
        <f>_xlfn.XLOOKUP(표14[[#This Row],[material_name]],표2[material_name],표2[material_id])</f>
        <v/>
      </c>
      <c r="B405" s="11">
        <f>_xlfn.XLOOKUP(표14[[#This Row],[application_taxonomy]],표11[application_taxonomy],표11[app_id])</f>
        <v/>
      </c>
      <c r="C405" s="11">
        <f>_xlfn.XLOOKUP(표14[[#This Row],[end_use_industry]],표13[end_use_category],표13[end_use_id])</f>
        <v/>
      </c>
      <c r="D405" s="11">
        <f>_xlfn.XLOOKUP(표14[[#This Row],[importance]],표15[importance],표15[rating])</f>
        <v/>
      </c>
      <c r="E405" s="1" t="inlineStr">
        <is>
          <t>DCPD</t>
        </is>
      </c>
      <c r="F405" s="1" t="inlineStr">
        <is>
          <t>COC/COP</t>
        </is>
      </c>
      <c r="G405" s="1" t="inlineStr">
        <is>
          <t>Display &amp; optical materials</t>
        </is>
      </c>
      <c r="H405" s="1" t="inlineStr">
        <is>
          <t>Electronics, Semiconductors &amp; Digital Infrastructure</t>
        </is>
      </c>
      <c r="I405" s="1" t="inlineStr">
        <is>
          <t>Niche / Emerging</t>
        </is>
      </c>
      <c r="J405" s="1" t="inlineStr">
        <is>
          <t>고순도 DCPD 기반 specialty polymer route로 제한적이지만 고기능 소재.</t>
        </is>
      </c>
      <c r="K405" s="1" t="inlineStr">
        <is>
          <t>Existing</t>
        </is>
      </c>
      <c r="L405" s="11" t="n"/>
    </row>
    <row r="406" ht="33" customHeight="1" s="179">
      <c r="A406" s="11">
        <f>_xlfn.XLOOKUP(표14[[#This Row],[material_name]],표2[material_name],표2[material_id])</f>
        <v/>
      </c>
      <c r="B406" s="11">
        <f>_xlfn.XLOOKUP(표14[[#This Row],[application_taxonomy]],표11[application_taxonomy],표11[app_id])</f>
        <v/>
      </c>
      <c r="C406" s="11">
        <f>_xlfn.XLOOKUP(표14[[#This Row],[end_use_industry]],표13[end_use_category],표13[end_use_id])</f>
        <v/>
      </c>
      <c r="D406" s="11">
        <f>_xlfn.XLOOKUP(표14[[#This Row],[importance]],표15[importance],표15[rating])</f>
        <v/>
      </c>
      <c r="E406" s="1" t="inlineStr">
        <is>
          <t>IR</t>
        </is>
      </c>
      <c r="F406" s="1" t="inlineStr">
        <is>
          <t>Tires and tire products</t>
        </is>
      </c>
      <c r="G406" s="1" t="inlineStr">
        <is>
          <t>Tire &amp; rubber applications</t>
        </is>
      </c>
      <c r="H406" s="1" t="inlineStr">
        <is>
          <t>Automotive &amp; Future Mobility</t>
        </is>
      </c>
      <c r="I406" s="1" t="inlineStr">
        <is>
          <t>Primary</t>
        </is>
      </c>
      <c r="J406" s="1" t="inlineStr">
        <is>
          <t>IR 최대 용도이며, 미국 기준 2023년 polyisoprene rubber 소비의 59%가 타이어·타이어 제품용으로 언급됨.</t>
        </is>
      </c>
      <c r="K406" s="1" t="inlineStr">
        <is>
          <t>Existing</t>
        </is>
      </c>
      <c r="L406" s="11" t="inlineStr">
        <is>
          <t>GPT</t>
        </is>
      </c>
    </row>
    <row r="407" ht="33" customHeight="1" s="179">
      <c r="A407" s="11">
        <f>_xlfn.XLOOKUP(표14[[#This Row],[material_name]],표2[material_name],표2[material_id])</f>
        <v/>
      </c>
      <c r="B407" s="11">
        <f>_xlfn.XLOOKUP(표14[[#This Row],[application_taxonomy]],표11[application_taxonomy],표11[app_id])</f>
        <v/>
      </c>
      <c r="C407" s="11">
        <f>_xlfn.XLOOKUP(표14[[#This Row],[end_use_industry]],표13[end_use_category],표13[end_use_id])</f>
        <v/>
      </c>
      <c r="D407" s="11">
        <f>_xlfn.XLOOKUP(표14[[#This Row],[importance]],표15[importance],표15[rating])</f>
        <v/>
      </c>
      <c r="E407" s="1" t="inlineStr">
        <is>
          <t>IR</t>
        </is>
      </c>
      <c r="F407" s="1" t="inlineStr">
        <is>
          <t>Gloves and medical products</t>
        </is>
      </c>
      <c r="G407" s="1" t="inlineStr">
        <is>
          <t>Medical &amp; healthcare materials</t>
        </is>
      </c>
      <c r="H407" s="1" t="inlineStr">
        <is>
          <t>Healthcare &amp; Life Sciences</t>
        </is>
      </c>
      <c r="I407" s="1" t="inlineStr">
        <is>
          <t>Secondary</t>
        </is>
      </c>
      <c r="J407" s="1" t="inlineStr">
        <is>
          <t>고순도·비알레르기 특성으로 의료용 장갑 및 medical products에 사용됨.</t>
        </is>
      </c>
      <c r="K407" s="1" t="inlineStr">
        <is>
          <t>Existing</t>
        </is>
      </c>
      <c r="L407" s="11" t="inlineStr">
        <is>
          <t>GPT</t>
        </is>
      </c>
    </row>
    <row r="408">
      <c r="A408" s="11">
        <f>_xlfn.XLOOKUP(표14[[#This Row],[material_name]],표2[material_name],표2[material_id])</f>
        <v/>
      </c>
      <c r="B408" s="11">
        <f>_xlfn.XLOOKUP(표14[[#This Row],[application_taxonomy]],표11[application_taxonomy],표11[app_id])</f>
        <v/>
      </c>
      <c r="C408" s="11">
        <f>_xlfn.XLOOKUP(표14[[#This Row],[end_use_industry]],표13[end_use_category],표13[end_use_id])</f>
        <v/>
      </c>
      <c r="D408" s="11">
        <f>_xlfn.XLOOKUP(표14[[#This Row],[importance]],표15[importance],표15[rating])</f>
        <v/>
      </c>
      <c r="E408" s="1" t="inlineStr">
        <is>
          <t>IR</t>
        </is>
      </c>
      <c r="F408" s="1" t="inlineStr">
        <is>
          <t>Adhesives and tackifiers</t>
        </is>
      </c>
      <c r="G408" s="1" t="inlineStr">
        <is>
          <t>Adhesive bonding</t>
        </is>
      </c>
      <c r="H408" s="1" t="inlineStr">
        <is>
          <t>Consumer Products &amp; Packaging</t>
        </is>
      </c>
      <c r="I408" s="1" t="inlineStr">
        <is>
          <t>Secondary</t>
        </is>
      </c>
      <c r="J408" s="1" t="inlineStr">
        <is>
          <t>Cariflex IR 용도로 adhesives와 tackifiers가 명시됨.</t>
        </is>
      </c>
      <c r="K408" s="1" t="inlineStr">
        <is>
          <t>Existing</t>
        </is>
      </c>
      <c r="L408" s="11" t="inlineStr">
        <is>
          <t>GPT</t>
        </is>
      </c>
    </row>
    <row r="409" ht="33" customHeight="1" s="179">
      <c r="A409" s="11">
        <f>_xlfn.XLOOKUP(표14[[#This Row],[material_name]],표2[material_name],표2[material_id])</f>
        <v/>
      </c>
      <c r="B409" s="11">
        <f>_xlfn.XLOOKUP(표14[[#This Row],[application_taxonomy]],표11[application_taxonomy],표11[app_id])</f>
        <v/>
      </c>
      <c r="C409" s="11">
        <f>_xlfn.XLOOKUP(표14[[#This Row],[end_use_industry]],표13[end_use_category],표13[end_use_id])</f>
        <v/>
      </c>
      <c r="D409" s="11">
        <f>_xlfn.XLOOKUP(표14[[#This Row],[importance]],표15[importance],표15[rating])</f>
        <v/>
      </c>
      <c r="E409" s="1" t="inlineStr">
        <is>
          <t>IR</t>
        </is>
      </c>
      <c r="F409" s="1" t="inlineStr">
        <is>
          <t>Condoms</t>
        </is>
      </c>
      <c r="G409" s="1" t="inlineStr">
        <is>
          <t>Medical &amp; healthcare materials</t>
        </is>
      </c>
      <c r="H409" s="1" t="inlineStr">
        <is>
          <t>Healthcare &amp; Life Sciences</t>
        </is>
      </c>
      <c r="I409" s="1" t="inlineStr">
        <is>
          <t>Niche / Emerging</t>
        </is>
      </c>
      <c r="J409" s="1" t="inlineStr">
        <is>
          <t>의료·위생 인증이 필요한 specialty application이나 타이어 대비 규모는 제한적임.</t>
        </is>
      </c>
      <c r="K409" s="1" t="inlineStr">
        <is>
          <t>Existing</t>
        </is>
      </c>
      <c r="L409" s="11" t="inlineStr">
        <is>
          <t>GPT</t>
        </is>
      </c>
    </row>
    <row r="410" ht="33" customHeight="1" s="179">
      <c r="A410" s="11">
        <f>_xlfn.XLOOKUP(표14[[#This Row],[material_name]],표2[material_name],표2[material_id])</f>
        <v/>
      </c>
      <c r="B410" s="11">
        <f>_xlfn.XLOOKUP(표14[[#This Row],[application_taxonomy]],표11[application_taxonomy],표11[app_id])</f>
        <v/>
      </c>
      <c r="C410" s="11">
        <f>_xlfn.XLOOKUP(표14[[#This Row],[end_use_industry]],표13[end_use_category],표13[end_use_id])</f>
        <v/>
      </c>
      <c r="D410" s="11">
        <f>_xlfn.XLOOKUP(표14[[#This Row],[importance]],표15[importance],표15[rating])</f>
        <v/>
      </c>
      <c r="E410" s="1" t="inlineStr">
        <is>
          <t>SIS</t>
        </is>
      </c>
      <c r="F410" s="1" t="inlineStr">
        <is>
          <t>Hygiene adhesives</t>
        </is>
      </c>
      <c r="G410" s="1" t="inlineStr">
        <is>
          <t>Adhesive bonding</t>
        </is>
      </c>
      <c r="H410" s="1" t="inlineStr">
        <is>
          <t>Consumer Products &amp; Packaging</t>
        </is>
      </c>
      <c r="I410" s="1" t="inlineStr">
        <is>
          <t>Primary</t>
        </is>
      </c>
      <c r="J410" s="1" t="inlineStr">
        <is>
          <t>baby diaper, adult incontinence, feminine hygiene 제품용 adhesive가 성장 시장으로 제시됨.</t>
        </is>
      </c>
      <c r="K410" s="1" t="inlineStr">
        <is>
          <t>Existing</t>
        </is>
      </c>
      <c r="L410" s="11" t="inlineStr">
        <is>
          <t>GPT</t>
        </is>
      </c>
    </row>
    <row r="411" ht="33" customHeight="1" s="179">
      <c r="A411" s="11">
        <f>_xlfn.XLOOKUP(표14[[#This Row],[material_name]],표2[material_name],표2[material_id])</f>
        <v/>
      </c>
      <c r="B411" s="11">
        <f>_xlfn.XLOOKUP(표14[[#This Row],[application_taxonomy]],표11[application_taxonomy],표11[app_id])</f>
        <v/>
      </c>
      <c r="C411" s="11">
        <f>_xlfn.XLOOKUP(표14[[#This Row],[end_use_industry]],표13[end_use_category],표13[end_use_id])</f>
        <v/>
      </c>
      <c r="D411" s="11">
        <f>_xlfn.XLOOKUP(표14[[#This Row],[importance]],표15[importance],표15[rating])</f>
        <v/>
      </c>
      <c r="E411" s="1" t="inlineStr">
        <is>
          <t>SIS</t>
        </is>
      </c>
      <c r="F411" s="1" t="inlineStr">
        <is>
          <t>Tape and label adhesives</t>
        </is>
      </c>
      <c r="G411" s="1" t="inlineStr">
        <is>
          <t>Adhesive bonding</t>
        </is>
      </c>
      <c r="H411" s="1" t="inlineStr">
        <is>
          <t>Consumer Products &amp; Packaging</t>
        </is>
      </c>
      <c r="I411" s="1" t="inlineStr">
        <is>
          <t>Primary</t>
        </is>
      </c>
      <c r="J411" s="1" t="inlineStr">
        <is>
          <t>SIS의 우수한 adhesion, cohesion, sprayability를 활용하는 대표 adhesive application.</t>
        </is>
      </c>
      <c r="K411" s="1" t="inlineStr">
        <is>
          <t>Existing</t>
        </is>
      </c>
      <c r="L411" s="11" t="inlineStr">
        <is>
          <t>GPT</t>
        </is>
      </c>
    </row>
    <row r="412" ht="33" customHeight="1" s="179">
      <c r="A412" s="11">
        <f>_xlfn.XLOOKUP(표14[[#This Row],[material_name]],표2[material_name],표2[material_id])</f>
        <v/>
      </c>
      <c r="B412" s="11">
        <f>_xlfn.XLOOKUP(표14[[#This Row],[application_taxonomy]],표11[application_taxonomy],표11[app_id])</f>
        <v/>
      </c>
      <c r="C412" s="11">
        <f>_xlfn.XLOOKUP(표14[[#This Row],[end_use_industry]],표13[end_use_category],표13[end_use_id])</f>
        <v/>
      </c>
      <c r="D412" s="11">
        <f>_xlfn.XLOOKUP(표14[[#This Row],[importance]],표15[importance],표15[rating])</f>
        <v/>
      </c>
      <c r="E412" s="1" t="inlineStr">
        <is>
          <t>SIS</t>
        </is>
      </c>
      <c r="F412" s="1" t="inlineStr">
        <is>
          <t>Roofing</t>
        </is>
      </c>
      <c r="G412" s="1" t="inlineStr">
        <is>
          <t>Sealants &amp; joint protection</t>
        </is>
      </c>
      <c r="H412" s="1" t="inlineStr">
        <is>
          <t>Construction &amp; Infrastructure</t>
        </is>
      </c>
      <c r="I412" s="1" t="inlineStr">
        <is>
          <t>Secondary</t>
        </is>
      </c>
      <c r="J412" s="1" t="inlineStr">
        <is>
          <t>roofing application이 명시되어 있으나 hygiene/tape/label adhesive 대비 보조적 용도.</t>
        </is>
      </c>
      <c r="K412" s="1" t="inlineStr">
        <is>
          <t>Existing</t>
        </is>
      </c>
      <c r="L412" s="11" t="inlineStr">
        <is>
          <t>GPT</t>
        </is>
      </c>
    </row>
    <row r="413">
      <c r="A413" s="11">
        <f>_xlfn.XLOOKUP(표14[[#This Row],[material_name]],표2[material_name],표2[material_id])</f>
        <v/>
      </c>
      <c r="B413" s="11">
        <f>_xlfn.XLOOKUP(표14[[#This Row],[application_taxonomy]],표11[application_taxonomy],표11[app_id])</f>
        <v/>
      </c>
      <c r="C413" s="11">
        <f>_xlfn.XLOOKUP(표14[[#This Row],[end_use_industry]],표13[end_use_category],표13[end_use_id])</f>
        <v/>
      </c>
      <c r="D413" s="11">
        <f>_xlfn.XLOOKUP(표14[[#This Row],[importance]],표15[importance],표15[rating])</f>
        <v/>
      </c>
      <c r="E413" s="1" t="inlineStr">
        <is>
          <t>SIS</t>
        </is>
      </c>
      <c r="F413" s="1" t="inlineStr">
        <is>
          <t>Elastic films</t>
        </is>
      </c>
      <c r="G413" s="1" t="inlineStr">
        <is>
          <t>Flexible packaging</t>
        </is>
      </c>
      <c r="H413" s="1" t="inlineStr">
        <is>
          <t>Consumer Products &amp; Packaging</t>
        </is>
      </c>
      <c r="I413" s="1" t="inlineStr">
        <is>
          <t>Secondary</t>
        </is>
      </c>
      <c r="J413" s="1" t="inlineStr">
        <is>
          <t>elastic film용 styrenic block copolymer로 사용됨.</t>
        </is>
      </c>
      <c r="K413" s="1" t="inlineStr">
        <is>
          <t>Existing</t>
        </is>
      </c>
      <c r="L413" s="11" t="inlineStr">
        <is>
          <t>GPT</t>
        </is>
      </c>
    </row>
    <row r="414" ht="33" customHeight="1" s="179">
      <c r="A414" s="11">
        <f>_xlfn.XLOOKUP(표14[[#This Row],[material_name]],표2[material_name],표2[material_id])</f>
        <v/>
      </c>
      <c r="B414" s="11">
        <f>_xlfn.XLOOKUP(표14[[#This Row],[application_taxonomy]],표11[application_taxonomy],표11[app_id])</f>
        <v/>
      </c>
      <c r="C414" s="11">
        <f>_xlfn.XLOOKUP(표14[[#This Row],[end_use_industry]],표13[end_use_category],표13[end_use_id])</f>
        <v/>
      </c>
      <c r="D414" s="11">
        <f>_xlfn.XLOOKUP(표14[[#This Row],[importance]],표15[importance],표15[rating])</f>
        <v/>
      </c>
      <c r="E414" s="1" t="inlineStr">
        <is>
          <t>SIS</t>
        </is>
      </c>
      <c r="F414" s="1" t="inlineStr">
        <is>
          <t>Plastic modification</t>
        </is>
      </c>
      <c r="G414" s="1" t="inlineStr">
        <is>
          <t>Polymer resin / molding material</t>
        </is>
      </c>
      <c r="H414" s="1" t="inlineStr">
        <is>
          <t>Industrial Goods &amp; Advanced Manufacturing</t>
        </is>
      </c>
      <c r="I414" s="1" t="inlineStr">
        <is>
          <t>Secondary</t>
        </is>
      </c>
      <c r="J414" s="1" t="inlineStr">
        <is>
          <t>플라스틱 개질용으로 사용되나 adhesive 수요 대비 부차적임.</t>
        </is>
      </c>
      <c r="K414" s="1" t="inlineStr">
        <is>
          <t>Existing</t>
        </is>
      </c>
      <c r="L414" s="11" t="inlineStr">
        <is>
          <t>GPT</t>
        </is>
      </c>
    </row>
    <row r="415" ht="33" customHeight="1" s="179">
      <c r="A415" s="11">
        <f>_xlfn.XLOOKUP(표14[[#This Row],[material_name]],표2[material_name],표2[material_id])</f>
        <v/>
      </c>
      <c r="B415" s="11">
        <f>_xlfn.XLOOKUP(표14[[#This Row],[application_taxonomy]],표11[application_taxonomy],표11[app_id])</f>
        <v/>
      </c>
      <c r="C415" s="11">
        <f>_xlfn.XLOOKUP(표14[[#This Row],[end_use_industry]],표13[end_use_category],표13[end_use_id])</f>
        <v/>
      </c>
      <c r="D415" s="11">
        <f>_xlfn.XLOOKUP(표14[[#This Row],[importance]],표15[importance],표15[rating])</f>
        <v/>
      </c>
      <c r="E415" s="1" t="inlineStr">
        <is>
          <t>i-butyraldehyde</t>
        </is>
      </c>
      <c r="F415" s="1" t="inlineStr">
        <is>
          <t>Condensation/esterification products</t>
        </is>
      </c>
      <c r="G415" s="1" t="inlineStr">
        <is>
          <t>Specialty chemical intermediate</t>
        </is>
      </c>
      <c r="H415" s="1" t="inlineStr">
        <is>
          <t>Industrial Goods &amp; Advanced Manufacturing</t>
        </is>
      </c>
      <c r="I415" s="1" t="inlineStr">
        <is>
          <t>Primary</t>
        </is>
      </c>
      <c r="J415" s="1" t="inlineStr">
        <is>
          <t>2024년 미국 isobutyraldehyde 소비의 39%로 최대 경로이며 TMPD, Texanol, TXIB, IBIB 등을 포함</t>
        </is>
      </c>
      <c r="K415" s="1" t="inlineStr">
        <is>
          <t>Existing</t>
        </is>
      </c>
      <c r="L415" s="11" t="n"/>
    </row>
    <row r="416" ht="33" customHeight="1" s="179">
      <c r="A416" s="11">
        <f>_xlfn.XLOOKUP(표14[[#This Row],[material_name]],표2[material_name],표2[material_id])</f>
        <v/>
      </c>
      <c r="B416" s="11">
        <f>_xlfn.XLOOKUP(표14[[#This Row],[application_taxonomy]],표11[application_taxonomy],표11[app_id])</f>
        <v/>
      </c>
      <c r="C416" s="11">
        <f>_xlfn.XLOOKUP(표14[[#This Row],[end_use_industry]],표13[end_use_category],표13[end_use_id])</f>
        <v/>
      </c>
      <c r="D416" s="11">
        <f>_xlfn.XLOOKUP(표14[[#This Row],[importance]],표15[importance],표15[rating])</f>
        <v/>
      </c>
      <c r="E416" s="1" t="inlineStr">
        <is>
          <t>i-butyraldehyde</t>
        </is>
      </c>
      <c r="F416" s="1" t="inlineStr">
        <is>
          <t>Isobutanol</t>
        </is>
      </c>
      <c r="G416" s="1" t="inlineStr">
        <is>
          <t>Major chemical intermediate</t>
        </is>
      </c>
      <c r="H416" s="1" t="inlineStr">
        <is>
          <t>Industrial Goods &amp; Advanced Manufacturing</t>
        </is>
      </c>
      <c r="I416" s="1" t="inlineStr">
        <is>
          <t>Primary</t>
        </is>
      </c>
      <c r="J416" s="1" t="inlineStr">
        <is>
          <t>isobutanol 전환이 2024년 미국 소비의 21%로 주요 경로</t>
        </is>
      </c>
      <c r="K416" s="1" t="inlineStr">
        <is>
          <t>Existing</t>
        </is>
      </c>
      <c r="L416" s="11" t="n"/>
    </row>
    <row r="417" ht="33" customHeight="1" s="179">
      <c r="A417" s="11">
        <f>_xlfn.XLOOKUP(표14[[#This Row],[material_name]],표2[material_name],표2[material_id])</f>
        <v/>
      </c>
      <c r="B417" s="11">
        <f>_xlfn.XLOOKUP(표14[[#This Row],[application_taxonomy]],표11[application_taxonomy],표11[app_id])</f>
        <v/>
      </c>
      <c r="C417" s="11">
        <f>_xlfn.XLOOKUP(표14[[#This Row],[end_use_industry]],표13[end_use_category],표13[end_use_id])</f>
        <v/>
      </c>
      <c r="D417" s="11">
        <f>_xlfn.XLOOKUP(표14[[#This Row],[importance]],표15[importance],표15[rating])</f>
        <v/>
      </c>
      <c r="E417" s="1" t="inlineStr">
        <is>
          <t>i-butyraldehyde</t>
        </is>
      </c>
      <c r="F417" s="1" t="inlineStr">
        <is>
          <t>Neopentyl glycol</t>
        </is>
      </c>
      <c r="G417" s="1" t="inlineStr">
        <is>
          <t>Specialty chemical intermediate</t>
        </is>
      </c>
      <c r="H417" s="1" t="inlineStr">
        <is>
          <t>Industrial Goods &amp; Advanced Manufacturing</t>
        </is>
      </c>
      <c r="I417" s="1" t="inlineStr">
        <is>
          <t>Primary</t>
        </is>
      </c>
      <c r="J417" s="1" t="inlineStr">
        <is>
          <t>NPG 전환이 2024년 미국 소비의 20%로 coatings resin 및 UPR 체인에 연결</t>
        </is>
      </c>
      <c r="K417" s="1" t="inlineStr">
        <is>
          <t>Existing</t>
        </is>
      </c>
      <c r="L417" s="11" t="n"/>
    </row>
    <row r="418" ht="33" customHeight="1" s="179">
      <c r="A418" s="11">
        <f>_xlfn.XLOOKUP(표14[[#This Row],[material_name]],표2[material_name],표2[material_id])</f>
        <v/>
      </c>
      <c r="B418" s="11">
        <f>_xlfn.XLOOKUP(표14[[#This Row],[application_taxonomy]],표11[application_taxonomy],표11[app_id])</f>
        <v/>
      </c>
      <c r="C418" s="11">
        <f>_xlfn.XLOOKUP(표14[[#This Row],[end_use_industry]],표13[end_use_category],표13[end_use_id])</f>
        <v/>
      </c>
      <c r="D418" s="11">
        <f>_xlfn.XLOOKUP(표14[[#This Row],[importance]],표15[importance],표15[rating])</f>
        <v/>
      </c>
      <c r="E418" s="1" t="inlineStr">
        <is>
          <t>i-butyraldehyde</t>
        </is>
      </c>
      <c r="F418" s="1" t="inlineStr">
        <is>
          <t>Isobutyric acid</t>
        </is>
      </c>
      <c r="G418" s="1" t="inlineStr">
        <is>
          <t>Specialty chemical intermediate</t>
        </is>
      </c>
      <c r="H418" s="1" t="inlineStr">
        <is>
          <t>Industrial Goods &amp; Advanced Manufacturing</t>
        </is>
      </c>
      <c r="I418" s="1" t="inlineStr">
        <is>
          <t>Secondary</t>
        </is>
      </c>
      <c r="J418" s="1" t="inlineStr">
        <is>
          <t>2024년 미국 소비의 12%로 TMCD, TXIB 등 specialty derivative로 사용</t>
        </is>
      </c>
      <c r="K418" s="1" t="inlineStr">
        <is>
          <t>Existing</t>
        </is>
      </c>
      <c r="L418" s="11" t="n"/>
    </row>
    <row r="419" ht="33" customHeight="1" s="179">
      <c r="A419" s="11">
        <f>_xlfn.XLOOKUP(표14[[#This Row],[material_name]],표2[material_name],표2[material_id])</f>
        <v/>
      </c>
      <c r="B419" s="11">
        <f>_xlfn.XLOOKUP(표14[[#This Row],[application_taxonomy]],표11[application_taxonomy],표11[app_id])</f>
        <v/>
      </c>
      <c r="C419" s="11">
        <f>_xlfn.XLOOKUP(표14[[#This Row],[end_use_industry]],표13[end_use_category],표13[end_use_id])</f>
        <v/>
      </c>
      <c r="D419" s="11">
        <f>_xlfn.XLOOKUP(표14[[#This Row],[importance]],표15[importance],표15[rating])</f>
        <v/>
      </c>
      <c r="E419" s="1" t="inlineStr">
        <is>
          <t>i-butyraldehyde</t>
        </is>
      </c>
      <c r="F419" s="1" t="inlineStr">
        <is>
          <t>Isobutyl acetate</t>
        </is>
      </c>
      <c r="G419" s="1" t="inlineStr">
        <is>
          <t>Major chemical intermediate</t>
        </is>
      </c>
      <c r="H419" s="1" t="inlineStr">
        <is>
          <t>Industrial Goods &amp; Advanced Manufacturing</t>
        </is>
      </c>
      <c r="I419" s="1" t="inlineStr">
        <is>
          <t>Secondary</t>
        </is>
      </c>
      <c r="J419" s="1" t="inlineStr">
        <is>
          <t>직접 생산 기준 2024년 미국 소비의 6%이며 coatings solvent 체인에 연결</t>
        </is>
      </c>
      <c r="K419" s="1" t="inlineStr">
        <is>
          <t>Existing</t>
        </is>
      </c>
      <c r="L419" s="11" t="n"/>
    </row>
    <row r="420" ht="33" customHeight="1" s="179">
      <c r="A420" s="11">
        <f>_xlfn.XLOOKUP(표14[[#This Row],[material_name]],표2[material_name],표2[material_id])</f>
        <v/>
      </c>
      <c r="B420" s="11">
        <f>_xlfn.XLOOKUP(표14[[#This Row],[application_taxonomy]],표11[application_taxonomy],표11[app_id])</f>
        <v/>
      </c>
      <c r="C420" s="11">
        <f>_xlfn.XLOOKUP(표14[[#This Row],[end_use_industry]],표13[end_use_category],표13[end_use_id])</f>
        <v/>
      </c>
      <c r="D420" s="11">
        <f>_xlfn.XLOOKUP(표14[[#This Row],[importance]],표15[importance],표15[rating])</f>
        <v/>
      </c>
      <c r="E420" s="1" t="inlineStr">
        <is>
          <t>i-butyraldehyde</t>
        </is>
      </c>
      <c r="F420" s="1" t="inlineStr">
        <is>
          <t>Methyl isoamyl ketone</t>
        </is>
      </c>
      <c r="G420" s="1" t="inlineStr">
        <is>
          <t>Solvent &amp; extraction</t>
        </is>
      </c>
      <c r="H420" s="1" t="inlineStr">
        <is>
          <t>Industrial Goods &amp; Advanced Manufacturing</t>
        </is>
      </c>
      <c r="I420" s="1" t="inlineStr">
        <is>
          <t>Niche / Emerging</t>
        </is>
      </c>
      <c r="J420" s="1" t="inlineStr">
        <is>
          <t>2024년 미국 소비의 약 1%로 소량 specialty solvent 경로</t>
        </is>
      </c>
      <c r="K420" s="1" t="inlineStr">
        <is>
          <t>Existing</t>
        </is>
      </c>
      <c r="L420" s="11" t="n"/>
    </row>
    <row r="421" ht="33" customHeight="1" s="179">
      <c r="A421" s="11">
        <f>_xlfn.XLOOKUP(표14[[#This Row],[material_name]],표2[material_name],표2[material_id])</f>
        <v/>
      </c>
      <c r="B421" s="11">
        <f>_xlfn.XLOOKUP(표14[[#This Row],[application_taxonomy]],표11[application_taxonomy],표11[app_id])</f>
        <v/>
      </c>
      <c r="C421" s="11">
        <f>_xlfn.XLOOKUP(표14[[#This Row],[end_use_industry]],표13[end_use_category],표13[end_use_id])</f>
        <v/>
      </c>
      <c r="D421" s="11">
        <f>_xlfn.XLOOKUP(표14[[#This Row],[importance]],표15[importance],표15[rating])</f>
        <v/>
      </c>
      <c r="E421" s="1" t="inlineStr">
        <is>
          <t>DCPD Resin</t>
        </is>
      </c>
      <c r="F421" s="1" t="inlineStr">
        <is>
          <t>Hydrocarbon tackifier for hot-melt adhesives</t>
        </is>
      </c>
      <c r="G421" s="1" t="inlineStr">
        <is>
          <t>Adhesive bonding</t>
        </is>
      </c>
      <c r="H421" s="1" t="inlineStr">
        <is>
          <t>Industrial Goods &amp; Advanced Manufacturing</t>
        </is>
      </c>
      <c r="I421" s="1" t="inlineStr">
        <is>
          <t>Primary</t>
        </is>
      </c>
      <c r="J421" s="1" t="inlineStr">
        <is>
          <t>DCPD 기반 석유수지는 가장 대표적으로 핫멜트 접착제의 점착부여제(tackifier)로 사용됨.</t>
        </is>
      </c>
      <c r="K421" s="1" t="inlineStr">
        <is>
          <t>Existing</t>
        </is>
      </c>
      <c r="L421" s="11" t="inlineStr">
        <is>
          <t>GPT</t>
        </is>
      </c>
    </row>
    <row r="422" ht="33" customHeight="1" s="179">
      <c r="A422" s="11">
        <f>_xlfn.XLOOKUP(표14[[#This Row],[material_name]],표2[material_name],표2[material_id])</f>
        <v/>
      </c>
      <c r="B422" s="11">
        <f>_xlfn.XLOOKUP(표14[[#This Row],[application_taxonomy]],표11[application_taxonomy],표11[app_id])</f>
        <v/>
      </c>
      <c r="C422" s="11">
        <f>_xlfn.XLOOKUP(표14[[#This Row],[end_use_industry]],표13[end_use_category],표13[end_use_id])</f>
        <v/>
      </c>
      <c r="D422" s="11">
        <f>_xlfn.XLOOKUP(표14[[#This Row],[importance]],표15[importance],표15[rating])</f>
        <v/>
      </c>
      <c r="E422" s="1" t="inlineStr">
        <is>
          <t>DCPD Resin</t>
        </is>
      </c>
      <c r="F422" s="1" t="inlineStr">
        <is>
          <t>Pressure-sensitive adhesives (PSA)</t>
        </is>
      </c>
      <c r="G422" s="1" t="inlineStr">
        <is>
          <t>Adhesive bonding</t>
        </is>
      </c>
      <c r="H422" s="1" t="inlineStr">
        <is>
          <t>Consumer Products &amp; Packaging</t>
        </is>
      </c>
      <c r="I422" s="1" t="inlineStr">
        <is>
          <t>Primary</t>
        </is>
      </c>
      <c r="J422" s="1" t="inlineStr">
        <is>
          <t>포장용 테이프, 라벨 등 PSA의 점착 성능 향상을 위한 주요 용도임.</t>
        </is>
      </c>
      <c r="K422" s="1" t="inlineStr">
        <is>
          <t>Existing</t>
        </is>
      </c>
      <c r="L422" s="11" t="inlineStr">
        <is>
          <t>GPT</t>
        </is>
      </c>
    </row>
    <row r="423">
      <c r="A423" s="11">
        <f>_xlfn.XLOOKUP(표14[[#This Row],[material_name]],표2[material_name],표2[material_id])</f>
        <v/>
      </c>
      <c r="B423" s="11">
        <f>_xlfn.XLOOKUP(표14[[#This Row],[application_taxonomy]],표11[application_taxonomy],표11[app_id])</f>
        <v/>
      </c>
      <c r="C423" s="11">
        <f>_xlfn.XLOOKUP(표14[[#This Row],[end_use_industry]],표13[end_use_category],표13[end_use_id])</f>
        <v/>
      </c>
      <c r="D423" s="11">
        <f>_xlfn.XLOOKUP(표14[[#This Row],[importance]],표15[importance],표15[rating])</f>
        <v/>
      </c>
      <c r="E423" s="1" t="inlineStr">
        <is>
          <t>DCPD Resin</t>
        </is>
      </c>
      <c r="F423" s="1" t="inlineStr">
        <is>
          <t>Road-marking paint</t>
        </is>
      </c>
      <c r="G423" s="1" t="inlineStr">
        <is>
          <t>Surface coating</t>
        </is>
      </c>
      <c r="H423" s="1" t="inlineStr">
        <is>
          <t>Construction &amp; Infrastructure</t>
        </is>
      </c>
      <c r="I423" s="1" t="inlineStr">
        <is>
          <t>Secondary</t>
        </is>
      </c>
      <c r="J423" s="1" t="inlineStr">
        <is>
          <t>노면표시 도료의 내마모성 및 접착력 향상을 위해 사용됨.</t>
        </is>
      </c>
      <c r="K423" s="1" t="inlineStr">
        <is>
          <t>Existing</t>
        </is>
      </c>
      <c r="L423" s="11" t="inlineStr">
        <is>
          <t>GPT</t>
        </is>
      </c>
    </row>
    <row r="424" ht="33" customHeight="1" s="179">
      <c r="A424" s="11">
        <f>_xlfn.XLOOKUP(표14[[#This Row],[material_name]],표2[material_name],표2[material_id])</f>
        <v/>
      </c>
      <c r="B424" s="11">
        <f>_xlfn.XLOOKUP(표14[[#This Row],[application_taxonomy]],표11[application_taxonomy],표11[app_id])</f>
        <v/>
      </c>
      <c r="C424" s="11">
        <f>_xlfn.XLOOKUP(표14[[#This Row],[end_use_industry]],표13[end_use_category],표13[end_use_id])</f>
        <v/>
      </c>
      <c r="D424" s="11">
        <f>_xlfn.XLOOKUP(표14[[#This Row],[importance]],표15[importance],표15[rating])</f>
        <v/>
      </c>
      <c r="E424" s="1" t="inlineStr">
        <is>
          <t>DCPD Resin</t>
        </is>
      </c>
      <c r="F424" s="1" t="inlineStr">
        <is>
          <t>Protective coatings</t>
        </is>
      </c>
      <c r="G424" s="1" t="inlineStr">
        <is>
          <t>Surface coating</t>
        </is>
      </c>
      <c r="H424" s="1" t="inlineStr">
        <is>
          <t>Industrial Goods &amp; Advanced Manufacturing</t>
        </is>
      </c>
      <c r="I424" s="1" t="inlineStr">
        <is>
          <t>Secondary</t>
        </is>
      </c>
      <c r="J424" s="1" t="inlineStr">
        <is>
          <t>산업용 및 방청 코팅의 수지 성분 또는 성능개선용으로 활용됨.</t>
        </is>
      </c>
      <c r="K424" s="1" t="inlineStr">
        <is>
          <t>Existing</t>
        </is>
      </c>
      <c r="L424" s="11" t="inlineStr">
        <is>
          <t>GPT</t>
        </is>
      </c>
    </row>
    <row r="425">
      <c r="A425" s="11">
        <f>_xlfn.XLOOKUP(표14[[#This Row],[material_name]],표2[material_name],표2[material_id])</f>
        <v/>
      </c>
      <c r="B425" s="11">
        <f>_xlfn.XLOOKUP(표14[[#This Row],[application_taxonomy]],표11[application_taxonomy],표11[app_id])</f>
        <v/>
      </c>
      <c r="C425" s="11">
        <f>_xlfn.XLOOKUP(표14[[#This Row],[end_use_industry]],표13[end_use_category],표13[end_use_id])</f>
        <v/>
      </c>
      <c r="D425" s="11">
        <f>_xlfn.XLOOKUP(표14[[#This Row],[importance]],표15[importance],표15[rating])</f>
        <v/>
      </c>
      <c r="E425" s="1" t="inlineStr">
        <is>
          <t>DCPD Resin</t>
        </is>
      </c>
      <c r="F425" s="1" t="inlineStr">
        <is>
          <t>Printing inks</t>
        </is>
      </c>
      <c r="G425" s="1" t="inlineStr">
        <is>
          <t>Printing inks &amp; graphic materials</t>
        </is>
      </c>
      <c r="H425" s="1" t="inlineStr">
        <is>
          <t>Consumer Products &amp; Packaging</t>
        </is>
      </c>
      <c r="I425" s="1" t="inlineStr">
        <is>
          <t>Secondary</t>
        </is>
      </c>
      <c r="J425" s="1" t="inlineStr">
        <is>
          <t>인쇄잉크의 안료 분산성과 접착 특성 개선에 사용됨.</t>
        </is>
      </c>
      <c r="K425" s="1" t="inlineStr">
        <is>
          <t>Existing</t>
        </is>
      </c>
      <c r="L425" s="11" t="inlineStr">
        <is>
          <t>GPT</t>
        </is>
      </c>
    </row>
    <row r="426" ht="33" customHeight="1" s="179">
      <c r="A426" s="11">
        <f>_xlfn.XLOOKUP(표14[[#This Row],[material_name]],표2[material_name],표2[material_id])</f>
        <v/>
      </c>
      <c r="B426" s="11">
        <f>_xlfn.XLOOKUP(표14[[#This Row],[application_taxonomy]],표11[application_taxonomy],표11[app_id])</f>
        <v/>
      </c>
      <c r="C426" s="11">
        <f>_xlfn.XLOOKUP(표14[[#This Row],[end_use_industry]],표13[end_use_category],표13[end_use_id])</f>
        <v/>
      </c>
      <c r="D426" s="11">
        <f>_xlfn.XLOOKUP(표14[[#This Row],[importance]],표15[importance],표15[rating])</f>
        <v/>
      </c>
      <c r="E426" s="1" t="inlineStr">
        <is>
          <t>DCPD Resin</t>
        </is>
      </c>
      <c r="F426" s="1" t="inlineStr">
        <is>
          <t>Rubber compounding</t>
        </is>
      </c>
      <c r="G426" s="1" t="inlineStr">
        <is>
          <t>Tire &amp; rubber applications</t>
        </is>
      </c>
      <c r="H426" s="1" t="inlineStr">
        <is>
          <t>Automotive &amp; Future Mobility</t>
        </is>
      </c>
      <c r="I426" s="1" t="inlineStr">
        <is>
          <t>Secondary</t>
        </is>
      </c>
      <c r="J426" s="1" t="inlineStr">
        <is>
          <t>고무 배합 시 tackifier로 사용되어 점착성과 가공성을 향상시킴.</t>
        </is>
      </c>
      <c r="K426" s="1" t="inlineStr">
        <is>
          <t>Existing</t>
        </is>
      </c>
      <c r="L426" s="11" t="inlineStr">
        <is>
          <t>GPT</t>
        </is>
      </c>
    </row>
    <row r="427">
      <c r="A427" s="11">
        <f>_xlfn.XLOOKUP(표14[[#This Row],[material_name]],표2[material_name],표2[material_id])</f>
        <v/>
      </c>
      <c r="B427" s="11">
        <f>_xlfn.XLOOKUP(표14[[#This Row],[application_taxonomy]],표11[application_taxonomy],표11[app_id])</f>
        <v/>
      </c>
      <c r="C427" s="11">
        <f>_xlfn.XLOOKUP(표14[[#This Row],[end_use_industry]],표13[end_use_category],표13[end_use_id])</f>
        <v/>
      </c>
      <c r="D427" s="11">
        <f>_xlfn.XLOOKUP(표14[[#This Row],[importance]],표15[importance],표15[rating])</f>
        <v/>
      </c>
      <c r="E427" s="1" t="inlineStr">
        <is>
          <t>DCPD Resin</t>
        </is>
      </c>
      <c r="F427" s="1" t="inlineStr">
        <is>
          <t>Sealants</t>
        </is>
      </c>
      <c r="G427" s="1" t="inlineStr">
        <is>
          <t>Sealants &amp; joint protection</t>
        </is>
      </c>
      <c r="H427" s="1" t="inlineStr">
        <is>
          <t>Construction &amp; Infrastructure</t>
        </is>
      </c>
      <c r="I427" s="1" t="inlineStr">
        <is>
          <t>Secondary</t>
        </is>
      </c>
      <c r="J427" s="1" t="inlineStr">
        <is>
          <t>건축 및 산업용 실란트의 점착 및 내구성 향상에 기여함.</t>
        </is>
      </c>
      <c r="K427" s="1" t="inlineStr">
        <is>
          <t>Existing</t>
        </is>
      </c>
      <c r="L427" s="11" t="inlineStr">
        <is>
          <t>GPT</t>
        </is>
      </c>
    </row>
    <row r="428" ht="33" customHeight="1" s="179">
      <c r="A428" s="11">
        <f>_xlfn.XLOOKUP(표14[[#This Row],[material_name]],표2[material_name],표2[material_id])</f>
        <v/>
      </c>
      <c r="B428" s="11">
        <f>_xlfn.XLOOKUP(표14[[#This Row],[application_taxonomy]],표11[application_taxonomy],표11[app_id])</f>
        <v/>
      </c>
      <c r="C428" s="11">
        <f>_xlfn.XLOOKUP(표14[[#This Row],[end_use_industry]],표13[end_use_category],표13[end_use_id])</f>
        <v/>
      </c>
      <c r="D428" s="11">
        <f>_xlfn.XLOOKUP(표14[[#This Row],[importance]],표15[importance],표15[rating])</f>
        <v/>
      </c>
      <c r="E428" s="1" t="inlineStr">
        <is>
          <t>DCPD Resin</t>
        </is>
      </c>
      <c r="F428" s="1" t="inlineStr">
        <is>
          <t>Composite resin modifier</t>
        </is>
      </c>
      <c r="G428" s="1" t="inlineStr">
        <is>
          <t>Composite &amp; performance resins</t>
        </is>
      </c>
      <c r="H428" s="1" t="inlineStr">
        <is>
          <t>Industrial Goods &amp; Advanced Manufacturing</t>
        </is>
      </c>
      <c r="I428" s="1" t="inlineStr">
        <is>
          <t>Niche / Emerging</t>
        </is>
      </c>
      <c r="J428" s="1" t="inlineStr">
        <is>
          <t>복합재 및 특수수지의 성능 향상을 위한 개질제로 일부 적용됨.</t>
        </is>
      </c>
      <c r="K428" s="1" t="inlineStr">
        <is>
          <t>Existing</t>
        </is>
      </c>
      <c r="L428" s="11" t="inlineStr">
        <is>
          <t>GPT</t>
        </is>
      </c>
    </row>
    <row r="429" ht="33" customHeight="1" s="179">
      <c r="A429" s="11">
        <f>_xlfn.XLOOKUP(표14[[#This Row],[material_name]],표2[material_name],표2[material_id])</f>
        <v/>
      </c>
      <c r="B429" s="11">
        <f>_xlfn.XLOOKUP(표14[[#This Row],[application_taxonomy]],표11[application_taxonomy],표11[app_id])</f>
        <v/>
      </c>
      <c r="C429" s="11">
        <f>_xlfn.XLOOKUP(표14[[#This Row],[end_use_industry]],표13[end_use_category],표13[end_use_id])</f>
        <v/>
      </c>
      <c r="D429" s="11">
        <f>_xlfn.XLOOKUP(표14[[#This Row],[importance]],표15[importance],표15[rating])</f>
        <v/>
      </c>
      <c r="E429" s="1" t="inlineStr">
        <is>
          <t>UPR</t>
        </is>
      </c>
      <c r="F429" s="1" t="inlineStr">
        <is>
          <t>Fiberglass-reinforced plastics / FRP</t>
        </is>
      </c>
      <c r="G429" s="1" t="inlineStr">
        <is>
          <t>Composite &amp; performance resins</t>
        </is>
      </c>
      <c r="H429" s="1" t="inlineStr">
        <is>
          <t>Construction &amp; Infrastructure</t>
        </is>
      </c>
      <c r="I429" s="1" t="inlineStr">
        <is>
          <t>Primary</t>
        </is>
      </c>
      <c r="J429" s="1" t="inlineStr">
        <is>
          <t>UPR의 대표 용도이며 건설, 욕실부품, 패널, 탱크·파이프에 대량 사용.</t>
        </is>
      </c>
      <c r="K429" s="1" t="inlineStr">
        <is>
          <t>Existing</t>
        </is>
      </c>
      <c r="L429" s="11" t="n"/>
    </row>
    <row r="430" ht="33" customHeight="1" s="179">
      <c r="A430" s="11">
        <f>_xlfn.XLOOKUP(표14[[#This Row],[material_name]],표2[material_name],표2[material_id])</f>
        <v/>
      </c>
      <c r="B430" s="11">
        <f>_xlfn.XLOOKUP(표14[[#This Row],[application_taxonomy]],표11[application_taxonomy],표11[app_id])</f>
        <v/>
      </c>
      <c r="C430" s="11">
        <f>_xlfn.XLOOKUP(표14[[#This Row],[end_use_industry]],표13[end_use_category],표13[end_use_id])</f>
        <v/>
      </c>
      <c r="D430" s="11">
        <f>_xlfn.XLOOKUP(표14[[#This Row],[importance]],표15[importance],표15[rating])</f>
        <v/>
      </c>
      <c r="E430" s="1" t="inlineStr">
        <is>
          <t>UPR</t>
        </is>
      </c>
      <c r="F430" s="1" t="inlineStr">
        <is>
          <t>Land transportation components</t>
        </is>
      </c>
      <c r="G430" s="1" t="inlineStr">
        <is>
          <t>Automotive components &amp; lightweighting</t>
        </is>
      </c>
      <c r="H430" s="1" t="inlineStr">
        <is>
          <t>Automotive &amp; Future Mobility</t>
        </is>
      </c>
      <c r="I430" s="1" t="inlineStr">
        <is>
          <t>Secondary</t>
        </is>
      </c>
      <c r="J430" s="1" t="inlineStr">
        <is>
          <t>금속 대체 경량 부품, SMC/BMC 자동차·트럭 부품에 사용.</t>
        </is>
      </c>
      <c r="K430" s="1" t="inlineStr">
        <is>
          <t>Existing</t>
        </is>
      </c>
      <c r="L430" s="11" t="n"/>
    </row>
    <row r="431" ht="33" customHeight="1" s="179">
      <c r="A431" s="11">
        <f>_xlfn.XLOOKUP(표14[[#This Row],[material_name]],표2[material_name],표2[material_id])</f>
        <v/>
      </c>
      <c r="B431" s="11">
        <f>_xlfn.XLOOKUP(표14[[#This Row],[application_taxonomy]],표11[application_taxonomy],표11[app_id])</f>
        <v/>
      </c>
      <c r="C431" s="11">
        <f>_xlfn.XLOOKUP(표14[[#This Row],[end_use_industry]],표13[end_use_category],표13[end_use_id])</f>
        <v/>
      </c>
      <c r="D431" s="11">
        <f>_xlfn.XLOOKUP(표14[[#This Row],[importance]],표15[importance],표15[rating])</f>
        <v/>
      </c>
      <c r="E431" s="1" t="inlineStr">
        <is>
          <t>UPR</t>
        </is>
      </c>
      <c r="F431" s="1" t="inlineStr">
        <is>
          <t>Gel coats, coatings and top coats</t>
        </is>
      </c>
      <c r="G431" s="1" t="inlineStr">
        <is>
          <t>Surface coating</t>
        </is>
      </c>
      <c r="H431" s="1" t="inlineStr">
        <is>
          <t>Industrial Goods &amp; Advanced Manufacturing</t>
        </is>
      </c>
      <c r="I431" s="1" t="inlineStr">
        <is>
          <t>Secondary</t>
        </is>
      </c>
      <c r="J431" s="1" t="inlineStr">
        <is>
          <t>gel coat, wood coating, top coat 등 coating 계열 수요.</t>
        </is>
      </c>
      <c r="K431" s="1" t="inlineStr">
        <is>
          <t>Existing</t>
        </is>
      </c>
      <c r="L431" s="11" t="n"/>
    </row>
    <row r="432" ht="33" customHeight="1" s="179">
      <c r="A432" s="11">
        <f>_xlfn.XLOOKUP(표14[[#This Row],[material_name]],표2[material_name],표2[material_id])</f>
        <v/>
      </c>
      <c r="B432" s="11">
        <f>_xlfn.XLOOKUP(표14[[#This Row],[application_taxonomy]],표11[application_taxonomy],표11[app_id])</f>
        <v/>
      </c>
      <c r="C432" s="11">
        <f>_xlfn.XLOOKUP(표14[[#This Row],[end_use_industry]],표13[end_use_category],표13[end_use_id])</f>
        <v/>
      </c>
      <c r="D432" s="11">
        <f>_xlfn.XLOOKUP(표14[[#This Row],[importance]],표15[importance],표15[rating])</f>
        <v/>
      </c>
      <c r="E432" s="1" t="inlineStr">
        <is>
          <t>UPR</t>
        </is>
      </c>
      <c r="F432" s="1" t="inlineStr">
        <is>
          <t>Cultured marble / solid-surface countertops / polymer concrete</t>
        </is>
      </c>
      <c r="G432" s="1" t="inlineStr">
        <is>
          <t>Building materials &amp; profiles</t>
        </is>
      </c>
      <c r="H432" s="1" t="inlineStr">
        <is>
          <t>Construction &amp; Infrastructure</t>
        </is>
      </c>
      <c r="I432" s="1" t="inlineStr">
        <is>
          <t>Secondary</t>
        </is>
      </c>
      <c r="J432" s="1" t="inlineStr">
        <is>
          <t>비보강 UPR의 건축·인테리어 재료 application.</t>
        </is>
      </c>
      <c r="K432" s="1" t="inlineStr">
        <is>
          <t>Existing</t>
        </is>
      </c>
      <c r="L432" s="11" t="n"/>
    </row>
    <row r="433" ht="33" customHeight="1" s="179">
      <c r="A433" s="11">
        <f>_xlfn.XLOOKUP(표14[[#This Row],[material_name]],표2[material_name],표2[material_id])</f>
        <v/>
      </c>
      <c r="B433" s="11">
        <f>_xlfn.XLOOKUP(표14[[#This Row],[application_taxonomy]],표11[application_taxonomy],표11[app_id])</f>
        <v/>
      </c>
      <c r="C433" s="11">
        <f>_xlfn.XLOOKUP(표14[[#This Row],[end_use_industry]],표13[end_use_category],표13[end_use_id])</f>
        <v/>
      </c>
      <c r="D433" s="11">
        <f>_xlfn.XLOOKUP(표14[[#This Row],[importance]],표15[importance],표15[rating])</f>
        <v/>
      </c>
      <c r="E433" s="1" t="inlineStr">
        <is>
          <t>ENB</t>
        </is>
      </c>
      <c r="F433" s="1" t="inlineStr">
        <is>
          <t>EPDM terpolymer monomer</t>
        </is>
      </c>
      <c r="G433" s="1" t="inlineStr">
        <is>
          <t>Major chemical intermediate</t>
        </is>
      </c>
      <c r="H433" s="1" t="inlineStr">
        <is>
          <t>Industrial Goods &amp; Advanced Manufacturing</t>
        </is>
      </c>
      <c r="I433" s="1" t="inlineStr">
        <is>
          <t>Primary</t>
        </is>
      </c>
      <c r="J433" s="1" t="inlineStr">
        <is>
          <t>ENB는 EPDM 제조에 사용되는 대표적인 diene comonomer이며 대부분의 상업적 수요가 이에 집중됨.</t>
        </is>
      </c>
      <c r="K433" s="1" t="inlineStr">
        <is>
          <t>Existing</t>
        </is>
      </c>
      <c r="L433" s="11" t="inlineStr">
        <is>
          <t>GPT</t>
        </is>
      </c>
    </row>
    <row r="434" ht="33" customHeight="1" s="179">
      <c r="A434" s="11">
        <f>_xlfn.XLOOKUP(표14[[#This Row],[material_name]],표2[material_name],표2[material_id])</f>
        <v/>
      </c>
      <c r="B434" s="11">
        <f>_xlfn.XLOOKUP(표14[[#This Row],[application_taxonomy]],표11[application_taxonomy],표11[app_id])</f>
        <v/>
      </c>
      <c r="C434" s="11">
        <f>_xlfn.XLOOKUP(표14[[#This Row],[end_use_industry]],표13[end_use_category],표13[end_use_id])</f>
        <v/>
      </c>
      <c r="D434" s="11">
        <f>_xlfn.XLOOKUP(표14[[#This Row],[importance]],표15[importance],표15[rating])</f>
        <v/>
      </c>
      <c r="E434" s="1" t="inlineStr">
        <is>
          <t>ENB</t>
        </is>
      </c>
      <c r="F434" s="1" t="inlineStr">
        <is>
          <t>High-performance elastomer intermediate</t>
        </is>
      </c>
      <c r="G434" s="1" t="inlineStr">
        <is>
          <t>Specialty chemical intermediate</t>
        </is>
      </c>
      <c r="H434" s="1" t="inlineStr">
        <is>
          <t>Industrial Goods &amp; Advanced Manufacturing</t>
        </is>
      </c>
      <c r="I434" s="1" t="inlineStr">
        <is>
          <t>Secondary</t>
        </is>
      </c>
      <c r="J434" s="1" t="inlineStr">
        <is>
          <t>일부 특수 엘라스토머 및 기능성 고분자 합성의 중간체로 활용됨.</t>
        </is>
      </c>
      <c r="K434" s="1" t="inlineStr">
        <is>
          <t>Existing</t>
        </is>
      </c>
      <c r="L434" s="11" t="inlineStr">
        <is>
          <t>GPT</t>
        </is>
      </c>
    </row>
    <row r="435" ht="33" customHeight="1" s="179">
      <c r="A435" s="11">
        <f>_xlfn.XLOOKUP(표14[[#This Row],[material_name]],표2[material_name],표2[material_id])</f>
        <v/>
      </c>
      <c r="B435" s="11">
        <f>_xlfn.XLOOKUP(표14[[#This Row],[application_taxonomy]],표11[application_taxonomy],표11[app_id])</f>
        <v/>
      </c>
      <c r="C435" s="11">
        <f>_xlfn.XLOOKUP(표14[[#This Row],[end_use_industry]],표13[end_use_category],표13[end_use_id])</f>
        <v/>
      </c>
      <c r="D435" s="11">
        <f>_xlfn.XLOOKUP(표14[[#This Row],[importance]],표15[importance],표15[rating])</f>
        <v/>
      </c>
      <c r="E435" s="1" t="inlineStr">
        <is>
          <t>ENB</t>
        </is>
      </c>
      <c r="F435" s="1" t="inlineStr">
        <is>
          <t>Specialty resin intermediate</t>
        </is>
      </c>
      <c r="G435" s="1" t="inlineStr">
        <is>
          <t>Specialty chemical intermediate</t>
        </is>
      </c>
      <c r="H435" s="1" t="inlineStr">
        <is>
          <t>Industrial Goods &amp; Advanced Manufacturing</t>
        </is>
      </c>
      <c r="I435" s="1" t="inlineStr">
        <is>
          <t>Niche / Emerging</t>
        </is>
      </c>
      <c r="J435" s="1" t="inlineStr">
        <is>
          <t>일부 고기능 수지 및 유기합성 원료로 제한적으로 사용됨.</t>
        </is>
      </c>
      <c r="K435" s="1" t="inlineStr">
        <is>
          <t>Existing</t>
        </is>
      </c>
      <c r="L435" s="11" t="inlineStr">
        <is>
          <t>GPT</t>
        </is>
      </c>
    </row>
    <row r="436" ht="33" customHeight="1" s="179">
      <c r="A436" s="11">
        <f>_xlfn.XLOOKUP(표14[[#This Row],[material_name]],표2[material_name],표2[material_id])</f>
        <v/>
      </c>
      <c r="B436" s="11">
        <f>_xlfn.XLOOKUP(표14[[#This Row],[application_taxonomy]],표11[application_taxonomy],표11[app_id])</f>
        <v/>
      </c>
      <c r="C436" s="11">
        <f>_xlfn.XLOOKUP(표14[[#This Row],[end_use_industry]],표13[end_use_category],표13[end_use_id])</f>
        <v/>
      </c>
      <c r="D436" s="11">
        <f>_xlfn.XLOOKUP(표14[[#This Row],[importance]],표15[importance],표15[rating])</f>
        <v/>
      </c>
      <c r="E436" s="1" t="inlineStr">
        <is>
          <t>PolyDCPD</t>
        </is>
      </c>
      <c r="F436" s="1" t="inlineStr">
        <is>
          <t>Large structural molded parts</t>
        </is>
      </c>
      <c r="G436" s="1" t="inlineStr">
        <is>
          <t>Composite &amp; performance resins</t>
        </is>
      </c>
      <c r="H436" s="1" t="inlineStr">
        <is>
          <t>Industrial Goods &amp; Advanced Manufacturing</t>
        </is>
      </c>
      <c r="I436" s="1" t="inlineStr">
        <is>
          <t>Primary</t>
        </is>
      </c>
      <c r="J436" s="1" t="inlineStr">
        <is>
          <t>PolyDCPD의 대표 용도로 대형 구조용 성형품 제작에 가장 많이 사용됨.</t>
        </is>
      </c>
      <c r="K436" s="1" t="inlineStr">
        <is>
          <t>Existing</t>
        </is>
      </c>
      <c r="L436" s="11" t="inlineStr">
        <is>
          <t>GPT</t>
        </is>
      </c>
    </row>
    <row r="437" ht="33" customHeight="1" s="179">
      <c r="A437" s="11">
        <f>_xlfn.XLOOKUP(표14[[#This Row],[material_name]],표2[material_name],표2[material_id])</f>
        <v/>
      </c>
      <c r="B437" s="11">
        <f>_xlfn.XLOOKUP(표14[[#This Row],[application_taxonomy]],표11[application_taxonomy],표11[app_id])</f>
        <v/>
      </c>
      <c r="C437" s="11">
        <f>_xlfn.XLOOKUP(표14[[#This Row],[end_use_industry]],표13[end_use_category],표13[end_use_id])</f>
        <v/>
      </c>
      <c r="D437" s="11">
        <f>_xlfn.XLOOKUP(표14[[#This Row],[importance]],표15[importance],표15[rating])</f>
        <v/>
      </c>
      <c r="E437" s="1" t="inlineStr">
        <is>
          <t>PolyDCPD</t>
        </is>
      </c>
      <c r="F437" s="1" t="inlineStr">
        <is>
          <t>Automotive body panels</t>
        </is>
      </c>
      <c r="G437" s="1" t="inlineStr">
        <is>
          <t>Automotive components &amp; lightweighting</t>
        </is>
      </c>
      <c r="H437" s="1" t="inlineStr">
        <is>
          <t>Automotive &amp; Future Mobility</t>
        </is>
      </c>
      <c r="I437" s="1" t="inlineStr">
        <is>
          <t>Primary</t>
        </is>
      </c>
      <c r="J437" s="1" t="inlineStr">
        <is>
          <t>트럭, 버스, 농기계 등의 외장 패널에 적용되어 경량화와 높은 충격강도를 제공함.</t>
        </is>
      </c>
      <c r="K437" s="1" t="inlineStr">
        <is>
          <t>Existing</t>
        </is>
      </c>
      <c r="L437" s="11" t="inlineStr">
        <is>
          <t>GPT</t>
        </is>
      </c>
    </row>
    <row r="438" ht="33" customHeight="1" s="179">
      <c r="A438" s="11">
        <f>_xlfn.XLOOKUP(표14[[#This Row],[material_name]],표2[material_name],표2[material_id])</f>
        <v/>
      </c>
      <c r="B438" s="11">
        <f>_xlfn.XLOOKUP(표14[[#This Row],[application_taxonomy]],표11[application_taxonomy],표11[app_id])</f>
        <v/>
      </c>
      <c r="C438" s="11">
        <f>_xlfn.XLOOKUP(표14[[#This Row],[end_use_industry]],표13[end_use_category],표13[end_use_id])</f>
        <v/>
      </c>
      <c r="D438" s="11">
        <f>_xlfn.XLOOKUP(표14[[#This Row],[importance]],표15[importance],표15[rating])</f>
        <v/>
      </c>
      <c r="E438" s="1" t="inlineStr">
        <is>
          <t>PolyDCPD</t>
        </is>
      </c>
      <c r="F438" s="1" t="inlineStr">
        <is>
          <t>Agricultural and construction equipment body panels</t>
        </is>
      </c>
      <c r="G438" s="1" t="inlineStr">
        <is>
          <t>Automotive components &amp; lightweighting</t>
        </is>
      </c>
      <c r="H438" s="1" t="inlineStr">
        <is>
          <t>Construction &amp; Infrastructure</t>
        </is>
      </c>
      <c r="I438" s="1" t="inlineStr">
        <is>
          <t>Secondary</t>
        </is>
      </c>
      <c r="J438" s="1" t="inlineStr">
        <is>
          <t>농기계 및 건설장비의 후드, 펜더, 커버 등에 널리 적용됨.</t>
        </is>
      </c>
      <c r="K438" s="1" t="inlineStr">
        <is>
          <t>Existing</t>
        </is>
      </c>
      <c r="L438" s="11" t="inlineStr">
        <is>
          <t>GPT</t>
        </is>
      </c>
    </row>
    <row r="439" ht="33" customHeight="1" s="179">
      <c r="A439" s="11">
        <f>_xlfn.XLOOKUP(표14[[#This Row],[material_name]],표2[material_name],표2[material_id])</f>
        <v/>
      </c>
      <c r="B439" s="11">
        <f>_xlfn.XLOOKUP(표14[[#This Row],[application_taxonomy]],표11[application_taxonomy],표11[app_id])</f>
        <v/>
      </c>
      <c r="C439" s="11">
        <f>_xlfn.XLOOKUP(표14[[#This Row],[end_use_industry]],표13[end_use_category],표13[end_use_id])</f>
        <v/>
      </c>
      <c r="D439" s="11">
        <f>_xlfn.XLOOKUP(표14[[#This Row],[importance]],표15[importance],표15[rating])</f>
        <v/>
      </c>
      <c r="E439" s="1" t="inlineStr">
        <is>
          <t>PolyDCPD</t>
        </is>
      </c>
      <c r="F439" s="1" t="inlineStr">
        <is>
          <t>Chemical storage tanks and process equipment</t>
        </is>
      </c>
      <c r="G439" s="1" t="inlineStr">
        <is>
          <t>Composite &amp; performance resins</t>
        </is>
      </c>
      <c r="H439" s="1" t="inlineStr">
        <is>
          <t>Industrial Goods &amp; Advanced Manufacturing</t>
        </is>
      </c>
      <c r="I439" s="1" t="inlineStr">
        <is>
          <t>Secondary</t>
        </is>
      </c>
      <c r="J439" s="1" t="inlineStr">
        <is>
          <t>우수한 내화학성을 활용한 산업용 탱크 및 공정장비 제작에 사용됨.</t>
        </is>
      </c>
      <c r="K439" s="1" t="inlineStr">
        <is>
          <t>Existing</t>
        </is>
      </c>
      <c r="L439" s="11" t="inlineStr">
        <is>
          <t>GPT</t>
        </is>
      </c>
    </row>
    <row r="440" ht="33" customHeight="1" s="179">
      <c r="A440" s="11">
        <f>_xlfn.XLOOKUP(표14[[#This Row],[material_name]],표2[material_name],표2[material_id])</f>
        <v/>
      </c>
      <c r="B440" s="11">
        <f>_xlfn.XLOOKUP(표14[[#This Row],[application_taxonomy]],표11[application_taxonomy],표11[app_id])</f>
        <v/>
      </c>
      <c r="C440" s="11">
        <f>_xlfn.XLOOKUP(표14[[#This Row],[end_use_industry]],표13[end_use_category],표13[end_use_id])</f>
        <v/>
      </c>
      <c r="D440" s="11">
        <f>_xlfn.XLOOKUP(표14[[#This Row],[importance]],표15[importance],표15[rating])</f>
        <v/>
      </c>
      <c r="E440" s="1" t="inlineStr">
        <is>
          <t>PolyDCPD</t>
        </is>
      </c>
      <c r="F440" s="1" t="inlineStr">
        <is>
          <t>Corrosion-resistant housings and enclosures</t>
        </is>
      </c>
      <c r="G440" s="1" t="inlineStr">
        <is>
          <t>Composite &amp; performance resins</t>
        </is>
      </c>
      <c r="H440" s="1" t="inlineStr">
        <is>
          <t>Industrial Goods &amp; Advanced Manufacturing</t>
        </is>
      </c>
      <c r="I440" s="1" t="inlineStr">
        <is>
          <t>Secondary</t>
        </is>
      </c>
      <c r="J440" s="1" t="inlineStr">
        <is>
          <t>산업설비 외함 및 부식 환경용 구조물에 적용됨.</t>
        </is>
      </c>
      <c r="K440" s="1" t="inlineStr">
        <is>
          <t>Existing</t>
        </is>
      </c>
      <c r="L440" s="11" t="inlineStr">
        <is>
          <t>GPT</t>
        </is>
      </c>
    </row>
    <row r="441" ht="33" customHeight="1" s="179">
      <c r="A441" s="11">
        <f>_xlfn.XLOOKUP(표14[[#This Row],[material_name]],표2[material_name],표2[material_id])</f>
        <v/>
      </c>
      <c r="B441" s="11">
        <f>_xlfn.XLOOKUP(표14[[#This Row],[application_taxonomy]],표11[application_taxonomy],표11[app_id])</f>
        <v/>
      </c>
      <c r="C441" s="11">
        <f>_xlfn.XLOOKUP(표14[[#This Row],[end_use_industry]],표13[end_use_category],표13[end_use_id])</f>
        <v/>
      </c>
      <c r="D441" s="11">
        <f>_xlfn.XLOOKUP(표14[[#This Row],[importance]],표15[importance],표15[rating])</f>
        <v/>
      </c>
      <c r="E441" s="1" t="inlineStr">
        <is>
          <t>PolyDCPD</t>
        </is>
      </c>
      <c r="F441" s="1" t="inlineStr">
        <is>
          <t>Marine components</t>
        </is>
      </c>
      <c r="G441" s="1" t="inlineStr">
        <is>
          <t>Composite &amp; performance resins</t>
        </is>
      </c>
      <c r="H441" s="1" t="inlineStr">
        <is>
          <t>Industrial Goods &amp; Advanced Manufacturing</t>
        </is>
      </c>
      <c r="I441" s="1" t="inlineStr">
        <is>
          <t>Niche / Emerging</t>
        </is>
      </c>
      <c r="J441" s="1" t="inlineStr">
        <is>
          <t>내수성 및 내식성을 활용한 선박·해양 부품에 제한적으로 사용됨.</t>
        </is>
      </c>
      <c r="K441" s="1" t="inlineStr">
        <is>
          <t>Existing</t>
        </is>
      </c>
      <c r="L441" s="11" t="inlineStr">
        <is>
          <t>GPT</t>
        </is>
      </c>
    </row>
    <row r="442" ht="33" customHeight="1" s="179">
      <c r="A442" s="11">
        <f>_xlfn.XLOOKUP(표14[[#This Row],[material_name]],표2[material_name],표2[material_id])</f>
        <v/>
      </c>
      <c r="B442" s="11">
        <f>_xlfn.XLOOKUP(표14[[#This Row],[application_taxonomy]],표11[application_taxonomy],표11[app_id])</f>
        <v/>
      </c>
      <c r="C442" s="11">
        <f>_xlfn.XLOOKUP(표14[[#This Row],[end_use_industry]],표13[end_use_category],표13[end_use_id])</f>
        <v/>
      </c>
      <c r="D442" s="11">
        <f>_xlfn.XLOOKUP(표14[[#This Row],[importance]],표15[importance],표15[rating])</f>
        <v/>
      </c>
      <c r="E442" s="1" t="inlineStr">
        <is>
          <t>COP</t>
        </is>
      </c>
      <c r="F442" s="1" t="inlineStr">
        <is>
          <t>Optical lenses</t>
        </is>
      </c>
      <c r="G442" s="1" t="inlineStr">
        <is>
          <t>Display &amp; optical materials</t>
        </is>
      </c>
      <c r="H442" s="1" t="inlineStr">
        <is>
          <t>Electronics, Semiconductors &amp; Digital Infrastructure</t>
        </is>
      </c>
      <c r="I442" s="1" t="inlineStr">
        <is>
          <t>Primary</t>
        </is>
      </c>
      <c r="J442" s="1" t="inlineStr">
        <is>
          <t>높은 투명성, 낮은 복굴절 및 우수한 치수안정성으로 광학렌즈의 대표 소재임.</t>
        </is>
      </c>
      <c r="K442" s="1" t="inlineStr">
        <is>
          <t>Existing</t>
        </is>
      </c>
      <c r="L442" s="11" t="inlineStr">
        <is>
          <t>GPT</t>
        </is>
      </c>
    </row>
    <row r="443" ht="33" customHeight="1" s="179">
      <c r="A443" s="11">
        <f>_xlfn.XLOOKUP(표14[[#This Row],[material_name]],표2[material_name],표2[material_id])</f>
        <v/>
      </c>
      <c r="B443" s="11">
        <f>_xlfn.XLOOKUP(표14[[#This Row],[application_taxonomy]],표11[application_taxonomy],표11[app_id])</f>
        <v/>
      </c>
      <c r="C443" s="11">
        <f>_xlfn.XLOOKUP(표14[[#This Row],[end_use_industry]],표13[end_use_category],표13[end_use_id])</f>
        <v/>
      </c>
      <c r="D443" s="11">
        <f>_xlfn.XLOOKUP(표14[[#This Row],[importance]],표15[importance],표15[rating])</f>
        <v/>
      </c>
      <c r="E443" s="1" t="inlineStr">
        <is>
          <t>COP</t>
        </is>
      </c>
      <c r="F443" s="1" t="inlineStr">
        <is>
          <t>Optical films</t>
        </is>
      </c>
      <c r="G443" s="1" t="inlineStr">
        <is>
          <t>Display &amp; optical materials</t>
        </is>
      </c>
      <c r="H443" s="1" t="inlineStr">
        <is>
          <t>Electronics, Semiconductors &amp; Digital Infrastructure</t>
        </is>
      </c>
      <c r="I443" s="1" t="inlineStr">
        <is>
          <t>Primary</t>
        </is>
      </c>
      <c r="J443" s="1" t="inlineStr">
        <is>
          <t>디스플레이 및 광학 필름에서 높은 광학 특성과 낮은 수분흡수율을 활용함.</t>
        </is>
      </c>
      <c r="K443" s="1" t="inlineStr">
        <is>
          <t>Existing</t>
        </is>
      </c>
      <c r="L443" s="11" t="inlineStr">
        <is>
          <t>GPT</t>
        </is>
      </c>
    </row>
    <row r="444" ht="33" customHeight="1" s="179">
      <c r="A444" s="11">
        <f>_xlfn.XLOOKUP(표14[[#This Row],[material_name]],표2[material_name],표2[material_id])</f>
        <v/>
      </c>
      <c r="B444" s="11">
        <f>_xlfn.XLOOKUP(표14[[#This Row],[application_taxonomy]],표11[application_taxonomy],표11[app_id])</f>
        <v/>
      </c>
      <c r="C444" s="11">
        <f>_xlfn.XLOOKUP(표14[[#This Row],[end_use_industry]],표13[end_use_category],표13[end_use_id])</f>
        <v/>
      </c>
      <c r="D444" s="11">
        <f>_xlfn.XLOOKUP(표14[[#This Row],[importance]],표15[importance],표15[rating])</f>
        <v/>
      </c>
      <c r="E444" s="1" t="inlineStr">
        <is>
          <t>COP</t>
        </is>
      </c>
      <c r="F444" s="1" t="inlineStr">
        <is>
          <t>Medical syringes and diagnostic cartridges</t>
        </is>
      </c>
      <c r="G444" s="1" t="inlineStr">
        <is>
          <t>Medical &amp; healthcare materials</t>
        </is>
      </c>
      <c r="H444" s="1" t="inlineStr">
        <is>
          <t>Healthcare &amp; Life Sciences</t>
        </is>
      </c>
      <c r="I444" s="1" t="inlineStr">
        <is>
          <t>Primary</t>
        </is>
      </c>
      <c r="J444" s="1" t="inlineStr">
        <is>
          <t>높은 생체적합성, 투명성 및 낮은 용출 특성으로 의료기기 및 진단용 소모품에 널리 사용됨.</t>
        </is>
      </c>
      <c r="K444" s="1" t="inlineStr">
        <is>
          <t>Existing</t>
        </is>
      </c>
      <c r="L444" s="11" t="inlineStr">
        <is>
          <t>GPT</t>
        </is>
      </c>
    </row>
    <row r="445" ht="33" customHeight="1" s="179">
      <c r="A445" s="11">
        <f>_xlfn.XLOOKUP(표14[[#This Row],[material_name]],표2[material_name],표2[material_id])</f>
        <v/>
      </c>
      <c r="B445" s="11">
        <f>_xlfn.XLOOKUP(표14[[#This Row],[application_taxonomy]],표11[application_taxonomy],표11[app_id])</f>
        <v/>
      </c>
      <c r="C445" s="11">
        <f>_xlfn.XLOOKUP(표14[[#This Row],[end_use_industry]],표13[end_use_category],표13[end_use_id])</f>
        <v/>
      </c>
      <c r="D445" s="11">
        <f>_xlfn.XLOOKUP(표14[[#This Row],[importance]],표15[importance],표15[rating])</f>
        <v/>
      </c>
      <c r="E445" s="1" t="inlineStr">
        <is>
          <t>COP</t>
        </is>
      </c>
      <c r="F445" s="1" t="inlineStr">
        <is>
          <t>Pharmaceutical packaging</t>
        </is>
      </c>
      <c r="G445" s="1" t="inlineStr">
        <is>
          <t>Barrier packaging</t>
        </is>
      </c>
      <c r="H445" s="1" t="inlineStr">
        <is>
          <t>Healthcare &amp; Life Sciences</t>
        </is>
      </c>
      <c r="I445" s="1" t="inlineStr">
        <is>
          <t>Secondary</t>
        </is>
      </c>
      <c r="J445" s="1" t="inlineStr">
        <is>
          <t>수분 차단성과 화학적 안정성을 활용한 의약품 용기 및 포장재에 적용됨.</t>
        </is>
      </c>
      <c r="K445" s="1" t="inlineStr">
        <is>
          <t>Existing</t>
        </is>
      </c>
      <c r="L445" s="11" t="inlineStr">
        <is>
          <t>GPT</t>
        </is>
      </c>
    </row>
    <row r="446" ht="33" customHeight="1" s="179">
      <c r="A446" s="11">
        <f>_xlfn.XLOOKUP(표14[[#This Row],[material_name]],표2[material_name],표2[material_id])</f>
        <v/>
      </c>
      <c r="B446" s="11">
        <f>_xlfn.XLOOKUP(표14[[#This Row],[application_taxonomy]],표11[application_taxonomy],표11[app_id])</f>
        <v/>
      </c>
      <c r="C446" s="11">
        <f>_xlfn.XLOOKUP(표14[[#This Row],[end_use_industry]],표13[end_use_category],표13[end_use_id])</f>
        <v/>
      </c>
      <c r="D446" s="11">
        <f>_xlfn.XLOOKUP(표14[[#This Row],[importance]],표15[importance],표15[rating])</f>
        <v/>
      </c>
      <c r="E446" s="1" t="inlineStr">
        <is>
          <t>COP</t>
        </is>
      </c>
      <c r="F446" s="1" t="inlineStr">
        <is>
          <t>Microfluidic chips</t>
        </is>
      </c>
      <c r="G446" s="1" t="inlineStr">
        <is>
          <t>Medical &amp; healthcare materials</t>
        </is>
      </c>
      <c r="H446" s="1" t="inlineStr">
        <is>
          <t>Healthcare &amp; Life Sciences</t>
        </is>
      </c>
      <c r="I446" s="1" t="inlineStr">
        <is>
          <t>Secondary</t>
        </is>
      </c>
      <c r="J446" s="1" t="inlineStr">
        <is>
          <t>Lab-on-a-chip 및 체외진단(IVD)용 마이크로플루이딕 디바이스 소재로 활용됨.</t>
        </is>
      </c>
      <c r="K446" s="1" t="inlineStr">
        <is>
          <t>Existing</t>
        </is>
      </c>
      <c r="L446" s="11" t="inlineStr">
        <is>
          <t>GPT</t>
        </is>
      </c>
    </row>
    <row r="447" ht="33" customHeight="1" s="179">
      <c r="A447" s="11">
        <f>_xlfn.XLOOKUP(표14[[#This Row],[material_name]],표2[material_name],표2[material_id])</f>
        <v/>
      </c>
      <c r="B447" s="11">
        <f>_xlfn.XLOOKUP(표14[[#This Row],[application_taxonomy]],표11[application_taxonomy],표11[app_id])</f>
        <v/>
      </c>
      <c r="C447" s="11">
        <f>_xlfn.XLOOKUP(표14[[#This Row],[end_use_industry]],표13[end_use_category],표13[end_use_id])</f>
        <v/>
      </c>
      <c r="D447" s="11">
        <f>_xlfn.XLOOKUP(표14[[#This Row],[importance]],표15[importance],표15[rating])</f>
        <v/>
      </c>
      <c r="E447" s="1" t="inlineStr">
        <is>
          <t>COP</t>
        </is>
      </c>
      <c r="F447" s="1" t="inlineStr">
        <is>
          <t>Optical data storage components</t>
        </is>
      </c>
      <c r="G447" s="1" t="inlineStr">
        <is>
          <t>Display &amp; optical materials</t>
        </is>
      </c>
      <c r="H447" s="1" t="inlineStr">
        <is>
          <t>Electronics, Semiconductors &amp; Digital Infrastructure</t>
        </is>
      </c>
      <c r="I447" s="1" t="inlineStr">
        <is>
          <t>Secondary</t>
        </is>
      </c>
      <c r="J447" s="1" t="inlineStr">
        <is>
          <t>광디스크 및 정밀 광학 부품에 적용되는 고투명 엔지니어링 플라스틱임.</t>
        </is>
      </c>
      <c r="K447" s="1" t="inlineStr">
        <is>
          <t>Existing</t>
        </is>
      </c>
      <c r="L447" s="11" t="inlineStr">
        <is>
          <t>GPT</t>
        </is>
      </c>
    </row>
    <row r="448" ht="33" customHeight="1" s="179">
      <c r="A448" s="11">
        <f>_xlfn.XLOOKUP(표14[[#This Row],[material_name]],표2[material_name],표2[material_id])</f>
        <v/>
      </c>
      <c r="B448" s="11">
        <f>_xlfn.XLOOKUP(표14[[#This Row],[application_taxonomy]],표11[application_taxonomy],표11[app_id])</f>
        <v/>
      </c>
      <c r="C448" s="11">
        <f>_xlfn.XLOOKUP(표14[[#This Row],[end_use_industry]],표13[end_use_category],표13[end_use_id])</f>
        <v/>
      </c>
      <c r="D448" s="11">
        <f>_xlfn.XLOOKUP(표14[[#This Row],[importance]],표15[importance],표15[rating])</f>
        <v/>
      </c>
      <c r="E448" s="1" t="inlineStr">
        <is>
          <t>COP</t>
        </is>
      </c>
      <c r="F448" s="1" t="inlineStr">
        <is>
          <t>Precision optical components</t>
        </is>
      </c>
      <c r="G448" s="1" t="inlineStr">
        <is>
          <t>Display &amp; optical materials</t>
        </is>
      </c>
      <c r="H448" s="1" t="inlineStr">
        <is>
          <t>Electronics, Semiconductors &amp; Digital Infrastructure</t>
        </is>
      </c>
      <c r="I448" s="1" t="inlineStr">
        <is>
          <t>Secondary</t>
        </is>
      </c>
      <c r="J448" s="1" t="inlineStr">
        <is>
          <t>카메라 모듈, 센서, 광학 부품 등 정밀 성형이 필요한 분야에 사용됨.</t>
        </is>
      </c>
      <c r="K448" s="1" t="inlineStr">
        <is>
          <t>Existing</t>
        </is>
      </c>
      <c r="L448" s="11" t="inlineStr">
        <is>
          <t>GPT</t>
        </is>
      </c>
    </row>
    <row r="449" ht="33" customHeight="1" s="179">
      <c r="A449" s="11">
        <f>_xlfn.XLOOKUP(표14[[#This Row],[material_name]],표2[material_name],표2[material_id])</f>
        <v/>
      </c>
      <c r="B449" s="11">
        <f>_xlfn.XLOOKUP(표14[[#This Row],[application_taxonomy]],표11[application_taxonomy],표11[app_id])</f>
        <v/>
      </c>
      <c r="C449" s="11">
        <f>_xlfn.XLOOKUP(표14[[#This Row],[end_use_industry]],표13[end_use_category],표13[end_use_id])</f>
        <v/>
      </c>
      <c r="D449" s="11">
        <f>_xlfn.XLOOKUP(표14[[#This Row],[importance]],표15[importance],표15[rating])</f>
        <v/>
      </c>
      <c r="E449" s="1" t="inlineStr">
        <is>
          <t>C5 Resin</t>
        </is>
      </c>
      <c r="F449" s="1" t="inlineStr">
        <is>
          <t>Hot-melt adhesives</t>
        </is>
      </c>
      <c r="G449" s="1" t="inlineStr">
        <is>
          <t>Adhesive bonding</t>
        </is>
      </c>
      <c r="H449" s="1" t="inlineStr">
        <is>
          <t>Industrial Goods &amp; Advanced Manufacturing</t>
        </is>
      </c>
      <c r="I449" s="1" t="inlineStr">
        <is>
          <t>Primary</t>
        </is>
      </c>
      <c r="J449" s="1" t="inlineStr">
        <is>
          <t>C5 Resin의 최대 수요처로 포장 및 산업용 HMA의 대표 tackifier임.</t>
        </is>
      </c>
      <c r="K449" s="1" t="inlineStr">
        <is>
          <t>Existing</t>
        </is>
      </c>
      <c r="L449" s="11" t="inlineStr">
        <is>
          <t>GPT</t>
        </is>
      </c>
    </row>
    <row r="450" ht="33" customHeight="1" s="179">
      <c r="A450" s="11">
        <f>_xlfn.XLOOKUP(표14[[#This Row],[material_name]],표2[material_name],표2[material_id])</f>
        <v/>
      </c>
      <c r="B450" s="11">
        <f>_xlfn.XLOOKUP(표14[[#This Row],[application_taxonomy]],표11[application_taxonomy],표11[app_id])</f>
        <v/>
      </c>
      <c r="C450" s="11">
        <f>_xlfn.XLOOKUP(표14[[#This Row],[end_use_industry]],표13[end_use_category],표13[end_use_id])</f>
        <v/>
      </c>
      <c r="D450" s="11">
        <f>_xlfn.XLOOKUP(표14[[#This Row],[importance]],표15[importance],표15[rating])</f>
        <v/>
      </c>
      <c r="E450" s="1" t="inlineStr">
        <is>
          <t>C5 Resin</t>
        </is>
      </c>
      <c r="F450" s="1" t="inlineStr">
        <is>
          <t>Pressure-sensitive adhesives (PSA)</t>
        </is>
      </c>
      <c r="G450" s="1" t="inlineStr">
        <is>
          <t>Adhesive bonding</t>
        </is>
      </c>
      <c r="H450" s="1" t="inlineStr">
        <is>
          <t>Consumer Products &amp; Packaging</t>
        </is>
      </c>
      <c r="I450" s="1" t="inlineStr">
        <is>
          <t>Primary</t>
        </is>
      </c>
      <c r="J450" s="1" t="inlineStr">
        <is>
          <t>테이프, 라벨, 위생용 PSA의 점착력 향상을 위한 핵심 소재임.</t>
        </is>
      </c>
      <c r="K450" s="1" t="inlineStr">
        <is>
          <t>Existing</t>
        </is>
      </c>
      <c r="L450" s="11" t="inlineStr">
        <is>
          <t>GPT</t>
        </is>
      </c>
    </row>
    <row r="451">
      <c r="A451" s="11">
        <f>_xlfn.XLOOKUP(표14[[#This Row],[material_name]],표2[material_name],표2[material_id])</f>
        <v/>
      </c>
      <c r="B451" s="11">
        <f>_xlfn.XLOOKUP(표14[[#This Row],[application_taxonomy]],표11[application_taxonomy],표11[app_id])</f>
        <v/>
      </c>
      <c r="C451" s="11">
        <f>_xlfn.XLOOKUP(표14[[#This Row],[end_use_industry]],표13[end_use_category],표13[end_use_id])</f>
        <v/>
      </c>
      <c r="D451" s="11">
        <f>_xlfn.XLOOKUP(표14[[#This Row],[importance]],표15[importance],표15[rating])</f>
        <v/>
      </c>
      <c r="E451" s="1" t="inlineStr">
        <is>
          <t>C5 Resin</t>
        </is>
      </c>
      <c r="F451" s="1" t="inlineStr">
        <is>
          <t>Hygiene adhesives</t>
        </is>
      </c>
      <c r="G451" s="1" t="inlineStr">
        <is>
          <t>Adhesive bonding</t>
        </is>
      </c>
      <c r="H451" s="1" t="inlineStr">
        <is>
          <t>Consumer Products &amp; Packaging</t>
        </is>
      </c>
      <c r="I451" s="1" t="inlineStr">
        <is>
          <t>Primary</t>
        </is>
      </c>
      <c r="J451" s="1" t="inlineStr">
        <is>
          <t>기저귀, 생리대 등 위생용 접착제의 주요 tackifier로 사용됨.</t>
        </is>
      </c>
      <c r="K451" s="1" t="inlineStr">
        <is>
          <t>Existing</t>
        </is>
      </c>
      <c r="L451" s="11" t="inlineStr">
        <is>
          <t>GPT</t>
        </is>
      </c>
    </row>
    <row r="452">
      <c r="A452" s="11">
        <f>_xlfn.XLOOKUP(표14[[#This Row],[material_name]],표2[material_name],표2[material_id])</f>
        <v/>
      </c>
      <c r="B452" s="11">
        <f>_xlfn.XLOOKUP(표14[[#This Row],[application_taxonomy]],표11[application_taxonomy],표11[app_id])</f>
        <v/>
      </c>
      <c r="C452" s="11">
        <f>_xlfn.XLOOKUP(표14[[#This Row],[end_use_industry]],표13[end_use_category],표13[end_use_id])</f>
        <v/>
      </c>
      <c r="D452" s="11">
        <f>_xlfn.XLOOKUP(표14[[#This Row],[importance]],표15[importance],표15[rating])</f>
        <v/>
      </c>
      <c r="E452" s="1" t="inlineStr">
        <is>
          <t>C5 Resin</t>
        </is>
      </c>
      <c r="F452" s="1" t="inlineStr">
        <is>
          <t>Rubber compounding</t>
        </is>
      </c>
      <c r="G452" s="1" t="inlineStr">
        <is>
          <t>Tire &amp; rubber applications</t>
        </is>
      </c>
      <c r="H452" s="1" t="inlineStr">
        <is>
          <t>Automotive &amp; Future Mobility</t>
        </is>
      </c>
      <c r="I452" s="1" t="inlineStr">
        <is>
          <t>Secondary</t>
        </is>
      </c>
      <c r="J452" s="1" t="inlineStr">
        <is>
          <t>고무 배합 시 tackifier 및 가공성 향상 목적으로 사용됨.</t>
        </is>
      </c>
      <c r="K452" s="1" t="inlineStr">
        <is>
          <t>Existing</t>
        </is>
      </c>
      <c r="L452" s="11" t="inlineStr">
        <is>
          <t>GPT</t>
        </is>
      </c>
    </row>
    <row r="453">
      <c r="A453" s="11">
        <f>_xlfn.XLOOKUP(표14[[#This Row],[material_name]],표2[material_name],표2[material_id])</f>
        <v/>
      </c>
      <c r="B453" s="11">
        <f>_xlfn.XLOOKUP(표14[[#This Row],[application_taxonomy]],표11[application_taxonomy],표11[app_id])</f>
        <v/>
      </c>
      <c r="C453" s="11">
        <f>_xlfn.XLOOKUP(표14[[#This Row],[end_use_industry]],표13[end_use_category],표13[end_use_id])</f>
        <v/>
      </c>
      <c r="D453" s="11">
        <f>_xlfn.XLOOKUP(표14[[#This Row],[importance]],표15[importance],표15[rating])</f>
        <v/>
      </c>
      <c r="E453" s="1" t="inlineStr">
        <is>
          <t>C5 Resin</t>
        </is>
      </c>
      <c r="F453" s="1" t="inlineStr">
        <is>
          <t>Road-marking paints</t>
        </is>
      </c>
      <c r="G453" s="1" t="inlineStr">
        <is>
          <t>Surface coating</t>
        </is>
      </c>
      <c r="H453" s="1" t="inlineStr">
        <is>
          <t>Construction &amp; Infrastructure</t>
        </is>
      </c>
      <c r="I453" s="1" t="inlineStr">
        <is>
          <t>Secondary</t>
        </is>
      </c>
      <c r="J453" s="1" t="inlineStr">
        <is>
          <t>노면표시 도료의 접착성 및 내마모성 향상에 활용됨.</t>
        </is>
      </c>
      <c r="K453" s="1" t="inlineStr">
        <is>
          <t>Existing</t>
        </is>
      </c>
      <c r="L453" s="11" t="inlineStr">
        <is>
          <t>GPT</t>
        </is>
      </c>
    </row>
    <row r="454" ht="33" customHeight="1" s="179">
      <c r="A454" s="11">
        <f>_xlfn.XLOOKUP(표14[[#This Row],[material_name]],표2[material_name],표2[material_id])</f>
        <v/>
      </c>
      <c r="B454" s="11">
        <f>_xlfn.XLOOKUP(표14[[#This Row],[application_taxonomy]],표11[application_taxonomy],표11[app_id])</f>
        <v/>
      </c>
      <c r="C454" s="11">
        <f>_xlfn.XLOOKUP(표14[[#This Row],[end_use_industry]],표13[end_use_category],표13[end_use_id])</f>
        <v/>
      </c>
      <c r="D454" s="11">
        <f>_xlfn.XLOOKUP(표14[[#This Row],[importance]],표15[importance],표15[rating])</f>
        <v/>
      </c>
      <c r="E454" s="1" t="inlineStr">
        <is>
          <t>C5 Resin</t>
        </is>
      </c>
      <c r="F454" s="1" t="inlineStr">
        <is>
          <t>Industrial coatings</t>
        </is>
      </c>
      <c r="G454" s="1" t="inlineStr">
        <is>
          <t>Surface coating</t>
        </is>
      </c>
      <c r="H454" s="1" t="inlineStr">
        <is>
          <t>Industrial Goods &amp; Advanced Manufacturing</t>
        </is>
      </c>
      <c r="I454" s="1" t="inlineStr">
        <is>
          <t>Secondary</t>
        </is>
      </c>
      <c r="J454" s="1" t="inlineStr">
        <is>
          <t>산업용 도료의 접착력과 내구성 향상에 사용됨.</t>
        </is>
      </c>
      <c r="K454" s="1" t="inlineStr">
        <is>
          <t>Existing</t>
        </is>
      </c>
      <c r="L454" s="11" t="inlineStr">
        <is>
          <t>GPT</t>
        </is>
      </c>
    </row>
    <row r="455">
      <c r="A455" s="11">
        <f>_xlfn.XLOOKUP(표14[[#This Row],[material_name]],표2[material_name],표2[material_id])</f>
        <v/>
      </c>
      <c r="B455" s="11">
        <f>_xlfn.XLOOKUP(표14[[#This Row],[application_taxonomy]],표11[application_taxonomy],표11[app_id])</f>
        <v/>
      </c>
      <c r="C455" s="11">
        <f>_xlfn.XLOOKUP(표14[[#This Row],[end_use_industry]],표13[end_use_category],표13[end_use_id])</f>
        <v/>
      </c>
      <c r="D455" s="11">
        <f>_xlfn.XLOOKUP(표14[[#This Row],[importance]],표15[importance],표15[rating])</f>
        <v/>
      </c>
      <c r="E455" s="1" t="inlineStr">
        <is>
          <t>C5 Resin</t>
        </is>
      </c>
      <c r="F455" s="1" t="inlineStr">
        <is>
          <t>Printing inks</t>
        </is>
      </c>
      <c r="G455" s="1" t="inlineStr">
        <is>
          <t>Printing inks &amp; graphic materials</t>
        </is>
      </c>
      <c r="H455" s="1" t="inlineStr">
        <is>
          <t>Consumer Products &amp; Packaging</t>
        </is>
      </c>
      <c r="I455" s="1" t="inlineStr">
        <is>
          <t>Secondary</t>
        </is>
      </c>
      <c r="J455" s="1" t="inlineStr">
        <is>
          <t>인쇄잉크의 안료 분산성과 접착 특성 개선에 사용됨.</t>
        </is>
      </c>
      <c r="K455" s="1" t="inlineStr">
        <is>
          <t>Existing</t>
        </is>
      </c>
      <c r="L455" s="11" t="inlineStr">
        <is>
          <t>GPT</t>
        </is>
      </c>
    </row>
    <row r="456">
      <c r="A456" s="11">
        <f>_xlfn.XLOOKUP(표14[[#This Row],[material_name]],표2[material_name],표2[material_id])</f>
        <v/>
      </c>
      <c r="B456" s="11">
        <f>_xlfn.XLOOKUP(표14[[#This Row],[application_taxonomy]],표11[application_taxonomy],표11[app_id])</f>
        <v/>
      </c>
      <c r="C456" s="11">
        <f>_xlfn.XLOOKUP(표14[[#This Row],[end_use_industry]],표13[end_use_category],표13[end_use_id])</f>
        <v/>
      </c>
      <c r="D456" s="11">
        <f>_xlfn.XLOOKUP(표14[[#This Row],[importance]],표15[importance],표15[rating])</f>
        <v/>
      </c>
      <c r="E456" s="1" t="inlineStr">
        <is>
          <t>C5 Resin</t>
        </is>
      </c>
      <c r="F456" s="1" t="inlineStr">
        <is>
          <t>Sealants</t>
        </is>
      </c>
      <c r="G456" s="1" t="inlineStr">
        <is>
          <t>Sealants &amp; joint protection</t>
        </is>
      </c>
      <c r="H456" s="1" t="inlineStr">
        <is>
          <t>Construction &amp; Infrastructure</t>
        </is>
      </c>
      <c r="I456" s="1" t="inlineStr">
        <is>
          <t>Secondary</t>
        </is>
      </c>
      <c r="J456" s="1" t="inlineStr">
        <is>
          <t>건축 및 산업용 실란트의 점착성과 내구성을 향상시킴.</t>
        </is>
      </c>
      <c r="K456" s="1" t="inlineStr">
        <is>
          <t>Existing</t>
        </is>
      </c>
      <c r="L456" s="11" t="inlineStr">
        <is>
          <t>GPT</t>
        </is>
      </c>
    </row>
    <row r="457" ht="33" customHeight="1" s="179">
      <c r="A457" s="11">
        <f>_xlfn.XLOOKUP(표14[[#This Row],[material_name]],표2[material_name],표2[material_id])</f>
        <v/>
      </c>
      <c r="B457" s="11">
        <f>_xlfn.XLOOKUP(표14[[#This Row],[application_taxonomy]],표11[application_taxonomy],표11[app_id])</f>
        <v/>
      </c>
      <c r="C457" s="11">
        <f>_xlfn.XLOOKUP(표14[[#This Row],[end_use_industry]],표13[end_use_category],표13[end_use_id])</f>
        <v/>
      </c>
      <c r="D457" s="11">
        <f>_xlfn.XLOOKUP(표14[[#This Row],[importance]],표15[importance],표15[rating])</f>
        <v/>
      </c>
      <c r="E457" s="1" t="inlineStr">
        <is>
          <t>Chlorobenzene</t>
        </is>
      </c>
      <c r="F457" s="1" t="inlineStr">
        <is>
          <t>Nitrochlorobenzenes</t>
        </is>
      </c>
      <c r="G457" s="1" t="inlineStr">
        <is>
          <t>Specialty chemical intermediate</t>
        </is>
      </c>
      <c r="H457" s="1" t="inlineStr">
        <is>
          <t>Industrial Goods &amp; Advanced Manufacturing</t>
        </is>
      </c>
      <c r="I457" s="1" t="inlineStr">
        <is>
          <t>Primary</t>
        </is>
      </c>
      <c r="J457" s="1" t="inlineStr">
        <is>
          <t>monochlorobenzene 최대 용도이며 염료·안료·고무약품·농약·의약 중간체로 사용</t>
        </is>
      </c>
      <c r="K457" s="1" t="inlineStr">
        <is>
          <t>Existing</t>
        </is>
      </c>
      <c r="L457" s="11" t="n"/>
    </row>
    <row r="458" ht="33" customHeight="1" s="179">
      <c r="A458" s="11">
        <f>_xlfn.XLOOKUP(표14[[#This Row],[material_name]],표2[material_name],표2[material_id])</f>
        <v/>
      </c>
      <c r="B458" s="11">
        <f>_xlfn.XLOOKUP(표14[[#This Row],[application_taxonomy]],표11[application_taxonomy],표11[app_id])</f>
        <v/>
      </c>
      <c r="C458" s="11">
        <f>_xlfn.XLOOKUP(표14[[#This Row],[end_use_industry]],표13[end_use_category],표13[end_use_id])</f>
        <v/>
      </c>
      <c r="D458" s="11">
        <f>_xlfn.XLOOKUP(표14[[#This Row],[importance]],표15[importance],표15[rating])</f>
        <v/>
      </c>
      <c r="E458" s="1" t="inlineStr">
        <is>
          <t>Chlorobenzene</t>
        </is>
      </c>
      <c r="F458" s="1" t="inlineStr">
        <is>
          <t>Sulfone polymers</t>
        </is>
      </c>
      <c r="G458" s="1" t="inlineStr">
        <is>
          <t>Major chemical intermediate</t>
        </is>
      </c>
      <c r="H458" s="1" t="inlineStr">
        <is>
          <t>Electronics, Semiconductors &amp; Digital Infrastructure</t>
        </is>
      </c>
      <c r="I458" s="1" t="inlineStr">
        <is>
          <t>Secondary</t>
        </is>
      </c>
      <c r="J458" s="1" t="inlineStr">
        <is>
          <t>고내열 sulfone polymer 원료로 전기전자·의료·산업부품에 사용</t>
        </is>
      </c>
      <c r="K458" s="1" t="inlineStr">
        <is>
          <t>Existing</t>
        </is>
      </c>
      <c r="L458" s="11" t="n"/>
    </row>
    <row r="459" ht="33" customHeight="1" s="179">
      <c r="A459" s="11">
        <f>_xlfn.XLOOKUP(표14[[#This Row],[material_name]],표2[material_name],표2[material_id])</f>
        <v/>
      </c>
      <c r="B459" s="11">
        <f>_xlfn.XLOOKUP(표14[[#This Row],[application_taxonomy]],표11[application_taxonomy],표11[app_id])</f>
        <v/>
      </c>
      <c r="C459" s="11">
        <f>_xlfn.XLOOKUP(표14[[#This Row],[end_use_industry]],표13[end_use_category],표13[end_use_id])</f>
        <v/>
      </c>
      <c r="D459" s="11">
        <f>_xlfn.XLOOKUP(표14[[#This Row],[importance]],표15[importance],표15[rating])</f>
        <v/>
      </c>
      <c r="E459" s="1" t="inlineStr">
        <is>
          <t>Chlorobenzene</t>
        </is>
      </c>
      <c r="F459" s="1" t="inlineStr">
        <is>
          <t>Solvent use</t>
        </is>
      </c>
      <c r="G459" s="1" t="inlineStr">
        <is>
          <t>Solvent &amp; extraction</t>
        </is>
      </c>
      <c r="H459" s="1" t="inlineStr">
        <is>
          <t>Industrial Goods &amp; Advanced Manufacturing</t>
        </is>
      </c>
      <c r="I459" s="1" t="inlineStr">
        <is>
          <t>Secondary</t>
        </is>
      </c>
      <c r="J459" s="1" t="inlineStr">
        <is>
          <t>MDI/TDI 등 isocyanate 생산 및 공정 solvent 용도</t>
        </is>
      </c>
      <c r="K459" s="1" t="inlineStr">
        <is>
          <t>Existing</t>
        </is>
      </c>
      <c r="L459" s="11" t="n"/>
    </row>
    <row r="460" ht="33" customHeight="1" s="179">
      <c r="A460" s="11">
        <f>_xlfn.XLOOKUP(표14[[#This Row],[material_name]],표2[material_name],표2[material_id])</f>
        <v/>
      </c>
      <c r="B460" s="11">
        <f>_xlfn.XLOOKUP(표14[[#This Row],[application_taxonomy]],표11[application_taxonomy],표11[app_id])</f>
        <v/>
      </c>
      <c r="C460" s="11">
        <f>_xlfn.XLOOKUP(표14[[#This Row],[end_use_industry]],표13[end_use_category],표13[end_use_id])</f>
        <v/>
      </c>
      <c r="D460" s="11">
        <f>_xlfn.XLOOKUP(표14[[#This Row],[importance]],표15[importance],표15[rating])</f>
        <v/>
      </c>
      <c r="E460" s="1" t="inlineStr">
        <is>
          <t>Chlorobenzene</t>
        </is>
      </c>
      <c r="F460" s="1" t="inlineStr">
        <is>
          <t>Diphenyl ether / phenyl compounds</t>
        </is>
      </c>
      <c r="G460" s="1" t="inlineStr">
        <is>
          <t>Specialty chemical intermediate</t>
        </is>
      </c>
      <c r="H460" s="1" t="inlineStr">
        <is>
          <t>Industrial Goods &amp; Advanced Manufacturing</t>
        </is>
      </c>
      <c r="I460" s="1" t="inlineStr">
        <is>
          <t>Niche / Emerging</t>
        </is>
      </c>
      <c r="J460" s="1" t="inlineStr">
        <is>
          <t>phenyl ether 및 기타 유기합성 중간체 용도</t>
        </is>
      </c>
      <c r="K460" s="1" t="inlineStr">
        <is>
          <t>Existing</t>
        </is>
      </c>
      <c r="L460" s="11" t="n"/>
    </row>
    <row r="461" ht="33" customHeight="1" s="179">
      <c r="A461" s="11">
        <f>_xlfn.XLOOKUP(표14[[#This Row],[material_name]],표2[material_name],표2[material_id])</f>
        <v/>
      </c>
      <c r="B461" s="11">
        <f>_xlfn.XLOOKUP(표14[[#This Row],[application_taxonomy]],표11[application_taxonomy],표11[app_id])</f>
        <v/>
      </c>
      <c r="C461" s="11">
        <f>_xlfn.XLOOKUP(표14[[#This Row],[end_use_industry]],표13[end_use_category],표13[end_use_id])</f>
        <v/>
      </c>
      <c r="D461" s="11">
        <f>_xlfn.XLOOKUP(표14[[#This Row],[importance]],표15[importance],표15[rating])</f>
        <v/>
      </c>
      <c r="E461" s="1" t="inlineStr">
        <is>
          <t>Chlorobenzene</t>
        </is>
      </c>
      <c r="F461" s="1" t="inlineStr">
        <is>
          <t>Organic synthesis from o-dichlorobenzene</t>
        </is>
      </c>
      <c r="G461" s="1" t="inlineStr">
        <is>
          <t>Specialty chemical intermediate</t>
        </is>
      </c>
      <c r="H461" s="1" t="inlineStr">
        <is>
          <t>Industrial Goods &amp; Advanced Manufacturing</t>
        </is>
      </c>
      <c r="I461" s="1" t="inlineStr">
        <is>
          <t>Secondary</t>
        </is>
      </c>
      <c r="J461" s="1" t="inlineStr">
        <is>
          <t>o-DCB는 농약·의약·고무보조제·안료 중간체 생산에 사용</t>
        </is>
      </c>
      <c r="K461" s="1" t="inlineStr">
        <is>
          <t>Existing</t>
        </is>
      </c>
      <c r="L461" s="11" t="n"/>
    </row>
    <row r="462" ht="33" customHeight="1" s="179">
      <c r="A462" s="11">
        <f>_xlfn.XLOOKUP(표14[[#This Row],[material_name]],표2[material_name],표2[material_id])</f>
        <v/>
      </c>
      <c r="B462" s="11">
        <f>_xlfn.XLOOKUP(표14[[#This Row],[application_taxonomy]],표11[application_taxonomy],표11[app_id])</f>
        <v/>
      </c>
      <c r="C462" s="11">
        <f>_xlfn.XLOOKUP(표14[[#This Row],[end_use_industry]],표13[end_use_category],표13[end_use_id])</f>
        <v/>
      </c>
      <c r="D462" s="11">
        <f>_xlfn.XLOOKUP(표14[[#This Row],[importance]],표15[importance],표15[rating])</f>
        <v/>
      </c>
      <c r="E462" s="1" t="inlineStr">
        <is>
          <t>Chlorobenzene</t>
        </is>
      </c>
      <c r="F462" s="1" t="inlineStr">
        <is>
          <t>o-Dichlorobenzene solvent uses</t>
        </is>
      </c>
      <c r="G462" s="1" t="inlineStr">
        <is>
          <t>Solvent &amp; extraction</t>
        </is>
      </c>
      <c r="H462" s="1" t="inlineStr">
        <is>
          <t>Industrial Goods &amp; Advanced Manufacturing</t>
        </is>
      </c>
      <c r="I462" s="1" t="inlineStr">
        <is>
          <t>Niche / Emerging</t>
        </is>
      </c>
      <c r="J462" s="1" t="inlineStr">
        <is>
          <t>TDI process solvent 및 기타 solvent 용도</t>
        </is>
      </c>
      <c r="K462" s="1" t="inlineStr">
        <is>
          <t>Existing</t>
        </is>
      </c>
      <c r="L462" s="11" t="n"/>
    </row>
    <row r="463" ht="33" customHeight="1" s="179">
      <c r="A463" s="11">
        <f>_xlfn.XLOOKUP(표14[[#This Row],[material_name]],표2[material_name],표2[material_id])</f>
        <v/>
      </c>
      <c r="B463" s="11">
        <f>_xlfn.XLOOKUP(표14[[#This Row],[application_taxonomy]],표11[application_taxonomy],표11[app_id])</f>
        <v/>
      </c>
      <c r="C463" s="11">
        <f>_xlfn.XLOOKUP(표14[[#This Row],[end_use_industry]],표13[end_use_category],표13[end_use_id])</f>
        <v/>
      </c>
      <c r="D463" s="11">
        <f>_xlfn.XLOOKUP(표14[[#This Row],[importance]],표15[importance],표15[rating])</f>
        <v/>
      </c>
      <c r="E463" s="1" t="inlineStr">
        <is>
          <t>Chlorobenzene</t>
        </is>
      </c>
      <c r="F463" s="1" t="inlineStr">
        <is>
          <t>Polyphenylene sulfide resin</t>
        </is>
      </c>
      <c r="G463" s="1" t="inlineStr">
        <is>
          <t>Specialty chemical intermediate</t>
        </is>
      </c>
      <c r="H463" s="1" t="inlineStr">
        <is>
          <t>Electronics, Semiconductors &amp; Digital Infrastructure</t>
        </is>
      </c>
      <c r="I463" s="1" t="inlineStr">
        <is>
          <t>Primary</t>
        </is>
      </c>
      <c r="J463" s="1" t="inlineStr">
        <is>
          <t>p-DCB 최대 용도이며 PPS resin 생산이 2024년 p-DCB 수요의 약 62%</t>
        </is>
      </c>
      <c r="K463" s="1" t="inlineStr">
        <is>
          <t>Existing</t>
        </is>
      </c>
      <c r="L463" s="11" t="n"/>
    </row>
    <row r="464" ht="33" customHeight="1" s="179">
      <c r="A464" s="11">
        <f>_xlfn.XLOOKUP(표14[[#This Row],[material_name]],표2[material_name],표2[material_id])</f>
        <v/>
      </c>
      <c r="B464" s="11">
        <f>_xlfn.XLOOKUP(표14[[#This Row],[application_taxonomy]],표11[application_taxonomy],표11[app_id])</f>
        <v/>
      </c>
      <c r="C464" s="11">
        <f>_xlfn.XLOOKUP(표14[[#This Row],[end_use_industry]],표13[end_use_category],표13[end_use_id])</f>
        <v/>
      </c>
      <c r="D464" s="11">
        <f>_xlfn.XLOOKUP(표14[[#This Row],[importance]],표15[importance],표15[rating])</f>
        <v/>
      </c>
      <c r="E464" s="1" t="inlineStr">
        <is>
          <t>Chlorobenzene</t>
        </is>
      </c>
      <c r="F464" s="1" t="inlineStr">
        <is>
          <t>Moth control</t>
        </is>
      </c>
      <c r="G464" s="1" t="inlineStr">
        <is>
          <t>Crop protection &amp; agrochemical intermediates</t>
        </is>
      </c>
      <c r="H464" s="1" t="inlineStr">
        <is>
          <t>Consumer Products &amp; Packaging</t>
        </is>
      </c>
      <c r="I464" s="1" t="inlineStr">
        <is>
          <t>Secondary</t>
        </is>
      </c>
      <c r="J464" s="1" t="inlineStr">
        <is>
          <t>p-DCB의 방충제 용도이나 PPS보다 작음</t>
        </is>
      </c>
      <c r="K464" s="1" t="inlineStr">
        <is>
          <t>Existing</t>
        </is>
      </c>
      <c r="L464" s="11" t="n"/>
    </row>
    <row r="465">
      <c r="A465" s="11">
        <f>_xlfn.XLOOKUP(표14[[#This Row],[material_name]],표2[material_name],표2[material_id])</f>
        <v/>
      </c>
      <c r="B465" s="11">
        <f>_xlfn.XLOOKUP(표14[[#This Row],[application_taxonomy]],표11[application_taxonomy],표11[app_id])</f>
        <v/>
      </c>
      <c r="C465" s="11">
        <f>_xlfn.XLOOKUP(표14[[#This Row],[end_use_industry]],표13[end_use_category],표13[end_use_id])</f>
        <v/>
      </c>
      <c r="D465" s="11">
        <f>_xlfn.XLOOKUP(표14[[#This Row],[importance]],표15[importance],표15[rating])</f>
        <v/>
      </c>
      <c r="E465" s="1" t="inlineStr">
        <is>
          <t>Chlorobenzene</t>
        </is>
      </c>
      <c r="F465" s="1" t="inlineStr">
        <is>
          <t>Deodorant blocks</t>
        </is>
      </c>
      <c r="G465" s="1" t="inlineStr">
        <is>
          <t>Specialty chemical intermediate</t>
        </is>
      </c>
      <c r="H465" s="1" t="inlineStr">
        <is>
          <t>Consumer Products &amp; Packaging</t>
        </is>
      </c>
      <c r="I465" s="1" t="inlineStr">
        <is>
          <t>Secondary</t>
        </is>
      </c>
      <c r="J465" s="1" t="inlineStr">
        <is>
          <t>p-DCB의 실내 deodorant block 용도</t>
        </is>
      </c>
      <c r="K465" s="1" t="inlineStr">
        <is>
          <t>Existing</t>
        </is>
      </c>
      <c r="L465" s="11" t="n"/>
    </row>
    <row r="466" ht="33" customHeight="1" s="179">
      <c r="A466" s="11">
        <f>_xlfn.XLOOKUP(표14[[#This Row],[material_name]],표2[material_name],표2[material_id])</f>
        <v/>
      </c>
      <c r="B466" s="11">
        <f>_xlfn.XLOOKUP(표14[[#This Row],[application_taxonomy]],표11[application_taxonomy],표11[app_id])</f>
        <v/>
      </c>
      <c r="C466" s="11">
        <f>_xlfn.XLOOKUP(표14[[#This Row],[end_use_industry]],표13[end_use_category],표13[end_use_id])</f>
        <v/>
      </c>
      <c r="D466" s="11">
        <f>_xlfn.XLOOKUP(표14[[#This Row],[importance]],표15[importance],표15[rating])</f>
        <v/>
      </c>
      <c r="E466" s="1" t="inlineStr">
        <is>
          <t>Chlorobenzene</t>
        </is>
      </c>
      <c r="F466" s="1" t="inlineStr">
        <is>
          <t>Herbicide intermediates / dicamba</t>
        </is>
      </c>
      <c r="G466" s="1" t="inlineStr">
        <is>
          <t>Specialty chemical intermediate</t>
        </is>
      </c>
      <c r="H466" s="1" t="inlineStr">
        <is>
          <t>Industrial Goods &amp; Advanced Manufacturing</t>
        </is>
      </c>
      <c r="I466" s="1" t="inlineStr">
        <is>
          <t>Niche / Emerging</t>
        </is>
      </c>
      <c r="J466" s="1" t="inlineStr">
        <is>
          <t>규제 영향이 있는 소량 농약 중간체 용도</t>
        </is>
      </c>
      <c r="K466" s="1" t="inlineStr">
        <is>
          <t>Existing</t>
        </is>
      </c>
      <c r="L466" s="11" t="n"/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2"/>
  <sheetViews>
    <sheetView topLeftCell="C61" zoomScale="70" zoomScaleNormal="70" workbookViewId="0">
      <selection activeCell="C78" sqref="C78"/>
    </sheetView>
  </sheetViews>
  <sheetFormatPr baseColWidth="8" defaultRowHeight="16.5"/>
  <cols>
    <col width="12.75" bestFit="1" customWidth="1" style="179" min="1" max="2"/>
    <col width="30.75" bestFit="1" customWidth="1" style="179" min="3" max="3"/>
    <col width="30.25" bestFit="1" customWidth="1" style="179" min="4" max="4"/>
    <col width="33.125" bestFit="1" customWidth="1" style="179" min="5" max="5"/>
    <col width="52.125" bestFit="1" customWidth="1" style="179" min="6" max="6"/>
    <col width="25.5" bestFit="1" customWidth="1" style="179" min="7" max="7"/>
    <col width="26.875" bestFit="1" customWidth="1" style="179" min="8" max="8"/>
    <col width="44.875" bestFit="1" customWidth="1" style="179" min="9" max="9"/>
    <col width="7.5" bestFit="1" customWidth="1" style="179" min="10" max="10"/>
    <col width="11.375" customWidth="1" style="179" min="12" max="12"/>
    <col width="16.625" bestFit="1" customWidth="1" style="179" min="13" max="13"/>
    <col width="16.625" customWidth="1" style="179" min="14" max="14"/>
    <col width="11.875" customWidth="1" style="179" min="15" max="15"/>
  </cols>
  <sheetData>
    <row r="1">
      <c r="B1">
        <f>_xlfn.XLOOKUP(B4,표13[end_use_category],표13[end_use_att])</f>
        <v/>
      </c>
      <c r="C1">
        <f>_xlfn.XLOOKUP(C4,표13[end_use_category],표13[end_use_att])</f>
        <v/>
      </c>
      <c r="D1">
        <f>_xlfn.XLOOKUP(D4,표13[end_use_category],표13[end_use_att])</f>
        <v/>
      </c>
      <c r="E1">
        <f>_xlfn.XLOOKUP(E4,표13[end_use_category],표13[end_use_att])</f>
        <v/>
      </c>
      <c r="F1">
        <f>_xlfn.XLOOKUP(F4,표13[end_use_category],표13[end_use_att])</f>
        <v/>
      </c>
      <c r="G1">
        <f>_xlfn.XLOOKUP(G4,표13[end_use_category],표13[end_use_att])</f>
        <v/>
      </c>
      <c r="H1">
        <f>_xlfn.XLOOKUP(H4,표13[end_use_category],표13[end_use_att])</f>
        <v/>
      </c>
      <c r="I1">
        <f>_xlfn.XLOOKUP(I4,표13[end_use_category],표13[end_use_att])</f>
        <v/>
      </c>
    </row>
    <row r="3">
      <c r="A3" s="81" t="inlineStr">
        <is>
          <t>최대 : rating</t>
        </is>
      </c>
      <c r="B3" s="81" t="inlineStr">
        <is>
          <t>열 레이블</t>
        </is>
      </c>
    </row>
    <row r="4">
      <c r="A4" s="81" t="inlineStr">
        <is>
          <t>행 레이블</t>
        </is>
      </c>
      <c r="B4" t="inlineStr">
        <is>
          <t>Agriculture</t>
        </is>
      </c>
      <c r="C4" t="inlineStr">
        <is>
          <t>Automotive &amp; Future Mobility</t>
        </is>
      </c>
      <c r="D4" t="inlineStr">
        <is>
          <t>Construction &amp; Infrastructure</t>
        </is>
      </c>
      <c r="E4" t="inlineStr">
        <is>
          <t>Consumer Products &amp; Packaging</t>
        </is>
      </c>
      <c r="F4" t="inlineStr">
        <is>
          <t>Electronics, Semiconductors &amp; Digital Infrastructure</t>
        </is>
      </c>
      <c r="G4" t="inlineStr">
        <is>
          <t>Energy, Power &amp; Utilities</t>
        </is>
      </c>
      <c r="H4" t="inlineStr">
        <is>
          <t>Healthcare &amp; Life Sciences</t>
        </is>
      </c>
      <c r="I4" t="inlineStr">
        <is>
          <t>Industrial Goods &amp; Advanced Manufacturing</t>
        </is>
      </c>
      <c r="J4" t="inlineStr">
        <is>
          <t>총합계</t>
        </is>
      </c>
      <c r="L4" t="inlineStr">
        <is>
          <t>material_id</t>
        </is>
      </c>
      <c r="M4" t="inlineStr">
        <is>
          <t>material_name</t>
        </is>
      </c>
      <c r="N4" t="inlineStr">
        <is>
          <t>end_use</t>
        </is>
      </c>
      <c r="O4" t="inlineStr">
        <is>
          <t>end_use_att</t>
        </is>
      </c>
    </row>
    <row r="5">
      <c r="A5" s="29" t="inlineStr">
        <is>
          <t>M002</t>
        </is>
      </c>
      <c r="C5" t="n">
        <v>0.3</v>
      </c>
      <c r="D5" t="n">
        <v>0.6</v>
      </c>
      <c r="E5" t="n">
        <v>0.6</v>
      </c>
      <c r="J5" t="n">
        <v>0.6</v>
      </c>
      <c r="L5" s="29" t="inlineStr">
        <is>
          <t>M002</t>
        </is>
      </c>
      <c r="M5" s="29">
        <f>_xlfn.XLOOKUP(L5,표2[material_id],표2[material_name])</f>
        <v/>
      </c>
      <c r="N5" s="29">
        <f>SUMPRODUCT($B$1:$I$1,B5:I5)</f>
        <v/>
      </c>
      <c r="O5" s="116">
        <f>(표19[[#This Row],[end_use]]-MIN(표19[end_use]))/(MAX(표19[end_use])-MIN(표19[end_use]))*100</f>
        <v/>
      </c>
    </row>
    <row r="6">
      <c r="A6" s="29" t="inlineStr">
        <is>
          <t>M003</t>
        </is>
      </c>
      <c r="D6" t="n">
        <v>0.1</v>
      </c>
      <c r="E6" t="n">
        <v>0.6</v>
      </c>
      <c r="G6" t="n">
        <v>0.3</v>
      </c>
      <c r="I6" t="n">
        <v>0.1</v>
      </c>
      <c r="J6" t="n">
        <v>0.6</v>
      </c>
      <c r="L6" s="29" t="inlineStr">
        <is>
          <t>M003</t>
        </is>
      </c>
      <c r="M6" s="29">
        <f>_xlfn.XLOOKUP(L6,표2[material_id],표2[material_name])</f>
        <v/>
      </c>
      <c r="N6" s="29">
        <f>SUMPRODUCT($B$1:$I$1,B6:I6)</f>
        <v/>
      </c>
      <c r="O6" s="116">
        <f>(표19[[#This Row],[end_use]]-MIN(표19[end_use]))/(MAX(표19[end_use])-MIN(표19[end_use]))*100</f>
        <v/>
      </c>
    </row>
    <row r="7">
      <c r="A7" s="29" t="inlineStr">
        <is>
          <t>M004</t>
        </is>
      </c>
      <c r="B7" t="n">
        <v>0.3</v>
      </c>
      <c r="E7" t="n">
        <v>0.6</v>
      </c>
      <c r="G7" t="n">
        <v>0.1</v>
      </c>
      <c r="J7" t="n">
        <v>0.6</v>
      </c>
      <c r="L7" s="29" t="inlineStr">
        <is>
          <t>M004</t>
        </is>
      </c>
      <c r="M7" s="29">
        <f>_xlfn.XLOOKUP(L7,표2[material_id],표2[material_name])</f>
        <v/>
      </c>
      <c r="N7" s="29">
        <f>SUMPRODUCT($B$1:$I$1,B7:I7)</f>
        <v/>
      </c>
      <c r="O7" s="116">
        <f>(표19[[#This Row],[end_use]]-MIN(표19[end_use]))/(MAX(표19[end_use])-MIN(표19[end_use]))*100</f>
        <v/>
      </c>
    </row>
    <row r="8">
      <c r="A8" s="29" t="inlineStr">
        <is>
          <t>M005</t>
        </is>
      </c>
      <c r="I8" t="n">
        <v>0.6</v>
      </c>
      <c r="J8" t="n">
        <v>0.6</v>
      </c>
      <c r="L8" s="29" t="inlineStr">
        <is>
          <t>M005</t>
        </is>
      </c>
      <c r="M8" s="29">
        <f>_xlfn.XLOOKUP(L8,표2[material_id],표2[material_name])</f>
        <v/>
      </c>
      <c r="N8" s="29">
        <f>SUMPRODUCT($B$1:$I$1,B8:I8)</f>
        <v/>
      </c>
      <c r="O8" s="116">
        <f>(표19[[#This Row],[end_use]]-MIN(표19[end_use]))/(MAX(표19[end_use])-MIN(표19[end_use]))*100</f>
        <v/>
      </c>
    </row>
    <row r="9">
      <c r="A9" s="29" t="inlineStr">
        <is>
          <t>M006</t>
        </is>
      </c>
      <c r="I9" t="n">
        <v>0.6</v>
      </c>
      <c r="J9" t="n">
        <v>0.6</v>
      </c>
      <c r="L9" s="29" t="inlineStr">
        <is>
          <t>M006</t>
        </is>
      </c>
      <c r="M9" s="29">
        <f>_xlfn.XLOOKUP(L9,표2[material_id],표2[material_name])</f>
        <v/>
      </c>
      <c r="N9" s="29">
        <f>SUMPRODUCT($B$1:$I$1,B9:I9)</f>
        <v/>
      </c>
      <c r="O9" s="116">
        <f>(표19[[#This Row],[end_use]]-MIN(표19[end_use]))/(MAX(표19[end_use])-MIN(표19[end_use]))*100</f>
        <v/>
      </c>
    </row>
    <row r="10">
      <c r="A10" s="29" t="inlineStr">
        <is>
          <t>M007</t>
        </is>
      </c>
      <c r="D10" t="n">
        <v>0.6</v>
      </c>
      <c r="E10" t="n">
        <v>0.3</v>
      </c>
      <c r="G10" t="n">
        <v>0.3</v>
      </c>
      <c r="H10" t="n">
        <v>0.1</v>
      </c>
      <c r="I10" t="n">
        <v>0.1</v>
      </c>
      <c r="J10" t="n">
        <v>0.6</v>
      </c>
      <c r="L10" s="29" t="inlineStr">
        <is>
          <t>M007</t>
        </is>
      </c>
      <c r="M10" s="29">
        <f>_xlfn.XLOOKUP(L10,표2[material_id],표2[material_name])</f>
        <v/>
      </c>
      <c r="N10" s="29">
        <f>SUMPRODUCT($B$1:$I$1,B10:I10)</f>
        <v/>
      </c>
      <c r="O10" s="116">
        <f>(표19[[#This Row],[end_use]]-MIN(표19[end_use]))/(MAX(표19[end_use])-MIN(표19[end_use]))*100</f>
        <v/>
      </c>
    </row>
    <row r="11">
      <c r="A11" s="29" t="inlineStr">
        <is>
          <t>M008</t>
        </is>
      </c>
      <c r="G11" t="n">
        <v>0.6</v>
      </c>
      <c r="I11" t="n">
        <v>0.3</v>
      </c>
      <c r="J11" t="n">
        <v>0.6</v>
      </c>
      <c r="L11" s="29" t="inlineStr">
        <is>
          <t>M008</t>
        </is>
      </c>
      <c r="M11" s="29">
        <f>_xlfn.XLOOKUP(L11,표2[material_id],표2[material_name])</f>
        <v/>
      </c>
      <c r="N11" s="29">
        <f>SUMPRODUCT($B$1:$I$1,B11:I11)</f>
        <v/>
      </c>
      <c r="O11" s="116">
        <f>(표19[[#This Row],[end_use]]-MIN(표19[end_use]))/(MAX(표19[end_use])-MIN(표19[end_use]))*100</f>
        <v/>
      </c>
    </row>
    <row r="12">
      <c r="A12" s="29" t="inlineStr">
        <is>
          <t>M010</t>
        </is>
      </c>
      <c r="E12" t="n">
        <v>0.3</v>
      </c>
      <c r="I12" t="n">
        <v>0.6</v>
      </c>
      <c r="J12" t="n">
        <v>0.6</v>
      </c>
      <c r="L12" s="29" t="inlineStr">
        <is>
          <t>M010</t>
        </is>
      </c>
      <c r="M12" s="29">
        <f>_xlfn.XLOOKUP(L12,표2[material_id],표2[material_name])</f>
        <v/>
      </c>
      <c r="N12" s="29">
        <f>SUMPRODUCT($B$1:$I$1,B12:I12)</f>
        <v/>
      </c>
      <c r="O12" s="116">
        <f>(표19[[#This Row],[end_use]]-MIN(표19[end_use]))/(MAX(표19[end_use])-MIN(표19[end_use]))*100</f>
        <v/>
      </c>
    </row>
    <row r="13">
      <c r="A13" s="29" t="inlineStr">
        <is>
          <t>M012</t>
        </is>
      </c>
      <c r="E13" t="n">
        <v>0.3</v>
      </c>
      <c r="I13" t="n">
        <v>0.6</v>
      </c>
      <c r="J13" t="n">
        <v>0.6</v>
      </c>
      <c r="L13" s="29" t="inlineStr">
        <is>
          <t>M012</t>
        </is>
      </c>
      <c r="M13" s="29">
        <f>_xlfn.XLOOKUP(L13,표2[material_id],표2[material_name])</f>
        <v/>
      </c>
      <c r="N13" s="29">
        <f>SUMPRODUCT($B$1:$I$1,B13:I13)</f>
        <v/>
      </c>
      <c r="O13" s="116">
        <f>(표19[[#This Row],[end_use]]-MIN(표19[end_use]))/(MAX(표19[end_use])-MIN(표19[end_use]))*100</f>
        <v/>
      </c>
    </row>
    <row r="14">
      <c r="A14" s="29" t="inlineStr">
        <is>
          <t>M014</t>
        </is>
      </c>
      <c r="D14" t="n">
        <v>0.3</v>
      </c>
      <c r="E14" t="n">
        <v>0.3</v>
      </c>
      <c r="G14" t="n">
        <v>0.6</v>
      </c>
      <c r="I14" t="n">
        <v>0.6</v>
      </c>
      <c r="J14" t="n">
        <v>0.6</v>
      </c>
      <c r="L14" s="29" t="inlineStr">
        <is>
          <t>M014</t>
        </is>
      </c>
      <c r="M14" s="29">
        <f>_xlfn.XLOOKUP(L14,표2[material_id],표2[material_name])</f>
        <v/>
      </c>
      <c r="N14" s="29">
        <f>SUMPRODUCT($B$1:$I$1,B14:I14)</f>
        <v/>
      </c>
      <c r="O14" s="116">
        <f>(표19[[#This Row],[end_use]]-MIN(표19[end_use]))/(MAX(표19[end_use])-MIN(표19[end_use]))*100</f>
        <v/>
      </c>
    </row>
    <row r="15">
      <c r="A15" s="29" t="inlineStr">
        <is>
          <t>M015</t>
        </is>
      </c>
      <c r="B15" t="n">
        <v>0.6</v>
      </c>
      <c r="D15" t="n">
        <v>0.3</v>
      </c>
      <c r="E15" t="n">
        <v>0.3</v>
      </c>
      <c r="I15" t="n">
        <v>0.1</v>
      </c>
      <c r="J15" t="n">
        <v>0.6</v>
      </c>
      <c r="L15" s="29" t="inlineStr">
        <is>
          <t>M015</t>
        </is>
      </c>
      <c r="M15" s="29">
        <f>_xlfn.XLOOKUP(L15,표2[material_id],표2[material_name])</f>
        <v/>
      </c>
      <c r="N15" s="29">
        <f>SUMPRODUCT($B$1:$I$1,B15:I15)</f>
        <v/>
      </c>
      <c r="O15" s="116">
        <f>(표19[[#This Row],[end_use]]-MIN(표19[end_use]))/(MAX(표19[end_use])-MIN(표19[end_use]))*100</f>
        <v/>
      </c>
    </row>
    <row r="16">
      <c r="A16" s="29" t="inlineStr">
        <is>
          <t>M016</t>
        </is>
      </c>
      <c r="D16" t="n">
        <v>0.6</v>
      </c>
      <c r="E16" t="n">
        <v>0.6</v>
      </c>
      <c r="I16" t="n">
        <v>0.3</v>
      </c>
      <c r="J16" t="n">
        <v>0.6</v>
      </c>
      <c r="L16" s="29" t="inlineStr">
        <is>
          <t>M016</t>
        </is>
      </c>
      <c r="M16" s="29">
        <f>_xlfn.XLOOKUP(L16,표2[material_id],표2[material_name])</f>
        <v/>
      </c>
      <c r="N16" s="29">
        <f>SUMPRODUCT($B$1:$I$1,B16:I16)</f>
        <v/>
      </c>
      <c r="O16" s="116">
        <f>(표19[[#This Row],[end_use]]-MIN(표19[end_use]))/(MAX(표19[end_use])-MIN(표19[end_use]))*100</f>
        <v/>
      </c>
    </row>
    <row r="17">
      <c r="A17" s="29" t="inlineStr">
        <is>
          <t>M017</t>
        </is>
      </c>
      <c r="C17" t="n">
        <v>0.3</v>
      </c>
      <c r="E17" t="n">
        <v>0.6</v>
      </c>
      <c r="J17" t="n">
        <v>0.6</v>
      </c>
      <c r="L17" s="29" t="inlineStr">
        <is>
          <t>M017</t>
        </is>
      </c>
      <c r="M17" s="29">
        <f>_xlfn.XLOOKUP(L17,표2[material_id],표2[material_name])</f>
        <v/>
      </c>
      <c r="N17" s="29">
        <f>SUMPRODUCT($B$1:$I$1,B17:I17)</f>
        <v/>
      </c>
      <c r="O17" s="116">
        <f>(표19[[#This Row],[end_use]]-MIN(표19[end_use]))/(MAX(표19[end_use])-MIN(표19[end_use]))*100</f>
        <v/>
      </c>
    </row>
    <row r="18">
      <c r="A18" s="29" t="inlineStr">
        <is>
          <t>M019</t>
        </is>
      </c>
      <c r="E18" t="n">
        <v>0.3</v>
      </c>
      <c r="I18" t="n">
        <v>0.6</v>
      </c>
      <c r="J18" t="n">
        <v>0.6</v>
      </c>
      <c r="L18" s="29" t="inlineStr">
        <is>
          <t>M019</t>
        </is>
      </c>
      <c r="M18" s="29">
        <f>_xlfn.XLOOKUP(L18,표2[material_id],표2[material_name])</f>
        <v/>
      </c>
      <c r="N18" s="29">
        <f>SUMPRODUCT($B$1:$I$1,B18:I18)</f>
        <v/>
      </c>
      <c r="O18" s="116">
        <f>(표19[[#This Row],[end_use]]-MIN(표19[end_use]))/(MAX(표19[end_use])-MIN(표19[end_use]))*100</f>
        <v/>
      </c>
    </row>
    <row r="19">
      <c r="A19" s="29" t="inlineStr">
        <is>
          <t>M021</t>
        </is>
      </c>
      <c r="C19" t="n">
        <v>0.1</v>
      </c>
      <c r="E19" t="n">
        <v>0.6</v>
      </c>
      <c r="I19" t="n">
        <v>0.6</v>
      </c>
      <c r="J19" t="n">
        <v>0.6</v>
      </c>
      <c r="L19" s="29" t="inlineStr">
        <is>
          <t>M021</t>
        </is>
      </c>
      <c r="M19" s="29">
        <f>_xlfn.XLOOKUP(L19,표2[material_id],표2[material_name])</f>
        <v/>
      </c>
      <c r="N19" s="29">
        <f>SUMPRODUCT($B$1:$I$1,B19:I19)</f>
        <v/>
      </c>
      <c r="O19" s="116">
        <f>(표19[[#This Row],[end_use]]-MIN(표19[end_use]))/(MAX(표19[end_use])-MIN(표19[end_use]))*100</f>
        <v/>
      </c>
    </row>
    <row r="20">
      <c r="A20" s="29" t="inlineStr">
        <is>
          <t>M022</t>
        </is>
      </c>
      <c r="C20" t="n">
        <v>0.3</v>
      </c>
      <c r="D20" t="n">
        <v>0.3</v>
      </c>
      <c r="E20" t="n">
        <v>0.6</v>
      </c>
      <c r="F20" t="n">
        <v>0.6</v>
      </c>
      <c r="I20" t="n">
        <v>0.3</v>
      </c>
      <c r="J20" t="n">
        <v>0.6</v>
      </c>
      <c r="L20" s="29" t="inlineStr">
        <is>
          <t>M022</t>
        </is>
      </c>
      <c r="M20" s="29">
        <f>_xlfn.XLOOKUP(L20,표2[material_id],표2[material_name])</f>
        <v/>
      </c>
      <c r="N20" s="29">
        <f>SUMPRODUCT($B$1:$I$1,B20:I20)</f>
        <v/>
      </c>
      <c r="O20" s="116">
        <f>(표19[[#This Row],[end_use]]-MIN(표19[end_use]))/(MAX(표19[end_use])-MIN(표19[end_use]))*100</f>
        <v/>
      </c>
    </row>
    <row r="21">
      <c r="A21" s="29" t="inlineStr">
        <is>
          <t>M023</t>
        </is>
      </c>
      <c r="C21" t="n">
        <v>0.1</v>
      </c>
      <c r="E21" t="n">
        <v>0.6</v>
      </c>
      <c r="H21" t="n">
        <v>0.1</v>
      </c>
      <c r="I21" t="n">
        <v>0.6</v>
      </c>
      <c r="J21" t="n">
        <v>0.6</v>
      </c>
      <c r="L21" s="29" t="inlineStr">
        <is>
          <t>M023</t>
        </is>
      </c>
      <c r="M21" s="29">
        <f>_xlfn.XLOOKUP(L21,표2[material_id],표2[material_name])</f>
        <v/>
      </c>
      <c r="N21" s="29">
        <f>SUMPRODUCT($B$1:$I$1,B21:I21)</f>
        <v/>
      </c>
      <c r="O21" s="116">
        <f>(표19[[#This Row],[end_use]]-MIN(표19[end_use]))/(MAX(표19[end_use])-MIN(표19[end_use]))*100</f>
        <v/>
      </c>
    </row>
    <row r="22">
      <c r="A22" s="29" t="inlineStr">
        <is>
          <t>M024</t>
        </is>
      </c>
      <c r="C22" t="n">
        <v>0.6</v>
      </c>
      <c r="G22" t="n">
        <v>0.3</v>
      </c>
      <c r="H22" t="n">
        <v>0.6</v>
      </c>
      <c r="I22" t="n">
        <v>0.3</v>
      </c>
      <c r="J22" t="n">
        <v>0.6</v>
      </c>
      <c r="L22" s="29" t="inlineStr">
        <is>
          <t>M024</t>
        </is>
      </c>
      <c r="M22" s="29">
        <f>_xlfn.XLOOKUP(L22,표2[material_id],표2[material_name])</f>
        <v/>
      </c>
      <c r="N22" s="29">
        <f>SUMPRODUCT($B$1:$I$1,B22:I22)</f>
        <v/>
      </c>
      <c r="O22" s="116">
        <f>(표19[[#This Row],[end_use]]-MIN(표19[end_use]))/(MAX(표19[end_use])-MIN(표19[end_use]))*100</f>
        <v/>
      </c>
    </row>
    <row r="23">
      <c r="A23" s="29" t="inlineStr">
        <is>
          <t>M025</t>
        </is>
      </c>
      <c r="C23" t="n">
        <v>0.6</v>
      </c>
      <c r="D23" t="n">
        <v>0.3</v>
      </c>
      <c r="E23" t="n">
        <v>0.6</v>
      </c>
      <c r="F23" t="n">
        <v>0.1</v>
      </c>
      <c r="G23" t="n">
        <v>0.3</v>
      </c>
      <c r="H23" t="n">
        <v>0.3</v>
      </c>
      <c r="J23" t="n">
        <v>0.6</v>
      </c>
      <c r="L23" s="29" t="inlineStr">
        <is>
          <t>M025</t>
        </is>
      </c>
      <c r="M23" s="29">
        <f>_xlfn.XLOOKUP(L23,표2[material_id],표2[material_name])</f>
        <v/>
      </c>
      <c r="N23" s="29">
        <f>SUMPRODUCT($B$1:$I$1,B23:I23)</f>
        <v/>
      </c>
      <c r="O23" s="116">
        <f>(표19[[#This Row],[end_use]]-MIN(표19[end_use]))/(MAX(표19[end_use])-MIN(표19[end_use]))*100</f>
        <v/>
      </c>
    </row>
    <row r="24">
      <c r="A24" s="29" t="inlineStr">
        <is>
          <t>M026</t>
        </is>
      </c>
      <c r="F24" t="n">
        <v>0.3</v>
      </c>
      <c r="I24" t="n">
        <v>0.6</v>
      </c>
      <c r="J24" t="n">
        <v>0.6</v>
      </c>
      <c r="L24" s="29" t="inlineStr">
        <is>
          <t>M026</t>
        </is>
      </c>
      <c r="M24" s="29">
        <f>_xlfn.XLOOKUP(L24,표2[material_id],표2[material_name])</f>
        <v/>
      </c>
      <c r="N24" s="29">
        <f>SUMPRODUCT($B$1:$I$1,B24:I24)</f>
        <v/>
      </c>
      <c r="O24" s="116">
        <f>(표19[[#This Row],[end_use]]-MIN(표19[end_use]))/(MAX(표19[end_use])-MIN(표19[end_use]))*100</f>
        <v/>
      </c>
    </row>
    <row r="25">
      <c r="A25" s="29" t="inlineStr">
        <is>
          <t>M027</t>
        </is>
      </c>
      <c r="D25" t="n">
        <v>0.6</v>
      </c>
      <c r="E25" t="n">
        <v>0.3</v>
      </c>
      <c r="H25" t="n">
        <v>0.3</v>
      </c>
      <c r="I25" t="n">
        <v>0.3</v>
      </c>
      <c r="J25" t="n">
        <v>0.6</v>
      </c>
      <c r="L25" s="29" t="inlineStr">
        <is>
          <t>M027</t>
        </is>
      </c>
      <c r="M25" s="29">
        <f>_xlfn.XLOOKUP(L25,표2[material_id],표2[material_name])</f>
        <v/>
      </c>
      <c r="N25" s="29">
        <f>SUMPRODUCT($B$1:$I$1,B25:I25)</f>
        <v/>
      </c>
      <c r="O25" s="116">
        <f>(표19[[#This Row],[end_use]]-MIN(표19[end_use]))/(MAX(표19[end_use])-MIN(표19[end_use]))*100</f>
        <v/>
      </c>
    </row>
    <row r="26">
      <c r="A26" s="29" t="inlineStr">
        <is>
          <t>M028</t>
        </is>
      </c>
      <c r="C26" t="n">
        <v>0.3</v>
      </c>
      <c r="D26" t="n">
        <v>0.6</v>
      </c>
      <c r="E26" t="n">
        <v>0.6</v>
      </c>
      <c r="I26" t="n">
        <v>0.3</v>
      </c>
      <c r="J26" t="n">
        <v>0.6</v>
      </c>
      <c r="L26" s="29" t="inlineStr">
        <is>
          <t>M028</t>
        </is>
      </c>
      <c r="M26" s="29">
        <f>_xlfn.XLOOKUP(L26,표2[material_id],표2[material_name])</f>
        <v/>
      </c>
      <c r="N26" s="29">
        <f>SUMPRODUCT($B$1:$I$1,B26:I26)</f>
        <v/>
      </c>
      <c r="O26" s="116">
        <f>(표19[[#This Row],[end_use]]-MIN(표19[end_use]))/(MAX(표19[end_use])-MIN(표19[end_use]))*100</f>
        <v/>
      </c>
    </row>
    <row r="27">
      <c r="A27" s="29" t="inlineStr">
        <is>
          <t>M029</t>
        </is>
      </c>
      <c r="D27" t="n">
        <v>0.6</v>
      </c>
      <c r="E27" t="n">
        <v>0.3</v>
      </c>
      <c r="I27" t="n">
        <v>0.6</v>
      </c>
      <c r="J27" t="n">
        <v>0.6</v>
      </c>
      <c r="L27" s="29" t="inlineStr">
        <is>
          <t>M029</t>
        </is>
      </c>
      <c r="M27" s="29">
        <f>_xlfn.XLOOKUP(L27,표2[material_id],표2[material_name])</f>
        <v/>
      </c>
      <c r="N27" s="29">
        <f>SUMPRODUCT($B$1:$I$1,B27:I27)</f>
        <v/>
      </c>
      <c r="O27" s="116">
        <f>(표19[[#This Row],[end_use]]-MIN(표19[end_use]))/(MAX(표19[end_use])-MIN(표19[end_use]))*100</f>
        <v/>
      </c>
    </row>
    <row r="28">
      <c r="A28" s="29" t="inlineStr">
        <is>
          <t>M030</t>
        </is>
      </c>
      <c r="C28" t="n">
        <v>0.3</v>
      </c>
      <c r="D28" t="n">
        <v>0.6</v>
      </c>
      <c r="E28" t="n">
        <v>0.6</v>
      </c>
      <c r="G28" t="n">
        <v>0.1</v>
      </c>
      <c r="H28" t="n">
        <v>0.1</v>
      </c>
      <c r="I28" t="n">
        <v>0.3</v>
      </c>
      <c r="J28" t="n">
        <v>0.6</v>
      </c>
      <c r="L28" s="29" t="inlineStr">
        <is>
          <t>M030</t>
        </is>
      </c>
      <c r="M28" s="29">
        <f>_xlfn.XLOOKUP(L28,표2[material_id],표2[material_name])</f>
        <v/>
      </c>
      <c r="N28" s="29">
        <f>SUMPRODUCT($B$1:$I$1,B28:I28)</f>
        <v/>
      </c>
      <c r="O28" s="116">
        <f>(표19[[#This Row],[end_use]]-MIN(표19[end_use]))/(MAX(표19[end_use])-MIN(표19[end_use]))*100</f>
        <v/>
      </c>
    </row>
    <row r="29">
      <c r="A29" s="29" t="inlineStr">
        <is>
          <t>M031</t>
        </is>
      </c>
      <c r="E29" t="n">
        <v>0.6</v>
      </c>
      <c r="I29" t="n">
        <v>0.6</v>
      </c>
      <c r="J29" t="n">
        <v>0.6</v>
      </c>
      <c r="L29" s="29" t="inlineStr">
        <is>
          <t>M031</t>
        </is>
      </c>
      <c r="M29" s="29">
        <f>_xlfn.XLOOKUP(L29,표2[material_id],표2[material_name])</f>
        <v/>
      </c>
      <c r="N29" s="29">
        <f>SUMPRODUCT($B$1:$I$1,B29:I29)</f>
        <v/>
      </c>
      <c r="O29" s="116">
        <f>(표19[[#This Row],[end_use]]-MIN(표19[end_use]))/(MAX(표19[end_use])-MIN(표19[end_use]))*100</f>
        <v/>
      </c>
    </row>
    <row r="30">
      <c r="A30" s="29" t="inlineStr">
        <is>
          <t>M033</t>
        </is>
      </c>
      <c r="D30" t="n">
        <v>0.6</v>
      </c>
      <c r="E30" t="n">
        <v>0.6</v>
      </c>
      <c r="I30" t="n">
        <v>0.3</v>
      </c>
      <c r="J30" t="n">
        <v>0.6</v>
      </c>
      <c r="L30" s="29" t="inlineStr">
        <is>
          <t>M033</t>
        </is>
      </c>
      <c r="M30" s="29">
        <f>_xlfn.XLOOKUP(L30,표2[material_id],표2[material_name])</f>
        <v/>
      </c>
      <c r="N30" s="29">
        <f>SUMPRODUCT($B$1:$I$1,B30:I30)</f>
        <v/>
      </c>
      <c r="O30" s="116">
        <f>(표19[[#This Row],[end_use]]-MIN(표19[end_use]))/(MAX(표19[end_use])-MIN(표19[end_use]))*100</f>
        <v/>
      </c>
    </row>
    <row r="31">
      <c r="A31" s="29" t="inlineStr">
        <is>
          <t>M034</t>
        </is>
      </c>
      <c r="B31" t="n">
        <v>0.1</v>
      </c>
      <c r="E31" t="n">
        <v>0.6</v>
      </c>
      <c r="H31" t="n">
        <v>0.3</v>
      </c>
      <c r="J31" t="n">
        <v>0.6</v>
      </c>
      <c r="L31" s="29" t="inlineStr">
        <is>
          <t>M034</t>
        </is>
      </c>
      <c r="M31" s="29">
        <f>_xlfn.XLOOKUP(L31,표2[material_id],표2[material_name])</f>
        <v/>
      </c>
      <c r="N31" s="29">
        <f>SUMPRODUCT($B$1:$I$1,B31:I31)</f>
        <v/>
      </c>
      <c r="O31" s="116">
        <f>(표19[[#This Row],[end_use]]-MIN(표19[end_use]))/(MAX(표19[end_use])-MIN(표19[end_use]))*100</f>
        <v/>
      </c>
    </row>
    <row r="32">
      <c r="A32" s="29" t="inlineStr">
        <is>
          <t>M035</t>
        </is>
      </c>
      <c r="I32" t="n">
        <v>0.6</v>
      </c>
      <c r="J32" t="n">
        <v>0.6</v>
      </c>
      <c r="L32" s="29" t="inlineStr">
        <is>
          <t>M035</t>
        </is>
      </c>
      <c r="M32" s="29">
        <f>_xlfn.XLOOKUP(L32,표2[material_id],표2[material_name])</f>
        <v/>
      </c>
      <c r="N32" s="29">
        <f>SUMPRODUCT($B$1:$I$1,B32:I32)</f>
        <v/>
      </c>
      <c r="O32" s="116">
        <f>(표19[[#This Row],[end_use]]-MIN(표19[end_use]))/(MAX(표19[end_use])-MIN(표19[end_use]))*100</f>
        <v/>
      </c>
    </row>
    <row r="33">
      <c r="A33" s="29" t="inlineStr">
        <is>
          <t>M036</t>
        </is>
      </c>
      <c r="D33" t="n">
        <v>0.6</v>
      </c>
      <c r="I33" t="n">
        <v>0.6</v>
      </c>
      <c r="J33" t="n">
        <v>0.6</v>
      </c>
      <c r="L33" s="29" t="inlineStr">
        <is>
          <t>M036</t>
        </is>
      </c>
      <c r="M33" s="29">
        <f>_xlfn.XLOOKUP(L33,표2[material_id],표2[material_name])</f>
        <v/>
      </c>
      <c r="N33" s="29">
        <f>SUMPRODUCT($B$1:$I$1,B33:I33)</f>
        <v/>
      </c>
      <c r="O33" s="116">
        <f>(표19[[#This Row],[end_use]]-MIN(표19[end_use]))/(MAX(표19[end_use])-MIN(표19[end_use]))*100</f>
        <v/>
      </c>
    </row>
    <row r="34">
      <c r="A34" s="29" t="inlineStr">
        <is>
          <t>M037</t>
        </is>
      </c>
      <c r="I34" t="n">
        <v>0.6</v>
      </c>
      <c r="J34" t="n">
        <v>0.6</v>
      </c>
      <c r="L34" s="29" t="inlineStr">
        <is>
          <t>M037</t>
        </is>
      </c>
      <c r="M34" s="29">
        <f>_xlfn.XLOOKUP(L34,표2[material_id],표2[material_name])</f>
        <v/>
      </c>
      <c r="N34" s="29">
        <f>SUMPRODUCT($B$1:$I$1,B34:I34)</f>
        <v/>
      </c>
      <c r="O34" s="116">
        <f>(표19[[#This Row],[end_use]]-MIN(표19[end_use]))/(MAX(표19[end_use])-MIN(표19[end_use]))*100</f>
        <v/>
      </c>
    </row>
    <row r="35">
      <c r="A35" s="29" t="inlineStr">
        <is>
          <t>M038</t>
        </is>
      </c>
      <c r="I35" t="n">
        <v>0.6</v>
      </c>
      <c r="J35" t="n">
        <v>0.6</v>
      </c>
      <c r="L35" s="29" t="inlineStr">
        <is>
          <t>M038</t>
        </is>
      </c>
      <c r="M35" s="29">
        <f>_xlfn.XLOOKUP(L35,표2[material_id],표2[material_name])</f>
        <v/>
      </c>
      <c r="N35" s="29">
        <f>SUMPRODUCT($B$1:$I$1,B35:I35)</f>
        <v/>
      </c>
      <c r="O35" s="116">
        <f>(표19[[#This Row],[end_use]]-MIN(표19[end_use]))/(MAX(표19[end_use])-MIN(표19[end_use]))*100</f>
        <v/>
      </c>
    </row>
    <row r="36">
      <c r="A36" s="29" t="inlineStr">
        <is>
          <t>M039</t>
        </is>
      </c>
      <c r="I36" t="n">
        <v>0.6</v>
      </c>
      <c r="J36" t="n">
        <v>0.6</v>
      </c>
      <c r="L36" s="29" t="inlineStr">
        <is>
          <t>M039</t>
        </is>
      </c>
      <c r="M36" s="29">
        <f>_xlfn.XLOOKUP(L36,표2[material_id],표2[material_name])</f>
        <v/>
      </c>
      <c r="N36" s="29">
        <f>SUMPRODUCT($B$1:$I$1,B36:I36)</f>
        <v/>
      </c>
      <c r="O36" s="116">
        <f>(표19[[#This Row],[end_use]]-MIN(표19[end_use]))/(MAX(표19[end_use])-MIN(표19[end_use]))*100</f>
        <v/>
      </c>
    </row>
    <row r="37">
      <c r="A37" s="29" t="inlineStr">
        <is>
          <t>M040</t>
        </is>
      </c>
      <c r="I37" t="n">
        <v>0.6</v>
      </c>
      <c r="J37" t="n">
        <v>0.6</v>
      </c>
      <c r="L37" s="29" t="inlineStr">
        <is>
          <t>M040</t>
        </is>
      </c>
      <c r="M37" s="29">
        <f>_xlfn.XLOOKUP(L37,표2[material_id],표2[material_name])</f>
        <v/>
      </c>
      <c r="N37" s="29">
        <f>SUMPRODUCT($B$1:$I$1,B37:I37)</f>
        <v/>
      </c>
      <c r="O37" s="116">
        <f>(표19[[#This Row],[end_use]]-MIN(표19[end_use]))/(MAX(표19[end_use])-MIN(표19[end_use]))*100</f>
        <v/>
      </c>
    </row>
    <row r="38">
      <c r="A38" s="29" t="inlineStr">
        <is>
          <t>M041</t>
        </is>
      </c>
      <c r="E38" t="n">
        <v>0.3</v>
      </c>
      <c r="F38" t="n">
        <v>0.1</v>
      </c>
      <c r="H38" t="n">
        <v>0.3</v>
      </c>
      <c r="I38" t="n">
        <v>0.6</v>
      </c>
      <c r="J38" t="n">
        <v>0.6</v>
      </c>
      <c r="L38" s="29" t="inlineStr">
        <is>
          <t>M041</t>
        </is>
      </c>
      <c r="M38" s="29">
        <f>_xlfn.XLOOKUP(L38,표2[material_id],표2[material_name])</f>
        <v/>
      </c>
      <c r="N38" s="29">
        <f>SUMPRODUCT($B$1:$I$1,B38:I38)</f>
        <v/>
      </c>
      <c r="O38" s="116">
        <f>(표19[[#This Row],[end_use]]-MIN(표19[end_use]))/(MAX(표19[end_use])-MIN(표19[end_use]))*100</f>
        <v/>
      </c>
    </row>
    <row r="39">
      <c r="A39" s="29" t="inlineStr">
        <is>
          <t>M042</t>
        </is>
      </c>
      <c r="E39" t="n">
        <v>0.1</v>
      </c>
      <c r="I39" t="n">
        <v>0.6</v>
      </c>
      <c r="J39" t="n">
        <v>0.6</v>
      </c>
      <c r="L39" s="29" t="inlineStr">
        <is>
          <t>M042</t>
        </is>
      </c>
      <c r="M39" s="29">
        <f>_xlfn.XLOOKUP(L39,표2[material_id],표2[material_name])</f>
        <v/>
      </c>
      <c r="N39" s="29">
        <f>SUMPRODUCT($B$1:$I$1,B39:I39)</f>
        <v/>
      </c>
      <c r="O39" s="116">
        <f>(표19[[#This Row],[end_use]]-MIN(표19[end_use]))/(MAX(표19[end_use])-MIN(표19[end_use]))*100</f>
        <v/>
      </c>
    </row>
    <row r="40">
      <c r="A40" s="29" t="inlineStr">
        <is>
          <t>M043</t>
        </is>
      </c>
      <c r="I40" t="n">
        <v>0.6</v>
      </c>
      <c r="J40" t="n">
        <v>0.6</v>
      </c>
      <c r="L40" s="29" t="inlineStr">
        <is>
          <t>M043</t>
        </is>
      </c>
      <c r="M40" s="29">
        <f>_xlfn.XLOOKUP(L40,표2[material_id],표2[material_name])</f>
        <v/>
      </c>
      <c r="N40" s="29">
        <f>SUMPRODUCT($B$1:$I$1,B40:I40)</f>
        <v/>
      </c>
      <c r="O40" s="116">
        <f>(표19[[#This Row],[end_use]]-MIN(표19[end_use]))/(MAX(표19[end_use])-MIN(표19[end_use]))*100</f>
        <v/>
      </c>
    </row>
    <row r="41">
      <c r="A41" s="29" t="inlineStr">
        <is>
          <t>M044</t>
        </is>
      </c>
      <c r="C41" t="n">
        <v>0.6</v>
      </c>
      <c r="E41" t="n">
        <v>0.3</v>
      </c>
      <c r="I41" t="n">
        <v>0.3</v>
      </c>
      <c r="J41" t="n">
        <v>0.6</v>
      </c>
      <c r="L41" s="29" t="inlineStr">
        <is>
          <t>M044</t>
        </is>
      </c>
      <c r="M41" s="29">
        <f>_xlfn.XLOOKUP(L41,표2[material_id],표2[material_name])</f>
        <v/>
      </c>
      <c r="N41" s="29">
        <f>SUMPRODUCT($B$1:$I$1,B41:I41)</f>
        <v/>
      </c>
      <c r="O41" s="116">
        <f>(표19[[#This Row],[end_use]]-MIN(표19[end_use]))/(MAX(표19[end_use])-MIN(표19[end_use]))*100</f>
        <v/>
      </c>
    </row>
    <row r="42">
      <c r="A42" s="29" t="inlineStr">
        <is>
          <t>M045</t>
        </is>
      </c>
      <c r="C42" t="n">
        <v>0.6</v>
      </c>
      <c r="E42" t="n">
        <v>0.1</v>
      </c>
      <c r="I42" t="n">
        <v>0.3</v>
      </c>
      <c r="J42" t="n">
        <v>0.6</v>
      </c>
      <c r="L42" s="29" t="inlineStr">
        <is>
          <t>M045</t>
        </is>
      </c>
      <c r="M42" s="29">
        <f>_xlfn.XLOOKUP(L42,표2[material_id],표2[material_name])</f>
        <v/>
      </c>
      <c r="N42" s="29">
        <f>SUMPRODUCT($B$1:$I$1,B42:I42)</f>
        <v/>
      </c>
      <c r="O42" s="116">
        <f>(표19[[#This Row],[end_use]]-MIN(표19[end_use]))/(MAX(표19[end_use])-MIN(표19[end_use]))*100</f>
        <v/>
      </c>
    </row>
    <row r="43">
      <c r="A43" s="29" t="inlineStr">
        <is>
          <t>M046</t>
        </is>
      </c>
      <c r="G43" t="n">
        <v>0.3</v>
      </c>
      <c r="I43" t="n">
        <v>0.6</v>
      </c>
      <c r="J43" t="n">
        <v>0.6</v>
      </c>
      <c r="L43" s="29" t="inlineStr">
        <is>
          <t>M046</t>
        </is>
      </c>
      <c r="M43" s="29">
        <f>_xlfn.XLOOKUP(L43,표2[material_id],표2[material_name])</f>
        <v/>
      </c>
      <c r="N43" s="29">
        <f>SUMPRODUCT($B$1:$I$1,B43:I43)</f>
        <v/>
      </c>
      <c r="O43" s="116">
        <f>(표19[[#This Row],[end_use]]-MIN(표19[end_use]))/(MAX(표19[end_use])-MIN(표19[end_use]))*100</f>
        <v/>
      </c>
    </row>
    <row r="44">
      <c r="A44" s="29" t="inlineStr">
        <is>
          <t>M047</t>
        </is>
      </c>
      <c r="G44" t="n">
        <v>0.3</v>
      </c>
      <c r="I44" t="n">
        <v>0.6</v>
      </c>
      <c r="J44" t="n">
        <v>0.6</v>
      </c>
      <c r="L44" s="29" t="inlineStr">
        <is>
          <t>M047</t>
        </is>
      </c>
      <c r="M44" s="29">
        <f>_xlfn.XLOOKUP(L44,표2[material_id],표2[material_name])</f>
        <v/>
      </c>
      <c r="N44" s="29">
        <f>SUMPRODUCT($B$1:$I$1,B44:I44)</f>
        <v/>
      </c>
      <c r="O44" s="116">
        <f>(표19[[#This Row],[end_use]]-MIN(표19[end_use]))/(MAX(표19[end_use])-MIN(표19[end_use]))*100</f>
        <v/>
      </c>
    </row>
    <row r="45">
      <c r="A45" s="29" t="inlineStr">
        <is>
          <t>M048</t>
        </is>
      </c>
      <c r="D45" t="n">
        <v>0.6</v>
      </c>
      <c r="E45" t="n">
        <v>0.3</v>
      </c>
      <c r="J45" t="n">
        <v>0.6</v>
      </c>
      <c r="L45" s="29" t="inlineStr">
        <is>
          <t>M048</t>
        </is>
      </c>
      <c r="M45" s="29">
        <f>_xlfn.XLOOKUP(L45,표2[material_id],표2[material_name])</f>
        <v/>
      </c>
      <c r="N45" s="29">
        <f>SUMPRODUCT($B$1:$I$1,B45:I45)</f>
        <v/>
      </c>
      <c r="O45" s="116">
        <f>(표19[[#This Row],[end_use]]-MIN(표19[end_use]))/(MAX(표19[end_use])-MIN(표19[end_use]))*100</f>
        <v/>
      </c>
    </row>
    <row r="46">
      <c r="A46" s="29" t="inlineStr">
        <is>
          <t>M049</t>
        </is>
      </c>
      <c r="G46" t="n">
        <v>0.6</v>
      </c>
      <c r="H46" t="n">
        <v>0.1</v>
      </c>
      <c r="I46" t="n">
        <v>0.3</v>
      </c>
      <c r="J46" t="n">
        <v>0.6</v>
      </c>
      <c r="L46" s="29" t="inlineStr">
        <is>
          <t>M049</t>
        </is>
      </c>
      <c r="M46" s="29">
        <f>_xlfn.XLOOKUP(L46,표2[material_id],표2[material_name])</f>
        <v/>
      </c>
      <c r="N46" s="29">
        <f>SUMPRODUCT($B$1:$I$1,B46:I46)</f>
        <v/>
      </c>
      <c r="O46" s="116">
        <f>(표19[[#This Row],[end_use]]-MIN(표19[end_use]))/(MAX(표19[end_use])-MIN(표19[end_use]))*100</f>
        <v/>
      </c>
    </row>
    <row r="47">
      <c r="A47" s="29" t="inlineStr">
        <is>
          <t>M050</t>
        </is>
      </c>
      <c r="C47" t="n">
        <v>0.6</v>
      </c>
      <c r="H47" t="n">
        <v>0.3</v>
      </c>
      <c r="I47" t="n">
        <v>0.3</v>
      </c>
      <c r="J47" t="n">
        <v>0.6</v>
      </c>
      <c r="L47" s="29" t="inlineStr">
        <is>
          <t>M050</t>
        </is>
      </c>
      <c r="M47" s="29">
        <f>_xlfn.XLOOKUP(L47,표2[material_id],표2[material_name])</f>
        <v/>
      </c>
      <c r="N47" s="29">
        <f>SUMPRODUCT($B$1:$I$1,B47:I47)</f>
        <v/>
      </c>
      <c r="O47" s="116">
        <f>(표19[[#This Row],[end_use]]-MIN(표19[end_use]))/(MAX(표19[end_use])-MIN(표19[end_use]))*100</f>
        <v/>
      </c>
    </row>
    <row r="48">
      <c r="A48" s="29" t="inlineStr">
        <is>
          <t>M052</t>
        </is>
      </c>
      <c r="E48" t="n">
        <v>0.6</v>
      </c>
      <c r="I48" t="n">
        <v>0.3</v>
      </c>
      <c r="J48" t="n">
        <v>0.6</v>
      </c>
      <c r="L48" s="29" t="inlineStr">
        <is>
          <t>M052</t>
        </is>
      </c>
      <c r="M48" s="29">
        <f>_xlfn.XLOOKUP(L48,표2[material_id],표2[material_name])</f>
        <v/>
      </c>
      <c r="N48" s="29">
        <f>SUMPRODUCT($B$1:$I$1,B48:I48)</f>
        <v/>
      </c>
      <c r="O48" s="116">
        <f>(표19[[#This Row],[end_use]]-MIN(표19[end_use]))/(MAX(표19[end_use])-MIN(표19[end_use]))*100</f>
        <v/>
      </c>
    </row>
    <row r="49">
      <c r="A49" s="29" t="inlineStr">
        <is>
          <t>M055</t>
        </is>
      </c>
      <c r="I49" t="n">
        <v>0.6</v>
      </c>
      <c r="J49" t="n">
        <v>0.6</v>
      </c>
      <c r="L49" s="29" t="inlineStr">
        <is>
          <t>M055</t>
        </is>
      </c>
      <c r="M49" s="29">
        <f>_xlfn.XLOOKUP(L49,표2[material_id],표2[material_name])</f>
        <v/>
      </c>
      <c r="N49" s="29">
        <f>SUMPRODUCT($B$1:$I$1,B49:I49)</f>
        <v/>
      </c>
      <c r="O49" s="116">
        <f>(표19[[#This Row],[end_use]]-MIN(표19[end_use]))/(MAX(표19[end_use])-MIN(표19[end_use]))*100</f>
        <v/>
      </c>
    </row>
    <row r="50">
      <c r="A50" s="29" t="inlineStr">
        <is>
          <t>M056</t>
        </is>
      </c>
      <c r="C50" t="n">
        <v>0.6</v>
      </c>
      <c r="D50" t="n">
        <v>0.6</v>
      </c>
      <c r="E50" t="n">
        <v>0.6</v>
      </c>
      <c r="I50" t="n">
        <v>0.3</v>
      </c>
      <c r="J50" t="n">
        <v>0.6</v>
      </c>
      <c r="L50" s="29" t="inlineStr">
        <is>
          <t>M056</t>
        </is>
      </c>
      <c r="M50" s="29">
        <f>_xlfn.XLOOKUP(L50,표2[material_id],표2[material_name])</f>
        <v/>
      </c>
      <c r="N50" s="29">
        <f>SUMPRODUCT($B$1:$I$1,B50:I50)</f>
        <v/>
      </c>
      <c r="O50" s="116">
        <f>(표19[[#This Row],[end_use]]-MIN(표19[end_use]))/(MAX(표19[end_use])-MIN(표19[end_use]))*100</f>
        <v/>
      </c>
    </row>
    <row r="51">
      <c r="A51" s="29" t="inlineStr">
        <is>
          <t>M057</t>
        </is>
      </c>
      <c r="D51" t="n">
        <v>0.3</v>
      </c>
      <c r="E51" t="n">
        <v>0.6</v>
      </c>
      <c r="F51" t="n">
        <v>0.6</v>
      </c>
      <c r="H51" t="n">
        <v>0.1</v>
      </c>
      <c r="J51" t="n">
        <v>0.6</v>
      </c>
      <c r="L51" s="29" t="inlineStr">
        <is>
          <t>M057</t>
        </is>
      </c>
      <c r="M51" s="29">
        <f>_xlfn.XLOOKUP(L51,표2[material_id],표2[material_name])</f>
        <v/>
      </c>
      <c r="N51" s="29">
        <f>SUMPRODUCT($B$1:$I$1,B51:I51)</f>
        <v/>
      </c>
      <c r="O51" s="116">
        <f>(표19[[#This Row],[end_use]]-MIN(표19[end_use]))/(MAX(표19[end_use])-MIN(표19[end_use]))*100</f>
        <v/>
      </c>
    </row>
    <row r="52">
      <c r="A52" s="29" t="inlineStr">
        <is>
          <t>M058</t>
        </is>
      </c>
      <c r="I52" t="n">
        <v>0.6</v>
      </c>
      <c r="J52" t="n">
        <v>0.6</v>
      </c>
      <c r="L52" s="29" t="inlineStr">
        <is>
          <t>M058</t>
        </is>
      </c>
      <c r="M52" s="29">
        <f>_xlfn.XLOOKUP(L52,표2[material_id],표2[material_name])</f>
        <v/>
      </c>
      <c r="N52" s="29">
        <f>SUMPRODUCT($B$1:$I$1,B52:I52)</f>
        <v/>
      </c>
      <c r="O52" s="116">
        <f>(표19[[#This Row],[end_use]]-MIN(표19[end_use]))/(MAX(표19[end_use])-MIN(표19[end_use]))*100</f>
        <v/>
      </c>
    </row>
    <row r="53">
      <c r="A53" s="29" t="inlineStr">
        <is>
          <t>M059</t>
        </is>
      </c>
      <c r="C53" t="n">
        <v>0.3</v>
      </c>
      <c r="D53" t="n">
        <v>0.6</v>
      </c>
      <c r="I53" t="n">
        <v>0.6</v>
      </c>
      <c r="J53" t="n">
        <v>0.6</v>
      </c>
      <c r="L53" s="29" t="inlineStr">
        <is>
          <t>M059</t>
        </is>
      </c>
      <c r="M53" s="29">
        <f>_xlfn.XLOOKUP(L53,표2[material_id],표2[material_name])</f>
        <v/>
      </c>
      <c r="N53" s="29">
        <f>SUMPRODUCT($B$1:$I$1,B53:I53)</f>
        <v/>
      </c>
      <c r="O53" s="116">
        <f>(표19[[#This Row],[end_use]]-MIN(표19[end_use]))/(MAX(표19[end_use])-MIN(표19[end_use]))*100</f>
        <v/>
      </c>
    </row>
    <row r="54">
      <c r="A54" s="29" t="inlineStr">
        <is>
          <t>M060</t>
        </is>
      </c>
      <c r="I54" t="n">
        <v>0.6</v>
      </c>
      <c r="J54" t="n">
        <v>0.6</v>
      </c>
      <c r="L54" s="29" t="inlineStr">
        <is>
          <t>M060</t>
        </is>
      </c>
      <c r="M54" s="29">
        <f>_xlfn.XLOOKUP(L54,표2[material_id],표2[material_name])</f>
        <v/>
      </c>
      <c r="N54" s="29">
        <f>SUMPRODUCT($B$1:$I$1,B54:I54)</f>
        <v/>
      </c>
      <c r="O54" s="116">
        <f>(표19[[#This Row],[end_use]]-MIN(표19[end_use]))/(MAX(표19[end_use])-MIN(표19[end_use]))*100</f>
        <v/>
      </c>
    </row>
    <row r="55">
      <c r="A55" s="29" t="inlineStr">
        <is>
          <t>M061</t>
        </is>
      </c>
      <c r="I55" t="n">
        <v>0.6</v>
      </c>
      <c r="J55" t="n">
        <v>0.6</v>
      </c>
      <c r="L55" s="29" t="inlineStr">
        <is>
          <t>M061</t>
        </is>
      </c>
      <c r="M55" s="29">
        <f>_xlfn.XLOOKUP(L55,표2[material_id],표2[material_name])</f>
        <v/>
      </c>
      <c r="N55" s="29">
        <f>SUMPRODUCT($B$1:$I$1,B55:I55)</f>
        <v/>
      </c>
      <c r="O55" s="116">
        <f>(표19[[#This Row],[end_use]]-MIN(표19[end_use]))/(MAX(표19[end_use])-MIN(표19[end_use]))*100</f>
        <v/>
      </c>
    </row>
    <row r="56">
      <c r="A56" s="29" t="inlineStr">
        <is>
          <t>M062</t>
        </is>
      </c>
      <c r="C56" t="n">
        <v>0.6</v>
      </c>
      <c r="D56" t="n">
        <v>0.3</v>
      </c>
      <c r="E56" t="n">
        <v>0.3</v>
      </c>
      <c r="F56" t="n">
        <v>0.6</v>
      </c>
      <c r="H56" t="n">
        <v>0.1</v>
      </c>
      <c r="J56" t="n">
        <v>0.6</v>
      </c>
      <c r="L56" s="29" t="inlineStr">
        <is>
          <t>M062</t>
        </is>
      </c>
      <c r="M56" s="29">
        <f>_xlfn.XLOOKUP(L56,표2[material_id],표2[material_name])</f>
        <v/>
      </c>
      <c r="N56" s="29">
        <f>SUMPRODUCT($B$1:$I$1,B56:I56)</f>
        <v/>
      </c>
      <c r="O56" s="116">
        <f>(표19[[#This Row],[end_use]]-MIN(표19[end_use]))/(MAX(표19[end_use])-MIN(표19[end_use]))*100</f>
        <v/>
      </c>
    </row>
    <row r="57">
      <c r="A57" s="29" t="inlineStr">
        <is>
          <t>M063</t>
        </is>
      </c>
      <c r="C57" t="n">
        <v>0.3</v>
      </c>
      <c r="D57" t="n">
        <v>0.3</v>
      </c>
      <c r="F57" t="n">
        <v>0.6</v>
      </c>
      <c r="I57" t="n">
        <v>0.6</v>
      </c>
      <c r="J57" t="n">
        <v>0.6</v>
      </c>
      <c r="L57" s="29" t="inlineStr">
        <is>
          <t>M063</t>
        </is>
      </c>
      <c r="M57" s="29">
        <f>_xlfn.XLOOKUP(L57,표2[material_id],표2[material_name])</f>
        <v/>
      </c>
      <c r="N57" s="29">
        <f>SUMPRODUCT($B$1:$I$1,B57:I57)</f>
        <v/>
      </c>
      <c r="O57" s="116">
        <f>(표19[[#This Row],[end_use]]-MIN(표19[end_use]))/(MAX(표19[end_use])-MIN(표19[end_use]))*100</f>
        <v/>
      </c>
    </row>
    <row r="58">
      <c r="A58" s="29" t="inlineStr">
        <is>
          <t>M064</t>
        </is>
      </c>
      <c r="I58" t="n">
        <v>0.6</v>
      </c>
      <c r="J58" t="n">
        <v>0.6</v>
      </c>
      <c r="L58" s="29" t="inlineStr">
        <is>
          <t>M064</t>
        </is>
      </c>
      <c r="M58" s="29">
        <f>_xlfn.XLOOKUP(L58,표2[material_id],표2[material_name])</f>
        <v/>
      </c>
      <c r="N58" s="29">
        <f>SUMPRODUCT($B$1:$I$1,B58:I58)</f>
        <v/>
      </c>
      <c r="O58" s="116">
        <f>(표19[[#This Row],[end_use]]-MIN(표19[end_use]))/(MAX(표19[end_use])-MIN(표19[end_use]))*100</f>
        <v/>
      </c>
    </row>
    <row r="59">
      <c r="A59" s="29" t="inlineStr">
        <is>
          <t>M065</t>
        </is>
      </c>
      <c r="B59" t="n">
        <v>0.1</v>
      </c>
      <c r="C59" t="n">
        <v>0.3</v>
      </c>
      <c r="H59" t="n">
        <v>0.1</v>
      </c>
      <c r="I59" t="n">
        <v>0.6</v>
      </c>
      <c r="J59" t="n">
        <v>0.6</v>
      </c>
      <c r="L59" s="29" t="inlineStr">
        <is>
          <t>M065</t>
        </is>
      </c>
      <c r="M59" s="29">
        <f>_xlfn.XLOOKUP(L59,표2[material_id],표2[material_name])</f>
        <v/>
      </c>
      <c r="N59" s="29">
        <f>SUMPRODUCT($B$1:$I$1,B59:I59)</f>
        <v/>
      </c>
      <c r="O59" s="116">
        <f>(표19[[#This Row],[end_use]]-MIN(표19[end_use]))/(MAX(표19[end_use])-MIN(표19[end_use]))*100</f>
        <v/>
      </c>
    </row>
    <row r="60">
      <c r="A60" s="29" t="inlineStr">
        <is>
          <t>M066</t>
        </is>
      </c>
      <c r="E60" t="n">
        <v>0.6</v>
      </c>
      <c r="I60" t="n">
        <v>0.6</v>
      </c>
      <c r="J60" t="n">
        <v>0.6</v>
      </c>
      <c r="L60" s="29" t="inlineStr">
        <is>
          <t>M066</t>
        </is>
      </c>
      <c r="M60" s="29">
        <f>_xlfn.XLOOKUP(L60,표2[material_id],표2[material_name])</f>
        <v/>
      </c>
      <c r="N60" s="29">
        <f>SUMPRODUCT($B$1:$I$1,B60:I60)</f>
        <v/>
      </c>
      <c r="O60" s="116">
        <f>(표19[[#This Row],[end_use]]-MIN(표19[end_use]))/(MAX(표19[end_use])-MIN(표19[end_use]))*100</f>
        <v/>
      </c>
    </row>
    <row r="61">
      <c r="A61" s="29" t="inlineStr">
        <is>
          <t>M067</t>
        </is>
      </c>
      <c r="B61" t="n">
        <v>0.1</v>
      </c>
      <c r="I61" t="n">
        <v>0.6</v>
      </c>
      <c r="J61" t="n">
        <v>0.6</v>
      </c>
      <c r="L61" s="29" t="inlineStr">
        <is>
          <t>M067</t>
        </is>
      </c>
      <c r="M61" s="29">
        <f>_xlfn.XLOOKUP(L61,표2[material_id],표2[material_name])</f>
        <v/>
      </c>
      <c r="N61" s="29">
        <f>SUMPRODUCT($B$1:$I$1,B61:I61)</f>
        <v/>
      </c>
      <c r="O61" s="116">
        <f>(표19[[#This Row],[end_use]]-MIN(표19[end_use]))/(MAX(표19[end_use])-MIN(표19[end_use]))*100</f>
        <v/>
      </c>
    </row>
    <row r="62">
      <c r="A62" s="29" t="inlineStr">
        <is>
          <t>M068</t>
        </is>
      </c>
      <c r="B62" t="n">
        <v>0.1</v>
      </c>
      <c r="D62" t="n">
        <v>0.6</v>
      </c>
      <c r="E62" t="n">
        <v>0.3</v>
      </c>
      <c r="I62" t="n">
        <v>0.3</v>
      </c>
      <c r="J62" t="n">
        <v>0.6</v>
      </c>
      <c r="L62" s="29" t="inlineStr">
        <is>
          <t>M068</t>
        </is>
      </c>
      <c r="M62" s="29">
        <f>_xlfn.XLOOKUP(L62,표2[material_id],표2[material_name])</f>
        <v/>
      </c>
      <c r="N62" s="29">
        <f>SUMPRODUCT($B$1:$I$1,B62:I62)</f>
        <v/>
      </c>
      <c r="O62" s="116">
        <f>(표19[[#This Row],[end_use]]-MIN(표19[end_use]))/(MAX(표19[end_use])-MIN(표19[end_use]))*100</f>
        <v/>
      </c>
    </row>
    <row r="63">
      <c r="A63" s="29" t="inlineStr">
        <is>
          <t>M069</t>
        </is>
      </c>
      <c r="G63" t="n">
        <v>0.3</v>
      </c>
      <c r="I63" t="n">
        <v>0.6</v>
      </c>
      <c r="J63" t="n">
        <v>0.6</v>
      </c>
      <c r="L63" s="29" t="inlineStr">
        <is>
          <t>M069</t>
        </is>
      </c>
      <c r="M63" s="29">
        <f>_xlfn.XLOOKUP(L63,표2[material_id],표2[material_name])</f>
        <v/>
      </c>
      <c r="N63" s="29">
        <f>SUMPRODUCT($B$1:$I$1,B63:I63)</f>
        <v/>
      </c>
      <c r="O63" s="116">
        <f>(표19[[#This Row],[end_use]]-MIN(표19[end_use]))/(MAX(표19[end_use])-MIN(표19[end_use]))*100</f>
        <v/>
      </c>
    </row>
    <row r="64">
      <c r="A64" s="29" t="inlineStr">
        <is>
          <t>M070</t>
        </is>
      </c>
      <c r="E64" t="n">
        <v>0.1</v>
      </c>
      <c r="H64" t="n">
        <v>0.1</v>
      </c>
      <c r="I64" t="n">
        <v>0.6</v>
      </c>
      <c r="J64" t="n">
        <v>0.6</v>
      </c>
      <c r="L64" s="29" t="inlineStr">
        <is>
          <t>M070</t>
        </is>
      </c>
      <c r="M64" s="29">
        <f>_xlfn.XLOOKUP(L64,표2[material_id],표2[material_name])</f>
        <v/>
      </c>
      <c r="N64" s="29">
        <f>SUMPRODUCT($B$1:$I$1,B64:I64)</f>
        <v/>
      </c>
      <c r="O64" s="116">
        <f>(표19[[#This Row],[end_use]]-MIN(표19[end_use]))/(MAX(표19[end_use])-MIN(표19[end_use]))*100</f>
        <v/>
      </c>
    </row>
    <row r="65">
      <c r="A65" s="29" t="inlineStr">
        <is>
          <t>M073</t>
        </is>
      </c>
      <c r="D65" t="n">
        <v>0.6</v>
      </c>
      <c r="I65" t="n">
        <v>0.6</v>
      </c>
      <c r="J65" t="n">
        <v>0.6</v>
      </c>
      <c r="L65" s="29" t="inlineStr">
        <is>
          <t>M073</t>
        </is>
      </c>
      <c r="M65" s="29">
        <f>_xlfn.XLOOKUP(L65,표2[material_id],표2[material_name])</f>
        <v/>
      </c>
      <c r="N65" s="29">
        <f>SUMPRODUCT($B$1:$I$1,B65:I65)</f>
        <v/>
      </c>
      <c r="O65" s="116">
        <f>(표19[[#This Row],[end_use]]-MIN(표19[end_use]))/(MAX(표19[end_use])-MIN(표19[end_use]))*100</f>
        <v/>
      </c>
    </row>
    <row r="66">
      <c r="A66" s="29" t="inlineStr">
        <is>
          <t>M074</t>
        </is>
      </c>
      <c r="C66" t="n">
        <v>0.6</v>
      </c>
      <c r="E66" t="n">
        <v>0.6</v>
      </c>
      <c r="F66" t="n">
        <v>0.3</v>
      </c>
      <c r="J66" t="n">
        <v>0.6</v>
      </c>
      <c r="L66" s="29" t="inlineStr">
        <is>
          <t>M074</t>
        </is>
      </c>
      <c r="M66" s="29">
        <f>_xlfn.XLOOKUP(L66,표2[material_id],표2[material_name])</f>
        <v/>
      </c>
      <c r="N66" s="29">
        <f>SUMPRODUCT($B$1:$I$1,B66:I66)</f>
        <v/>
      </c>
      <c r="O66" s="116">
        <f>(표19[[#This Row],[end_use]]-MIN(표19[end_use]))/(MAX(표19[end_use])-MIN(표19[end_use]))*100</f>
        <v/>
      </c>
    </row>
    <row r="67">
      <c r="A67" s="29" t="inlineStr">
        <is>
          <t>M075</t>
        </is>
      </c>
      <c r="E67" t="n">
        <v>0.6</v>
      </c>
      <c r="I67" t="n">
        <v>0.6</v>
      </c>
      <c r="J67" t="n">
        <v>0.6</v>
      </c>
      <c r="L67" s="29" t="inlineStr">
        <is>
          <t>M075</t>
        </is>
      </c>
      <c r="M67" s="29">
        <f>_xlfn.XLOOKUP(L67,표2[material_id],표2[material_name])</f>
        <v/>
      </c>
      <c r="N67" s="29">
        <f>SUMPRODUCT($B$1:$I$1,B67:I67)</f>
        <v/>
      </c>
      <c r="O67" s="116">
        <f>(표19[[#This Row],[end_use]]-MIN(표19[end_use]))/(MAX(표19[end_use])-MIN(표19[end_use]))*100</f>
        <v/>
      </c>
    </row>
    <row r="68">
      <c r="A68" s="29" t="inlineStr">
        <is>
          <t>M077</t>
        </is>
      </c>
      <c r="C68" t="n">
        <v>0.6</v>
      </c>
      <c r="I68" t="n">
        <v>0.6</v>
      </c>
      <c r="J68" t="n">
        <v>0.6</v>
      </c>
      <c r="L68" s="29" t="inlineStr">
        <is>
          <t>M077</t>
        </is>
      </c>
      <c r="M68" s="29">
        <f>_xlfn.XLOOKUP(L68,표2[material_id],표2[material_name])</f>
        <v/>
      </c>
      <c r="N68" s="29">
        <f>SUMPRODUCT($B$1:$I$1,B68:I68)</f>
        <v/>
      </c>
      <c r="O68" s="116">
        <f>(표19[[#This Row],[end_use]]-MIN(표19[end_use]))/(MAX(표19[end_use])-MIN(표19[end_use]))*100</f>
        <v/>
      </c>
    </row>
    <row r="69">
      <c r="A69" s="29" t="inlineStr">
        <is>
          <t>M078</t>
        </is>
      </c>
      <c r="D69" t="n">
        <v>0.1</v>
      </c>
      <c r="I69" t="n">
        <v>0.6</v>
      </c>
      <c r="J69" t="n">
        <v>0.6</v>
      </c>
      <c r="L69" s="29" t="inlineStr">
        <is>
          <t>M078</t>
        </is>
      </c>
      <c r="M69" s="29">
        <f>_xlfn.XLOOKUP(L69,표2[material_id],표2[material_name])</f>
        <v/>
      </c>
      <c r="N69" s="29">
        <f>SUMPRODUCT($B$1:$I$1,B69:I69)</f>
        <v/>
      </c>
      <c r="O69" s="116">
        <f>(표19[[#This Row],[end_use]]-MIN(표19[end_use]))/(MAX(표19[end_use])-MIN(표19[end_use]))*100</f>
        <v/>
      </c>
    </row>
    <row r="70">
      <c r="A70" s="29" t="inlineStr">
        <is>
          <t>M079</t>
        </is>
      </c>
      <c r="C70" t="n">
        <v>0.6</v>
      </c>
      <c r="D70" t="n">
        <v>0.6</v>
      </c>
      <c r="E70" t="n">
        <v>0.3</v>
      </c>
      <c r="F70" t="n">
        <v>0.3</v>
      </c>
      <c r="H70" t="n">
        <v>0.3</v>
      </c>
      <c r="J70" t="n">
        <v>0.6</v>
      </c>
      <c r="L70" s="29" t="inlineStr">
        <is>
          <t>M079</t>
        </is>
      </c>
      <c r="M70" s="29">
        <f>_xlfn.XLOOKUP(L70,표2[material_id],표2[material_name])</f>
        <v/>
      </c>
      <c r="N70" s="29">
        <f>SUMPRODUCT($B$1:$I$1,B70:I70)</f>
        <v/>
      </c>
      <c r="O70" s="116">
        <f>(표19[[#This Row],[end_use]]-MIN(표19[end_use]))/(MAX(표19[end_use])-MIN(표19[end_use]))*100</f>
        <v/>
      </c>
    </row>
    <row r="71">
      <c r="A71" s="29" t="inlineStr">
        <is>
          <t>M080</t>
        </is>
      </c>
      <c r="B71" t="n">
        <v>0.1</v>
      </c>
      <c r="D71" t="n">
        <v>0.6</v>
      </c>
      <c r="I71" t="n">
        <v>0.3</v>
      </c>
      <c r="J71" t="n">
        <v>0.6</v>
      </c>
      <c r="L71" s="29" t="inlineStr">
        <is>
          <t>M080</t>
        </is>
      </c>
      <c r="M71" s="29">
        <f>_xlfn.XLOOKUP(L71,표2[material_id],표2[material_name])</f>
        <v/>
      </c>
      <c r="N71" s="29">
        <f>SUMPRODUCT($B$1:$I$1,B71:I71)</f>
        <v/>
      </c>
      <c r="O71" s="116">
        <f>(표19[[#This Row],[end_use]]-MIN(표19[end_use]))/(MAX(표19[end_use])-MIN(표19[end_use]))*100</f>
        <v/>
      </c>
    </row>
    <row r="72">
      <c r="A72" s="29" t="inlineStr">
        <is>
          <t>M081</t>
        </is>
      </c>
      <c r="C72" t="n">
        <v>0.6</v>
      </c>
      <c r="I72" t="n">
        <v>0.3</v>
      </c>
      <c r="J72" t="n">
        <v>0.6</v>
      </c>
      <c r="L72" s="29" t="inlineStr">
        <is>
          <t>M081</t>
        </is>
      </c>
      <c r="M72" s="29">
        <f>_xlfn.XLOOKUP(L72,표2[material_id],표2[material_name])</f>
        <v/>
      </c>
      <c r="N72" s="29">
        <f>SUMPRODUCT($B$1:$I$1,B72:I72)</f>
        <v/>
      </c>
      <c r="O72" s="116">
        <f>(표19[[#This Row],[end_use]]-MIN(표19[end_use]))/(MAX(표19[end_use])-MIN(표19[end_use]))*100</f>
        <v/>
      </c>
    </row>
    <row r="73">
      <c r="A73" s="29" t="inlineStr">
        <is>
          <t>M082</t>
        </is>
      </c>
      <c r="C73" t="n">
        <v>0.6</v>
      </c>
      <c r="I73" t="n">
        <v>0.6</v>
      </c>
      <c r="J73" t="n">
        <v>0.6</v>
      </c>
      <c r="L73" s="29" t="inlineStr">
        <is>
          <t>M082</t>
        </is>
      </c>
      <c r="M73" s="29">
        <f>_xlfn.XLOOKUP(L73,표2[material_id],표2[material_name])</f>
        <v/>
      </c>
      <c r="N73" s="29">
        <f>SUMPRODUCT($B$1:$I$1,B73:I73)</f>
        <v/>
      </c>
      <c r="O73" s="116">
        <f>(표19[[#This Row],[end_use]]-MIN(표19[end_use]))/(MAX(표19[end_use])-MIN(표19[end_use]))*100</f>
        <v/>
      </c>
    </row>
    <row r="74">
      <c r="A74" s="29" t="inlineStr">
        <is>
          <t>M083</t>
        </is>
      </c>
      <c r="C74" t="n">
        <v>0.6</v>
      </c>
      <c r="E74" t="n">
        <v>0.3</v>
      </c>
      <c r="I74" t="n">
        <v>0.6</v>
      </c>
      <c r="J74" t="n">
        <v>0.6</v>
      </c>
      <c r="L74" s="29" t="inlineStr">
        <is>
          <t>M083</t>
        </is>
      </c>
      <c r="M74" s="29">
        <f>_xlfn.XLOOKUP(L74,표2[material_id],표2[material_name])</f>
        <v/>
      </c>
      <c r="N74" s="29">
        <f>SUMPRODUCT($B$1:$I$1,B74:I74)</f>
        <v/>
      </c>
      <c r="O74" s="116">
        <f>(표19[[#This Row],[end_use]]-MIN(표19[end_use]))/(MAX(표19[end_use])-MIN(표19[end_use]))*100</f>
        <v/>
      </c>
    </row>
    <row r="75">
      <c r="A75" s="29" t="inlineStr">
        <is>
          <t>M084</t>
        </is>
      </c>
      <c r="E75" t="n">
        <v>0.3</v>
      </c>
      <c r="G75" t="n">
        <v>0.6</v>
      </c>
      <c r="I75" t="n">
        <v>0.1</v>
      </c>
      <c r="J75" t="n">
        <v>0.6</v>
      </c>
      <c r="L75" s="29" t="inlineStr">
        <is>
          <t>M084</t>
        </is>
      </c>
      <c r="M75" s="29">
        <f>_xlfn.XLOOKUP(L75,표2[material_id],표2[material_name])</f>
        <v/>
      </c>
      <c r="N75" s="29">
        <f>SUMPRODUCT($B$1:$I$1,B75:I75)</f>
        <v/>
      </c>
      <c r="O75" s="116">
        <f>(표19[[#This Row],[end_use]]-MIN(표19[end_use]))/(MAX(표19[end_use])-MIN(표19[end_use]))*100</f>
        <v/>
      </c>
    </row>
    <row r="76">
      <c r="A76" s="29" t="inlineStr">
        <is>
          <t>M085</t>
        </is>
      </c>
      <c r="D76" t="n">
        <v>0.6</v>
      </c>
      <c r="E76" t="n">
        <v>0.3</v>
      </c>
      <c r="I76" t="n">
        <v>0.3</v>
      </c>
      <c r="J76" t="n">
        <v>0.6</v>
      </c>
      <c r="L76" s="29" t="inlineStr">
        <is>
          <t>M085</t>
        </is>
      </c>
      <c r="M76" s="29">
        <f>_xlfn.XLOOKUP(L76,표2[material_id],표2[material_name])</f>
        <v/>
      </c>
      <c r="N76" s="29">
        <f>SUMPRODUCT($B$1:$I$1,B76:I76)</f>
        <v/>
      </c>
      <c r="O76" s="116">
        <f>(표19[[#This Row],[end_use]]-MIN(표19[end_use]))/(MAX(표19[end_use])-MIN(표19[end_use]))*100</f>
        <v/>
      </c>
    </row>
    <row r="77">
      <c r="A77" s="29" t="inlineStr">
        <is>
          <t>M086</t>
        </is>
      </c>
      <c r="E77" t="n">
        <v>0.6</v>
      </c>
      <c r="I77" t="n">
        <v>0.3</v>
      </c>
      <c r="J77" t="n">
        <v>0.6</v>
      </c>
      <c r="L77" s="29" t="inlineStr">
        <is>
          <t>M086</t>
        </is>
      </c>
      <c r="M77" s="29">
        <f>_xlfn.XLOOKUP(L77,표2[material_id],표2[material_name])</f>
        <v/>
      </c>
      <c r="N77" s="29">
        <f>SUMPRODUCT($B$1:$I$1,B77:I77)</f>
        <v/>
      </c>
      <c r="O77" s="116">
        <f>(표19[[#This Row],[end_use]]-MIN(표19[end_use]))/(MAX(표19[end_use])-MIN(표19[end_use]))*100</f>
        <v/>
      </c>
    </row>
    <row r="78">
      <c r="A78" s="29" t="inlineStr">
        <is>
          <t>M087</t>
        </is>
      </c>
      <c r="B78" t="n">
        <v>0.1</v>
      </c>
      <c r="I78" t="n">
        <v>0.6</v>
      </c>
      <c r="J78" t="n">
        <v>0.6</v>
      </c>
      <c r="L78" s="29" t="inlineStr">
        <is>
          <t>M087</t>
        </is>
      </c>
      <c r="M78" s="29">
        <f>_xlfn.XLOOKUP(L78,표2[material_id],표2[material_name])</f>
        <v/>
      </c>
      <c r="N78" s="29">
        <f>SUMPRODUCT($B$1:$I$1,B78:I78)</f>
        <v/>
      </c>
      <c r="O78" s="116">
        <f>(표19[[#This Row],[end_use]]-MIN(표19[end_use]))/(MAX(표19[end_use])-MIN(표19[end_use]))*100</f>
        <v/>
      </c>
    </row>
    <row r="79">
      <c r="A79" s="29" t="inlineStr">
        <is>
          <t>M088</t>
        </is>
      </c>
      <c r="I79" t="n">
        <v>0.6</v>
      </c>
      <c r="J79" t="n">
        <v>0.6</v>
      </c>
      <c r="L79" s="29" t="inlineStr">
        <is>
          <t>M088</t>
        </is>
      </c>
      <c r="M79" s="29">
        <f>_xlfn.XLOOKUP(L79,표2[material_id],표2[material_name])</f>
        <v/>
      </c>
      <c r="N79" s="29">
        <f>SUMPRODUCT($B$1:$I$1,B79:I79)</f>
        <v/>
      </c>
      <c r="O79" s="116">
        <f>(표19[[#This Row],[end_use]]-MIN(표19[end_use]))/(MAX(표19[end_use])-MIN(표19[end_use]))*100</f>
        <v/>
      </c>
    </row>
    <row r="80">
      <c r="A80" s="29" t="inlineStr">
        <is>
          <t>M089</t>
        </is>
      </c>
      <c r="I80" t="n">
        <v>0.6</v>
      </c>
      <c r="J80" t="n">
        <v>0.6</v>
      </c>
      <c r="L80" s="29" t="inlineStr">
        <is>
          <t>M089</t>
        </is>
      </c>
      <c r="M80" s="29">
        <f>_xlfn.XLOOKUP(L80,표2[material_id],표2[material_name])</f>
        <v/>
      </c>
      <c r="N80" s="29">
        <f>SUMPRODUCT($B$1:$I$1,B80:I80)</f>
        <v/>
      </c>
      <c r="O80" s="116">
        <f>(표19[[#This Row],[end_use]]-MIN(표19[end_use]))/(MAX(표19[end_use])-MIN(표19[end_use]))*100</f>
        <v/>
      </c>
    </row>
    <row r="81">
      <c r="A81" s="29" t="inlineStr">
        <is>
          <t>M090</t>
        </is>
      </c>
      <c r="E81" t="n">
        <v>0.6</v>
      </c>
      <c r="I81" t="n">
        <v>0.3</v>
      </c>
      <c r="J81" t="n">
        <v>0.6</v>
      </c>
      <c r="L81" s="29" t="inlineStr">
        <is>
          <t>M090</t>
        </is>
      </c>
      <c r="M81" s="29">
        <f>_xlfn.XLOOKUP(L81,표2[material_id],표2[material_name])</f>
        <v/>
      </c>
      <c r="N81" s="29">
        <f>SUMPRODUCT($B$1:$I$1,B81:I81)</f>
        <v/>
      </c>
      <c r="O81" s="116">
        <f>(표19[[#This Row],[end_use]]-MIN(표19[end_use]))/(MAX(표19[end_use])-MIN(표19[end_use]))*100</f>
        <v/>
      </c>
    </row>
    <row r="82">
      <c r="A82" s="29" t="inlineStr">
        <is>
          <t>M091</t>
        </is>
      </c>
      <c r="E82" t="n">
        <v>0.6</v>
      </c>
      <c r="F82" t="n">
        <v>0.1</v>
      </c>
      <c r="I82" t="n">
        <v>0.1</v>
      </c>
      <c r="J82" t="n">
        <v>0.6</v>
      </c>
      <c r="L82" s="29" t="inlineStr">
        <is>
          <t>M091</t>
        </is>
      </c>
      <c r="M82" s="29">
        <f>_xlfn.XLOOKUP(L82,표2[material_id],표2[material_name])</f>
        <v/>
      </c>
      <c r="N82" s="29">
        <f>SUMPRODUCT($B$1:$I$1,B82:I82)</f>
        <v/>
      </c>
      <c r="O82" s="116">
        <f>(표19[[#This Row],[end_use]]-MIN(표19[end_use]))/(MAX(표19[end_use])-MIN(표19[end_use]))*100</f>
        <v/>
      </c>
    </row>
    <row r="83">
      <c r="A83" s="29" t="inlineStr">
        <is>
          <t>M092</t>
        </is>
      </c>
      <c r="E83" t="n">
        <v>0.6</v>
      </c>
      <c r="F83" t="n">
        <v>0.1</v>
      </c>
      <c r="J83" t="n">
        <v>0.6</v>
      </c>
      <c r="L83" s="29" t="inlineStr">
        <is>
          <t>M092</t>
        </is>
      </c>
      <c r="M83" s="29">
        <f>_xlfn.XLOOKUP(L83,표2[material_id],표2[material_name])</f>
        <v/>
      </c>
      <c r="N83" s="29">
        <f>SUMPRODUCT($B$1:$I$1,B83:I83)</f>
        <v/>
      </c>
      <c r="O83" s="116">
        <f>(표19[[#This Row],[end_use]]-MIN(표19[end_use]))/(MAX(표19[end_use])-MIN(표19[end_use]))*100</f>
        <v/>
      </c>
    </row>
    <row r="84">
      <c r="A84" s="29" t="inlineStr">
        <is>
          <t>M093</t>
        </is>
      </c>
      <c r="E84" t="n">
        <v>0.6</v>
      </c>
      <c r="J84" t="n">
        <v>0.6</v>
      </c>
      <c r="L84" s="29" t="inlineStr">
        <is>
          <t>M093</t>
        </is>
      </c>
      <c r="M84" s="29">
        <f>_xlfn.XLOOKUP(L84,표2[material_id],표2[material_name])</f>
        <v/>
      </c>
      <c r="N84" s="29">
        <f>SUMPRODUCT($B$1:$I$1,B84:I84)</f>
        <v/>
      </c>
      <c r="O84" s="116">
        <f>(표19[[#This Row],[end_use]]-MIN(표19[end_use]))/(MAX(표19[end_use])-MIN(표19[end_use]))*100</f>
        <v/>
      </c>
    </row>
    <row r="85">
      <c r="A85" s="29" t="inlineStr">
        <is>
          <t>M097</t>
        </is>
      </c>
      <c r="C85" t="n">
        <v>0.6</v>
      </c>
      <c r="D85" t="n">
        <v>0.6</v>
      </c>
      <c r="E85" t="n">
        <v>0.3</v>
      </c>
      <c r="F85" t="n">
        <v>0.3</v>
      </c>
      <c r="I85" t="n">
        <v>0.6</v>
      </c>
      <c r="J85" t="n">
        <v>0.6</v>
      </c>
      <c r="L85" s="29" t="inlineStr">
        <is>
          <t>M097</t>
        </is>
      </c>
      <c r="M85" s="29">
        <f>_xlfn.XLOOKUP(L85,표2[material_id],표2[material_name])</f>
        <v/>
      </c>
      <c r="N85" s="29">
        <f>SUMPRODUCT($B$1:$I$1,B85:I85)</f>
        <v/>
      </c>
      <c r="O85" s="116">
        <f>(표19[[#This Row],[end_use]]-MIN(표19[end_use]))/(MAX(표19[end_use])-MIN(표19[end_use]))*100</f>
        <v/>
      </c>
    </row>
    <row r="86">
      <c r="A86" s="29" t="inlineStr">
        <is>
          <t>M098</t>
        </is>
      </c>
      <c r="C86" t="n">
        <v>0.1</v>
      </c>
      <c r="I86" t="n">
        <v>0.6</v>
      </c>
      <c r="J86" t="n">
        <v>0.6</v>
      </c>
      <c r="L86" s="29" t="inlineStr">
        <is>
          <t>M098</t>
        </is>
      </c>
      <c r="M86" s="29">
        <f>_xlfn.XLOOKUP(L86,표2[material_id],표2[material_name])</f>
        <v/>
      </c>
      <c r="N86" s="29">
        <f>SUMPRODUCT($B$1:$I$1,B86:I86)</f>
        <v/>
      </c>
      <c r="O86" s="116">
        <f>(표19[[#This Row],[end_use]]-MIN(표19[end_use]))/(MAX(표19[end_use])-MIN(표19[end_use]))*100</f>
        <v/>
      </c>
    </row>
    <row r="87">
      <c r="A87" s="29" t="inlineStr">
        <is>
          <t>M100</t>
        </is>
      </c>
      <c r="C87" t="n">
        <v>0.6</v>
      </c>
      <c r="D87" t="n">
        <v>0.3</v>
      </c>
      <c r="E87" t="n">
        <v>0.1</v>
      </c>
      <c r="H87" t="n">
        <v>0.1</v>
      </c>
      <c r="I87" t="n">
        <v>0.1</v>
      </c>
      <c r="J87" t="n">
        <v>0.6</v>
      </c>
      <c r="L87" s="29" t="inlineStr">
        <is>
          <t>M100</t>
        </is>
      </c>
      <c r="M87" s="29">
        <f>_xlfn.XLOOKUP(L87,표2[material_id],표2[material_name])</f>
        <v/>
      </c>
      <c r="N87" s="29">
        <f>SUMPRODUCT($B$1:$I$1,B87:I87)</f>
        <v/>
      </c>
      <c r="O87" s="116">
        <f>(표19[[#This Row],[end_use]]-MIN(표19[end_use]))/(MAX(표19[end_use])-MIN(표19[end_use]))*100</f>
        <v/>
      </c>
    </row>
    <row r="88">
      <c r="A88" s="29" t="inlineStr">
        <is>
          <t>M101</t>
        </is>
      </c>
      <c r="E88" t="n">
        <v>0.1</v>
      </c>
      <c r="G88" t="n">
        <v>0.3</v>
      </c>
      <c r="I88" t="n">
        <v>0.6</v>
      </c>
      <c r="J88" t="n">
        <v>0.6</v>
      </c>
      <c r="L88" s="29" t="inlineStr">
        <is>
          <t>M101</t>
        </is>
      </c>
      <c r="M88" s="29">
        <f>_xlfn.XLOOKUP(L88,표2[material_id],표2[material_name])</f>
        <v/>
      </c>
      <c r="N88" s="29">
        <f>SUMPRODUCT($B$1:$I$1,B88:I88)</f>
        <v/>
      </c>
      <c r="O88" s="116">
        <f>(표19[[#This Row],[end_use]]-MIN(표19[end_use]))/(MAX(표19[end_use])-MIN(표19[end_use]))*100</f>
        <v/>
      </c>
    </row>
    <row r="89">
      <c r="A89" s="29" t="inlineStr">
        <is>
          <t>M102</t>
        </is>
      </c>
      <c r="C89" t="n">
        <v>0.6</v>
      </c>
      <c r="E89" t="n">
        <v>0.6</v>
      </c>
      <c r="H89" t="n">
        <v>0.1</v>
      </c>
      <c r="I89" t="n">
        <v>0.1</v>
      </c>
      <c r="J89" t="n">
        <v>0.6</v>
      </c>
      <c r="L89" s="29" t="inlineStr">
        <is>
          <t>M102</t>
        </is>
      </c>
      <c r="M89" s="29">
        <f>_xlfn.XLOOKUP(L89,표2[material_id],표2[material_name])</f>
        <v/>
      </c>
      <c r="N89" s="29">
        <f>SUMPRODUCT($B$1:$I$1,B89:I89)</f>
        <v/>
      </c>
      <c r="O89" s="116">
        <f>(표19[[#This Row],[end_use]]-MIN(표19[end_use]))/(MAX(표19[end_use])-MIN(표19[end_use]))*100</f>
        <v/>
      </c>
    </row>
    <row r="90">
      <c r="A90" s="29" t="inlineStr">
        <is>
          <t>M103</t>
        </is>
      </c>
      <c r="C90" t="n">
        <v>0.3</v>
      </c>
      <c r="D90" t="n">
        <v>0.3</v>
      </c>
      <c r="E90" t="n">
        <v>0.3</v>
      </c>
      <c r="I90" t="n">
        <v>0.6</v>
      </c>
      <c r="J90" t="n">
        <v>0.6</v>
      </c>
      <c r="L90" s="29" t="inlineStr">
        <is>
          <t>M103</t>
        </is>
      </c>
      <c r="M90" s="29">
        <f>_xlfn.XLOOKUP(L90,표2[material_id],표2[material_name])</f>
        <v/>
      </c>
      <c r="N90" s="29">
        <f>SUMPRODUCT($B$1:$I$1,B90:I90)</f>
        <v/>
      </c>
      <c r="O90" s="116">
        <f>(표19[[#This Row],[end_use]]-MIN(표19[end_use]))/(MAX(표19[end_use])-MIN(표19[end_use]))*100</f>
        <v/>
      </c>
    </row>
    <row r="91">
      <c r="A91" s="29" t="inlineStr">
        <is>
          <t>M104</t>
        </is>
      </c>
      <c r="C91" t="n">
        <v>0.3</v>
      </c>
      <c r="E91" t="n">
        <v>0.6</v>
      </c>
      <c r="F91" t="n">
        <v>0.1</v>
      </c>
      <c r="I91" t="n">
        <v>0.6</v>
      </c>
      <c r="J91" t="n">
        <v>0.6</v>
      </c>
      <c r="L91" s="29" t="inlineStr">
        <is>
          <t>M104</t>
        </is>
      </c>
      <c r="M91" s="29">
        <f>_xlfn.XLOOKUP(L91,표2[material_id],표2[material_name])</f>
        <v/>
      </c>
      <c r="N91" s="29">
        <f>SUMPRODUCT($B$1:$I$1,B91:I91)</f>
        <v/>
      </c>
      <c r="O91" s="116">
        <f>(표19[[#This Row],[end_use]]-MIN(표19[end_use]))/(MAX(표19[end_use])-MIN(표19[end_use]))*100</f>
        <v/>
      </c>
    </row>
    <row r="92">
      <c r="A92" s="29" t="inlineStr">
        <is>
          <t>M105</t>
        </is>
      </c>
      <c r="C92" t="n">
        <v>0.6</v>
      </c>
      <c r="E92" t="n">
        <v>0.3</v>
      </c>
      <c r="H92" t="n">
        <v>0.3</v>
      </c>
      <c r="J92" t="n">
        <v>0.6</v>
      </c>
      <c r="L92" s="29" t="inlineStr">
        <is>
          <t>M105</t>
        </is>
      </c>
      <c r="M92" s="29">
        <f>_xlfn.XLOOKUP(L92,표2[material_id],표2[material_name])</f>
        <v/>
      </c>
      <c r="N92" s="29">
        <f>SUMPRODUCT($B$1:$I$1,B92:I92)</f>
        <v/>
      </c>
      <c r="O92" s="116">
        <f>(표19[[#This Row],[end_use]]-MIN(표19[end_use]))/(MAX(표19[end_use])-MIN(표19[end_use]))*100</f>
        <v/>
      </c>
    </row>
    <row r="93">
      <c r="A93" s="29" t="inlineStr">
        <is>
          <t>M106</t>
        </is>
      </c>
      <c r="D93" t="n">
        <v>0.3</v>
      </c>
      <c r="E93" t="n">
        <v>0.6</v>
      </c>
      <c r="I93" t="n">
        <v>0.3</v>
      </c>
      <c r="J93" t="n">
        <v>0.6</v>
      </c>
      <c r="L93" s="29" t="inlineStr">
        <is>
          <t>M106</t>
        </is>
      </c>
      <c r="M93" s="29">
        <f>_xlfn.XLOOKUP(L93,표2[material_id],표2[material_name])</f>
        <v/>
      </c>
      <c r="N93" s="29">
        <f>SUMPRODUCT($B$1:$I$1,B93:I93)</f>
        <v/>
      </c>
      <c r="O93" s="116">
        <f>(표19[[#This Row],[end_use]]-MIN(표19[end_use]))/(MAX(표19[end_use])-MIN(표19[end_use]))*100</f>
        <v/>
      </c>
    </row>
    <row r="94">
      <c r="A94" s="29" t="inlineStr">
        <is>
          <t>M107</t>
        </is>
      </c>
      <c r="I94" t="n">
        <v>0.6</v>
      </c>
      <c r="J94" t="n">
        <v>0.6</v>
      </c>
      <c r="L94" s="29" t="inlineStr">
        <is>
          <t>M107</t>
        </is>
      </c>
      <c r="M94" s="29">
        <f>_xlfn.XLOOKUP(L94,표2[material_id],표2[material_name])</f>
        <v/>
      </c>
      <c r="N94" s="29">
        <f>SUMPRODUCT($B$1:$I$1,B94:I94)</f>
        <v/>
      </c>
      <c r="O94" s="116">
        <f>(표19[[#This Row],[end_use]]-MIN(표19[end_use]))/(MAX(표19[end_use])-MIN(표19[end_use]))*100</f>
        <v/>
      </c>
    </row>
    <row r="95">
      <c r="A95" s="29" t="inlineStr">
        <is>
          <t>M108</t>
        </is>
      </c>
      <c r="C95" t="n">
        <v>0.3</v>
      </c>
      <c r="D95" t="n">
        <v>0.3</v>
      </c>
      <c r="E95" t="n">
        <v>0.6</v>
      </c>
      <c r="I95" t="n">
        <v>0.6</v>
      </c>
      <c r="J95" t="n">
        <v>0.6</v>
      </c>
      <c r="L95" s="29" t="inlineStr">
        <is>
          <t>M108</t>
        </is>
      </c>
      <c r="M95" s="29">
        <f>_xlfn.XLOOKUP(L95,표2[material_id],표2[material_name])</f>
        <v/>
      </c>
      <c r="N95" s="29">
        <f>SUMPRODUCT($B$1:$I$1,B95:I95)</f>
        <v/>
      </c>
      <c r="O95" s="116">
        <f>(표19[[#This Row],[end_use]]-MIN(표19[end_use]))/(MAX(표19[end_use])-MIN(표19[end_use]))*100</f>
        <v/>
      </c>
    </row>
    <row r="96">
      <c r="A96" s="29" t="inlineStr">
        <is>
          <t>M109</t>
        </is>
      </c>
      <c r="C96" t="n">
        <v>0.3</v>
      </c>
      <c r="D96" t="n">
        <v>0.6</v>
      </c>
      <c r="I96" t="n">
        <v>0.3</v>
      </c>
      <c r="J96" t="n">
        <v>0.6</v>
      </c>
      <c r="L96" s="29" t="inlineStr">
        <is>
          <t>M109</t>
        </is>
      </c>
      <c r="M96" s="29">
        <f>_xlfn.XLOOKUP(L96,표2[material_id],표2[material_name])</f>
        <v/>
      </c>
      <c r="N96" s="29">
        <f>SUMPRODUCT($B$1:$I$1,B96:I96)</f>
        <v/>
      </c>
      <c r="O96" s="116">
        <f>(표19[[#This Row],[end_use]]-MIN(표19[end_use]))/(MAX(표19[end_use])-MIN(표19[end_use]))*100</f>
        <v/>
      </c>
    </row>
    <row r="97">
      <c r="A97" s="29" t="inlineStr">
        <is>
          <t>M110</t>
        </is>
      </c>
      <c r="I97" t="n">
        <v>0.6</v>
      </c>
      <c r="J97" t="n">
        <v>0.6</v>
      </c>
      <c r="L97" s="29" t="inlineStr">
        <is>
          <t>M110</t>
        </is>
      </c>
      <c r="M97" s="29">
        <f>_xlfn.XLOOKUP(L97,표2[material_id],표2[material_name])</f>
        <v/>
      </c>
      <c r="N97" s="29">
        <f>SUMPRODUCT($B$1:$I$1,B97:I97)</f>
        <v/>
      </c>
      <c r="O97" s="116">
        <f>(표19[[#This Row],[end_use]]-MIN(표19[end_use]))/(MAX(표19[end_use])-MIN(표19[end_use]))*100</f>
        <v/>
      </c>
    </row>
    <row r="98">
      <c r="A98" s="29" t="inlineStr">
        <is>
          <t>M111</t>
        </is>
      </c>
      <c r="C98" t="n">
        <v>0.6</v>
      </c>
      <c r="D98" t="n">
        <v>0.3</v>
      </c>
      <c r="I98" t="n">
        <v>0.6</v>
      </c>
      <c r="J98" t="n">
        <v>0.6</v>
      </c>
      <c r="L98" s="29" t="inlineStr">
        <is>
          <t>M111</t>
        </is>
      </c>
      <c r="M98" s="29">
        <f>_xlfn.XLOOKUP(L98,표2[material_id],표2[material_name])</f>
        <v/>
      </c>
      <c r="N98" s="29">
        <f>SUMPRODUCT($B$1:$I$1,B98:I98)</f>
        <v/>
      </c>
      <c r="O98" s="116">
        <f>(표19[[#This Row],[end_use]]-MIN(표19[end_use]))/(MAX(표19[end_use])-MIN(표19[end_use]))*100</f>
        <v/>
      </c>
    </row>
    <row r="99">
      <c r="A99" s="29" t="inlineStr">
        <is>
          <t>M112</t>
        </is>
      </c>
      <c r="F99" t="n">
        <v>0.6</v>
      </c>
      <c r="H99" t="n">
        <v>0.6</v>
      </c>
      <c r="J99" t="n">
        <v>0.6</v>
      </c>
      <c r="L99" s="29" t="inlineStr">
        <is>
          <t>M112</t>
        </is>
      </c>
      <c r="M99" s="29">
        <f>_xlfn.XLOOKUP(L99,표2[material_id],표2[material_name])</f>
        <v/>
      </c>
      <c r="N99" s="29">
        <f>SUMPRODUCT($B$1:$I$1,B99:I99)</f>
        <v/>
      </c>
      <c r="O99" s="116">
        <f>(표19[[#This Row],[end_use]]-MIN(표19[end_use]))/(MAX(표19[end_use])-MIN(표19[end_use]))*100</f>
        <v/>
      </c>
    </row>
    <row r="100">
      <c r="A100" s="29" t="inlineStr">
        <is>
          <t>M113</t>
        </is>
      </c>
      <c r="C100" t="n">
        <v>0.3</v>
      </c>
      <c r="D100" t="n">
        <v>0.3</v>
      </c>
      <c r="E100" t="n">
        <v>0.6</v>
      </c>
      <c r="I100" t="n">
        <v>0.6</v>
      </c>
      <c r="J100" t="n">
        <v>0.6</v>
      </c>
      <c r="L100" s="29" t="inlineStr">
        <is>
          <t>M113</t>
        </is>
      </c>
      <c r="M100" s="29">
        <f>_xlfn.XLOOKUP(L100,표2[material_id],표2[material_name])</f>
        <v/>
      </c>
      <c r="N100" s="29">
        <f>SUMPRODUCT($B$1:$I$1,B100:I100)</f>
        <v/>
      </c>
      <c r="O100" s="116">
        <f>(표19[[#This Row],[end_use]]-MIN(표19[end_use]))/(MAX(표19[end_use])-MIN(표19[end_use]))*100</f>
        <v/>
      </c>
    </row>
    <row r="101">
      <c r="A101" s="29" t="inlineStr">
        <is>
          <t>M114</t>
        </is>
      </c>
      <c r="E101" t="n">
        <v>0.3</v>
      </c>
      <c r="F101" t="n">
        <v>0.6</v>
      </c>
      <c r="I101" t="n">
        <v>0.6</v>
      </c>
      <c r="J101" t="n">
        <v>0.6</v>
      </c>
      <c r="L101" s="29" t="inlineStr">
        <is>
          <t>M114</t>
        </is>
      </c>
      <c r="M101" s="29">
        <f>_xlfn.XLOOKUP(L101,표2[material_id],표2[material_name])</f>
        <v/>
      </c>
      <c r="N101" s="29">
        <f>SUMPRODUCT($B$1:$I$1,B101:I101)</f>
        <v/>
      </c>
      <c r="O101" s="116">
        <f>(표19[[#This Row],[end_use]]-MIN(표19[end_use]))/(MAX(표19[end_use])-MIN(표19[end_use]))*100</f>
        <v/>
      </c>
    </row>
    <row r="102">
      <c r="A102" s="29" t="inlineStr">
        <is>
          <t>총합계</t>
        </is>
      </c>
      <c r="B102" t="n">
        <v>0.6</v>
      </c>
      <c r="C102" t="n">
        <v>0.6</v>
      </c>
      <c r="D102" t="n">
        <v>0.6</v>
      </c>
      <c r="E102" t="n">
        <v>0.6</v>
      </c>
      <c r="F102" t="n">
        <v>0.6</v>
      </c>
      <c r="G102" t="n">
        <v>0.6</v>
      </c>
      <c r="H102" t="n">
        <v>0.6</v>
      </c>
      <c r="I102" t="n">
        <v>0.6</v>
      </c>
      <c r="J102" t="n">
        <v>0.6</v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K104"/>
  <sheetViews>
    <sheetView topLeftCell="A4" zoomScale="85" zoomScaleNormal="85" workbookViewId="0">
      <selection activeCell="D22" sqref="D22"/>
    </sheetView>
  </sheetViews>
  <sheetFormatPr baseColWidth="8" defaultRowHeight="16.5"/>
  <cols>
    <col width="11.375" bestFit="1" customWidth="1" style="179" min="1" max="1"/>
    <col width="24.125" bestFit="1" customWidth="1" style="179" min="2" max="2"/>
    <col width="16.625" bestFit="1" customWidth="1" style="179" min="3" max="3"/>
    <col width="14.125" customWidth="1" style="179" min="9" max="9"/>
    <col width="15.875" customWidth="1" style="179" min="10" max="10"/>
    <col width="15.875" bestFit="1" customWidth="1" style="179" min="11" max="11"/>
    <col width="17.875" customWidth="1" style="179" min="13" max="13"/>
    <col width="15.875" bestFit="1" customWidth="1" style="179" min="14" max="14"/>
  </cols>
  <sheetData>
    <row r="1">
      <c r="A1" t="inlineStr">
        <is>
          <t>group_id</t>
        </is>
      </c>
      <c r="B1" t="inlineStr">
        <is>
          <t>group_name</t>
        </is>
      </c>
      <c r="C1" t="inlineStr">
        <is>
          <t>material</t>
        </is>
      </c>
      <c r="D1" t="inlineStr">
        <is>
          <t>material_id</t>
        </is>
      </c>
      <c r="E1" t="inlineStr">
        <is>
          <t>starting_material</t>
        </is>
      </c>
      <c r="F1" t="inlineStr">
        <is>
          <t>root_material</t>
        </is>
      </c>
      <c r="G1" t="inlineStr">
        <is>
          <t>end_use_att</t>
        </is>
      </c>
      <c r="H1" t="inlineStr">
        <is>
          <t>supply_value_overall_score</t>
        </is>
      </c>
      <c r="I1" t="inlineStr">
        <is>
          <t>total_score</t>
        </is>
      </c>
      <c r="J1" t="inlineStr">
        <is>
          <t>group_score</t>
        </is>
      </c>
      <c r="K1" t="inlineStr">
        <is>
          <t>icon_id</t>
        </is>
      </c>
    </row>
    <row r="2">
      <c r="A2" t="inlineStr">
        <is>
          <t>G11</t>
        </is>
      </c>
      <c r="B2" s="1" t="inlineStr">
        <is>
          <t>PP Chain</t>
        </is>
      </c>
      <c r="C2" t="inlineStr">
        <is>
          <t>PP</t>
        </is>
      </c>
      <c r="D2">
        <f>_xlfn.XLOOKUP(Group[[#This Row],[material]],표2[material_name],표2[material_id])</f>
        <v/>
      </c>
      <c r="E2" t="inlineStr">
        <is>
          <t>Propylene</t>
        </is>
      </c>
      <c r="F2" t="inlineStr">
        <is>
          <t>Propylene</t>
        </is>
      </c>
      <c r="G2" s="191">
        <f>_xlfn.XLOOKUP(Group[[#This Row],[material_id]],표19[material_id],표19[end_use_att])</f>
        <v/>
      </c>
      <c r="H2" s="108">
        <f>_xlfn.XLOOKUP(Group[[#This Row],[material]],표22[material],표22[Total])</f>
        <v/>
      </c>
      <c r="I2" s="192">
        <f>Group[[#This Row],[end_use_att]]+Group[[#This Row],[supply_value_overall_score]]</f>
        <v/>
      </c>
      <c r="J2" s="192">
        <f>AVERAGEIF(Group[group_name],Group[[#This Row],[group_name]],Group[total_score])</f>
        <v/>
      </c>
      <c r="K2" s="193" t="inlineStr">
        <is>
          <t>A04</t>
        </is>
      </c>
    </row>
    <row r="3">
      <c r="A3" t="inlineStr">
        <is>
          <t>G09</t>
        </is>
      </c>
      <c r="B3" s="1" t="inlineStr">
        <is>
          <t>LAO/PAO Chain</t>
        </is>
      </c>
      <c r="C3" t="inlineStr">
        <is>
          <t>LAO</t>
        </is>
      </c>
      <c r="D3">
        <f>_xlfn.XLOOKUP(Group[[#This Row],[material]],표2[material_name],표2[material_id])</f>
        <v/>
      </c>
      <c r="E3" t="inlineStr">
        <is>
          <t>LAO</t>
        </is>
      </c>
      <c r="F3" t="inlineStr">
        <is>
          <t>Ethylene</t>
        </is>
      </c>
      <c r="G3" s="191">
        <f>_xlfn.XLOOKUP(Group[[#This Row],[material_id]],표19[material_id],표19[end_use_att])</f>
        <v/>
      </c>
      <c r="H3" s="107">
        <f>_xlfn.XLOOKUP(Group[[#This Row],[material]],표22[material],표22[Total])</f>
        <v/>
      </c>
      <c r="I3" s="192">
        <f>Group[[#This Row],[end_use_att]]+Group[[#This Row],[supply_value_overall_score]]</f>
        <v/>
      </c>
      <c r="J3" s="192">
        <f>AVERAGEIF(Group[group_name],Group[[#This Row],[group_name]],Group[total_score])</f>
        <v/>
      </c>
      <c r="K3" s="193" t="inlineStr">
        <is>
          <t>A28</t>
        </is>
      </c>
    </row>
    <row r="4">
      <c r="A4" t="inlineStr">
        <is>
          <t>G09</t>
        </is>
      </c>
      <c r="B4" s="1" t="inlineStr">
        <is>
          <t>LAO/PAO Chain</t>
        </is>
      </c>
      <c r="C4" t="inlineStr">
        <is>
          <t>PAO</t>
        </is>
      </c>
      <c r="D4">
        <f>_xlfn.XLOOKUP(Group[[#This Row],[material]],표2[material_name],표2[material_id])</f>
        <v/>
      </c>
      <c r="E4" t="inlineStr">
        <is>
          <t>LAO</t>
        </is>
      </c>
      <c r="F4" t="inlineStr">
        <is>
          <t>Ethylene</t>
        </is>
      </c>
      <c r="G4" s="191">
        <f>_xlfn.XLOOKUP(Group[[#This Row],[material_id]],표19[material_id],표19[end_use_att])</f>
        <v/>
      </c>
      <c r="H4" s="107">
        <f>_xlfn.XLOOKUP(Group[[#This Row],[material]],표22[material],표22[Total])</f>
        <v/>
      </c>
      <c r="I4" s="192">
        <f>Group[[#This Row],[end_use_att]]+Group[[#This Row],[supply_value_overall_score]]</f>
        <v/>
      </c>
      <c r="J4" s="192">
        <f>AVERAGEIF(Group[group_name],Group[[#This Row],[group_name]],Group[total_score])</f>
        <v/>
      </c>
      <c r="K4" s="193" t="inlineStr">
        <is>
          <t>A28</t>
        </is>
      </c>
    </row>
    <row r="5">
      <c r="A5" t="inlineStr">
        <is>
          <t>G37</t>
        </is>
      </c>
      <c r="B5" t="inlineStr">
        <is>
          <t>C5 Resin Chain</t>
        </is>
      </c>
      <c r="C5" t="inlineStr">
        <is>
          <t>Piperylene</t>
        </is>
      </c>
      <c r="D5">
        <f>_xlfn.XLOOKUP(Group[[#This Row],[material]],표2[material_name],표2[material_id])</f>
        <v/>
      </c>
      <c r="E5" t="inlineStr">
        <is>
          <t>Piperylene</t>
        </is>
      </c>
      <c r="F5" t="inlineStr">
        <is>
          <t>Piperylene</t>
        </is>
      </c>
      <c r="G5" s="191">
        <f>_xlfn.XLOOKUP(Group[[#This Row],[material_id]],표19[material_id],표19[end_use_att])</f>
        <v/>
      </c>
      <c r="H5" s="108">
        <f>_xlfn.XLOOKUP(Group[[#This Row],[material]],표22[material],표22[Total])</f>
        <v/>
      </c>
      <c r="I5" s="192">
        <f>Group[[#This Row],[end_use_att]]+Group[[#This Row],[supply_value_overall_score]]</f>
        <v/>
      </c>
      <c r="J5" s="192">
        <f>AVERAGEIF(Group[group_name],Group[[#This Row],[group_name]],Group[total_score])</f>
        <v/>
      </c>
      <c r="K5" s="193" t="inlineStr">
        <is>
          <t>A20</t>
        </is>
      </c>
    </row>
    <row r="6">
      <c r="A6" t="inlineStr">
        <is>
          <t>G37</t>
        </is>
      </c>
      <c r="B6" t="inlineStr">
        <is>
          <t>C5 Resin Chain</t>
        </is>
      </c>
      <c r="C6" t="inlineStr">
        <is>
          <t>C5 Resin</t>
        </is>
      </c>
      <c r="D6">
        <f>_xlfn.XLOOKUP(Group[[#This Row],[material]],표2[material_name],표2[material_id])</f>
        <v/>
      </c>
      <c r="E6" t="inlineStr">
        <is>
          <t>Piperylene</t>
        </is>
      </c>
      <c r="F6" t="inlineStr">
        <is>
          <t>Piperylene</t>
        </is>
      </c>
      <c r="G6" s="191">
        <f>_xlfn.XLOOKUP(Group[[#This Row],[material_id]],표19[material_id],표19[end_use_att])</f>
        <v/>
      </c>
      <c r="H6" s="108">
        <f>_xlfn.XLOOKUP(Group[[#This Row],[material]],표22[material],표22[Total])</f>
        <v/>
      </c>
      <c r="I6" s="192">
        <f>Group[[#This Row],[end_use_att]]+Group[[#This Row],[supply_value_overall_score]]</f>
        <v/>
      </c>
      <c r="J6" s="192">
        <f>AVERAGEIF(Group[group_name],Group[[#This Row],[group_name]],Group[total_score])</f>
        <v/>
      </c>
      <c r="K6" s="193" t="inlineStr">
        <is>
          <t>A20</t>
        </is>
      </c>
    </row>
    <row r="7">
      <c r="A7" t="inlineStr">
        <is>
          <t>G28</t>
        </is>
      </c>
      <c r="B7" s="1" t="inlineStr">
        <is>
          <t>C4 Elastomer Chain</t>
        </is>
      </c>
      <c r="C7" t="inlineStr">
        <is>
          <t>Butyl rubber</t>
        </is>
      </c>
      <c r="D7">
        <f>_xlfn.XLOOKUP(Group[[#This Row],[material]],표2[material_name],표2[material_id])</f>
        <v/>
      </c>
      <c r="E7" t="inlineStr">
        <is>
          <t>Isobutylene; DCPD</t>
        </is>
      </c>
      <c r="F7" t="inlineStr">
        <is>
          <t>Isobutylene; DCPD</t>
        </is>
      </c>
      <c r="G7" s="191">
        <f>_xlfn.XLOOKUP(Group[[#This Row],[material_id]],표19[material_id],표19[end_use_att])</f>
        <v/>
      </c>
      <c r="H7" s="108">
        <f>_xlfn.XLOOKUP(Group[[#This Row],[material]],표22[material],표22[Total])</f>
        <v/>
      </c>
      <c r="I7" s="192">
        <f>Group[[#This Row],[end_use_att]]+Group[[#This Row],[supply_value_overall_score]]</f>
        <v/>
      </c>
      <c r="J7" s="192">
        <f>AVERAGEIF(Group[group_name],Group[[#This Row],[group_name]],Group[total_score])</f>
        <v/>
      </c>
      <c r="K7" s="193" t="inlineStr">
        <is>
          <t>A18</t>
        </is>
      </c>
    </row>
    <row r="8">
      <c r="A8" t="inlineStr">
        <is>
          <t>G28</t>
        </is>
      </c>
      <c r="B8" s="1" t="inlineStr">
        <is>
          <t>C4 Elastomer Chain</t>
        </is>
      </c>
      <c r="C8" t="inlineStr">
        <is>
          <t>ENB</t>
        </is>
      </c>
      <c r="D8">
        <f>_xlfn.XLOOKUP(Group[[#This Row],[material]],표2[material_name],표2[material_id])</f>
        <v/>
      </c>
      <c r="E8" t="inlineStr">
        <is>
          <t>Isobutylene; DCPD</t>
        </is>
      </c>
      <c r="F8" t="inlineStr">
        <is>
          <t>Isobutylene; DCPD</t>
        </is>
      </c>
      <c r="G8" s="191">
        <f>_xlfn.XLOOKUP(Group[[#This Row],[material_id]],표19[material_id],표19[end_use_att])</f>
        <v/>
      </c>
      <c r="H8" s="108">
        <f>_xlfn.XLOOKUP(Group[[#This Row],[material]],표22[material],표22[Total])</f>
        <v/>
      </c>
      <c r="I8" s="192">
        <f>Group[[#This Row],[end_use_att]]+Group[[#This Row],[supply_value_overall_score]]</f>
        <v/>
      </c>
      <c r="J8" s="192">
        <f>AVERAGEIF(Group[group_name],Group[[#This Row],[group_name]],Group[total_score])</f>
        <v/>
      </c>
      <c r="K8" s="193" t="inlineStr">
        <is>
          <t>A18</t>
        </is>
      </c>
    </row>
    <row r="9">
      <c r="A9" t="inlineStr">
        <is>
          <t>G28</t>
        </is>
      </c>
      <c r="B9" s="1" t="inlineStr">
        <is>
          <t>C4 Elastomer Chain</t>
        </is>
      </c>
      <c r="C9" t="inlineStr">
        <is>
          <t>EPDM</t>
        </is>
      </c>
      <c r="D9">
        <f>_xlfn.XLOOKUP(Group[[#This Row],[material]],표2[material_name],표2[material_id])</f>
        <v/>
      </c>
      <c r="E9" t="inlineStr">
        <is>
          <t>Isobutylene; DCPD</t>
        </is>
      </c>
      <c r="F9" t="inlineStr">
        <is>
          <t>Isobutylene; DCPD</t>
        </is>
      </c>
      <c r="G9" s="191">
        <f>_xlfn.XLOOKUP(Group[[#This Row],[material_id]],표19[material_id],표19[end_use_att])</f>
        <v/>
      </c>
      <c r="H9" s="108">
        <f>_xlfn.XLOOKUP(Group[[#This Row],[material]],표22[material],표22[Total])</f>
        <v/>
      </c>
      <c r="I9" s="192">
        <f>Group[[#This Row],[end_use_att]]+Group[[#This Row],[supply_value_overall_score]]</f>
        <v/>
      </c>
      <c r="J9" s="192">
        <f>AVERAGEIF(Group[group_name],Group[[#This Row],[group_name]],Group[total_score])</f>
        <v/>
      </c>
      <c r="K9" s="193" t="inlineStr">
        <is>
          <t>A18</t>
        </is>
      </c>
    </row>
    <row r="10">
      <c r="A10" t="inlineStr">
        <is>
          <t>G26</t>
        </is>
      </c>
      <c r="B10" t="inlineStr">
        <is>
          <t>DCPD Platform</t>
        </is>
      </c>
      <c r="C10" t="inlineStr">
        <is>
          <t>DCPD</t>
        </is>
      </c>
      <c r="D10">
        <f>_xlfn.XLOOKUP(Group[[#This Row],[material]],표2[material_name],표2[material_id])</f>
        <v/>
      </c>
      <c r="E10" t="inlineStr">
        <is>
          <t>DCPD</t>
        </is>
      </c>
      <c r="F10" t="inlineStr">
        <is>
          <t>DCPD</t>
        </is>
      </c>
      <c r="G10" s="191">
        <f>_xlfn.XLOOKUP(Group[[#This Row],[material_id]],표19[material_id],표19[end_use_att])</f>
        <v/>
      </c>
      <c r="H10" s="108">
        <f>_xlfn.XLOOKUP(Group[[#This Row],[material]],표22[material],표22[Total])</f>
        <v/>
      </c>
      <c r="I10" s="192">
        <f>Group[[#This Row],[end_use_att]]+Group[[#This Row],[supply_value_overall_score]]</f>
        <v/>
      </c>
      <c r="J10" s="192">
        <f>AVERAGEIF(Group[group_name],Group[[#This Row],[group_name]],Group[total_score])</f>
        <v/>
      </c>
      <c r="K10" s="193" t="inlineStr">
        <is>
          <t>A42</t>
        </is>
      </c>
    </row>
    <row r="11">
      <c r="A11" t="inlineStr">
        <is>
          <t>G26</t>
        </is>
      </c>
      <c r="B11" t="inlineStr">
        <is>
          <t>DCPD Platform</t>
        </is>
      </c>
      <c r="C11" t="inlineStr">
        <is>
          <t>DCPD Resin</t>
        </is>
      </c>
      <c r="D11">
        <f>_xlfn.XLOOKUP(Group[[#This Row],[material]],표2[material_name],표2[material_id])</f>
        <v/>
      </c>
      <c r="E11" t="inlineStr">
        <is>
          <t>DCPD</t>
        </is>
      </c>
      <c r="F11" t="inlineStr">
        <is>
          <t>DCPD</t>
        </is>
      </c>
      <c r="G11" s="191">
        <f>_xlfn.XLOOKUP(Group[[#This Row],[material_id]],표19[material_id],표19[end_use_att])</f>
        <v/>
      </c>
      <c r="H11" s="108">
        <f>_xlfn.XLOOKUP(Group[[#This Row],[material]],표22[material],표22[Total])</f>
        <v/>
      </c>
      <c r="I11" s="192">
        <f>Group[[#This Row],[end_use_att]]+Group[[#This Row],[supply_value_overall_score]]</f>
        <v/>
      </c>
      <c r="J11" s="192">
        <f>AVERAGEIF(Group[group_name],Group[[#This Row],[group_name]],Group[total_score])</f>
        <v/>
      </c>
      <c r="K11" s="193" t="inlineStr">
        <is>
          <t>A42</t>
        </is>
      </c>
    </row>
    <row r="12">
      <c r="A12" t="inlineStr">
        <is>
          <t>G26</t>
        </is>
      </c>
      <c r="B12" t="inlineStr">
        <is>
          <t>DCPD Platform</t>
        </is>
      </c>
      <c r="C12" t="inlineStr">
        <is>
          <t>PolyDCPD</t>
        </is>
      </c>
      <c r="D12">
        <f>_xlfn.XLOOKUP(Group[[#This Row],[material]],표2[material_name],표2[material_id])</f>
        <v/>
      </c>
      <c r="E12" t="inlineStr">
        <is>
          <t>DCPD</t>
        </is>
      </c>
      <c r="F12" t="inlineStr">
        <is>
          <t>DCPD</t>
        </is>
      </c>
      <c r="G12" s="191">
        <f>_xlfn.XLOOKUP(Group[[#This Row],[material_id]],표19[material_id],표19[end_use_att])</f>
        <v/>
      </c>
      <c r="H12" s="108">
        <f>_xlfn.XLOOKUP(Group[[#This Row],[material]],표22[material],표22[Total])</f>
        <v/>
      </c>
      <c r="I12" s="192">
        <f>Group[[#This Row],[end_use_att]]+Group[[#This Row],[supply_value_overall_score]]</f>
        <v/>
      </c>
      <c r="J12" s="192">
        <f>AVERAGEIF(Group[group_name],Group[[#This Row],[group_name]],Group[total_score])</f>
        <v/>
      </c>
      <c r="K12" s="193" t="inlineStr">
        <is>
          <t>A42</t>
        </is>
      </c>
    </row>
    <row r="13">
      <c r="A13" t="inlineStr">
        <is>
          <t>G26</t>
        </is>
      </c>
      <c r="B13" t="inlineStr">
        <is>
          <t>DCPD Platform</t>
        </is>
      </c>
      <c r="C13" t="inlineStr">
        <is>
          <t>COP</t>
        </is>
      </c>
      <c r="D13">
        <f>_xlfn.XLOOKUP(Group[[#This Row],[material]],표2[material_name],표2[material_id])</f>
        <v/>
      </c>
      <c r="E13" t="inlineStr">
        <is>
          <t>DCPD</t>
        </is>
      </c>
      <c r="F13" t="inlineStr">
        <is>
          <t>DCPD</t>
        </is>
      </c>
      <c r="G13" s="191">
        <f>_xlfn.XLOOKUP(Group[[#This Row],[material_id]],표19[material_id],표19[end_use_att])</f>
        <v/>
      </c>
      <c r="H13" s="108">
        <f>_xlfn.XLOOKUP(Group[[#This Row],[material]],표22[material],표22[Total])</f>
        <v/>
      </c>
      <c r="I13" s="192">
        <f>Group[[#This Row],[end_use_att]]+Group[[#This Row],[supply_value_overall_score]]</f>
        <v/>
      </c>
      <c r="J13" s="192">
        <f>AVERAGEIF(Group[group_name],Group[[#This Row],[group_name]],Group[total_score])</f>
        <v/>
      </c>
      <c r="K13" s="193" t="inlineStr">
        <is>
          <t>A42</t>
        </is>
      </c>
    </row>
    <row r="14">
      <c r="A14" t="inlineStr">
        <is>
          <t>G26</t>
        </is>
      </c>
      <c r="B14" t="inlineStr">
        <is>
          <t>DCPD Platform</t>
        </is>
      </c>
      <c r="C14" t="inlineStr">
        <is>
          <t>UPR</t>
        </is>
      </c>
      <c r="D14">
        <f>_xlfn.XLOOKUP(Group[[#This Row],[material]],표2[material_name],표2[material_id])</f>
        <v/>
      </c>
      <c r="E14" t="inlineStr">
        <is>
          <t>DCPD</t>
        </is>
      </c>
      <c r="F14" t="inlineStr">
        <is>
          <t>DCPD</t>
        </is>
      </c>
      <c r="G14" s="191">
        <f>_xlfn.XLOOKUP(Group[[#This Row],[material_id]],표19[material_id],표19[end_use_att])</f>
        <v/>
      </c>
      <c r="H14" s="108">
        <f>_xlfn.XLOOKUP(Group[[#This Row],[material]],표22[material],표22[Total])</f>
        <v/>
      </c>
      <c r="I14" s="192">
        <f>Group[[#This Row],[end_use_att]]+Group[[#This Row],[supply_value_overall_score]]</f>
        <v/>
      </c>
      <c r="J14" s="192">
        <f>AVERAGEIF(Group[group_name],Group[[#This Row],[group_name]],Group[total_score])</f>
        <v/>
      </c>
      <c r="K14" s="193" t="inlineStr">
        <is>
          <t>A42</t>
        </is>
      </c>
    </row>
    <row r="15">
      <c r="A15" t="inlineStr">
        <is>
          <t>G12</t>
        </is>
      </c>
      <c r="B15" s="1" t="inlineStr">
        <is>
          <t>AN Chain</t>
        </is>
      </c>
      <c r="C15" t="inlineStr">
        <is>
          <t>ABS</t>
        </is>
      </c>
      <c r="D15">
        <f>_xlfn.XLOOKUP(Group[[#This Row],[material]],표2[material_name],표2[material_id])</f>
        <v/>
      </c>
      <c r="E15" t="inlineStr">
        <is>
          <t>AN</t>
        </is>
      </c>
      <c r="F15" t="inlineStr">
        <is>
          <t>Propylene</t>
        </is>
      </c>
      <c r="G15" s="191">
        <f>_xlfn.XLOOKUP(Group[[#This Row],[material_id]],표19[material_id],표19[end_use_att])</f>
        <v/>
      </c>
      <c r="H15" s="108">
        <f>_xlfn.XLOOKUP(Group[[#This Row],[material]],표22[material],표22[Total])</f>
        <v/>
      </c>
      <c r="I15" s="192">
        <f>Group[[#This Row],[end_use_att]]+Group[[#This Row],[supply_value_overall_score]]</f>
        <v/>
      </c>
      <c r="J15" s="192">
        <f>AVERAGEIF(Group[group_name],Group[[#This Row],[group_name]],Group[total_score])</f>
        <v/>
      </c>
      <c r="K15" s="193" t="inlineStr">
        <is>
          <t>A19</t>
        </is>
      </c>
    </row>
    <row r="16">
      <c r="A16" t="inlineStr">
        <is>
          <t>G12</t>
        </is>
      </c>
      <c r="B16" s="1" t="inlineStr">
        <is>
          <t>AN Chain</t>
        </is>
      </c>
      <c r="C16" t="inlineStr">
        <is>
          <t>AN</t>
        </is>
      </c>
      <c r="D16">
        <f>_xlfn.XLOOKUP(Group[[#This Row],[material]],표2[material_name],표2[material_id])</f>
        <v/>
      </c>
      <c r="E16" t="inlineStr">
        <is>
          <t>AN</t>
        </is>
      </c>
      <c r="F16" t="inlineStr">
        <is>
          <t>Propylene</t>
        </is>
      </c>
      <c r="G16" s="191">
        <f>_xlfn.XLOOKUP(Group[[#This Row],[material_id]],표19[material_id],표19[end_use_att])</f>
        <v/>
      </c>
      <c r="H16" s="108">
        <f>_xlfn.XLOOKUP(Group[[#This Row],[material]],표22[material],표22[Total])</f>
        <v/>
      </c>
      <c r="I16" s="192">
        <f>Group[[#This Row],[end_use_att]]+Group[[#This Row],[supply_value_overall_score]]</f>
        <v/>
      </c>
      <c r="J16" s="192">
        <f>AVERAGEIF(Group[group_name],Group[[#This Row],[group_name]],Group[total_score])</f>
        <v/>
      </c>
      <c r="K16" s="193" t="inlineStr">
        <is>
          <t>A19</t>
        </is>
      </c>
    </row>
    <row r="17">
      <c r="A17" t="inlineStr">
        <is>
          <t>G12</t>
        </is>
      </c>
      <c r="B17" s="1" t="inlineStr">
        <is>
          <t>AN Chain</t>
        </is>
      </c>
      <c r="C17" t="inlineStr">
        <is>
          <t>NBR</t>
        </is>
      </c>
      <c r="D17">
        <f>_xlfn.XLOOKUP(Group[[#This Row],[material]],표2[material_name],표2[material_id])</f>
        <v/>
      </c>
      <c r="E17" t="inlineStr">
        <is>
          <t>AN</t>
        </is>
      </c>
      <c r="F17" t="inlineStr">
        <is>
          <t>Propylene</t>
        </is>
      </c>
      <c r="G17" s="191">
        <f>_xlfn.XLOOKUP(Group[[#This Row],[material_id]],표19[material_id],표19[end_use_att])</f>
        <v/>
      </c>
      <c r="H17" s="108">
        <f>_xlfn.XLOOKUP(Group[[#This Row],[material]],표22[material],표22[Total])</f>
        <v/>
      </c>
      <c r="I17" s="192">
        <f>Group[[#This Row],[end_use_att]]+Group[[#This Row],[supply_value_overall_score]]</f>
        <v/>
      </c>
      <c r="J17" s="192">
        <f>AVERAGEIF(Group[group_name],Group[[#This Row],[group_name]],Group[total_score])</f>
        <v/>
      </c>
      <c r="K17" s="193" t="inlineStr">
        <is>
          <t>A19</t>
        </is>
      </c>
    </row>
    <row r="18">
      <c r="A18" t="inlineStr">
        <is>
          <t>G12</t>
        </is>
      </c>
      <c r="B18" s="1" t="inlineStr">
        <is>
          <t>AN Chain</t>
        </is>
      </c>
      <c r="C18" t="inlineStr">
        <is>
          <t>SAN</t>
        </is>
      </c>
      <c r="D18">
        <f>_xlfn.XLOOKUP(Group[[#This Row],[material]],표2[material_name],표2[material_id])</f>
        <v/>
      </c>
      <c r="E18" t="inlineStr">
        <is>
          <t>AN</t>
        </is>
      </c>
      <c r="F18" t="inlineStr">
        <is>
          <t>Propylene</t>
        </is>
      </c>
      <c r="G18" s="191">
        <f>_xlfn.XLOOKUP(Group[[#This Row],[material_id]],표19[material_id],표19[end_use_att])</f>
        <v/>
      </c>
      <c r="H18" s="108">
        <f>_xlfn.XLOOKUP(Group[[#This Row],[material]],표22[material],표22[Total])</f>
        <v/>
      </c>
      <c r="I18" s="192">
        <f>Group[[#This Row],[end_use_att]]+Group[[#This Row],[supply_value_overall_score]]</f>
        <v/>
      </c>
      <c r="J18" s="192">
        <f>AVERAGEIF(Group[group_name],Group[[#This Row],[group_name]],Group[total_score])</f>
        <v/>
      </c>
      <c r="K18" s="193" t="inlineStr">
        <is>
          <t>A19</t>
        </is>
      </c>
    </row>
    <row r="19">
      <c r="A19" t="inlineStr">
        <is>
          <t>G25</t>
        </is>
      </c>
      <c r="B19" s="1" t="inlineStr">
        <is>
          <t>Isoprene Chain</t>
        </is>
      </c>
      <c r="C19" t="inlineStr">
        <is>
          <t>IR</t>
        </is>
      </c>
      <c r="D19">
        <f>_xlfn.XLOOKUP(Group[[#This Row],[material]],표2[material_name],표2[material_id])</f>
        <v/>
      </c>
      <c r="E19" t="inlineStr">
        <is>
          <t>Isoprene</t>
        </is>
      </c>
      <c r="F19" t="inlineStr">
        <is>
          <t>Isoprene</t>
        </is>
      </c>
      <c r="G19" s="191">
        <f>_xlfn.XLOOKUP(Group[[#This Row],[material_id]],표19[material_id],표19[end_use_att])</f>
        <v/>
      </c>
      <c r="H19" s="108">
        <f>_xlfn.XLOOKUP(Group[[#This Row],[material]],표22[material],표22[Total])</f>
        <v/>
      </c>
      <c r="I19" s="192">
        <f>Group[[#This Row],[end_use_att]]+Group[[#This Row],[supply_value_overall_score]]</f>
        <v/>
      </c>
      <c r="J19" s="192">
        <f>AVERAGEIF(Group[group_name],Group[[#This Row],[group_name]],Group[total_score])</f>
        <v/>
      </c>
      <c r="K19" s="193" t="inlineStr">
        <is>
          <t>A19</t>
        </is>
      </c>
    </row>
    <row r="20">
      <c r="A20" t="inlineStr">
        <is>
          <t>G25</t>
        </is>
      </c>
      <c r="B20" s="1" t="inlineStr">
        <is>
          <t>Isoprene Chain</t>
        </is>
      </c>
      <c r="C20" t="inlineStr">
        <is>
          <t>Isoprene</t>
        </is>
      </c>
      <c r="D20">
        <f>_xlfn.XLOOKUP(Group[[#This Row],[material]],표2[material_name],표2[material_id])</f>
        <v/>
      </c>
      <c r="E20" t="inlineStr">
        <is>
          <t>Isoprene</t>
        </is>
      </c>
      <c r="F20" t="inlineStr">
        <is>
          <t>Isoprene</t>
        </is>
      </c>
      <c r="G20" s="191">
        <f>_xlfn.XLOOKUP(Group[[#This Row],[material_id]],표19[material_id],표19[end_use_att])</f>
        <v/>
      </c>
      <c r="H20" s="108">
        <f>_xlfn.XLOOKUP(Group[[#This Row],[material]],표22[material],표22[Total])</f>
        <v/>
      </c>
      <c r="I20" s="192">
        <f>Group[[#This Row],[end_use_att]]+Group[[#This Row],[supply_value_overall_score]]</f>
        <v/>
      </c>
      <c r="J20" s="192">
        <f>AVERAGEIF(Group[group_name],Group[[#This Row],[group_name]],Group[total_score])</f>
        <v/>
      </c>
      <c r="K20" s="193" t="inlineStr">
        <is>
          <t>A19</t>
        </is>
      </c>
    </row>
    <row r="21">
      <c r="A21" t="inlineStr">
        <is>
          <t>G25</t>
        </is>
      </c>
      <c r="B21" s="1" t="inlineStr">
        <is>
          <t>Isoprene Chain</t>
        </is>
      </c>
      <c r="C21" t="inlineStr">
        <is>
          <t>SIS</t>
        </is>
      </c>
      <c r="D21">
        <f>_xlfn.XLOOKUP(Group[[#This Row],[material]],표2[material_name],표2[material_id])</f>
        <v/>
      </c>
      <c r="E21" t="inlineStr">
        <is>
          <t>Isoprene</t>
        </is>
      </c>
      <c r="F21" t="inlineStr">
        <is>
          <t>Isoprene</t>
        </is>
      </c>
      <c r="G21" s="191">
        <f>_xlfn.XLOOKUP(Group[[#This Row],[material_id]],표19[material_id],표19[end_use_att])</f>
        <v/>
      </c>
      <c r="H21" s="108">
        <f>_xlfn.XLOOKUP(Group[[#This Row],[material]],표22[material],표22[Total])</f>
        <v/>
      </c>
      <c r="I21" s="192">
        <f>Group[[#This Row],[end_use_att]]+Group[[#This Row],[supply_value_overall_score]]</f>
        <v/>
      </c>
      <c r="J21" s="192">
        <f>AVERAGEIF(Group[group_name],Group[[#This Row],[group_name]],Group[total_score])</f>
        <v/>
      </c>
      <c r="K21" s="193" t="inlineStr">
        <is>
          <t>A19</t>
        </is>
      </c>
    </row>
    <row r="22">
      <c r="A22" t="inlineStr">
        <is>
          <t>G13</t>
        </is>
      </c>
      <c r="B22" s="1" t="inlineStr">
        <is>
          <t>PO/PG Chain</t>
        </is>
      </c>
      <c r="C22" t="inlineStr">
        <is>
          <t>PG</t>
        </is>
      </c>
      <c r="D22">
        <f>_xlfn.XLOOKUP(Group[[#This Row],[material]],표2[material_name],표2[material_id])</f>
        <v/>
      </c>
      <c r="E22" t="inlineStr">
        <is>
          <t>Propylene</t>
        </is>
      </c>
      <c r="F22" t="inlineStr">
        <is>
          <t>Propylene</t>
        </is>
      </c>
      <c r="G22" s="191">
        <f>_xlfn.XLOOKUP(Group[[#This Row],[material_id]],표19[material_id],표19[end_use_att])</f>
        <v/>
      </c>
      <c r="H22" s="108">
        <f>_xlfn.XLOOKUP(Group[[#This Row],[material]],표22[material],표22[Total])</f>
        <v/>
      </c>
      <c r="I22" s="192">
        <f>Group[[#This Row],[end_use_att]]+Group[[#This Row],[supply_value_overall_score]]</f>
        <v/>
      </c>
      <c r="J22" s="192">
        <f>AVERAGEIF(Group[group_name],Group[[#This Row],[group_name]],Group[total_score])</f>
        <v/>
      </c>
      <c r="K22" s="193" t="inlineStr">
        <is>
          <t>A31</t>
        </is>
      </c>
    </row>
    <row r="23">
      <c r="A23" t="inlineStr">
        <is>
          <t>G13</t>
        </is>
      </c>
      <c r="B23" s="1" t="inlineStr">
        <is>
          <t>PO/PG Chain</t>
        </is>
      </c>
      <c r="C23" t="inlineStr">
        <is>
          <t>PO</t>
        </is>
      </c>
      <c r="D23">
        <f>_xlfn.XLOOKUP(Group[[#This Row],[material]],표2[material_name],표2[material_id])</f>
        <v/>
      </c>
      <c r="E23" t="inlineStr">
        <is>
          <t>Propylene</t>
        </is>
      </c>
      <c r="F23" t="inlineStr">
        <is>
          <t>Propylene</t>
        </is>
      </c>
      <c r="G23" s="191">
        <f>_xlfn.XLOOKUP(Group[[#This Row],[material_id]],표19[material_id],표19[end_use_att])</f>
        <v/>
      </c>
      <c r="H23" s="108">
        <f>_xlfn.XLOOKUP(Group[[#This Row],[material]],표22[material],표22[Total])</f>
        <v/>
      </c>
      <c r="I23" s="192">
        <f>Group[[#This Row],[end_use_att]]+Group[[#This Row],[supply_value_overall_score]]</f>
        <v/>
      </c>
      <c r="J23" s="192">
        <f>AVERAGEIF(Group[group_name],Group[[#This Row],[group_name]],Group[total_score])</f>
        <v/>
      </c>
      <c r="K23" s="193" t="inlineStr">
        <is>
          <t>A31</t>
        </is>
      </c>
    </row>
    <row r="24">
      <c r="A24" t="inlineStr">
        <is>
          <t>G13</t>
        </is>
      </c>
      <c r="B24" s="1" t="inlineStr">
        <is>
          <t>PO/PG Chain</t>
        </is>
      </c>
      <c r="C24" t="inlineStr">
        <is>
          <t>PPG</t>
        </is>
      </c>
      <c r="D24">
        <f>_xlfn.XLOOKUP(Group[[#This Row],[material]],표2[material_name],표2[material_id])</f>
        <v/>
      </c>
      <c r="E24" t="inlineStr">
        <is>
          <t>Propylene</t>
        </is>
      </c>
      <c r="F24" t="inlineStr">
        <is>
          <t>Propylene</t>
        </is>
      </c>
      <c r="G24" s="191">
        <f>_xlfn.XLOOKUP(Group[[#This Row],[material_id]],표19[material_id],표19[end_use_att])</f>
        <v/>
      </c>
      <c r="H24" s="107">
        <f>_xlfn.XLOOKUP(Group[[#This Row],[material]],표22[material],표22[Total])</f>
        <v/>
      </c>
      <c r="I24" s="192">
        <f>Group[[#This Row],[end_use_att]]+Group[[#This Row],[supply_value_overall_score]]</f>
        <v/>
      </c>
      <c r="J24" s="192">
        <f>AVERAGEIF(Group[group_name],Group[[#This Row],[group_name]],Group[total_score])</f>
        <v/>
      </c>
      <c r="K24" s="193" t="inlineStr">
        <is>
          <t>A31</t>
        </is>
      </c>
    </row>
    <row r="25">
      <c r="A25" t="inlineStr">
        <is>
          <t>G32</t>
        </is>
      </c>
      <c r="B25" s="1" t="inlineStr">
        <is>
          <t>LAB Chain</t>
        </is>
      </c>
      <c r="C25" t="inlineStr">
        <is>
          <t>LAB</t>
        </is>
      </c>
      <c r="D25">
        <f>_xlfn.XLOOKUP(Group[[#This Row],[material]],표2[material_name],표2[material_id])</f>
        <v/>
      </c>
      <c r="E25" t="inlineStr">
        <is>
          <t>Benzene</t>
        </is>
      </c>
      <c r="F25" t="inlineStr">
        <is>
          <t>Benzene</t>
        </is>
      </c>
      <c r="G25" s="191">
        <f>_xlfn.XLOOKUP(Group[[#This Row],[material_id]],표19[material_id],표19[end_use_att])</f>
        <v/>
      </c>
      <c r="H25" s="108">
        <f>_xlfn.XLOOKUP(Group[[#This Row],[material]],표22[material],표22[Total])</f>
        <v/>
      </c>
      <c r="I25" s="192">
        <f>Group[[#This Row],[end_use_att]]+Group[[#This Row],[supply_value_overall_score]]</f>
        <v/>
      </c>
      <c r="J25" s="192">
        <f>AVERAGEIF(Group[group_name],Group[[#This Row],[group_name]],Group[total_score])</f>
        <v/>
      </c>
      <c r="K25" s="193" t="inlineStr">
        <is>
          <t>A30</t>
        </is>
      </c>
    </row>
    <row r="26">
      <c r="A26" t="inlineStr">
        <is>
          <t>G24</t>
        </is>
      </c>
      <c r="B26" s="1" t="inlineStr">
        <is>
          <t>MMA/PMMA Chain</t>
        </is>
      </c>
      <c r="C26" t="inlineStr">
        <is>
          <t>MMA</t>
        </is>
      </c>
      <c r="D26">
        <f>_xlfn.XLOOKUP(Group[[#This Row],[material]],표2[material_name],표2[material_id])</f>
        <v/>
      </c>
      <c r="E26" t="inlineStr">
        <is>
          <t>MMA</t>
        </is>
      </c>
      <c r="F26" t="inlineStr">
        <is>
          <t>Methanol</t>
        </is>
      </c>
      <c r="G26" s="191">
        <f>_xlfn.XLOOKUP(Group[[#This Row],[material_id]],표19[material_id],표19[end_use_att])</f>
        <v/>
      </c>
      <c r="H26" s="108">
        <f>_xlfn.XLOOKUP(Group[[#This Row],[material]],표22[material],표22[Total])</f>
        <v/>
      </c>
      <c r="I26" s="192">
        <f>Group[[#This Row],[end_use_att]]+Group[[#This Row],[supply_value_overall_score]]</f>
        <v/>
      </c>
      <c r="J26" s="192">
        <f>AVERAGEIF(Group[group_name],Group[[#This Row],[group_name]],Group[total_score])</f>
        <v/>
      </c>
      <c r="K26" s="193" t="inlineStr">
        <is>
          <t>A41</t>
        </is>
      </c>
    </row>
    <row r="27">
      <c r="A27" t="inlineStr">
        <is>
          <t>G24</t>
        </is>
      </c>
      <c r="B27" s="1" t="inlineStr">
        <is>
          <t>MMA/PMMA Chain</t>
        </is>
      </c>
      <c r="C27" t="inlineStr">
        <is>
          <t>PMMA</t>
        </is>
      </c>
      <c r="D27">
        <f>_xlfn.XLOOKUP(Group[[#This Row],[material]],표2[material_name],표2[material_id])</f>
        <v/>
      </c>
      <c r="E27" t="inlineStr">
        <is>
          <t>MMA</t>
        </is>
      </c>
      <c r="F27" t="inlineStr">
        <is>
          <t>Methanol</t>
        </is>
      </c>
      <c r="G27" s="191">
        <f>_xlfn.XLOOKUP(Group[[#This Row],[material_id]],표19[material_id],표19[end_use_att])</f>
        <v/>
      </c>
      <c r="H27" s="108">
        <f>_xlfn.XLOOKUP(Group[[#This Row],[material]],표22[material],표22[Total])</f>
        <v/>
      </c>
      <c r="I27" s="192">
        <f>Group[[#This Row],[end_use_att]]+Group[[#This Row],[supply_value_overall_score]]</f>
        <v/>
      </c>
      <c r="J27" s="192">
        <f>AVERAGEIF(Group[group_name],Group[[#This Row],[group_name]],Group[total_score])</f>
        <v/>
      </c>
      <c r="K27" s="193" t="inlineStr">
        <is>
          <t>A41</t>
        </is>
      </c>
    </row>
    <row r="28">
      <c r="A28" t="inlineStr">
        <is>
          <t>G29</t>
        </is>
      </c>
      <c r="B28" s="1" t="inlineStr">
        <is>
          <t>PS Chain</t>
        </is>
      </c>
      <c r="C28" t="inlineStr">
        <is>
          <t>Ethylbenzene</t>
        </is>
      </c>
      <c r="D28">
        <f>_xlfn.XLOOKUP(Group[[#This Row],[material]],표2[material_name],표2[material_id])</f>
        <v/>
      </c>
      <c r="E28" t="inlineStr">
        <is>
          <t>Benzene</t>
        </is>
      </c>
      <c r="F28" t="inlineStr">
        <is>
          <t>Benzene</t>
        </is>
      </c>
      <c r="G28" s="191">
        <f>_xlfn.XLOOKUP(Group[[#This Row],[material_id]],표19[material_id],표19[end_use_att])</f>
        <v/>
      </c>
      <c r="H28" s="108">
        <f>_xlfn.XLOOKUP(Group[[#This Row],[material]],표22[material],표22[Total])</f>
        <v/>
      </c>
      <c r="I28" s="192">
        <f>Group[[#This Row],[end_use_att]]+Group[[#This Row],[supply_value_overall_score]]</f>
        <v/>
      </c>
      <c r="J28" s="192">
        <f>AVERAGEIF(Group[group_name],Group[[#This Row],[group_name]],Group[total_score])</f>
        <v/>
      </c>
      <c r="K28" s="193" t="inlineStr">
        <is>
          <t>A06</t>
        </is>
      </c>
    </row>
    <row r="29">
      <c r="A29" t="inlineStr">
        <is>
          <t>G29</t>
        </is>
      </c>
      <c r="B29" s="1" t="inlineStr">
        <is>
          <t>PS Chain</t>
        </is>
      </c>
      <c r="C29" t="inlineStr">
        <is>
          <t>PS</t>
        </is>
      </c>
      <c r="D29">
        <f>_xlfn.XLOOKUP(Group[[#This Row],[material]],표2[material_name],표2[material_id])</f>
        <v/>
      </c>
      <c r="E29" t="inlineStr">
        <is>
          <t>Benzene</t>
        </is>
      </c>
      <c r="F29" t="inlineStr">
        <is>
          <t>Benzene</t>
        </is>
      </c>
      <c r="G29" s="191">
        <f>_xlfn.XLOOKUP(Group[[#This Row],[material_id]],표19[material_id],표19[end_use_att])</f>
        <v/>
      </c>
      <c r="H29" s="108">
        <f>_xlfn.XLOOKUP(Group[[#This Row],[material]],표22[material],표22[Total])</f>
        <v/>
      </c>
      <c r="I29" s="192">
        <f>Group[[#This Row],[end_use_att]]+Group[[#This Row],[supply_value_overall_score]]</f>
        <v/>
      </c>
      <c r="J29" s="192">
        <f>AVERAGEIF(Group[group_name],Group[[#This Row],[group_name]],Group[total_score])</f>
        <v/>
      </c>
      <c r="K29" s="193" t="inlineStr">
        <is>
          <t>A06</t>
        </is>
      </c>
    </row>
    <row r="30">
      <c r="A30" t="inlineStr">
        <is>
          <t>G29</t>
        </is>
      </c>
      <c r="B30" s="1" t="inlineStr">
        <is>
          <t>PS Chain</t>
        </is>
      </c>
      <c r="C30" t="inlineStr">
        <is>
          <t>Styrene</t>
        </is>
      </c>
      <c r="D30">
        <f>_xlfn.XLOOKUP(Group[[#This Row],[material]],표2[material_name],표2[material_id])</f>
        <v/>
      </c>
      <c r="E30" t="inlineStr">
        <is>
          <t>Benzene</t>
        </is>
      </c>
      <c r="F30" t="inlineStr">
        <is>
          <t>Benzene</t>
        </is>
      </c>
      <c r="G30" s="191">
        <f>_xlfn.XLOOKUP(Group[[#This Row],[material_id]],표19[material_id],표19[end_use_att])</f>
        <v/>
      </c>
      <c r="H30" s="108">
        <f>_xlfn.XLOOKUP(Group[[#This Row],[material]],표22[material],표22[Total])</f>
        <v/>
      </c>
      <c r="I30" s="192">
        <f>Group[[#This Row],[end_use_att]]+Group[[#This Row],[supply_value_overall_score]]</f>
        <v/>
      </c>
      <c r="J30" s="192">
        <f>AVERAGEIF(Group[group_name],Group[[#This Row],[group_name]],Group[total_score])</f>
        <v/>
      </c>
      <c r="K30" s="193" t="inlineStr">
        <is>
          <t>A06</t>
        </is>
      </c>
    </row>
    <row r="31">
      <c r="A31" t="inlineStr">
        <is>
          <t>G30</t>
        </is>
      </c>
      <c r="B31" s="1" t="inlineStr">
        <is>
          <t>PU Chain</t>
        </is>
      </c>
      <c r="C31" t="inlineStr">
        <is>
          <t>MDI</t>
        </is>
      </c>
      <c r="D31">
        <f>_xlfn.XLOOKUP(Group[[#This Row],[material]],표2[material_name],표2[material_id])</f>
        <v/>
      </c>
      <c r="E31" t="inlineStr">
        <is>
          <t>Polyols; MDI; TDI</t>
        </is>
      </c>
      <c r="F31" t="inlineStr">
        <is>
          <t>Propylene; Benzene; Toluene</t>
        </is>
      </c>
      <c r="G31" s="191">
        <f>_xlfn.XLOOKUP(Group[[#This Row],[material_id]],표19[material_id],표19[end_use_att])</f>
        <v/>
      </c>
      <c r="H31" s="107">
        <f>_xlfn.XLOOKUP(Group[[#This Row],[material]],표22[material],표22[Total])</f>
        <v/>
      </c>
      <c r="I31" s="192">
        <f>Group[[#This Row],[end_use_att]]+Group[[#This Row],[supply_value_overall_score]]</f>
        <v/>
      </c>
      <c r="J31" s="192">
        <f>AVERAGEIF(Group[group_name],Group[[#This Row],[group_name]],Group[total_score])</f>
        <v/>
      </c>
      <c r="K31" s="193" t="inlineStr">
        <is>
          <t>A17</t>
        </is>
      </c>
    </row>
    <row r="32">
      <c r="A32" t="inlineStr">
        <is>
          <t>G30</t>
        </is>
      </c>
      <c r="B32" s="1" t="inlineStr">
        <is>
          <t>PU Chain</t>
        </is>
      </c>
      <c r="C32" t="inlineStr">
        <is>
          <t>Polyols</t>
        </is>
      </c>
      <c r="D32">
        <f>_xlfn.XLOOKUP(Group[[#This Row],[material]],표2[material_name],표2[material_id])</f>
        <v/>
      </c>
      <c r="E32" t="inlineStr">
        <is>
          <t>Polyols; MDI; TDI</t>
        </is>
      </c>
      <c r="F32" t="inlineStr">
        <is>
          <t>Propylene; Benzene; Toluene</t>
        </is>
      </c>
      <c r="G32" s="191">
        <f>_xlfn.XLOOKUP(Group[[#This Row],[material_id]],표19[material_id],표19[end_use_att])</f>
        <v/>
      </c>
      <c r="H32" s="107">
        <f>_xlfn.XLOOKUP(Group[[#This Row],[material]],표22[material],표22[Total])</f>
        <v/>
      </c>
      <c r="I32" s="192">
        <f>Group[[#This Row],[end_use_att]]+Group[[#This Row],[supply_value_overall_score]]</f>
        <v/>
      </c>
      <c r="J32" s="192">
        <f>AVERAGEIF(Group[group_name],Group[[#This Row],[group_name]],Group[total_score])</f>
        <v/>
      </c>
      <c r="K32" s="193" t="inlineStr">
        <is>
          <t>A17</t>
        </is>
      </c>
    </row>
    <row r="33">
      <c r="A33" t="inlineStr">
        <is>
          <t>G30</t>
        </is>
      </c>
      <c r="B33" s="1" t="inlineStr">
        <is>
          <t>PU Chain</t>
        </is>
      </c>
      <c r="C33" t="inlineStr">
        <is>
          <t>PU</t>
        </is>
      </c>
      <c r="D33">
        <f>_xlfn.XLOOKUP(Group[[#This Row],[material]],표2[material_name],표2[material_id])</f>
        <v/>
      </c>
      <c r="E33" t="inlineStr">
        <is>
          <t>Polyols; MDI; TDI</t>
        </is>
      </c>
      <c r="F33" t="inlineStr">
        <is>
          <t>Propylene; Benzene; Toluene</t>
        </is>
      </c>
      <c r="G33" s="191">
        <f>_xlfn.XLOOKUP(Group[[#This Row],[material_id]],표19[material_id],표19[end_use_att])</f>
        <v/>
      </c>
      <c r="H33" s="107">
        <f>_xlfn.XLOOKUP(Group[[#This Row],[material]],표22[material],표22[Total])</f>
        <v/>
      </c>
      <c r="I33" s="192">
        <f>Group[[#This Row],[end_use_att]]+Group[[#This Row],[supply_value_overall_score]]</f>
        <v/>
      </c>
      <c r="J33" s="192">
        <f>AVERAGEIF(Group[group_name],Group[[#This Row],[group_name]],Group[total_score])</f>
        <v/>
      </c>
      <c r="K33" s="193" t="inlineStr">
        <is>
          <t>A17</t>
        </is>
      </c>
    </row>
    <row r="34">
      <c r="A34" t="inlineStr">
        <is>
          <t>G30</t>
        </is>
      </c>
      <c r="B34" s="1" t="inlineStr">
        <is>
          <t>PU Chain</t>
        </is>
      </c>
      <c r="C34" t="inlineStr">
        <is>
          <t>TDI</t>
        </is>
      </c>
      <c r="D34">
        <f>_xlfn.XLOOKUP(Group[[#This Row],[material]],표2[material_name],표2[material_id])</f>
        <v/>
      </c>
      <c r="E34" t="inlineStr">
        <is>
          <t>Polyols; MDI; TDI</t>
        </is>
      </c>
      <c r="F34" t="inlineStr">
        <is>
          <t>Propylene; Benzene; Toluene</t>
        </is>
      </c>
      <c r="G34" s="191">
        <f>_xlfn.XLOOKUP(Group[[#This Row],[material_id]],표19[material_id],표19[end_use_att])</f>
        <v/>
      </c>
      <c r="H34" s="108">
        <f>_xlfn.XLOOKUP(Group[[#This Row],[material]],표22[material],표22[Total])</f>
        <v/>
      </c>
      <c r="I34" s="192">
        <f>Group[[#This Row],[end_use_att]]+Group[[#This Row],[supply_value_overall_score]]</f>
        <v/>
      </c>
      <c r="J34" s="192">
        <f>AVERAGEIF(Group[group_name],Group[[#This Row],[group_name]],Group[total_score])</f>
        <v/>
      </c>
      <c r="K34" s="193" t="inlineStr">
        <is>
          <t>A17</t>
        </is>
      </c>
    </row>
    <row r="35">
      <c r="A35" t="inlineStr">
        <is>
          <t>G21</t>
        </is>
      </c>
      <c r="B35" s="1" t="inlineStr">
        <is>
          <t>BD Rubber Chain</t>
        </is>
      </c>
      <c r="C35" t="inlineStr">
        <is>
          <t>BR</t>
        </is>
      </c>
      <c r="D35">
        <f>_xlfn.XLOOKUP(Group[[#This Row],[material]],표2[material_name],표2[material_id])</f>
        <v/>
      </c>
      <c r="E35" t="inlineStr">
        <is>
          <t>Butadiene</t>
        </is>
      </c>
      <c r="F35" t="inlineStr">
        <is>
          <t>Butadiene</t>
        </is>
      </c>
      <c r="G35" s="191">
        <f>_xlfn.XLOOKUP(Group[[#This Row],[material_id]],표19[material_id],표19[end_use_att])</f>
        <v/>
      </c>
      <c r="H35" s="108">
        <f>_xlfn.XLOOKUP(Group[[#This Row],[material]],표22[material],표22[Total])</f>
        <v/>
      </c>
      <c r="I35" s="192">
        <f>Group[[#This Row],[end_use_att]]+Group[[#This Row],[supply_value_overall_score]]</f>
        <v/>
      </c>
      <c r="J35" s="192">
        <f>AVERAGEIF(Group[group_name],Group[[#This Row],[group_name]],Group[total_score])</f>
        <v/>
      </c>
      <c r="K35" s="193" t="inlineStr">
        <is>
          <t>A19</t>
        </is>
      </c>
    </row>
    <row r="36">
      <c r="A36" t="inlineStr">
        <is>
          <t>G21</t>
        </is>
      </c>
      <c r="B36" s="1" t="inlineStr">
        <is>
          <t>BD Rubber Chain</t>
        </is>
      </c>
      <c r="C36" t="inlineStr">
        <is>
          <t>Butadiene</t>
        </is>
      </c>
      <c r="D36">
        <f>_xlfn.XLOOKUP(Group[[#This Row],[material]],표2[material_name],표2[material_id])</f>
        <v/>
      </c>
      <c r="E36" t="inlineStr">
        <is>
          <t>Butadiene</t>
        </is>
      </c>
      <c r="F36" t="inlineStr">
        <is>
          <t>Butadiene</t>
        </is>
      </c>
      <c r="G36" s="191">
        <f>_xlfn.XLOOKUP(Group[[#This Row],[material_id]],표19[material_id],표19[end_use_att])</f>
        <v/>
      </c>
      <c r="H36" s="108">
        <f>_xlfn.XLOOKUP(Group[[#This Row],[material]],표22[material],표22[Total])</f>
        <v/>
      </c>
      <c r="I36" s="192">
        <f>Group[[#This Row],[end_use_att]]+Group[[#This Row],[supply_value_overall_score]]</f>
        <v/>
      </c>
      <c r="J36" s="192">
        <f>AVERAGEIF(Group[group_name],Group[[#This Row],[group_name]],Group[total_score])</f>
        <v/>
      </c>
      <c r="K36" s="193" t="inlineStr">
        <is>
          <t>A19</t>
        </is>
      </c>
    </row>
    <row r="37">
      <c r="A37" t="inlineStr">
        <is>
          <t>G21</t>
        </is>
      </c>
      <c r="B37" s="1" t="inlineStr">
        <is>
          <t>BD Rubber Chain</t>
        </is>
      </c>
      <c r="C37" t="inlineStr">
        <is>
          <t>SBR</t>
        </is>
      </c>
      <c r="D37">
        <f>_xlfn.XLOOKUP(Group[[#This Row],[material]],표2[material_name],표2[material_id])</f>
        <v/>
      </c>
      <c r="E37" t="inlineStr">
        <is>
          <t>Butadiene</t>
        </is>
      </c>
      <c r="F37" t="inlineStr">
        <is>
          <t>Butadiene</t>
        </is>
      </c>
      <c r="G37" s="191">
        <f>_xlfn.XLOOKUP(Group[[#This Row],[material_id]],표19[material_id],표19[end_use_att])</f>
        <v/>
      </c>
      <c r="H37" s="108">
        <f>_xlfn.XLOOKUP(Group[[#This Row],[material]],표22[material],표22[Total])</f>
        <v/>
      </c>
      <c r="I37" s="192">
        <f>Group[[#This Row],[end_use_att]]+Group[[#This Row],[supply_value_overall_score]]</f>
        <v/>
      </c>
      <c r="J37" s="192">
        <f>AVERAGEIF(Group[group_name],Group[[#This Row],[group_name]],Group[total_score])</f>
        <v/>
      </c>
      <c r="K37" s="193" t="inlineStr">
        <is>
          <t>A19</t>
        </is>
      </c>
    </row>
    <row r="38">
      <c r="A38" t="inlineStr">
        <is>
          <t>G15</t>
        </is>
      </c>
      <c r="B38" s="1" t="inlineStr">
        <is>
          <t>Acrylic Ester Chain</t>
        </is>
      </c>
      <c r="C38" t="inlineStr">
        <is>
          <t>Acrylate Ester</t>
        </is>
      </c>
      <c r="D38">
        <f>_xlfn.XLOOKUP(Group[[#This Row],[material]],표2[material_name],표2[material_id])</f>
        <v/>
      </c>
      <c r="E38" t="inlineStr">
        <is>
          <t>Acrylic acid</t>
        </is>
      </c>
      <c r="F38" t="inlineStr">
        <is>
          <t>Propylene</t>
        </is>
      </c>
      <c r="G38" s="191">
        <f>_xlfn.XLOOKUP(Group[[#This Row],[material_id]],표19[material_id],표19[end_use_att])</f>
        <v/>
      </c>
      <c r="H38" s="107">
        <f>_xlfn.XLOOKUP(Group[[#This Row],[material]],표22[material],표22[Total])</f>
        <v/>
      </c>
      <c r="I38" s="192">
        <f>Group[[#This Row],[end_use_att]]+Group[[#This Row],[supply_value_overall_score]]</f>
        <v/>
      </c>
      <c r="J38" s="192">
        <f>AVERAGEIF(Group[group_name],Group[[#This Row],[group_name]],Group[total_score])</f>
        <v/>
      </c>
      <c r="K38" s="193" t="inlineStr">
        <is>
          <t>A20</t>
        </is>
      </c>
    </row>
    <row r="39">
      <c r="A39" t="inlineStr">
        <is>
          <t>G15</t>
        </is>
      </c>
      <c r="B39" s="1" t="inlineStr">
        <is>
          <t>Acrylic Ester Chain</t>
        </is>
      </c>
      <c r="C39" t="inlineStr">
        <is>
          <t>Acrylic acid</t>
        </is>
      </c>
      <c r="D39">
        <f>_xlfn.XLOOKUP(Group[[#This Row],[material]],표2[material_name],표2[material_id])</f>
        <v/>
      </c>
      <c r="E39" t="inlineStr">
        <is>
          <t>Acrylic acid</t>
        </is>
      </c>
      <c r="F39" t="inlineStr">
        <is>
          <t>Propylene</t>
        </is>
      </c>
      <c r="G39" s="191">
        <f>_xlfn.XLOOKUP(Group[[#This Row],[material_id]],표19[material_id],표19[end_use_att])</f>
        <v/>
      </c>
      <c r="H39" s="107">
        <f>_xlfn.XLOOKUP(Group[[#This Row],[material]],표22[material],표22[Total])</f>
        <v/>
      </c>
      <c r="I39" s="192">
        <f>Group[[#This Row],[end_use_att]]+Group[[#This Row],[supply_value_overall_score]]</f>
        <v/>
      </c>
      <c r="J39" s="192">
        <f>AVERAGEIF(Group[group_name],Group[[#This Row],[group_name]],Group[total_score])</f>
        <v/>
      </c>
      <c r="K39" s="193" t="inlineStr">
        <is>
          <t>A20</t>
        </is>
      </c>
    </row>
    <row r="40">
      <c r="A40" t="inlineStr">
        <is>
          <t>G22</t>
        </is>
      </c>
      <c r="B40" t="inlineStr">
        <is>
          <t>Isobutylene</t>
        </is>
      </c>
      <c r="C40" t="inlineStr">
        <is>
          <t>Isobutylene</t>
        </is>
      </c>
      <c r="D40">
        <f>_xlfn.XLOOKUP(Group[[#This Row],[material]],표2[material_name],표2[material_id])</f>
        <v/>
      </c>
      <c r="E40" t="inlineStr">
        <is>
          <t>Isobutylene</t>
        </is>
      </c>
      <c r="F40" t="inlineStr">
        <is>
          <t>Isobutylene</t>
        </is>
      </c>
      <c r="G40" s="191">
        <f>_xlfn.XLOOKUP(Group[[#This Row],[material_id]],표19[material_id],표19[end_use_att])</f>
        <v/>
      </c>
      <c r="H40" s="108">
        <f>_xlfn.XLOOKUP(Group[[#This Row],[material]],표22[material],표22[Total])</f>
        <v/>
      </c>
      <c r="I40" s="192">
        <f>Group[[#This Row],[end_use_att]]+Group[[#This Row],[supply_value_overall_score]]</f>
        <v/>
      </c>
      <c r="J40" s="192">
        <f>AVERAGEIF(Group[group_name],Group[[#This Row],[group_name]],Group[total_score])</f>
        <v/>
      </c>
      <c r="K40" s="193" t="inlineStr">
        <is>
          <t>A28</t>
        </is>
      </c>
    </row>
    <row r="41">
      <c r="A41" t="inlineStr">
        <is>
          <t>G22</t>
        </is>
      </c>
      <c r="B41" t="inlineStr">
        <is>
          <t>Isobutylene</t>
        </is>
      </c>
      <c r="C41" t="inlineStr">
        <is>
          <t>PIB</t>
        </is>
      </c>
      <c r="D41">
        <f>_xlfn.XLOOKUP(Group[[#This Row],[material]],표2[material_name],표2[material_id])</f>
        <v/>
      </c>
      <c r="E41" t="inlineStr">
        <is>
          <t>Isobutylene</t>
        </is>
      </c>
      <c r="F41" t="inlineStr">
        <is>
          <t>Isobutylene</t>
        </is>
      </c>
      <c r="G41" s="191">
        <f>_xlfn.XLOOKUP(Group[[#This Row],[material_id]],표19[material_id],표19[end_use_att])</f>
        <v/>
      </c>
      <c r="H41" s="108">
        <f>_xlfn.XLOOKUP(Group[[#This Row],[material]],표22[material],표22[Total])</f>
        <v/>
      </c>
      <c r="I41" s="192">
        <f>Group[[#This Row],[end_use_att]]+Group[[#This Row],[supply_value_overall_score]]</f>
        <v/>
      </c>
      <c r="J41" s="192">
        <f>AVERAGEIF(Group[group_name],Group[[#This Row],[group_name]],Group[total_score])</f>
        <v/>
      </c>
      <c r="K41" s="193" t="inlineStr">
        <is>
          <t>A28</t>
        </is>
      </c>
    </row>
    <row r="42">
      <c r="A42" t="inlineStr">
        <is>
          <t>G14</t>
        </is>
      </c>
      <c r="B42" s="1" t="inlineStr">
        <is>
          <t>AA-SAP Chain</t>
        </is>
      </c>
      <c r="C42" t="inlineStr">
        <is>
          <t>Acrylic acid</t>
        </is>
      </c>
      <c r="D42">
        <f>_xlfn.XLOOKUP(Group[[#This Row],[material]],표2[material_name],표2[material_id])</f>
        <v/>
      </c>
      <c r="E42" t="inlineStr">
        <is>
          <t>Acrylic acid</t>
        </is>
      </c>
      <c r="F42" t="inlineStr">
        <is>
          <t>Propylene</t>
        </is>
      </c>
      <c r="G42" s="191">
        <f>_xlfn.XLOOKUP(Group[[#This Row],[material_id]],표19[material_id],표19[end_use_att])</f>
        <v/>
      </c>
      <c r="H42" s="107">
        <f>_xlfn.XLOOKUP(Group[[#This Row],[material]],표22[material],표22[Total])</f>
        <v/>
      </c>
      <c r="I42" s="192">
        <f>Group[[#This Row],[end_use_att]]+Group[[#This Row],[supply_value_overall_score]]</f>
        <v/>
      </c>
      <c r="J42" s="192">
        <f>AVERAGEIF(Group[group_name],Group[[#This Row],[group_name]],Group[total_score])</f>
        <v/>
      </c>
      <c r="K42" s="193" t="inlineStr">
        <is>
          <t>A32</t>
        </is>
      </c>
    </row>
    <row r="43">
      <c r="A43" t="inlineStr">
        <is>
          <t>G14</t>
        </is>
      </c>
      <c r="B43" s="1" t="inlineStr">
        <is>
          <t>AA-SAP Chain</t>
        </is>
      </c>
      <c r="C43" t="inlineStr">
        <is>
          <t>SAP</t>
        </is>
      </c>
      <c r="D43">
        <f>_xlfn.XLOOKUP(Group[[#This Row],[material]],표2[material_name],표2[material_id])</f>
        <v/>
      </c>
      <c r="E43" t="inlineStr">
        <is>
          <t>Acrylic acid</t>
        </is>
      </c>
      <c r="F43" t="inlineStr">
        <is>
          <t>Propylene</t>
        </is>
      </c>
      <c r="G43" s="191">
        <f>_xlfn.XLOOKUP(Group[[#This Row],[material_id]],표19[material_id],표19[end_use_att])</f>
        <v/>
      </c>
      <c r="H43" s="107">
        <f>_xlfn.XLOOKUP(Group[[#This Row],[material]],표22[material],표22[Total])</f>
        <v/>
      </c>
      <c r="I43" s="192">
        <f>Group[[#This Row],[end_use_att]]+Group[[#This Row],[supply_value_overall_score]]</f>
        <v/>
      </c>
      <c r="J43" s="192">
        <f>AVERAGEIF(Group[group_name],Group[[#This Row],[group_name]],Group[total_score])</f>
        <v/>
      </c>
      <c r="K43" s="193" t="inlineStr">
        <is>
          <t>A32</t>
        </is>
      </c>
    </row>
    <row r="44">
      <c r="A44" t="inlineStr">
        <is>
          <t>G07</t>
        </is>
      </c>
      <c r="B44" s="1" t="inlineStr">
        <is>
          <t>Ethanolamine Chain</t>
        </is>
      </c>
      <c r="C44" t="inlineStr">
        <is>
          <t>DEA</t>
        </is>
      </c>
      <c r="D44">
        <f>_xlfn.XLOOKUP(Group[[#This Row],[material]],표2[material_name],표2[material_id])</f>
        <v/>
      </c>
      <c r="E44" t="inlineStr">
        <is>
          <t>EO</t>
        </is>
      </c>
      <c r="F44" t="inlineStr">
        <is>
          <t>Ethylene</t>
        </is>
      </c>
      <c r="G44" s="191">
        <f>_xlfn.XLOOKUP(Group[[#This Row],[material_id]],표19[material_id],표19[end_use_att])</f>
        <v/>
      </c>
      <c r="H44" s="108">
        <f>_xlfn.XLOOKUP(Group[[#This Row],[material]],표22[material],표22[Total])</f>
        <v/>
      </c>
      <c r="I44" s="192">
        <f>Group[[#This Row],[end_use_att]]+Group[[#This Row],[supply_value_overall_score]]</f>
        <v/>
      </c>
      <c r="J44" s="192">
        <f>AVERAGEIF(Group[group_name],Group[[#This Row],[group_name]],Group[total_score])</f>
        <v/>
      </c>
      <c r="K44" s="193" t="inlineStr">
        <is>
          <t>A30</t>
        </is>
      </c>
    </row>
    <row r="45">
      <c r="A45" t="inlineStr">
        <is>
          <t>G07</t>
        </is>
      </c>
      <c r="B45" s="1" t="inlineStr">
        <is>
          <t>Ethanolamine Chain</t>
        </is>
      </c>
      <c r="C45" t="inlineStr">
        <is>
          <t>MEA</t>
        </is>
      </c>
      <c r="D45">
        <f>_xlfn.XLOOKUP(Group[[#This Row],[material]],표2[material_name],표2[material_id])</f>
        <v/>
      </c>
      <c r="E45" t="inlineStr">
        <is>
          <t>EO</t>
        </is>
      </c>
      <c r="F45" t="inlineStr">
        <is>
          <t>Ethylene</t>
        </is>
      </c>
      <c r="G45" s="191">
        <f>_xlfn.XLOOKUP(Group[[#This Row],[material_id]],표19[material_id],표19[end_use_att])</f>
        <v/>
      </c>
      <c r="H45" s="108">
        <f>_xlfn.XLOOKUP(Group[[#This Row],[material]],표22[material],표22[Total])</f>
        <v/>
      </c>
      <c r="I45" s="192">
        <f>Group[[#This Row],[end_use_att]]+Group[[#This Row],[supply_value_overall_score]]</f>
        <v/>
      </c>
      <c r="J45" s="192">
        <f>AVERAGEIF(Group[group_name],Group[[#This Row],[group_name]],Group[total_score])</f>
        <v/>
      </c>
      <c r="K45" s="193" t="inlineStr">
        <is>
          <t>A30</t>
        </is>
      </c>
    </row>
    <row r="46">
      <c r="A46" t="inlineStr">
        <is>
          <t>G07</t>
        </is>
      </c>
      <c r="B46" s="1" t="inlineStr">
        <is>
          <t>Ethanolamine Chain</t>
        </is>
      </c>
      <c r="C46" t="inlineStr">
        <is>
          <t>TEA</t>
        </is>
      </c>
      <c r="D46">
        <f>_xlfn.XLOOKUP(Group[[#This Row],[material]],표2[material_name],표2[material_id])</f>
        <v/>
      </c>
      <c r="E46" t="inlineStr">
        <is>
          <t>EO</t>
        </is>
      </c>
      <c r="F46" t="inlineStr">
        <is>
          <t>Ethylene</t>
        </is>
      </c>
      <c r="G46" s="191">
        <f>_xlfn.XLOOKUP(Group[[#This Row],[material_id]],표19[material_id],표19[end_use_att])</f>
        <v/>
      </c>
      <c r="H46" s="108">
        <f>_xlfn.XLOOKUP(Group[[#This Row],[material]],표22[material],표22[Total])</f>
        <v/>
      </c>
      <c r="I46" s="192">
        <f>Group[[#This Row],[end_use_att]]+Group[[#This Row],[supply_value_overall_score]]</f>
        <v/>
      </c>
      <c r="J46" s="192">
        <f>AVERAGEIF(Group[group_name],Group[[#This Row],[group_name]],Group[total_score])</f>
        <v/>
      </c>
      <c r="K46" s="193" t="inlineStr">
        <is>
          <t>A30</t>
        </is>
      </c>
    </row>
    <row r="47">
      <c r="A47" t="inlineStr">
        <is>
          <t>G05</t>
        </is>
      </c>
      <c r="B47" s="1" t="inlineStr">
        <is>
          <t>EC/DMC Chain</t>
        </is>
      </c>
      <c r="C47" t="inlineStr">
        <is>
          <t>DMC</t>
        </is>
      </c>
      <c r="D47">
        <f>_xlfn.XLOOKUP(Group[[#This Row],[material]],표2[material_name],표2[material_id])</f>
        <v/>
      </c>
      <c r="E47" t="inlineStr">
        <is>
          <t>EC</t>
        </is>
      </c>
      <c r="F47" t="inlineStr">
        <is>
          <t>Ethylene</t>
        </is>
      </c>
      <c r="G47" s="191">
        <f>_xlfn.XLOOKUP(Group[[#This Row],[material_id]],표19[material_id],표19[end_use_att])</f>
        <v/>
      </c>
      <c r="H47" s="107">
        <f>_xlfn.XLOOKUP(Group[[#This Row],[material]],표22[material],표22[Total])</f>
        <v/>
      </c>
      <c r="I47" s="192">
        <f>Group[[#This Row],[end_use_att]]+Group[[#This Row],[supply_value_overall_score]]</f>
        <v/>
      </c>
      <c r="J47" s="192">
        <f>AVERAGEIF(Group[group_name],Group[[#This Row],[group_name]],Group[total_score])</f>
        <v/>
      </c>
      <c r="K47" s="193" t="inlineStr">
        <is>
          <t>A15</t>
        </is>
      </c>
    </row>
    <row r="48">
      <c r="A48" t="inlineStr">
        <is>
          <t>G05</t>
        </is>
      </c>
      <c r="B48" s="1" t="inlineStr">
        <is>
          <t>EC/DMC Chain</t>
        </is>
      </c>
      <c r="C48" t="inlineStr">
        <is>
          <t>EC</t>
        </is>
      </c>
      <c r="D48">
        <f>_xlfn.XLOOKUP(Group[[#This Row],[material]],표2[material_name],표2[material_id])</f>
        <v/>
      </c>
      <c r="E48" t="inlineStr">
        <is>
          <t>EC</t>
        </is>
      </c>
      <c r="F48" t="inlineStr">
        <is>
          <t>Ethylene</t>
        </is>
      </c>
      <c r="G48" s="191">
        <f>_xlfn.XLOOKUP(Group[[#This Row],[material_id]],표19[material_id],표19[end_use_att])</f>
        <v/>
      </c>
      <c r="H48" s="107">
        <f>_xlfn.XLOOKUP(Group[[#This Row],[material]],표22[material],표22[Total])</f>
        <v/>
      </c>
      <c r="I48" s="192">
        <f>Group[[#This Row],[end_use_att]]+Group[[#This Row],[supply_value_overall_score]]</f>
        <v/>
      </c>
      <c r="J48" s="192">
        <f>AVERAGEIF(Group[group_name],Group[[#This Row],[group_name]],Group[total_score])</f>
        <v/>
      </c>
      <c r="K48" s="193" t="inlineStr">
        <is>
          <t>A15</t>
        </is>
      </c>
    </row>
    <row r="49">
      <c r="A49" t="inlineStr">
        <is>
          <t>G19</t>
        </is>
      </c>
      <c r="B49" s="1" t="inlineStr">
        <is>
          <t>PC Chain</t>
        </is>
      </c>
      <c r="C49" s="29" t="inlineStr">
        <is>
          <t>BPA</t>
        </is>
      </c>
      <c r="D49">
        <f>_xlfn.XLOOKUP(Group[[#This Row],[material]],표2[material_name],표2[material_id])</f>
        <v/>
      </c>
      <c r="E49" t="inlineStr">
        <is>
          <t>BPA</t>
        </is>
      </c>
      <c r="F49" t="inlineStr">
        <is>
          <t>Benzene</t>
        </is>
      </c>
      <c r="G49" s="191">
        <f>_xlfn.XLOOKUP(Group[[#This Row],[material_id]],표19[material_id],표19[end_use_att])</f>
        <v/>
      </c>
      <c r="H49" s="108">
        <f>_xlfn.XLOOKUP(Group[[#This Row],[material]],표22[material],표22[Total])</f>
        <v/>
      </c>
      <c r="I49" s="192">
        <f>Group[[#This Row],[end_use_att]]+Group[[#This Row],[supply_value_overall_score]]</f>
        <v/>
      </c>
      <c r="J49" s="192">
        <f>AVERAGEIF(Group[group_name],Group[[#This Row],[group_name]],Group[total_score])</f>
        <v/>
      </c>
      <c r="K49" s="193" t="inlineStr">
        <is>
          <t>A42</t>
        </is>
      </c>
    </row>
    <row r="50">
      <c r="A50" t="inlineStr">
        <is>
          <t>G19</t>
        </is>
      </c>
      <c r="B50" s="1" t="inlineStr">
        <is>
          <t>PC Chain</t>
        </is>
      </c>
      <c r="C50" s="29" t="inlineStr">
        <is>
          <t>PC</t>
        </is>
      </c>
      <c r="D50">
        <f>_xlfn.XLOOKUP(Group[[#This Row],[material]],표2[material_name],표2[material_id])</f>
        <v/>
      </c>
      <c r="E50" t="inlineStr">
        <is>
          <t>BPA</t>
        </is>
      </c>
      <c r="F50" t="inlineStr">
        <is>
          <t>Benzene</t>
        </is>
      </c>
      <c r="G50" s="191">
        <f>_xlfn.XLOOKUP(Group[[#This Row],[material_id]],표19[material_id],표19[end_use_att])</f>
        <v/>
      </c>
      <c r="H50" s="108">
        <f>_xlfn.XLOOKUP(Group[[#This Row],[material]],표22[material],표22[Total])</f>
        <v/>
      </c>
      <c r="I50" s="192">
        <f>Group[[#This Row],[end_use_att]]+Group[[#This Row],[supply_value_overall_score]]</f>
        <v/>
      </c>
      <c r="J50" s="192">
        <f>AVERAGEIF(Group[group_name],Group[[#This Row],[group_name]],Group[total_score])</f>
        <v/>
      </c>
      <c r="K50" s="193" t="inlineStr">
        <is>
          <t>A42</t>
        </is>
      </c>
    </row>
    <row r="51">
      <c r="A51" t="inlineStr">
        <is>
          <t>G33</t>
        </is>
      </c>
      <c r="B51" s="1" t="inlineStr">
        <is>
          <t>MX-PIA Chain</t>
        </is>
      </c>
      <c r="C51" t="inlineStr">
        <is>
          <t>m-Xylene</t>
        </is>
      </c>
      <c r="D51">
        <f>_xlfn.XLOOKUP(Group[[#This Row],[material]],표2[material_name],표2[material_id])</f>
        <v/>
      </c>
      <c r="E51" t="inlineStr">
        <is>
          <t>m-Xylene</t>
        </is>
      </c>
      <c r="F51" t="inlineStr">
        <is>
          <t>Xylene</t>
        </is>
      </c>
      <c r="G51" s="191">
        <f>_xlfn.XLOOKUP(Group[[#This Row],[material_id]],표19[material_id],표19[end_use_att])</f>
        <v/>
      </c>
      <c r="H51" s="108">
        <f>_xlfn.XLOOKUP(Group[[#This Row],[material]],표22[material],표22[Total])</f>
        <v/>
      </c>
      <c r="I51" s="192">
        <f>Group[[#This Row],[end_use_att]]+Group[[#This Row],[supply_value_overall_score]]</f>
        <v/>
      </c>
      <c r="J51" s="192">
        <f>AVERAGEIF(Group[group_name],Group[[#This Row],[group_name]],Group[total_score])</f>
        <v/>
      </c>
      <c r="K51" s="193" t="inlineStr">
        <is>
          <t>A41</t>
        </is>
      </c>
    </row>
    <row r="52">
      <c r="A52" t="inlineStr">
        <is>
          <t>G33</t>
        </is>
      </c>
      <c r="B52" s="1" t="inlineStr">
        <is>
          <t>MX-PIA Chain</t>
        </is>
      </c>
      <c r="C52" t="inlineStr">
        <is>
          <t>PIA</t>
        </is>
      </c>
      <c r="D52">
        <f>_xlfn.XLOOKUP(Group[[#This Row],[material]],표2[material_name],표2[material_id])</f>
        <v/>
      </c>
      <c r="E52" t="inlineStr">
        <is>
          <t>m-Xylene</t>
        </is>
      </c>
      <c r="F52" t="inlineStr">
        <is>
          <t>Xylene</t>
        </is>
      </c>
      <c r="G52" s="191">
        <f>_xlfn.XLOOKUP(Group[[#This Row],[material_id]],표19[material_id],표19[end_use_att])</f>
        <v/>
      </c>
      <c r="H52" s="108">
        <f>_xlfn.XLOOKUP(Group[[#This Row],[material]],표22[material],표22[Total])</f>
        <v/>
      </c>
      <c r="I52" s="192">
        <f>Group[[#This Row],[end_use_att]]+Group[[#This Row],[supply_value_overall_score]]</f>
        <v/>
      </c>
      <c r="J52" s="192">
        <f>AVERAGEIF(Group[group_name],Group[[#This Row],[group_name]],Group[total_score])</f>
        <v/>
      </c>
      <c r="K52" s="193" t="inlineStr">
        <is>
          <t>A41</t>
        </is>
      </c>
    </row>
    <row r="53">
      <c r="A53" t="inlineStr">
        <is>
          <t>G08</t>
        </is>
      </c>
      <c r="B53" s="1" t="inlineStr">
        <is>
          <t>VAM Chain</t>
        </is>
      </c>
      <c r="C53" t="inlineStr">
        <is>
          <t>EVA</t>
        </is>
      </c>
      <c r="D53">
        <f>_xlfn.XLOOKUP(Group[[#This Row],[material]],표2[material_name],표2[material_id])</f>
        <v/>
      </c>
      <c r="E53" t="inlineStr">
        <is>
          <t>VAM</t>
        </is>
      </c>
      <c r="F53" t="inlineStr">
        <is>
          <t>Ethylene</t>
        </is>
      </c>
      <c r="G53" s="191">
        <f>_xlfn.XLOOKUP(Group[[#This Row],[material_id]],표19[material_id],표19[end_use_att])</f>
        <v/>
      </c>
      <c r="H53" s="107">
        <f>_xlfn.XLOOKUP(Group[[#This Row],[material]],표22[material],표22[Total])</f>
        <v/>
      </c>
      <c r="I53" s="192">
        <f>Group[[#This Row],[end_use_att]]+Group[[#This Row],[supply_value_overall_score]]</f>
        <v/>
      </c>
      <c r="J53" s="192">
        <f>AVERAGEIF(Group[group_name],Group[[#This Row],[group_name]],Group[total_score])</f>
        <v/>
      </c>
      <c r="K53" s="193" t="inlineStr">
        <is>
          <t>A14</t>
        </is>
      </c>
    </row>
    <row r="54">
      <c r="A54" t="inlineStr">
        <is>
          <t>G08</t>
        </is>
      </c>
      <c r="B54" s="1" t="inlineStr">
        <is>
          <t>VAM Chain</t>
        </is>
      </c>
      <c r="C54" t="inlineStr">
        <is>
          <t>PVOH</t>
        </is>
      </c>
      <c r="D54">
        <f>_xlfn.XLOOKUP(Group[[#This Row],[material]],표2[material_name],표2[material_id])</f>
        <v/>
      </c>
      <c r="E54" t="inlineStr">
        <is>
          <t>VAM</t>
        </is>
      </c>
      <c r="F54" t="inlineStr">
        <is>
          <t>Ethylene</t>
        </is>
      </c>
      <c r="G54" s="191">
        <f>_xlfn.XLOOKUP(Group[[#This Row],[material_id]],표19[material_id],표19[end_use_att])</f>
        <v/>
      </c>
      <c r="H54" s="108">
        <f>_xlfn.XLOOKUP(Group[[#This Row],[material]],표22[material],표22[Total])</f>
        <v/>
      </c>
      <c r="I54" s="192">
        <f>Group[[#This Row],[end_use_att]]+Group[[#This Row],[supply_value_overall_score]]</f>
        <v/>
      </c>
      <c r="J54" s="192">
        <f>AVERAGEIF(Group[group_name],Group[[#This Row],[group_name]],Group[total_score])</f>
        <v/>
      </c>
      <c r="K54" s="193" t="inlineStr">
        <is>
          <t>A14</t>
        </is>
      </c>
    </row>
    <row r="55">
      <c r="A55" t="inlineStr">
        <is>
          <t>G08</t>
        </is>
      </c>
      <c r="B55" s="1" t="inlineStr">
        <is>
          <t>VAM Chain</t>
        </is>
      </c>
      <c r="C55" t="inlineStr">
        <is>
          <t>VAM</t>
        </is>
      </c>
      <c r="D55">
        <f>_xlfn.XLOOKUP(Group[[#This Row],[material]],표2[material_name],표2[material_id])</f>
        <v/>
      </c>
      <c r="E55" t="inlineStr">
        <is>
          <t>VAM</t>
        </is>
      </c>
      <c r="F55" t="inlineStr">
        <is>
          <t>Ethylene</t>
        </is>
      </c>
      <c r="G55" s="191">
        <f>_xlfn.XLOOKUP(Group[[#This Row],[material_id]],표19[material_id],표19[end_use_att])</f>
        <v/>
      </c>
      <c r="H55" s="108">
        <f>_xlfn.XLOOKUP(Group[[#This Row],[material]],표22[material],표22[Total])</f>
        <v/>
      </c>
      <c r="I55" s="192">
        <f>Group[[#This Row],[end_use_att]]+Group[[#This Row],[supply_value_overall_score]]</f>
        <v/>
      </c>
      <c r="J55" s="192">
        <f>AVERAGEIF(Group[group_name],Group[[#This Row],[group_name]],Group[total_score])</f>
        <v/>
      </c>
      <c r="K55" s="193" t="inlineStr">
        <is>
          <t>A14</t>
        </is>
      </c>
    </row>
    <row r="56">
      <c r="A56" t="inlineStr">
        <is>
          <t>G17</t>
        </is>
      </c>
      <c r="B56" s="1" t="inlineStr">
        <is>
          <t>IPA Chain</t>
        </is>
      </c>
      <c r="C56" s="29" t="inlineStr">
        <is>
          <t>IPA</t>
        </is>
      </c>
      <c r="D56">
        <f>_xlfn.XLOOKUP(Group[[#This Row],[material]],표2[material_name],표2[material_id])</f>
        <v/>
      </c>
      <c r="E56" t="inlineStr">
        <is>
          <t>IPA</t>
        </is>
      </c>
      <c r="F56" t="inlineStr">
        <is>
          <t>Propylene</t>
        </is>
      </c>
      <c r="G56" s="191">
        <f>_xlfn.XLOOKUP(Group[[#This Row],[material_id]],표19[material_id],표19[end_use_att])</f>
        <v/>
      </c>
      <c r="H56" s="108">
        <f>_xlfn.XLOOKUP(Group[[#This Row],[material]],표22[material],표22[Total])</f>
        <v/>
      </c>
      <c r="I56" s="192">
        <f>Group[[#This Row],[end_use_att]]+Group[[#This Row],[supply_value_overall_score]]</f>
        <v/>
      </c>
      <c r="J56" s="192">
        <f>AVERAGEIF(Group[group_name],Group[[#This Row],[group_name]],Group[total_score])</f>
        <v/>
      </c>
      <c r="K56" s="193" t="inlineStr">
        <is>
          <t>A40</t>
        </is>
      </c>
    </row>
    <row r="57">
      <c r="A57" t="inlineStr">
        <is>
          <t>G17</t>
        </is>
      </c>
      <c r="B57" s="1" t="inlineStr">
        <is>
          <t>IPA Chain</t>
        </is>
      </c>
      <c r="C57" t="inlineStr">
        <is>
          <t>Isopropyl acetate</t>
        </is>
      </c>
      <c r="D57">
        <f>_xlfn.XLOOKUP(Group[[#This Row],[material]],표2[material_name],표2[material_id])</f>
        <v/>
      </c>
      <c r="E57" t="inlineStr">
        <is>
          <t>IPA</t>
        </is>
      </c>
      <c r="F57" t="inlineStr">
        <is>
          <t>Propylene</t>
        </is>
      </c>
      <c r="G57" s="191">
        <f>_xlfn.XLOOKUP(Group[[#This Row],[material_id]],표19[material_id],표19[end_use_att])</f>
        <v/>
      </c>
      <c r="H57" s="108">
        <f>_xlfn.XLOOKUP(Group[[#This Row],[material]],표22[material],표22[Total])</f>
        <v/>
      </c>
      <c r="I57" s="192">
        <f>Group[[#This Row],[end_use_att]]+Group[[#This Row],[supply_value_overall_score]]</f>
        <v/>
      </c>
      <c r="J57" s="192">
        <f>AVERAGEIF(Group[group_name],Group[[#This Row],[group_name]],Group[total_score])</f>
        <v/>
      </c>
      <c r="K57" s="193" t="inlineStr">
        <is>
          <t>A40</t>
        </is>
      </c>
    </row>
    <row r="58">
      <c r="A58" t="inlineStr">
        <is>
          <t>G10</t>
        </is>
      </c>
      <c r="B58" s="1" t="inlineStr">
        <is>
          <t>1-Butene Chain</t>
        </is>
      </c>
      <c r="C58" t="inlineStr">
        <is>
          <t>1-Butene</t>
        </is>
      </c>
      <c r="D58">
        <f>_xlfn.XLOOKUP(Group[[#This Row],[material]],표2[material_name],표2[material_id])</f>
        <v/>
      </c>
      <c r="E58" t="inlineStr">
        <is>
          <t>1-Butene</t>
        </is>
      </c>
      <c r="F58" t="inlineStr">
        <is>
          <t>1-Butene</t>
        </is>
      </c>
      <c r="G58" s="191">
        <f>_xlfn.XLOOKUP(Group[[#This Row],[material_id]],표19[material_id],표19[end_use_att])</f>
        <v/>
      </c>
      <c r="H58" s="108">
        <f>_xlfn.XLOOKUP(Group[[#This Row],[material]],표22[material],표22[Total])</f>
        <v/>
      </c>
      <c r="I58" s="192">
        <f>Group[[#This Row],[end_use_att]]+Group[[#This Row],[supply_value_overall_score]]</f>
        <v/>
      </c>
      <c r="J58" s="192">
        <f>AVERAGEIF(Group[group_name],Group[[#This Row],[group_name]],Group[total_score])</f>
        <v/>
      </c>
      <c r="K58" s="193" t="inlineStr">
        <is>
          <t>A09</t>
        </is>
      </c>
    </row>
    <row r="59">
      <c r="A59" t="inlineStr">
        <is>
          <t>G10</t>
        </is>
      </c>
      <c r="B59" s="1" t="inlineStr">
        <is>
          <t>1-Butene Chain</t>
        </is>
      </c>
      <c r="C59" t="inlineStr">
        <is>
          <t>PB-1</t>
        </is>
      </c>
      <c r="D59">
        <f>_xlfn.XLOOKUP(Group[[#This Row],[material]],표2[material_name],표2[material_id])</f>
        <v/>
      </c>
      <c r="E59" t="inlineStr">
        <is>
          <t>1-Butene</t>
        </is>
      </c>
      <c r="F59" t="inlineStr">
        <is>
          <t>1-Butene</t>
        </is>
      </c>
      <c r="G59" s="191">
        <f>_xlfn.XLOOKUP(Group[[#This Row],[material_id]],표19[material_id],표19[end_use_att])</f>
        <v/>
      </c>
      <c r="H59" s="108">
        <f>_xlfn.XLOOKUP(Group[[#This Row],[material]],표22[material],표22[Total])</f>
        <v/>
      </c>
      <c r="I59" s="192">
        <f>Group[[#This Row],[end_use_att]]+Group[[#This Row],[supply_value_overall_score]]</f>
        <v/>
      </c>
      <c r="J59" s="192">
        <f>AVERAGEIF(Group[group_name],Group[[#This Row],[group_name]],Group[total_score])</f>
        <v/>
      </c>
      <c r="K59" s="193" t="inlineStr">
        <is>
          <t>A09</t>
        </is>
      </c>
    </row>
    <row r="60">
      <c r="A60" t="inlineStr">
        <is>
          <t>G01</t>
        </is>
      </c>
      <c r="B60" s="1" t="inlineStr">
        <is>
          <t>PE Chain</t>
        </is>
      </c>
      <c r="C60" t="inlineStr">
        <is>
          <t>HDPE</t>
        </is>
      </c>
      <c r="D60">
        <f>_xlfn.XLOOKUP(Group[[#This Row],[material]],표2[material_name],표2[material_id])</f>
        <v/>
      </c>
      <c r="E60" t="inlineStr">
        <is>
          <t>Ethylene</t>
        </is>
      </c>
      <c r="F60" t="inlineStr">
        <is>
          <t>Ethylene</t>
        </is>
      </c>
      <c r="G60" s="191">
        <f>_xlfn.XLOOKUP(Group[[#This Row],[material_id]],표19[material_id],표19[end_use_att])</f>
        <v/>
      </c>
      <c r="H60" s="108">
        <f>_xlfn.XLOOKUP(Group[[#This Row],[material]],표22[material],표22[Total])</f>
        <v/>
      </c>
      <c r="I60" s="192">
        <f>Group[[#This Row],[end_use_att]]+Group[[#This Row],[supply_value_overall_score]]</f>
        <v/>
      </c>
      <c r="J60" s="192">
        <f>AVERAGEIF(Group[group_name],Group[[#This Row],[group_name]],Group[total_score])</f>
        <v/>
      </c>
      <c r="K60" s="193" t="inlineStr">
        <is>
          <t>A05</t>
        </is>
      </c>
    </row>
    <row r="61">
      <c r="A61" t="inlineStr">
        <is>
          <t>G01</t>
        </is>
      </c>
      <c r="B61" s="1" t="inlineStr">
        <is>
          <t>PE Chain</t>
        </is>
      </c>
      <c r="C61" t="inlineStr">
        <is>
          <t>LDPE</t>
        </is>
      </c>
      <c r="D61">
        <f>_xlfn.XLOOKUP(Group[[#This Row],[material]],표2[material_name],표2[material_id])</f>
        <v/>
      </c>
      <c r="E61" t="inlineStr">
        <is>
          <t>Ethylene</t>
        </is>
      </c>
      <c r="F61" t="inlineStr">
        <is>
          <t>Ethylene</t>
        </is>
      </c>
      <c r="G61" s="191">
        <f>_xlfn.XLOOKUP(Group[[#This Row],[material_id]],표19[material_id],표19[end_use_att])</f>
        <v/>
      </c>
      <c r="H61" s="108">
        <f>_xlfn.XLOOKUP(Group[[#This Row],[material]],표22[material],표22[Total])</f>
        <v/>
      </c>
      <c r="I61" s="192">
        <f>Group[[#This Row],[end_use_att]]+Group[[#This Row],[supply_value_overall_score]]</f>
        <v/>
      </c>
      <c r="J61" s="192">
        <f>AVERAGEIF(Group[group_name],Group[[#This Row],[group_name]],Group[total_score])</f>
        <v/>
      </c>
      <c r="K61" s="193" t="inlineStr">
        <is>
          <t>A05</t>
        </is>
      </c>
    </row>
    <row r="62">
      <c r="A62" t="inlineStr">
        <is>
          <t>G01</t>
        </is>
      </c>
      <c r="B62" s="1" t="inlineStr">
        <is>
          <t>PE Chain</t>
        </is>
      </c>
      <c r="C62" t="inlineStr">
        <is>
          <t>LLDPE</t>
        </is>
      </c>
      <c r="D62">
        <f>_xlfn.XLOOKUP(Group[[#This Row],[material]],표2[material_name],표2[material_id])</f>
        <v/>
      </c>
      <c r="E62" t="inlineStr">
        <is>
          <t>Ethylene</t>
        </is>
      </c>
      <c r="F62" t="inlineStr">
        <is>
          <t>Ethylene</t>
        </is>
      </c>
      <c r="G62" s="191">
        <f>_xlfn.XLOOKUP(Group[[#This Row],[material_id]],표19[material_id],표19[end_use_att])</f>
        <v/>
      </c>
      <c r="H62" s="108">
        <f>_xlfn.XLOOKUP(Group[[#This Row],[material]],표22[material],표22[Total])</f>
        <v/>
      </c>
      <c r="I62" s="192">
        <f>Group[[#This Row],[end_use_att]]+Group[[#This Row],[supply_value_overall_score]]</f>
        <v/>
      </c>
      <c r="J62" s="192">
        <f>AVERAGEIF(Group[group_name],Group[[#This Row],[group_name]],Group[total_score])</f>
        <v/>
      </c>
      <c r="K62" s="193" t="inlineStr">
        <is>
          <t>A05</t>
        </is>
      </c>
    </row>
    <row r="63">
      <c r="A63" t="inlineStr">
        <is>
          <t>G23</t>
        </is>
      </c>
      <c r="B63" t="inlineStr">
        <is>
          <t>Fuel Additive</t>
        </is>
      </c>
      <c r="C63" t="inlineStr">
        <is>
          <t>Isobutylene</t>
        </is>
      </c>
      <c r="D63">
        <f>_xlfn.XLOOKUP(Group[[#This Row],[material]],표2[material_name],표2[material_id])</f>
        <v/>
      </c>
      <c r="E63" t="inlineStr">
        <is>
          <t>Isobutylene</t>
        </is>
      </c>
      <c r="F63" t="inlineStr">
        <is>
          <t>Isobutylene</t>
        </is>
      </c>
      <c r="G63" s="191">
        <f>_xlfn.XLOOKUP(Group[[#This Row],[material_id]],표19[material_id],표19[end_use_att])</f>
        <v/>
      </c>
      <c r="H63" s="108">
        <f>_xlfn.XLOOKUP(Group[[#This Row],[material]],표22[material],표22[Total])</f>
        <v/>
      </c>
      <c r="I63" s="192">
        <f>Group[[#This Row],[end_use_att]]+Group[[#This Row],[supply_value_overall_score]]</f>
        <v/>
      </c>
      <c r="J63" s="192">
        <f>AVERAGEIF(Group[group_name],Group[[#This Row],[group_name]],Group[total_score])</f>
        <v/>
      </c>
      <c r="K63" s="193" t="inlineStr">
        <is>
          <t>A43</t>
        </is>
      </c>
    </row>
    <row r="64">
      <c r="A64" t="inlineStr">
        <is>
          <t>G23</t>
        </is>
      </c>
      <c r="B64" t="inlineStr">
        <is>
          <t>Fuel Additive</t>
        </is>
      </c>
      <c r="C64" t="inlineStr">
        <is>
          <t>MTBE</t>
        </is>
      </c>
      <c r="D64">
        <f>_xlfn.XLOOKUP(Group[[#This Row],[material]],표2[material_name],표2[material_id])</f>
        <v/>
      </c>
      <c r="E64" t="inlineStr">
        <is>
          <t>Isobutylene</t>
        </is>
      </c>
      <c r="F64" t="inlineStr">
        <is>
          <t>Isobutylene</t>
        </is>
      </c>
      <c r="G64" s="191">
        <f>_xlfn.XLOOKUP(Group[[#This Row],[material_id]],표19[material_id],표19[end_use_att])</f>
        <v/>
      </c>
      <c r="H64" s="108">
        <f>_xlfn.XLOOKUP(Group[[#This Row],[material]],표22[material],표22[Total])</f>
        <v/>
      </c>
      <c r="I64" s="192">
        <f>Group[[#This Row],[end_use_att]]+Group[[#This Row],[supply_value_overall_score]]</f>
        <v/>
      </c>
      <c r="J64" s="192">
        <f>AVERAGEIF(Group[group_name],Group[[#This Row],[group_name]],Group[total_score])</f>
        <v/>
      </c>
      <c r="K64" s="193" t="inlineStr">
        <is>
          <t>A43</t>
        </is>
      </c>
    </row>
    <row r="65">
      <c r="A65" t="inlineStr">
        <is>
          <t>G31</t>
        </is>
      </c>
      <c r="B65" s="1" t="inlineStr">
        <is>
          <t>Aniline-MDI Chain</t>
        </is>
      </c>
      <c r="C65" t="inlineStr">
        <is>
          <t>Aniline</t>
        </is>
      </c>
      <c r="D65">
        <f>_xlfn.XLOOKUP(Group[[#This Row],[material]],표2[material_name],표2[material_id])</f>
        <v/>
      </c>
      <c r="E65" t="inlineStr">
        <is>
          <t>Aniline</t>
        </is>
      </c>
      <c r="F65" t="inlineStr">
        <is>
          <t>Benzene</t>
        </is>
      </c>
      <c r="G65" s="191">
        <f>_xlfn.XLOOKUP(Group[[#This Row],[material_id]],표19[material_id],표19[end_use_att])</f>
        <v/>
      </c>
      <c r="H65" s="108">
        <f>_xlfn.XLOOKUP(Group[[#This Row],[material]],표22[material],표22[Total])</f>
        <v/>
      </c>
      <c r="I65" s="192">
        <f>Group[[#This Row],[end_use_att]]+Group[[#This Row],[supply_value_overall_score]]</f>
        <v/>
      </c>
      <c r="J65" s="192">
        <f>AVERAGEIF(Group[group_name],Group[[#This Row],[group_name]],Group[total_score])</f>
        <v/>
      </c>
      <c r="K65" s="193" t="inlineStr">
        <is>
          <t>A17</t>
        </is>
      </c>
    </row>
    <row r="66">
      <c r="A66" t="inlineStr">
        <is>
          <t>G31</t>
        </is>
      </c>
      <c r="B66" s="1" t="inlineStr">
        <is>
          <t>Aniline-MDI Chain</t>
        </is>
      </c>
      <c r="C66" t="inlineStr">
        <is>
          <t>MDI</t>
        </is>
      </c>
      <c r="D66">
        <f>_xlfn.XLOOKUP(Group[[#This Row],[material]],표2[material_name],표2[material_id])</f>
        <v/>
      </c>
      <c r="E66" t="inlineStr">
        <is>
          <t>Aniline</t>
        </is>
      </c>
      <c r="F66" t="inlineStr">
        <is>
          <t>Benzene</t>
        </is>
      </c>
      <c r="G66" s="191">
        <f>_xlfn.XLOOKUP(Group[[#This Row],[material_id]],표19[material_id],표19[end_use_att])</f>
        <v/>
      </c>
      <c r="H66" s="107">
        <f>_xlfn.XLOOKUP(Group[[#This Row],[material]],표22[material],표22[Total])</f>
        <v/>
      </c>
      <c r="I66" s="192">
        <f>Group[[#This Row],[end_use_att]]+Group[[#This Row],[supply_value_overall_score]]</f>
        <v/>
      </c>
      <c r="J66" s="192">
        <f>AVERAGEIF(Group[group_name],Group[[#This Row],[group_name]],Group[total_score])</f>
        <v/>
      </c>
      <c r="K66" s="193" t="inlineStr">
        <is>
          <t>A17</t>
        </is>
      </c>
    </row>
    <row r="67">
      <c r="A67" t="inlineStr">
        <is>
          <t>G20</t>
        </is>
      </c>
      <c r="B67" s="1" t="inlineStr">
        <is>
          <t>Nylon/PA Chain</t>
        </is>
      </c>
      <c r="C67" s="29" t="inlineStr">
        <is>
          <t>Adipic Acid</t>
        </is>
      </c>
      <c r="D67">
        <f>_xlfn.XLOOKUP(Group[[#This Row],[material]],표2[material_name],표2[material_id])</f>
        <v/>
      </c>
      <c r="E67" t="inlineStr">
        <is>
          <t>Cyclohexane</t>
        </is>
      </c>
      <c r="F67" t="inlineStr">
        <is>
          <t>Benzene</t>
        </is>
      </c>
      <c r="G67" s="191">
        <f>_xlfn.XLOOKUP(Group[[#This Row],[material_id]],표19[material_id],표19[end_use_att])</f>
        <v/>
      </c>
      <c r="H67" s="108">
        <f>_xlfn.XLOOKUP(Group[[#This Row],[material]],표22[material],표22[Total])</f>
        <v/>
      </c>
      <c r="I67" s="192">
        <f>Group[[#This Row],[end_use_att]]+Group[[#This Row],[supply_value_overall_score]]</f>
        <v/>
      </c>
      <c r="J67" s="192">
        <f>AVERAGEIF(Group[group_name],Group[[#This Row],[group_name]],Group[total_score])</f>
        <v/>
      </c>
      <c r="K67" s="193" t="inlineStr">
        <is>
          <t>A16</t>
        </is>
      </c>
    </row>
    <row r="68">
      <c r="A68" t="inlineStr">
        <is>
          <t>G20</t>
        </is>
      </c>
      <c r="B68" s="1" t="inlineStr">
        <is>
          <t>Nylon/PA Chain</t>
        </is>
      </c>
      <c r="C68" s="29" t="inlineStr">
        <is>
          <t>Caprolactam</t>
        </is>
      </c>
      <c r="D68">
        <f>_xlfn.XLOOKUP(Group[[#This Row],[material]],표2[material_name],표2[material_id])</f>
        <v/>
      </c>
      <c r="E68" t="inlineStr">
        <is>
          <t>Cyclohexane</t>
        </is>
      </c>
      <c r="F68" t="inlineStr">
        <is>
          <t>Benzene</t>
        </is>
      </c>
      <c r="G68" s="191">
        <f>_xlfn.XLOOKUP(Group[[#This Row],[material_id]],표19[material_id],표19[end_use_att])</f>
        <v/>
      </c>
      <c r="H68" s="108">
        <f>_xlfn.XLOOKUP(Group[[#This Row],[material]],표22[material],표22[Total])</f>
        <v/>
      </c>
      <c r="I68" s="192">
        <f>Group[[#This Row],[end_use_att]]+Group[[#This Row],[supply_value_overall_score]]</f>
        <v/>
      </c>
      <c r="J68" s="192">
        <f>AVERAGEIF(Group[group_name],Group[[#This Row],[group_name]],Group[total_score])</f>
        <v/>
      </c>
      <c r="K68" s="193" t="inlineStr">
        <is>
          <t>A16</t>
        </is>
      </c>
    </row>
    <row r="69">
      <c r="A69" t="inlineStr">
        <is>
          <t>G20</t>
        </is>
      </c>
      <c r="B69" s="1" t="inlineStr">
        <is>
          <t>Nylon/PA Chain</t>
        </is>
      </c>
      <c r="C69" s="29" t="inlineStr">
        <is>
          <t>Cyclohexane</t>
        </is>
      </c>
      <c r="D69">
        <f>_xlfn.XLOOKUP(Group[[#This Row],[material]],표2[material_name],표2[material_id])</f>
        <v/>
      </c>
      <c r="E69" t="inlineStr">
        <is>
          <t>Cyclohexane</t>
        </is>
      </c>
      <c r="F69" t="inlineStr">
        <is>
          <t>Benzene</t>
        </is>
      </c>
      <c r="G69" s="191">
        <f>_xlfn.XLOOKUP(Group[[#This Row],[material_id]],표19[material_id],표19[end_use_att])</f>
        <v/>
      </c>
      <c r="H69" s="108">
        <f>_xlfn.XLOOKUP(Group[[#This Row],[material]],표22[material],표22[Total])</f>
        <v/>
      </c>
      <c r="I69" s="192">
        <f>Group[[#This Row],[end_use_att]]+Group[[#This Row],[supply_value_overall_score]]</f>
        <v/>
      </c>
      <c r="J69" s="192">
        <f>AVERAGEIF(Group[group_name],Group[[#This Row],[group_name]],Group[total_score])</f>
        <v/>
      </c>
      <c r="K69" s="193" t="inlineStr">
        <is>
          <t>A16</t>
        </is>
      </c>
    </row>
    <row r="70">
      <c r="A70" t="inlineStr">
        <is>
          <t>G20</t>
        </is>
      </c>
      <c r="B70" s="1" t="inlineStr">
        <is>
          <t>Nylon/PA Chain</t>
        </is>
      </c>
      <c r="C70" s="29" t="inlineStr">
        <is>
          <t>Cyclohexanone</t>
        </is>
      </c>
      <c r="D70">
        <f>_xlfn.XLOOKUP(Group[[#This Row],[material]],표2[material_name],표2[material_id])</f>
        <v/>
      </c>
      <c r="E70" t="inlineStr">
        <is>
          <t>Cyclohexane</t>
        </is>
      </c>
      <c r="F70" t="inlineStr">
        <is>
          <t>Benzene</t>
        </is>
      </c>
      <c r="G70" s="191">
        <f>_xlfn.XLOOKUP(Group[[#This Row],[material_id]],표19[material_id],표19[end_use_att])</f>
        <v/>
      </c>
      <c r="H70" s="108">
        <f>_xlfn.XLOOKUP(Group[[#This Row],[material]],표22[material],표22[Total])</f>
        <v/>
      </c>
      <c r="I70" s="192">
        <f>Group[[#This Row],[end_use_att]]+Group[[#This Row],[supply_value_overall_score]]</f>
        <v/>
      </c>
      <c r="J70" s="192">
        <f>AVERAGEIF(Group[group_name],Group[[#This Row],[group_name]],Group[total_score])</f>
        <v/>
      </c>
      <c r="K70" s="193" t="inlineStr">
        <is>
          <t>A16</t>
        </is>
      </c>
    </row>
    <row r="71">
      <c r="A71" t="inlineStr">
        <is>
          <t>G03</t>
        </is>
      </c>
      <c r="B71" s="1" t="inlineStr">
        <is>
          <t>EO-PET Chain</t>
        </is>
      </c>
      <c r="C71" t="inlineStr">
        <is>
          <t>EO</t>
        </is>
      </c>
      <c r="D71">
        <f>_xlfn.XLOOKUP(Group[[#This Row],[material]],표2[material_name],표2[material_id])</f>
        <v/>
      </c>
      <c r="E71" t="inlineStr">
        <is>
          <t>EO</t>
        </is>
      </c>
      <c r="F71" t="inlineStr">
        <is>
          <t>Ethylene</t>
        </is>
      </c>
      <c r="G71" s="191">
        <f>_xlfn.XLOOKUP(Group[[#This Row],[material_id]],표19[material_id],표19[end_use_att])</f>
        <v/>
      </c>
      <c r="H71" s="108">
        <f>_xlfn.XLOOKUP(Group[[#This Row],[material]],표22[material],표22[Total])</f>
        <v/>
      </c>
      <c r="I71" s="192">
        <f>Group[[#This Row],[end_use_att]]+Group[[#This Row],[supply_value_overall_score]]</f>
        <v/>
      </c>
      <c r="J71" s="192">
        <f>AVERAGEIF(Group[group_name],Group[[#This Row],[group_name]],Group[total_score])</f>
        <v/>
      </c>
      <c r="K71" s="193" t="inlineStr">
        <is>
          <t>A04</t>
        </is>
      </c>
    </row>
    <row r="72">
      <c r="A72" t="inlineStr">
        <is>
          <t>G03</t>
        </is>
      </c>
      <c r="B72" s="1" t="inlineStr">
        <is>
          <t>EO-PET Chain</t>
        </is>
      </c>
      <c r="C72" t="inlineStr">
        <is>
          <t>MEG</t>
        </is>
      </c>
      <c r="D72">
        <f>_xlfn.XLOOKUP(Group[[#This Row],[material]],표2[material_name],표2[material_id])</f>
        <v/>
      </c>
      <c r="E72" t="inlineStr">
        <is>
          <t>EO</t>
        </is>
      </c>
      <c r="F72" t="inlineStr">
        <is>
          <t>Ethylene</t>
        </is>
      </c>
      <c r="G72" s="191">
        <f>_xlfn.XLOOKUP(Group[[#This Row],[material_id]],표19[material_id],표19[end_use_att])</f>
        <v/>
      </c>
      <c r="H72" s="108">
        <f>_xlfn.XLOOKUP(Group[[#This Row],[material]],표22[material],표22[Total])</f>
        <v/>
      </c>
      <c r="I72" s="192">
        <f>Group[[#This Row],[end_use_att]]+Group[[#This Row],[supply_value_overall_score]]</f>
        <v/>
      </c>
      <c r="J72" s="192">
        <f>AVERAGEIF(Group[group_name],Group[[#This Row],[group_name]],Group[total_score])</f>
        <v/>
      </c>
      <c r="K72" s="193" t="inlineStr">
        <is>
          <t>A04</t>
        </is>
      </c>
    </row>
    <row r="73">
      <c r="A73" t="inlineStr">
        <is>
          <t>G03</t>
        </is>
      </c>
      <c r="B73" s="1" t="inlineStr">
        <is>
          <t>EO-PET Chain</t>
        </is>
      </c>
      <c r="C73" t="inlineStr">
        <is>
          <t>PET</t>
        </is>
      </c>
      <c r="D73">
        <f>_xlfn.XLOOKUP(Group[[#This Row],[material]],표2[material_name],표2[material_id])</f>
        <v/>
      </c>
      <c r="E73" t="inlineStr">
        <is>
          <t>EO</t>
        </is>
      </c>
      <c r="F73" t="inlineStr">
        <is>
          <t>Ethylene</t>
        </is>
      </c>
      <c r="G73" s="191">
        <f>_xlfn.XLOOKUP(Group[[#This Row],[material_id]],표19[material_id],표19[end_use_att])</f>
        <v/>
      </c>
      <c r="H73" s="108">
        <f>_xlfn.XLOOKUP(Group[[#This Row],[material]],표22[material],표22[Total])</f>
        <v/>
      </c>
      <c r="I73" s="192">
        <f>Group[[#This Row],[end_use_att]]+Group[[#This Row],[supply_value_overall_score]]</f>
        <v/>
      </c>
      <c r="J73" s="192">
        <f>AVERAGEIF(Group[group_name],Group[[#This Row],[group_name]],Group[total_score])</f>
        <v/>
      </c>
      <c r="K73" s="193" t="inlineStr">
        <is>
          <t>A04</t>
        </is>
      </c>
    </row>
    <row r="74">
      <c r="A74" t="inlineStr">
        <is>
          <t>G18</t>
        </is>
      </c>
      <c r="B74" s="1" t="inlineStr">
        <is>
          <t>Epoxy Chain</t>
        </is>
      </c>
      <c r="C74" s="29" t="inlineStr">
        <is>
          <t>BPA</t>
        </is>
      </c>
      <c r="D74">
        <f>_xlfn.XLOOKUP(Group[[#This Row],[material]],표2[material_name],표2[material_id])</f>
        <v/>
      </c>
      <c r="E74" t="inlineStr">
        <is>
          <t>BPA; ECH</t>
        </is>
      </c>
      <c r="F74" t="inlineStr">
        <is>
          <t>Benzene; Propylene</t>
        </is>
      </c>
      <c r="G74" s="191">
        <f>_xlfn.XLOOKUP(Group[[#This Row],[material_id]],표19[material_id],표19[end_use_att])</f>
        <v/>
      </c>
      <c r="H74" s="108">
        <f>_xlfn.XLOOKUP(Group[[#This Row],[material]],표22[material],표22[Total])</f>
        <v/>
      </c>
      <c r="I74" s="192">
        <f>Group[[#This Row],[end_use_att]]+Group[[#This Row],[supply_value_overall_score]]</f>
        <v/>
      </c>
      <c r="J74" s="192">
        <f>AVERAGEIF(Group[group_name],Group[[#This Row],[group_name]],Group[total_score])</f>
        <v/>
      </c>
      <c r="K74" s="193" t="inlineStr">
        <is>
          <t>A42</t>
        </is>
      </c>
    </row>
    <row r="75">
      <c r="A75" t="inlineStr">
        <is>
          <t>G18</t>
        </is>
      </c>
      <c r="B75" s="1" t="inlineStr">
        <is>
          <t>Epoxy Chain</t>
        </is>
      </c>
      <c r="C75" s="29" t="inlineStr">
        <is>
          <t>ECH</t>
        </is>
      </c>
      <c r="D75">
        <f>_xlfn.XLOOKUP(Group[[#This Row],[material]],표2[material_name],표2[material_id])</f>
        <v/>
      </c>
      <c r="E75" t="inlineStr">
        <is>
          <t>BPA; ECH</t>
        </is>
      </c>
      <c r="F75" t="inlineStr">
        <is>
          <t>Benzene; Propylene</t>
        </is>
      </c>
      <c r="G75" s="191">
        <f>_xlfn.XLOOKUP(Group[[#This Row],[material_id]],표19[material_id],표19[end_use_att])</f>
        <v/>
      </c>
      <c r="H75" s="108">
        <f>_xlfn.XLOOKUP(Group[[#This Row],[material]],표22[material],표22[Total])</f>
        <v/>
      </c>
      <c r="I75" s="192">
        <f>Group[[#This Row],[end_use_att]]+Group[[#This Row],[supply_value_overall_score]]</f>
        <v/>
      </c>
      <c r="J75" s="192">
        <f>AVERAGEIF(Group[group_name],Group[[#This Row],[group_name]],Group[total_score])</f>
        <v/>
      </c>
      <c r="K75" s="193" t="inlineStr">
        <is>
          <t>A42</t>
        </is>
      </c>
    </row>
    <row r="76">
      <c r="A76" t="inlineStr">
        <is>
          <t>G18</t>
        </is>
      </c>
      <c r="B76" s="1" t="inlineStr">
        <is>
          <t>Epoxy Chain</t>
        </is>
      </c>
      <c r="C76" s="29" t="inlineStr">
        <is>
          <t>Epoxy resin</t>
        </is>
      </c>
      <c r="D76">
        <f>_xlfn.XLOOKUP(Group[[#This Row],[material]],표2[material_name],표2[material_id])</f>
        <v/>
      </c>
      <c r="E76" t="inlineStr">
        <is>
          <t>BPA; ECH</t>
        </is>
      </c>
      <c r="F76" t="inlineStr">
        <is>
          <t>Benzene; Propylene</t>
        </is>
      </c>
      <c r="G76" s="191">
        <f>_xlfn.XLOOKUP(Group[[#This Row],[material_id]],표19[material_id],표19[end_use_att])</f>
        <v/>
      </c>
      <c r="H76" s="108">
        <f>_xlfn.XLOOKUP(Group[[#This Row],[material]],표22[material],표22[Total])</f>
        <v/>
      </c>
      <c r="I76" s="192">
        <f>Group[[#This Row],[end_use_att]]+Group[[#This Row],[supply_value_overall_score]]</f>
        <v/>
      </c>
      <c r="J76" s="192">
        <f>AVERAGEIF(Group[group_name],Group[[#This Row],[group_name]],Group[total_score])</f>
        <v/>
      </c>
      <c r="K76" s="193" t="inlineStr">
        <is>
          <t>A42</t>
        </is>
      </c>
    </row>
    <row r="77">
      <c r="A77" t="inlineStr">
        <is>
          <t>G27</t>
        </is>
      </c>
      <c r="B77" t="inlineStr">
        <is>
          <t>UPR Platform</t>
        </is>
      </c>
      <c r="C77" t="inlineStr">
        <is>
          <t>MA</t>
        </is>
      </c>
      <c r="D77">
        <f>_xlfn.XLOOKUP(Group[[#This Row],[material]],표2[material_name],표2[material_id])</f>
        <v/>
      </c>
      <c r="E77" t="inlineStr">
        <is>
          <t>PG; MA; PA</t>
        </is>
      </c>
      <c r="F77" t="inlineStr">
        <is>
          <t>Propylene; Xylene</t>
        </is>
      </c>
      <c r="G77" s="191">
        <f>_xlfn.XLOOKUP(Group[[#This Row],[material_id]],표19[material_id],표19[end_use_att])</f>
        <v/>
      </c>
      <c r="H77" s="108">
        <f>_xlfn.XLOOKUP(Group[[#This Row],[material]],표22[material],표22[Total])</f>
        <v/>
      </c>
      <c r="I77" s="192">
        <f>Group[[#This Row],[end_use_att]]+Group[[#This Row],[supply_value_overall_score]]</f>
        <v/>
      </c>
      <c r="J77" s="192">
        <f>AVERAGEIF(Group[group_name],Group[[#This Row],[group_name]],Group[total_score])</f>
        <v/>
      </c>
      <c r="K77" s="193" t="inlineStr">
        <is>
          <t>A16</t>
        </is>
      </c>
    </row>
    <row r="78">
      <c r="A78" t="inlineStr">
        <is>
          <t>G27</t>
        </is>
      </c>
      <c r="B78" t="inlineStr">
        <is>
          <t>UPR Platform</t>
        </is>
      </c>
      <c r="C78" t="inlineStr">
        <is>
          <t>PA</t>
        </is>
      </c>
      <c r="D78">
        <f>_xlfn.XLOOKUP(Group[[#This Row],[material]],표2[material_name],표2[material_id])</f>
        <v/>
      </c>
      <c r="E78" t="inlineStr">
        <is>
          <t>PG; MA; PA</t>
        </is>
      </c>
      <c r="F78" t="inlineStr">
        <is>
          <t>Propylene; Xylene</t>
        </is>
      </c>
      <c r="G78" s="191">
        <f>_xlfn.XLOOKUP(Group[[#This Row],[material_id]],표19[material_id],표19[end_use_att])</f>
        <v/>
      </c>
      <c r="H78" s="108">
        <f>_xlfn.XLOOKUP(Group[[#This Row],[material]],표22[material],표22[Total])</f>
        <v/>
      </c>
      <c r="I78" s="192">
        <f>Group[[#This Row],[end_use_att]]+Group[[#This Row],[supply_value_overall_score]]</f>
        <v/>
      </c>
      <c r="J78" s="192">
        <f>AVERAGEIF(Group[group_name],Group[[#This Row],[group_name]],Group[total_score])</f>
        <v/>
      </c>
      <c r="K78" s="193" t="inlineStr">
        <is>
          <t>A16</t>
        </is>
      </c>
    </row>
    <row r="79">
      <c r="A79" t="inlineStr">
        <is>
          <t>G27</t>
        </is>
      </c>
      <c r="B79" t="inlineStr">
        <is>
          <t>UPR Platform</t>
        </is>
      </c>
      <c r="C79" t="inlineStr">
        <is>
          <t>PG</t>
        </is>
      </c>
      <c r="D79">
        <f>_xlfn.XLOOKUP(Group[[#This Row],[material]],표2[material_name],표2[material_id])</f>
        <v/>
      </c>
      <c r="E79" t="inlineStr">
        <is>
          <t>PG; MA; PA</t>
        </is>
      </c>
      <c r="F79" t="inlineStr">
        <is>
          <t>Propylene; Xylene</t>
        </is>
      </c>
      <c r="G79" s="191">
        <f>_xlfn.XLOOKUP(Group[[#This Row],[material_id]],표19[material_id],표19[end_use_att])</f>
        <v/>
      </c>
      <c r="H79" s="108">
        <f>_xlfn.XLOOKUP(Group[[#This Row],[material]],표22[material],표22[Total])</f>
        <v/>
      </c>
      <c r="I79" s="192">
        <f>Group[[#This Row],[end_use_att]]+Group[[#This Row],[supply_value_overall_score]]</f>
        <v/>
      </c>
      <c r="J79" s="192">
        <f>AVERAGEIF(Group[group_name],Group[[#This Row],[group_name]],Group[total_score])</f>
        <v/>
      </c>
      <c r="K79" s="193" t="inlineStr">
        <is>
          <t>A16</t>
        </is>
      </c>
    </row>
    <row r="80">
      <c r="A80" t="inlineStr">
        <is>
          <t>G27</t>
        </is>
      </c>
      <c r="B80" t="inlineStr">
        <is>
          <t>UPR Platform</t>
        </is>
      </c>
      <c r="C80" t="inlineStr">
        <is>
          <t>UPR</t>
        </is>
      </c>
      <c r="D80">
        <f>_xlfn.XLOOKUP(Group[[#This Row],[material]],표2[material_name],표2[material_id])</f>
        <v/>
      </c>
      <c r="E80" t="inlineStr">
        <is>
          <t>PG; MA; PA</t>
        </is>
      </c>
      <c r="F80" t="inlineStr">
        <is>
          <t>Propylene; Xylene</t>
        </is>
      </c>
      <c r="G80" s="191">
        <f>_xlfn.XLOOKUP(Group[[#This Row],[material_id]],표19[material_id],표19[end_use_att])</f>
        <v/>
      </c>
      <c r="H80" s="108">
        <f>_xlfn.XLOOKUP(Group[[#This Row],[material]],표22[material],표22[Total])</f>
        <v/>
      </c>
      <c r="I80" s="192">
        <f>Group[[#This Row],[end_use_att]]+Group[[#This Row],[supply_value_overall_score]]</f>
        <v/>
      </c>
      <c r="J80" s="192">
        <f>AVERAGEIF(Group[group_name],Group[[#This Row],[group_name]],Group[total_score])</f>
        <v/>
      </c>
      <c r="K80" s="193" t="inlineStr">
        <is>
          <t>A16</t>
        </is>
      </c>
    </row>
    <row r="81">
      <c r="A81" t="inlineStr">
        <is>
          <t>G04</t>
        </is>
      </c>
      <c r="B81" s="1" t="inlineStr">
        <is>
          <t>PX-PET Chain</t>
        </is>
      </c>
      <c r="C81" t="inlineStr">
        <is>
          <t>DMT</t>
        </is>
      </c>
      <c r="D81">
        <f>_xlfn.XLOOKUP(Group[[#This Row],[material]],표2[material_name],표2[material_id])</f>
        <v/>
      </c>
      <c r="E81" t="inlineStr">
        <is>
          <t>p-Xylene</t>
        </is>
      </c>
      <c r="F81" t="inlineStr">
        <is>
          <t>Xylene</t>
        </is>
      </c>
      <c r="G81" s="191">
        <f>_xlfn.XLOOKUP(Group[[#This Row],[material_id]],표19[material_id],표19[end_use_att])</f>
        <v/>
      </c>
      <c r="H81" s="108">
        <f>_xlfn.XLOOKUP(Group[[#This Row],[material]],표22[material],표22[Total])</f>
        <v/>
      </c>
      <c r="I81" s="192">
        <f>Group[[#This Row],[end_use_att]]+Group[[#This Row],[supply_value_overall_score]]</f>
        <v/>
      </c>
      <c r="J81" s="192">
        <f>AVERAGEIF(Group[group_name],Group[[#This Row],[group_name]],Group[total_score])</f>
        <v/>
      </c>
      <c r="K81" s="193" t="inlineStr">
        <is>
          <t>A04</t>
        </is>
      </c>
    </row>
    <row r="82">
      <c r="A82" t="inlineStr">
        <is>
          <t>G04</t>
        </is>
      </c>
      <c r="B82" s="1" t="inlineStr">
        <is>
          <t>PX-PET Chain</t>
        </is>
      </c>
      <c r="C82" t="inlineStr">
        <is>
          <t>PET</t>
        </is>
      </c>
      <c r="D82">
        <f>_xlfn.XLOOKUP(Group[[#This Row],[material]],표2[material_name],표2[material_id])</f>
        <v/>
      </c>
      <c r="E82" t="inlineStr">
        <is>
          <t>p-Xylene</t>
        </is>
      </c>
      <c r="F82" t="inlineStr">
        <is>
          <t>Xylene</t>
        </is>
      </c>
      <c r="G82" s="191">
        <f>_xlfn.XLOOKUP(Group[[#This Row],[material_id]],표19[material_id],표19[end_use_att])</f>
        <v/>
      </c>
      <c r="H82" s="108">
        <f>_xlfn.XLOOKUP(Group[[#This Row],[material]],표22[material],표22[Total])</f>
        <v/>
      </c>
      <c r="I82" s="192">
        <f>Group[[#This Row],[end_use_att]]+Group[[#This Row],[supply_value_overall_score]]</f>
        <v/>
      </c>
      <c r="J82" s="192">
        <f>AVERAGEIF(Group[group_name],Group[[#This Row],[group_name]],Group[total_score])</f>
        <v/>
      </c>
      <c r="K82" s="193" t="inlineStr">
        <is>
          <t>A04</t>
        </is>
      </c>
    </row>
    <row r="83">
      <c r="A83" t="inlineStr">
        <is>
          <t>G04</t>
        </is>
      </c>
      <c r="B83" s="1" t="inlineStr">
        <is>
          <t>PX-PET Chain</t>
        </is>
      </c>
      <c r="C83" t="inlineStr">
        <is>
          <t>p-Xylene</t>
        </is>
      </c>
      <c r="D83">
        <f>_xlfn.XLOOKUP(Group[[#This Row],[material]],표2[material_name],표2[material_id])</f>
        <v/>
      </c>
      <c r="E83" t="inlineStr">
        <is>
          <t>p-Xylene</t>
        </is>
      </c>
      <c r="F83" t="inlineStr">
        <is>
          <t>Xylene</t>
        </is>
      </c>
      <c r="G83" s="191">
        <f>_xlfn.XLOOKUP(Group[[#This Row],[material_id]],표19[material_id],표19[end_use_att])</f>
        <v/>
      </c>
      <c r="H83" s="108">
        <f>_xlfn.XLOOKUP(Group[[#This Row],[material]],표22[material],표22[Total])</f>
        <v/>
      </c>
      <c r="I83" s="192">
        <f>Group[[#This Row],[end_use_att]]+Group[[#This Row],[supply_value_overall_score]]</f>
        <v/>
      </c>
      <c r="J83" s="192">
        <f>AVERAGEIF(Group[group_name],Group[[#This Row],[group_name]],Group[total_score])</f>
        <v/>
      </c>
      <c r="K83" s="193" t="inlineStr">
        <is>
          <t>A04</t>
        </is>
      </c>
    </row>
    <row r="84">
      <c r="A84" t="inlineStr">
        <is>
          <t>G04</t>
        </is>
      </c>
      <c r="B84" s="1" t="inlineStr">
        <is>
          <t>PX-PET Chain</t>
        </is>
      </c>
      <c r="C84" t="inlineStr">
        <is>
          <t>TPA</t>
        </is>
      </c>
      <c r="D84">
        <f>_xlfn.XLOOKUP(Group[[#This Row],[material]],표2[material_name],표2[material_id])</f>
        <v/>
      </c>
      <c r="E84" t="inlineStr">
        <is>
          <t>p-Xylene</t>
        </is>
      </c>
      <c r="F84" t="inlineStr">
        <is>
          <t>Xylene</t>
        </is>
      </c>
      <c r="G84" s="191">
        <f>_xlfn.XLOOKUP(Group[[#This Row],[material_id]],표19[material_id],표19[end_use_att])</f>
        <v/>
      </c>
      <c r="H84" s="108">
        <f>_xlfn.XLOOKUP(Group[[#This Row],[material]],표22[material],표22[Total])</f>
        <v/>
      </c>
      <c r="I84" s="192">
        <f>Group[[#This Row],[end_use_att]]+Group[[#This Row],[supply_value_overall_score]]</f>
        <v/>
      </c>
      <c r="J84" s="192">
        <f>AVERAGEIF(Group[group_name],Group[[#This Row],[group_name]],Group[total_score])</f>
        <v/>
      </c>
      <c r="K84" s="193" t="inlineStr">
        <is>
          <t>A04</t>
        </is>
      </c>
    </row>
    <row r="85">
      <c r="A85" t="inlineStr">
        <is>
          <t>G34</t>
        </is>
      </c>
      <c r="B85" s="1" t="inlineStr">
        <is>
          <t>OX-PA Chain</t>
        </is>
      </c>
      <c r="C85" t="inlineStr">
        <is>
          <t>o-Xylene</t>
        </is>
      </c>
      <c r="D85">
        <f>_xlfn.XLOOKUP(Group[[#This Row],[material]],표2[material_name],표2[material_id])</f>
        <v/>
      </c>
      <c r="E85" t="inlineStr">
        <is>
          <t>o-Xylene</t>
        </is>
      </c>
      <c r="F85" t="inlineStr">
        <is>
          <t>Xylene</t>
        </is>
      </c>
      <c r="G85" s="191">
        <f>_xlfn.XLOOKUP(Group[[#This Row],[material_id]],표19[material_id],표19[end_use_att])</f>
        <v/>
      </c>
      <c r="H85" s="108">
        <f>_xlfn.XLOOKUP(Group[[#This Row],[material]],표22[material],표22[Total])</f>
        <v/>
      </c>
      <c r="I85" s="192">
        <f>Group[[#This Row],[end_use_att]]+Group[[#This Row],[supply_value_overall_score]]</f>
        <v/>
      </c>
      <c r="J85" s="192">
        <f>AVERAGEIF(Group[group_name],Group[[#This Row],[group_name]],Group[total_score])</f>
        <v/>
      </c>
      <c r="K85" s="193" t="inlineStr">
        <is>
          <t>A29</t>
        </is>
      </c>
    </row>
    <row r="86">
      <c r="A86" t="inlineStr">
        <is>
          <t>G34</t>
        </is>
      </c>
      <c r="B86" s="1" t="inlineStr">
        <is>
          <t>OX-PA Chain</t>
        </is>
      </c>
      <c r="C86" t="inlineStr">
        <is>
          <t>PA</t>
        </is>
      </c>
      <c r="D86">
        <f>_xlfn.XLOOKUP(Group[[#This Row],[material]],표2[material_name],표2[material_id])</f>
        <v/>
      </c>
      <c r="E86" t="inlineStr">
        <is>
          <t>o-Xylene</t>
        </is>
      </c>
      <c r="F86" t="inlineStr">
        <is>
          <t>Xylene</t>
        </is>
      </c>
      <c r="G86" s="191">
        <f>_xlfn.XLOOKUP(Group[[#This Row],[material_id]],표19[material_id],표19[end_use_att])</f>
        <v/>
      </c>
      <c r="H86" s="108">
        <f>_xlfn.XLOOKUP(Group[[#This Row],[material]],표22[material],표22[Total])</f>
        <v/>
      </c>
      <c r="I86" s="192">
        <f>Group[[#This Row],[end_use_att]]+Group[[#This Row],[supply_value_overall_score]]</f>
        <v/>
      </c>
      <c r="J86" s="192">
        <f>AVERAGEIF(Group[group_name],Group[[#This Row],[group_name]],Group[total_score])</f>
        <v/>
      </c>
      <c r="K86" s="193" t="inlineStr">
        <is>
          <t>A29</t>
        </is>
      </c>
    </row>
    <row r="87">
      <c r="A87" t="inlineStr">
        <is>
          <t>G35</t>
        </is>
      </c>
      <c r="B87" s="1" t="inlineStr">
        <is>
          <t>Phenol/Acetone Chain</t>
        </is>
      </c>
      <c r="C87" t="inlineStr">
        <is>
          <t>Acetone</t>
        </is>
      </c>
      <c r="D87">
        <f>_xlfn.XLOOKUP(Group[[#This Row],[material]],표2[material_name],표2[material_id])</f>
        <v/>
      </c>
      <c r="E87" t="inlineStr">
        <is>
          <t>Cumene</t>
        </is>
      </c>
      <c r="F87" t="inlineStr">
        <is>
          <t>Benzene</t>
        </is>
      </c>
      <c r="G87" s="191">
        <f>_xlfn.XLOOKUP(Group[[#This Row],[material_id]],표19[material_id],표19[end_use_att])</f>
        <v/>
      </c>
      <c r="H87" s="108">
        <f>_xlfn.XLOOKUP(Group[[#This Row],[material]],표22[material],표22[Total])</f>
        <v/>
      </c>
      <c r="I87" s="192">
        <f>Group[[#This Row],[end_use_att]]+Group[[#This Row],[supply_value_overall_score]]</f>
        <v/>
      </c>
      <c r="J87" s="192">
        <f>AVERAGEIF(Group[group_name],Group[[#This Row],[group_name]],Group[total_score])</f>
        <v/>
      </c>
      <c r="K87" s="193" t="inlineStr">
        <is>
          <t>A42</t>
        </is>
      </c>
    </row>
    <row r="88">
      <c r="A88" t="inlineStr">
        <is>
          <t>G35</t>
        </is>
      </c>
      <c r="B88" s="1" t="inlineStr">
        <is>
          <t>Phenol/Acetone Chain</t>
        </is>
      </c>
      <c r="C88" t="inlineStr">
        <is>
          <t>Cumene</t>
        </is>
      </c>
      <c r="D88">
        <f>_xlfn.XLOOKUP(Group[[#This Row],[material]],표2[material_name],표2[material_id])</f>
        <v/>
      </c>
      <c r="E88" t="inlineStr">
        <is>
          <t>Cumene</t>
        </is>
      </c>
      <c r="F88" t="inlineStr">
        <is>
          <t>Benzene</t>
        </is>
      </c>
      <c r="G88" s="191">
        <f>_xlfn.XLOOKUP(Group[[#This Row],[material_id]],표19[material_id],표19[end_use_att])</f>
        <v/>
      </c>
      <c r="H88" s="108">
        <f>_xlfn.XLOOKUP(Group[[#This Row],[material]],표22[material],표22[Total])</f>
        <v/>
      </c>
      <c r="I88" s="192">
        <f>Group[[#This Row],[end_use_att]]+Group[[#This Row],[supply_value_overall_score]]</f>
        <v/>
      </c>
      <c r="J88" s="192">
        <f>AVERAGEIF(Group[group_name],Group[[#This Row],[group_name]],Group[total_score])</f>
        <v/>
      </c>
      <c r="K88" s="193" t="inlineStr">
        <is>
          <t>A42</t>
        </is>
      </c>
    </row>
    <row r="89">
      <c r="A89" t="inlineStr">
        <is>
          <t>G35</t>
        </is>
      </c>
      <c r="B89" s="1" t="inlineStr">
        <is>
          <t>Phenol/Acetone Chain</t>
        </is>
      </c>
      <c r="C89" t="inlineStr">
        <is>
          <t>Phenol</t>
        </is>
      </c>
      <c r="D89">
        <f>_xlfn.XLOOKUP(Group[[#This Row],[material]],표2[material_name],표2[material_id])</f>
        <v/>
      </c>
      <c r="E89" t="inlineStr">
        <is>
          <t>Cumene</t>
        </is>
      </c>
      <c r="F89" t="inlineStr">
        <is>
          <t>Benzene</t>
        </is>
      </c>
      <c r="G89" s="191">
        <f>_xlfn.XLOOKUP(Group[[#This Row],[material_id]],표19[material_id],표19[end_use_att])</f>
        <v/>
      </c>
      <c r="H89" s="108">
        <f>_xlfn.XLOOKUP(Group[[#This Row],[material]],표22[material],표22[Total])</f>
        <v/>
      </c>
      <c r="I89" s="192">
        <f>Group[[#This Row],[end_use_att]]+Group[[#This Row],[supply_value_overall_score]]</f>
        <v/>
      </c>
      <c r="J89" s="192">
        <f>AVERAGEIF(Group[group_name],Group[[#This Row],[group_name]],Group[total_score])</f>
        <v/>
      </c>
      <c r="K89" s="193" t="inlineStr">
        <is>
          <t>A42</t>
        </is>
      </c>
    </row>
    <row r="90">
      <c r="A90" t="inlineStr">
        <is>
          <t>G06</t>
        </is>
      </c>
      <c r="B90" s="1" t="inlineStr">
        <is>
          <t>Ethanol Chain</t>
        </is>
      </c>
      <c r="C90" t="inlineStr">
        <is>
          <t>Ethanol</t>
        </is>
      </c>
      <c r="D90">
        <f>_xlfn.XLOOKUP(Group[[#This Row],[material]],표2[material_name],표2[material_id])</f>
        <v/>
      </c>
      <c r="E90" t="inlineStr">
        <is>
          <t>Ethanol</t>
        </is>
      </c>
      <c r="F90" t="inlineStr">
        <is>
          <t>Ethylene</t>
        </is>
      </c>
      <c r="G90" s="191">
        <f>_xlfn.XLOOKUP(Group[[#This Row],[material_id]],표19[material_id],표19[end_use_att])</f>
        <v/>
      </c>
      <c r="H90" s="108">
        <f>_xlfn.XLOOKUP(Group[[#This Row],[material]],표22[material],표22[Total])</f>
        <v/>
      </c>
      <c r="I90" s="192">
        <f>Group[[#This Row],[end_use_att]]+Group[[#This Row],[supply_value_overall_score]]</f>
        <v/>
      </c>
      <c r="J90" s="192">
        <f>AVERAGEIF(Group[group_name],Group[[#This Row],[group_name]],Group[total_score])</f>
        <v/>
      </c>
      <c r="K90" s="193" t="inlineStr">
        <is>
          <t>A24</t>
        </is>
      </c>
    </row>
    <row r="91">
      <c r="A91" t="inlineStr">
        <is>
          <t>G06</t>
        </is>
      </c>
      <c r="B91" s="1" t="inlineStr">
        <is>
          <t>Ethanol Chain</t>
        </is>
      </c>
      <c r="C91" t="inlineStr">
        <is>
          <t>Ethyl acetate</t>
        </is>
      </c>
      <c r="D91">
        <f>_xlfn.XLOOKUP(Group[[#This Row],[material]],표2[material_name],표2[material_id])</f>
        <v/>
      </c>
      <c r="E91" t="inlineStr">
        <is>
          <t>Ethanol</t>
        </is>
      </c>
      <c r="F91" t="inlineStr">
        <is>
          <t>Ethylene</t>
        </is>
      </c>
      <c r="G91" s="191">
        <f>_xlfn.XLOOKUP(Group[[#This Row],[material_id]],표19[material_id],표19[end_use_att])</f>
        <v/>
      </c>
      <c r="H91" s="108">
        <f>_xlfn.XLOOKUP(Group[[#This Row],[material]],표22[material],표22[Total])</f>
        <v/>
      </c>
      <c r="I91" s="192">
        <f>Group[[#This Row],[end_use_att]]+Group[[#This Row],[supply_value_overall_score]]</f>
        <v/>
      </c>
      <c r="J91" s="192">
        <f>AVERAGEIF(Group[group_name],Group[[#This Row],[group_name]],Group[total_score])</f>
        <v/>
      </c>
      <c r="K91" s="193" t="inlineStr">
        <is>
          <t>A24</t>
        </is>
      </c>
    </row>
    <row r="92">
      <c r="A92" t="inlineStr">
        <is>
          <t>G02</t>
        </is>
      </c>
      <c r="B92" s="1" t="inlineStr">
        <is>
          <t>PVC Chain</t>
        </is>
      </c>
      <c r="C92" t="inlineStr">
        <is>
          <t>EDC</t>
        </is>
      </c>
      <c r="D92">
        <f>_xlfn.XLOOKUP(Group[[#This Row],[material]],표2[material_name],표2[material_id])</f>
        <v/>
      </c>
      <c r="E92" t="inlineStr">
        <is>
          <t>EDC</t>
        </is>
      </c>
      <c r="F92" t="inlineStr">
        <is>
          <t>Ethylene</t>
        </is>
      </c>
      <c r="G92" s="191">
        <f>_xlfn.XLOOKUP(Group[[#This Row],[material_id]],표19[material_id],표19[end_use_att])</f>
        <v/>
      </c>
      <c r="H92" s="108">
        <f>_xlfn.XLOOKUP(Group[[#This Row],[material]],표22[material],표22[Total])</f>
        <v/>
      </c>
      <c r="I92" s="192">
        <f>Group[[#This Row],[end_use_att]]+Group[[#This Row],[supply_value_overall_score]]</f>
        <v/>
      </c>
      <c r="J92" s="192">
        <f>AVERAGEIF(Group[group_name],Group[[#This Row],[group_name]],Group[total_score])</f>
        <v/>
      </c>
      <c r="K92" s="193" t="inlineStr">
        <is>
          <t>A09</t>
        </is>
      </c>
    </row>
    <row r="93">
      <c r="A93" t="inlineStr">
        <is>
          <t>G02</t>
        </is>
      </c>
      <c r="B93" s="1" t="inlineStr">
        <is>
          <t>PVC Chain</t>
        </is>
      </c>
      <c r="C93" t="inlineStr">
        <is>
          <t>PVC</t>
        </is>
      </c>
      <c r="D93">
        <f>_xlfn.XLOOKUP(Group[[#This Row],[material]],표2[material_name],표2[material_id])</f>
        <v/>
      </c>
      <c r="E93" t="inlineStr">
        <is>
          <t>EDC</t>
        </is>
      </c>
      <c r="F93" t="inlineStr">
        <is>
          <t>Ethylene</t>
        </is>
      </c>
      <c r="G93" s="191">
        <f>_xlfn.XLOOKUP(Group[[#This Row],[material_id]],표19[material_id],표19[end_use_att])</f>
        <v/>
      </c>
      <c r="H93" s="108">
        <f>_xlfn.XLOOKUP(Group[[#This Row],[material]],표22[material],표22[Total])</f>
        <v/>
      </c>
      <c r="I93" s="192">
        <f>Group[[#This Row],[end_use_att]]+Group[[#This Row],[supply_value_overall_score]]</f>
        <v/>
      </c>
      <c r="J93" s="192">
        <f>AVERAGEIF(Group[group_name],Group[[#This Row],[group_name]],Group[total_score])</f>
        <v/>
      </c>
      <c r="K93" s="193" t="inlineStr">
        <is>
          <t>A09</t>
        </is>
      </c>
    </row>
    <row r="94">
      <c r="A94" t="inlineStr">
        <is>
          <t>G02</t>
        </is>
      </c>
      <c r="B94" s="1" t="inlineStr">
        <is>
          <t>PVC Chain</t>
        </is>
      </c>
      <c r="C94" t="inlineStr">
        <is>
          <t>VCM</t>
        </is>
      </c>
      <c r="D94">
        <f>_xlfn.XLOOKUP(Group[[#This Row],[material]],표2[material_name],표2[material_id])</f>
        <v/>
      </c>
      <c r="E94" t="inlineStr">
        <is>
          <t>EDC</t>
        </is>
      </c>
      <c r="F94" t="inlineStr">
        <is>
          <t>Ethylene</t>
        </is>
      </c>
      <c r="G94" s="191">
        <f>_xlfn.XLOOKUP(Group[[#This Row],[material_id]],표19[material_id],표19[end_use_att])</f>
        <v/>
      </c>
      <c r="H94" s="108">
        <f>_xlfn.XLOOKUP(Group[[#This Row],[material]],표22[material],표22[Total])</f>
        <v/>
      </c>
      <c r="I94" s="192">
        <f>Group[[#This Row],[end_use_att]]+Group[[#This Row],[supply_value_overall_score]]</f>
        <v/>
      </c>
      <c r="J94" s="192">
        <f>AVERAGEIF(Group[group_name],Group[[#This Row],[group_name]],Group[total_score])</f>
        <v/>
      </c>
      <c r="K94" s="193" t="inlineStr">
        <is>
          <t>A09</t>
        </is>
      </c>
    </row>
    <row r="95">
      <c r="A95" t="inlineStr">
        <is>
          <t>G16</t>
        </is>
      </c>
      <c r="B95" s="1" t="inlineStr">
        <is>
          <t>Oxo Alcohol Chain</t>
        </is>
      </c>
      <c r="C95" s="29" t="inlineStr">
        <is>
          <t>2-ethylhexanol</t>
        </is>
      </c>
      <c r="D95">
        <f>_xlfn.XLOOKUP(Group[[#This Row],[material]],표2[material_name],표2[material_id])</f>
        <v/>
      </c>
      <c r="E95" s="29" t="inlineStr">
        <is>
          <t>n-Butyraldehyde</t>
        </is>
      </c>
      <c r="F95" t="inlineStr">
        <is>
          <t>Propylene</t>
        </is>
      </c>
      <c r="G95" s="191">
        <f>_xlfn.XLOOKUP(Group[[#This Row],[material_id]],표19[material_id],표19[end_use_att])</f>
        <v/>
      </c>
      <c r="H95" s="108">
        <f>_xlfn.XLOOKUP(Group[[#This Row],[material]],표22[material],표22[Total])</f>
        <v/>
      </c>
      <c r="I95" s="192">
        <f>Group[[#This Row],[end_use_att]]+Group[[#This Row],[supply_value_overall_score]]</f>
        <v/>
      </c>
      <c r="J95" s="192">
        <f>AVERAGEIF(Group[group_name],Group[[#This Row],[group_name]],Group[total_score])</f>
        <v/>
      </c>
      <c r="K95" s="193" t="inlineStr">
        <is>
          <t>A24</t>
        </is>
      </c>
    </row>
    <row r="96">
      <c r="A96" t="inlineStr">
        <is>
          <t>G16</t>
        </is>
      </c>
      <c r="B96" s="1" t="inlineStr">
        <is>
          <t>Oxo Alcohol Chain</t>
        </is>
      </c>
      <c r="C96" s="29" t="inlineStr">
        <is>
          <t>i-butyraldehyde</t>
        </is>
      </c>
      <c r="D96">
        <f>_xlfn.XLOOKUP(Group[[#This Row],[material]],표2[material_name],표2[material_id])</f>
        <v/>
      </c>
      <c r="E96" s="29" t="inlineStr">
        <is>
          <t>i-butyraldehyde</t>
        </is>
      </c>
      <c r="F96" t="inlineStr">
        <is>
          <t>Propylene</t>
        </is>
      </c>
      <c r="G96" s="191">
        <f>_xlfn.XLOOKUP(Group[[#This Row],[material_id]],표19[material_id],표19[end_use_att])</f>
        <v/>
      </c>
      <c r="H96" s="108">
        <f>_xlfn.XLOOKUP(Group[[#This Row],[material]],표22[material],표22[Total])</f>
        <v/>
      </c>
      <c r="I96" s="192">
        <f>Group[[#This Row],[end_use_att]]+Group[[#This Row],[supply_value_overall_score]]</f>
        <v/>
      </c>
      <c r="J96" s="192">
        <f>AVERAGEIF(Group[group_name],Group[[#This Row],[group_name]],Group[total_score])</f>
        <v/>
      </c>
      <c r="K96" s="193" t="inlineStr">
        <is>
          <t>A24</t>
        </is>
      </c>
    </row>
    <row r="97">
      <c r="A97" t="inlineStr">
        <is>
          <t>G16</t>
        </is>
      </c>
      <c r="B97" s="1" t="inlineStr">
        <is>
          <t>Oxo Alcohol Chain</t>
        </is>
      </c>
      <c r="C97" s="29" t="inlineStr">
        <is>
          <t>isobutanol</t>
        </is>
      </c>
      <c r="D97">
        <f>_xlfn.XLOOKUP(Group[[#This Row],[material]],표2[material_name],표2[material_id])</f>
        <v/>
      </c>
      <c r="E97" s="29" t="inlineStr">
        <is>
          <t>i-butyraldehyde</t>
        </is>
      </c>
      <c r="F97" t="inlineStr">
        <is>
          <t>Propylene</t>
        </is>
      </c>
      <c r="G97" s="191">
        <f>_xlfn.XLOOKUP(Group[[#This Row],[material_id]],표19[material_id],표19[end_use_att])</f>
        <v/>
      </c>
      <c r="H97" s="108">
        <f>_xlfn.XLOOKUP(Group[[#This Row],[material]],표22[material],표22[Total])</f>
        <v/>
      </c>
      <c r="I97" s="192">
        <f>Group[[#This Row],[end_use_att]]+Group[[#This Row],[supply_value_overall_score]]</f>
        <v/>
      </c>
      <c r="J97" s="192">
        <f>AVERAGEIF(Group[group_name],Group[[#This Row],[group_name]],Group[total_score])</f>
        <v/>
      </c>
      <c r="K97" s="193" t="inlineStr">
        <is>
          <t>A24</t>
        </is>
      </c>
    </row>
    <row r="98">
      <c r="A98" t="inlineStr">
        <is>
          <t>G16</t>
        </is>
      </c>
      <c r="B98" s="1" t="inlineStr">
        <is>
          <t>Oxo Alcohol Chain</t>
        </is>
      </c>
      <c r="C98" s="29" t="inlineStr">
        <is>
          <t>isobutyl acetate</t>
        </is>
      </c>
      <c r="D98">
        <f>_xlfn.XLOOKUP(Group[[#This Row],[material]],표2[material_name],표2[material_id])</f>
        <v/>
      </c>
      <c r="E98" s="29" t="inlineStr">
        <is>
          <t>i-butyraldehyde</t>
        </is>
      </c>
      <c r="F98" t="inlineStr">
        <is>
          <t>Propylene</t>
        </is>
      </c>
      <c r="G98" s="191">
        <f>_xlfn.XLOOKUP(Group[[#This Row],[material_id]],표19[material_id],표19[end_use_att])</f>
        <v/>
      </c>
      <c r="H98" s="108">
        <f>_xlfn.XLOOKUP(Group[[#This Row],[material]],표22[material],표22[Total])</f>
        <v/>
      </c>
      <c r="I98" s="192">
        <f>Group[[#This Row],[end_use_att]]+Group[[#This Row],[supply_value_overall_score]]</f>
        <v/>
      </c>
      <c r="J98" s="192">
        <f>AVERAGEIF(Group[group_name],Group[[#This Row],[group_name]],Group[total_score])</f>
        <v/>
      </c>
      <c r="K98" s="193" t="inlineStr">
        <is>
          <t>A24</t>
        </is>
      </c>
    </row>
    <row r="99">
      <c r="A99" t="inlineStr">
        <is>
          <t>G16</t>
        </is>
      </c>
      <c r="B99" s="1" t="inlineStr">
        <is>
          <t>Oxo Alcohol Chain</t>
        </is>
      </c>
      <c r="C99" s="29" t="inlineStr">
        <is>
          <t>n-butanol</t>
        </is>
      </c>
      <c r="D99">
        <f>_xlfn.XLOOKUP(Group[[#This Row],[material]],표2[material_name],표2[material_id])</f>
        <v/>
      </c>
      <c r="E99" s="29" t="inlineStr">
        <is>
          <t>n-Butyraldehyde</t>
        </is>
      </c>
      <c r="F99" t="inlineStr">
        <is>
          <t>Propylene</t>
        </is>
      </c>
      <c r="G99" s="191">
        <f>_xlfn.XLOOKUP(Group[[#This Row],[material_id]],표19[material_id],표19[end_use_att])</f>
        <v/>
      </c>
      <c r="H99" s="108">
        <f>_xlfn.XLOOKUP(Group[[#This Row],[material]],표22[material],표22[Total])</f>
        <v/>
      </c>
      <c r="I99" s="192">
        <f>Group[[#This Row],[end_use_att]]+Group[[#This Row],[supply_value_overall_score]]</f>
        <v/>
      </c>
      <c r="J99" s="192">
        <f>AVERAGEIF(Group[group_name],Group[[#This Row],[group_name]],Group[total_score])</f>
        <v/>
      </c>
      <c r="K99" s="193" t="inlineStr">
        <is>
          <t>A24</t>
        </is>
      </c>
    </row>
    <row r="100">
      <c r="A100" t="inlineStr">
        <is>
          <t>G16</t>
        </is>
      </c>
      <c r="B100" s="1" t="inlineStr">
        <is>
          <t>Oxo Alcohol Chain</t>
        </is>
      </c>
      <c r="C100" s="29" t="inlineStr">
        <is>
          <t>n-butyl acetate</t>
        </is>
      </c>
      <c r="D100">
        <f>_xlfn.XLOOKUP(Group[[#This Row],[material]],표2[material_name],표2[material_id])</f>
        <v/>
      </c>
      <c r="E100" s="29" t="inlineStr">
        <is>
          <t>n-Butyraldehyde</t>
        </is>
      </c>
      <c r="F100" t="inlineStr">
        <is>
          <t>Propylene</t>
        </is>
      </c>
      <c r="G100" s="191">
        <f>_xlfn.XLOOKUP(Group[[#This Row],[material_id]],표19[material_id],표19[end_use_att])</f>
        <v/>
      </c>
      <c r="H100" s="108">
        <f>_xlfn.XLOOKUP(Group[[#This Row],[material]],표22[material],표22[Total])</f>
        <v/>
      </c>
      <c r="I100" s="192">
        <f>Group[[#This Row],[end_use_att]]+Group[[#This Row],[supply_value_overall_score]]</f>
        <v/>
      </c>
      <c r="J100" s="192">
        <f>AVERAGEIF(Group[group_name],Group[[#This Row],[group_name]],Group[total_score])</f>
        <v/>
      </c>
      <c r="K100" s="193" t="inlineStr">
        <is>
          <t>A24</t>
        </is>
      </c>
    </row>
    <row r="101">
      <c r="A101" t="inlineStr">
        <is>
          <t>G16</t>
        </is>
      </c>
      <c r="B101" s="1" t="inlineStr">
        <is>
          <t>Oxo Alcohol Chain</t>
        </is>
      </c>
      <c r="C101" s="29" t="inlineStr">
        <is>
          <t>n-Butyraldehyde</t>
        </is>
      </c>
      <c r="D101">
        <f>_xlfn.XLOOKUP(Group[[#This Row],[material]],표2[material_name],표2[material_id])</f>
        <v/>
      </c>
      <c r="E101" s="29" t="inlineStr">
        <is>
          <t>n-Butyraldehyde</t>
        </is>
      </c>
      <c r="F101" t="inlineStr">
        <is>
          <t>Propylene</t>
        </is>
      </c>
      <c r="G101" s="191">
        <f>_xlfn.XLOOKUP(Group[[#This Row],[material_id]],표19[material_id],표19[end_use_att])</f>
        <v/>
      </c>
      <c r="H101" s="108">
        <f>_xlfn.XLOOKUP(Group[[#This Row],[material]],표22[material],표22[Total])</f>
        <v/>
      </c>
      <c r="I101" s="192">
        <f>Group[[#This Row],[end_use_att]]+Group[[#This Row],[supply_value_overall_score]]</f>
        <v/>
      </c>
      <c r="J101" s="192">
        <f>AVERAGEIF(Group[group_name],Group[[#This Row],[group_name]],Group[total_score])</f>
        <v/>
      </c>
      <c r="K101" s="193" t="inlineStr">
        <is>
          <t>A24</t>
        </is>
      </c>
    </row>
    <row r="102">
      <c r="A102" t="inlineStr">
        <is>
          <t>G36</t>
        </is>
      </c>
      <c r="B102" t="inlineStr">
        <is>
          <t>Methanol Platform</t>
        </is>
      </c>
      <c r="C102" t="inlineStr">
        <is>
          <t>Methanol</t>
        </is>
      </c>
      <c r="D102">
        <f>_xlfn.XLOOKUP(Group[[#This Row],[material]],표2[material_name],표2[material_id])</f>
        <v/>
      </c>
      <c r="E102" t="inlineStr">
        <is>
          <t>Methanol</t>
        </is>
      </c>
      <c r="F102" t="inlineStr">
        <is>
          <t>Methanol</t>
        </is>
      </c>
      <c r="G102" s="191">
        <f>_xlfn.XLOOKUP(Group[[#This Row],[material_id]],표19[material_id],표19[end_use_att])</f>
        <v/>
      </c>
      <c r="H102" s="108">
        <f>_xlfn.XLOOKUP(Group[[#This Row],[material]],표22[material],표22[Total])</f>
        <v/>
      </c>
      <c r="I102" s="192">
        <f>Group[[#This Row],[end_use_att]]+Group[[#This Row],[supply_value_overall_score]]</f>
        <v/>
      </c>
      <c r="J102" s="192">
        <f>AVERAGEIF(Group[group_name],Group[[#This Row],[group_name]],Group[total_score])</f>
        <v/>
      </c>
      <c r="K102" s="193" t="inlineStr">
        <is>
          <t>A01</t>
        </is>
      </c>
    </row>
    <row r="103">
      <c r="A103" t="inlineStr">
        <is>
          <t>G36</t>
        </is>
      </c>
      <c r="B103" t="inlineStr">
        <is>
          <t>Methanol Platform</t>
        </is>
      </c>
      <c r="C103" t="inlineStr">
        <is>
          <t>Acetic Acid</t>
        </is>
      </c>
      <c r="D103">
        <f>_xlfn.XLOOKUP(Group[[#This Row],[material]],표2[material_name],표2[material_id])</f>
        <v/>
      </c>
      <c r="E103" t="inlineStr">
        <is>
          <t>Methanol</t>
        </is>
      </c>
      <c r="F103" t="inlineStr">
        <is>
          <t>Methanol</t>
        </is>
      </c>
      <c r="G103" s="191">
        <f>_xlfn.XLOOKUP(Group[[#This Row],[material_id]],표19[material_id],표19[end_use_att])</f>
        <v/>
      </c>
      <c r="H103" s="108">
        <f>_xlfn.XLOOKUP(Group[[#This Row],[material]],표22[material],표22[Total])</f>
        <v/>
      </c>
      <c r="I103" s="192">
        <f>Group[[#This Row],[end_use_att]]+Group[[#This Row],[supply_value_overall_score]]</f>
        <v/>
      </c>
      <c r="J103" s="192">
        <f>AVERAGEIF(Group[group_name],Group[[#This Row],[group_name]],Group[total_score])</f>
        <v/>
      </c>
      <c r="K103" s="193" t="inlineStr">
        <is>
          <t>A01</t>
        </is>
      </c>
    </row>
    <row r="104">
      <c r="A104" t="inlineStr">
        <is>
          <t>G36</t>
        </is>
      </c>
      <c r="B104" t="inlineStr">
        <is>
          <t>Methanol Platform</t>
        </is>
      </c>
      <c r="C104" t="inlineStr">
        <is>
          <t>Formaldehyde</t>
        </is>
      </c>
      <c r="D104">
        <f>_xlfn.XLOOKUP(Group[[#This Row],[material]],표2[material_name],표2[material_id])</f>
        <v/>
      </c>
      <c r="E104" t="inlineStr">
        <is>
          <t>Methanol</t>
        </is>
      </c>
      <c r="F104" t="inlineStr">
        <is>
          <t>Methanol</t>
        </is>
      </c>
      <c r="G104" s="191">
        <f>_xlfn.XLOOKUP(Group[[#This Row],[material_id]],표19[material_id],표19[end_use_att])</f>
        <v/>
      </c>
      <c r="H104" s="108">
        <f>_xlfn.XLOOKUP(Group[[#This Row],[material]],표22[material],표22[Total])</f>
        <v/>
      </c>
      <c r="I104" s="192">
        <f>Group[[#This Row],[end_use_att]]+Group[[#This Row],[supply_value_overall_score]]</f>
        <v/>
      </c>
      <c r="J104" s="192">
        <f>AVERAGEIF(Group[group_name],Group[[#This Row],[group_name]],Group[total_score])</f>
        <v/>
      </c>
      <c r="K104" s="193" t="inlineStr">
        <is>
          <t>A01</t>
        </is>
      </c>
    </row>
  </sheetData>
  <conditionalFormatting sqref="G2:G104">
    <cfRule type="top10" rank="20" priority="17" dxfId="10" percent="1"/>
  </conditionalFormatting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codeName="Sheet1">
    <tabColor theme="9" tint="0.7999816888943144"/>
    <outlinePr summaryBelow="1" summaryRight="1"/>
    <pageSetUpPr/>
  </sheetPr>
  <dimension ref="A1:M292"/>
  <sheetViews>
    <sheetView topLeftCell="F149" zoomScaleNormal="100" workbookViewId="0">
      <selection activeCell="J175" sqref="J175"/>
    </sheetView>
  </sheetViews>
  <sheetFormatPr baseColWidth="8" defaultRowHeight="16.5"/>
  <cols>
    <col width="4.375" customWidth="1" style="30" min="1" max="1"/>
    <col width="24" bestFit="1" customWidth="1" style="30" min="2" max="2"/>
    <col width="32.125" customWidth="1" style="30" min="3" max="3"/>
    <col width="36.125" customWidth="1" style="30" min="4" max="7"/>
    <col hidden="1" width="15.25" customWidth="1" style="63" min="8" max="8"/>
    <col width="36.125" customWidth="1" style="30" min="9" max="9"/>
    <col width="44.125" customWidth="1" style="30" min="10" max="10"/>
    <col hidden="1" width="31.75" customWidth="1" style="30" min="11" max="12"/>
    <col width="52.625" bestFit="1" customWidth="1" style="30" min="13" max="13"/>
    <col width="9" customWidth="1" style="30" min="14" max="16384"/>
  </cols>
  <sheetData>
    <row r="1">
      <c r="A1" s="67" t="inlineStr">
        <is>
          <t>No</t>
        </is>
      </c>
      <c r="B1" s="68" t="inlineStr">
        <is>
          <t>Category</t>
        </is>
      </c>
      <c r="C1" s="68" t="inlineStr">
        <is>
          <t>Category2</t>
        </is>
      </c>
      <c r="D1" s="68" t="inlineStr">
        <is>
          <t>Category3</t>
        </is>
      </c>
      <c r="E1" s="68" t="inlineStr">
        <is>
          <t>Category4</t>
        </is>
      </c>
      <c r="F1" s="68" t="inlineStr">
        <is>
          <t>Main product</t>
        </is>
      </c>
      <c r="G1" s="68" t="inlineStr">
        <is>
          <t>Starting Material</t>
        </is>
      </c>
      <c r="H1" s="69" t="inlineStr">
        <is>
          <t>Petrochemical 연관성</t>
        </is>
      </c>
      <c r="I1" s="68" t="inlineStr">
        <is>
          <t>Intermediate</t>
        </is>
      </c>
      <c r="J1" s="68" t="inlineStr">
        <is>
          <t>main petrochemical chain</t>
        </is>
      </c>
      <c r="K1" s="68" t="inlineStr">
        <is>
          <t>Compound annual growth rate. 2025-30(percent)</t>
        </is>
      </c>
      <c r="L1" s="70" t="inlineStr">
        <is>
          <t>Selected</t>
        </is>
      </c>
      <c r="M1" s="68" t="inlineStr">
        <is>
          <t>related_chemical</t>
        </is>
      </c>
    </row>
    <row r="2">
      <c r="A2" s="46" t="n">
        <v>1</v>
      </c>
      <c r="B2" s="38" t="inlineStr">
        <is>
          <t>Electronic chemicals</t>
        </is>
      </c>
      <c r="C2" s="39" t="inlineStr">
        <is>
          <t>Semiconductors, silicon and IC process chemicals</t>
        </is>
      </c>
      <c r="D2" s="39" t="inlineStr">
        <is>
          <t>Wafer substrates</t>
        </is>
      </c>
      <c r="E2" s="39" t="inlineStr">
        <is>
          <t>Silicon wafers</t>
        </is>
      </c>
      <c r="F2" s="40" t="inlineStr">
        <is>
          <t>Logic/Memory용 300 mm silicon wafer</t>
        </is>
      </c>
      <c r="G2" s="40" t="inlineStr">
        <is>
          <t>Quartz/Silica</t>
        </is>
      </c>
      <c r="H2" s="41" t="inlineStr">
        <is>
          <t>-</t>
        </is>
      </c>
      <c r="I2" s="40" t="inlineStr">
        <is>
          <t>Polysilicon, Single-crystal silicon ingot</t>
        </is>
      </c>
      <c r="J2" s="40" t="inlineStr">
        <is>
          <t>Quartz/Silica → Metallurgical silicon → Polysilicon → Silicon ingot → Silicon wafer</t>
        </is>
      </c>
      <c r="K2" s="194" t="n">
        <v>0.059391140093721</v>
      </c>
      <c r="L2" s="195" t="inlineStr">
        <is>
          <t>Δ</t>
        </is>
      </c>
      <c r="M2" s="99" t="inlineStr">
        <is>
          <t>X</t>
        </is>
      </c>
    </row>
    <row r="3">
      <c r="A3" s="46" t="n">
        <v>2</v>
      </c>
      <c r="B3" s="38" t="inlineStr">
        <is>
          <t>Electronic chemicals</t>
        </is>
      </c>
      <c r="C3" s="39" t="inlineStr">
        <is>
          <t>Semiconductors, silicon and IC process chemicals</t>
        </is>
      </c>
      <c r="D3" s="39" t="inlineStr">
        <is>
          <t>Wafer substrates</t>
        </is>
      </c>
      <c r="E3" s="39" t="inlineStr">
        <is>
          <t>Silicon carbide (SiC) wafers</t>
        </is>
      </c>
      <c r="F3" s="40" t="inlineStr">
        <is>
          <t>EV power semiconductor용 SiC wafer</t>
        </is>
      </c>
      <c r="G3" s="40" t="inlineStr">
        <is>
          <t>Quartz/Silica, Petroleum coke</t>
        </is>
      </c>
      <c r="H3" s="43" t="inlineStr">
        <is>
          <t>-</t>
        </is>
      </c>
      <c r="I3" s="40" t="inlineStr">
        <is>
          <t>SiC powder/crystal boule</t>
        </is>
      </c>
      <c r="J3" s="40" t="inlineStr">
        <is>
          <t>Silica + Carbon source → SiC crystal → SiC wafer</t>
        </is>
      </c>
      <c r="K3" s="194" t="n">
        <v>0.140048345465254</v>
      </c>
      <c r="L3" s="195" t="inlineStr">
        <is>
          <t>Δ</t>
        </is>
      </c>
      <c r="M3" s="99" t="inlineStr">
        <is>
          <t>X</t>
        </is>
      </c>
    </row>
    <row r="4">
      <c r="A4" s="46" t="n">
        <v>3</v>
      </c>
      <c r="B4" s="38" t="inlineStr">
        <is>
          <t>Electronic chemicals</t>
        </is>
      </c>
      <c r="C4" s="39" t="inlineStr">
        <is>
          <t>Semiconductors, silicon and IC process chemicals</t>
        </is>
      </c>
      <c r="D4" s="39" t="inlineStr">
        <is>
          <t>Wafer substrates</t>
        </is>
      </c>
      <c r="E4" s="39" t="inlineStr">
        <is>
          <t>Sapphire wafers</t>
        </is>
      </c>
      <c r="F4" s="40" t="inlineStr">
        <is>
          <t>LED/RF/compound semiconductor substrate</t>
        </is>
      </c>
      <c r="G4" s="40" t="inlineStr">
        <is>
          <t>Alumina/Bauxite</t>
        </is>
      </c>
      <c r="H4" s="43" t="inlineStr">
        <is>
          <t>-</t>
        </is>
      </c>
      <c r="I4" s="40" t="inlineStr">
        <is>
          <t>High-purity alumina, Sapphire ingot</t>
        </is>
      </c>
      <c r="J4" s="40" t="inlineStr">
        <is>
          <t>Bauxite → Alumina → Sapphire crystal → Sapphire wafer</t>
        </is>
      </c>
      <c r="K4" s="194" t="n">
        <v>-0.0030534879842905</v>
      </c>
      <c r="L4" s="195" t="inlineStr">
        <is>
          <t>Δ</t>
        </is>
      </c>
      <c r="M4" s="99" t="inlineStr">
        <is>
          <t>X</t>
        </is>
      </c>
    </row>
    <row r="5">
      <c r="A5" s="46" t="n">
        <v>4</v>
      </c>
      <c r="B5" s="38" t="inlineStr">
        <is>
          <t>Electronic chemicals</t>
        </is>
      </c>
      <c r="C5" s="39" t="inlineStr">
        <is>
          <t>Semiconductors, silicon and IC process chemicals</t>
        </is>
      </c>
      <c r="D5" s="39" t="inlineStr">
        <is>
          <t>Wafer substrates</t>
        </is>
      </c>
      <c r="E5" s="39" t="inlineStr">
        <is>
          <t>Other semiconductor wafers</t>
        </is>
      </c>
      <c r="F5" s="40" t="inlineStr">
        <is>
          <t>GaAs/InP compound semiconductor wafer</t>
        </is>
      </c>
      <c r="G5" s="40" t="inlineStr">
        <is>
          <t>Gallium, Arsenic, Indium, Phosphorus</t>
        </is>
      </c>
      <c r="H5" s="43" t="inlineStr">
        <is>
          <t>-</t>
        </is>
      </c>
      <c r="I5" s="40" t="inlineStr">
        <is>
          <t>GaAs/InP crystal ingot</t>
        </is>
      </c>
      <c r="J5" s="40" t="inlineStr">
        <is>
          <t>Specialty metals → Compound semiconductor crystal → Wafer</t>
        </is>
      </c>
      <c r="K5" s="194" t="n">
        <v>0.0611786455688943</v>
      </c>
      <c r="L5" s="195" t="inlineStr">
        <is>
          <t>Δ</t>
        </is>
      </c>
      <c r="M5" s="99" t="inlineStr">
        <is>
          <t>X</t>
        </is>
      </c>
    </row>
    <row r="6">
      <c r="A6" s="46" t="n">
        <v>5</v>
      </c>
      <c r="B6" s="38" t="inlineStr">
        <is>
          <t>Electronic chemicals</t>
        </is>
      </c>
      <c r="C6" s="39" t="inlineStr">
        <is>
          <t>Semiconductors, silicon and IC process chemicals</t>
        </is>
      </c>
      <c r="D6" s="39" t="inlineStr">
        <is>
          <t>Electronic gases</t>
        </is>
      </c>
      <c r="E6" s="39" t="inlineStr">
        <is>
          <t>Atmospheric gases</t>
        </is>
      </c>
      <c r="F6" s="40" t="inlineStr">
        <is>
          <t>High-purity N2/O2/Ar for purge, oxidation and process atmosphere</t>
        </is>
      </c>
      <c r="G6" s="40" t="inlineStr">
        <is>
          <t>Air</t>
        </is>
      </c>
      <c r="H6" s="44" t="inlineStr">
        <is>
          <t>-</t>
        </is>
      </c>
      <c r="I6" s="40" t="inlineStr">
        <is>
          <t>High-purity nitrogen, oxygen, argon</t>
        </is>
      </c>
      <c r="J6" s="40" t="inlineStr">
        <is>
          <t>Air separation → Electronic-grade atmospheric gas</t>
        </is>
      </c>
      <c r="K6" s="194" t="n">
        <v>0.0608745677764162</v>
      </c>
      <c r="L6" s="195" t="inlineStr">
        <is>
          <t>Δ</t>
        </is>
      </c>
      <c r="M6" s="99" t="inlineStr">
        <is>
          <t>X</t>
        </is>
      </c>
    </row>
    <row r="7">
      <c r="A7" s="46" t="n">
        <v>6</v>
      </c>
      <c r="B7" s="38" t="inlineStr">
        <is>
          <t>Electronic chemicals</t>
        </is>
      </c>
      <c r="C7" s="39" t="inlineStr">
        <is>
          <t>Semiconductors, silicon and IC process chemicals</t>
        </is>
      </c>
      <c r="D7" s="39" t="inlineStr">
        <is>
          <t>Electronic gases</t>
        </is>
      </c>
      <c r="E7" s="39" t="inlineStr">
        <is>
          <t>Specialty gases</t>
        </is>
      </c>
      <c r="F7" s="40" t="inlineStr">
        <is>
          <t>Deposition/etching/cleaning gases for CVD/etch process</t>
        </is>
      </c>
      <c r="G7" s="40" t="inlineStr">
        <is>
          <t>Silicon, Fluorine, Chlorine, Ammonia</t>
        </is>
      </c>
      <c r="H7" s="44" t="inlineStr">
        <is>
          <t>△</t>
        </is>
      </c>
      <c r="I7" s="40" t="inlineStr">
        <is>
          <t>Silane, NF3, WF6, HCl, NH3, TEOS-type precursors</t>
        </is>
      </c>
      <c r="J7" s="40" t="inlineStr">
        <is>
          <t>Inorganic/silicon/fluorine chemistry → Specialty electronic gas</t>
        </is>
      </c>
      <c r="K7" s="194" t="n">
        <v>0.0527681134021383</v>
      </c>
      <c r="L7" s="195" t="inlineStr">
        <is>
          <t>Δ</t>
        </is>
      </c>
      <c r="M7" s="99" t="inlineStr">
        <is>
          <t>X</t>
        </is>
      </c>
    </row>
    <row r="8">
      <c r="A8" s="46" t="n">
        <v>7</v>
      </c>
      <c r="B8" s="38" t="inlineStr">
        <is>
          <t>Electronic chemicals</t>
        </is>
      </c>
      <c r="C8" s="39" t="inlineStr">
        <is>
          <t>Semiconductors, silicon and IC process chemicals</t>
        </is>
      </c>
      <c r="D8" s="39" t="inlineStr">
        <is>
          <t>Metal and dielectric materials</t>
        </is>
      </c>
      <c r="E8" s="39" t="inlineStr">
        <is>
          <t>Thin-film metals (sputtering targets)</t>
        </is>
      </c>
      <c r="F8" s="40" t="inlineStr">
        <is>
          <t>Cu/Al/Ta/Ti/W sputtering target for interconnect/barrier layer</t>
        </is>
      </c>
      <c r="G8" s="40" t="inlineStr">
        <is>
          <t>Copper, Aluminum, Titanium, Tantalum, Tungsten</t>
        </is>
      </c>
      <c r="H8" s="43" t="inlineStr">
        <is>
          <t>-</t>
        </is>
      </c>
      <c r="I8" s="40" t="inlineStr">
        <is>
          <t>High-purity metal target</t>
        </is>
      </c>
      <c r="J8" s="40" t="inlineStr">
        <is>
          <t>Metal refining → Ultra-high-purity target → Thin-film deposition</t>
        </is>
      </c>
      <c r="K8" s="194" t="n">
        <v>0.0648604004453766</v>
      </c>
      <c r="L8" s="195" t="inlineStr">
        <is>
          <t>Δ</t>
        </is>
      </c>
      <c r="M8" s="99" t="inlineStr">
        <is>
          <t>X</t>
        </is>
      </c>
    </row>
    <row r="9">
      <c r="A9" s="46" t="n">
        <v>8</v>
      </c>
      <c r="B9" s="38" t="inlineStr">
        <is>
          <t>Electronic chemicals</t>
        </is>
      </c>
      <c r="C9" s="39" t="inlineStr">
        <is>
          <t>Semiconductors, silicon and IC process chemicals</t>
        </is>
      </c>
      <c r="D9" s="39" t="inlineStr">
        <is>
          <t>Metal and dielectric materials</t>
        </is>
      </c>
      <c r="E9" s="39" t="inlineStr">
        <is>
          <t>Dielectric materialsc</t>
        </is>
      </c>
      <c r="F9" s="40" t="inlineStr">
        <is>
          <t>Low-k / High-k dielectric precursor for insulating layer</t>
        </is>
      </c>
      <c r="G9" s="40" t="inlineStr">
        <is>
          <t>Silicon, Hafnium/Zirconium, Organosilicon</t>
        </is>
      </c>
      <c r="H9" s="43" t="inlineStr">
        <is>
          <t>-</t>
        </is>
      </c>
      <c r="I9" s="40" t="inlineStr">
        <is>
          <t>TEOS, silane precursor, Hf/Zr precursor</t>
        </is>
      </c>
      <c r="J9" s="40" t="inlineStr">
        <is>
          <t>Silicon/metal-organic chemistry → Dielectric precursor → Thin-film dielectric</t>
        </is>
      </c>
      <c r="K9" s="194" t="n">
        <v>0.0674183907746784</v>
      </c>
      <c r="L9" s="195" t="inlineStr">
        <is>
          <t>Δ</t>
        </is>
      </c>
      <c r="M9" s="99" t="inlineStr">
        <is>
          <t>X</t>
        </is>
      </c>
    </row>
    <row r="10">
      <c r="A10" s="46" t="n">
        <v>9</v>
      </c>
      <c r="B10" s="38" t="inlineStr">
        <is>
          <t>Electronic chemicals</t>
        </is>
      </c>
      <c r="C10" s="39" t="inlineStr">
        <is>
          <t>Semiconductors, silicon and IC process chemicals</t>
        </is>
      </c>
      <c r="D10" s="39" t="inlineStr">
        <is>
          <t>Photoresists</t>
        </is>
      </c>
      <c r="E10" s="39" t="inlineStr">
        <is>
          <t>g-/i-line (436/365 nm)</t>
        </is>
      </c>
      <c r="F10" s="40" t="inlineStr">
        <is>
          <t>Mature-node photoresist for display/legacy semiconductor process</t>
        </is>
      </c>
      <c r="G10" s="40" t="inlineStr">
        <is>
          <t>Benzene, Phenol, Naphthalene</t>
        </is>
      </c>
      <c r="H10" s="44" t="inlineStr">
        <is>
          <t>○</t>
        </is>
      </c>
      <c r="I10" s="40" t="inlineStr">
        <is>
          <t>Novolac resin, DNQ sensitizer</t>
        </is>
      </c>
      <c r="J10" s="40" t="inlineStr">
        <is>
          <t>BTX → Phenolic resin/DNQ chemistry → g-/i-line photoresist</t>
        </is>
      </c>
      <c r="K10" s="194" t="n">
        <v>0.053194208153124</v>
      </c>
      <c r="L10" s="195" t="inlineStr">
        <is>
          <t>Δ</t>
        </is>
      </c>
      <c r="M10" s="99" t="inlineStr">
        <is>
          <t>Phenol</t>
        </is>
      </c>
    </row>
    <row r="11">
      <c r="A11" s="46" t="n">
        <v>10</v>
      </c>
      <c r="B11" s="38" t="inlineStr">
        <is>
          <t>Electronic chemicals</t>
        </is>
      </c>
      <c r="C11" s="39" t="inlineStr">
        <is>
          <t>Semiconductors, silicon and IC process chemicals</t>
        </is>
      </c>
      <c r="D11" s="39" t="inlineStr">
        <is>
          <t>Photoresists</t>
        </is>
      </c>
      <c r="E11" s="39" t="inlineStr">
        <is>
          <t>KrF (248 nm)</t>
        </is>
      </c>
      <c r="F11" s="40" t="inlineStr">
        <is>
          <t>DUV photoresist for semiconductor lithography</t>
        </is>
      </c>
      <c r="G11" s="40" t="inlineStr">
        <is>
          <t>Benzene, Styrene</t>
        </is>
      </c>
      <c r="H11" s="44" t="inlineStr">
        <is>
          <t>○</t>
        </is>
      </c>
      <c r="I11" s="40" t="inlineStr">
        <is>
          <t>Hydroxystyrene polymer, Photoacid generator</t>
        </is>
      </c>
      <c r="J11" s="40" t="inlineStr">
        <is>
          <t>BTX → Styrenic polymer/PAG → KrF photoresist</t>
        </is>
      </c>
      <c r="K11" s="194" t="n">
        <v>0.0677625560336101</v>
      </c>
      <c r="L11" s="195" t="inlineStr">
        <is>
          <t>Δ</t>
        </is>
      </c>
      <c r="M11" s="99" t="inlineStr">
        <is>
          <t>Styrene</t>
        </is>
      </c>
    </row>
    <row r="12">
      <c r="A12" s="46" t="n">
        <v>11</v>
      </c>
      <c r="B12" s="38" t="inlineStr">
        <is>
          <t>Electronic chemicals</t>
        </is>
      </c>
      <c r="C12" s="39" t="inlineStr">
        <is>
          <t>Semiconductors, silicon and IC process chemicals</t>
        </is>
      </c>
      <c r="D12" s="39" t="inlineStr">
        <is>
          <t>Photoresists</t>
        </is>
      </c>
      <c r="E12" s="39" t="inlineStr">
        <is>
          <t>ArF (193 nm)</t>
        </is>
      </c>
      <c r="F12" s="40" t="inlineStr">
        <is>
          <t>Advanced DUV photoresist for fine patterning</t>
        </is>
      </c>
      <c r="G12" s="40" t="inlineStr">
        <is>
          <t>Propylene, Fluorochemical feed</t>
        </is>
      </c>
      <c r="H12" s="44" t="inlineStr">
        <is>
          <t>△</t>
        </is>
      </c>
      <c r="I12" s="40" t="inlineStr">
        <is>
          <t>Acrylate/methacrylate polymer, PAG</t>
        </is>
      </c>
      <c r="J12" s="40" t="inlineStr">
        <is>
          <t>Propylene/acrylate + fluorochemical chain → ArF photoresist</t>
        </is>
      </c>
      <c r="K12" s="194" t="n">
        <v>0.0830924446956347</v>
      </c>
      <c r="L12" s="195" t="inlineStr">
        <is>
          <t>Δ</t>
        </is>
      </c>
      <c r="M12" s="100" t="inlineStr">
        <is>
          <t>Propylene</t>
        </is>
      </c>
    </row>
    <row r="13">
      <c r="A13" s="46" t="n">
        <v>12</v>
      </c>
      <c r="B13" s="38" t="inlineStr">
        <is>
          <t>Electronic chemicals</t>
        </is>
      </c>
      <c r="C13" s="39" t="inlineStr">
        <is>
          <t>Semiconductors, silicon and IC process chemicals</t>
        </is>
      </c>
      <c r="D13" s="39" t="inlineStr">
        <is>
          <t>Photoresists</t>
        </is>
      </c>
      <c r="E13" s="39" t="inlineStr">
        <is>
          <t>EUV (13.5 nm)</t>
        </is>
      </c>
      <c r="F13" s="40" t="inlineStr">
        <is>
          <t>Leading-edge EUV photoresist for advanced logic/memory</t>
        </is>
      </c>
      <c r="G13" s="40" t="inlineStr">
        <is>
          <t>Aromatics, Fluorochemicals, Metal precursors</t>
        </is>
      </c>
      <c r="H13" s="44" t="inlineStr">
        <is>
          <t>△</t>
        </is>
      </c>
      <c r="I13" s="40" t="inlineStr">
        <is>
          <t>Chemically amplified resist, PAG, Metal-oxide resist precursor</t>
        </is>
      </c>
      <c r="J13" s="40" t="inlineStr">
        <is>
          <t>Specialty organic/fluorine/metal precursor → EUV resist</t>
        </is>
      </c>
      <c r="K13" s="194" t="n">
        <v>0.171053794211024</v>
      </c>
      <c r="L13" s="195" t="inlineStr">
        <is>
          <t>Δ</t>
        </is>
      </c>
      <c r="M13" s="99" t="inlineStr">
        <is>
          <t>x</t>
        </is>
      </c>
    </row>
    <row r="14">
      <c r="A14" s="46" t="n">
        <v>13</v>
      </c>
      <c r="B14" s="38" t="inlineStr">
        <is>
          <t>Electronic chemicals</t>
        </is>
      </c>
      <c r="C14" s="39" t="inlineStr">
        <is>
          <t>Semiconductors, silicon and IC process chemicals</t>
        </is>
      </c>
      <c r="D14" s="39" t="inlineStr">
        <is>
          <t>Wet-processing chemicals</t>
        </is>
      </c>
      <c r="E14" s="39" t="inlineStr">
        <is>
          <t>Standard electronic grade - Acids and bases</t>
        </is>
      </c>
      <c r="F14" s="40" t="inlineStr">
        <is>
          <t>Cleaning/etching acids and bases for mature process</t>
        </is>
      </c>
      <c r="G14" s="40" t="inlineStr">
        <is>
          <t>Sulfur, Chlorine, Fluorspar, Ammonia</t>
        </is>
      </c>
      <c r="H14" s="44" t="inlineStr">
        <is>
          <t>△</t>
        </is>
      </c>
      <c r="I14" s="40" t="inlineStr">
        <is>
          <t>H2SO4, HCl, HF, NH4OH</t>
        </is>
      </c>
      <c r="J14" s="40" t="inlineStr">
        <is>
          <t>Inorganic acid/base chain → Electronic-grade wet chemical</t>
        </is>
      </c>
      <c r="K14" s="194" t="n">
        <v>0.034904309243446</v>
      </c>
      <c r="L14" s="195" t="inlineStr">
        <is>
          <t>Δ</t>
        </is>
      </c>
      <c r="M14" s="99" t="inlineStr">
        <is>
          <t>x</t>
        </is>
      </c>
    </row>
    <row r="15">
      <c r="A15" s="46" t="n">
        <v>14</v>
      </c>
      <c r="B15" s="38" t="inlineStr">
        <is>
          <t>Electronic chemicals</t>
        </is>
      </c>
      <c r="C15" s="39" t="inlineStr">
        <is>
          <t>Semiconductors, silicon and IC process chemicals</t>
        </is>
      </c>
      <c r="D15" s="39" t="inlineStr">
        <is>
          <t>Wet-processing chemicals</t>
        </is>
      </c>
      <c r="E15" s="39" t="inlineStr">
        <is>
          <t>Standard electronic grade - Solvents</t>
        </is>
      </c>
      <c r="F15" s="40" t="inlineStr">
        <is>
          <t>Cleaning and resist process solvent</t>
        </is>
      </c>
      <c r="G15" s="40" t="inlineStr">
        <is>
          <t>Propylene, Methanol, Acetone</t>
        </is>
      </c>
      <c r="H15" s="44" t="inlineStr">
        <is>
          <t>○</t>
        </is>
      </c>
      <c r="I15" s="40" t="inlineStr">
        <is>
          <t>IPA, Acetone, PGME/PGMEA</t>
        </is>
      </c>
      <c r="J15" s="40" t="inlineStr">
        <is>
          <t>Olefin/alcohol/ketone chain → Electronic-grade solvent</t>
        </is>
      </c>
      <c r="K15" s="194" t="n">
        <v>0.0417491609754834</v>
      </c>
      <c r="L15" s="195" t="inlineStr">
        <is>
          <t>Δ</t>
        </is>
      </c>
      <c r="M15" s="99" t="inlineStr">
        <is>
          <t>IPA, Acetone</t>
        </is>
      </c>
    </row>
    <row r="16">
      <c r="A16" s="46" t="n">
        <v>15</v>
      </c>
      <c r="B16" s="38" t="inlineStr">
        <is>
          <t>Electronic chemicals</t>
        </is>
      </c>
      <c r="C16" s="39" t="inlineStr">
        <is>
          <t>Semiconductors, silicon and IC process chemicals</t>
        </is>
      </c>
      <c r="D16" s="39" t="inlineStr">
        <is>
          <t>Wet-processing chemicals</t>
        </is>
      </c>
      <c r="E16" s="39" t="inlineStr">
        <is>
          <t>Ultra-high purity - Acids and bases</t>
        </is>
      </c>
      <c r="F16" s="40" t="inlineStr">
        <is>
          <t>Advanced-node UHP cleaning/etch chemical</t>
        </is>
      </c>
      <c r="G16" s="40" t="inlineStr">
        <is>
          <t>Sulfur, Chlorine, Fluorspar, Ammonia</t>
        </is>
      </c>
      <c r="H16" s="44" t="inlineStr">
        <is>
          <t>△</t>
        </is>
      </c>
      <c r="I16" s="40" t="inlineStr">
        <is>
          <t>UHP H2SO4, HF, HCl, NH4OH, H2O2</t>
        </is>
      </c>
      <c r="J16" s="40" t="inlineStr">
        <is>
          <t>Inorganic chain → Ultra-high-purity purification → UHP wet chemical</t>
        </is>
      </c>
      <c r="K16" s="194" t="n">
        <v>0.0777313877792551</v>
      </c>
      <c r="L16" s="195" t="inlineStr">
        <is>
          <t>Δ</t>
        </is>
      </c>
      <c r="M16" s="99" t="inlineStr">
        <is>
          <t>x</t>
        </is>
      </c>
    </row>
    <row r="17">
      <c r="A17" s="46" t="n">
        <v>16</v>
      </c>
      <c r="B17" s="38" t="inlineStr">
        <is>
          <t>Electronic chemicals</t>
        </is>
      </c>
      <c r="C17" s="39" t="inlineStr">
        <is>
          <t>Semiconductors, silicon and IC process chemicals</t>
        </is>
      </c>
      <c r="D17" s="39" t="inlineStr">
        <is>
          <t>Wet-processing chemicals</t>
        </is>
      </c>
      <c r="E17" s="39" t="inlineStr">
        <is>
          <t>Ultra-high purity - Solvents</t>
        </is>
      </c>
      <c r="F17" s="40" t="inlineStr">
        <is>
          <t>Advanced-node UHP solvent for lithography/cleaning</t>
        </is>
      </c>
      <c r="G17" s="40" t="inlineStr">
        <is>
          <t>Propylene, EO/PO, Methanol</t>
        </is>
      </c>
      <c r="H17" s="44" t="inlineStr">
        <is>
          <t>○</t>
        </is>
      </c>
      <c r="I17" s="40" t="inlineStr">
        <is>
          <t>UHP IPA, PGMEA, NMP-type solvent</t>
        </is>
      </c>
      <c r="J17" s="40" t="inlineStr">
        <is>
          <t>Petrochemical solvent chain → Ultra-high-purity purification → UHP solvent</t>
        </is>
      </c>
      <c r="K17" s="194" t="n">
        <v>0.0883174015939576</v>
      </c>
      <c r="L17" s="195" t="inlineStr">
        <is>
          <t>Δ</t>
        </is>
      </c>
      <c r="M17" s="99" t="inlineStr">
        <is>
          <t>IPA</t>
        </is>
      </c>
    </row>
    <row r="18">
      <c r="A18" s="46" t="n">
        <v>17</v>
      </c>
      <c r="B18" s="38" t="inlineStr">
        <is>
          <t>Electronic chemicals</t>
        </is>
      </c>
      <c r="C18" s="39" t="inlineStr">
        <is>
          <t>Semiconductors, silicon and IC process chemicals</t>
        </is>
      </c>
      <c r="D18" s="39" t="inlineStr">
        <is>
          <t>Formulated products</t>
        </is>
      </c>
      <c r="E18" s="39" t="inlineStr">
        <is>
          <t>Copper-plating chemicals</t>
        </is>
      </c>
      <c r="F18" s="40" t="inlineStr">
        <is>
          <t>Cu electroplating bath for interconnect formation</t>
        </is>
      </c>
      <c r="G18" s="40" t="inlineStr">
        <is>
          <t>Copper, Sulfuric acid, Organic additives</t>
        </is>
      </c>
      <c r="H18" s="43" t="inlineStr">
        <is>
          <t>-</t>
        </is>
      </c>
      <c r="I18" s="40" t="inlineStr">
        <is>
          <t>Copper sulfate, Leveler, Suppressor, Brightener</t>
        </is>
      </c>
      <c r="J18" s="40" t="inlineStr">
        <is>
          <t>Copper/inorganic acid + organic additive → Cu plating formulation</t>
        </is>
      </c>
      <c r="K18" s="194" t="n">
        <v>0.0587053184557504</v>
      </c>
      <c r="L18" s="195" t="inlineStr">
        <is>
          <t>Δ</t>
        </is>
      </c>
      <c r="M18" s="99" t="inlineStr">
        <is>
          <t>x</t>
        </is>
      </c>
    </row>
    <row r="19">
      <c r="A19" s="46" t="n">
        <v>18</v>
      </c>
      <c r="B19" s="38" t="inlineStr">
        <is>
          <t>Electronic chemicals</t>
        </is>
      </c>
      <c r="C19" s="39" t="inlineStr">
        <is>
          <t>Semiconductors, silicon and IC process chemicals</t>
        </is>
      </c>
      <c r="D19" s="39" t="inlineStr">
        <is>
          <t>Formulated products</t>
        </is>
      </c>
      <c r="E19" s="39" t="inlineStr">
        <is>
          <t>Photoresist ancillaries</t>
        </is>
      </c>
      <c r="F19" s="40" t="inlineStr">
        <is>
          <t>Developer/stripper/edge-bead remover for lithography process</t>
        </is>
      </c>
      <c r="G19" s="40" t="inlineStr">
        <is>
          <t>TMA, Solvents, Amines</t>
        </is>
      </c>
      <c r="H19" s="44" t="inlineStr">
        <is>
          <t>△</t>
        </is>
      </c>
      <c r="I19" s="40" t="inlineStr">
        <is>
          <t>TMAH developer, Stripper, Rinse/EBR solvent</t>
        </is>
      </c>
      <c r="J19" s="40" t="inlineStr">
        <is>
          <t>Amine/solvent chemistry → Lithography ancillary formulation</t>
        </is>
      </c>
      <c r="K19" s="194" t="n">
        <v>0.0728899342451057</v>
      </c>
      <c r="L19" s="195" t="inlineStr">
        <is>
          <t>Δ</t>
        </is>
      </c>
      <c r="M19" s="99" t="inlineStr">
        <is>
          <t>x</t>
        </is>
      </c>
    </row>
    <row r="20">
      <c r="A20" s="46" t="n">
        <v>19</v>
      </c>
      <c r="B20" s="38" t="inlineStr">
        <is>
          <t>Electronic chemicals</t>
        </is>
      </c>
      <c r="C20" s="39" t="inlineStr">
        <is>
          <t>Semiconductors, silicon and IC process chemicals</t>
        </is>
      </c>
      <c r="D20" s="39" t="inlineStr">
        <is>
          <t>Formulated products</t>
        </is>
      </c>
      <c r="E20" s="39" t="inlineStr">
        <is>
          <t>CMP products</t>
        </is>
      </c>
      <c r="F20" s="40" t="inlineStr">
        <is>
          <t>CMP slurry/pad/post-CMP cleaner for planarization</t>
        </is>
      </c>
      <c r="G20" s="40" t="inlineStr">
        <is>
          <t>Silica/Ceria/Alumina, PU, Surfactant</t>
        </is>
      </c>
      <c r="H20" s="44" t="inlineStr">
        <is>
          <t>△</t>
        </is>
      </c>
      <c r="I20" s="40" t="inlineStr">
        <is>
          <t>CMP slurry, Polyurethane pad, Post-CMP cleaner</t>
        </is>
      </c>
      <c r="J20" s="40" t="inlineStr">
        <is>
          <t>Inorganic abrasive + PU/surfactant chemistry → CMP consumable</t>
        </is>
      </c>
      <c r="K20" s="194" t="n">
        <v>0.0930439916982182</v>
      </c>
      <c r="L20" s="195" t="inlineStr">
        <is>
          <t>Δ</t>
        </is>
      </c>
      <c r="M20" s="99" t="inlineStr">
        <is>
          <t>PU</t>
        </is>
      </c>
    </row>
    <row r="21">
      <c r="A21" s="46" t="n">
        <v>20</v>
      </c>
      <c r="B21" s="38" t="inlineStr">
        <is>
          <t>Electronic chemicals</t>
        </is>
      </c>
      <c r="C21" s="39" t="inlineStr">
        <is>
          <t>Display materials</t>
        </is>
      </c>
      <c r="D21" s="39" t="inlineStr">
        <is>
          <t>Substrates</t>
        </is>
      </c>
      <c r="E21" s="39" t="inlineStr">
        <is>
          <t>Substrates for LCD</t>
        </is>
      </c>
      <c r="F21" s="40" t="inlineStr">
        <is>
          <t>TFT-LCD glass substrate</t>
        </is>
      </c>
      <c r="G21" s="40" t="inlineStr">
        <is>
          <t>Silica, Soda ash, Alumina</t>
        </is>
      </c>
      <c r="H21" s="43" t="inlineStr">
        <is>
          <t>-</t>
        </is>
      </c>
      <c r="I21" s="40" t="inlineStr">
        <is>
          <t>High-purity display glass</t>
        </is>
      </c>
      <c r="J21" s="40" t="inlineStr">
        <is>
          <t>Inorganic minerals → Specialty glass → LCD substrate</t>
        </is>
      </c>
      <c r="K21" s="194" t="n">
        <v>0.00906862054080881</v>
      </c>
      <c r="L21" s="195" t="inlineStr">
        <is>
          <t>Δ</t>
        </is>
      </c>
      <c r="M21" s="99" t="inlineStr">
        <is>
          <t>x</t>
        </is>
      </c>
    </row>
    <row r="22">
      <c r="A22" s="46" t="n">
        <v>21</v>
      </c>
      <c r="B22" s="38" t="inlineStr">
        <is>
          <t>Electronic chemicals</t>
        </is>
      </c>
      <c r="C22" s="39" t="inlineStr">
        <is>
          <t>Display materials</t>
        </is>
      </c>
      <c r="D22" s="39" t="inlineStr">
        <is>
          <t>Substrates</t>
        </is>
      </c>
      <c r="E22" s="39" t="inlineStr">
        <is>
          <t>Substrates for OLED</t>
        </is>
      </c>
      <c r="F22" s="40" t="inlineStr">
        <is>
          <t>OLED glass / flexible PI substrate</t>
        </is>
      </c>
      <c r="G22" s="40" t="inlineStr">
        <is>
          <t>Silica, Benzene, PX</t>
        </is>
      </c>
      <c r="H22" s="44" t="inlineStr">
        <is>
          <t>△</t>
        </is>
      </c>
      <c r="I22" s="40" t="inlineStr">
        <is>
          <t>Display glass, Polyimide substrate</t>
        </is>
      </c>
      <c r="J22" s="40" t="inlineStr">
        <is>
          <t>Inorganic glass or Aromatics → PI film → OLED substrate</t>
        </is>
      </c>
      <c r="K22" s="194" t="n">
        <v>0.07466220275910281</v>
      </c>
      <c r="L22" s="195" t="inlineStr">
        <is>
          <t>Δ</t>
        </is>
      </c>
      <c r="M22" s="99" t="inlineStr">
        <is>
          <t>x</t>
        </is>
      </c>
    </row>
    <row r="23">
      <c r="A23" s="46" t="n">
        <v>22</v>
      </c>
      <c r="B23" s="38" t="inlineStr">
        <is>
          <t>Electronic chemicals</t>
        </is>
      </c>
      <c r="C23" s="39" t="inlineStr">
        <is>
          <t>Display materials</t>
        </is>
      </c>
      <c r="D23" s="39" t="inlineStr">
        <is>
          <t xml:space="preserve">Optical and functional films </t>
        </is>
      </c>
      <c r="E23" s="39" t="inlineStr">
        <is>
          <t>LCD - Light guide plate (LGP)</t>
        </is>
      </c>
      <c r="F23" s="40" t="inlineStr">
        <is>
          <t>PMMA/PC light guide plate</t>
        </is>
      </c>
      <c r="G23" s="40" t="inlineStr">
        <is>
          <t>Propylene, Methanol, Benzene</t>
        </is>
      </c>
      <c r="H23" s="44" t="inlineStr">
        <is>
          <t>△</t>
        </is>
      </c>
      <c r="I23" s="40" t="inlineStr">
        <is>
          <t>MMA/PMMA resin, PC resin</t>
        </is>
      </c>
      <c r="J23" s="40" t="inlineStr">
        <is>
          <t>Propylene/Methanol → MMA/PMMA or BTX/propylene → PC → LGP</t>
        </is>
      </c>
      <c r="K23" s="194" t="n">
        <v>0.00452363023589952</v>
      </c>
      <c r="L23" s="195" t="inlineStr">
        <is>
          <t>Δ</t>
        </is>
      </c>
      <c r="M23" s="99" t="inlineStr">
        <is>
          <t>PMMA, PC</t>
        </is>
      </c>
    </row>
    <row r="24">
      <c r="A24" s="46" t="n">
        <v>23</v>
      </c>
      <c r="B24" s="38" t="inlineStr">
        <is>
          <t>Electronic chemicals</t>
        </is>
      </c>
      <c r="C24" s="39" t="inlineStr">
        <is>
          <t>Display materials</t>
        </is>
      </c>
      <c r="D24" s="39" t="inlineStr">
        <is>
          <t xml:space="preserve">Optical and functional films </t>
        </is>
      </c>
      <c r="E24" s="39" t="inlineStr">
        <is>
          <t>LCD - Light guide plate (LGP) Reflective film</t>
        </is>
      </c>
      <c r="F24" s="40" t="inlineStr">
        <is>
          <t>White PET reflective film</t>
        </is>
      </c>
      <c r="G24" s="40" t="inlineStr">
        <is>
          <t>PX, Ethylene, TiO₂</t>
        </is>
      </c>
      <c r="H24" s="44" t="inlineStr">
        <is>
          <t>△</t>
        </is>
      </c>
      <c r="I24" s="40" t="inlineStr">
        <is>
          <t>PET film, White masterbatch</t>
        </is>
      </c>
      <c r="J24" s="40" t="inlineStr">
        <is>
          <t>PX/Ethylene → PET film → Reflective film</t>
        </is>
      </c>
      <c r="K24" s="194" t="n">
        <v>0.0104139153277554</v>
      </c>
      <c r="L24" s="195" t="inlineStr">
        <is>
          <t>Δ</t>
        </is>
      </c>
      <c r="M24" s="99" t="inlineStr">
        <is>
          <t>PET</t>
        </is>
      </c>
    </row>
    <row r="25">
      <c r="A25" s="46" t="n">
        <v>24</v>
      </c>
      <c r="B25" s="38" t="inlineStr">
        <is>
          <t>Electronic chemicals</t>
        </is>
      </c>
      <c r="C25" s="39" t="inlineStr">
        <is>
          <t>Display materials</t>
        </is>
      </c>
      <c r="D25" s="39" t="inlineStr">
        <is>
          <t xml:space="preserve">Optical and functional films </t>
        </is>
      </c>
      <c r="E25" s="39" t="inlineStr">
        <is>
          <t>LCD - Light guide plate (LGP) Diffusion film</t>
        </is>
      </c>
      <c r="F25" s="40" t="inlineStr">
        <is>
          <t>PET/PC diffusion film</t>
        </is>
      </c>
      <c r="G25" s="40" t="inlineStr">
        <is>
          <t>PX, Ethylene, Propylene, Styrene</t>
        </is>
      </c>
      <c r="H25" s="44" t="inlineStr">
        <is>
          <t>○</t>
        </is>
      </c>
      <c r="I25" s="40" t="inlineStr">
        <is>
          <t>PET film, Acrylic/PS diffusion beads</t>
        </is>
      </c>
      <c r="J25" s="40" t="inlineStr">
        <is>
          <t>PET/PC base film + Acrylic/PS particles → Diffusion film</t>
        </is>
      </c>
      <c r="K25" s="194" t="n">
        <v>0.014256416572187</v>
      </c>
      <c r="L25" s="195" t="inlineStr">
        <is>
          <t>Δ</t>
        </is>
      </c>
      <c r="M25" s="99" t="inlineStr">
        <is>
          <t>PS</t>
        </is>
      </c>
    </row>
    <row r="26">
      <c r="A26" s="46" t="n">
        <v>25</v>
      </c>
      <c r="B26" s="38" t="inlineStr">
        <is>
          <t>Electronic chemicals</t>
        </is>
      </c>
      <c r="C26" s="39" t="inlineStr">
        <is>
          <t>Display materials</t>
        </is>
      </c>
      <c r="D26" s="39" t="inlineStr">
        <is>
          <t xml:space="preserve">Optical and functional films </t>
        </is>
      </c>
      <c r="E26" s="39" t="inlineStr">
        <is>
          <t>LCD - Brightness enhancement film (BEF)</t>
        </is>
      </c>
      <c r="F26" s="40" t="inlineStr">
        <is>
          <t>Prism optical film</t>
        </is>
      </c>
      <c r="G26" s="40" t="inlineStr">
        <is>
          <t>PX, Ethylene, Propylene</t>
        </is>
      </c>
      <c r="H26" s="44" t="inlineStr">
        <is>
          <t>○</t>
        </is>
      </c>
      <c r="I26" s="40" t="inlineStr">
        <is>
          <t>PET base film, UV acrylate resin</t>
        </is>
      </c>
      <c r="J26" s="40" t="inlineStr">
        <is>
          <t>PET film + Acrylate coating → BEF prism film</t>
        </is>
      </c>
      <c r="K26" s="194" t="n">
        <v>0.0123721786576609</v>
      </c>
      <c r="L26" s="195" t="inlineStr">
        <is>
          <t>Δ</t>
        </is>
      </c>
      <c r="M26" s="100" t="inlineStr">
        <is>
          <t>PET</t>
        </is>
      </c>
    </row>
    <row r="27">
      <c r="A27" s="46" t="n">
        <v>26</v>
      </c>
      <c r="B27" s="38" t="inlineStr">
        <is>
          <t>Electronic chemicals</t>
        </is>
      </c>
      <c r="C27" s="39" t="inlineStr">
        <is>
          <t>Display materials</t>
        </is>
      </c>
      <c r="D27" s="39" t="inlineStr">
        <is>
          <t xml:space="preserve">Optical and functional films </t>
        </is>
      </c>
      <c r="E27" s="39" t="inlineStr">
        <is>
          <t>LCD - Linear polarizers (LPL)</t>
        </is>
      </c>
      <c r="F27" s="40" t="inlineStr">
        <is>
          <t>PVA/TAC polarizer film</t>
        </is>
      </c>
      <c r="G27" s="40" t="inlineStr">
        <is>
          <t>Ethylene, Acetic acid, Cellulose</t>
        </is>
      </c>
      <c r="H27" s="44" t="inlineStr">
        <is>
          <t>△</t>
        </is>
      </c>
      <c r="I27" s="40" t="inlineStr">
        <is>
          <t>PVA film, TAC film, Iodine</t>
        </is>
      </c>
      <c r="J27" s="40" t="inlineStr">
        <is>
          <t>Ethylene → VAM → PVA + Cellulose → TAC → Polarizer</t>
        </is>
      </c>
      <c r="K27" s="194" t="n">
        <v>0.00838034382440167</v>
      </c>
      <c r="L27" s="195" t="inlineStr">
        <is>
          <t>Δ</t>
        </is>
      </c>
      <c r="M27" s="99" t="inlineStr">
        <is>
          <t>PVOH</t>
        </is>
      </c>
    </row>
    <row r="28">
      <c r="A28" s="46" t="n">
        <v>27</v>
      </c>
      <c r="B28" s="38" t="inlineStr">
        <is>
          <t>Electronic chemicals</t>
        </is>
      </c>
      <c r="C28" s="39" t="inlineStr">
        <is>
          <t>Display materials</t>
        </is>
      </c>
      <c r="D28" s="39" t="inlineStr">
        <is>
          <t xml:space="preserve">Optical and functional films </t>
        </is>
      </c>
      <c r="E28" s="39" t="inlineStr">
        <is>
          <t xml:space="preserve">LCD - Linear polarizers (LPL) Alignment film </t>
        </is>
      </c>
      <c r="F28" s="40" t="inlineStr">
        <is>
          <t>LCD polyimide alignment film</t>
        </is>
      </c>
      <c r="G28" s="40" t="inlineStr">
        <is>
          <t>Benzene, PX</t>
        </is>
      </c>
      <c r="H28" s="44" t="inlineStr">
        <is>
          <t>○</t>
        </is>
      </c>
      <c r="I28" s="40" t="inlineStr">
        <is>
          <t>Dianhydride, Diamine, PI varnish</t>
        </is>
      </c>
      <c r="J28" s="40" t="inlineStr">
        <is>
          <t>Aromatics → PI precursor → Alignment film</t>
        </is>
      </c>
      <c r="K28" s="194" t="n">
        <v>0.00473403040848663</v>
      </c>
      <c r="L28" s="195" t="inlineStr">
        <is>
          <t>Δ</t>
        </is>
      </c>
      <c r="M28" s="99" t="inlineStr">
        <is>
          <t>x</t>
        </is>
      </c>
    </row>
    <row r="29">
      <c r="A29" s="46" t="n">
        <v>28</v>
      </c>
      <c r="B29" s="38" t="inlineStr">
        <is>
          <t>Electronic chemicals</t>
        </is>
      </c>
      <c r="C29" s="39" t="inlineStr">
        <is>
          <t>Display materials</t>
        </is>
      </c>
      <c r="D29" s="39" t="inlineStr">
        <is>
          <t xml:space="preserve">Optical and functional films </t>
        </is>
      </c>
      <c r="E29" s="39" t="inlineStr">
        <is>
          <t>LCD - Anisotropic conductive film (ACF)</t>
        </is>
      </c>
      <c r="F29" s="40" t="inlineStr">
        <is>
          <t>Conductive adhesive film for panel bonding</t>
        </is>
      </c>
      <c r="G29" s="40" t="inlineStr">
        <is>
          <t>Benzene, Propylene, Metal particles</t>
        </is>
      </c>
      <c r="H29" s="44" t="inlineStr">
        <is>
          <t>△</t>
        </is>
      </c>
      <c r="I29" s="40" t="inlineStr">
        <is>
          <t>Epoxy/acrylic adhesive, Conductive particles</t>
        </is>
      </c>
      <c r="J29" s="40" t="inlineStr">
        <is>
          <t>BTX/propylene → Adhesive resin + Metal particles → ACF</t>
        </is>
      </c>
      <c r="K29" s="194" t="n">
        <v>0.0107295659162325</v>
      </c>
      <c r="L29" s="195" t="inlineStr">
        <is>
          <t>Δ</t>
        </is>
      </c>
      <c r="M29" s="99" t="inlineStr">
        <is>
          <t>Epoxy resin</t>
        </is>
      </c>
    </row>
    <row r="30">
      <c r="A30" s="46" t="n">
        <v>29</v>
      </c>
      <c r="B30" s="38" t="inlineStr">
        <is>
          <t>Electronic chemicals</t>
        </is>
      </c>
      <c r="C30" s="39" t="inlineStr">
        <is>
          <t>Display materials</t>
        </is>
      </c>
      <c r="D30" s="39" t="inlineStr">
        <is>
          <t xml:space="preserve">Optical and functional films </t>
        </is>
      </c>
      <c r="E30" s="39" t="inlineStr">
        <is>
          <t>OLED - Circular polarizers (CPL)</t>
        </is>
      </c>
      <c r="F30" s="40" t="inlineStr">
        <is>
          <t>OLED anti-reflection circular polarizer</t>
        </is>
      </c>
      <c r="G30" s="40" t="inlineStr">
        <is>
          <t>Ethylene, Cellulose, C5/Cyclic olefin</t>
        </is>
      </c>
      <c r="H30" s="44" t="inlineStr">
        <is>
          <t>△</t>
        </is>
      </c>
      <c r="I30" s="40" t="inlineStr">
        <is>
          <t>PVA, TAC, COP/retardation film</t>
        </is>
      </c>
      <c r="J30" s="40" t="inlineStr">
        <is>
          <t>PVA/TAC/COP film chain → Circular polarizer</t>
        </is>
      </c>
      <c r="K30" s="194" t="n">
        <v>0.0547313200216362</v>
      </c>
      <c r="L30" s="195" t="inlineStr">
        <is>
          <t>Δ</t>
        </is>
      </c>
      <c r="M30" s="99" t="inlineStr">
        <is>
          <t>PVOH, COP</t>
        </is>
      </c>
    </row>
    <row r="31">
      <c r="A31" s="46" t="n">
        <v>30</v>
      </c>
      <c r="B31" s="38" t="inlineStr">
        <is>
          <t>Electronic chemicals</t>
        </is>
      </c>
      <c r="C31" s="39" t="inlineStr">
        <is>
          <t>Display materials</t>
        </is>
      </c>
      <c r="D31" s="39" t="inlineStr">
        <is>
          <t xml:space="preserve">Optical and functional films </t>
        </is>
      </c>
      <c r="E31" s="39" t="inlineStr">
        <is>
          <t>OLED - Anisotropic conductive film (ACF)</t>
        </is>
      </c>
      <c r="F31" s="40" t="inlineStr">
        <is>
          <t>Conductive bonding film for OLED module</t>
        </is>
      </c>
      <c r="G31" s="40" t="inlineStr">
        <is>
          <t>Benzene, Propylene, Metal particles</t>
        </is>
      </c>
      <c r="H31" s="44" t="inlineStr">
        <is>
          <t>△</t>
        </is>
      </c>
      <c r="I31" s="40" t="inlineStr">
        <is>
          <t>Epoxy/acrylic adhesive, Conductive particles</t>
        </is>
      </c>
      <c r="J31" s="40" t="inlineStr">
        <is>
          <t>BTX/propylene → Adhesive resin + Metal particles → ACF</t>
        </is>
      </c>
      <c r="K31" s="194" t="n">
        <v>0.07172620810765171</v>
      </c>
      <c r="L31" s="195" t="inlineStr">
        <is>
          <t>Δ</t>
        </is>
      </c>
      <c r="M31" s="99" t="inlineStr">
        <is>
          <t>Epoxy resin</t>
        </is>
      </c>
    </row>
    <row r="32">
      <c r="A32" s="46" t="n">
        <v>31</v>
      </c>
      <c r="B32" s="38" t="inlineStr">
        <is>
          <t>Electronic chemicals</t>
        </is>
      </c>
      <c r="C32" s="39" t="inlineStr">
        <is>
          <t>Display materials</t>
        </is>
      </c>
      <c r="D32" s="39" t="inlineStr">
        <is>
          <t>Liquid crystals</t>
        </is>
      </c>
      <c r="E32" s="39" t="n"/>
      <c r="F32" s="40" t="inlineStr">
        <is>
          <t>LCD liquid crystal mixture</t>
        </is>
      </c>
      <c r="G32" s="40" t="inlineStr">
        <is>
          <t>Benzene, Toluene, Fluorochemicals</t>
        </is>
      </c>
      <c r="H32" s="44" t="inlineStr">
        <is>
          <t>△</t>
        </is>
      </c>
      <c r="I32" s="40" t="inlineStr">
        <is>
          <t>Fluorinated biphenyl/cyclohexane LC intermediates</t>
        </is>
      </c>
      <c r="J32" s="40" t="inlineStr">
        <is>
          <t>BTX/fluorochemical chain → Mesogenic intermediates → LC mixture</t>
        </is>
      </c>
      <c r="K32" s="194" t="n">
        <v>0.008999999999999999</v>
      </c>
      <c r="L32" s="195" t="inlineStr">
        <is>
          <t>Δ</t>
        </is>
      </c>
      <c r="M32" s="99" t="inlineStr">
        <is>
          <t>x</t>
        </is>
      </c>
    </row>
    <row r="33">
      <c r="A33" s="46" t="n">
        <v>32</v>
      </c>
      <c r="B33" s="38" t="inlineStr">
        <is>
          <t>Electronic chemicals</t>
        </is>
      </c>
      <c r="C33" s="39" t="inlineStr">
        <is>
          <t>Display materials</t>
        </is>
      </c>
      <c r="D33" s="39" t="inlineStr">
        <is>
          <t>Organic materials for OLED</t>
        </is>
      </c>
      <c r="E33" s="39" t="inlineStr">
        <is>
          <t>EML host material</t>
        </is>
      </c>
      <c r="F33" s="40" t="inlineStr">
        <is>
          <t>OLED emission-layer host</t>
        </is>
      </c>
      <c r="G33" s="40" t="inlineStr">
        <is>
          <t>Benzene, Toluene, Naphthalene</t>
        </is>
      </c>
      <c r="H33" s="44" t="inlineStr">
        <is>
          <t>○</t>
        </is>
      </c>
      <c r="I33" s="40" t="inlineStr">
        <is>
          <t>Carbazole, Anthracene, Triazine, Phosphine oxide derivatives</t>
        </is>
      </c>
      <c r="J33" s="40" t="inlineStr">
        <is>
          <t>Aromatics → Organic semiconductor intermediate → OLED host</t>
        </is>
      </c>
      <c r="K33" s="194" t="n">
        <v>0.0724519608502929</v>
      </c>
      <c r="L33" s="195" t="inlineStr">
        <is>
          <t>Δ</t>
        </is>
      </c>
      <c r="M33" s="99" t="inlineStr">
        <is>
          <t>x</t>
        </is>
      </c>
    </row>
    <row r="34">
      <c r="A34" s="46" t="n">
        <v>33</v>
      </c>
      <c r="B34" s="38" t="inlineStr">
        <is>
          <t>Electronic chemicals</t>
        </is>
      </c>
      <c r="C34" s="39" t="inlineStr">
        <is>
          <t>Display materials</t>
        </is>
      </c>
      <c r="D34" s="39" t="inlineStr">
        <is>
          <t>Organic materials for OLED</t>
        </is>
      </c>
      <c r="E34" s="39" t="inlineStr">
        <is>
          <t>EML host material - EML dopant</t>
        </is>
      </c>
      <c r="F34" s="40" t="inlineStr">
        <is>
          <t>OLED emitter/dopant</t>
        </is>
      </c>
      <c r="G34" s="40" t="inlineStr">
        <is>
          <t>Aromatics, Iridium/Platinum</t>
        </is>
      </c>
      <c r="H34" s="44" t="inlineStr">
        <is>
          <t>△</t>
        </is>
      </c>
      <c r="I34" s="40" t="inlineStr">
        <is>
          <t>Phosphorescent/fluorescent dopant complex</t>
        </is>
      </c>
      <c r="J34" s="40" t="inlineStr">
        <is>
          <t>Aromatics + Precious metal complex → OLED dopant</t>
        </is>
      </c>
      <c r="K34" s="194" t="n">
        <v>0.0724519608502929</v>
      </c>
      <c r="L34" s="195" t="inlineStr">
        <is>
          <t>Δ</t>
        </is>
      </c>
      <c r="M34" s="99" t="inlineStr">
        <is>
          <t>x</t>
        </is>
      </c>
    </row>
    <row r="35">
      <c r="A35" s="46" t="n">
        <v>34</v>
      </c>
      <c r="B35" s="38" t="inlineStr">
        <is>
          <t>Electronic chemicals</t>
        </is>
      </c>
      <c r="C35" s="39" t="inlineStr">
        <is>
          <t>Display materials</t>
        </is>
      </c>
      <c r="D35" s="39" t="inlineStr">
        <is>
          <t>Organic materials for OLED</t>
        </is>
      </c>
      <c r="E35" s="39" t="inlineStr">
        <is>
          <t>EML host material - Other layers</t>
        </is>
      </c>
      <c r="F35" s="40" t="inlineStr">
        <is>
          <t>HTL/ETL/HIL/EIL materials</t>
        </is>
      </c>
      <c r="G35" s="40" t="inlineStr">
        <is>
          <t>Aromatics, Fluorochemicals, Metal precursors</t>
        </is>
      </c>
      <c r="H35" s="44" t="inlineStr">
        <is>
          <t>△</t>
        </is>
      </c>
      <c r="I35" s="40" t="inlineStr">
        <is>
          <t>Amine, Spiro, Oxadiazole, Metal oxide/complex materials</t>
        </is>
      </c>
      <c r="J35" s="40" t="inlineStr">
        <is>
          <t>Specialty aromatics/metal precursor → OLED functional layer material</t>
        </is>
      </c>
      <c r="K35" s="194" t="n">
        <v>0.0730089893520509</v>
      </c>
      <c r="L35" s="195" t="inlineStr">
        <is>
          <t>Δ</t>
        </is>
      </c>
      <c r="M35" s="99" t="inlineStr">
        <is>
          <t>x</t>
        </is>
      </c>
    </row>
    <row r="36">
      <c r="A36" s="46" t="n">
        <v>35</v>
      </c>
      <c r="B36" s="38" t="inlineStr">
        <is>
          <t>Electronic chemicals</t>
        </is>
      </c>
      <c r="C36" s="39" t="inlineStr">
        <is>
          <t>Display materials</t>
        </is>
      </c>
      <c r="D36" s="39" t="inlineStr">
        <is>
          <t xml:space="preserve">Electrode materials </t>
        </is>
      </c>
      <c r="E36" s="39" t="n"/>
      <c r="F36" s="40" t="inlineStr">
        <is>
          <t>ITO/Ag/Al/Cu electrode material</t>
        </is>
      </c>
      <c r="G36" s="40" t="inlineStr">
        <is>
          <t>Indium, Tin, Silver, Aluminum, Copper</t>
        </is>
      </c>
      <c r="H36" s="43" t="inlineStr">
        <is>
          <t>-</t>
        </is>
      </c>
      <c r="I36" s="40" t="inlineStr">
        <is>
          <t>ITO target, Metal sputtering target</t>
        </is>
      </c>
      <c r="J36" s="40" t="inlineStr">
        <is>
          <t>High-purity metals → Sputtering target → Display electrode</t>
        </is>
      </c>
      <c r="K36" s="194" t="n">
        <v>0.0132742713147342</v>
      </c>
      <c r="L36" s="195" t="inlineStr">
        <is>
          <t>Δ</t>
        </is>
      </c>
      <c r="M36" s="99" t="inlineStr">
        <is>
          <t>x</t>
        </is>
      </c>
    </row>
    <row r="37">
      <c r="A37" s="46" t="n">
        <v>36</v>
      </c>
      <c r="B37" s="38" t="inlineStr">
        <is>
          <t>Electronic chemicals</t>
        </is>
      </c>
      <c r="C37" s="39" t="inlineStr">
        <is>
          <t>Display materials</t>
        </is>
      </c>
      <c r="D37" s="39" t="inlineStr">
        <is>
          <t>Color filter resists</t>
        </is>
      </c>
      <c r="E37" s="39" t="n"/>
      <c r="F37" s="40" t="inlineStr">
        <is>
          <t>RGB color filter photoresist</t>
        </is>
      </c>
      <c r="G37" s="40" t="inlineStr">
        <is>
          <t>Benzene, Propylene, Pigments</t>
        </is>
      </c>
      <c r="H37" s="44" t="inlineStr">
        <is>
          <t>△</t>
        </is>
      </c>
      <c r="I37" s="40" t="inlineStr">
        <is>
          <t>Acrylic resin, Pigment dispersion, Photoinitiator</t>
        </is>
      </c>
      <c r="J37" s="40" t="inlineStr">
        <is>
          <t>BTX/propylene → Acrylic resist resin + Pigments → Color filter resist</t>
        </is>
      </c>
      <c r="K37" s="194" t="n">
        <v>0.00850424732539712</v>
      </c>
      <c r="L37" s="195" t="inlineStr">
        <is>
          <t>Δ</t>
        </is>
      </c>
      <c r="M37" s="99" t="inlineStr">
        <is>
          <t>Acrylic Acid</t>
        </is>
      </c>
    </row>
    <row r="38">
      <c r="A38" s="46" t="n">
        <v>37</v>
      </c>
      <c r="B38" s="38" t="inlineStr">
        <is>
          <t>Electronic chemicals</t>
        </is>
      </c>
      <c r="C38" s="39" t="inlineStr">
        <is>
          <t>Display materials</t>
        </is>
      </c>
      <c r="D38" s="39" t="inlineStr">
        <is>
          <t xml:space="preserve">Processing chemicals </t>
        </is>
      </c>
      <c r="E38" s="39" t="inlineStr">
        <is>
          <t xml:space="preserve">Photoresists </t>
        </is>
      </c>
      <c r="F38" s="40" t="inlineStr">
        <is>
          <t>Display photoresist</t>
        </is>
      </c>
      <c r="G38" s="40" t="inlineStr">
        <is>
          <t>Benzene, Propylene</t>
        </is>
      </c>
      <c r="H38" s="44" t="inlineStr">
        <is>
          <t>○</t>
        </is>
      </c>
      <c r="I38" s="40" t="inlineStr">
        <is>
          <t>Novolac/acrylic resin, PAG, Solvent</t>
        </is>
      </c>
      <c r="J38" s="40" t="inlineStr">
        <is>
          <t>BTX/propylene → Photoresist resin/formulation → Display PR</t>
        </is>
      </c>
      <c r="K38" s="194" t="n">
        <v>0.0164407719660888</v>
      </c>
      <c r="L38" s="195" t="inlineStr">
        <is>
          <t>Δ</t>
        </is>
      </c>
      <c r="M38" s="99" t="inlineStr">
        <is>
          <t>Acrylic Acid</t>
        </is>
      </c>
    </row>
    <row r="39">
      <c r="A39" s="46" t="n">
        <v>38</v>
      </c>
      <c r="B39" s="38" t="inlineStr">
        <is>
          <t>Electronic chemicals</t>
        </is>
      </c>
      <c r="C39" s="39" t="inlineStr">
        <is>
          <t>Display materials</t>
        </is>
      </c>
      <c r="D39" s="39" t="inlineStr">
        <is>
          <t xml:space="preserve">Processing chemicals </t>
        </is>
      </c>
      <c r="E39" s="39" t="inlineStr">
        <is>
          <t xml:space="preserve">Electronic gases </t>
        </is>
      </c>
      <c r="F39" s="40" t="inlineStr">
        <is>
          <t>Process gas for display panel manufacturing</t>
        </is>
      </c>
      <c r="G39" s="40" t="inlineStr">
        <is>
          <t>Air, Silicon, Fluorine, Chlorine</t>
        </is>
      </c>
      <c r="H39" s="43" t="inlineStr">
        <is>
          <t>-</t>
        </is>
      </c>
      <c r="I39" s="40" t="inlineStr">
        <is>
          <t>N₂/O₂/Ar, Silane, NF₃, HCl, NH₃</t>
        </is>
      </c>
      <c r="J39" s="40" t="inlineStr">
        <is>
          <t>Air separation / Inorganic chemistry → Electronic-grade gases</t>
        </is>
      </c>
      <c r="K39" s="194" t="n">
        <v>0.0130786126864046</v>
      </c>
      <c r="L39" s="195" t="inlineStr">
        <is>
          <t>Δ</t>
        </is>
      </c>
      <c r="M39" s="99" t="inlineStr">
        <is>
          <t>x</t>
        </is>
      </c>
    </row>
    <row r="40">
      <c r="A40" s="46" t="n">
        <v>39</v>
      </c>
      <c r="B40" s="38" t="inlineStr">
        <is>
          <t>Electronic chemicals</t>
        </is>
      </c>
      <c r="C40" s="39" t="inlineStr">
        <is>
          <t>Display materials</t>
        </is>
      </c>
      <c r="D40" s="39" t="inlineStr">
        <is>
          <t xml:space="preserve">Processing chemicals </t>
        </is>
      </c>
      <c r="E40" s="39" t="inlineStr">
        <is>
          <t>Wet-processing chemicals</t>
        </is>
      </c>
      <c r="F40" s="40" t="inlineStr">
        <is>
          <t>Cleaning/etching chemicals for display process</t>
        </is>
      </c>
      <c r="G40" s="40" t="inlineStr">
        <is>
          <t>Sulfur, Chlorine, Fluorspar, Propylene</t>
        </is>
      </c>
      <c r="H40" s="44" t="inlineStr">
        <is>
          <t>△</t>
        </is>
      </c>
      <c r="I40" s="40" t="inlineStr">
        <is>
          <t>H₂SO₄, HCl, HF, IPA, PGMEA</t>
        </is>
      </c>
      <c r="J40" s="40" t="inlineStr">
        <is>
          <t>Inorganic acid/base + Solvent chain → Wet-process chemical</t>
        </is>
      </c>
      <c r="K40" s="194" t="n">
        <v>0.0340052741920989</v>
      </c>
      <c r="L40" s="195" t="inlineStr">
        <is>
          <t>Δ</t>
        </is>
      </c>
      <c r="M40" s="99" t="inlineStr">
        <is>
          <t>x</t>
        </is>
      </c>
    </row>
    <row r="41">
      <c r="A41" s="46" t="n">
        <v>40</v>
      </c>
      <c r="B41" s="38" t="inlineStr">
        <is>
          <t>Electronic chemicals</t>
        </is>
      </c>
      <c r="C41" s="39" t="inlineStr">
        <is>
          <t>Printed circuit boards and packaging</t>
        </is>
      </c>
      <c r="D41" s="39" t="inlineStr">
        <is>
          <t>PCB chemicals</t>
        </is>
      </c>
      <c r="E41" s="39" t="inlineStr">
        <is>
          <t>PCB base materials</t>
        </is>
      </c>
      <c r="F41" s="40" t="inlineStr">
        <is>
          <t>Copper-clad laminate / build-up substrate base</t>
        </is>
      </c>
      <c r="G41" s="40" t="inlineStr">
        <is>
          <t>Benzene, Propylene, Glass fiber, Copper</t>
        </is>
      </c>
      <c r="H41" s="44" t="inlineStr">
        <is>
          <t>△</t>
        </is>
      </c>
      <c r="I41" s="40" t="inlineStr">
        <is>
          <t>Epoxy resin, BT resin, Glass cloth, Copper foil</t>
        </is>
      </c>
      <c r="J41" s="40" t="inlineStr">
        <is>
          <t>BTX/propylene → Epoxy/BT resin + Glass/Cu → PCB laminate</t>
        </is>
      </c>
      <c r="K41" s="194" t="n">
        <v>0.0506245225666149</v>
      </c>
      <c r="L41" s="195" t="inlineStr">
        <is>
          <t>Δ</t>
        </is>
      </c>
      <c r="M41" s="100" t="inlineStr">
        <is>
          <t>Propylene</t>
        </is>
      </c>
    </row>
    <row r="42">
      <c r="A42" s="46" t="n">
        <v>41</v>
      </c>
      <c r="B42" s="38" t="inlineStr">
        <is>
          <t>Electronic chemicals</t>
        </is>
      </c>
      <c r="C42" s="39" t="inlineStr">
        <is>
          <t>Printed circuit boards and packaging</t>
        </is>
      </c>
      <c r="D42" s="39" t="inlineStr">
        <is>
          <t>PCB chemicals</t>
        </is>
      </c>
      <c r="E42" s="39" t="inlineStr">
        <is>
          <t>PCB resists</t>
        </is>
      </c>
      <c r="F42" s="40" t="inlineStr">
        <is>
          <t>Dry film resist / solder mask</t>
        </is>
      </c>
      <c r="G42" s="40" t="inlineStr">
        <is>
          <t>Propylene, Benzene</t>
        </is>
      </c>
      <c r="H42" s="44" t="inlineStr">
        <is>
          <t>○</t>
        </is>
      </c>
      <c r="I42" s="40" t="inlineStr">
        <is>
          <t>Acrylate oligomer, Epoxy acrylate, Photoinitiator</t>
        </is>
      </c>
      <c r="J42" s="40" t="inlineStr">
        <is>
          <t>Propylene/acrylate + BTX → Photoimageable resist</t>
        </is>
      </c>
      <c r="K42" s="194" t="n">
        <v>0.0487742238192328</v>
      </c>
      <c r="L42" s="195" t="inlineStr">
        <is>
          <t>Δ</t>
        </is>
      </c>
      <c r="M42" s="100" t="inlineStr">
        <is>
          <t>Propylene</t>
        </is>
      </c>
    </row>
    <row r="43">
      <c r="A43" s="46" t="n">
        <v>42</v>
      </c>
      <c r="B43" s="38" t="inlineStr">
        <is>
          <t>Electronic chemicals</t>
        </is>
      </c>
      <c r="C43" s="39" t="inlineStr">
        <is>
          <t>Printed circuit boards and packaging</t>
        </is>
      </c>
      <c r="D43" s="39" t="inlineStr">
        <is>
          <t>PCB chemicals</t>
        </is>
      </c>
      <c r="E43" s="39" t="inlineStr">
        <is>
          <t>Wet-processing chemicals</t>
        </is>
      </c>
      <c r="F43" s="40" t="inlineStr">
        <is>
          <t>Etchant, cleaner and desmear chemical</t>
        </is>
      </c>
      <c r="G43" s="40" t="inlineStr">
        <is>
          <t>Chlorine, Sulfur, Fluorspar, Solvent feed</t>
        </is>
      </c>
      <c r="H43" s="44" t="inlineStr">
        <is>
          <t>△</t>
        </is>
      </c>
      <c r="I43" s="40" t="inlineStr">
        <is>
          <t>Cu etchant, H₂SO₄, HCl, HF, Solvent cleaner</t>
        </is>
      </c>
      <c r="J43" s="40" t="inlineStr">
        <is>
          <t>Inorganic acid/base + Solvent chain → PCB wet chemical</t>
        </is>
      </c>
      <c r="K43" s="194" t="n">
        <v>0.0575138741564658</v>
      </c>
      <c r="L43" s="195" t="inlineStr">
        <is>
          <t>Δ</t>
        </is>
      </c>
      <c r="M43" s="99" t="inlineStr">
        <is>
          <t>x</t>
        </is>
      </c>
    </row>
    <row r="44">
      <c r="A44" s="46" t="n">
        <v>43</v>
      </c>
      <c r="B44" s="38" t="inlineStr">
        <is>
          <t>Electronic chemicals</t>
        </is>
      </c>
      <c r="C44" s="39" t="inlineStr">
        <is>
          <t>Printed circuit boards and packaging</t>
        </is>
      </c>
      <c r="D44" s="39" t="inlineStr">
        <is>
          <t>PCB chemicals</t>
        </is>
      </c>
      <c r="E44" s="39" t="inlineStr">
        <is>
          <t>Plating chemicals</t>
        </is>
      </c>
      <c r="F44" s="40" t="inlineStr">
        <is>
          <t>Copper/electroless plating bath</t>
        </is>
      </c>
      <c r="G44" s="40" t="inlineStr">
        <is>
          <t>Copper, Sulfur, Formaldehyde, Organic additives</t>
        </is>
      </c>
      <c r="H44" s="43" t="inlineStr">
        <is>
          <t>-</t>
        </is>
      </c>
      <c r="I44" s="40" t="inlineStr">
        <is>
          <t>Copper sulfate, Chelant, Leveler, Suppressor</t>
        </is>
      </c>
      <c r="J44" s="40" t="inlineStr">
        <is>
          <t>Copper/inorganic acid + Organic additive → PCB plating chemical</t>
        </is>
      </c>
      <c r="K44" s="194" t="n">
        <v>0.0512152033412605</v>
      </c>
      <c r="L44" s="195" t="inlineStr">
        <is>
          <t>Δ</t>
        </is>
      </c>
      <c r="M44" s="99" t="inlineStr">
        <is>
          <t>x</t>
        </is>
      </c>
    </row>
    <row r="45">
      <c r="A45" s="46" t="n">
        <v>44</v>
      </c>
      <c r="B45" s="38" t="inlineStr">
        <is>
          <t>Electronic chemicals</t>
        </is>
      </c>
      <c r="C45" s="39" t="inlineStr">
        <is>
          <t>Printed circuit boards and packaging</t>
        </is>
      </c>
      <c r="D45" s="39" t="inlineStr">
        <is>
          <t>PCB chemicals</t>
        </is>
      </c>
      <c r="E45" s="39" t="inlineStr">
        <is>
          <t>Thick-film pastes</t>
        </is>
      </c>
      <c r="F45" s="40" t="inlineStr">
        <is>
          <t>Conductive/dielectric paste</t>
        </is>
      </c>
      <c r="G45" s="40" t="inlineStr">
        <is>
          <t>Silver, Copper, Nickel, Epoxy/Acrylic resin</t>
        </is>
      </c>
      <c r="H45" s="43" t="inlineStr">
        <is>
          <t>-</t>
        </is>
      </c>
      <c r="I45" s="40" t="inlineStr">
        <is>
          <t>Metal powder, Binder resin, Solvent</t>
        </is>
      </c>
      <c r="J45" s="40" t="inlineStr">
        <is>
          <t>Metal powder + Organic binder → Thin-film paste</t>
        </is>
      </c>
      <c r="K45" s="194" t="n">
        <v>0.0446293206964981</v>
      </c>
      <c r="L45" s="195" t="inlineStr">
        <is>
          <t>Δ</t>
        </is>
      </c>
      <c r="M45" s="99" t="inlineStr">
        <is>
          <t>x</t>
        </is>
      </c>
    </row>
    <row r="46">
      <c r="A46" s="46" t="n">
        <v>45</v>
      </c>
      <c r="B46" s="38" t="inlineStr">
        <is>
          <t>Electronic chemicals</t>
        </is>
      </c>
      <c r="C46" s="39" t="inlineStr">
        <is>
          <t>Printed circuit boards and packaging</t>
        </is>
      </c>
      <c r="D46" s="39" t="inlineStr">
        <is>
          <t>Semiconductor packaging materials</t>
        </is>
      </c>
      <c r="E46" s="39" t="inlineStr">
        <is>
          <t>Substrates and interposer materials</t>
        </is>
      </c>
      <c r="F46" s="40" t="inlineStr">
        <is>
          <t>IC substrate / ABF substrate / silicon interposer</t>
        </is>
      </c>
      <c r="G46" s="40" t="inlineStr">
        <is>
          <t>Benzene, Propylene, Silica, Copper</t>
        </is>
      </c>
      <c r="H46" s="44" t="inlineStr">
        <is>
          <t>△</t>
        </is>
      </c>
      <c r="I46" s="40" t="inlineStr">
        <is>
          <t>ABF resin, BT resin, Cu foil, Silicon wafer</t>
        </is>
      </c>
      <c r="J46" s="40" t="inlineStr">
        <is>
          <t>Epoxy/BT resin + Cu/Si → IC substrate/interposer</t>
        </is>
      </c>
      <c r="K46" s="194" t="n">
        <v>0.069449861594213</v>
      </c>
      <c r="L46" s="195" t="inlineStr">
        <is>
          <t>Δ</t>
        </is>
      </c>
      <c r="M46" s="99" t="inlineStr">
        <is>
          <t>Epoxy resin</t>
        </is>
      </c>
    </row>
    <row r="47">
      <c r="A47" s="46" t="n">
        <v>46</v>
      </c>
      <c r="B47" s="38" t="inlineStr">
        <is>
          <t>Electronic chemicals</t>
        </is>
      </c>
      <c r="C47" s="39" t="inlineStr">
        <is>
          <t>Printed circuit boards and packaging</t>
        </is>
      </c>
      <c r="D47" s="39" t="inlineStr">
        <is>
          <t>Semiconductor packaging materials</t>
        </is>
      </c>
      <c r="E47" s="39" t="inlineStr">
        <is>
          <t>Encapsulants</t>
        </is>
      </c>
      <c r="F47" s="40" t="inlineStr">
        <is>
          <t>Epoxy molding compound for semiconductor package</t>
        </is>
      </c>
      <c r="G47" s="40" t="inlineStr">
        <is>
          <t>Benzene, Propylene, Silica</t>
        </is>
      </c>
      <c r="H47" s="44" t="inlineStr">
        <is>
          <t>△</t>
        </is>
      </c>
      <c r="I47" s="40" t="inlineStr">
        <is>
          <t>Epoxy resin, Phenolic hardener, Silica filler</t>
        </is>
      </c>
      <c r="J47" s="40" t="inlineStr">
        <is>
          <t>BTX/propylene → Epoxy resin + Silica filler → EMC</t>
        </is>
      </c>
      <c r="K47" s="194" t="n">
        <v>0.0687227896225491</v>
      </c>
      <c r="L47" s="195" t="inlineStr">
        <is>
          <t>Δ</t>
        </is>
      </c>
      <c r="M47" s="99" t="inlineStr">
        <is>
          <t>Epoxy resin</t>
        </is>
      </c>
    </row>
    <row r="48">
      <c r="A48" s="46" t="n">
        <v>47</v>
      </c>
      <c r="B48" s="38" t="inlineStr">
        <is>
          <t>Electronic chemicals</t>
        </is>
      </c>
      <c r="C48" s="39" t="inlineStr">
        <is>
          <t>Printed circuit boards and packaging</t>
        </is>
      </c>
      <c r="D48" s="39" t="inlineStr">
        <is>
          <t>Semiconductor packaging materials</t>
        </is>
      </c>
      <c r="E48" s="39" t="inlineStr">
        <is>
          <t>Adhesives</t>
        </is>
      </c>
      <c r="F48" s="40" t="inlineStr">
        <is>
          <t>Die attach adhesive / underfill</t>
        </is>
      </c>
      <c r="G48" s="40" t="inlineStr">
        <is>
          <t>Benzene, Propylene, Silicon</t>
        </is>
      </c>
      <c r="H48" s="44" t="inlineStr">
        <is>
          <t>△</t>
        </is>
      </c>
      <c r="I48" s="40" t="inlineStr">
        <is>
          <t>Epoxy resin, Acrylic resin, Silicone resin</t>
        </is>
      </c>
      <c r="J48" s="40" t="inlineStr">
        <is>
          <t>Epoxy/acrylic/silicone chemistry → Semiconductor adhesive</t>
        </is>
      </c>
      <c r="K48" s="194" t="n">
        <v>0.0602238646991007</v>
      </c>
      <c r="L48" s="195" t="inlineStr">
        <is>
          <t>Δ</t>
        </is>
      </c>
      <c r="M48" s="99" t="inlineStr">
        <is>
          <t>Epoxy resin</t>
        </is>
      </c>
    </row>
    <row r="49">
      <c r="A49" s="46" t="n">
        <v>48</v>
      </c>
      <c r="B49" s="38" t="inlineStr">
        <is>
          <t>Electronic chemicals</t>
        </is>
      </c>
      <c r="C49" s="39" t="inlineStr">
        <is>
          <t>Printed circuit boards and packaging</t>
        </is>
      </c>
      <c r="D49" s="39" t="inlineStr">
        <is>
          <t>Semiconductor packaging materials</t>
        </is>
      </c>
      <c r="E49" s="39" t="inlineStr">
        <is>
          <t>Solder bump materials</t>
        </is>
      </c>
      <c r="F49" s="40" t="inlineStr">
        <is>
          <t>Solder ball / bumping material</t>
        </is>
      </c>
      <c r="G49" s="40" t="inlineStr">
        <is>
          <t>Tin, Silver, Copper</t>
        </is>
      </c>
      <c r="H49" s="43" t="inlineStr">
        <is>
          <t>-</t>
        </is>
      </c>
      <c r="I49" s="40" t="inlineStr">
        <is>
          <t>Sn-Ag-Cu alloy, Solder powder/ball</t>
        </is>
      </c>
      <c r="J49" s="40" t="inlineStr">
        <is>
          <t>High-purity metals → Solder alloy → Solder bump</t>
        </is>
      </c>
      <c r="K49" s="194" t="n">
        <v>0.0726375975835538</v>
      </c>
      <c r="L49" s="195" t="inlineStr">
        <is>
          <t>Δ</t>
        </is>
      </c>
      <c r="M49" s="99" t="inlineStr">
        <is>
          <t>x</t>
        </is>
      </c>
    </row>
    <row r="50">
      <c r="A50" s="46" t="n">
        <v>49</v>
      </c>
      <c r="B50" s="38" t="inlineStr">
        <is>
          <t>Electronic chemicals</t>
        </is>
      </c>
      <c r="C50" s="39" t="inlineStr">
        <is>
          <t>Printed circuit boards and packaging</t>
        </is>
      </c>
      <c r="D50" s="39" t="inlineStr">
        <is>
          <t>Semiconductor packaging materials</t>
        </is>
      </c>
      <c r="E50" s="39" t="inlineStr">
        <is>
          <t>Other materials</t>
        </is>
      </c>
      <c r="F50" s="40" t="inlineStr">
        <is>
          <t>Bonding wire, leadframe, TIM, release film</t>
        </is>
      </c>
      <c r="G50" s="40" t="inlineStr">
        <is>
          <t>Copper, Gold, Silver, Silicon, Benzene</t>
        </is>
      </c>
      <c r="H50" s="44" t="inlineStr">
        <is>
          <t>△</t>
        </is>
      </c>
      <c r="I50" s="40" t="inlineStr">
        <is>
          <t>Bonding wire, Leadframe, Thermal interface material</t>
        </is>
      </c>
      <c r="J50" s="40" t="inlineStr">
        <is>
          <t>High-purity metal + Polymer formulation → Packaging auxiliary material</t>
        </is>
      </c>
      <c r="K50" s="194" t="n">
        <v>0.0671582070669203</v>
      </c>
      <c r="L50" s="195" t="inlineStr">
        <is>
          <t>Δ</t>
        </is>
      </c>
      <c r="M50" s="99" t="inlineStr">
        <is>
          <t>x</t>
        </is>
      </c>
    </row>
    <row r="51" ht="22.5" customHeight="1" s="179">
      <c r="A51" s="46" t="n">
        <v>50</v>
      </c>
      <c r="B51" s="38" t="inlineStr">
        <is>
          <t>Nutraceutical ingredients</t>
        </is>
      </c>
      <c r="C51" s="38" t="inlineStr">
        <is>
          <t>Nutraceutical ingredients</t>
        </is>
      </c>
      <c r="D51" s="38" t="inlineStr">
        <is>
          <t>Amino acids, peptidesand proteins</t>
        </is>
      </c>
      <c r="E51" s="38" t="n"/>
      <c r="F51" s="45" t="inlineStr">
        <is>
          <t>Health supplement amino acid/protein ingredient</t>
        </is>
      </c>
      <c r="G51" s="45" t="inlineStr">
        <is>
          <t>Glucose, Ammonia, Natural protein</t>
        </is>
      </c>
      <c r="H51" s="46" t="inlineStr">
        <is>
          <t>-</t>
        </is>
      </c>
      <c r="I51" s="45" t="inlineStr">
        <is>
          <t>Amino acids, Peptides, Protein hydrolysate</t>
        </is>
      </c>
      <c r="J51" s="45" t="inlineStr">
        <is>
          <t>Biomass/sugar → Fermentation or hydrolysis → Amino acid/protein ingredient</t>
        </is>
      </c>
      <c r="K51" s="194" t="n">
        <v>0.0402287766442251</v>
      </c>
      <c r="L51" s="196" t="n"/>
      <c r="M51" s="99" t="inlineStr">
        <is>
          <t>x</t>
        </is>
      </c>
    </row>
    <row r="52" ht="22.5" customHeight="1" s="179">
      <c r="A52" s="46" t="n">
        <v>51</v>
      </c>
      <c r="B52" s="38" t="inlineStr">
        <is>
          <t>Nutraceutical ingredients</t>
        </is>
      </c>
      <c r="C52" s="38" t="inlineStr">
        <is>
          <t>Nutraceutical ingredients</t>
        </is>
      </c>
      <c r="D52" s="38" t="inlineStr">
        <is>
          <t>Carotenoids</t>
        </is>
      </c>
      <c r="E52" s="38" t="n"/>
      <c r="F52" s="45" t="inlineStr">
        <is>
          <t>Eye-health / antioxidant nutraceutical ingredient</t>
        </is>
      </c>
      <c r="G52" s="45" t="inlineStr">
        <is>
          <t>C5 isoprene, Natural extracts</t>
        </is>
      </c>
      <c r="H52" s="46" t="inlineStr">
        <is>
          <t>-</t>
        </is>
      </c>
      <c r="I52" s="45" t="inlineStr">
        <is>
          <t>Beta-carotene, Lutein, Astaxanthin</t>
        </is>
      </c>
      <c r="J52" s="45" t="inlineStr">
        <is>
          <t>Isoprene/natural extraction → Carotenoid active → Nutraceutical formulation</t>
        </is>
      </c>
      <c r="K52" s="194" t="n">
        <v>0.0402287766442251</v>
      </c>
      <c r="L52" s="196" t="n"/>
      <c r="M52" s="100" t="inlineStr">
        <is>
          <t>Isoprene</t>
        </is>
      </c>
    </row>
    <row r="53">
      <c r="A53" s="46" t="n">
        <v>52</v>
      </c>
      <c r="B53" s="38" t="inlineStr">
        <is>
          <t>Nutraceutical ingredients</t>
        </is>
      </c>
      <c r="C53" s="38" t="inlineStr">
        <is>
          <t>Nutraceutical ingredients</t>
        </is>
      </c>
      <c r="D53" s="38" t="inlineStr">
        <is>
          <t>Mineralsand traceelements</t>
        </is>
      </c>
      <c r="E53" s="38" t="n"/>
      <c r="F53" s="45" t="inlineStr">
        <is>
          <t>Mineral supplement ingredient</t>
        </is>
      </c>
      <c r="G53" s="45" t="inlineStr">
        <is>
          <t>Inorganic minerals</t>
        </is>
      </c>
      <c r="H53" s="46" t="inlineStr">
        <is>
          <t>-</t>
        </is>
      </c>
      <c r="I53" s="45" t="inlineStr">
        <is>
          <t>Calcium, Magnesium, Zinc, Iron salts</t>
        </is>
      </c>
      <c r="J53" s="45" t="inlineStr">
        <is>
          <t>Mineral refining → Food-grade mineral salt → Supplement ingredient</t>
        </is>
      </c>
      <c r="K53" s="194" t="n">
        <v>0.0402287766442251</v>
      </c>
      <c r="L53" s="196" t="n"/>
      <c r="M53" s="99" t="inlineStr">
        <is>
          <t>x</t>
        </is>
      </c>
    </row>
    <row r="54">
      <c r="A54" s="46" t="n">
        <v>53</v>
      </c>
      <c r="B54" s="38" t="inlineStr">
        <is>
          <t>Nutraceutical ingredients</t>
        </is>
      </c>
      <c r="C54" s="38" t="inlineStr">
        <is>
          <t>Nutraceutical ingredients</t>
        </is>
      </c>
      <c r="D54" s="38" t="inlineStr">
        <is>
          <t>Polyphenols andflavonoids</t>
        </is>
      </c>
      <c r="E54" s="38" t="n"/>
      <c r="F54" s="45" t="inlineStr">
        <is>
          <t>Antioxidant botanical extract</t>
        </is>
      </c>
      <c r="G54" s="45" t="inlineStr">
        <is>
          <t>Botanical feedstock</t>
        </is>
      </c>
      <c r="H54" s="46" t="inlineStr">
        <is>
          <t>-</t>
        </is>
      </c>
      <c r="I54" s="45" t="inlineStr">
        <is>
          <t>Tea catechin, Grape polyphenol, Isoflavone</t>
        </is>
      </c>
      <c r="J54" s="45" t="inlineStr">
        <is>
          <t>Plant extraction → Purification → Functional polyphenol ingredient</t>
        </is>
      </c>
      <c r="K54" s="194" t="n">
        <v>0.0402287766442251</v>
      </c>
      <c r="L54" s="196" t="n"/>
      <c r="M54" s="99" t="inlineStr">
        <is>
          <t>x</t>
        </is>
      </c>
    </row>
    <row r="55">
      <c r="A55" s="46" t="n">
        <v>54</v>
      </c>
      <c r="B55" s="38" t="inlineStr">
        <is>
          <t>Nutraceutical ingredients</t>
        </is>
      </c>
      <c r="C55" s="38" t="inlineStr">
        <is>
          <t>Nutraceutical ingredients</t>
        </is>
      </c>
      <c r="D55" s="38" t="inlineStr">
        <is>
          <t>Probiotics</t>
        </is>
      </c>
      <c r="E55" s="38" t="n"/>
      <c r="F55" s="45" t="inlineStr">
        <is>
          <t>Digestive/immune health probiotic culture</t>
        </is>
      </c>
      <c r="G55" s="45" t="inlineStr">
        <is>
          <t>Sugar, Fermentation medium</t>
        </is>
      </c>
      <c r="H55" s="46" t="inlineStr">
        <is>
          <t>-</t>
        </is>
      </c>
      <c r="I55" s="45" t="inlineStr">
        <is>
          <t>Lactobacillus, Bifidobacterium strain</t>
        </is>
      </c>
      <c r="J55" s="45" t="inlineStr">
        <is>
          <t>Sugar/biomass → Fermentation → Probiotic culture</t>
        </is>
      </c>
      <c r="K55" s="194" t="n">
        <v>0.0402287766442251</v>
      </c>
      <c r="L55" s="196" t="n"/>
      <c r="M55" s="99" t="inlineStr">
        <is>
          <t>x</t>
        </is>
      </c>
    </row>
    <row r="56">
      <c r="A56" s="46" t="n">
        <v>55</v>
      </c>
      <c r="B56" s="38" t="inlineStr">
        <is>
          <t>Nutraceutical ingredients</t>
        </is>
      </c>
      <c r="C56" s="38" t="inlineStr">
        <is>
          <t>Nutraceutical ingredients</t>
        </is>
      </c>
      <c r="D56" s="38" t="inlineStr">
        <is>
          <t>Specialty carbohydratesand fibers</t>
        </is>
      </c>
      <c r="E56" s="38" t="n"/>
      <c r="F56" s="45" t="inlineStr">
        <is>
          <t>Prebiotic fiber / dietary fiber ingredient</t>
        </is>
      </c>
      <c r="G56" s="45" t="inlineStr">
        <is>
          <t>Starch, Sugar, Cellulose</t>
        </is>
      </c>
      <c r="H56" s="46" t="inlineStr">
        <is>
          <t>-</t>
        </is>
      </c>
      <c r="I56" s="45" t="inlineStr">
        <is>
          <t>Inulin, Resistant dextrin, Polydextrose</t>
        </is>
      </c>
      <c r="J56" s="45" t="inlineStr">
        <is>
          <t>Biomass/starch → Hydrolysis/modification → Functional fiber</t>
        </is>
      </c>
      <c r="K56" s="194" t="n">
        <v>0.0402287766442251</v>
      </c>
      <c r="L56" s="196" t="n"/>
      <c r="M56" s="99" t="inlineStr">
        <is>
          <t>x</t>
        </is>
      </c>
    </row>
    <row r="57" ht="22.5" customHeight="1" s="179">
      <c r="A57" s="46" t="n">
        <v>56</v>
      </c>
      <c r="B57" s="38" t="inlineStr">
        <is>
          <t>Nutraceutical ingredients</t>
        </is>
      </c>
      <c r="C57" s="38" t="inlineStr">
        <is>
          <t>Nutraceutical ingredients</t>
        </is>
      </c>
      <c r="D57" s="38" t="inlineStr">
        <is>
          <t>Specialtyfattyacids</t>
        </is>
      </c>
      <c r="E57" s="38" t="n"/>
      <c r="F57" s="45" t="inlineStr">
        <is>
          <t>Omega-3 / functional lipid ingredient</t>
        </is>
      </c>
      <c r="G57" s="45" t="inlineStr">
        <is>
          <t>Fish oil, Algae oil, Oleochemical</t>
        </is>
      </c>
      <c r="H57" s="46" t="inlineStr">
        <is>
          <t>-</t>
        </is>
      </c>
      <c r="I57" s="45" t="inlineStr">
        <is>
          <t>EPA, DHA, CLA</t>
        </is>
      </c>
      <c r="J57" s="45" t="inlineStr">
        <is>
          <t>Natural oil/algae fermentation → Fatty acid concentration → Nutraceutical oil</t>
        </is>
      </c>
      <c r="K57" s="194" t="n">
        <v>0.0402287766442251</v>
      </c>
      <c r="L57" s="196" t="n"/>
      <c r="M57" s="99" t="inlineStr">
        <is>
          <t>x</t>
        </is>
      </c>
    </row>
    <row r="58">
      <c r="A58" s="46" t="n">
        <v>57</v>
      </c>
      <c r="B58" s="38" t="inlineStr">
        <is>
          <t>Nutraceutical ingredients</t>
        </is>
      </c>
      <c r="C58" s="38" t="inlineStr">
        <is>
          <t>Nutraceutical ingredients</t>
        </is>
      </c>
      <c r="D58" s="38" t="inlineStr">
        <is>
          <t>Sterolsandstanols</t>
        </is>
      </c>
      <c r="E58" s="38" t="n"/>
      <c r="F58" s="45" t="inlineStr">
        <is>
          <t>Cholesterol-lowering plant sterol ingredient</t>
        </is>
      </c>
      <c r="G58" s="45" t="inlineStr">
        <is>
          <t>Vegetable oil, Tall oil</t>
        </is>
      </c>
      <c r="H58" s="46" t="inlineStr">
        <is>
          <t>-</t>
        </is>
      </c>
      <c r="I58" s="45" t="inlineStr">
        <is>
          <t>Phytosterol, Stanol ester</t>
        </is>
      </c>
      <c r="J58" s="45" t="inlineStr">
        <is>
          <t>Oleochemical/tall oil → Sterol extraction → Esterified sterol ingredient</t>
        </is>
      </c>
      <c r="K58" s="194" t="n">
        <v>0.0402287766442251</v>
      </c>
      <c r="L58" s="196" t="n"/>
      <c r="M58" s="99" t="inlineStr">
        <is>
          <t>x</t>
        </is>
      </c>
    </row>
    <row r="59">
      <c r="A59" s="46" t="n">
        <v>58</v>
      </c>
      <c r="B59" s="38" t="inlineStr">
        <is>
          <t>Nutraceutical ingredients</t>
        </is>
      </c>
      <c r="C59" s="38" t="inlineStr">
        <is>
          <t>Nutraceutical ingredients</t>
        </is>
      </c>
      <c r="D59" s="38" t="inlineStr">
        <is>
          <t>Vitamins</t>
        </is>
      </c>
      <c r="E59" s="38" t="n"/>
      <c r="F59" s="45" t="inlineStr">
        <is>
          <t>Vitamin supplement active ingredient</t>
        </is>
      </c>
      <c r="G59" s="45" t="inlineStr">
        <is>
          <t>Glucose, Acetone, Isoprene, Fermentation feedstock</t>
        </is>
      </c>
      <c r="H59" s="44" t="inlineStr">
        <is>
          <t>△</t>
        </is>
      </c>
      <c r="I59" s="45" t="inlineStr">
        <is>
          <t>Vitamin C, E, B-group intermediates</t>
        </is>
      </c>
      <c r="J59" s="45" t="inlineStr">
        <is>
          <t>Petrochemical/biomass route → Vitamin intermediate → Vitamin active</t>
        </is>
      </c>
      <c r="K59" s="194" t="n">
        <v>0.0402287766442251</v>
      </c>
      <c r="L59" s="196" t="n"/>
      <c r="M59" s="99" t="inlineStr">
        <is>
          <t>x</t>
        </is>
      </c>
    </row>
    <row r="60">
      <c r="A60" s="46" t="n">
        <v>59</v>
      </c>
      <c r="B60" s="38" t="inlineStr">
        <is>
          <t>Nutraceutical ingredients</t>
        </is>
      </c>
      <c r="C60" s="38" t="inlineStr">
        <is>
          <t>Nutraceutical ingredients</t>
        </is>
      </c>
      <c r="D60" s="38" t="inlineStr">
        <is>
          <t>Other</t>
        </is>
      </c>
      <c r="E60" s="38" t="n"/>
      <c r="F60" s="45" t="inlineStr">
        <is>
          <t>Specialty functional health ingredient</t>
        </is>
      </c>
      <c r="G60" s="45" t="inlineStr">
        <is>
          <t>Biomass, Petrochemical intermediates</t>
        </is>
      </c>
      <c r="H60" s="44" t="inlineStr">
        <is>
          <t>△</t>
        </is>
      </c>
      <c r="I60" s="45" t="inlineStr">
        <is>
          <t>CoQ10, Glucosamine, Specialty actives</t>
        </is>
      </c>
      <c r="J60" s="45" t="inlineStr">
        <is>
          <t>Fermentation/extraction/synthesis → Functional nutraceutical active</t>
        </is>
      </c>
      <c r="K60" s="194" t="n">
        <v>0.0402287766442251</v>
      </c>
      <c r="L60" s="196" t="n"/>
      <c r="M60" s="99" t="inlineStr">
        <is>
          <t>x</t>
        </is>
      </c>
    </row>
    <row r="61">
      <c r="A61" s="46" t="n">
        <v>60</v>
      </c>
      <c r="B61" s="38" t="inlineStr">
        <is>
          <t>Specialty polymers</t>
        </is>
      </c>
      <c r="C61" s="47" t="inlineStr">
        <is>
          <t>High-performance thermoplastics</t>
        </is>
      </c>
      <c r="D61" s="47" t="inlineStr">
        <is>
          <t>Semicrystalline</t>
        </is>
      </c>
      <c r="E61" s="47" t="inlineStr">
        <is>
          <t>High-performance polyamides</t>
        </is>
      </c>
      <c r="F61" s="48" t="inlineStr">
        <is>
          <t>Automotive under-the-hood engineering plastic</t>
        </is>
      </c>
      <c r="G61" s="48" t="inlineStr">
        <is>
          <t>Benzene, C4</t>
        </is>
      </c>
      <c r="H61" s="44" t="inlineStr">
        <is>
          <t>○</t>
        </is>
      </c>
      <c r="I61" s="48" t="inlineStr">
        <is>
          <t>Diamine, Diacid, Lactam</t>
        </is>
      </c>
      <c r="J61" s="48" t="inlineStr">
        <is>
          <t>BTX/C4 → Nylon intermediates → Specialty polyamide</t>
        </is>
      </c>
      <c r="K61" s="194" t="n">
        <v>0.03306184547039304</v>
      </c>
      <c r="L61" s="197" t="inlineStr">
        <is>
          <t>O</t>
        </is>
      </c>
      <c r="M61" s="99" t="inlineStr">
        <is>
          <t>Cyclohexanone</t>
        </is>
      </c>
    </row>
    <row r="62">
      <c r="A62" s="46" t="n">
        <v>61</v>
      </c>
      <c r="B62" s="38" t="inlineStr">
        <is>
          <t>Specialty polymers</t>
        </is>
      </c>
      <c r="C62" s="47" t="inlineStr">
        <is>
          <t>High-performance thermoplastics</t>
        </is>
      </c>
      <c r="D62" s="47" t="inlineStr">
        <is>
          <t>Semicrystalline</t>
        </is>
      </c>
      <c r="E62" s="47" t="inlineStr">
        <is>
          <t>Polyphenylene sulfide</t>
        </is>
      </c>
      <c r="F62" s="48" t="inlineStr">
        <is>
          <t>High-temperature electrical/electronic component resin</t>
        </is>
      </c>
      <c r="G62" s="48" t="inlineStr">
        <is>
          <t>Benzene, Sulfur</t>
        </is>
      </c>
      <c r="H62" s="44" t="inlineStr">
        <is>
          <t>△</t>
        </is>
      </c>
      <c r="I62" s="48" t="inlineStr">
        <is>
          <t>p-Dichlorobenzene, Sodium sulfide</t>
        </is>
      </c>
      <c r="J62" s="48" t="inlineStr">
        <is>
          <t>Benzene/chlor-alkali/sulfur → PPS monomer → PPS resin</t>
        </is>
      </c>
      <c r="K62" s="194" t="n">
        <v>0.03306184547039304</v>
      </c>
      <c r="L62" s="197" t="inlineStr">
        <is>
          <t>O</t>
        </is>
      </c>
      <c r="M62" s="99" t="inlineStr">
        <is>
          <t>x</t>
        </is>
      </c>
    </row>
    <row r="63">
      <c r="A63" s="46" t="n">
        <v>62</v>
      </c>
      <c r="B63" s="38" t="inlineStr">
        <is>
          <t>Specialty polymers</t>
        </is>
      </c>
      <c r="C63" s="47" t="inlineStr">
        <is>
          <t>High-performance thermoplastics</t>
        </is>
      </c>
      <c r="D63" s="47" t="inlineStr">
        <is>
          <t>Semicrystalline</t>
        </is>
      </c>
      <c r="E63" s="47" t="inlineStr">
        <is>
          <t>Liquid crystal polymers</t>
        </is>
      </c>
      <c r="F63" s="48" t="inlineStr">
        <is>
          <t>SMT connector &amp; miniaturized electronic component resin</t>
        </is>
      </c>
      <c r="G63" s="48" t="inlineStr">
        <is>
          <t>PX, Benzene</t>
        </is>
      </c>
      <c r="H63" s="44" t="inlineStr">
        <is>
          <t>○</t>
        </is>
      </c>
      <c r="I63" s="48" t="inlineStr">
        <is>
          <t>Aromatic hydroxy acid, Aromatic polyester monomer</t>
        </is>
      </c>
      <c r="J63" s="48" t="inlineStr">
        <is>
          <t>Aromatics → Specialty aromatic monomer → LCP</t>
        </is>
      </c>
      <c r="K63" s="194" t="n">
        <v>0.03306184547039304</v>
      </c>
      <c r="L63" s="197" t="inlineStr">
        <is>
          <t>O</t>
        </is>
      </c>
      <c r="M63" s="99" t="inlineStr">
        <is>
          <t>x</t>
        </is>
      </c>
    </row>
    <row r="64">
      <c r="A64" s="46" t="n">
        <v>63</v>
      </c>
      <c r="B64" s="38" t="inlineStr">
        <is>
          <t>Specialty polymers</t>
        </is>
      </c>
      <c r="C64" s="47" t="inlineStr">
        <is>
          <t>High-performance thermoplastics</t>
        </is>
      </c>
      <c r="D64" s="47" t="inlineStr">
        <is>
          <t>Semicrystalline</t>
        </is>
      </c>
      <c r="E64" s="47" t="inlineStr">
        <is>
          <t>Aromatic ketone polymers</t>
        </is>
      </c>
      <c r="F64" s="48" t="inlineStr">
        <is>
          <t>Aerospace &amp; semiconductor ultra-performance resin</t>
        </is>
      </c>
      <c r="G64" s="48" t="inlineStr">
        <is>
          <t>Benzene</t>
        </is>
      </c>
      <c r="H64" s="44" t="inlineStr">
        <is>
          <t>○</t>
        </is>
      </c>
      <c r="I64" s="48" t="inlineStr">
        <is>
          <t>Bisphenol, Aromatic ketone monomer</t>
        </is>
      </c>
      <c r="J64" s="48" t="inlineStr">
        <is>
          <t>BTX → Aromatic ketone intermediate → PEEK/PEKK</t>
        </is>
      </c>
      <c r="K64" s="194" t="n">
        <v>0.03306184547039304</v>
      </c>
      <c r="L64" s="197" t="inlineStr">
        <is>
          <t>O</t>
        </is>
      </c>
      <c r="M64" s="99" t="inlineStr">
        <is>
          <t>x</t>
        </is>
      </c>
    </row>
    <row r="65">
      <c r="A65" s="46" t="n">
        <v>64</v>
      </c>
      <c r="B65" s="38" t="inlineStr">
        <is>
          <t>Specialty polymers</t>
        </is>
      </c>
      <c r="C65" s="47" t="inlineStr">
        <is>
          <t>High-performance thermoplastics</t>
        </is>
      </c>
      <c r="D65" s="47" t="inlineStr">
        <is>
          <t>Semicrystalline</t>
        </is>
      </c>
      <c r="E65" s="47" t="inlineStr">
        <is>
          <t>Polycyclohexylenedimethylene 
terephthalate (PCT)</t>
        </is>
      </c>
      <c r="F65" s="48" t="inlineStr">
        <is>
          <t>LED reflector &amp; high-heat electrical polyester</t>
        </is>
      </c>
      <c r="G65" s="48" t="inlineStr">
        <is>
          <t>PX, Ethylene</t>
        </is>
      </c>
      <c r="H65" s="44" t="inlineStr">
        <is>
          <t>○</t>
        </is>
      </c>
      <c r="I65" s="48" t="inlineStr">
        <is>
          <t>PTA, CHDM</t>
        </is>
      </c>
      <c r="J65" s="48" t="inlineStr">
        <is>
          <t>PX/ethylene → PTA + CHDM → PCT</t>
        </is>
      </c>
      <c r="K65" s="194" t="n">
        <v>0.03306184547039304</v>
      </c>
      <c r="L65" s="197" t="inlineStr">
        <is>
          <t>O</t>
        </is>
      </c>
      <c r="M65" s="99" t="inlineStr">
        <is>
          <t>TPA</t>
        </is>
      </c>
    </row>
    <row r="66">
      <c r="A66" s="46" t="n">
        <v>65</v>
      </c>
      <c r="B66" s="38" t="inlineStr">
        <is>
          <t>Specialty polymers</t>
        </is>
      </c>
      <c r="C66" s="47" t="inlineStr">
        <is>
          <t>High-performance thermoplastics</t>
        </is>
      </c>
      <c r="D66" s="47" t="inlineStr">
        <is>
          <t xml:space="preserve">Amorphous </t>
        </is>
      </c>
      <c r="E66" s="47" t="inlineStr">
        <is>
          <t>Polyarylate resin (PAR)</t>
        </is>
      </c>
      <c r="F66" s="48" t="inlineStr">
        <is>
          <t>Transparent heat-resistant engineering plastic</t>
        </is>
      </c>
      <c r="G66" s="48" t="inlineStr">
        <is>
          <t>Benzene, PX</t>
        </is>
      </c>
      <c r="H66" s="44" t="inlineStr">
        <is>
          <t>○</t>
        </is>
      </c>
      <c r="I66" s="48" t="inlineStr">
        <is>
          <t>BPA, Terephthaloyl chloride</t>
        </is>
      </c>
      <c r="J66" s="48" t="inlineStr">
        <is>
          <t>BTX → BPA/aromatic acid chloride → PAR</t>
        </is>
      </c>
      <c r="K66" s="194" t="n">
        <v>0.0356719</v>
      </c>
      <c r="L66" s="197" t="inlineStr">
        <is>
          <t>O</t>
        </is>
      </c>
      <c r="M66" s="100" t="inlineStr">
        <is>
          <t>BPA</t>
        </is>
      </c>
    </row>
    <row r="67">
      <c r="A67" s="46" t="n">
        <v>66</v>
      </c>
      <c r="B67" s="38" t="inlineStr">
        <is>
          <t>Specialty polymers</t>
        </is>
      </c>
      <c r="C67" s="47" t="inlineStr">
        <is>
          <t>High-performance thermoplastics</t>
        </is>
      </c>
      <c r="D67" s="47" t="inlineStr">
        <is>
          <t xml:space="preserve">Amorphous </t>
        </is>
      </c>
      <c r="E67" s="47" t="inlineStr">
        <is>
          <t>Sulfone polymers</t>
        </is>
      </c>
      <c r="F67" s="48" t="inlineStr">
        <is>
          <t>Medical, membrane &amp; aerospace engineering plastic</t>
        </is>
      </c>
      <c r="G67" s="48" t="inlineStr">
        <is>
          <t>Benzene, Propylene</t>
        </is>
      </c>
      <c r="H67" s="44" t="inlineStr">
        <is>
          <t>○</t>
        </is>
      </c>
      <c r="I67" s="48" t="inlineStr">
        <is>
          <t>BPA, Dichlorodiphenyl sulfone</t>
        </is>
      </c>
      <c r="J67" s="48" t="inlineStr">
        <is>
          <t>BTX/propylene → BPA + sulfone intermediate → Sulfone polymer</t>
        </is>
      </c>
      <c r="K67" s="194" t="n">
        <v>0.0356719</v>
      </c>
      <c r="L67" s="197" t="inlineStr">
        <is>
          <t>O</t>
        </is>
      </c>
      <c r="M67" s="99" t="inlineStr">
        <is>
          <t>BPA</t>
        </is>
      </c>
    </row>
    <row r="68">
      <c r="A68" s="46" t="n">
        <v>67</v>
      </c>
      <c r="B68" s="38" t="inlineStr">
        <is>
          <t>Specialty polymers</t>
        </is>
      </c>
      <c r="C68" s="47" t="inlineStr">
        <is>
          <t>High-performance thermoplastics</t>
        </is>
      </c>
      <c r="D68" s="47" t="inlineStr">
        <is>
          <t xml:space="preserve">Amorphous </t>
        </is>
      </c>
      <c r="E68" s="47" t="inlineStr">
        <is>
          <t>Polyimide resins</t>
        </is>
      </c>
      <c r="F68" s="48" t="inlineStr">
        <is>
          <t>Semiconductor &amp; FPCB heat-resistant material</t>
        </is>
      </c>
      <c r="G68" s="48" t="inlineStr">
        <is>
          <t>Benzene, PX</t>
        </is>
      </c>
      <c r="H68" s="44" t="inlineStr">
        <is>
          <t>○</t>
        </is>
      </c>
      <c r="I68" s="48" t="inlineStr">
        <is>
          <t>Dianhydride, Diamine</t>
        </is>
      </c>
      <c r="J68" s="48" t="inlineStr">
        <is>
          <t>Aromatics → PI monomer → Polyimide</t>
        </is>
      </c>
      <c r="K68" s="194" t="n">
        <v>0.0356719</v>
      </c>
      <c r="L68" s="197" t="inlineStr">
        <is>
          <t>O</t>
        </is>
      </c>
      <c r="M68" s="99" t="inlineStr">
        <is>
          <t>x</t>
        </is>
      </c>
    </row>
    <row r="69">
      <c r="A69" s="46" t="n">
        <v>68</v>
      </c>
      <c r="B69" s="38" t="inlineStr">
        <is>
          <t>Specialty polymers</t>
        </is>
      </c>
      <c r="C69" s="47" t="inlineStr">
        <is>
          <t>Compounded engineering thermoplastics</t>
        </is>
      </c>
      <c r="D69" s="47" t="inlineStr">
        <is>
          <t>Polyamide (Nylon)</t>
        </is>
      </c>
      <c r="E69" s="47" t="n"/>
      <c r="F69" s="48" t="inlineStr">
        <is>
          <t>Glass-fiber reinforced automotive engineering compound</t>
        </is>
      </c>
      <c r="G69" s="48" t="inlineStr">
        <is>
          <t>Benzene, C4</t>
        </is>
      </c>
      <c r="H69" s="44" t="inlineStr">
        <is>
          <t>○</t>
        </is>
      </c>
      <c r="I69" s="48" t="inlineStr">
        <is>
          <t>Caprolactam, Nylon resin</t>
        </is>
      </c>
      <c r="J69" s="48" t="inlineStr">
        <is>
          <t>BTX/C4 → Nylon resin → Compound</t>
        </is>
      </c>
      <c r="K69" s="194" t="n">
        <v>0.0317360016136865</v>
      </c>
      <c r="L69" s="197" t="inlineStr">
        <is>
          <t>O</t>
        </is>
      </c>
      <c r="M69" s="99" t="inlineStr">
        <is>
          <t>Caprolactam</t>
        </is>
      </c>
    </row>
    <row r="70">
      <c r="A70" s="46" t="n">
        <v>69</v>
      </c>
      <c r="B70" s="38" t="inlineStr">
        <is>
          <t>Specialty polymers</t>
        </is>
      </c>
      <c r="C70" s="47" t="inlineStr">
        <is>
          <t>Compounded engineering thermoplastics</t>
        </is>
      </c>
      <c r="D70" s="47" t="inlineStr">
        <is>
          <t>Polybutylene terephthalate (PBT)</t>
        </is>
      </c>
      <c r="E70" s="47" t="n"/>
      <c r="F70" s="48" t="inlineStr">
        <is>
          <t>Electrical connector &amp; automotive sensor compound</t>
        </is>
      </c>
      <c r="G70" s="48" t="inlineStr">
        <is>
          <t>PX, C4</t>
        </is>
      </c>
      <c r="H70" s="44" t="inlineStr">
        <is>
          <t>○</t>
        </is>
      </c>
      <c r="I70" s="48" t="inlineStr">
        <is>
          <t>PTA, BDO</t>
        </is>
      </c>
      <c r="J70" s="48" t="inlineStr">
        <is>
          <t>PX/C4 → PTA + BDO → PBT</t>
        </is>
      </c>
      <c r="K70" s="194" t="n">
        <v>0.0317360016136865</v>
      </c>
      <c r="L70" s="197" t="inlineStr">
        <is>
          <t>O</t>
        </is>
      </c>
      <c r="M70" s="99" t="inlineStr">
        <is>
          <t>TPA</t>
        </is>
      </c>
    </row>
    <row r="71">
      <c r="A71" s="46" t="n">
        <v>70</v>
      </c>
      <c r="B71" s="38" t="inlineStr">
        <is>
          <t>Specialty polymers</t>
        </is>
      </c>
      <c r="C71" s="47" t="inlineStr">
        <is>
          <t>Compounded engineering thermoplastics</t>
        </is>
      </c>
      <c r="D71" s="47" t="inlineStr">
        <is>
          <t>Polycarbonate</t>
        </is>
      </c>
      <c r="E71" s="47" t="n"/>
      <c r="F71" s="48" t="inlineStr">
        <is>
          <t>Flame-retardant electronics housing material</t>
        </is>
      </c>
      <c r="G71" s="48" t="inlineStr">
        <is>
          <t>Benzene, Propylene</t>
        </is>
      </c>
      <c r="H71" s="44" t="inlineStr">
        <is>
          <t>○</t>
        </is>
      </c>
      <c r="I71" s="48" t="inlineStr">
        <is>
          <t>BPA, PC resin</t>
        </is>
      </c>
      <c r="J71" s="48" t="inlineStr">
        <is>
          <t>BTX/propylene → BPA → PC resin → Compound</t>
        </is>
      </c>
      <c r="K71" s="194" t="n">
        <v>0.0317360016136865</v>
      </c>
      <c r="L71" s="197" t="inlineStr">
        <is>
          <t>O</t>
        </is>
      </c>
      <c r="M71" s="99" t="inlineStr">
        <is>
          <t>PC</t>
        </is>
      </c>
    </row>
    <row r="72">
      <c r="A72" s="46" t="n">
        <v>71</v>
      </c>
      <c r="B72" s="38" t="inlineStr">
        <is>
          <t>Specialty polymers</t>
        </is>
      </c>
      <c r="C72" s="47" t="inlineStr">
        <is>
          <t>Compounded engineering thermoplastics</t>
        </is>
      </c>
      <c r="D72" s="47" t="inlineStr">
        <is>
          <t>PPE</t>
        </is>
      </c>
      <c r="E72" s="47" t="n"/>
      <c r="F72" s="48" t="inlineStr">
        <is>
          <t>Dimensional-stability electrical component material</t>
        </is>
      </c>
      <c r="G72" s="48" t="inlineStr">
        <is>
          <t>Benzene, Propylene</t>
        </is>
      </c>
      <c r="H72" s="44" t="inlineStr">
        <is>
          <t>○</t>
        </is>
      </c>
      <c r="I72" s="48" t="inlineStr">
        <is>
          <t>Phenolic intermediate</t>
        </is>
      </c>
      <c r="J72" s="48" t="inlineStr">
        <is>
          <t>BTX/propylene → Phenolic intermediate → PPE</t>
        </is>
      </c>
      <c r="K72" s="194" t="n">
        <v>0.0317360016136865</v>
      </c>
      <c r="L72" s="197" t="inlineStr">
        <is>
          <t>O</t>
        </is>
      </c>
      <c r="M72" s="99" t="inlineStr">
        <is>
          <t>Phenol</t>
        </is>
      </c>
    </row>
    <row r="73">
      <c r="A73" s="46" t="n">
        <v>72</v>
      </c>
      <c r="B73" s="38" t="inlineStr">
        <is>
          <t>Specialty polymers</t>
        </is>
      </c>
      <c r="C73" s="47" t="inlineStr">
        <is>
          <t>Compounded engineering thermoplastics</t>
        </is>
      </c>
      <c r="D73" s="47" t="inlineStr">
        <is>
          <t>POM(Polyacetal)</t>
        </is>
      </c>
      <c r="E73" s="47" t="n"/>
      <c r="F73" s="48" t="inlineStr">
        <is>
          <t>Precision gear &amp; bearing engineering plastic</t>
        </is>
      </c>
      <c r="G73" s="48" t="inlineStr">
        <is>
          <t>Natural gas, Methanol</t>
        </is>
      </c>
      <c r="H73" s="44" t="inlineStr">
        <is>
          <t>○</t>
        </is>
      </c>
      <c r="I73" s="48" t="inlineStr">
        <is>
          <t>Formaldehyde</t>
        </is>
      </c>
      <c r="J73" s="48" t="inlineStr">
        <is>
          <t>Natural gas → Methanol → Formaldehyde → POM</t>
        </is>
      </c>
      <c r="K73" s="194" t="n">
        <v>0.0317360016136865</v>
      </c>
      <c r="L73" s="197" t="inlineStr">
        <is>
          <t>O</t>
        </is>
      </c>
      <c r="M73" s="99" t="inlineStr">
        <is>
          <t>Formaldehyde</t>
        </is>
      </c>
    </row>
    <row r="74">
      <c r="A74" s="46" t="n">
        <v>73</v>
      </c>
      <c r="B74" s="38" t="inlineStr">
        <is>
          <t>Specialty polymers</t>
        </is>
      </c>
      <c r="C74" s="47" t="inlineStr">
        <is>
          <t>Compounded engineering thermoplastics</t>
        </is>
      </c>
      <c r="D74" s="47" t="inlineStr">
        <is>
          <t>PPS</t>
        </is>
      </c>
      <c r="E74" s="47" t="n"/>
      <c r="F74" s="48" t="inlineStr">
        <is>
          <t>High-temperature automotive/electrical compound</t>
        </is>
      </c>
      <c r="G74" s="48" t="inlineStr">
        <is>
          <t>Benzene, Sulfur</t>
        </is>
      </c>
      <c r="H74" s="44" t="inlineStr">
        <is>
          <t>△</t>
        </is>
      </c>
      <c r="I74" s="48" t="inlineStr">
        <is>
          <t>PPS resin</t>
        </is>
      </c>
      <c r="J74" s="48" t="inlineStr">
        <is>
          <t>Benzene/sulfur chemistry → PPS → Compound</t>
        </is>
      </c>
      <c r="K74" s="194" t="n">
        <v>0.0317360016136865</v>
      </c>
      <c r="L74" s="197" t="inlineStr">
        <is>
          <t>O</t>
        </is>
      </c>
      <c r="M74" s="99" t="inlineStr">
        <is>
          <t>Chlorobenzene</t>
        </is>
      </c>
    </row>
    <row r="75">
      <c r="A75" s="46" t="n">
        <v>74</v>
      </c>
      <c r="B75" s="38" t="inlineStr">
        <is>
          <t>Specialty polymers</t>
        </is>
      </c>
      <c r="C75" s="47" t="inlineStr">
        <is>
          <t>Specialty films</t>
        </is>
      </c>
      <c r="D75" s="47" t="inlineStr">
        <is>
          <t>Engineering films</t>
        </is>
      </c>
      <c r="E75" s="47" t="inlineStr">
        <is>
          <t>Polyester</t>
        </is>
      </c>
      <c r="F75" s="48" t="inlineStr">
        <is>
          <t>Packaging &amp; electrical insulation film</t>
        </is>
      </c>
      <c r="G75" s="48" t="inlineStr">
        <is>
          <t>PX, Ethylene</t>
        </is>
      </c>
      <c r="H75" s="44" t="inlineStr">
        <is>
          <t>○</t>
        </is>
      </c>
      <c r="I75" s="48" t="inlineStr">
        <is>
          <t>PTA, EG, PET resin</t>
        </is>
      </c>
      <c r="J75" s="48" t="inlineStr">
        <is>
          <t>PX/ethylene → PTA/EG → PET → Film</t>
        </is>
      </c>
      <c r="K75" s="194" t="n">
        <v>0.0293771505285767</v>
      </c>
      <c r="L75" s="197" t="inlineStr">
        <is>
          <t>O</t>
        </is>
      </c>
      <c r="M75" s="99" t="inlineStr">
        <is>
          <t>PET</t>
        </is>
      </c>
    </row>
    <row r="76">
      <c r="A76" s="46" t="n">
        <v>75</v>
      </c>
      <c r="B76" s="38" t="inlineStr">
        <is>
          <t>Specialty polymers</t>
        </is>
      </c>
      <c r="C76" s="47" t="inlineStr">
        <is>
          <t>Specialty films</t>
        </is>
      </c>
      <c r="D76" s="47" t="inlineStr">
        <is>
          <t>Engineering films</t>
        </is>
      </c>
      <c r="E76" s="47" t="inlineStr">
        <is>
          <t>Nylon</t>
        </is>
      </c>
      <c r="F76" s="48" t="inlineStr">
        <is>
          <t>Industrial packaging &amp; barrier film</t>
        </is>
      </c>
      <c r="G76" s="48" t="inlineStr">
        <is>
          <t>Benzene, C4</t>
        </is>
      </c>
      <c r="H76" s="44" t="inlineStr">
        <is>
          <t>○</t>
        </is>
      </c>
      <c r="I76" s="48" t="inlineStr">
        <is>
          <t>Caprolactam, Nylon resin</t>
        </is>
      </c>
      <c r="J76" s="48" t="inlineStr">
        <is>
          <t>Benzene → Cyclohexane → Caprolactam/Nylon Salt → Nylon Resin</t>
        </is>
      </c>
      <c r="K76" s="194" t="n">
        <v>0.0293771505285767</v>
      </c>
      <c r="L76" s="197" t="inlineStr">
        <is>
          <t>O</t>
        </is>
      </c>
      <c r="M76" s="99" t="inlineStr">
        <is>
          <t>Caprolactam</t>
        </is>
      </c>
    </row>
    <row r="77">
      <c r="A77" s="46" t="n">
        <v>76</v>
      </c>
      <c r="B77" s="38" t="inlineStr">
        <is>
          <t>Specialty polymers</t>
        </is>
      </c>
      <c r="C77" s="47" t="inlineStr">
        <is>
          <t>Specialty films</t>
        </is>
      </c>
      <c r="D77" s="47" t="inlineStr">
        <is>
          <t>Engineering films</t>
        </is>
      </c>
      <c r="E77" s="47" t="inlineStr">
        <is>
          <t>Polycarbonate</t>
        </is>
      </c>
      <c r="F77" s="48" t="inlineStr">
        <is>
          <t>Optical display &amp; protection film</t>
        </is>
      </c>
      <c r="G77" s="48" t="inlineStr">
        <is>
          <t>Benzene, Propylene</t>
        </is>
      </c>
      <c r="H77" s="44" t="inlineStr">
        <is>
          <t>○</t>
        </is>
      </c>
      <c r="I77" s="48" t="inlineStr">
        <is>
          <t>BPA, PC resin</t>
        </is>
      </c>
      <c r="J77" s="48" t="inlineStr">
        <is>
          <t>BTX/propylene → BPA → PC → Optical film</t>
        </is>
      </c>
      <c r="K77" s="194" t="n">
        <v>0.0293771505285767</v>
      </c>
      <c r="L77" s="197" t="inlineStr">
        <is>
          <t>O</t>
        </is>
      </c>
      <c r="M77" s="99" t="inlineStr">
        <is>
          <t>PC</t>
        </is>
      </c>
    </row>
    <row r="78">
      <c r="A78" s="46" t="n">
        <v>77</v>
      </c>
      <c r="B78" s="38" t="inlineStr">
        <is>
          <t>Specialty polymers</t>
        </is>
      </c>
      <c r="C78" s="47" t="inlineStr">
        <is>
          <t>Specialty films</t>
        </is>
      </c>
      <c r="D78" s="47" t="inlineStr">
        <is>
          <t>High-performance films</t>
        </is>
      </c>
      <c r="E78" s="47" t="inlineStr">
        <is>
          <t>Fluoropolymer</t>
        </is>
      </c>
      <c r="F78" s="48" t="inlineStr">
        <is>
          <t>Chemical-resistant &amp; battery separator film</t>
        </is>
      </c>
      <c r="G78" s="48" t="inlineStr">
        <is>
          <t>Fluorspar</t>
        </is>
      </c>
      <c r="H78" s="50" t="inlineStr">
        <is>
          <t>-</t>
        </is>
      </c>
      <c r="I78" s="48" t="inlineStr">
        <is>
          <t>Fluoromonomer</t>
        </is>
      </c>
      <c r="J78" s="48" t="inlineStr">
        <is>
          <t>Fluorspar → Fluorochemicals → Fluoromonomer → Fluoropolymer Resin</t>
        </is>
      </c>
      <c r="K78" s="194" t="n">
        <v>0.0293771505285767</v>
      </c>
      <c r="L78" s="197" t="inlineStr">
        <is>
          <t>O</t>
        </is>
      </c>
      <c r="M78" s="99" t="inlineStr">
        <is>
          <t>x</t>
        </is>
      </c>
    </row>
    <row r="79">
      <c r="A79" s="46" t="n">
        <v>78</v>
      </c>
      <c r="B79" s="38" t="inlineStr">
        <is>
          <t>Specialty polymers</t>
        </is>
      </c>
      <c r="C79" s="47" t="inlineStr">
        <is>
          <t>Specialty films</t>
        </is>
      </c>
      <c r="D79" s="51" t="inlineStr">
        <is>
          <t>High-performance films</t>
        </is>
      </c>
      <c r="E79" s="52" t="inlineStr">
        <is>
          <t>Polyimide</t>
        </is>
      </c>
      <c r="F79" s="53" t="inlineStr">
        <is>
          <t>FPCB &amp; semiconductor process film</t>
        </is>
      </c>
      <c r="G79" s="48" t="inlineStr">
        <is>
          <t>Benzene, PX</t>
        </is>
      </c>
      <c r="H79" s="44" t="inlineStr">
        <is>
          <t>○</t>
        </is>
      </c>
      <c r="I79" s="48" t="inlineStr">
        <is>
          <t>Dianhydride, Diamine</t>
        </is>
      </c>
      <c r="J79" s="48" t="inlineStr">
        <is>
          <t xml:space="preserve">Aromatics → PI monomer → PI film </t>
        </is>
      </c>
      <c r="K79" s="194" t="n">
        <v>0.0293771505285767</v>
      </c>
      <c r="L79" s="197" t="inlineStr">
        <is>
          <t>O</t>
        </is>
      </c>
      <c r="M79" s="99" t="inlineStr">
        <is>
          <t>x</t>
        </is>
      </c>
    </row>
    <row r="80">
      <c r="A80" s="46" t="n">
        <v>79</v>
      </c>
      <c r="B80" s="38" t="inlineStr">
        <is>
          <t>Specialty polymers</t>
        </is>
      </c>
      <c r="C80" s="47" t="inlineStr">
        <is>
          <t>Specialty films</t>
        </is>
      </c>
      <c r="D80" s="47" t="inlineStr">
        <is>
          <t>Polyethylene naphthalate</t>
        </is>
      </c>
      <c r="E80" s="47" t="n"/>
      <c r="F80" s="48" t="inlineStr">
        <is>
          <t>High-barrier electronic &amp; insulation film</t>
        </is>
      </c>
      <c r="G80" s="53" t="inlineStr">
        <is>
          <t>PX, Ethylene</t>
        </is>
      </c>
      <c r="H80" s="44" t="inlineStr">
        <is>
          <t>○</t>
        </is>
      </c>
      <c r="I80" s="53" t="inlineStr">
        <is>
          <t>NDC/NDA, EG</t>
        </is>
      </c>
      <c r="J80" s="53" t="inlineStr">
        <is>
          <t>PX / Naphthalene → NDC/NDA → PEN Resin → Film</t>
        </is>
      </c>
      <c r="K80" s="194" t="n">
        <v>0.0293771505285767</v>
      </c>
      <c r="L80" s="197" t="inlineStr">
        <is>
          <t>O</t>
        </is>
      </c>
      <c r="M80" s="99" t="inlineStr">
        <is>
          <t>x</t>
        </is>
      </c>
    </row>
    <row r="81">
      <c r="A81" s="46" t="n">
        <v>80</v>
      </c>
      <c r="B81" s="38" t="inlineStr">
        <is>
          <t>Specialty polymers</t>
        </is>
      </c>
      <c r="C81" s="47" t="inlineStr">
        <is>
          <t>Specialty films</t>
        </is>
      </c>
      <c r="D81" s="47" t="inlineStr">
        <is>
          <t>Cyclo-olefin copolymer</t>
        </is>
      </c>
      <c r="E81" s="47" t="n"/>
      <c r="F81" s="48" t="inlineStr">
        <is>
          <t>Optical lens &amp; medical display film</t>
        </is>
      </c>
      <c r="G81" s="48" t="inlineStr">
        <is>
          <t>Ethylene, C5</t>
        </is>
      </c>
      <c r="H81" s="44" t="inlineStr">
        <is>
          <t>○</t>
        </is>
      </c>
      <c r="I81" s="48" t="inlineStr">
        <is>
          <t>Norbornene, Cyclic olefin monomer</t>
        </is>
      </c>
      <c r="J81" s="48" t="inlineStr">
        <is>
          <t>Olefin/C5 → Cyclic olefin → COC/COP</t>
        </is>
      </c>
      <c r="K81" s="194" t="n">
        <v>0.0293771505285767</v>
      </c>
      <c r="L81" s="197" t="inlineStr">
        <is>
          <t>O</t>
        </is>
      </c>
      <c r="M81" s="100" t="inlineStr">
        <is>
          <t>COP</t>
        </is>
      </c>
    </row>
    <row r="82">
      <c r="A82" s="46" t="n">
        <v>81</v>
      </c>
      <c r="B82" s="38" t="inlineStr">
        <is>
          <t>Specialty polymers</t>
        </is>
      </c>
      <c r="C82" s="47" t="inlineStr">
        <is>
          <t>Specialty films</t>
        </is>
      </c>
      <c r="D82" s="47" t="inlineStr">
        <is>
          <t>Cyclo-olefin copolymer</t>
        </is>
      </c>
      <c r="E82" s="47" t="inlineStr">
        <is>
          <t>Developmental</t>
        </is>
      </c>
      <c r="F82" s="48" t="inlineStr">
        <is>
          <t>AR/VR optical &amp; next-generation display film</t>
        </is>
      </c>
      <c r="G82" s="48" t="inlineStr">
        <is>
          <t>Ethylene, Specialty olefin</t>
        </is>
      </c>
      <c r="H82" s="44" t="inlineStr">
        <is>
          <t>△</t>
        </is>
      </c>
      <c r="I82" s="48" t="inlineStr">
        <is>
          <t>Advanced cyclic olefin monomer</t>
        </is>
      </c>
      <c r="J82" s="48" t="inlineStr">
        <is>
          <t>Olefin → Specialty monomer → Advanced COC/COP film</t>
        </is>
      </c>
      <c r="K82" s="194" t="n">
        <v>0.0293771505285767</v>
      </c>
      <c r="L82" s="197" t="inlineStr">
        <is>
          <t>O</t>
        </is>
      </c>
      <c r="M82" s="100" t="inlineStr">
        <is>
          <t>COP</t>
        </is>
      </c>
    </row>
    <row r="83">
      <c r="A83" s="46" t="n">
        <v>82</v>
      </c>
      <c r="B83" s="38" t="inlineStr">
        <is>
          <t>Specialty coatings</t>
        </is>
      </c>
      <c r="C83" s="47" t="inlineStr">
        <is>
          <t>Coatings, radiation curable</t>
        </is>
      </c>
      <c r="D83" s="47" t="inlineStr">
        <is>
          <t>Oligomers</t>
        </is>
      </c>
      <c r="E83" s="47" t="inlineStr">
        <is>
          <t>Epoxy acrylates</t>
        </is>
      </c>
      <c r="F83" s="48" t="inlineStr">
        <is>
          <t>UV coating oligomer</t>
        </is>
      </c>
      <c r="G83" s="48" t="inlineStr">
        <is>
          <t>Benzene + Propylene</t>
        </is>
      </c>
      <c r="H83" s="44" t="inlineStr">
        <is>
          <t>○</t>
        </is>
      </c>
      <c r="I83" s="48" t="inlineStr">
        <is>
          <t>BPA epoxy resin, Acrylic acid</t>
        </is>
      </c>
      <c r="J83" s="48" t="inlineStr">
        <is>
          <t>BTX/propylene → BPA epoxy → Epoxy acrylate</t>
        </is>
      </c>
      <c r="K83" s="194" t="n">
        <v>0.0364064971460665</v>
      </c>
      <c r="L83" s="197" t="inlineStr">
        <is>
          <t>O</t>
        </is>
      </c>
      <c r="M83" s="99" t="inlineStr">
        <is>
          <t>Epoxy resin, Acrylic Acid</t>
        </is>
      </c>
    </row>
    <row r="84">
      <c r="A84" s="46" t="n">
        <v>83</v>
      </c>
      <c r="B84" s="38" t="inlineStr">
        <is>
          <t>Specialty coatings</t>
        </is>
      </c>
      <c r="C84" s="47" t="inlineStr">
        <is>
          <t>Coatings, radiation curable</t>
        </is>
      </c>
      <c r="D84" s="47" t="inlineStr">
        <is>
          <t>Oligomers</t>
        </is>
      </c>
      <c r="E84" s="47" t="inlineStr">
        <is>
          <t>Urethane acrylates</t>
        </is>
      </c>
      <c r="F84" s="48" t="inlineStr">
        <is>
          <t>UV urethane oligomer</t>
        </is>
      </c>
      <c r="G84" s="48" t="inlineStr">
        <is>
          <t>PO + Benzene</t>
        </is>
      </c>
      <c r="H84" s="44" t="inlineStr">
        <is>
          <t>○</t>
        </is>
      </c>
      <c r="I84" s="48" t="inlineStr">
        <is>
          <t>Poyol, Isocynate, Hydroxy acylate</t>
        </is>
      </c>
      <c r="J84" s="48" t="inlineStr">
        <is>
          <t>Olefin → PO/polyol + Benzene → Isocyanate → Urethane acrylate</t>
        </is>
      </c>
      <c r="K84" s="194" t="n">
        <v>0.0364064971460665</v>
      </c>
      <c r="L84" s="197" t="inlineStr">
        <is>
          <t>O</t>
        </is>
      </c>
      <c r="M84" s="99" t="inlineStr">
        <is>
          <t>PU</t>
        </is>
      </c>
    </row>
    <row r="85">
      <c r="A85" s="46" t="n">
        <v>84</v>
      </c>
      <c r="B85" s="38" t="inlineStr">
        <is>
          <t>Specialty coatings</t>
        </is>
      </c>
      <c r="C85" s="47" t="inlineStr">
        <is>
          <t>Coatings, radiation curable</t>
        </is>
      </c>
      <c r="D85" s="47" t="inlineStr">
        <is>
          <t>Oligomers</t>
        </is>
      </c>
      <c r="E85" s="47" t="inlineStr">
        <is>
          <t>Polyester/polyether acrylates</t>
        </is>
      </c>
      <c r="F85" s="48" t="inlineStr">
        <is>
          <t>UV polyester acrylate resin</t>
        </is>
      </c>
      <c r="G85" s="48" t="inlineStr">
        <is>
          <t>PX + Ethylene / PO</t>
        </is>
      </c>
      <c r="H85" s="44" t="inlineStr">
        <is>
          <t>○</t>
        </is>
      </c>
      <c r="I85" s="48" t="inlineStr">
        <is>
          <t>PTA, EG, Polyether polyol, Acrylic acid</t>
        </is>
      </c>
      <c r="J85" s="48" t="inlineStr">
        <is>
          <t>PX/ethylene/PO → Polyester/polyether polyol → Acrylate oligomer</t>
        </is>
      </c>
      <c r="K85" s="194" t="n">
        <v>0.0364064971460665</v>
      </c>
      <c r="L85" s="197" t="inlineStr">
        <is>
          <t>O</t>
        </is>
      </c>
      <c r="M85" s="99" t="inlineStr">
        <is>
          <t>TPA, Polyol, Acrylic Acid</t>
        </is>
      </c>
    </row>
    <row r="86">
      <c r="A86" s="46" t="n">
        <v>85</v>
      </c>
      <c r="B86" s="38" t="inlineStr">
        <is>
          <t>Specialty coatings</t>
        </is>
      </c>
      <c r="C86" s="47" t="inlineStr">
        <is>
          <t>Coatings, radiation curable</t>
        </is>
      </c>
      <c r="D86" s="47" t="inlineStr">
        <is>
          <t>Oligomers</t>
        </is>
      </c>
      <c r="E86" s="47" t="inlineStr">
        <is>
          <t>Acrylic acrylates</t>
        </is>
      </c>
      <c r="F86" s="48" t="inlineStr">
        <is>
          <t>Acrylic UV oligomer</t>
        </is>
      </c>
      <c r="G86" s="48" t="inlineStr">
        <is>
          <t>Propylene</t>
        </is>
      </c>
      <c r="H86" s="44" t="inlineStr">
        <is>
          <t>○</t>
        </is>
      </c>
      <c r="I86" s="48" t="inlineStr">
        <is>
          <t>Acrylic acid, Acrylate ester</t>
        </is>
      </c>
      <c r="J86" s="48" t="inlineStr">
        <is>
          <t>Propylene → Acrylic acid/acrylate → Acrylic oligomer</t>
        </is>
      </c>
      <c r="K86" s="194" t="n">
        <v>0.0364064971460665</v>
      </c>
      <c r="L86" s="197" t="inlineStr">
        <is>
          <t>O</t>
        </is>
      </c>
      <c r="M86" s="99" t="inlineStr">
        <is>
          <t>Acrylic Acid, Acrylate Ester</t>
        </is>
      </c>
    </row>
    <row r="87">
      <c r="A87" s="46" t="n">
        <v>86</v>
      </c>
      <c r="B87" s="38" t="inlineStr">
        <is>
          <t>Specialty coatings</t>
        </is>
      </c>
      <c r="C87" s="47" t="inlineStr">
        <is>
          <t>Coatings, radiation curable</t>
        </is>
      </c>
      <c r="D87" s="47" t="inlineStr">
        <is>
          <t>Oligomers</t>
        </is>
      </c>
      <c r="E87" s="47" t="inlineStr">
        <is>
          <t>Silicone acrylates</t>
        </is>
      </c>
      <c r="F87" s="48" t="inlineStr">
        <is>
          <t>Silicone-modified UV resin</t>
        </is>
      </c>
      <c r="G87" s="48" t="inlineStr">
        <is>
          <t>Silicon metal + Methanol</t>
        </is>
      </c>
      <c r="H87" s="44" t="inlineStr">
        <is>
          <t>△</t>
        </is>
      </c>
      <c r="I87" s="48" t="inlineStr">
        <is>
          <t>Siloxane intermediate</t>
        </is>
      </c>
      <c r="J87" s="48" t="inlineStr">
        <is>
          <t>Silicon chemistry → Siloxane → Silicone acrylate</t>
        </is>
      </c>
      <c r="K87" s="194" t="n">
        <v>0.0364064971460665</v>
      </c>
      <c r="L87" s="197" t="inlineStr">
        <is>
          <t>O</t>
        </is>
      </c>
      <c r="M87" s="99" t="inlineStr">
        <is>
          <t>x</t>
        </is>
      </c>
    </row>
    <row r="88">
      <c r="A88" s="46" t="n">
        <v>87</v>
      </c>
      <c r="B88" s="38" t="inlineStr">
        <is>
          <t>Specialty coatings</t>
        </is>
      </c>
      <c r="C88" s="47" t="inlineStr">
        <is>
          <t>Coatings, radiation curable</t>
        </is>
      </c>
      <c r="D88" s="47" t="inlineStr">
        <is>
          <t>Oligomers</t>
        </is>
      </c>
      <c r="E88" s="47" t="inlineStr">
        <is>
          <t>Other (acrylated amines, acrylated oils, methacrylates)</t>
        </is>
      </c>
      <c r="F88" s="48" t="inlineStr">
        <is>
          <t>Specialty UV oligomer</t>
        </is>
      </c>
      <c r="G88" s="48" t="inlineStr">
        <is>
          <t>Olefin + Natural oil</t>
        </is>
      </c>
      <c r="H88" s="44" t="inlineStr">
        <is>
          <t>△</t>
        </is>
      </c>
      <c r="I88" s="48" t="inlineStr">
        <is>
          <t>Amines, Methacrylates, Functional oils</t>
        </is>
      </c>
      <c r="J88" s="48" t="inlineStr">
        <is>
          <t>Olefin/oleochemical → Functional intermediate → UV oligomer</t>
        </is>
      </c>
      <c r="K88" s="194" t="n">
        <v>0.0364064971460665</v>
      </c>
      <c r="L88" s="197" t="inlineStr">
        <is>
          <t>O</t>
        </is>
      </c>
      <c r="M88" s="99" t="inlineStr">
        <is>
          <t>MMA</t>
        </is>
      </c>
    </row>
    <row r="89">
      <c r="A89" s="46" t="n">
        <v>88</v>
      </c>
      <c r="B89" s="38" t="inlineStr">
        <is>
          <t>Specialty coatings</t>
        </is>
      </c>
      <c r="C89" s="47" t="inlineStr">
        <is>
          <t>Coatings, radiation curable</t>
        </is>
      </c>
      <c r="D89" s="47" t="inlineStr">
        <is>
          <t>Oligomers</t>
        </is>
      </c>
      <c r="E89" s="47" t="inlineStr">
        <is>
          <t>Unsaturated polyesters</t>
        </is>
      </c>
      <c r="F89" s="48" t="inlineStr">
        <is>
          <t>UPR resin</t>
        </is>
      </c>
      <c r="G89" s="48" t="inlineStr">
        <is>
          <t>Benzene/C4 + Ethylene</t>
        </is>
      </c>
      <c r="H89" s="44" t="inlineStr">
        <is>
          <t>○</t>
        </is>
      </c>
      <c r="I89" s="48" t="inlineStr">
        <is>
          <t>Maleic anhydride, Glycol</t>
        </is>
      </c>
      <c r="J89" s="48" t="inlineStr">
        <is>
          <t>Benzene/C4 + glycol chain → UPR</t>
        </is>
      </c>
      <c r="K89" s="194" t="n">
        <v>0.0364064971460665</v>
      </c>
      <c r="L89" s="197" t="inlineStr">
        <is>
          <t>O</t>
        </is>
      </c>
      <c r="M89" s="99" t="inlineStr">
        <is>
          <t>UPR</t>
        </is>
      </c>
    </row>
    <row r="90">
      <c r="A90" s="46" t="n">
        <v>89</v>
      </c>
      <c r="B90" s="38" t="inlineStr">
        <is>
          <t>Specialty coatings</t>
        </is>
      </c>
      <c r="C90" s="47" t="inlineStr">
        <is>
          <t>Coatings, radiation curable</t>
        </is>
      </c>
      <c r="D90" s="47" t="inlineStr">
        <is>
          <t>Oligomers</t>
        </is>
      </c>
      <c r="E90" s="47" t="inlineStr">
        <is>
          <t>Epoxies and oxetanes</t>
        </is>
      </c>
      <c r="F90" s="48" t="inlineStr">
        <is>
          <t>Cationic UV resin</t>
        </is>
      </c>
      <c r="G90" s="48" t="inlineStr">
        <is>
          <t>Benzene + Propylene</t>
        </is>
      </c>
      <c r="H90" s="44" t="inlineStr">
        <is>
          <t>○</t>
        </is>
      </c>
      <c r="I90" s="48" t="inlineStr">
        <is>
          <t>Epoxy resin, Oxetane intermediate</t>
        </is>
      </c>
      <c r="J90" s="48" t="inlineStr">
        <is>
          <t>BTX/propylene → Epoxy/oxetane chemistry</t>
        </is>
      </c>
      <c r="K90" s="194" t="n">
        <v>0.0364064971460665</v>
      </c>
      <c r="L90" s="197" t="inlineStr">
        <is>
          <t>O</t>
        </is>
      </c>
      <c r="M90" s="99" t="inlineStr">
        <is>
          <t>Epoxy resin</t>
        </is>
      </c>
    </row>
    <row r="91">
      <c r="A91" s="46" t="n">
        <v>90</v>
      </c>
      <c r="B91" s="38" t="inlineStr">
        <is>
          <t>Specialty coatings</t>
        </is>
      </c>
      <c r="C91" s="47" t="inlineStr">
        <is>
          <t>Coatings, radiation curable</t>
        </is>
      </c>
      <c r="D91" s="47" t="inlineStr">
        <is>
          <t>Oligomers</t>
        </is>
      </c>
      <c r="E91" s="47" t="inlineStr">
        <is>
          <t>Vinyl ethers</t>
        </is>
      </c>
      <c r="F91" s="48" t="inlineStr">
        <is>
          <t>Reactive UV resin</t>
        </is>
      </c>
      <c r="G91" s="48" t="inlineStr">
        <is>
          <t>Ethylene/Acetylene</t>
        </is>
      </c>
      <c r="H91" s="44" t="inlineStr">
        <is>
          <t>○</t>
        </is>
      </c>
      <c r="I91" s="48" t="inlineStr">
        <is>
          <t>Vinyl ether monomer</t>
        </is>
      </c>
      <c r="J91" s="48" t="inlineStr">
        <is>
          <t>Olefin/acetylene chemistry → Vinyl ether</t>
        </is>
      </c>
      <c r="K91" s="194" t="n">
        <v>0.0364064971460665</v>
      </c>
      <c r="L91" s="197" t="inlineStr">
        <is>
          <t>O</t>
        </is>
      </c>
      <c r="M91" s="99" t="inlineStr">
        <is>
          <t>x</t>
        </is>
      </c>
    </row>
    <row r="92">
      <c r="A92" s="46" t="n">
        <v>91</v>
      </c>
      <c r="B92" s="38" t="inlineStr">
        <is>
          <t>Specialty coatings</t>
        </is>
      </c>
      <c r="C92" s="47" t="inlineStr">
        <is>
          <t>Coatings, radiation curable</t>
        </is>
      </c>
      <c r="D92" s="47" t="inlineStr">
        <is>
          <t>Monomers/reactive diluents</t>
        </is>
      </c>
      <c r="E92" s="47" t="inlineStr">
        <is>
          <t>Monofunctional monomers (IBOA, etc.)</t>
        </is>
      </c>
      <c r="F92" s="48" t="inlineStr">
        <is>
          <t>Reactive diluent</t>
        </is>
      </c>
      <c r="G92" s="48" t="inlineStr">
        <is>
          <t>C5/C10 olefin</t>
        </is>
      </c>
      <c r="H92" s="44" t="inlineStr">
        <is>
          <t>△</t>
        </is>
      </c>
      <c r="I92" s="48" t="inlineStr">
        <is>
          <t>Isobornyl alcohol, Acrylic acid</t>
        </is>
      </c>
      <c r="J92" s="48" t="inlineStr">
        <is>
          <t>C5 terpene/olefin → Alcohol → Acrylate monomer</t>
        </is>
      </c>
      <c r="K92" s="194" t="n">
        <v>0.0364064971460665</v>
      </c>
      <c r="L92" s="197" t="inlineStr">
        <is>
          <t>O</t>
        </is>
      </c>
      <c r="M92" s="99" t="inlineStr">
        <is>
          <t>DCPD, Acrylic Acid, Acrylate Ester</t>
        </is>
      </c>
    </row>
    <row r="93">
      <c r="A93" s="46" t="n">
        <v>92</v>
      </c>
      <c r="B93" s="38" t="inlineStr">
        <is>
          <t>Specialty coatings</t>
        </is>
      </c>
      <c r="C93" s="47" t="inlineStr">
        <is>
          <t>Coatings, radiation curable</t>
        </is>
      </c>
      <c r="D93" s="47" t="inlineStr">
        <is>
          <t>Monomers/reactive diluents</t>
        </is>
      </c>
      <c r="E93" s="47" t="inlineStr">
        <is>
          <t>Difunctional monomers (TPGDA, HDDA, GPDA, DPGDA, etc.)</t>
        </is>
      </c>
      <c r="F93" s="48" t="inlineStr">
        <is>
          <t>Multifunctional acrylate monomer</t>
        </is>
      </c>
      <c r="G93" s="48" t="inlineStr">
        <is>
          <t>PO + Propylene</t>
        </is>
      </c>
      <c r="H93" s="44" t="inlineStr">
        <is>
          <t>○</t>
        </is>
      </c>
      <c r="I93" s="48" t="inlineStr">
        <is>
          <t>Glycol, Acrylic acid</t>
        </is>
      </c>
      <c r="J93" s="48" t="inlineStr">
        <is>
          <t>PO/glycol chain → Acrylate ester</t>
        </is>
      </c>
      <c r="K93" s="194" t="n">
        <v>0.0364064971460665</v>
      </c>
      <c r="L93" s="197" t="inlineStr">
        <is>
          <t>O</t>
        </is>
      </c>
      <c r="M93" s="99" t="inlineStr">
        <is>
          <t>Acrylate ester</t>
        </is>
      </c>
    </row>
    <row r="94">
      <c r="A94" s="46" t="n">
        <v>93</v>
      </c>
      <c r="B94" s="38" t="inlineStr">
        <is>
          <t>Specialty coatings</t>
        </is>
      </c>
      <c r="C94" s="47" t="inlineStr">
        <is>
          <t>Coatings, radiation curable</t>
        </is>
      </c>
      <c r="D94" s="47" t="inlineStr">
        <is>
          <t>Monomers/reactive diluents</t>
        </is>
      </c>
      <c r="E94" s="47" t="inlineStr">
        <is>
          <t>Trifunctional monomers (TMPTA, GPTA, etc.)</t>
        </is>
      </c>
      <c r="F94" s="48" t="inlineStr">
        <is>
          <t>Crosslinking monomer</t>
        </is>
      </c>
      <c r="G94" s="48" t="inlineStr">
        <is>
          <t>Propylene</t>
        </is>
      </c>
      <c r="H94" s="44" t="inlineStr">
        <is>
          <t>○</t>
        </is>
      </c>
      <c r="I94" s="48" t="inlineStr">
        <is>
          <t>TMP/Glycerol, Acrylic acid</t>
        </is>
      </c>
      <c r="J94" s="48" t="inlineStr">
        <is>
          <t>Propylene → Oxo alcohol/polyol → Acrylate monomer</t>
        </is>
      </c>
      <c r="K94" s="194" t="n">
        <v>0.0364064971460665</v>
      </c>
      <c r="L94" s="197" t="inlineStr">
        <is>
          <t>O</t>
        </is>
      </c>
      <c r="M94" s="99" t="inlineStr">
        <is>
          <t>Acrylic Acid, 2-Ethylhexanol</t>
        </is>
      </c>
    </row>
    <row r="95">
      <c r="A95" s="46" t="n">
        <v>94</v>
      </c>
      <c r="B95" s="38" t="inlineStr">
        <is>
          <t>Specialty coatings</t>
        </is>
      </c>
      <c r="C95" s="47" t="inlineStr">
        <is>
          <t>Coatings, radiation curable</t>
        </is>
      </c>
      <c r="D95" s="47" t="inlineStr">
        <is>
          <t>Monomers/reactive diluents</t>
        </is>
      </c>
      <c r="E95" s="47" t="inlineStr">
        <is>
          <t>Polyfunctional monomers (PPTTA, DPHA, etc.)</t>
        </is>
      </c>
      <c r="F95" s="48" t="inlineStr">
        <is>
          <t>High-crosslink UV monomer</t>
        </is>
      </c>
      <c r="G95" s="48" t="inlineStr">
        <is>
          <t>Olefin</t>
        </is>
      </c>
      <c r="H95" s="44" t="inlineStr">
        <is>
          <t>○</t>
        </is>
      </c>
      <c r="I95" s="48" t="inlineStr">
        <is>
          <t>Polyol intermediate, Acrylic acid</t>
        </is>
      </c>
      <c r="J95" s="48" t="inlineStr">
        <is>
          <t>Olefin → Polyol → Multifunctional acrylate</t>
        </is>
      </c>
      <c r="K95" s="194" t="n">
        <v>0.0364064971460665</v>
      </c>
      <c r="L95" s="197" t="inlineStr">
        <is>
          <t>O</t>
        </is>
      </c>
      <c r="M95" s="99" t="inlineStr">
        <is>
          <t>Acrylic Acid</t>
        </is>
      </c>
    </row>
    <row r="96">
      <c r="A96" s="46" t="n">
        <v>95</v>
      </c>
      <c r="B96" s="38" t="inlineStr">
        <is>
          <t>Specialty coatings</t>
        </is>
      </c>
      <c r="C96" s="47" t="inlineStr">
        <is>
          <t>Coatings, radiation curable</t>
        </is>
      </c>
      <c r="D96" s="47" t="inlineStr">
        <is>
          <t>Photoinitiators</t>
        </is>
      </c>
      <c r="E96" s="47" t="n"/>
      <c r="F96" s="48" t="inlineStr">
        <is>
          <t>UV photoinitiator</t>
        </is>
      </c>
      <c r="G96" s="48" t="inlineStr">
        <is>
          <t>Benzene/Toluene</t>
        </is>
      </c>
      <c r="H96" s="44" t="inlineStr">
        <is>
          <t>○</t>
        </is>
      </c>
      <c r="I96" s="48" t="inlineStr">
        <is>
          <t>Benzophenone, Acetophenone derivative</t>
        </is>
      </c>
      <c r="J96" s="48" t="inlineStr">
        <is>
          <t>BTX → Aromatic ketone → Photoinitiator</t>
        </is>
      </c>
      <c r="K96" s="194" t="n">
        <v>0.0364064971460665</v>
      </c>
      <c r="L96" s="197" t="inlineStr">
        <is>
          <t>O</t>
        </is>
      </c>
      <c r="M96" s="99" t="inlineStr">
        <is>
          <t>x</t>
        </is>
      </c>
    </row>
    <row r="97">
      <c r="A97" s="46" t="n">
        <v>96</v>
      </c>
      <c r="B97" s="38" t="inlineStr">
        <is>
          <t>Specialty coatings</t>
        </is>
      </c>
      <c r="C97" s="47" t="inlineStr">
        <is>
          <t>Coatings, thermosetting powder</t>
        </is>
      </c>
      <c r="D97" s="47" t="inlineStr">
        <is>
          <t>Resins</t>
        </is>
      </c>
      <c r="E97" s="47" t="inlineStr">
        <is>
          <t>Epoxy resin</t>
        </is>
      </c>
      <c r="F97" s="48" t="inlineStr">
        <is>
          <t>Powder coating resin</t>
        </is>
      </c>
      <c r="G97" s="48" t="inlineStr">
        <is>
          <t>Benzene + Propylene</t>
        </is>
      </c>
      <c r="H97" s="44" t="inlineStr">
        <is>
          <t>○</t>
        </is>
      </c>
      <c r="I97" s="48" t="inlineStr">
        <is>
          <t>BPA, Epichlorohydrin</t>
        </is>
      </c>
      <c r="J97" s="48" t="inlineStr">
        <is>
          <t>BTX/propylene → BPA → Epoxy resin</t>
        </is>
      </c>
      <c r="K97" s="194" t="n">
        <v>0.0323555369482669</v>
      </c>
      <c r="L97" s="197" t="inlineStr">
        <is>
          <t>O</t>
        </is>
      </c>
      <c r="M97" s="99" t="inlineStr">
        <is>
          <t>Epoxy resin</t>
        </is>
      </c>
    </row>
    <row r="98">
      <c r="A98" s="46" t="n">
        <v>97</v>
      </c>
      <c r="B98" s="38" t="inlineStr">
        <is>
          <t>Specialty coatings</t>
        </is>
      </c>
      <c r="C98" s="47" t="inlineStr">
        <is>
          <t>Coatings, thermosetting powder</t>
        </is>
      </c>
      <c r="D98" s="47" t="inlineStr">
        <is>
          <t>Resins</t>
        </is>
      </c>
      <c r="E98" s="47" t="inlineStr">
        <is>
          <t>Polyester resin (carboxyl functional)</t>
        </is>
      </c>
      <c r="F98" s="48" t="inlineStr">
        <is>
          <t>Powder polyester resin</t>
        </is>
      </c>
      <c r="G98" s="48" t="inlineStr">
        <is>
          <t>PX + Ethylene</t>
        </is>
      </c>
      <c r="H98" s="44" t="inlineStr">
        <is>
          <t>○</t>
        </is>
      </c>
      <c r="I98" s="48" t="inlineStr">
        <is>
          <t>PTA, IPA, EG, NPG</t>
        </is>
      </c>
      <c r="J98" s="48" t="inlineStr">
        <is>
          <t>PX + glycol chain → Polyester resin</t>
        </is>
      </c>
      <c r="K98" s="194" t="n">
        <v>0.0323555369482669</v>
      </c>
      <c r="L98" s="197" t="inlineStr">
        <is>
          <t>O</t>
        </is>
      </c>
      <c r="M98" s="99" t="inlineStr">
        <is>
          <t>TPA, PIA</t>
        </is>
      </c>
    </row>
    <row r="99">
      <c r="A99" s="46" t="n">
        <v>98</v>
      </c>
      <c r="B99" s="38" t="inlineStr">
        <is>
          <t>Specialty coatings</t>
        </is>
      </c>
      <c r="C99" s="47" t="inlineStr">
        <is>
          <t>Coatings, thermosetting powder</t>
        </is>
      </c>
      <c r="D99" s="47" t="inlineStr">
        <is>
          <t>Resins</t>
        </is>
      </c>
      <c r="E99" s="47" t="inlineStr">
        <is>
          <t>Polyester resin (hydroxyl functional)</t>
        </is>
      </c>
      <c r="F99" s="48" t="inlineStr">
        <is>
          <t>Hydroxyl polyester resin</t>
        </is>
      </c>
      <c r="G99" s="48" t="inlineStr">
        <is>
          <t>PX + PO/Ethylene</t>
        </is>
      </c>
      <c r="H99" s="44" t="inlineStr">
        <is>
          <t>○</t>
        </is>
      </c>
      <c r="I99" s="48" t="inlineStr">
        <is>
          <t>Dibasic acid, Polyol</t>
        </is>
      </c>
      <c r="J99" s="48" t="inlineStr">
        <is>
          <t>Aromatics + polyol chain → Polyester resin</t>
        </is>
      </c>
      <c r="K99" s="194" t="n">
        <v>0.0323555369482669</v>
      </c>
      <c r="L99" s="197" t="inlineStr">
        <is>
          <t>O</t>
        </is>
      </c>
      <c r="M99" s="99" t="inlineStr">
        <is>
          <t>TPA, Polyol</t>
        </is>
      </c>
    </row>
    <row r="100">
      <c r="A100" s="46" t="n">
        <v>99</v>
      </c>
      <c r="B100" s="38" t="inlineStr">
        <is>
          <t>Specialty coatings</t>
        </is>
      </c>
      <c r="C100" s="47" t="inlineStr">
        <is>
          <t>Coatings, thermosetting powder</t>
        </is>
      </c>
      <c r="D100" s="47" t="inlineStr">
        <is>
          <t>Resins</t>
        </is>
      </c>
      <c r="E100" s="47" t="inlineStr">
        <is>
          <t>Acrylic resin</t>
        </is>
      </c>
      <c r="F100" s="48" t="inlineStr">
        <is>
          <t>Thermoset acrylic resin</t>
        </is>
      </c>
      <c r="G100" s="48" t="inlineStr">
        <is>
          <t>Propylene/C4</t>
        </is>
      </c>
      <c r="H100" s="44" t="inlineStr">
        <is>
          <t>○</t>
        </is>
      </c>
      <c r="I100" s="48" t="inlineStr">
        <is>
          <t>MMA, Butyl acrylate</t>
        </is>
      </c>
      <c r="J100" s="48" t="inlineStr">
        <is>
          <t>Propylene/C4 → Acrylic monomer → Acrylic resin</t>
        </is>
      </c>
      <c r="K100" s="194" t="n">
        <v>0.0323555369482669</v>
      </c>
      <c r="L100" s="197" t="inlineStr">
        <is>
          <t>O</t>
        </is>
      </c>
      <c r="M100" s="99" t="inlineStr">
        <is>
          <t>MMA, Acrylate Ester</t>
        </is>
      </c>
    </row>
    <row r="101">
      <c r="A101" s="46" t="n">
        <v>100</v>
      </c>
      <c r="B101" s="38" t="inlineStr">
        <is>
          <t>Specialty coatings</t>
        </is>
      </c>
      <c r="C101" s="47" t="inlineStr">
        <is>
          <t>Coatings, thermosetting powder</t>
        </is>
      </c>
      <c r="D101" s="47" t="inlineStr">
        <is>
          <t>Curing agents</t>
        </is>
      </c>
      <c r="E101" s="47" t="inlineStr">
        <is>
          <t>TGIC</t>
        </is>
      </c>
      <c r="F101" s="48" t="inlineStr">
        <is>
          <t>Epoxy curing agent</t>
        </is>
      </c>
      <c r="G101" s="48" t="inlineStr">
        <is>
          <t>Propylene + Chlor-alkali</t>
        </is>
      </c>
      <c r="H101" s="44" t="inlineStr">
        <is>
          <t>△</t>
        </is>
      </c>
      <c r="I101" s="48" t="inlineStr">
        <is>
          <t>Cyanuric chloride, Glycidol</t>
        </is>
      </c>
      <c r="J101" s="48" t="inlineStr">
        <is>
          <t>Epichlorohydrin chain → TGIC</t>
        </is>
      </c>
      <c r="K101" s="194" t="n">
        <v>0.0323555369482669</v>
      </c>
      <c r="L101" s="197" t="inlineStr">
        <is>
          <t>O</t>
        </is>
      </c>
      <c r="M101" s="99" t="inlineStr">
        <is>
          <t>ECH</t>
        </is>
      </c>
    </row>
    <row r="102">
      <c r="A102" s="46" t="n">
        <v>101</v>
      </c>
      <c r="B102" s="38" t="inlineStr">
        <is>
          <t>Specialty coatings</t>
        </is>
      </c>
      <c r="C102" s="47" t="inlineStr">
        <is>
          <t>Coatings, thermosetting powder</t>
        </is>
      </c>
      <c r="D102" s="47" t="inlineStr">
        <is>
          <t>Curing agents</t>
        </is>
      </c>
      <c r="E102" s="47" t="inlineStr">
        <is>
          <t>HAA</t>
        </is>
      </c>
      <c r="F102" s="48" t="inlineStr">
        <is>
          <t>Polyester curing agent</t>
        </is>
      </c>
      <c r="G102" s="48" t="inlineStr">
        <is>
          <t>Ethylene/Ammonia</t>
        </is>
      </c>
      <c r="H102" s="44" t="inlineStr">
        <is>
          <t>△</t>
        </is>
      </c>
      <c r="I102" s="48" t="inlineStr">
        <is>
          <t>Hydroxyalkyl amide</t>
        </is>
      </c>
      <c r="J102" s="48" t="inlineStr">
        <is>
          <t>Olefin/ammonia → Amide chemistry</t>
        </is>
      </c>
      <c r="K102" s="194" t="n">
        <v>0.0323555369482669</v>
      </c>
      <c r="L102" s="197" t="inlineStr">
        <is>
          <t>O</t>
        </is>
      </c>
      <c r="M102" s="99" t="inlineStr">
        <is>
          <t>x</t>
        </is>
      </c>
    </row>
    <row r="103">
      <c r="A103" s="46" t="n">
        <v>102</v>
      </c>
      <c r="B103" s="38" t="inlineStr">
        <is>
          <t>Specialty coatings</t>
        </is>
      </c>
      <c r="C103" s="47" t="inlineStr">
        <is>
          <t>Coatings, thermosetting powder</t>
        </is>
      </c>
      <c r="D103" s="47" t="inlineStr">
        <is>
          <t>Curing agents</t>
        </is>
      </c>
      <c r="E103" s="47" t="inlineStr">
        <is>
          <t>IPDI</t>
        </is>
      </c>
      <c r="F103" s="48" t="inlineStr">
        <is>
          <t>PU curing agent</t>
        </is>
      </c>
      <c r="G103" s="48" t="inlineStr">
        <is>
          <t>Acetone/Propylene</t>
        </is>
      </c>
      <c r="H103" s="44" t="inlineStr">
        <is>
          <t>○</t>
        </is>
      </c>
      <c r="I103" s="48" t="inlineStr">
        <is>
          <t>Isophorone intermediate</t>
        </is>
      </c>
      <c r="J103" s="48" t="inlineStr">
        <is>
          <t>Propylene → Acetone → Isophorone → IPDI</t>
        </is>
      </c>
      <c r="K103" s="194" t="n">
        <v>0.0323555369482669</v>
      </c>
      <c r="L103" s="197" t="inlineStr">
        <is>
          <t>O</t>
        </is>
      </c>
      <c r="M103" s="99" t="inlineStr">
        <is>
          <t>Acetone</t>
        </is>
      </c>
    </row>
    <row r="104">
      <c r="A104" s="46" t="n">
        <v>103</v>
      </c>
      <c r="B104" s="38" t="inlineStr">
        <is>
          <t>Specialty coatings</t>
        </is>
      </c>
      <c r="C104" s="47" t="inlineStr">
        <is>
          <t>Coatings, thermosetting powder</t>
        </is>
      </c>
      <c r="D104" s="47" t="inlineStr">
        <is>
          <t>Curing agents</t>
        </is>
      </c>
      <c r="E104" s="47" t="inlineStr">
        <is>
          <t>Amines</t>
        </is>
      </c>
      <c r="F104" s="48" t="inlineStr">
        <is>
          <t>Epoxy hardener</t>
        </is>
      </c>
      <c r="G104" s="48" t="inlineStr">
        <is>
          <t>Ethylene</t>
        </is>
      </c>
      <c r="H104" s="44" t="inlineStr">
        <is>
          <t>○</t>
        </is>
      </c>
      <c r="I104" s="48" t="inlineStr">
        <is>
          <t>Ethyleneamines</t>
        </is>
      </c>
      <c r="J104" s="48" t="inlineStr">
        <is>
          <t>Ethylene → Ethyleneamine</t>
        </is>
      </c>
      <c r="K104" s="194" t="n">
        <v>0.0323555369482669</v>
      </c>
      <c r="L104" s="197" t="inlineStr">
        <is>
          <t>O</t>
        </is>
      </c>
      <c r="M104" s="99" t="inlineStr">
        <is>
          <t>x</t>
        </is>
      </c>
    </row>
    <row r="105">
      <c r="A105" s="46" t="n">
        <v>104</v>
      </c>
      <c r="B105" s="38" t="inlineStr">
        <is>
          <t>Specialty coatings</t>
        </is>
      </c>
      <c r="C105" s="47" t="inlineStr">
        <is>
          <t>Coatings, thermosetting powder</t>
        </is>
      </c>
      <c r="D105" s="47" t="inlineStr">
        <is>
          <t>Curing agents</t>
        </is>
      </c>
      <c r="E105" s="47" t="inlineStr">
        <is>
          <t>Dodecanoic amine</t>
        </is>
      </c>
      <c r="F105" s="48" t="inlineStr">
        <is>
          <t>Specialty curing agent</t>
        </is>
      </c>
      <c r="G105" s="48" t="inlineStr">
        <is>
          <t>C4/paraffin</t>
        </is>
      </c>
      <c r="H105" s="44" t="inlineStr">
        <is>
          <t>○</t>
        </is>
      </c>
      <c r="I105" s="48" t="inlineStr">
        <is>
          <t>Dodecanedioic intermediate</t>
        </is>
      </c>
      <c r="J105" s="48" t="inlineStr">
        <is>
          <t>C4/paraffin oxidation → Specialty amine</t>
        </is>
      </c>
      <c r="K105" s="194" t="n">
        <v>0.0323555369482669</v>
      </c>
      <c r="L105" s="197" t="inlineStr">
        <is>
          <t>O</t>
        </is>
      </c>
      <c r="M105" s="99" t="inlineStr">
        <is>
          <t>x</t>
        </is>
      </c>
    </row>
    <row r="106">
      <c r="A106" s="46" t="n">
        <v>105</v>
      </c>
      <c r="B106" s="38" t="inlineStr">
        <is>
          <t>Specialty coatings</t>
        </is>
      </c>
      <c r="C106" s="47" t="inlineStr">
        <is>
          <t>Coatings, thermosetting powder</t>
        </is>
      </c>
      <c r="D106" s="47" t="inlineStr">
        <is>
          <t>Curing agents</t>
        </is>
      </c>
      <c r="E106" s="47" t="inlineStr">
        <is>
          <t>Other</t>
        </is>
      </c>
      <c r="F106" s="48" t="inlineStr">
        <is>
          <t>Specialty hardener</t>
        </is>
      </c>
      <c r="G106" s="48" t="inlineStr">
        <is>
          <t>Olefin/BTX</t>
        </is>
      </c>
      <c r="H106" s="44" t="inlineStr">
        <is>
          <t>○</t>
        </is>
      </c>
      <c r="I106" s="48" t="inlineStr">
        <is>
          <t>Specialty intermediates</t>
        </is>
      </c>
      <c r="J106" s="48" t="inlineStr">
        <is>
          <t>Petrochemical intermediate → Hardener</t>
        </is>
      </c>
      <c r="K106" s="194" t="n">
        <v>0.0323555369482669</v>
      </c>
      <c r="L106" s="197" t="inlineStr">
        <is>
          <t>O</t>
        </is>
      </c>
      <c r="M106" s="99" t="inlineStr">
        <is>
          <t>x</t>
        </is>
      </c>
    </row>
    <row r="107">
      <c r="A107" s="46" t="n">
        <v>106</v>
      </c>
      <c r="B107" s="38" t="inlineStr">
        <is>
          <t>Specialty coatings</t>
        </is>
      </c>
      <c r="C107" s="54" t="inlineStr">
        <is>
          <t>Coatings, high-performance anticorrosion</t>
        </is>
      </c>
      <c r="D107" s="54" t="inlineStr">
        <is>
          <t>Protective/industrial maintenance coatings</t>
        </is>
      </c>
      <c r="E107" s="54" t="inlineStr">
        <is>
          <t>Onshore structural applications</t>
        </is>
      </c>
      <c r="F107" s="55" t="inlineStr">
        <is>
          <t>Heavy-duty protective coating</t>
        </is>
      </c>
      <c r="G107" s="55" t="inlineStr">
        <is>
          <t>Benzene + PO</t>
        </is>
      </c>
      <c r="H107" s="44" t="inlineStr">
        <is>
          <t>○</t>
        </is>
      </c>
      <c r="I107" s="48" t="inlineStr">
        <is>
          <t>Epoxy resin, PU resin</t>
        </is>
      </c>
      <c r="J107" s="55" t="inlineStr">
        <is>
          <t>BTX/PO → Epoxy/PU coating</t>
        </is>
      </c>
      <c r="K107" s="194" t="n">
        <v>0.02033251755180965</v>
      </c>
      <c r="L107" s="197" t="inlineStr">
        <is>
          <t>O</t>
        </is>
      </c>
      <c r="M107" s="99" t="inlineStr">
        <is>
          <t>Epoxy resin, PU</t>
        </is>
      </c>
    </row>
    <row r="108">
      <c r="A108" s="46" t="n">
        <v>107</v>
      </c>
      <c r="B108" s="38" t="inlineStr">
        <is>
          <t>Specialty coatings</t>
        </is>
      </c>
      <c r="C108" s="54" t="inlineStr">
        <is>
          <t>Coatings, high-performance anticorrosion</t>
        </is>
      </c>
      <c r="D108" s="54" t="inlineStr">
        <is>
          <t>Protective/industrial maintenance coatings</t>
        </is>
      </c>
      <c r="E108" s="54" t="inlineStr">
        <is>
          <t>Offshore applications</t>
        </is>
      </c>
      <c r="F108" s="55" t="inlineStr">
        <is>
          <t>Offshore anticorrosion coating</t>
        </is>
      </c>
      <c r="G108" s="55" t="inlineStr">
        <is>
          <t>Benzene + PO</t>
        </is>
      </c>
      <c r="H108" s="44" t="inlineStr">
        <is>
          <t>○</t>
        </is>
      </c>
      <c r="I108" s="48" t="inlineStr">
        <is>
          <t>Epoxy novolac, Fluoropolymer</t>
        </is>
      </c>
      <c r="J108" s="55" t="inlineStr">
        <is>
          <t>Aromatics/PU chain → Offshore coating</t>
        </is>
      </c>
      <c r="K108" s="194" t="n">
        <v>0.02747734265975943</v>
      </c>
      <c r="L108" s="197" t="inlineStr">
        <is>
          <t>O</t>
        </is>
      </c>
      <c r="M108" s="99" t="inlineStr">
        <is>
          <t>Epoxy resin</t>
        </is>
      </c>
    </row>
    <row r="109">
      <c r="A109" s="46" t="n">
        <v>108</v>
      </c>
      <c r="B109" s="38" t="inlineStr">
        <is>
          <t>Specialty coatings</t>
        </is>
      </c>
      <c r="C109" s="54" t="inlineStr">
        <is>
          <t>Coatings, high-performance anticorrosion</t>
        </is>
      </c>
      <c r="D109" s="54" t="inlineStr">
        <is>
          <t>Protective/industrial maintenance coatings</t>
        </is>
      </c>
      <c r="E109" s="54" t="inlineStr">
        <is>
          <t>Cargo container coatings</t>
        </is>
      </c>
      <c r="F109" s="55" t="inlineStr">
        <is>
          <t>Container coating</t>
        </is>
      </c>
      <c r="G109" s="55" t="inlineStr">
        <is>
          <t>Benzene + PO</t>
        </is>
      </c>
      <c r="H109" s="44" t="inlineStr">
        <is>
          <t>○</t>
        </is>
      </c>
      <c r="I109" s="48" t="inlineStr">
        <is>
          <t>Epoxy resin, Isocyanate</t>
        </is>
      </c>
      <c r="J109" s="55" t="inlineStr">
        <is>
          <t>BPA epoxy + PU chain</t>
        </is>
      </c>
      <c r="K109" s="194" t="n">
        <v>-0.02195175256966542</v>
      </c>
      <c r="L109" s="197" t="inlineStr">
        <is>
          <t>O</t>
        </is>
      </c>
      <c r="M109" s="99" t="inlineStr">
        <is>
          <t>Epoxy resin, PU</t>
        </is>
      </c>
    </row>
    <row r="110">
      <c r="A110" s="46" t="n">
        <v>109</v>
      </c>
      <c r="B110" s="38" t="inlineStr">
        <is>
          <t>Specialty coatings</t>
        </is>
      </c>
      <c r="C110" s="54" t="inlineStr">
        <is>
          <t>Coatings, high-performance anticorrosion</t>
        </is>
      </c>
      <c r="D110" s="54" t="inlineStr">
        <is>
          <t>Marine coatings</t>
        </is>
      </c>
      <c r="E110" s="54" t="inlineStr">
        <is>
          <t>Industrial ship - New ship building</t>
        </is>
      </c>
      <c r="F110" s="55" t="inlineStr">
        <is>
          <t>Marine coating</t>
        </is>
      </c>
      <c r="G110" s="55" t="inlineStr">
        <is>
          <t>Benzene + Silicon</t>
        </is>
      </c>
      <c r="H110" s="44" t="inlineStr">
        <is>
          <t>△</t>
        </is>
      </c>
      <c r="I110" s="48" t="inlineStr">
        <is>
          <t>Epoxy resin, Silicone additive</t>
        </is>
      </c>
      <c r="J110" s="55" t="inlineStr">
        <is>
          <t>Aromatics/silicone → Marine coating</t>
        </is>
      </c>
      <c r="K110" s="194" t="n">
        <v>0.021</v>
      </c>
      <c r="L110" s="197" t="inlineStr">
        <is>
          <t>O</t>
        </is>
      </c>
      <c r="M110" s="99" t="inlineStr">
        <is>
          <t>Epoxy resin</t>
        </is>
      </c>
    </row>
    <row r="111">
      <c r="A111" s="46" t="n">
        <v>110</v>
      </c>
      <c r="B111" s="38" t="inlineStr">
        <is>
          <t>Specialty coatings</t>
        </is>
      </c>
      <c r="C111" s="54" t="inlineStr">
        <is>
          <t>Coatings, high-performance anticorrosion</t>
        </is>
      </c>
      <c r="D111" s="54" t="inlineStr">
        <is>
          <t>Marine coatings</t>
        </is>
      </c>
      <c r="E111" s="54" t="inlineStr">
        <is>
          <t>Industrial ship - Ship repair</t>
        </is>
      </c>
      <c r="F111" s="55" t="inlineStr">
        <is>
          <t>Maintenance marine coating</t>
        </is>
      </c>
      <c r="G111" s="55" t="inlineStr">
        <is>
          <t>Benzene + PO</t>
        </is>
      </c>
      <c r="H111" s="44" t="inlineStr">
        <is>
          <t>○</t>
        </is>
      </c>
      <c r="I111" s="48" t="inlineStr">
        <is>
          <t>Epoxy maintenance resin</t>
        </is>
      </c>
      <c r="J111" s="55" t="inlineStr">
        <is>
          <t>BPA epoxy chain</t>
        </is>
      </c>
      <c r="K111" s="194" t="n">
        <v>0.021</v>
      </c>
      <c r="L111" s="197" t="inlineStr">
        <is>
          <t>O</t>
        </is>
      </c>
      <c r="M111" s="99" t="inlineStr">
        <is>
          <t>Epoxy resin</t>
        </is>
      </c>
    </row>
    <row r="112">
      <c r="A112" s="46" t="n">
        <v>111</v>
      </c>
      <c r="B112" s="38" t="inlineStr">
        <is>
          <t>Specialty coatings</t>
        </is>
      </c>
      <c r="C112" s="54" t="inlineStr">
        <is>
          <t>Coatings, high-performance anticorrosion</t>
        </is>
      </c>
      <c r="D112" s="54" t="inlineStr">
        <is>
          <t>Marine coatings</t>
        </is>
      </c>
      <c r="E112" s="54" t="inlineStr">
        <is>
          <t>Yachts/pleasure boats</t>
        </is>
      </c>
      <c r="F112" s="55" t="inlineStr">
        <is>
          <t>Premium marine coating</t>
        </is>
      </c>
      <c r="G112" s="55" t="inlineStr">
        <is>
          <t>Propylene + PO</t>
        </is>
      </c>
      <c r="H112" s="44" t="inlineStr">
        <is>
          <t>○</t>
        </is>
      </c>
      <c r="I112" s="48" t="inlineStr">
        <is>
          <t>Acrylic urethane resin</t>
        </is>
      </c>
      <c r="J112" s="55" t="inlineStr">
        <is>
          <t>Acrylic/PU chain → High-gloss marine coating</t>
        </is>
      </c>
      <c r="K112" s="194" t="n">
        <v>0.009006736545372096</v>
      </c>
      <c r="L112" s="197" t="inlineStr">
        <is>
          <t>O</t>
        </is>
      </c>
      <c r="M112" s="99" t="inlineStr">
        <is>
          <t>Acrylic Acid, Acrylate Ester, PU</t>
        </is>
      </c>
    </row>
    <row r="113">
      <c r="A113" s="46" t="n">
        <v>112</v>
      </c>
      <c r="B113" s="38" t="inlineStr">
        <is>
          <t>Green power materials</t>
        </is>
      </c>
      <c r="C113" s="38" t="inlineStr">
        <is>
          <t>Green power materials</t>
        </is>
      </c>
      <c r="D113" s="38" t="inlineStr">
        <is>
          <t>(Solar)Wafer and thin-film materials</t>
        </is>
      </c>
      <c r="E113" s="38" t="inlineStr">
        <is>
          <t>Silicon wafers</t>
        </is>
      </c>
      <c r="F113" s="45" t="inlineStr">
        <is>
          <t>Crystalline silicon wafer for PV cells</t>
        </is>
      </c>
      <c r="G113" s="45" t="inlineStr">
        <is>
          <t>Quartz/Silica</t>
        </is>
      </c>
      <c r="H113" s="46" t="inlineStr">
        <is>
          <t>-</t>
        </is>
      </c>
      <c r="I113" s="45" t="inlineStr">
        <is>
          <t>Polysilicon, Silicon ingot</t>
        </is>
      </c>
      <c r="J113" s="45" t="inlineStr">
        <is>
          <t>Silica → Metallurgical silicon → Polysilicon → Ingot/Wafer → Solar cell</t>
        </is>
      </c>
      <c r="K113" s="194" t="n">
        <v>0.0312147442227368</v>
      </c>
      <c r="L113" s="195" t="inlineStr">
        <is>
          <t>Δ</t>
        </is>
      </c>
      <c r="M113" s="99" t="inlineStr">
        <is>
          <t>x</t>
        </is>
      </c>
    </row>
    <row r="114">
      <c r="A114" s="46" t="n">
        <v>113</v>
      </c>
      <c r="B114" s="38" t="inlineStr">
        <is>
          <t>Green power materials</t>
        </is>
      </c>
      <c r="C114" s="38" t="inlineStr">
        <is>
          <t>Green power materials</t>
        </is>
      </c>
      <c r="D114" s="38" t="inlineStr">
        <is>
          <t>(Solar)Wafer and thin-film materials</t>
        </is>
      </c>
      <c r="E114" s="38" t="inlineStr">
        <is>
          <t>Thin-film materials</t>
        </is>
      </c>
      <c r="F114" s="45" t="inlineStr">
        <is>
          <t>CdTe/CIGS/Perovskite thin-film absorber material</t>
        </is>
      </c>
      <c r="G114" s="45" t="inlineStr">
        <is>
          <t>Tellurium, Cadmium, Indium, Gallium, Lead, Halides</t>
        </is>
      </c>
      <c r="H114" s="46" t="inlineStr">
        <is>
          <t>-</t>
        </is>
      </c>
      <c r="I114" s="45" t="inlineStr">
        <is>
          <t>CdTe, CIGS, Perovskite precursor</t>
        </is>
      </c>
      <c r="J114" s="45" t="inlineStr">
        <is>
          <t>Specialty metals/halides → Thin-film absorber → PV module</t>
        </is>
      </c>
      <c r="K114" s="194" t="n">
        <v>0.0417464201531381</v>
      </c>
      <c r="L114" s="195" t="inlineStr">
        <is>
          <t>Δ</t>
        </is>
      </c>
      <c r="M114" s="99" t="inlineStr">
        <is>
          <t>x</t>
        </is>
      </c>
    </row>
    <row r="115">
      <c r="A115" s="46" t="n">
        <v>114</v>
      </c>
      <c r="B115" s="38" t="inlineStr">
        <is>
          <t>Green power materials</t>
        </is>
      </c>
      <c r="C115" s="38" t="inlineStr">
        <is>
          <t>Green power materials</t>
        </is>
      </c>
      <c r="D115" s="38" t="inlineStr">
        <is>
          <t>Solar cell processing chemicals</t>
        </is>
      </c>
      <c r="E115" s="38" t="inlineStr">
        <is>
          <t>Silver paste</t>
        </is>
      </c>
      <c r="F115" s="45" t="inlineStr">
        <is>
          <t>Conductive silver paste for solar cell electrode</t>
        </is>
      </c>
      <c r="G115" s="45" t="inlineStr">
        <is>
          <t>Silver, Organic solvent</t>
        </is>
      </c>
      <c r="H115" s="46" t="inlineStr">
        <is>
          <t>-</t>
        </is>
      </c>
      <c r="I115" s="45" t="inlineStr">
        <is>
          <t>Silver powder, Glass frit, Organic vehicle</t>
        </is>
      </c>
      <c r="J115" s="45" t="inlineStr">
        <is>
          <t>Silver + Glass frit + Solvent/resin vehicle → Silver paste</t>
        </is>
      </c>
      <c r="K115" s="194" t="n">
        <v>0.000172273767361286</v>
      </c>
      <c r="L115" s="195" t="inlineStr">
        <is>
          <t>Δ</t>
        </is>
      </c>
      <c r="M115" s="99" t="inlineStr">
        <is>
          <t>x</t>
        </is>
      </c>
    </row>
    <row r="116" ht="22.5" customHeight="1" s="179">
      <c r="A116" s="46" t="n">
        <v>115</v>
      </c>
      <c r="B116" s="38" t="inlineStr">
        <is>
          <t>Green power materials</t>
        </is>
      </c>
      <c r="C116" s="38" t="inlineStr">
        <is>
          <t>Green power materials</t>
        </is>
      </c>
      <c r="D116" s="38" t="inlineStr">
        <is>
          <t>Solar cell processing chemicals</t>
        </is>
      </c>
      <c r="E116" s="38" t="inlineStr">
        <is>
          <t>TCO/ITO</t>
        </is>
      </c>
      <c r="F116" s="45" t="inlineStr">
        <is>
          <t>Transparent conductive oxide coating</t>
        </is>
      </c>
      <c r="G116" s="45" t="inlineStr">
        <is>
          <t>Indium, Tin, Zinc</t>
        </is>
      </c>
      <c r="H116" s="46" t="inlineStr">
        <is>
          <t>-</t>
        </is>
      </c>
      <c r="I116" s="45" t="inlineStr">
        <is>
          <t>ITO, FTO, AZO target/coating</t>
        </is>
      </c>
      <c r="J116" s="45" t="inlineStr">
        <is>
          <t>High-purity metals → Oxide target/coating → Transparent conductive layer</t>
        </is>
      </c>
      <c r="K116" s="194" t="n">
        <v>0.115629180084584</v>
      </c>
      <c r="L116" s="195" t="inlineStr">
        <is>
          <t>Δ</t>
        </is>
      </c>
      <c r="M116" s="99" t="inlineStr">
        <is>
          <t>x</t>
        </is>
      </c>
    </row>
    <row r="117">
      <c r="A117" s="46" t="n">
        <v>116</v>
      </c>
      <c r="B117" s="38" t="inlineStr">
        <is>
          <t>Green power materials</t>
        </is>
      </c>
      <c r="C117" s="38" t="inlineStr">
        <is>
          <t>Green power materials</t>
        </is>
      </c>
      <c r="D117" s="38" t="inlineStr">
        <is>
          <t>Solar cell processing chemicals</t>
        </is>
      </c>
      <c r="E117" s="38" t="inlineStr">
        <is>
          <t>Other conductive materials</t>
        </is>
      </c>
      <c r="F117" s="45" t="inlineStr">
        <is>
          <t>Busbar/ribbon/conductive adhesive materials</t>
        </is>
      </c>
      <c r="G117" s="45" t="inlineStr">
        <is>
          <t>Copper, Silver, Tin</t>
        </is>
      </c>
      <c r="H117" s="46" t="inlineStr">
        <is>
          <t>-</t>
        </is>
      </c>
      <c r="I117" s="45" t="inlineStr">
        <is>
          <t>Cu ribbon, Conductive adhesive, Solder alloy</t>
        </is>
      </c>
      <c r="J117" s="45" t="inlineStr">
        <is>
          <t>Metal refining + Organic binder → Conductive interconnect material</t>
        </is>
      </c>
      <c r="K117" s="194" t="n">
        <v>0.0597331909477481</v>
      </c>
      <c r="L117" s="195" t="inlineStr">
        <is>
          <t>Δ</t>
        </is>
      </c>
      <c r="M117" s="99" t="inlineStr">
        <is>
          <t>x</t>
        </is>
      </c>
    </row>
    <row r="118">
      <c r="A118" s="46" t="n">
        <v>117</v>
      </c>
      <c r="B118" s="38" t="inlineStr">
        <is>
          <t>Green power materials</t>
        </is>
      </c>
      <c r="C118" s="38" t="inlineStr">
        <is>
          <t>Green power materials</t>
        </is>
      </c>
      <c r="D118" s="38" t="inlineStr">
        <is>
          <t>Solar cell processing chemicals</t>
        </is>
      </c>
      <c r="E118" s="38" t="inlineStr">
        <is>
          <t>Wet-processing chemicals</t>
        </is>
      </c>
      <c r="F118" s="45" t="inlineStr">
        <is>
          <t>Texturing/etching/cleaning chemicals for solar cell</t>
        </is>
      </c>
      <c r="G118" s="45" t="inlineStr">
        <is>
          <t>Fluorspar, Chlorine, Sulfur, Ammonia</t>
        </is>
      </c>
      <c r="H118" s="46" t="inlineStr">
        <is>
          <t>-</t>
        </is>
      </c>
      <c r="I118" s="45" t="inlineStr">
        <is>
          <t>HF, HCl, H₂SO₄, NH₄OH, H₂O₂</t>
        </is>
      </c>
      <c r="J118" s="45" t="inlineStr">
        <is>
          <t>Inorganic acid/base chain → Wet-processing chemical</t>
        </is>
      </c>
      <c r="K118" s="194" t="n">
        <v>0.0470914193628387</v>
      </c>
      <c r="L118" s="195" t="inlineStr">
        <is>
          <t>Δ</t>
        </is>
      </c>
      <c r="M118" s="99" t="inlineStr">
        <is>
          <t>x</t>
        </is>
      </c>
    </row>
    <row r="119">
      <c r="A119" s="46" t="n">
        <v>118</v>
      </c>
      <c r="B119" s="38" t="inlineStr">
        <is>
          <t>Green power materials</t>
        </is>
      </c>
      <c r="C119" s="38" t="inlineStr">
        <is>
          <t>Green power materials</t>
        </is>
      </c>
      <c r="D119" s="38" t="inlineStr">
        <is>
          <t>Solar cell processing chemicals</t>
        </is>
      </c>
      <c r="E119" s="38" t="inlineStr">
        <is>
          <t>Other processing chemicals</t>
        </is>
      </c>
      <c r="F119" s="45" t="inlineStr">
        <is>
          <t>Dopant/cleaning/edge isolation process chemicals</t>
        </is>
      </c>
      <c r="G119" s="45" t="inlineStr">
        <is>
          <t>Phosphorus, Boron, Chlorine</t>
        </is>
      </c>
      <c r="H119" s="46" t="inlineStr">
        <is>
          <t>-</t>
        </is>
      </c>
      <c r="I119" s="45" t="inlineStr">
        <is>
          <t>POCl₃, BBr₃, Specialty etchants</t>
        </is>
      </c>
      <c r="J119" s="45" t="inlineStr">
        <is>
          <t>Inorganic specialty chemistry → Solar cell process chemical</t>
        </is>
      </c>
      <c r="K119" s="194" t="n">
        <v>0.0671120350535532</v>
      </c>
      <c r="L119" s="195" t="inlineStr">
        <is>
          <t>Δ</t>
        </is>
      </c>
      <c r="M119" s="99" t="inlineStr">
        <is>
          <t>x</t>
        </is>
      </c>
    </row>
    <row r="120">
      <c r="A120" s="46" t="n">
        <v>119</v>
      </c>
      <c r="B120" s="38" t="inlineStr">
        <is>
          <t>Green power materials</t>
        </is>
      </c>
      <c r="C120" s="38" t="inlineStr">
        <is>
          <t>Green power materials</t>
        </is>
      </c>
      <c r="D120" s="38" t="inlineStr">
        <is>
          <t>Solar cell encapsulants</t>
        </is>
      </c>
      <c r="E120" s="38" t="inlineStr">
        <is>
          <t>EVA film</t>
        </is>
      </c>
      <c r="F120" s="45" t="inlineStr">
        <is>
          <t>PV module encapsulant film</t>
        </is>
      </c>
      <c r="G120" s="45" t="inlineStr">
        <is>
          <t>Ethylene, Acetic acid</t>
        </is>
      </c>
      <c r="H120" s="44" t="inlineStr">
        <is>
          <t>○</t>
        </is>
      </c>
      <c r="I120" s="45" t="inlineStr">
        <is>
          <t>VAM, EVA resin</t>
        </is>
      </c>
      <c r="J120" s="45" t="inlineStr">
        <is>
          <t>Ethylene → VAM → EVA resin → Encapsulant film</t>
        </is>
      </c>
      <c r="K120" s="194" t="n">
        <v>0.00633078621153849</v>
      </c>
      <c r="L120" s="195" t="inlineStr">
        <is>
          <t>Δ</t>
        </is>
      </c>
      <c r="M120" s="99" t="inlineStr">
        <is>
          <t>EVA</t>
        </is>
      </c>
    </row>
    <row r="121">
      <c r="A121" s="46" t="n">
        <v>120</v>
      </c>
      <c r="B121" s="38" t="inlineStr">
        <is>
          <t>Green power materials</t>
        </is>
      </c>
      <c r="C121" s="38" t="inlineStr">
        <is>
          <t>Green power materials</t>
        </is>
      </c>
      <c r="D121" s="38" t="inlineStr">
        <is>
          <t>Solar cell encapsulants</t>
        </is>
      </c>
      <c r="E121" s="38" t="inlineStr">
        <is>
          <t>POE/TPO film</t>
        </is>
      </c>
      <c r="F121" s="45" t="inlineStr">
        <is>
          <t>High-reliability encapsulant for bifacial/N-type modules</t>
        </is>
      </c>
      <c r="G121" s="45" t="inlineStr">
        <is>
          <t>Ethylene, Alpha-olefin</t>
        </is>
      </c>
      <c r="H121" s="44" t="inlineStr">
        <is>
          <t>○</t>
        </is>
      </c>
      <c r="I121" s="45" t="inlineStr">
        <is>
          <t>POE/TPO resin</t>
        </is>
      </c>
      <c r="J121" s="45" t="inlineStr">
        <is>
          <t>Ethylene + Alpha-olefin → POE/TPO → Encapsulant film</t>
        </is>
      </c>
      <c r="K121" s="194" t="n">
        <v>0.08179136305943931</v>
      </c>
      <c r="L121" s="195" t="inlineStr">
        <is>
          <t>Δ</t>
        </is>
      </c>
      <c r="M121" s="99" t="inlineStr">
        <is>
          <t>LAO</t>
        </is>
      </c>
    </row>
    <row r="122">
      <c r="A122" s="46" t="n">
        <v>121</v>
      </c>
      <c r="B122" s="38" t="inlineStr">
        <is>
          <t>Green power materials</t>
        </is>
      </c>
      <c r="C122" s="38" t="inlineStr">
        <is>
          <t>Green power materials</t>
        </is>
      </c>
      <c r="D122" s="38" t="inlineStr">
        <is>
          <t>Solar cell encapsulants</t>
        </is>
      </c>
      <c r="E122" s="38" t="inlineStr">
        <is>
          <t>EPE film</t>
        </is>
      </c>
      <c r="F122" s="45" t="inlineStr">
        <is>
          <t>EVA/POE/EVA composite encapsulant</t>
        </is>
      </c>
      <c r="G122" s="45" t="inlineStr">
        <is>
          <t>Ethylene, Acetic acid, Alpha-olefin</t>
        </is>
      </c>
      <c r="H122" s="44" t="inlineStr">
        <is>
          <t>○</t>
        </is>
      </c>
      <c r="I122" s="45" t="inlineStr">
        <is>
          <t>EVA resin, POE resin</t>
        </is>
      </c>
      <c r="J122" s="45" t="inlineStr">
        <is>
          <t>Ethylene/VAM + Alpha-olefin → EVA/POE → EPE film</t>
        </is>
      </c>
      <c r="K122" s="194" t="n">
        <v>0.0560418194133696</v>
      </c>
      <c r="L122" s="195" t="inlineStr">
        <is>
          <t>Δ</t>
        </is>
      </c>
      <c r="M122" s="99" t="inlineStr">
        <is>
          <t>EVA, LAO</t>
        </is>
      </c>
    </row>
    <row r="123">
      <c r="A123" s="46" t="n">
        <v>122</v>
      </c>
      <c r="B123" s="38" t="inlineStr">
        <is>
          <t>Green power materials</t>
        </is>
      </c>
      <c r="C123" s="38" t="inlineStr">
        <is>
          <t>Green power materials</t>
        </is>
      </c>
      <c r="D123" s="38" t="inlineStr">
        <is>
          <t>Solar cell encapsulants</t>
        </is>
      </c>
      <c r="E123" s="38" t="inlineStr">
        <is>
          <t>Others</t>
        </is>
      </c>
      <c r="F123" s="45" t="inlineStr">
        <is>
          <t>Specialty encapsulant for high-durability PV module</t>
        </is>
      </c>
      <c r="G123" s="45" t="inlineStr">
        <is>
          <t>Ethylene, Silicone, Specialty olefin</t>
        </is>
      </c>
      <c r="H123" s="44" t="inlineStr">
        <is>
          <t>△</t>
        </is>
      </c>
      <c r="I123" s="45" t="inlineStr">
        <is>
          <t>Ionoplastic resin, Silicone encapsulant</t>
        </is>
      </c>
      <c r="J123" s="45" t="inlineStr">
        <is>
          <t>Olefin/silicone chemistry → Specialty encapsulant</t>
        </is>
      </c>
      <c r="K123" s="194" t="n">
        <v>0.34047761089009</v>
      </c>
      <c r="L123" s="195" t="inlineStr">
        <is>
          <t>Δ</t>
        </is>
      </c>
      <c r="M123" s="99" t="inlineStr">
        <is>
          <t>x</t>
        </is>
      </c>
    </row>
    <row r="124">
      <c r="A124" s="46" t="n">
        <v>123</v>
      </c>
      <c r="B124" s="38" t="inlineStr">
        <is>
          <t>Green power materials</t>
        </is>
      </c>
      <c r="C124" s="38" t="inlineStr">
        <is>
          <t>Green power materials</t>
        </is>
      </c>
      <c r="D124" s="38" t="inlineStr">
        <is>
          <t>(Solar)Front- and backsheet materials</t>
        </is>
      </c>
      <c r="E124" s="38" t="inlineStr">
        <is>
          <t>Photovoltaic glass</t>
        </is>
      </c>
      <c r="F124" s="45" t="inlineStr">
        <is>
          <t>Front glass / glass-glass module material</t>
        </is>
      </c>
      <c r="G124" s="45" t="inlineStr">
        <is>
          <t>Silica, Soda ash, Limestone</t>
        </is>
      </c>
      <c r="H124" s="46" t="inlineStr">
        <is>
          <t>-</t>
        </is>
      </c>
      <c r="I124" s="45" t="inlineStr">
        <is>
          <t>Low-iron solar glass</t>
        </is>
      </c>
      <c r="J124" s="45" t="inlineStr">
        <is>
          <t>Inorganic minerals → Low-iron glass → PV module glass</t>
        </is>
      </c>
      <c r="K124" s="194" t="n">
        <v>0.0360256093192579</v>
      </c>
      <c r="L124" s="195" t="inlineStr">
        <is>
          <t>Δ</t>
        </is>
      </c>
      <c r="M124" s="99" t="inlineStr">
        <is>
          <t>x</t>
        </is>
      </c>
    </row>
    <row r="125">
      <c r="A125" s="46" t="n">
        <v>124</v>
      </c>
      <c r="B125" s="38" t="inlineStr">
        <is>
          <t>Green power materials</t>
        </is>
      </c>
      <c r="C125" s="38" t="inlineStr">
        <is>
          <t>Green power materials</t>
        </is>
      </c>
      <c r="D125" s="38" t="inlineStr">
        <is>
          <t>(Solar)Front- and backsheet materials</t>
        </is>
      </c>
      <c r="E125" s="38" t="inlineStr">
        <is>
          <t>Backsheet polymers - Polyethylene terephthalate (PET)</t>
        </is>
      </c>
      <c r="F125" s="45" t="inlineStr">
        <is>
          <t>PET backsheet core film</t>
        </is>
      </c>
      <c r="G125" s="45" t="inlineStr">
        <is>
          <t>PX, Ethylene</t>
        </is>
      </c>
      <c r="H125" s="44" t="inlineStr">
        <is>
          <t>○</t>
        </is>
      </c>
      <c r="I125" s="45" t="inlineStr">
        <is>
          <t>PTA, EG, PET film</t>
        </is>
      </c>
      <c r="J125" s="45" t="inlineStr">
        <is>
          <t>PX/Ethylene → PTA/EG → PET film → PV backsheet</t>
        </is>
      </c>
      <c r="K125" s="194" t="n">
        <v>0.0105868158896685</v>
      </c>
      <c r="L125" s="195" t="inlineStr">
        <is>
          <t>Δ</t>
        </is>
      </c>
      <c r="M125" s="99" t="inlineStr">
        <is>
          <t>PET</t>
        </is>
      </c>
    </row>
    <row r="126">
      <c r="A126" s="46" t="n">
        <v>125</v>
      </c>
      <c r="B126" s="38" t="inlineStr">
        <is>
          <t>Green power materials</t>
        </is>
      </c>
      <c r="C126" s="38" t="inlineStr">
        <is>
          <t>Green power materials</t>
        </is>
      </c>
      <c r="D126" s="38" t="inlineStr">
        <is>
          <t>(Solar)Front- and backsheet materials</t>
        </is>
      </c>
      <c r="E126" s="38" t="inlineStr">
        <is>
          <t>Backsheet polymers - Fluoropolymers</t>
        </is>
      </c>
      <c r="F126" s="45" t="inlineStr">
        <is>
          <t>PVDF/PVF fluoropolymer protective backsheet</t>
        </is>
      </c>
      <c r="G126" s="45" t="inlineStr">
        <is>
          <t>Fluorspar</t>
        </is>
      </c>
      <c r="H126" s="46" t="inlineStr">
        <is>
          <t>-</t>
        </is>
      </c>
      <c r="I126" s="45" t="inlineStr">
        <is>
          <t>VDF/PVF fluoromonomer, PVDF/PVF resin</t>
        </is>
      </c>
      <c r="J126" s="45" t="inlineStr">
        <is>
          <t>Fluorspar → Fluorochemical → Fluoropolymer → Backsheet film</t>
        </is>
      </c>
      <c r="K126" s="194" t="n">
        <v>0.00736219289187767</v>
      </c>
      <c r="L126" s="195" t="inlineStr">
        <is>
          <t>Δ</t>
        </is>
      </c>
      <c r="M126" s="99" t="inlineStr">
        <is>
          <t>x</t>
        </is>
      </c>
    </row>
    <row r="127">
      <c r="A127" s="46" t="n">
        <v>126</v>
      </c>
      <c r="B127" s="38" t="inlineStr">
        <is>
          <t>Green power materials</t>
        </is>
      </c>
      <c r="C127" s="38" t="inlineStr">
        <is>
          <t>Green power materials</t>
        </is>
      </c>
      <c r="D127" s="38" t="inlineStr">
        <is>
          <t>(Solar)Front- and backsheet materials</t>
        </is>
      </c>
      <c r="E127" s="38" t="inlineStr">
        <is>
          <t>Backsheet polymers - Others</t>
        </is>
      </c>
      <c r="F127" s="45" t="inlineStr">
        <is>
          <t>Polyamide/polyolefin/acrylic backsheet layer</t>
        </is>
      </c>
      <c r="G127" s="45" t="inlineStr">
        <is>
          <t>Ethylene, Propylene, Benzene</t>
        </is>
      </c>
      <c r="H127" s="44" t="inlineStr">
        <is>
          <t>○</t>
        </is>
      </c>
      <c r="I127" s="45" t="inlineStr">
        <is>
          <t>Polyolefin film, Acrylic coating, PA film</t>
        </is>
      </c>
      <c r="J127" s="45" t="inlineStr">
        <is>
          <t>Olefin/BTX chain → Specialty polymer film/coating → Backsheet</t>
        </is>
      </c>
      <c r="K127" s="194" t="n">
        <v>0.0113834529008781</v>
      </c>
      <c r="L127" s="195" t="inlineStr">
        <is>
          <t>Δ</t>
        </is>
      </c>
      <c r="M127" s="99" t="inlineStr">
        <is>
          <t>x</t>
        </is>
      </c>
    </row>
    <row r="128">
      <c r="A128" s="46" t="n">
        <v>127</v>
      </c>
      <c r="B128" s="38" t="inlineStr">
        <is>
          <t>Green power materials</t>
        </is>
      </c>
      <c r="C128" s="38" t="inlineStr">
        <is>
          <t>Green power materials</t>
        </is>
      </c>
      <c r="D128" s="38" t="inlineStr">
        <is>
          <t>(Wind)Blade composite materials</t>
        </is>
      </c>
      <c r="E128" s="38" t="inlineStr">
        <is>
          <t>Epoxy resin</t>
        </is>
      </c>
      <c r="F128" s="45" t="inlineStr">
        <is>
          <t>Wind blade matrix resin</t>
        </is>
      </c>
      <c r="G128" s="45" t="inlineStr">
        <is>
          <t>Benzene, Propylene</t>
        </is>
      </c>
      <c r="H128" s="44" t="inlineStr">
        <is>
          <t>○</t>
        </is>
      </c>
      <c r="I128" s="45" t="inlineStr">
        <is>
          <t>BPA epoxy resin, Epichlorohydrin</t>
        </is>
      </c>
      <c r="J128" s="45" t="inlineStr">
        <is>
          <t>Benzene/Propylene → BPA + ECH → Epoxy resin → Blade composite</t>
        </is>
      </c>
      <c r="K128" s="194" t="n">
        <v>0.0111423115094378</v>
      </c>
      <c r="L128" s="195" t="inlineStr">
        <is>
          <t>Δ</t>
        </is>
      </c>
      <c r="M128" s="99" t="inlineStr">
        <is>
          <t>Epoxy resin</t>
        </is>
      </c>
    </row>
    <row r="129">
      <c r="A129" s="46" t="n">
        <v>128</v>
      </c>
      <c r="B129" s="38" t="inlineStr">
        <is>
          <t>Green power materials</t>
        </is>
      </c>
      <c r="C129" s="38" t="inlineStr">
        <is>
          <t>Green power materials</t>
        </is>
      </c>
      <c r="D129" s="38" t="inlineStr">
        <is>
          <t>(Wind)Blade composite materials</t>
        </is>
      </c>
      <c r="E129" s="38" t="inlineStr">
        <is>
          <t>Curing agents</t>
        </is>
      </c>
      <c r="F129" s="45" t="inlineStr">
        <is>
          <t>Epoxy hardener for wind blade composite</t>
        </is>
      </c>
      <c r="G129" s="45" t="inlineStr">
        <is>
          <t>Ethylene, Ammonia, Benzene</t>
        </is>
      </c>
      <c r="H129" s="44" t="inlineStr">
        <is>
          <t>△</t>
        </is>
      </c>
      <c r="I129" s="45" t="inlineStr">
        <is>
          <t>Amines, Anhydrides</t>
        </is>
      </c>
      <c r="J129" s="45" t="inlineStr">
        <is>
          <t>Olefin/ammonia/aromatics → Curing agent → Epoxy composite</t>
        </is>
      </c>
      <c r="K129" s="194" t="n">
        <v>0.0111423115094378</v>
      </c>
      <c r="L129" s="195" t="inlineStr">
        <is>
          <t>Δ</t>
        </is>
      </c>
      <c r="M129" s="99" t="inlineStr">
        <is>
          <t>x</t>
        </is>
      </c>
    </row>
    <row r="130">
      <c r="A130" s="46" t="n">
        <v>129</v>
      </c>
      <c r="B130" s="38" t="inlineStr">
        <is>
          <t>Green power materials</t>
        </is>
      </c>
      <c r="C130" s="38" t="inlineStr">
        <is>
          <t>Green power materials</t>
        </is>
      </c>
      <c r="D130" s="38" t="inlineStr">
        <is>
          <t>(Wind)Blade composite materials</t>
        </is>
      </c>
      <c r="E130" s="38" t="inlineStr">
        <is>
          <t>Reinforcement fibers</t>
        </is>
      </c>
      <c r="F130" s="45" t="inlineStr">
        <is>
          <t>Glass/carbon fiber for wind blade reinforcement</t>
        </is>
      </c>
      <c r="G130" s="45" t="inlineStr">
        <is>
          <t>Silica, PAN, Propylene</t>
        </is>
      </c>
      <c r="H130" s="44" t="inlineStr">
        <is>
          <t>△</t>
        </is>
      </c>
      <c r="I130" s="45" t="inlineStr">
        <is>
          <t>Glass fiber, PAN-based carbon fiber</t>
        </is>
      </c>
      <c r="J130" s="45" t="inlineStr">
        <is>
          <t>Silica → Glass fiber / Propylene → Acrylonitrile → PAN → Carbon fiber</t>
        </is>
      </c>
      <c r="K130" s="194" t="n">
        <v>0.0117631427004472</v>
      </c>
      <c r="L130" s="195" t="inlineStr">
        <is>
          <t>Δ</t>
        </is>
      </c>
      <c r="M130" s="99" t="inlineStr">
        <is>
          <t>AN</t>
        </is>
      </c>
    </row>
    <row r="131">
      <c r="A131" s="46" t="n">
        <v>130</v>
      </c>
      <c r="B131" s="38" t="inlineStr">
        <is>
          <t>Green power materials</t>
        </is>
      </c>
      <c r="C131" s="38" t="inlineStr">
        <is>
          <t>Green power materials</t>
        </is>
      </c>
      <c r="D131" s="38" t="inlineStr">
        <is>
          <t>(Wind)Specialty coatings</t>
        </is>
      </c>
      <c r="E131" s="38" t="inlineStr">
        <is>
          <t>Epoxy coatings</t>
        </is>
      </c>
      <c r="F131" s="45" t="inlineStr">
        <is>
          <t>Erosion/corrosion protective coating for blade/tower</t>
        </is>
      </c>
      <c r="G131" s="45" t="inlineStr">
        <is>
          <t>Benzene, Propylene</t>
        </is>
      </c>
      <c r="H131" s="44" t="inlineStr">
        <is>
          <t>○</t>
        </is>
      </c>
      <c r="I131" s="45" t="inlineStr">
        <is>
          <t>Epoxy resin, Amine hardener</t>
        </is>
      </c>
      <c r="J131" s="45" t="inlineStr">
        <is>
          <t>BTX/propylene → Epoxy resin → Wind protective coating</t>
        </is>
      </c>
      <c r="K131" s="194" t="n">
        <v>0.0331123958680244</v>
      </c>
      <c r="L131" s="195" t="inlineStr">
        <is>
          <t>Δ</t>
        </is>
      </c>
      <c r="M131" s="99" t="inlineStr">
        <is>
          <t>Epoxy resin</t>
        </is>
      </c>
    </row>
    <row r="132">
      <c r="A132" s="46" t="n">
        <v>131</v>
      </c>
      <c r="B132" s="38" t="inlineStr">
        <is>
          <t>Green power materials</t>
        </is>
      </c>
      <c r="C132" s="38" t="inlineStr">
        <is>
          <t>Green power materials</t>
        </is>
      </c>
      <c r="D132" s="38" t="inlineStr">
        <is>
          <t>(Wind)Specialty coatings</t>
        </is>
      </c>
      <c r="E132" s="38" t="inlineStr">
        <is>
          <t>Polyurethane (PU) coatings</t>
        </is>
      </c>
      <c r="F132" s="45" t="inlineStr">
        <is>
          <t>Leading-edge protection coating for wind blade</t>
        </is>
      </c>
      <c r="G132" s="45" t="inlineStr">
        <is>
          <t>Propylene, Benzene/Toluene</t>
        </is>
      </c>
      <c r="H132" s="44" t="inlineStr">
        <is>
          <t>○</t>
        </is>
      </c>
      <c r="I132" s="45" t="inlineStr">
        <is>
          <t>Polyol, Isocyanate, PU coating resin</t>
        </is>
      </c>
      <c r="J132" s="45" t="inlineStr">
        <is>
          <t>PO/EO → Polyol + Aromatics → Isocyanate → PU coating</t>
        </is>
      </c>
      <c r="K132" s="194" t="n">
        <v>0.0331123958680244</v>
      </c>
      <c r="L132" s="195" t="inlineStr">
        <is>
          <t>Δ</t>
        </is>
      </c>
      <c r="M132" s="99" t="inlineStr">
        <is>
          <t>PU</t>
        </is>
      </c>
    </row>
    <row r="133">
      <c r="A133" s="46" t="n">
        <v>132</v>
      </c>
      <c r="B133" s="38" t="inlineStr">
        <is>
          <t>Green power materials</t>
        </is>
      </c>
      <c r="C133" s="38" t="inlineStr">
        <is>
          <t>Green power materials</t>
        </is>
      </c>
      <c r="D133" s="38" t="inlineStr">
        <is>
          <t>(Wind)Specialty coatings</t>
        </is>
      </c>
      <c r="E133" s="38" t="inlineStr">
        <is>
          <t>Other coatings</t>
        </is>
      </c>
      <c r="F133" s="45" t="inlineStr">
        <is>
          <t>Acrylic/fluoropolymer weathering coating</t>
        </is>
      </c>
      <c r="G133" s="45" t="inlineStr">
        <is>
          <t>Propylene, Fluorspar</t>
        </is>
      </c>
      <c r="H133" s="44" t="inlineStr">
        <is>
          <t>△</t>
        </is>
      </c>
      <c r="I133" s="45" t="inlineStr">
        <is>
          <t>Acrylic resin, Fluoropolymer resin</t>
        </is>
      </c>
      <c r="J133" s="45" t="inlineStr">
        <is>
          <t>Propylene/acrylate or fluorochemical chain → Weatherable coating</t>
        </is>
      </c>
      <c r="K133" s="194" t="n">
        <v>0.0331123958680244</v>
      </c>
      <c r="L133" s="195" t="inlineStr">
        <is>
          <t>Δ</t>
        </is>
      </c>
      <c r="M133" s="99" t="inlineStr">
        <is>
          <t>Acrylic Acid, Acrylate ester</t>
        </is>
      </c>
    </row>
    <row r="134">
      <c r="A134" s="46" t="n">
        <v>133</v>
      </c>
      <c r="B134" s="38" t="inlineStr">
        <is>
          <t>Green power materials</t>
        </is>
      </c>
      <c r="C134" s="38" t="inlineStr">
        <is>
          <t>Green power materials</t>
        </is>
      </c>
      <c r="D134" s="38" t="inlineStr">
        <is>
          <t>(Wind)Specialty lubricants</t>
        </is>
      </c>
      <c r="E134" s="38" t="n"/>
      <c r="F134" s="45" t="inlineStr">
        <is>
          <t>Gearbox/bearing lubricant for wind turbine</t>
        </is>
      </c>
      <c r="G134" s="45" t="inlineStr">
        <is>
          <t>Ethylene, Alpha-olefin, Fatty acid</t>
        </is>
      </c>
      <c r="H134" s="44" t="inlineStr">
        <is>
          <t>△</t>
        </is>
      </c>
      <c r="I134" s="45" t="inlineStr">
        <is>
          <t>PAO, Ester, Additive package</t>
        </is>
      </c>
      <c r="J134" s="45" t="inlineStr">
        <is>
          <t>Olefin/ester chemistry → Synthetic lubricant → Wind turbine lubricant</t>
        </is>
      </c>
      <c r="K134" s="194" t="n">
        <v>0.0600856449346396</v>
      </c>
      <c r="L134" s="195" t="inlineStr">
        <is>
          <t>Δ</t>
        </is>
      </c>
      <c r="M134" s="99" t="inlineStr">
        <is>
          <t>PAO</t>
        </is>
      </c>
    </row>
    <row r="135">
      <c r="A135" s="46" t="n">
        <v>134</v>
      </c>
      <c r="B135" s="38" t="inlineStr">
        <is>
          <t>Green power materials</t>
        </is>
      </c>
      <c r="C135" s="38" t="inlineStr">
        <is>
          <t>Green power materials</t>
        </is>
      </c>
      <c r="D135" s="38" t="inlineStr">
        <is>
          <t>(Wind)Magnet materials</t>
        </is>
      </c>
      <c r="E135" s="38" t="n"/>
      <c r="F135" s="45" t="inlineStr">
        <is>
          <t>NdFeB permanent magnet for direct-drive generator</t>
        </is>
      </c>
      <c r="G135" s="45" t="inlineStr">
        <is>
          <t>Rare earths, Iron, Boron</t>
        </is>
      </c>
      <c r="H135" s="46" t="inlineStr">
        <is>
          <t>-</t>
        </is>
      </c>
      <c r="I135" s="45" t="inlineStr">
        <is>
          <t>Neodymium-praseodymium alloy, NdFeB magnet</t>
        </is>
      </c>
      <c r="J135" s="45" t="inlineStr">
        <is>
          <t>Rare earth mining/refining → Magnet alloy → Wind generator magnet</t>
        </is>
      </c>
      <c r="K135" s="194" t="n">
        <v>0.0352188394959672</v>
      </c>
      <c r="L135" s="195" t="inlineStr">
        <is>
          <t>Δ</t>
        </is>
      </c>
      <c r="M135" s="99" t="inlineStr">
        <is>
          <t>x</t>
        </is>
      </c>
    </row>
    <row r="136">
      <c r="A136" s="46" t="n">
        <v>135</v>
      </c>
      <c r="B136" s="38" t="inlineStr">
        <is>
          <t>Green power materials</t>
        </is>
      </c>
      <c r="C136" s="38" t="inlineStr">
        <is>
          <t>Green power materials</t>
        </is>
      </c>
      <c r="D136" s="38" t="inlineStr">
        <is>
          <t>(Wind)Structural adhesives</t>
        </is>
      </c>
      <c r="E136" s="38" t="n"/>
      <c r="F136" s="45" t="inlineStr">
        <is>
          <t>Epoxy/PU blade bonding adhesive</t>
        </is>
      </c>
      <c r="G136" s="45" t="inlineStr">
        <is>
          <t>Benzene, Propylene</t>
        </is>
      </c>
      <c r="H136" s="44" t="inlineStr">
        <is>
          <t>○</t>
        </is>
      </c>
      <c r="I136" s="45" t="inlineStr">
        <is>
          <t>Epoxy resin, PU prepolymer, Curing agent</t>
        </is>
      </c>
      <c r="J136" s="45" t="inlineStr">
        <is>
          <t>BTX/propylene → Epoxy/PU resin → Structural adhesive</t>
        </is>
      </c>
      <c r="K136" s="194" t="n">
        <v>0.0331123958680244</v>
      </c>
      <c r="L136" s="195" t="inlineStr">
        <is>
          <t>Δ</t>
        </is>
      </c>
      <c r="M136" s="99" t="inlineStr">
        <is>
          <t>Epoxy Resin, PU</t>
        </is>
      </c>
    </row>
    <row r="137">
      <c r="A137" s="46" t="n">
        <v>136</v>
      </c>
      <c r="B137" s="38" t="inlineStr">
        <is>
          <t>Green power materials</t>
        </is>
      </c>
      <c r="C137" s="38" t="inlineStr">
        <is>
          <t>Green power materials</t>
        </is>
      </c>
      <c r="D137" s="38" t="inlineStr">
        <is>
          <t>(Wind)Concrete admixtures</t>
        </is>
      </c>
      <c r="E137" s="38" t="n"/>
      <c r="F137" s="45" t="inlineStr">
        <is>
          <t>Superplasticizer/admixture for wind turbine foundation</t>
        </is>
      </c>
      <c r="G137" s="45" t="inlineStr">
        <is>
          <t>Ethylene, Propylene, Naphthalene</t>
        </is>
      </c>
      <c r="H137" s="44" t="inlineStr">
        <is>
          <t>○</t>
        </is>
      </c>
      <c r="I137" s="45" t="inlineStr">
        <is>
          <t>PCE, SNF, Lignosulfonate</t>
        </is>
      </c>
      <c r="J137" s="45" t="inlineStr">
        <is>
          <t>EO/propylene/aromatics → Concrete admixture → Wind foundation</t>
        </is>
      </c>
      <c r="K137" s="194" t="n">
        <v>0.0331123958680244</v>
      </c>
      <c r="L137" s="195" t="inlineStr">
        <is>
          <t>Δ</t>
        </is>
      </c>
      <c r="M137" s="99" t="inlineStr">
        <is>
          <t>x</t>
        </is>
      </c>
    </row>
    <row r="138">
      <c r="A138" s="46" t="n">
        <v>132</v>
      </c>
      <c r="B138" s="38" t="inlineStr">
        <is>
          <t>Water management chemicals</t>
        </is>
      </c>
      <c r="C138" s="38" t="inlineStr">
        <is>
          <t>Water management chemicals</t>
        </is>
      </c>
      <c r="D138" s="38" t="inlineStr">
        <is>
          <t>Membranes</t>
        </is>
      </c>
      <c r="E138" s="38" t="inlineStr">
        <is>
          <t>Membranes</t>
        </is>
      </c>
      <c r="F138" s="45" t="inlineStr">
        <is>
          <t>RO/UF/NF water treatment membrane</t>
        </is>
      </c>
      <c r="G138" s="45" t="inlineStr">
        <is>
          <t>Benzene, Propylene, Fluoropolymer feed</t>
        </is>
      </c>
      <c r="H138" s="44" t="inlineStr">
        <is>
          <t>△</t>
        </is>
      </c>
      <c r="I138" s="45" t="inlineStr">
        <is>
          <t>Polysulfone, PES, PVDF membrane polymer</t>
        </is>
      </c>
      <c r="J138" s="45" t="inlineStr">
        <is>
          <t>BTX/fluorochemical → Membrane polymer → Water treatment membrane</t>
        </is>
      </c>
      <c r="K138" s="194" t="n">
        <v>0.062</v>
      </c>
      <c r="L138" s="196" t="n"/>
      <c r="M138" s="99" t="inlineStr">
        <is>
          <t>BPA</t>
        </is>
      </c>
    </row>
    <row r="139">
      <c r="A139" s="46" t="n">
        <v>133</v>
      </c>
      <c r="B139" s="38" t="inlineStr">
        <is>
          <t>Water management chemicals</t>
        </is>
      </c>
      <c r="C139" s="38" t="inlineStr">
        <is>
          <t>Water management chemicals</t>
        </is>
      </c>
      <c r="D139" s="38" t="inlineStr">
        <is>
          <t>Membranes</t>
        </is>
      </c>
      <c r="E139" s="38" t="inlineStr">
        <is>
          <t>Ion exchange resins</t>
        </is>
      </c>
      <c r="F139" s="45" t="inlineStr">
        <is>
          <t>Demineralization / ultrapure water ion exchange resin</t>
        </is>
      </c>
      <c r="G139" s="45" t="inlineStr">
        <is>
          <t>Benzene, Ethylene</t>
        </is>
      </c>
      <c r="H139" s="44" t="inlineStr">
        <is>
          <t>○</t>
        </is>
      </c>
      <c r="I139" s="45" t="inlineStr">
        <is>
          <t>Styrene, DVB, Functional resin bead</t>
        </is>
      </c>
      <c r="J139" s="45" t="inlineStr">
        <is>
          <t>Benzene/ethylene → Styrene/DVB → Ion exchange resin</t>
        </is>
      </c>
      <c r="K139" s="194" t="n">
        <v>0.0222987642861927</v>
      </c>
      <c r="L139" s="196" t="n"/>
      <c r="M139" s="99" t="inlineStr">
        <is>
          <t>Styrene</t>
        </is>
      </c>
    </row>
    <row r="140">
      <c r="A140" s="46" t="n">
        <v>134</v>
      </c>
      <c r="B140" s="38" t="inlineStr">
        <is>
          <t>Water management chemicals</t>
        </is>
      </c>
      <c r="C140" s="38" t="inlineStr">
        <is>
          <t>Water management chemicals</t>
        </is>
      </c>
      <c r="D140" s="38" t="inlineStr">
        <is>
          <t>Membranes</t>
        </is>
      </c>
      <c r="E140" s="38" t="inlineStr">
        <is>
          <t>Organic polymers</t>
        </is>
      </c>
      <c r="F140" s="45" t="inlineStr">
        <is>
          <t>Coagulant/flocculant for water clarification</t>
        </is>
      </c>
      <c r="G140" s="45" t="inlineStr">
        <is>
          <t>Propylene, Acrylonitrile</t>
        </is>
      </c>
      <c r="H140" s="44" t="inlineStr">
        <is>
          <t>○</t>
        </is>
      </c>
      <c r="I140" s="45" t="inlineStr">
        <is>
          <t>Acrylamide, Polyacrylamide(PAM), Polyamine</t>
        </is>
      </c>
      <c r="J140" s="45" t="inlineStr">
        <is>
          <t>Propylene → Acrylonitrile/Acrylamide → Water treatment polymer</t>
        </is>
      </c>
      <c r="K140" s="194" t="n">
        <v>0.0296810598359705</v>
      </c>
      <c r="L140" s="196" t="n"/>
      <c r="M140" s="99" t="inlineStr">
        <is>
          <t>AN</t>
        </is>
      </c>
    </row>
    <row r="141">
      <c r="A141" s="46" t="n">
        <v>135</v>
      </c>
      <c r="B141" s="38" t="inlineStr">
        <is>
          <t>Water management chemicals</t>
        </is>
      </c>
      <c r="C141" s="38" t="inlineStr">
        <is>
          <t>Water management chemicals</t>
        </is>
      </c>
      <c r="D141" s="38" t="inlineStr">
        <is>
          <t>Formulated products</t>
        </is>
      </c>
      <c r="E141" s="38" t="inlineStr">
        <is>
          <t>Corrosion inhibitors</t>
        </is>
      </c>
      <c r="F141" s="45" t="inlineStr">
        <is>
          <t>Cooling/boiler water corrosion inhibitor</t>
        </is>
      </c>
      <c r="G141" s="45" t="inlineStr">
        <is>
          <t>Phosphorus, Nitrogen, Benzene</t>
        </is>
      </c>
      <c r="H141" s="44" t="inlineStr">
        <is>
          <t>△</t>
        </is>
      </c>
      <c r="I141" s="45" t="inlineStr">
        <is>
          <t>Phosphonate, Azole, Amine inhibitor</t>
        </is>
      </c>
      <c r="J141" s="45" t="inlineStr">
        <is>
          <t>Inorganic/Petrochemical intermediates → Corrosion inhibitor formulation</t>
        </is>
      </c>
      <c r="K141" s="194" t="n">
        <v>0.023622335038245</v>
      </c>
      <c r="L141" s="196" t="n"/>
      <c r="M141" s="99" t="inlineStr">
        <is>
          <t>x</t>
        </is>
      </c>
    </row>
    <row r="142">
      <c r="A142" s="46" t="n">
        <v>136</v>
      </c>
      <c r="B142" s="38" t="inlineStr">
        <is>
          <t>Water management chemicals</t>
        </is>
      </c>
      <c r="C142" s="38" t="inlineStr">
        <is>
          <t>Water management chemicals</t>
        </is>
      </c>
      <c r="D142" s="38" t="inlineStr">
        <is>
          <t>Formulated products</t>
        </is>
      </c>
      <c r="E142" s="38" t="inlineStr">
        <is>
          <t>Scale inhibitors</t>
        </is>
      </c>
      <c r="F142" s="45" t="inlineStr">
        <is>
          <t>Scale control chemical for cooling/desalination</t>
        </is>
      </c>
      <c r="G142" s="45" t="inlineStr">
        <is>
          <t>Propylene, Phosphorus</t>
        </is>
      </c>
      <c r="H142" s="44" t="inlineStr">
        <is>
          <t>△</t>
        </is>
      </c>
      <c r="I142" s="45" t="inlineStr">
        <is>
          <t>Polyacrylate, Phosphonate</t>
        </is>
      </c>
      <c r="J142" s="45" t="inlineStr">
        <is>
          <t>Acrylic/phosphonate chemistry → Scale inhibitor</t>
        </is>
      </c>
      <c r="K142" s="194" t="n">
        <v>0.0215299341578583</v>
      </c>
      <c r="L142" s="196" t="n"/>
      <c r="M142" s="99" t="inlineStr">
        <is>
          <t>Acrylic Acid</t>
        </is>
      </c>
    </row>
    <row r="143">
      <c r="A143" s="46" t="n">
        <v>132</v>
      </c>
      <c r="B143" s="38" t="inlineStr">
        <is>
          <t>Water management chemicals</t>
        </is>
      </c>
      <c r="C143" s="38" t="inlineStr">
        <is>
          <t>Water management chemicals</t>
        </is>
      </c>
      <c r="D143" s="38" t="inlineStr">
        <is>
          <t>Formulated products</t>
        </is>
      </c>
      <c r="E143" s="38" t="inlineStr">
        <is>
          <t>Specialty biocides</t>
        </is>
      </c>
      <c r="F143" s="45" t="inlineStr">
        <is>
          <t>Microbial control chemical for industrial water</t>
        </is>
      </c>
      <c r="G143" s="45" t="inlineStr">
        <is>
          <t>Chlorine, Methanol, Isothiazolinone intermediates</t>
        </is>
      </c>
      <c r="H143" s="44" t="inlineStr">
        <is>
          <t>△</t>
        </is>
      </c>
      <c r="I143" s="45" t="inlineStr">
        <is>
          <t>DBNPA, Isothiazolinone, Glutaraldehyde</t>
        </is>
      </c>
      <c r="J143" s="45" t="inlineStr">
        <is>
          <t>Chlorine/C1/specialty intermediate → Biocide formulation</t>
        </is>
      </c>
      <c r="K143" s="194" t="n">
        <v>0.0253302712475185</v>
      </c>
      <c r="L143" s="196" t="n"/>
      <c r="M143" s="99" t="inlineStr">
        <is>
          <t>x</t>
        </is>
      </c>
    </row>
    <row r="144">
      <c r="A144" s="46" t="n">
        <v>133</v>
      </c>
      <c r="B144" s="38" t="inlineStr">
        <is>
          <t>Water management chemicals</t>
        </is>
      </c>
      <c r="C144" s="38" t="inlineStr">
        <is>
          <t>Water management chemicals</t>
        </is>
      </c>
      <c r="D144" s="38" t="inlineStr">
        <is>
          <t>Formulated products</t>
        </is>
      </c>
      <c r="E144" s="38" t="inlineStr">
        <is>
          <t>Foam control agents</t>
        </is>
      </c>
      <c r="F144" s="45" t="inlineStr">
        <is>
          <t>Defoamer for wastewater/process water</t>
        </is>
      </c>
      <c r="G144" s="45" t="inlineStr">
        <is>
          <t>Silicon, Propylene</t>
        </is>
      </c>
      <c r="H144" s="44" t="inlineStr">
        <is>
          <t>△</t>
        </is>
      </c>
      <c r="I144" s="45" t="inlineStr">
        <is>
          <t>Silicone oil, Polyether, Hydrophobic silica</t>
        </is>
      </c>
      <c r="J144" s="45" t="inlineStr">
        <is>
          <t>Silicon/PO chain → Silicone/polyether defoamer</t>
        </is>
      </c>
      <c r="K144" s="194" t="n">
        <v>0.0321152341862854</v>
      </c>
      <c r="L144" s="196" t="n"/>
      <c r="M144" s="99" t="inlineStr">
        <is>
          <t>Polyol</t>
        </is>
      </c>
    </row>
    <row r="145">
      <c r="A145" s="46" t="n">
        <v>134</v>
      </c>
      <c r="B145" s="38" t="inlineStr">
        <is>
          <t>Cosmetic/personal care chemicals</t>
        </is>
      </c>
      <c r="C145" s="38" t="inlineStr">
        <is>
          <t>Cosmetic/personal care chemicals</t>
        </is>
      </c>
      <c r="D145" s="38" t="inlineStr">
        <is>
          <t>Emollients and moisturizers</t>
        </is>
      </c>
      <c r="E145" s="38" t="n"/>
      <c r="F145" s="45" t="inlineStr">
        <is>
          <t>Skin-feel emollient / moisturizer ingredient</t>
        </is>
      </c>
      <c r="G145" s="45" t="inlineStr">
        <is>
          <t>Oleochemical, Propylene, Silicon</t>
        </is>
      </c>
      <c r="H145" s="44" t="inlineStr">
        <is>
          <t>△</t>
        </is>
      </c>
      <c r="I145" s="45" t="inlineStr">
        <is>
          <t>Fatty ester, Polyol, Silicone fluid</t>
        </is>
      </c>
      <c r="J145" s="45" t="inlineStr">
        <is>
          <t>Oleochemical/propylene/silicone chain → Emollient ingredient</t>
        </is>
      </c>
      <c r="K145" s="194" t="n">
        <v>0.0316572991322976</v>
      </c>
      <c r="L145" s="196" t="n"/>
      <c r="M145" s="99" t="inlineStr">
        <is>
          <t>PG, Polyol</t>
        </is>
      </c>
    </row>
    <row r="146">
      <c r="A146" s="46" t="n">
        <v>135</v>
      </c>
      <c r="B146" s="38" t="inlineStr">
        <is>
          <t>Cosmetic/personal care chemicals</t>
        </is>
      </c>
      <c r="C146" s="38" t="inlineStr">
        <is>
          <t>Cosmetic/personal care chemicals</t>
        </is>
      </c>
      <c r="D146" s="38" t="inlineStr">
        <is>
          <t>Surfactants</t>
        </is>
      </c>
      <c r="E146" s="38" t="n"/>
      <c r="F146" s="45" t="inlineStr">
        <is>
          <t>Shampoo/body wash cleansing surfactant</t>
        </is>
      </c>
      <c r="G146" s="45" t="inlineStr">
        <is>
          <t>Ethylene, Fatty alcohol, LAB</t>
        </is>
      </c>
      <c r="H146" s="44" t="inlineStr">
        <is>
          <t>△</t>
        </is>
      </c>
      <c r="I146" s="45" t="inlineStr">
        <is>
          <t>EO, Fatty alcohol ethoxylate, Sulfate surfactant</t>
        </is>
      </c>
      <c r="J146" s="45" t="inlineStr">
        <is>
          <t>Olefin/fatty alcohol/LAB → Surfactant → Personal care formulation</t>
        </is>
      </c>
      <c r="K146" s="194" t="n">
        <v>0.02364503879729729</v>
      </c>
      <c r="L146" s="196" t="n"/>
      <c r="M146" s="30" t="inlineStr">
        <is>
          <t>LAB</t>
        </is>
      </c>
    </row>
    <row r="147">
      <c r="A147" s="46" t="n">
        <v>136</v>
      </c>
      <c r="B147" s="38" t="inlineStr">
        <is>
          <t>Cosmetic/personal care chemicals</t>
        </is>
      </c>
      <c r="C147" s="38" t="inlineStr">
        <is>
          <t>Cosmetic/personal care chemicals</t>
        </is>
      </c>
      <c r="D147" s="38" t="inlineStr">
        <is>
          <t>Thickening agents</t>
        </is>
      </c>
      <c r="E147" s="38" t="n"/>
      <c r="F147" s="45" t="inlineStr">
        <is>
          <t>Rheology modifier for creams/gels</t>
        </is>
      </c>
      <c r="G147" s="45" t="inlineStr">
        <is>
          <t>Cellulose, Acrylic acid, Natural gum</t>
        </is>
      </c>
      <c r="H147" s="44" t="inlineStr">
        <is>
          <t>△</t>
        </is>
      </c>
      <c r="I147" s="45" t="inlineStr">
        <is>
          <t>Carbomer, Cellulose ether, Xanthan gum</t>
        </is>
      </c>
      <c r="J147" s="45" t="inlineStr">
        <is>
          <t>Biomass/acrylic chain → Thickener → Cosmetic formulation</t>
        </is>
      </c>
      <c r="K147" s="194" t="n">
        <v>0.03151362953264081</v>
      </c>
      <c r="L147" s="196" t="n"/>
      <c r="M147" s="98" t="inlineStr">
        <is>
          <t>Acrylic Acid</t>
        </is>
      </c>
    </row>
    <row r="148">
      <c r="A148" s="46" t="n">
        <v>137</v>
      </c>
      <c r="B148" s="38" t="inlineStr">
        <is>
          <t>Cosmetic/personal care chemicals</t>
        </is>
      </c>
      <c r="C148" s="38" t="inlineStr">
        <is>
          <t>Cosmetic/personal care chemicals</t>
        </is>
      </c>
      <c r="D148" s="38" t="inlineStr">
        <is>
          <t>Colorants</t>
        </is>
      </c>
      <c r="E148" s="38" t="n"/>
      <c r="F148" s="45" t="inlineStr">
        <is>
          <t>Cosmetic pigment/colorant</t>
        </is>
      </c>
      <c r="G148" s="45" t="inlineStr">
        <is>
          <t>Mineral, Aromatics</t>
        </is>
      </c>
      <c r="H148" s="44" t="inlineStr">
        <is>
          <t>△</t>
        </is>
      </c>
      <c r="I148" s="45" t="inlineStr">
        <is>
          <t>Iron oxide, Organic pigment, Lake color</t>
        </is>
      </c>
      <c r="J148" s="45" t="inlineStr">
        <is>
          <t>Mineral/BTX → Pigment/colorant → Color cosmetics</t>
        </is>
      </c>
      <c r="K148" s="194" t="n">
        <v>0.03911805468446139</v>
      </c>
      <c r="L148" s="196" t="n"/>
      <c r="M148" s="98" t="inlineStr">
        <is>
          <t>x</t>
        </is>
      </c>
    </row>
    <row r="149">
      <c r="A149" s="46" t="n">
        <v>138</v>
      </c>
      <c r="B149" s="38" t="inlineStr">
        <is>
          <t>Cosmetic/personal care chemicals</t>
        </is>
      </c>
      <c r="C149" s="38" t="inlineStr">
        <is>
          <t>Cosmetic/personal care chemicals</t>
        </is>
      </c>
      <c r="D149" s="38" t="inlineStr">
        <is>
          <t>Carriers and powders</t>
        </is>
      </c>
      <c r="E149" s="38" t="n"/>
      <c r="F149" s="45" t="inlineStr">
        <is>
          <t>Solvent/carrier/powder base for cosmetics</t>
        </is>
      </c>
      <c r="G149" s="45" t="inlineStr">
        <is>
          <t>Propylene, Silica, Talc</t>
        </is>
      </c>
      <c r="H149" s="44" t="inlineStr">
        <is>
          <t>△</t>
        </is>
      </c>
      <c r="I149" s="45" t="inlineStr">
        <is>
          <t>PG, Ethanol, Silica, Talc powder</t>
        </is>
      </c>
      <c r="J149" s="45" t="inlineStr">
        <is>
          <t>Petrochemical/mineral → Carrier/powder → Cosmetic formulation</t>
        </is>
      </c>
      <c r="K149" s="194" t="n">
        <v>0.03285346649116128</v>
      </c>
      <c r="L149" s="196" t="n"/>
      <c r="M149" s="98" t="inlineStr">
        <is>
          <t>PG</t>
        </is>
      </c>
    </row>
    <row r="150">
      <c r="A150" s="46" t="n">
        <v>139</v>
      </c>
      <c r="B150" s="38" t="inlineStr">
        <is>
          <t>Cosmetic/personal care chemicals</t>
        </is>
      </c>
      <c r="C150" s="38" t="inlineStr">
        <is>
          <t>Cosmetic/personal care chemicals</t>
        </is>
      </c>
      <c r="D150" s="38" t="inlineStr">
        <is>
          <t>Product protection agentsa</t>
        </is>
      </c>
      <c r="E150" s="38" t="n"/>
      <c r="F150" s="45" t="inlineStr">
        <is>
          <t>Preservative/antioxidant/chelating agent</t>
        </is>
      </c>
      <c r="G150" s="45" t="inlineStr">
        <is>
          <t>Benzene, Chlorine, C1/C2 feed</t>
        </is>
      </c>
      <c r="H150" s="44" t="inlineStr">
        <is>
          <t>△</t>
        </is>
      </c>
      <c r="I150" s="45" t="inlineStr">
        <is>
          <t>Paraben, Phenoxyethanol, EDTA</t>
        </is>
      </c>
      <c r="J150" s="45" t="inlineStr">
        <is>
          <t>BTX/C1/C2 → Preservative/chelating intermediate → Protection agent</t>
        </is>
      </c>
      <c r="K150" s="194" t="n">
        <v>0.03588474839088618</v>
      </c>
      <c r="L150" s="196" t="n"/>
      <c r="M150" s="98" t="inlineStr">
        <is>
          <t>Phenol</t>
        </is>
      </c>
    </row>
    <row r="151">
      <c r="A151" s="46" t="n">
        <v>140</v>
      </c>
      <c r="B151" s="38" t="inlineStr">
        <is>
          <t>Cosmetic/personal care chemicals</t>
        </is>
      </c>
      <c r="C151" s="38" t="inlineStr">
        <is>
          <t>Cosmetic/personal care chemicals</t>
        </is>
      </c>
      <c r="D151" s="38" t="inlineStr">
        <is>
          <t>Hair conditioning polymers</t>
        </is>
      </c>
      <c r="E151" s="38" t="n"/>
      <c r="F151" s="45" t="inlineStr">
        <is>
          <t>Cationic conditioning polymer</t>
        </is>
      </c>
      <c r="G151" s="45" t="inlineStr">
        <is>
          <t>Acrylamide, Cellulose, Silicon</t>
        </is>
      </c>
      <c r="H151" s="56" t="inlineStr">
        <is>
          <t>-</t>
        </is>
      </c>
      <c r="I151" s="45" t="inlineStr">
        <is>
          <t>Polyquaternium, Cationic cellulose, Silicone polymer</t>
        </is>
      </c>
      <c r="J151" s="45" t="inlineStr">
        <is>
          <t>Acrylic/cellulose/silicone chain → Hair conditioning polymer</t>
        </is>
      </c>
      <c r="K151" s="194" t="n">
        <v>0.01711411511168159</v>
      </c>
      <c r="L151" s="196" t="n"/>
      <c r="M151" s="98" t="inlineStr">
        <is>
          <t>AN</t>
        </is>
      </c>
    </row>
    <row r="152">
      <c r="A152" s="46" t="n">
        <v>141</v>
      </c>
      <c r="B152" s="38" t="inlineStr">
        <is>
          <t>Cosmetic/personal care chemicals</t>
        </is>
      </c>
      <c r="C152" s="38" t="inlineStr">
        <is>
          <t>Cosmetic/personal care chemicals</t>
        </is>
      </c>
      <c r="D152" s="38" t="inlineStr">
        <is>
          <t>Hair setting resins</t>
        </is>
      </c>
      <c r="E152" s="38" t="n"/>
      <c r="F152" s="45" t="inlineStr">
        <is>
          <t>Styling resin for hair gel/spray</t>
        </is>
      </c>
      <c r="G152" s="45" t="inlineStr">
        <is>
          <t>Vinyl acetate, Acrylate, PVP feed</t>
        </is>
      </c>
      <c r="H152" s="46" t="inlineStr">
        <is>
          <t>-</t>
        </is>
      </c>
      <c r="I152" s="45" t="inlineStr">
        <is>
          <t>PVP, Acrylate copolymer, VA copolymer</t>
        </is>
      </c>
      <c r="J152" s="45" t="inlineStr">
        <is>
          <t>Ethylene/propylene → Vinyl/acrylic polymer → Hair setting resin</t>
        </is>
      </c>
      <c r="K152" s="194" t="n">
        <v>0.02466922861478249</v>
      </c>
      <c r="L152" s="196" t="n"/>
      <c r="M152" s="30" t="inlineStr">
        <is>
          <t>Ethylene, Propylene</t>
        </is>
      </c>
    </row>
    <row r="153">
      <c r="A153" s="46" t="n">
        <v>142</v>
      </c>
      <c r="B153" s="38" t="inlineStr">
        <is>
          <t>Cosmetic/personal care chemicals</t>
        </is>
      </c>
      <c r="C153" s="38" t="inlineStr">
        <is>
          <t>Cosmetic/personal care chemicals</t>
        </is>
      </c>
      <c r="D153" s="38" t="inlineStr">
        <is>
          <t>Sunscreen chemicals</t>
        </is>
      </c>
      <c r="E153" s="38" t="n"/>
      <c r="F153" s="45" t="inlineStr">
        <is>
          <t>UV absorber / sun care active</t>
        </is>
      </c>
      <c r="G153" s="45" t="inlineStr">
        <is>
          <t>Benzene, Toluene, Ethylhexanol</t>
        </is>
      </c>
      <c r="H153" s="44" t="inlineStr">
        <is>
          <t>△</t>
        </is>
      </c>
      <c r="I153" s="45" t="inlineStr">
        <is>
          <t>Avobenzone, Octocrylene, Ethylhexyl methoxycinnamate</t>
        </is>
      </c>
      <c r="J153" s="45" t="inlineStr">
        <is>
          <t>BTX/oxo alcohol → UV absorber → Sunscreen active</t>
        </is>
      </c>
      <c r="K153" s="194" t="n">
        <v>0.05923409693623105</v>
      </c>
      <c r="L153" s="196" t="n"/>
    </row>
    <row r="154">
      <c r="A154" s="46" t="n">
        <v>143</v>
      </c>
      <c r="B154" s="38" t="inlineStr">
        <is>
          <t>Cosmetic/personal care chemicals</t>
        </is>
      </c>
      <c r="C154" s="38" t="inlineStr">
        <is>
          <t>Cosmetic/personal care chemicals</t>
        </is>
      </c>
      <c r="D154" s="38" t="inlineStr">
        <is>
          <t>Antiperspirants chemicals</t>
        </is>
      </c>
      <c r="E154" s="38" t="n"/>
      <c r="F154" s="45" t="inlineStr">
        <is>
          <t>Aluminum salt antiperspirant active</t>
        </is>
      </c>
      <c r="G154" s="45" t="inlineStr">
        <is>
          <t>Alumina, Chlorine</t>
        </is>
      </c>
      <c r="H154" s="46" t="inlineStr">
        <is>
          <t>-</t>
        </is>
      </c>
      <c r="I154" s="45" t="inlineStr">
        <is>
          <t>Aluminum chlorohydrate</t>
        </is>
      </c>
      <c r="J154" s="45" t="inlineStr">
        <is>
          <t>Alumina/chlorine chemistry → Antiperspirant active</t>
        </is>
      </c>
      <c r="K154" s="194" t="n">
        <v>0.02845085350097909</v>
      </c>
      <c r="L154" s="196" t="n"/>
    </row>
    <row r="155">
      <c r="A155" s="46" t="n">
        <v>144</v>
      </c>
      <c r="B155" s="38" t="inlineStr">
        <is>
          <t>Cosmetic/personal care chemicals</t>
        </is>
      </c>
      <c r="C155" s="38" t="inlineStr">
        <is>
          <t>Cosmetic/personal care chemicals</t>
        </is>
      </c>
      <c r="D155" s="38" t="inlineStr">
        <is>
          <t>Deodorant chemicals</t>
        </is>
      </c>
      <c r="E155" s="38" t="n"/>
      <c r="F155" s="45" t="inlineStr">
        <is>
          <t>Odor-control / antimicrobial deodorant ingredient</t>
        </is>
      </c>
      <c r="G155" s="45" t="inlineStr">
        <is>
          <t>Zinc, Aromatics, Ethanol</t>
        </is>
      </c>
      <c r="H155" s="56" t="inlineStr">
        <is>
          <t>-</t>
        </is>
      </c>
      <c r="I155" s="45" t="inlineStr">
        <is>
          <t>Zinc ricinoleate, Fragrance, Antimicrobial</t>
        </is>
      </c>
      <c r="J155" s="45" t="inlineStr">
        <is>
          <t>Inorganic/aroma chemical → Deodorant active</t>
        </is>
      </c>
      <c r="K155" s="194" t="n">
        <v>0.03109553611177618</v>
      </c>
      <c r="L155" s="196" t="n"/>
    </row>
    <row r="156">
      <c r="A156" s="46" t="n">
        <v>145</v>
      </c>
      <c r="B156" s="38" t="inlineStr">
        <is>
          <t>Cosmetic/personal care chemicals</t>
        </is>
      </c>
      <c r="C156" s="38" t="inlineStr">
        <is>
          <t>Cosmetic/personal care chemicals</t>
        </is>
      </c>
      <c r="D156" s="38" t="inlineStr">
        <is>
          <t>Antidandruff chemicals</t>
        </is>
      </c>
      <c r="E156" s="38" t="n"/>
      <c r="F156" s="45" t="inlineStr">
        <is>
          <t>Anti-dandruff active ingredient</t>
        </is>
      </c>
      <c r="G156" s="45" t="inlineStr">
        <is>
          <t>Zinc, Sulfur, Aromatics</t>
        </is>
      </c>
      <c r="H156" s="56" t="inlineStr">
        <is>
          <t>-</t>
        </is>
      </c>
      <c r="I156" s="45" t="inlineStr">
        <is>
          <t>Zinc pyrithione, Piroctone olamine</t>
        </is>
      </c>
      <c r="J156" s="45" t="inlineStr">
        <is>
          <t>Inorganic/sulfur/aromatic chemistry → Antidandruff active</t>
        </is>
      </c>
      <c r="K156" s="194" t="n">
        <v>0.02232782417676482</v>
      </c>
      <c r="L156" s="196" t="n"/>
    </row>
    <row r="157">
      <c r="A157" s="46" t="n">
        <v>146</v>
      </c>
      <c r="B157" s="38" t="inlineStr">
        <is>
          <t>Cosmetic/personal care chemicals</t>
        </is>
      </c>
      <c r="C157" s="38" t="inlineStr">
        <is>
          <t>Cosmetic/personal care chemicals</t>
        </is>
      </c>
      <c r="D157" s="38" t="inlineStr">
        <is>
          <t>Active ingredients</t>
        </is>
      </c>
      <c r="E157" s="38" t="n"/>
      <c r="F157" s="45" t="inlineStr">
        <is>
          <t>Anti-aging / skin-functional active</t>
        </is>
      </c>
      <c r="G157" s="45" t="inlineStr">
        <is>
          <t>Biomass, Fermentation feedstock, Aromatics</t>
        </is>
      </c>
      <c r="H157" s="56" t="inlineStr">
        <is>
          <t>-</t>
        </is>
      </c>
      <c r="I157" s="45" t="inlineStr">
        <is>
          <t>Peptide, Niacinamide, Retinol derivative</t>
        </is>
      </c>
      <c r="J157" s="45" t="inlineStr">
        <is>
          <t>Fermentation/extraction/synthesis → Cosmetic active</t>
        </is>
      </c>
      <c r="K157" s="194" t="n">
        <v>0.04148444098881865</v>
      </c>
      <c r="L157" s="196" t="n"/>
    </row>
    <row r="158">
      <c r="A158" s="46" t="n">
        <v>147</v>
      </c>
      <c r="B158" s="57" t="inlineStr">
        <is>
          <t>Cleaners, industrial and institutional</t>
        </is>
      </c>
      <c r="C158" s="57" t="inlineStr">
        <is>
          <t>Cleaners, industrial and institutional</t>
        </is>
      </c>
      <c r="D158" s="57" t="inlineStr">
        <is>
          <t>Janitorial</t>
        </is>
      </c>
      <c r="E158" s="57" t="n"/>
      <c r="F158" s="58" t="inlineStr">
        <is>
          <t>Institutional surface cleaner/disinfectant</t>
        </is>
      </c>
      <c r="G158" s="58" t="inlineStr">
        <is>
          <t>LAB, Ethylene, Chlorine, Alcohol</t>
        </is>
      </c>
      <c r="H158" s="44" t="inlineStr">
        <is>
          <t>△</t>
        </is>
      </c>
      <c r="I158" s="58" t="inlineStr">
        <is>
          <t>Surfactant, Solvent, Quat disinfectant</t>
        </is>
      </c>
      <c r="J158" s="58" t="inlineStr">
        <is>
          <t>LAB/EO/chlorine/alcohol → Cleaner formulation</t>
        </is>
      </c>
      <c r="K158" s="194" t="n">
        <v>0.0312255252955673</v>
      </c>
      <c r="L158" s="196" t="n"/>
      <c r="M158" s="30" t="inlineStr">
        <is>
          <t>EO, LAB</t>
        </is>
      </c>
    </row>
    <row r="159">
      <c r="A159" s="46" t="n">
        <v>148</v>
      </c>
      <c r="B159" s="57" t="inlineStr">
        <is>
          <t>Cleaners, industrial and institutional</t>
        </is>
      </c>
      <c r="C159" s="57" t="inlineStr">
        <is>
          <t>Cleaners, industrial and institutional</t>
        </is>
      </c>
      <c r="D159" s="57" t="inlineStr">
        <is>
          <t>Agricultural, food and drink</t>
        </is>
      </c>
      <c r="E159" s="57" t="n"/>
      <c r="F159" s="58" t="inlineStr">
        <is>
          <t>CIP/food plant cleaner and sanitizer</t>
        </is>
      </c>
      <c r="G159" s="58" t="inlineStr">
        <is>
          <t>Caustic soda, Acid, Chlorine, Surfactant feed</t>
        </is>
      </c>
      <c r="H159" s="59" t="inlineStr">
        <is>
          <t>-</t>
        </is>
      </c>
      <c r="I159" s="58" t="inlineStr">
        <is>
          <t>Alkaline cleaner, Acid cleaner, Peracetic sanitizer</t>
        </is>
      </c>
      <c r="J159" s="58" t="inlineStr">
        <is>
          <t>Chlor-alkali/inorganic acid/surfactant → Food plant cleaning chemical</t>
        </is>
      </c>
      <c r="K159" s="194" t="n">
        <v>0.0312255252955673</v>
      </c>
      <c r="L159" s="196" t="n"/>
    </row>
    <row r="160">
      <c r="A160" s="46" t="n">
        <v>149</v>
      </c>
      <c r="B160" s="57" t="inlineStr">
        <is>
          <t>Cleaners, industrial and institutional</t>
        </is>
      </c>
      <c r="C160" s="57" t="inlineStr">
        <is>
          <t>Cleaners, industrial and institutional</t>
        </is>
      </c>
      <c r="D160" s="57" t="inlineStr">
        <is>
          <t>Kitchen and catering</t>
        </is>
      </c>
      <c r="E160" s="57" t="n"/>
      <c r="F160" s="58" t="inlineStr">
        <is>
          <t>Warewashing detergent/degreaser</t>
        </is>
      </c>
      <c r="G160" s="58" t="inlineStr">
        <is>
          <t>LAB, EO, Caustic soda</t>
        </is>
      </c>
      <c r="H160" s="44" t="inlineStr">
        <is>
          <t>△</t>
        </is>
      </c>
      <c r="I160" s="58" t="inlineStr">
        <is>
          <t>Anionic/nonionic surfactant, Builder</t>
        </is>
      </c>
      <c r="J160" s="58" t="inlineStr">
        <is>
          <t>LAB/EO/alkali → Kitchen detergent formulation</t>
        </is>
      </c>
      <c r="K160" s="194" t="n">
        <v>0.0312255252955673</v>
      </c>
      <c r="L160" s="196" t="n"/>
      <c r="M160" s="30" t="inlineStr">
        <is>
          <t>EO, LAB</t>
        </is>
      </c>
    </row>
    <row r="161">
      <c r="A161" s="46" t="n">
        <v>150</v>
      </c>
      <c r="B161" s="57" t="inlineStr">
        <is>
          <t>Cleaners, industrial and institutional</t>
        </is>
      </c>
      <c r="C161" s="57" t="inlineStr">
        <is>
          <t>Cleaners, industrial and institutional</t>
        </is>
      </c>
      <c r="D161" s="57" t="inlineStr">
        <is>
          <t>Technical, industrial</t>
        </is>
      </c>
      <c r="E161" s="57" t="n"/>
      <c r="F161" s="58" t="inlineStr">
        <is>
          <t>Metal/industrial equipment cleaner</t>
        </is>
      </c>
      <c r="G161" s="58" t="inlineStr">
        <is>
          <t>Solvent, EO/PO, Acid/alkali</t>
        </is>
      </c>
      <c r="H161" s="44" t="inlineStr">
        <is>
          <t>△</t>
        </is>
      </c>
      <c r="I161" s="58" t="inlineStr">
        <is>
          <t>Degreasing solvent, Surfactant, Inhibitor</t>
        </is>
      </c>
      <c r="J161" s="58" t="inlineStr">
        <is>
          <t>Petrochemical solvent + surfactant → Industrial cleaner</t>
        </is>
      </c>
      <c r="K161" s="194" t="n">
        <v>0.0312255252955673</v>
      </c>
      <c r="L161" s="196" t="n"/>
    </row>
    <row r="162">
      <c r="A162" s="46" t="n">
        <v>151</v>
      </c>
      <c r="B162" s="57" t="inlineStr">
        <is>
          <t>Cleaners, industrial and institutional</t>
        </is>
      </c>
      <c r="C162" s="57" t="inlineStr">
        <is>
          <t>Cleaners, industrial and institutional</t>
        </is>
      </c>
      <c r="D162" s="57" t="inlineStr">
        <is>
          <t>Transportation</t>
        </is>
      </c>
      <c r="E162" s="57" t="n"/>
      <c r="F162" s="58" t="inlineStr">
        <is>
          <t>Vehicle wash / transport cleaner</t>
        </is>
      </c>
      <c r="G162" s="58" t="inlineStr">
        <is>
          <t>LAB, EO, Solvent</t>
        </is>
      </c>
      <c r="H162" s="44" t="inlineStr">
        <is>
          <t>△</t>
        </is>
      </c>
      <c r="I162" s="58" t="inlineStr">
        <is>
          <t>Surfactant blend, Solvent cleaner</t>
        </is>
      </c>
      <c r="J162" s="58" t="inlineStr">
        <is>
          <t>LAB/EO/solvent → Vehicle cleaning formulation</t>
        </is>
      </c>
      <c r="K162" s="194" t="n">
        <v>0.0312255252955673</v>
      </c>
      <c r="L162" s="196" t="n"/>
      <c r="M162" s="30" t="inlineStr">
        <is>
          <t>EO, LAB</t>
        </is>
      </c>
    </row>
    <row r="163">
      <c r="A163" s="46" t="n">
        <v>152</v>
      </c>
      <c r="B163" s="57" t="inlineStr">
        <is>
          <t>Cleaners, industrial and institutional</t>
        </is>
      </c>
      <c r="C163" s="57" t="inlineStr">
        <is>
          <t>Cleaners, industrial and institutional</t>
        </is>
      </c>
      <c r="D163" s="57" t="inlineStr">
        <is>
          <t>Laundry</t>
        </is>
      </c>
      <c r="E163" s="57" t="n"/>
      <c r="F163" s="58" t="inlineStr">
        <is>
          <t>Institutional laundry detergent</t>
        </is>
      </c>
      <c r="G163" s="58" t="inlineStr">
        <is>
          <t>LAB, EO, Enzyme feed, Builder</t>
        </is>
      </c>
      <c r="H163" s="44" t="inlineStr">
        <is>
          <t>△</t>
        </is>
      </c>
      <c r="I163" s="58" t="inlineStr">
        <is>
          <t>Surfactant, Enzyme, Bleach activator</t>
        </is>
      </c>
      <c r="J163" s="58" t="inlineStr">
        <is>
          <t>LAB/EO + specialty additives → Laundry detergent</t>
        </is>
      </c>
      <c r="K163" s="194" t="n">
        <v>0.0312255252955673</v>
      </c>
      <c r="L163" s="196" t="n"/>
      <c r="M163" s="30" t="inlineStr">
        <is>
          <t>EO, LAB</t>
        </is>
      </c>
    </row>
    <row r="164">
      <c r="A164" s="46" t="n">
        <v>153</v>
      </c>
      <c r="B164" s="57" t="inlineStr">
        <is>
          <t>Cleaners, industrial and institutional</t>
        </is>
      </c>
      <c r="C164" s="57" t="inlineStr">
        <is>
          <t>Cleaners, industrial and institutional</t>
        </is>
      </c>
      <c r="D164" s="57" t="inlineStr">
        <is>
          <t>Other</t>
        </is>
      </c>
      <c r="E164" s="57" t="n"/>
      <c r="F164" s="58" t="inlineStr">
        <is>
          <t>Specialty sanitation/maintenance cleaner</t>
        </is>
      </c>
      <c r="G164" s="58" t="inlineStr">
        <is>
          <t>Solvent, Surfactant, Biocide feed</t>
        </is>
      </c>
      <c r="H164" s="59" t="inlineStr">
        <is>
          <t>-</t>
        </is>
      </c>
      <c r="I164" s="58" t="inlineStr">
        <is>
          <t>Specialty cleaner formulation</t>
        </is>
      </c>
      <c r="J164" s="58" t="inlineStr">
        <is>
          <t>Petrochemical/inorganic feed → Specialty I&amp;I cleaner</t>
        </is>
      </c>
      <c r="K164" s="194" t="n">
        <v>0.0312255252955673</v>
      </c>
      <c r="L164" s="196" t="n"/>
    </row>
    <row r="165">
      <c r="A165" s="46" t="n">
        <v>154</v>
      </c>
      <c r="B165" s="38" t="inlineStr">
        <is>
          <t>Plastics additives</t>
        </is>
      </c>
      <c r="C165" s="38" t="inlineStr">
        <is>
          <t>Plastics additives</t>
        </is>
      </c>
      <c r="D165" s="38" t="inlineStr">
        <is>
          <t>Antioxidants</t>
        </is>
      </c>
      <c r="E165" s="38" t="n"/>
      <c r="F165" s="60" t="inlineStr">
        <is>
          <t>Polyolefin oxidation inhibitor for PE/PP</t>
        </is>
      </c>
      <c r="G165" s="45" t="inlineStr">
        <is>
          <t>Benzene, Propylene</t>
        </is>
      </c>
      <c r="H165" s="44" t="inlineStr">
        <is>
          <t>○</t>
        </is>
      </c>
      <c r="I165" s="45" t="inlineStr">
        <is>
          <t>Phenolic antioxidant, Phosphite intermediate</t>
        </is>
      </c>
      <c r="J165" s="45" t="inlineStr">
        <is>
          <t>BTX/propylene → Phenol/phosphite chemistry → Antioxidant</t>
        </is>
      </c>
      <c r="K165" s="194" t="n">
        <v>0.0274189683584996</v>
      </c>
      <c r="L165" s="197" t="inlineStr">
        <is>
          <t>O</t>
        </is>
      </c>
      <c r="M165" s="30" t="inlineStr">
        <is>
          <t>Propylene, Phenol</t>
        </is>
      </c>
    </row>
    <row r="166" ht="22.5" customHeight="1" s="179">
      <c r="A166" s="46" t="n">
        <v>155</v>
      </c>
      <c r="B166" s="38" t="inlineStr">
        <is>
          <t>Plastics additives</t>
        </is>
      </c>
      <c r="C166" s="38" t="inlineStr">
        <is>
          <t>Plastics additives</t>
        </is>
      </c>
      <c r="D166" s="38" t="inlineStr">
        <is>
          <t>Anti-static agents</t>
        </is>
      </c>
      <c r="E166" s="38" t="n"/>
      <c r="F166" s="60" t="inlineStr">
        <is>
          <t>Permanent/temporary anti-static additive for packaging &amp; electronics</t>
        </is>
      </c>
      <c r="G166" s="45" t="inlineStr">
        <is>
          <t>Ethylene, PO</t>
        </is>
      </c>
      <c r="H166" s="44" t="inlineStr">
        <is>
          <t>○</t>
        </is>
      </c>
      <c r="I166" s="45" t="inlineStr">
        <is>
          <t>Ethoxylate, Amine derivative</t>
        </is>
      </c>
      <c r="J166" s="60" t="inlineStr">
        <is>
          <t>EO/amine chemistry → Antistatic additive</t>
        </is>
      </c>
      <c r="K166" s="194" t="n">
        <v>0.0274189683584996</v>
      </c>
      <c r="L166" s="197" t="inlineStr">
        <is>
          <t>O</t>
        </is>
      </c>
      <c r="M166" s="30" t="inlineStr">
        <is>
          <t>EO</t>
        </is>
      </c>
    </row>
    <row r="167">
      <c r="A167" s="46" t="n">
        <v>156</v>
      </c>
      <c r="B167" s="38" t="inlineStr">
        <is>
          <t>Plastics additives</t>
        </is>
      </c>
      <c r="C167" s="38" t="inlineStr">
        <is>
          <t>Plastics additives</t>
        </is>
      </c>
      <c r="D167" s="38" t="inlineStr">
        <is>
          <t>Chemical blowing agents</t>
        </is>
      </c>
      <c r="E167" s="38" t="n"/>
      <c r="F167" s="60" t="inlineStr">
        <is>
          <t>Foaming additive for insulation &amp; lightweight plastics</t>
        </is>
      </c>
      <c r="G167" s="45" t="inlineStr">
        <is>
          <t>Urea, Natural gas</t>
        </is>
      </c>
      <c r="H167" s="44" t="inlineStr">
        <is>
          <t>-</t>
        </is>
      </c>
      <c r="I167" s="45" t="inlineStr">
        <is>
          <t>Azodicarbonamide, Hydrazide intermediate</t>
        </is>
      </c>
      <c r="J167" s="45" t="inlineStr">
        <is>
          <t>Natural gas/ammonia → Urea derivative → Blowing agent</t>
        </is>
      </c>
      <c r="K167" s="194" t="n">
        <v>0.0274189683584996</v>
      </c>
      <c r="L167" s="197" t="inlineStr">
        <is>
          <t>O</t>
        </is>
      </c>
    </row>
    <row r="168">
      <c r="A168" s="46" t="n">
        <v>157</v>
      </c>
      <c r="B168" s="38" t="inlineStr">
        <is>
          <t>Plastics additives</t>
        </is>
      </c>
      <c r="C168" s="38" t="inlineStr">
        <is>
          <t>Plastics additives</t>
        </is>
      </c>
      <c r="D168" s="38" t="inlineStr">
        <is>
          <t>Flame retardants</t>
        </is>
      </c>
      <c r="E168" s="38" t="n"/>
      <c r="F168" s="60" t="inlineStr">
        <is>
          <t>Halogen-free &amp; brominated flame retardant</t>
        </is>
      </c>
      <c r="G168" s="45" t="inlineStr">
        <is>
          <t>Benzene, Propylene, Chlor-alkali</t>
        </is>
      </c>
      <c r="H168" s="44" t="inlineStr">
        <is>
          <t>△</t>
        </is>
      </c>
      <c r="I168" s="45" t="inlineStr">
        <is>
          <t>Brominated aromatic, Phosphorus intermediate</t>
        </is>
      </c>
      <c r="J168" s="45" t="inlineStr">
        <is>
          <t>BTX/chlor-alkali/phosphorus → Flame retardant</t>
        </is>
      </c>
      <c r="K168" s="194" t="n">
        <v>0.0274189683584996</v>
      </c>
      <c r="L168" s="197" t="inlineStr">
        <is>
          <t>O</t>
        </is>
      </c>
    </row>
    <row r="169">
      <c r="A169" s="46" t="n">
        <v>158</v>
      </c>
      <c r="B169" s="38" t="inlineStr">
        <is>
          <t>Plastics additives</t>
        </is>
      </c>
      <c r="C169" s="38" t="inlineStr">
        <is>
          <t>Plastics additives</t>
        </is>
      </c>
      <c r="D169" s="38" t="inlineStr">
        <is>
          <t>Heat stabilizers</t>
        </is>
      </c>
      <c r="E169" s="38" t="n"/>
      <c r="F169" s="60" t="inlineStr">
        <is>
          <t>PVC thermal stabilizer</t>
        </is>
      </c>
      <c r="G169" s="45" t="inlineStr">
        <is>
          <t>Salt, Benzene</t>
        </is>
      </c>
      <c r="H169" s="44" t="inlineStr">
        <is>
          <t>△</t>
        </is>
      </c>
      <c r="I169" s="45" t="inlineStr">
        <is>
          <t>Metal soap, Organotin intermediate</t>
        </is>
      </c>
      <c r="J169" s="45" t="inlineStr">
        <is>
          <t>Chlor-alkali/metal chemistry → Heat stabilizer</t>
        </is>
      </c>
      <c r="K169" s="194" t="n">
        <v>0.0274189683584996</v>
      </c>
      <c r="L169" s="197" t="inlineStr">
        <is>
          <t>O</t>
        </is>
      </c>
    </row>
    <row r="170">
      <c r="A170" s="46" t="n">
        <v>159</v>
      </c>
      <c r="B170" s="38" t="inlineStr">
        <is>
          <t>Plastics additives</t>
        </is>
      </c>
      <c r="C170" s="38" t="inlineStr">
        <is>
          <t>Plastics additives</t>
        </is>
      </c>
      <c r="D170" s="38" t="inlineStr">
        <is>
          <t>Impact modifiers</t>
        </is>
      </c>
      <c r="E170" s="38" t="n"/>
      <c r="F170" s="60" t="inlineStr">
        <is>
          <t>PVC &amp; engineering plastic impact modifier</t>
        </is>
      </c>
      <c r="G170" s="45" t="inlineStr">
        <is>
          <t>Ethylene, Propylene, C4</t>
        </is>
      </c>
      <c r="H170" s="44" t="inlineStr">
        <is>
          <t>○</t>
        </is>
      </c>
      <c r="I170" s="45" t="inlineStr">
        <is>
          <t>ABS/MBS/Acrylic intermediate</t>
        </is>
      </c>
      <c r="J170" s="45" t="inlineStr">
        <is>
          <t>Olefin/C4 → Rubber/acrylic intermediate → Impact modifier</t>
        </is>
      </c>
      <c r="K170" s="194" t="n">
        <v>0.0274189683584996</v>
      </c>
      <c r="L170" s="197" t="inlineStr">
        <is>
          <t>O</t>
        </is>
      </c>
    </row>
    <row r="171">
      <c r="A171" s="46" t="n">
        <v>160</v>
      </c>
      <c r="B171" s="38" t="inlineStr">
        <is>
          <t>Plastics additives</t>
        </is>
      </c>
      <c r="C171" s="38" t="inlineStr">
        <is>
          <t>Plastics additives</t>
        </is>
      </c>
      <c r="D171" s="38" t="inlineStr">
        <is>
          <t>Light stabilizers</t>
        </is>
      </c>
      <c r="E171" s="38" t="n"/>
      <c r="F171" s="60" t="inlineStr">
        <is>
          <t>UV/weather resistance additive for outdoor plastics</t>
        </is>
      </c>
      <c r="G171" s="45" t="inlineStr">
        <is>
          <t>Benzene, Propylene</t>
        </is>
      </c>
      <c r="H171" s="44" t="inlineStr">
        <is>
          <t>○</t>
        </is>
      </c>
      <c r="I171" s="45" t="inlineStr">
        <is>
          <t>HALS, Benzotriazole intermediate</t>
        </is>
      </c>
      <c r="J171" s="45" t="inlineStr">
        <is>
          <t>BTX/amine chemistry → UV stabilizer</t>
        </is>
      </c>
      <c r="K171" s="194" t="n">
        <v>0.0274189683584996</v>
      </c>
      <c r="L171" s="197" t="inlineStr">
        <is>
          <t>O</t>
        </is>
      </c>
    </row>
    <row r="172">
      <c r="A172" s="46" t="n">
        <v>161</v>
      </c>
      <c r="B172" s="38" t="inlineStr">
        <is>
          <t>Plastics additives</t>
        </is>
      </c>
      <c r="C172" s="38" t="inlineStr">
        <is>
          <t>Plastics additives</t>
        </is>
      </c>
      <c r="D172" s="38" t="inlineStr">
        <is>
          <t>Lubricants</t>
        </is>
      </c>
      <c r="E172" s="38" t="n"/>
      <c r="F172" s="60" t="inlineStr">
        <is>
          <t>Processing lubricant for PVC &amp; polyolefin</t>
        </is>
      </c>
      <c r="G172" s="45" t="inlineStr">
        <is>
          <t>Ethylene, Natural oil, Paraffin</t>
        </is>
      </c>
      <c r="H172" s="44" t="inlineStr">
        <is>
          <t>△</t>
        </is>
      </c>
      <c r="I172" s="45" t="inlineStr">
        <is>
          <t>Fatty acid, Wax, Metal stearate</t>
        </is>
      </c>
      <c r="J172" s="45" t="inlineStr">
        <is>
          <t>Olefin/paraffin/oleochemical → Lubricant additive</t>
        </is>
      </c>
      <c r="K172" s="194" t="n">
        <v>0.0274189683584996</v>
      </c>
      <c r="L172" s="197" t="inlineStr">
        <is>
          <t>O</t>
        </is>
      </c>
    </row>
    <row r="173">
      <c r="A173" s="46" t="n">
        <v>162</v>
      </c>
      <c r="B173" s="38" t="inlineStr">
        <is>
          <t>Specialty adhesives and sealants</t>
        </is>
      </c>
      <c r="C173" s="38" t="inlineStr">
        <is>
          <t>Specialty adhesives and sealants</t>
        </is>
      </c>
      <c r="D173" s="38" t="inlineStr">
        <is>
          <t>Reactive specialty adhesives</t>
        </is>
      </c>
      <c r="E173" s="38" t="inlineStr">
        <is>
          <t>Polyurethane</t>
        </is>
      </c>
      <c r="F173" s="45" t="inlineStr">
        <is>
          <t>Automotive, construction &amp; flexible packaging adhesive</t>
        </is>
      </c>
      <c r="G173" s="45" t="inlineStr">
        <is>
          <t>Propylene, Benzene/Toluene</t>
        </is>
      </c>
      <c r="H173" s="44" t="inlineStr">
        <is>
          <t>○</t>
        </is>
      </c>
      <c r="I173" s="45" t="inlineStr">
        <is>
          <t>Polyol, MDI/TDI/HDI, PU prepolymer</t>
        </is>
      </c>
      <c r="J173" s="45" t="inlineStr">
        <is>
          <t>PO/EO → Polyol + Aromatics → Isocyanate → PU adhesive</t>
        </is>
      </c>
      <c r="K173" s="194" t="n">
        <v>0.0268348747559057</v>
      </c>
      <c r="L173" s="197" t="inlineStr">
        <is>
          <t>O</t>
        </is>
      </c>
      <c r="M173" s="30" t="inlineStr">
        <is>
          <t>EO, PO, PU, PU</t>
        </is>
      </c>
    </row>
    <row r="174" ht="22.5" customHeight="1" s="179">
      <c r="A174" s="46" t="n">
        <v>163</v>
      </c>
      <c r="B174" s="38" t="inlineStr">
        <is>
          <t>Specialty adhesives and sealants</t>
        </is>
      </c>
      <c r="C174" s="38" t="inlineStr">
        <is>
          <t>Specialty adhesives and sealants</t>
        </is>
      </c>
      <c r="D174" s="38" t="inlineStr">
        <is>
          <t>Reactive specialty adhesives</t>
        </is>
      </c>
      <c r="E174" s="38" t="inlineStr">
        <is>
          <t>Epoxy</t>
        </is>
      </c>
      <c r="F174" s="45" t="inlineStr">
        <is>
          <t>Structural adhesive for electronics, aircraft, EV battery and industrial assembly</t>
        </is>
      </c>
      <c r="G174" s="45" t="inlineStr">
        <is>
          <t>Benzene, Propylene</t>
        </is>
      </c>
      <c r="H174" s="44" t="inlineStr">
        <is>
          <t>○</t>
        </is>
      </c>
      <c r="I174" s="45" t="inlineStr">
        <is>
          <t>BPA, Epichlorohydrin, Epoxy resin, Amine hardener</t>
        </is>
      </c>
      <c r="J174" s="45" t="inlineStr">
        <is>
          <t>Benzene/Propylene → Phenol/Acetone → BPA → Epoxy resin → Epoxy adhesive</t>
        </is>
      </c>
      <c r="K174" s="194" t="n">
        <v>0.0268348747559057</v>
      </c>
      <c r="L174" s="197" t="inlineStr">
        <is>
          <t>O</t>
        </is>
      </c>
      <c r="M174" s="30" t="inlineStr">
        <is>
          <t>Propylene, Benzene, Phenol, Acetone, BPA, Epoxy resin</t>
        </is>
      </c>
    </row>
    <row r="175" ht="22.5" customHeight="1" s="179">
      <c r="A175" s="46" t="n">
        <v>164</v>
      </c>
      <c r="B175" s="38" t="inlineStr">
        <is>
          <t>Specialty adhesives and sealants</t>
        </is>
      </c>
      <c r="C175" s="38" t="inlineStr">
        <is>
          <t>Specialty adhesives and sealants</t>
        </is>
      </c>
      <c r="D175" s="38" t="inlineStr">
        <is>
          <t>Reactive specialty adhesives</t>
        </is>
      </c>
      <c r="E175" s="38" t="inlineStr">
        <is>
          <t>Radiation-curable</t>
        </is>
      </c>
      <c r="F175" s="45" t="inlineStr">
        <is>
          <t>UV-curable adhesive for electronics, optical media and precision assembly</t>
        </is>
      </c>
      <c r="G175" s="45" t="inlineStr">
        <is>
          <t>Propylene, Benzene</t>
        </is>
      </c>
      <c r="H175" s="44" t="inlineStr">
        <is>
          <t>○</t>
        </is>
      </c>
      <c r="I175" s="45" t="inlineStr">
        <is>
          <t>Acrylate monomer, Oligomer, Photoinitiator</t>
        </is>
      </c>
      <c r="J175" s="45" t="inlineStr">
        <is>
          <t>Propylene → Acrylic acid/acrylates + BTX → Photoinitiator → UV adhesive</t>
        </is>
      </c>
      <c r="K175" s="194" t="n">
        <v>0.0268348747559057</v>
      </c>
      <c r="L175" s="197" t="inlineStr">
        <is>
          <t>O</t>
        </is>
      </c>
      <c r="M175" s="30" t="inlineStr">
        <is>
          <t>Propylene, Acrylic acid</t>
        </is>
      </c>
    </row>
    <row r="176" ht="22.5" customHeight="1" s="179">
      <c r="A176" s="46" t="n">
        <v>165</v>
      </c>
      <c r="B176" s="38" t="inlineStr">
        <is>
          <t>Specialty adhesives and sealants</t>
        </is>
      </c>
      <c r="C176" s="38" t="inlineStr">
        <is>
          <t>Specialty adhesives and sealants</t>
        </is>
      </c>
      <c r="D176" s="38" t="inlineStr">
        <is>
          <t>Reactive specialty adhesives</t>
        </is>
      </c>
      <c r="E176" s="38" t="inlineStr">
        <is>
          <t>Other</t>
        </is>
      </c>
      <c r="F176" s="45" t="inlineStr">
        <is>
          <t>Instant/anaerobic/modified acrylic adhesive for industrial and consumer bonding</t>
        </is>
      </c>
      <c r="G176" s="45" t="inlineStr">
        <is>
          <t>Propylene, Methanol, C4</t>
        </is>
      </c>
      <c r="H176" s="44" t="inlineStr">
        <is>
          <t>○</t>
        </is>
      </c>
      <c r="I176" s="45" t="inlineStr">
        <is>
          <t>Cyanoacrylate, Methacrylate, Anaerobic acrylic monomer</t>
        </is>
      </c>
      <c r="J176" s="45" t="inlineStr">
        <is>
          <t>Olefin/Methanol → Acrylic/Methacrylic intermediates → Specialty adhesive</t>
        </is>
      </c>
      <c r="K176" s="194" t="n">
        <v>0.0268348747559057</v>
      </c>
      <c r="L176" s="197" t="inlineStr">
        <is>
          <t>O</t>
        </is>
      </c>
      <c r="M176" s="30" t="inlineStr">
        <is>
          <t>Methanol</t>
        </is>
      </c>
    </row>
    <row r="177" ht="22.5" customHeight="1" s="179">
      <c r="A177" s="46" t="n">
        <v>166</v>
      </c>
      <c r="B177" s="38" t="inlineStr">
        <is>
          <t>Specialty adhesives and sealants</t>
        </is>
      </c>
      <c r="C177" s="38" t="inlineStr">
        <is>
          <t>Specialty adhesives and sealants</t>
        </is>
      </c>
      <c r="D177" s="38" t="inlineStr">
        <is>
          <t>Specialty sealant</t>
        </is>
      </c>
      <c r="E177" s="38" t="inlineStr">
        <is>
          <t>Silicone</t>
        </is>
      </c>
      <c r="F177" s="45" t="inlineStr">
        <is>
          <t>Building, glazing, electronics and high-weatherability sealant</t>
        </is>
      </c>
      <c r="G177" s="45" t="inlineStr">
        <is>
          <t>Silicon metal, Methanol</t>
        </is>
      </c>
      <c r="H177" s="44" t="inlineStr">
        <is>
          <t>△</t>
        </is>
      </c>
      <c r="I177" s="45" t="inlineStr">
        <is>
          <t>Chlorosilane, Siloxane, Silicone polymer</t>
        </is>
      </c>
      <c r="J177" s="45" t="inlineStr">
        <is>
          <t>Silicon metal + Methanol → Chlorosilane → Siloxane → Silicone sealant</t>
        </is>
      </c>
      <c r="K177" s="194" t="n">
        <v>0.0268348747559057</v>
      </c>
      <c r="L177" s="197" t="inlineStr">
        <is>
          <t>O</t>
        </is>
      </c>
      <c r="M177" s="30" t="inlineStr">
        <is>
          <t>Methanol</t>
        </is>
      </c>
    </row>
    <row r="178">
      <c r="A178" s="46" t="n">
        <v>167</v>
      </c>
      <c r="B178" s="38" t="inlineStr">
        <is>
          <t>Specialty adhesives and sealants</t>
        </is>
      </c>
      <c r="C178" s="38" t="inlineStr">
        <is>
          <t>Specialty adhesives and sealants</t>
        </is>
      </c>
      <c r="D178" s="38" t="inlineStr">
        <is>
          <t>Specialty sealant</t>
        </is>
      </c>
      <c r="E178" s="38" t="inlineStr">
        <is>
          <t>Polyurethane</t>
        </is>
      </c>
      <c r="F178" s="45" t="inlineStr">
        <is>
          <t>Construction joint, automotive and industrial elastic sealant</t>
        </is>
      </c>
      <c r="G178" s="45" t="inlineStr">
        <is>
          <t>Propylene, Benzene/Toluene</t>
        </is>
      </c>
      <c r="H178" s="44" t="inlineStr">
        <is>
          <t>○</t>
        </is>
      </c>
      <c r="I178" s="45" t="inlineStr">
        <is>
          <t>Polyol, Isocyanate, PU prepolymer</t>
        </is>
      </c>
      <c r="J178" s="45" t="inlineStr">
        <is>
          <t>PO/EO → Polyol + Aromatics → Isocyanate → PU sealant</t>
        </is>
      </c>
      <c r="K178" s="194" t="n">
        <v>0.0268348747559057</v>
      </c>
      <c r="L178" s="197" t="inlineStr">
        <is>
          <t>O</t>
        </is>
      </c>
      <c r="M178" s="30" t="inlineStr">
        <is>
          <t>EO, PO, PU, PU</t>
        </is>
      </c>
    </row>
    <row r="179">
      <c r="A179" s="46" t="n">
        <v>168</v>
      </c>
      <c r="B179" s="38" t="inlineStr">
        <is>
          <t>Specialty adhesives and sealants</t>
        </is>
      </c>
      <c r="C179" s="38" t="inlineStr">
        <is>
          <t>Specialty adhesives and sealants</t>
        </is>
      </c>
      <c r="D179" s="38" t="inlineStr">
        <is>
          <t>Specialty sealant</t>
        </is>
      </c>
      <c r="E179" s="38" t="inlineStr">
        <is>
          <t>Silyl-modified polymers</t>
        </is>
      </c>
      <c r="F179" s="45" t="inlineStr">
        <is>
          <t>Low-VOC construction and elastic adhesive/sealant</t>
        </is>
      </c>
      <c r="G179" s="45" t="inlineStr">
        <is>
          <t>Propylene, Silicon metal, Methanol</t>
        </is>
      </c>
      <c r="H179" s="44" t="inlineStr">
        <is>
          <t>△</t>
        </is>
      </c>
      <c r="I179" s="45" t="inlineStr">
        <is>
          <t>Polyether polyol, Silane-terminated polymer</t>
        </is>
      </c>
      <c r="J179" s="45" t="inlineStr">
        <is>
          <t>PO/EO → Polyether + Silicon chemistry → Silyl-modified polymer sealant</t>
        </is>
      </c>
      <c r="K179" s="194" t="n">
        <v>0.0268348747559057</v>
      </c>
      <c r="L179" s="197" t="inlineStr">
        <is>
          <t>O</t>
        </is>
      </c>
      <c r="M179" s="30" t="inlineStr">
        <is>
          <t>EO, PO</t>
        </is>
      </c>
    </row>
    <row r="180" ht="22.5" customHeight="1" s="179">
      <c r="A180" s="46" t="n">
        <v>169</v>
      </c>
      <c r="B180" s="38" t="inlineStr">
        <is>
          <t>Specialty adhesives and sealants</t>
        </is>
      </c>
      <c r="C180" s="38" t="inlineStr">
        <is>
          <t>Specialty adhesives and sealants</t>
        </is>
      </c>
      <c r="D180" s="38" t="inlineStr">
        <is>
          <t>Specialty sealant</t>
        </is>
      </c>
      <c r="E180" s="38" t="inlineStr">
        <is>
          <t>Polysulfides</t>
        </is>
      </c>
      <c r="F180" s="45" t="inlineStr">
        <is>
          <t>Aerospace, insulated glass and fuel-resistant sealant</t>
        </is>
      </c>
      <c r="G180" s="45" t="inlineStr">
        <is>
          <t>Ethylene, Sulfur, Chlor-alkali</t>
        </is>
      </c>
      <c r="H180" s="44" t="inlineStr">
        <is>
          <t>△</t>
        </is>
      </c>
      <c r="I180" s="45" t="inlineStr">
        <is>
          <t>Dichloroethyl formal, Sodium polysulfide, Polysulfide polymer</t>
        </is>
      </c>
      <c r="J180" s="45" t="inlineStr">
        <is>
          <t>Ethylene/chlorine + Sulfur → Polysulfide polymer → Fuel-resistant sealant</t>
        </is>
      </c>
      <c r="K180" s="194" t="n">
        <v>0.0268348747559057</v>
      </c>
      <c r="L180" s="197" t="inlineStr">
        <is>
          <t>O</t>
        </is>
      </c>
      <c r="M180" s="30" t="inlineStr">
        <is>
          <t>Ethylene</t>
        </is>
      </c>
    </row>
    <row r="181">
      <c r="A181" s="46" t="n">
        <v>170</v>
      </c>
      <c r="B181" s="38" t="inlineStr">
        <is>
          <t>Rubber-processing chemicals</t>
        </is>
      </c>
      <c r="C181" s="38" t="inlineStr">
        <is>
          <t>Rubber-processing chemicals</t>
        </is>
      </c>
      <c r="D181" s="38" t="inlineStr">
        <is>
          <t>Antidegradants</t>
        </is>
      </c>
      <c r="E181" s="38" t="inlineStr">
        <is>
          <t>Amino compounds</t>
        </is>
      </c>
      <c r="F181" s="45" t="inlineStr">
        <is>
          <t>Amine antidegradant for tire/rubber aging resistance</t>
        </is>
      </c>
      <c r="G181" s="45" t="inlineStr">
        <is>
          <t>Benzene, Nitrobenzene</t>
        </is>
      </c>
      <c r="H181" s="44" t="inlineStr">
        <is>
          <t>○</t>
        </is>
      </c>
      <c r="I181" s="45" t="inlineStr">
        <is>
          <t>Aniline, PPD derivatives</t>
        </is>
      </c>
      <c r="J181" s="45" t="inlineStr">
        <is>
          <t>Benzene → Nitrobenzene/Aniline → PPD → Amine antidegradant</t>
        </is>
      </c>
      <c r="K181" s="194" t="n">
        <v>0.0268348747559057</v>
      </c>
      <c r="L181" s="195" t="inlineStr">
        <is>
          <t>Δ</t>
        </is>
      </c>
      <c r="M181" s="30" t="inlineStr">
        <is>
          <t>Benzene, Aniline</t>
        </is>
      </c>
    </row>
    <row r="182">
      <c r="A182" s="46" t="n">
        <v>171</v>
      </c>
      <c r="B182" s="38" t="inlineStr">
        <is>
          <t>Rubber-processing chemicals</t>
        </is>
      </c>
      <c r="C182" s="38" t="inlineStr">
        <is>
          <t>Rubber-processing chemicals</t>
        </is>
      </c>
      <c r="D182" s="38" t="inlineStr">
        <is>
          <t>Antidegradants</t>
        </is>
      </c>
      <c r="E182" s="38" t="inlineStr">
        <is>
          <t>Phenolics</t>
        </is>
      </c>
      <c r="F182" s="45" t="inlineStr">
        <is>
          <t>Phenolic antioxidant for rubber stabilization</t>
        </is>
      </c>
      <c r="G182" s="45" t="inlineStr">
        <is>
          <t>Benzene, Propylene</t>
        </is>
      </c>
      <c r="H182" s="44" t="inlineStr">
        <is>
          <t>○</t>
        </is>
      </c>
      <c r="I182" s="45" t="inlineStr">
        <is>
          <t>Phenol, Alkylphenol, Hindered phenol</t>
        </is>
      </c>
      <c r="J182" s="45" t="inlineStr">
        <is>
          <t>Benzene/Propylene → Phenol/Alkylphenol → Phenolic antioxidant</t>
        </is>
      </c>
      <c r="K182" s="194" t="n">
        <v>0.0268348747559057</v>
      </c>
      <c r="L182" s="195" t="inlineStr">
        <is>
          <t>Δ</t>
        </is>
      </c>
      <c r="M182" s="30" t="inlineStr">
        <is>
          <t>Propylene, Benzene, Phenol</t>
        </is>
      </c>
    </row>
    <row r="183">
      <c r="A183" s="46" t="n">
        <v>172</v>
      </c>
      <c r="B183" s="38" t="inlineStr">
        <is>
          <t>Rubber-processing chemicals</t>
        </is>
      </c>
      <c r="C183" s="38" t="inlineStr">
        <is>
          <t>Rubber-processing chemicals</t>
        </is>
      </c>
      <c r="D183" s="38" t="inlineStr">
        <is>
          <t>Antidegradants</t>
        </is>
      </c>
      <c r="E183" s="38" t="inlineStr">
        <is>
          <t>Phosphites</t>
        </is>
      </c>
      <c r="F183" s="45" t="inlineStr">
        <is>
          <t>Secondary antioxidant for rubber/plastics</t>
        </is>
      </c>
      <c r="G183" s="45" t="inlineStr">
        <is>
          <t>Benzene, Phosphorus</t>
        </is>
      </c>
      <c r="H183" s="44" t="inlineStr">
        <is>
          <t>△</t>
        </is>
      </c>
      <c r="I183" s="45" t="inlineStr">
        <is>
          <t>Alkylphenol, Phosphite ester</t>
        </is>
      </c>
      <c r="J183" s="45" t="inlineStr">
        <is>
          <t>Phenol/aromatics + Phosphorus chemistry → Phosphite antioxidant</t>
        </is>
      </c>
      <c r="K183" s="194" t="n">
        <v>0.0268348747559057</v>
      </c>
      <c r="L183" s="195" t="inlineStr">
        <is>
          <t>Δ</t>
        </is>
      </c>
      <c r="M183" s="30" t="inlineStr">
        <is>
          <t>Phenol</t>
        </is>
      </c>
    </row>
    <row r="184">
      <c r="A184" s="46" t="n">
        <v>173</v>
      </c>
      <c r="B184" s="38" t="inlineStr">
        <is>
          <t>Rubber-processing chemicals</t>
        </is>
      </c>
      <c r="C184" s="38" t="inlineStr">
        <is>
          <t>Rubber-processing chemicals</t>
        </is>
      </c>
      <c r="D184" s="38" t="inlineStr">
        <is>
          <t>Antidegradants</t>
        </is>
      </c>
      <c r="E184" s="38" t="inlineStr">
        <is>
          <t>Other antidegradants</t>
        </is>
      </c>
      <c r="F184" s="45" t="inlineStr">
        <is>
          <t>Wax/secondary stabilizer for ozone and aging resistance</t>
        </is>
      </c>
      <c r="G184" s="45" t="inlineStr">
        <is>
          <t>Paraffin, Olefin</t>
        </is>
      </c>
      <c r="H184" s="44" t="inlineStr">
        <is>
          <t>△</t>
        </is>
      </c>
      <c r="I184" s="45" t="inlineStr">
        <is>
          <t>Protective wax, Specialty stabilizer</t>
        </is>
      </c>
      <c r="J184" s="45" t="inlineStr">
        <is>
          <t>Refinery wax/olefin chain → Rubber protective additive</t>
        </is>
      </c>
      <c r="K184" s="194" t="n">
        <v>0.0268348747559057</v>
      </c>
      <c r="L184" s="195" t="inlineStr">
        <is>
          <t>Δ</t>
        </is>
      </c>
    </row>
    <row r="185">
      <c r="A185" s="46" t="n">
        <v>174</v>
      </c>
      <c r="B185" s="38" t="inlineStr">
        <is>
          <t>Rubber-processing chemicals</t>
        </is>
      </c>
      <c r="C185" s="38" t="inlineStr">
        <is>
          <t>Rubber-processing chemicals</t>
        </is>
      </c>
      <c r="D185" s="38" t="inlineStr">
        <is>
          <t>Accelerators</t>
        </is>
      </c>
      <c r="E185" s="38" t="inlineStr">
        <is>
          <t>Sulfenamides</t>
        </is>
      </c>
      <c r="F185" s="45" t="inlineStr">
        <is>
          <t>Delayed-action vulcanization accelerator</t>
        </is>
      </c>
      <c r="G185" s="45" t="inlineStr">
        <is>
          <t>Benzene, Sulfur, Ammonia</t>
        </is>
      </c>
      <c r="H185" s="44" t="inlineStr">
        <is>
          <t>△</t>
        </is>
      </c>
      <c r="I185" s="45" t="inlineStr">
        <is>
          <t>Aniline, MBT, Sulfenamide</t>
        </is>
      </c>
      <c r="J185" s="45" t="inlineStr">
        <is>
          <t>Benzene/aniline + Sulfur chemistry → MBT → Sulfenamide accelerator</t>
        </is>
      </c>
      <c r="K185" s="194" t="n">
        <v>0.0268348747559057</v>
      </c>
      <c r="L185" s="195" t="inlineStr">
        <is>
          <t>Δ</t>
        </is>
      </c>
      <c r="M185" s="30" t="inlineStr">
        <is>
          <t>Benzene, Aniline</t>
        </is>
      </c>
    </row>
    <row r="186">
      <c r="A186" s="46" t="n">
        <v>175</v>
      </c>
      <c r="B186" s="38" t="inlineStr">
        <is>
          <t>Rubber-processing chemicals</t>
        </is>
      </c>
      <c r="C186" s="38" t="inlineStr">
        <is>
          <t>Rubber-processing chemicals</t>
        </is>
      </c>
      <c r="D186" s="38" t="inlineStr">
        <is>
          <t>Accelerators</t>
        </is>
      </c>
      <c r="E186" s="38" t="inlineStr">
        <is>
          <t>Other thiazole derivatives</t>
        </is>
      </c>
      <c r="F186" s="45" t="inlineStr">
        <is>
          <t>Vulcanization accelerator for tires/rubber goods</t>
        </is>
      </c>
      <c r="G186" s="45" t="inlineStr">
        <is>
          <t>Benzene, Sulfur</t>
        </is>
      </c>
      <c r="H186" s="44" t="inlineStr">
        <is>
          <t>△</t>
        </is>
      </c>
      <c r="I186" s="45" t="inlineStr">
        <is>
          <t>MBT, MBTS</t>
        </is>
      </c>
      <c r="J186" s="45" t="inlineStr">
        <is>
          <t>Aromatic amine + Sulfur chemistry → Thiazole accelerator</t>
        </is>
      </c>
      <c r="K186" s="194" t="n">
        <v>0.0268348747559057</v>
      </c>
      <c r="L186" s="195" t="inlineStr">
        <is>
          <t>Δ</t>
        </is>
      </c>
    </row>
    <row r="187">
      <c r="A187" s="46" t="n">
        <v>176</v>
      </c>
      <c r="B187" s="38" t="inlineStr">
        <is>
          <t>Rubber-processing chemicals</t>
        </is>
      </c>
      <c r="C187" s="38" t="inlineStr">
        <is>
          <t>Rubber-processing chemicals</t>
        </is>
      </c>
      <c r="D187" s="38" t="inlineStr">
        <is>
          <t>Accelerators</t>
        </is>
      </c>
      <c r="E187" s="38" t="inlineStr">
        <is>
          <t>Other accelerators</t>
        </is>
      </c>
      <c r="F187" s="45" t="inlineStr">
        <is>
          <t>Thiuram/dithiocarbamate/guanidine accelerator</t>
        </is>
      </c>
      <c r="G187" s="45" t="inlineStr">
        <is>
          <t>Carbon disulfide, Amine, Benzene</t>
        </is>
      </c>
      <c r="H187" s="44" t="inlineStr">
        <is>
          <t>△</t>
        </is>
      </c>
      <c r="I187" s="45" t="inlineStr">
        <is>
          <t>Dithiocarbamate, Thiuram, DPG</t>
        </is>
      </c>
      <c r="J187" s="45" t="inlineStr">
        <is>
          <t>CS₂/amine/aromatics → Accelerator intermediate → Rubber accelerator</t>
        </is>
      </c>
      <c r="K187" s="194" t="n">
        <v>0.0268348747559057</v>
      </c>
      <c r="L187" s="195" t="inlineStr">
        <is>
          <t>Δ</t>
        </is>
      </c>
    </row>
    <row r="188">
      <c r="A188" s="46" t="n">
        <v>177</v>
      </c>
      <c r="B188" s="38" t="inlineStr">
        <is>
          <t>Rubber-processing chemicals</t>
        </is>
      </c>
      <c r="C188" s="38" t="inlineStr">
        <is>
          <t>Rubber-processing chemicals</t>
        </is>
      </c>
      <c r="D188" s="38" t="inlineStr">
        <is>
          <t>Other</t>
        </is>
      </c>
      <c r="E188" s="38" t="inlineStr">
        <is>
          <t>Polymerization regulators</t>
        </is>
      </c>
      <c r="F188" s="45" t="inlineStr">
        <is>
          <t>Synthetic rubber polymerization control chemical</t>
        </is>
      </c>
      <c r="G188" s="45" t="inlineStr">
        <is>
          <t>C4, Styrene, Sulfur</t>
        </is>
      </c>
      <c r="H188" s="44" t="inlineStr">
        <is>
          <t>△</t>
        </is>
      </c>
      <c r="I188" s="45" t="inlineStr">
        <is>
          <t>Chain transfer agent, Shortstop-type intermediate</t>
        </is>
      </c>
      <c r="J188" s="45" t="inlineStr">
        <is>
          <t>Olefin/aromatics → Polymerization control additive</t>
        </is>
      </c>
      <c r="K188" s="194" t="n">
        <v>0.0268348747559057</v>
      </c>
      <c r="L188" s="195" t="inlineStr">
        <is>
          <t>Δ</t>
        </is>
      </c>
    </row>
    <row r="189">
      <c r="A189" s="46" t="n">
        <v>178</v>
      </c>
      <c r="B189" s="38" t="inlineStr">
        <is>
          <t>Rubber-processing chemicals</t>
        </is>
      </c>
      <c r="C189" s="38" t="inlineStr">
        <is>
          <t>Rubber-processing chemicals</t>
        </is>
      </c>
      <c r="D189" s="38" t="inlineStr">
        <is>
          <t>Other</t>
        </is>
      </c>
      <c r="E189" s="38" t="inlineStr">
        <is>
          <t>Blowing agents</t>
        </is>
      </c>
      <c r="F189" s="45" t="inlineStr">
        <is>
          <t>Foaming agent for sponge rubber</t>
        </is>
      </c>
      <c r="G189" s="45" t="inlineStr">
        <is>
          <t>Natural gas, Ammonia</t>
        </is>
      </c>
      <c r="H189" s="44" t="inlineStr">
        <is>
          <t>△</t>
        </is>
      </c>
      <c r="I189" s="45" t="inlineStr">
        <is>
          <t>Urea derivative, Azodicarbonamide</t>
        </is>
      </c>
      <c r="J189" s="45" t="inlineStr">
        <is>
          <t>Natural gas/ammonia → Urea derivative → Blowing agent</t>
        </is>
      </c>
      <c r="K189" s="194" t="n">
        <v>0.0268348747559057</v>
      </c>
      <c r="L189" s="195" t="inlineStr">
        <is>
          <t>Δ</t>
        </is>
      </c>
    </row>
    <row r="190">
      <c r="A190" s="46" t="n">
        <v>179</v>
      </c>
      <c r="B190" s="38" t="inlineStr">
        <is>
          <t>Rubber-processing chemicals</t>
        </is>
      </c>
      <c r="C190" s="38" t="inlineStr">
        <is>
          <t>Rubber-processing chemicals</t>
        </is>
      </c>
      <c r="D190" s="38" t="inlineStr">
        <is>
          <t>Other</t>
        </is>
      </c>
      <c r="E190" s="38" t="inlineStr">
        <is>
          <t>Vulcanization retarders</t>
        </is>
      </c>
      <c r="F190" s="45" t="inlineStr">
        <is>
          <t>Scorch retarder for rubber processing</t>
        </is>
      </c>
      <c r="G190" s="45" t="inlineStr">
        <is>
          <t>Benzene, C5</t>
        </is>
      </c>
      <c r="H190" s="44" t="inlineStr">
        <is>
          <t>○</t>
        </is>
      </c>
      <c r="I190" s="45" t="inlineStr">
        <is>
          <t>Phthalimide, Cyclohexylthio intermediate</t>
        </is>
      </c>
      <c r="J190" s="45" t="inlineStr">
        <is>
          <t>Aromatics/C5 chemistry → Retarder → Rubber processing aid</t>
        </is>
      </c>
      <c r="K190" s="194" t="n">
        <v>0.0268348747559057</v>
      </c>
      <c r="L190" s="195" t="inlineStr">
        <is>
          <t>Δ</t>
        </is>
      </c>
    </row>
    <row r="191">
      <c r="A191" s="46" t="n">
        <v>180</v>
      </c>
      <c r="B191" s="38" t="inlineStr">
        <is>
          <t>Rubber-processing chemicals</t>
        </is>
      </c>
      <c r="C191" s="38" t="inlineStr">
        <is>
          <t>Rubber-processing chemicals</t>
        </is>
      </c>
      <c r="D191" s="38" t="inlineStr">
        <is>
          <t>Other</t>
        </is>
      </c>
      <c r="E191" s="38" t="inlineStr">
        <is>
          <t>Shortstops</t>
        </is>
      </c>
      <c r="F191" s="45" t="inlineStr">
        <is>
          <t>Polymerization shortstop for synthetic rubber</t>
        </is>
      </c>
      <c r="G191" s="45" t="inlineStr">
        <is>
          <t>Benzene, Sulfur</t>
        </is>
      </c>
      <c r="H191" s="44" t="inlineStr">
        <is>
          <t>△</t>
        </is>
      </c>
      <c r="I191" s="45" t="inlineStr">
        <is>
          <t>Hydroxylamine/phenolic shortstop</t>
        </is>
      </c>
      <c r="J191" s="45" t="inlineStr">
        <is>
          <t>Aromatics/inorganic chemistry → Shortstop additive</t>
        </is>
      </c>
      <c r="K191" s="194" t="n">
        <v>0.0268348747559057</v>
      </c>
      <c r="L191" s="195" t="inlineStr">
        <is>
          <t>Δ</t>
        </is>
      </c>
    </row>
    <row r="192">
      <c r="A192" s="46" t="n">
        <v>181</v>
      </c>
      <c r="B192" s="38" t="inlineStr">
        <is>
          <t>Rubber-processing chemicals</t>
        </is>
      </c>
      <c r="C192" s="38" t="inlineStr">
        <is>
          <t>Rubber-processing chemicals</t>
        </is>
      </c>
      <c r="D192" s="38" t="inlineStr">
        <is>
          <t>Other</t>
        </is>
      </c>
      <c r="E192" s="38" t="inlineStr">
        <is>
          <t>Peptizers</t>
        </is>
      </c>
      <c r="F192" s="45" t="inlineStr">
        <is>
          <t>Rubber mastication aid</t>
        </is>
      </c>
      <c r="G192" s="45" t="inlineStr">
        <is>
          <t>Benzene, Sulfur</t>
        </is>
      </c>
      <c r="H192" s="44" t="inlineStr">
        <is>
          <t>△</t>
        </is>
      </c>
      <c r="I192" s="45" t="inlineStr">
        <is>
          <t>Disulfide/thiophenol derivative</t>
        </is>
      </c>
      <c r="J192" s="45" t="inlineStr">
        <is>
          <t>Aromatics + Sulfur chemistry → Peptizer</t>
        </is>
      </c>
      <c r="K192" s="194" t="n">
        <v>0.0268348747559057</v>
      </c>
      <c r="L192" s="195" t="inlineStr">
        <is>
          <t>Δ</t>
        </is>
      </c>
    </row>
    <row r="193">
      <c r="A193" s="46" t="n">
        <v>182</v>
      </c>
      <c r="B193" s="57" t="inlineStr">
        <is>
          <t>Textile chemicals</t>
        </is>
      </c>
      <c r="C193" s="57" t="inlineStr">
        <is>
          <t>Textile chemicals</t>
        </is>
      </c>
      <c r="D193" s="57" t="inlineStr">
        <is>
          <t>Yarn treatment chemicals</t>
        </is>
      </c>
      <c r="E193" s="57" t="inlineStr">
        <is>
          <t>Specialty textile lubricants</t>
        </is>
      </c>
      <c r="F193" s="58" t="inlineStr">
        <is>
          <t>Spin finish / yarn lubricant</t>
        </is>
      </c>
      <c r="G193" s="58" t="inlineStr">
        <is>
          <t>EO/PO, Fatty acid, Mineral oil</t>
        </is>
      </c>
      <c r="H193" s="44" t="inlineStr">
        <is>
          <t>△</t>
        </is>
      </c>
      <c r="I193" s="58" t="inlineStr">
        <is>
          <t>Ethoxylated lubricant, Ester lubricant</t>
        </is>
      </c>
      <c r="J193" s="58" t="inlineStr">
        <is>
          <t>Oleochemical/EO/PO/mineral oil → Textile lubricant</t>
        </is>
      </c>
      <c r="K193" s="194" t="n">
        <v>0.0326517105996875</v>
      </c>
      <c r="L193" s="196" t="n"/>
      <c r="M193" s="30" t="inlineStr">
        <is>
          <t>EO, PO</t>
        </is>
      </c>
    </row>
    <row r="194">
      <c r="A194" s="46" t="n">
        <v>183</v>
      </c>
      <c r="B194" s="57" t="inlineStr">
        <is>
          <t>Textile chemicals</t>
        </is>
      </c>
      <c r="C194" s="57" t="inlineStr">
        <is>
          <t>Textile chemicals</t>
        </is>
      </c>
      <c r="D194" s="57" t="inlineStr">
        <is>
          <t>Yarn treatment chemicals</t>
        </is>
      </c>
      <c r="E194" s="57" t="inlineStr">
        <is>
          <t>Synthetic warp sizes</t>
        </is>
      </c>
      <c r="F194" s="58" t="inlineStr">
        <is>
          <t>Warp sizing agent</t>
        </is>
      </c>
      <c r="G194" s="58" t="inlineStr">
        <is>
          <t>Starch, Vinyl acetate, Acrylic acid</t>
        </is>
      </c>
      <c r="H194" s="44" t="inlineStr">
        <is>
          <t>△</t>
        </is>
      </c>
      <c r="I194" s="58" t="inlineStr">
        <is>
          <t>Modified starch, PVA, Acrylic size</t>
        </is>
      </c>
      <c r="J194" s="58" t="inlineStr">
        <is>
          <t>Biomass/ethylene/propylene → Warp size polymer</t>
        </is>
      </c>
      <c r="K194" s="194" t="n">
        <v>0.0367794850476746</v>
      </c>
      <c r="L194" s="196" t="n"/>
      <c r="M194" s="30" t="inlineStr">
        <is>
          <t>Ethylene, Propylene</t>
        </is>
      </c>
    </row>
    <row r="195">
      <c r="A195" s="46" t="n">
        <v>184</v>
      </c>
      <c r="B195" s="57" t="inlineStr">
        <is>
          <t>Textile chemicals</t>
        </is>
      </c>
      <c r="C195" s="57" t="inlineStr">
        <is>
          <t>Textile chemicals</t>
        </is>
      </c>
      <c r="D195" s="57" t="inlineStr">
        <is>
          <t>Processing chemicals</t>
        </is>
      </c>
      <c r="E195" s="57" t="inlineStr">
        <is>
          <t>Surfactants</t>
        </is>
      </c>
      <c r="F195" s="58" t="inlineStr">
        <is>
          <t>Scouring/wetting/dyeing surfactant</t>
        </is>
      </c>
      <c r="G195" s="58" t="inlineStr">
        <is>
          <t>LAB, Fatty alcohol, EO</t>
        </is>
      </c>
      <c r="H195" s="44" t="inlineStr">
        <is>
          <t>△</t>
        </is>
      </c>
      <c r="I195" s="58" t="inlineStr">
        <is>
          <t>Ethoxylate, Sulfate, Sulfonate</t>
        </is>
      </c>
      <c r="J195" s="58" t="inlineStr">
        <is>
          <t>LAB/fatty alcohol/EO → Textile surfactant</t>
        </is>
      </c>
      <c r="K195" s="194" t="n">
        <v>0.0119960585998427</v>
      </c>
      <c r="L195" s="196" t="n"/>
      <c r="M195" s="30" t="inlineStr">
        <is>
          <t>EO, LAB</t>
        </is>
      </c>
    </row>
    <row r="196">
      <c r="A196" s="46" t="n">
        <v>185</v>
      </c>
      <c r="B196" s="57" t="inlineStr">
        <is>
          <t>Textile chemicals</t>
        </is>
      </c>
      <c r="C196" s="57" t="inlineStr">
        <is>
          <t>Textile chemicals</t>
        </is>
      </c>
      <c r="D196" s="57" t="inlineStr">
        <is>
          <t>Processing chemicals</t>
        </is>
      </c>
      <c r="E196" s="57" t="inlineStr">
        <is>
          <t>Bleaching auxiliaries</t>
        </is>
      </c>
      <c r="F196" s="58" t="inlineStr">
        <is>
          <t>Stabilizer/auxiliary for textile bleaching</t>
        </is>
      </c>
      <c r="G196" s="58" t="inlineStr">
        <is>
          <t>Phosphorus, Chelant feed</t>
        </is>
      </c>
      <c r="H196" s="61" t="inlineStr">
        <is>
          <t>-</t>
        </is>
      </c>
      <c r="I196" s="58" t="inlineStr">
        <is>
          <t>Phosphonate, EDTA-type chelant</t>
        </is>
      </c>
      <c r="J196" s="58" t="inlineStr">
        <is>
          <t>Inorganic/C2 chemistry → Bleaching auxiliary</t>
        </is>
      </c>
      <c r="K196" s="194" t="n">
        <v>0.0446726638877557</v>
      </c>
      <c r="L196" s="196" t="n"/>
    </row>
    <row r="197">
      <c r="A197" s="46" t="n">
        <v>186</v>
      </c>
      <c r="B197" s="57" t="inlineStr">
        <is>
          <t>Textile chemicals</t>
        </is>
      </c>
      <c r="C197" s="57" t="inlineStr">
        <is>
          <t>Textile chemicals</t>
        </is>
      </c>
      <c r="D197" s="57" t="inlineStr">
        <is>
          <t>Processing chemicals</t>
        </is>
      </c>
      <c r="E197" s="57" t="inlineStr">
        <is>
          <t>Fluorescent whitening agents</t>
        </is>
      </c>
      <c r="F197" s="58" t="inlineStr">
        <is>
          <t>Optical brightener for textile</t>
        </is>
      </c>
      <c r="G197" s="58" t="inlineStr">
        <is>
          <t>Benzene, Stilbene intermediates</t>
        </is>
      </c>
      <c r="H197" s="44" t="inlineStr">
        <is>
          <t>△</t>
        </is>
      </c>
      <c r="I197" s="58" t="inlineStr">
        <is>
          <t>Stilbene-based FWA</t>
        </is>
      </c>
      <c r="J197" s="58" t="inlineStr">
        <is>
          <t>BTX → Stilbene derivative → Fluorescent whitening agent</t>
        </is>
      </c>
      <c r="K197" s="194" t="n">
        <v>0.0311025031634962</v>
      </c>
      <c r="L197" s="196" t="n"/>
    </row>
    <row r="198">
      <c r="A198" s="46" t="n">
        <v>187</v>
      </c>
      <c r="B198" s="57" t="inlineStr">
        <is>
          <t>Textile chemicals</t>
        </is>
      </c>
      <c r="C198" s="57" t="inlineStr">
        <is>
          <t>Textile chemicals</t>
        </is>
      </c>
      <c r="D198" s="57" t="inlineStr">
        <is>
          <t>Processing chemicals</t>
        </is>
      </c>
      <c r="E198" s="57" t="inlineStr">
        <is>
          <t>Enzymes</t>
        </is>
      </c>
      <c r="F198" s="58" t="inlineStr">
        <is>
          <t>Bio-processing enzyme for textile</t>
        </is>
      </c>
      <c r="G198" s="58" t="inlineStr">
        <is>
          <t>Sugar, Fermentation medium</t>
        </is>
      </c>
      <c r="H198" s="59" t="inlineStr">
        <is>
          <t>-</t>
        </is>
      </c>
      <c r="I198" s="58" t="inlineStr">
        <is>
          <t>Amylase, Cellulase, Catalase</t>
        </is>
      </c>
      <c r="J198" s="58" t="inlineStr">
        <is>
          <t>Biomass/sugar → Fermentation → Textile enzyme</t>
        </is>
      </c>
      <c r="K198" s="194" t="n">
        <v>0.0119676687267061</v>
      </c>
      <c r="L198" s="196" t="n"/>
    </row>
    <row r="199">
      <c r="A199" s="46" t="n">
        <v>188</v>
      </c>
      <c r="B199" s="57" t="inlineStr">
        <is>
          <t>Textile chemicals</t>
        </is>
      </c>
      <c r="C199" s="57" t="inlineStr">
        <is>
          <t>Textile chemicals</t>
        </is>
      </c>
      <c r="D199" s="57" t="inlineStr">
        <is>
          <t>Functional chemicals</t>
        </is>
      </c>
      <c r="E199" s="57" t="inlineStr">
        <is>
          <t>Printing auxiliaries</t>
        </is>
      </c>
      <c r="F199" s="58" t="inlineStr">
        <is>
          <t>Printing thickener/binder/auxiliary</t>
        </is>
      </c>
      <c r="G199" s="58" t="inlineStr">
        <is>
          <t>Acrylic acid, Starch, Solvent</t>
        </is>
      </c>
      <c r="H199" s="44" t="inlineStr">
        <is>
          <t>△</t>
        </is>
      </c>
      <c r="I199" s="58" t="inlineStr">
        <is>
          <t>Acrylic binder, Thickener, Fixing agent</t>
        </is>
      </c>
      <c r="J199" s="58" t="inlineStr">
        <is>
          <t>Propylene/biomass → Printing auxiliary</t>
        </is>
      </c>
      <c r="K199" s="194" t="n">
        <v>0.0223574854809585</v>
      </c>
      <c r="L199" s="196" t="n"/>
      <c r="M199" s="30" t="inlineStr">
        <is>
          <t>Propylene</t>
        </is>
      </c>
    </row>
    <row r="200">
      <c r="A200" s="46" t="n">
        <v>189</v>
      </c>
      <c r="B200" s="57" t="inlineStr">
        <is>
          <t>Textile chemicals</t>
        </is>
      </c>
      <c r="C200" s="57" t="inlineStr">
        <is>
          <t>Textile chemicals</t>
        </is>
      </c>
      <c r="D200" s="57" t="inlineStr">
        <is>
          <t>Functional chemicals</t>
        </is>
      </c>
      <c r="E200" s="57" t="inlineStr">
        <is>
          <t>Dyes and pigments</t>
        </is>
      </c>
      <c r="F200" s="58" t="inlineStr">
        <is>
          <t>Textile dye/pigment</t>
        </is>
      </c>
      <c r="G200" s="58" t="inlineStr">
        <is>
          <t>Benzene, Toluene, Naphthalene</t>
        </is>
      </c>
      <c r="H200" s="44" t="inlineStr">
        <is>
          <t>○</t>
        </is>
      </c>
      <c r="I200" s="58" t="inlineStr">
        <is>
          <t>Azo dye, Anthraquinone dye, Pigment</t>
        </is>
      </c>
      <c r="J200" s="58" t="inlineStr">
        <is>
          <t>BTX/naphthalene → Dye intermediate → Textile dye</t>
        </is>
      </c>
      <c r="K200" s="194" t="n">
        <v>0.0364555613399986</v>
      </c>
      <c r="L200" s="196" t="n"/>
    </row>
    <row r="201">
      <c r="A201" s="46" t="n">
        <v>190</v>
      </c>
      <c r="B201" s="57" t="inlineStr">
        <is>
          <t>Textile chemicals</t>
        </is>
      </c>
      <c r="C201" s="57" t="inlineStr">
        <is>
          <t>Textile chemicals</t>
        </is>
      </c>
      <c r="D201" s="57" t="inlineStr">
        <is>
          <t>Functional chemicals</t>
        </is>
      </c>
      <c r="E201" s="57" t="inlineStr">
        <is>
          <t>Finishing agents</t>
        </is>
      </c>
      <c r="F201" s="58" t="inlineStr">
        <is>
          <t>Softener/repellent/flame-retardant finish</t>
        </is>
      </c>
      <c r="G201" s="58" t="inlineStr">
        <is>
          <t>Silicon, Fatty acid, Phosphorus, Fluorspar</t>
        </is>
      </c>
      <c r="H201" s="59" t="inlineStr">
        <is>
          <t>-</t>
        </is>
      </c>
      <c r="I201" s="58" t="inlineStr">
        <is>
          <t>Silicone softener, FR additive, Repellent</t>
        </is>
      </c>
      <c r="J201" s="58" t="inlineStr">
        <is>
          <t>Silicone/oleochemical/phosphorus/fluorochemical → Textile finish</t>
        </is>
      </c>
      <c r="K201" s="194" t="n">
        <v>0.0171137263669265</v>
      </c>
      <c r="L201" s="196" t="n"/>
    </row>
    <row r="202">
      <c r="A202" s="46" t="n">
        <v>191</v>
      </c>
      <c r="B202" s="57" t="inlineStr">
        <is>
          <t>Textile chemicals</t>
        </is>
      </c>
      <c r="C202" s="57" t="inlineStr">
        <is>
          <t>Textile chemicals</t>
        </is>
      </c>
      <c r="D202" s="57" t="inlineStr">
        <is>
          <t>Functional chemicals</t>
        </is>
      </c>
      <c r="E202" s="57" t="inlineStr">
        <is>
          <t>Coatings</t>
        </is>
      </c>
      <c r="F202" s="58" t="inlineStr">
        <is>
          <t>Functional textile coating</t>
        </is>
      </c>
      <c r="G202" s="58" t="inlineStr">
        <is>
          <t>Acrylic acid, PU feed, Silicone</t>
        </is>
      </c>
      <c r="H202" s="44" t="inlineStr">
        <is>
          <t>△</t>
        </is>
      </c>
      <c r="I202" s="58" t="inlineStr">
        <is>
          <t>Acrylic latex, PU dispersion, Silicone coating</t>
        </is>
      </c>
      <c r="J202" s="58" t="inlineStr">
        <is>
          <t>Propylene/PO/BTX/silicone → Textile coating</t>
        </is>
      </c>
      <c r="K202" s="194" t="n">
        <v>0.0146144766586858</v>
      </c>
      <c r="L202" s="196" t="n"/>
      <c r="M202" s="30" t="inlineStr">
        <is>
          <t>Propylene, PO</t>
        </is>
      </c>
    </row>
    <row r="203">
      <c r="A203" s="46" t="n">
        <v>192</v>
      </c>
      <c r="B203" s="38" t="inlineStr">
        <is>
          <t>Printing inks</t>
        </is>
      </c>
      <c r="C203" s="38" t="inlineStr">
        <is>
          <t>Printing inks</t>
        </is>
      </c>
      <c r="D203" s="38" t="inlineStr">
        <is>
          <t>Lithography</t>
        </is>
      </c>
      <c r="E203" s="38" t="n"/>
      <c r="F203" s="38" t="inlineStr">
        <is>
          <t>Offset printing ink for packaging/commercial print</t>
        </is>
      </c>
      <c r="G203" s="45" t="inlineStr">
        <is>
          <t>Benzene, Vegetable oil, Solvent</t>
        </is>
      </c>
      <c r="H203" s="44" t="inlineStr">
        <is>
          <t>△</t>
        </is>
      </c>
      <c r="I203" s="45" t="inlineStr">
        <is>
          <t>Alkyd resin, Rosin ester, Pigment</t>
        </is>
      </c>
      <c r="J203" s="45" t="inlineStr">
        <is>
          <t>BTX/oleochemical → Ink resin/vehicle → Lithographic ink</t>
        </is>
      </c>
      <c r="K203" s="194" t="n">
        <v>0.0258977449189877</v>
      </c>
      <c r="L203" s="196" t="n"/>
    </row>
    <row r="204">
      <c r="A204" s="46" t="n">
        <v>193</v>
      </c>
      <c r="B204" s="38" t="inlineStr">
        <is>
          <t>Printing inks</t>
        </is>
      </c>
      <c r="C204" s="38" t="inlineStr">
        <is>
          <t>Printing inks</t>
        </is>
      </c>
      <c r="D204" s="38" t="inlineStr">
        <is>
          <t>Flexography</t>
        </is>
      </c>
      <c r="E204" s="38" t="n"/>
      <c r="F204" s="38" t="inlineStr">
        <is>
          <t>Flexible packaging ink</t>
        </is>
      </c>
      <c r="G204" s="45" t="inlineStr">
        <is>
          <t>Ethanol, Ethyl acetate, Acrylic resin feed</t>
        </is>
      </c>
      <c r="H204" s="44" t="inlineStr">
        <is>
          <t>△</t>
        </is>
      </c>
      <c r="I204" s="45" t="inlineStr">
        <is>
          <t>Nitrocellulose/acrylic/PU binder, Pigment</t>
        </is>
      </c>
      <c r="J204" s="45" t="inlineStr">
        <is>
          <t>Solvent/acrylic/PU chain → Flexographic ink</t>
        </is>
      </c>
      <c r="K204" s="194" t="n">
        <v>0.0258977449189877</v>
      </c>
      <c r="L204" s="196" t="n"/>
      <c r="M204" s="30" t="inlineStr">
        <is>
          <t>PU, PU</t>
        </is>
      </c>
    </row>
    <row r="205">
      <c r="A205" s="46" t="n">
        <v>194</v>
      </c>
      <c r="B205" s="38" t="inlineStr">
        <is>
          <t>Printing inks</t>
        </is>
      </c>
      <c r="C205" s="38" t="inlineStr">
        <is>
          <t>Printing inks</t>
        </is>
      </c>
      <c r="D205" s="38" t="inlineStr">
        <is>
          <t>Rotogravure</t>
        </is>
      </c>
      <c r="E205" s="38" t="n"/>
      <c r="F205" s="38" t="inlineStr">
        <is>
          <t>High-speed packaging gravure ink</t>
        </is>
      </c>
      <c r="G205" s="45" t="inlineStr">
        <is>
          <t>Toluene, Ethyl acetate, PU feed</t>
        </is>
      </c>
      <c r="H205" s="44" t="inlineStr">
        <is>
          <t>△</t>
        </is>
      </c>
      <c r="I205" s="45" t="inlineStr">
        <is>
          <t>PU resin, Nitrocellulose, Pigment</t>
        </is>
      </c>
      <c r="J205" s="45" t="inlineStr">
        <is>
          <t>Aromatic/ester solvent + resin → Gravure ink</t>
        </is>
      </c>
      <c r="K205" s="194" t="n">
        <v>0.0258977449189877</v>
      </c>
      <c r="L205" s="196" t="n"/>
    </row>
    <row r="206">
      <c r="A206" s="46" t="n">
        <v>195</v>
      </c>
      <c r="B206" s="38" t="inlineStr">
        <is>
          <t>Printing inks</t>
        </is>
      </c>
      <c r="C206" s="38" t="inlineStr">
        <is>
          <t>Printing inks</t>
        </is>
      </c>
      <c r="D206" s="38" t="inlineStr">
        <is>
          <t>Digital Printing</t>
        </is>
      </c>
      <c r="E206" s="38" t="n"/>
      <c r="F206" s="38" t="inlineStr">
        <is>
          <t>Inkjet ink for packaging/textile/display</t>
        </is>
      </c>
      <c r="G206" s="45" t="inlineStr">
        <is>
          <t>Propylene, Solvent, Pigment</t>
        </is>
      </c>
      <c r="H206" s="44" t="inlineStr">
        <is>
          <t>△</t>
        </is>
      </c>
      <c r="I206" s="45" t="inlineStr">
        <is>
          <t>Acrylic resin, Dispersant, Pigment dispersion</t>
        </is>
      </c>
      <c r="J206" s="45" t="inlineStr">
        <is>
          <t>Acrylic/solvent chain → Inkjet ink formulation</t>
        </is>
      </c>
      <c r="K206" s="194" t="n">
        <v>0.0258977449189877</v>
      </c>
      <c r="L206" s="196" t="n"/>
    </row>
    <row r="207">
      <c r="A207" s="46" t="n">
        <v>196</v>
      </c>
      <c r="B207" s="38" t="inlineStr">
        <is>
          <t>Printing inks</t>
        </is>
      </c>
      <c r="C207" s="38" t="inlineStr">
        <is>
          <t>Printing inks</t>
        </is>
      </c>
      <c r="D207" s="38" t="inlineStr">
        <is>
          <t>Others</t>
        </is>
      </c>
      <c r="E207" s="38" t="n"/>
      <c r="F207" s="38" t="inlineStr">
        <is>
          <t>Screen/energy-curable/specialty ink</t>
        </is>
      </c>
      <c r="G207" s="45" t="inlineStr">
        <is>
          <t>Propylene, Benzene</t>
        </is>
      </c>
      <c r="H207" s="44" t="inlineStr">
        <is>
          <t>○</t>
        </is>
      </c>
      <c r="I207" s="45" t="inlineStr">
        <is>
          <t>Acrylate oligomer, Photoinitiator, Pigment</t>
        </is>
      </c>
      <c r="J207" s="45" t="inlineStr">
        <is>
          <t>Acrylic/BTX → UV ink formulation</t>
        </is>
      </c>
      <c r="K207" s="194" t="n">
        <v>0.0258977449189877</v>
      </c>
      <c r="L207" s="196" t="n"/>
    </row>
    <row r="208">
      <c r="A208" s="46" t="n">
        <v>197</v>
      </c>
      <c r="B208" s="38" t="inlineStr">
        <is>
          <t>Flavors and fragrances</t>
        </is>
      </c>
      <c r="C208" s="38" t="inlineStr">
        <is>
          <t>Flavors and fragrances</t>
        </is>
      </c>
      <c r="D208" s="38" t="inlineStr">
        <is>
          <t>Flavor compositions</t>
        </is>
      </c>
      <c r="E208" s="38" t="n"/>
      <c r="F208" s="45" t="inlineStr">
        <is>
          <t>Food/beverage flavor formulation</t>
        </is>
      </c>
      <c r="G208" s="45" t="inlineStr">
        <is>
          <t>Natural extracts, Aroma chemicals</t>
        </is>
      </c>
      <c r="H208" s="46" t="inlineStr">
        <is>
          <t>-</t>
        </is>
      </c>
      <c r="I208" s="45" t="inlineStr">
        <is>
          <t>Flavor blend, Essential oil, Aroma molecule</t>
        </is>
      </c>
      <c r="J208" s="45" t="inlineStr">
        <is>
          <t>Extraction/fermentation/synthesis → Flavor composition</t>
        </is>
      </c>
      <c r="K208" s="194" t="n">
        <v>0.0255659128814585</v>
      </c>
      <c r="L208" s="196" t="n"/>
    </row>
    <row r="209">
      <c r="A209" s="46" t="n">
        <v>198</v>
      </c>
      <c r="B209" s="38" t="inlineStr">
        <is>
          <t>Flavors and fragrances</t>
        </is>
      </c>
      <c r="C209" s="38" t="inlineStr">
        <is>
          <t>Flavors and fragrances</t>
        </is>
      </c>
      <c r="D209" s="38" t="inlineStr">
        <is>
          <t>Fragrance compositions</t>
        </is>
      </c>
      <c r="E209" s="38" t="n"/>
      <c r="F209" s="45" t="inlineStr">
        <is>
          <t>Fine fragrance / household fragrance formulation</t>
        </is>
      </c>
      <c r="G209" s="45" t="inlineStr">
        <is>
          <t>BTX, Terpenes, Natural extracts</t>
        </is>
      </c>
      <c r="H209" s="44" t="inlineStr">
        <is>
          <t>△</t>
        </is>
      </c>
      <c r="I209" s="45" t="inlineStr">
        <is>
          <t>Fragrance compound, Musk, Terpenoid</t>
        </is>
      </c>
      <c r="J209" s="45" t="inlineStr">
        <is>
          <t>Aroma chemical + natural extract → Fragrance formulation</t>
        </is>
      </c>
      <c r="K209" s="194" t="n">
        <v>0.0255659128814585</v>
      </c>
      <c r="L209" s="196" t="n"/>
    </row>
    <row r="210">
      <c r="A210" s="46" t="n">
        <v>199</v>
      </c>
      <c r="B210" s="38" t="inlineStr">
        <is>
          <t>Flavors and fragrances</t>
        </is>
      </c>
      <c r="C210" s="38" t="inlineStr">
        <is>
          <t>Flavors and fragrances</t>
        </is>
      </c>
      <c r="D210" s="38" t="inlineStr">
        <is>
          <t>Essential oils/ natural extracts</t>
        </is>
      </c>
      <c r="E210" s="38" t="n"/>
      <c r="F210" s="45" t="inlineStr">
        <is>
          <t>Natural flavor/fragrance oil</t>
        </is>
      </c>
      <c r="G210" s="45" t="inlineStr">
        <is>
          <t>Botanical feedstock</t>
        </is>
      </c>
      <c r="H210" s="46" t="inlineStr">
        <is>
          <t>-</t>
        </is>
      </c>
      <c r="I210" s="45" t="inlineStr">
        <is>
          <t>Essential oil, Oleoresin, Extract</t>
        </is>
      </c>
      <c r="J210" s="45" t="inlineStr">
        <is>
          <t>Plant extraction/distillation → Natural extract</t>
        </is>
      </c>
      <c r="K210" s="194" t="n">
        <v>0.0255659128814585</v>
      </c>
      <c r="L210" s="196" t="n"/>
    </row>
    <row r="211">
      <c r="A211" s="46" t="n">
        <v>200</v>
      </c>
      <c r="B211" s="38" t="inlineStr">
        <is>
          <t>Flavors and fragrances</t>
        </is>
      </c>
      <c r="C211" s="38" t="inlineStr">
        <is>
          <t>Flavors and fragrances</t>
        </is>
      </c>
      <c r="D211" s="38" t="inlineStr">
        <is>
          <t>Aroma chemicals</t>
        </is>
      </c>
      <c r="E211" s="38" t="n"/>
      <c r="F211" s="45" t="inlineStr">
        <is>
          <t>Synthetic aroma chemical</t>
        </is>
      </c>
      <c r="G211" s="45" t="inlineStr">
        <is>
          <t>Benzene, Toluene, Isoprene, Turpentine</t>
        </is>
      </c>
      <c r="H211" s="44" t="inlineStr">
        <is>
          <t>△</t>
        </is>
      </c>
      <c r="I211" s="45" t="inlineStr">
        <is>
          <t>Benzenoid, Terpenoid, Musk intermediate</t>
        </is>
      </c>
      <c r="J211" s="45" t="inlineStr">
        <is>
          <t>BTX/isoprene/turpentine → Aroma chemical</t>
        </is>
      </c>
      <c r="K211" s="194" t="n">
        <v>0.0255659128814585</v>
      </c>
      <c r="L211" s="196" t="n"/>
      <c r="M211" s="30" t="inlineStr">
        <is>
          <t>Isoprene</t>
        </is>
      </c>
    </row>
    <row r="212">
      <c r="A212" s="46" t="n">
        <v>201</v>
      </c>
      <c r="B212" s="38" t="inlineStr">
        <is>
          <t>Food additives</t>
        </is>
      </c>
      <c r="C212" s="38" t="inlineStr">
        <is>
          <t>Food additives</t>
        </is>
      </c>
      <c r="D212" s="38" t="inlineStr">
        <is>
          <t>Modified starchese</t>
        </is>
      </c>
      <c r="E212" s="38" t="n"/>
      <c r="F212" s="45" t="inlineStr">
        <is>
          <t>Texture/thickening modified starch</t>
        </is>
      </c>
      <c r="G212" s="45" t="inlineStr">
        <is>
          <t>Corn, Tapioca, Potato starch</t>
        </is>
      </c>
      <c r="H212" s="46" t="inlineStr">
        <is>
          <t>-</t>
        </is>
      </c>
      <c r="I212" s="45" t="inlineStr">
        <is>
          <t>Modified starch</t>
        </is>
      </c>
      <c r="J212" s="45" t="inlineStr">
        <is>
          <t>Biomass starch → Chemical/enzymatic modification → Food starch</t>
        </is>
      </c>
      <c r="K212" s="194" t="n">
        <v>0.0244557554042033</v>
      </c>
      <c r="L212" s="196" t="n"/>
    </row>
    <row r="213">
      <c r="A213" s="46" t="n">
        <v>202</v>
      </c>
      <c r="B213" s="38" t="inlineStr">
        <is>
          <t>Food additives</t>
        </is>
      </c>
      <c r="C213" s="38" t="inlineStr">
        <is>
          <t>Food additives</t>
        </is>
      </c>
      <c r="D213" s="38" t="inlineStr">
        <is>
          <t>Thickeners and stabilizers (excluding starches)</t>
        </is>
      </c>
      <c r="E213" s="38" t="n"/>
      <c r="F213" s="45" t="inlineStr">
        <is>
          <t>Hydrocolloid stabilizer</t>
        </is>
      </c>
      <c r="G213" s="45" t="inlineStr">
        <is>
          <t>Seaweed, Cellulose, Fermentation feed</t>
        </is>
      </c>
      <c r="H213" s="46" t="inlineStr">
        <is>
          <t>-</t>
        </is>
      </c>
      <c r="I213" s="45" t="inlineStr">
        <is>
          <t>Carrageenan, CMC, Xanthan gum</t>
        </is>
      </c>
      <c r="J213" s="45" t="inlineStr">
        <is>
          <t>Biomass/fermentation → Hydrocolloid → Food stabilizer</t>
        </is>
      </c>
      <c r="K213" s="194" t="n">
        <v>0.0244557554042033</v>
      </c>
      <c r="L213" s="196" t="n"/>
    </row>
    <row r="214">
      <c r="A214" s="46" t="n">
        <v>203</v>
      </c>
      <c r="B214" s="38" t="inlineStr">
        <is>
          <t>Food additives</t>
        </is>
      </c>
      <c r="C214" s="38" t="inlineStr">
        <is>
          <t>Food additives</t>
        </is>
      </c>
      <c r="D214" s="38" t="inlineStr">
        <is>
          <t>High-intensity sweeteners</t>
        </is>
      </c>
      <c r="E214" s="38" t="n"/>
      <c r="F214" s="45" t="inlineStr">
        <is>
          <t>Low-calorie sweetener</t>
        </is>
      </c>
      <c r="G214" s="45" t="inlineStr">
        <is>
          <t>Aspartic acid, Phenylalanine, Chlorinated sugar, Stevia leaf</t>
        </is>
      </c>
      <c r="H214" s="46" t="inlineStr">
        <is>
          <t>-</t>
        </is>
      </c>
      <c r="I214" s="45" t="inlineStr">
        <is>
          <t>Aspartame, Sucralose, Stevia extract</t>
        </is>
      </c>
      <c r="J214" s="45" t="inlineStr">
        <is>
          <t>Fermentation/sugar chemistry/extraction → High-intensity sweetener</t>
        </is>
      </c>
      <c r="K214" s="194" t="n">
        <v>0.0244557554042033</v>
      </c>
      <c r="L214" s="196" t="n"/>
    </row>
    <row r="215">
      <c r="A215" s="46" t="n">
        <v>204</v>
      </c>
      <c r="B215" s="38" t="inlineStr">
        <is>
          <t>Food additives</t>
        </is>
      </c>
      <c r="C215" s="38" t="inlineStr">
        <is>
          <t>Food additives</t>
        </is>
      </c>
      <c r="D215" s="38" t="inlineStr">
        <is>
          <t>Other specialty sweeteners</t>
        </is>
      </c>
      <c r="E215" s="38" t="n"/>
      <c r="F215" s="45" t="inlineStr">
        <is>
          <t>Polyol/rare sugar sweetener</t>
        </is>
      </c>
      <c r="G215" s="45" t="inlineStr">
        <is>
          <t>Glucose, Starch, Hydrogen</t>
        </is>
      </c>
      <c r="H215" s="46" t="inlineStr">
        <is>
          <t>-</t>
        </is>
      </c>
      <c r="I215" s="45" t="inlineStr">
        <is>
          <t>Sorbitol, Xylitol, Erythritol, Allulose</t>
        </is>
      </c>
      <c r="J215" s="45" t="inlineStr">
        <is>
          <t>Biomass sugar → Hydrogenation/fermentation → Specialty sweetener</t>
        </is>
      </c>
      <c r="K215" s="194" t="n">
        <v>0.0244557554042033</v>
      </c>
      <c r="L215" s="196" t="n"/>
    </row>
    <row r="216">
      <c r="A216" s="46" t="n">
        <v>205</v>
      </c>
      <c r="B216" s="38" t="inlineStr">
        <is>
          <t>Food additives</t>
        </is>
      </c>
      <c r="C216" s="38" t="inlineStr">
        <is>
          <t>Food additives</t>
        </is>
      </c>
      <c r="D216" s="38" t="inlineStr">
        <is>
          <t>Emulsifiers</t>
        </is>
      </c>
      <c r="E216" s="38" t="n"/>
      <c r="F216" s="45" t="inlineStr">
        <is>
          <t>Food emulsifier</t>
        </is>
      </c>
      <c r="G216" s="45" t="inlineStr">
        <is>
          <t>Vegetable oil, Glycerol, Sorbitol</t>
        </is>
      </c>
      <c r="H216" s="46" t="inlineStr">
        <is>
          <t>-</t>
        </is>
      </c>
      <c r="I216" s="45" t="inlineStr">
        <is>
          <t>Mono-/diglyceride, Polysorbate, Lecithin</t>
        </is>
      </c>
      <c r="J216" s="45" t="inlineStr">
        <is>
          <t>Oleochemical/glycerol/EO → Food emulsifier</t>
        </is>
      </c>
      <c r="K216" s="194" t="n">
        <v>0.0244557554042033</v>
      </c>
      <c r="L216" s="196" t="n"/>
      <c r="M216" s="30" t="inlineStr">
        <is>
          <t>EO</t>
        </is>
      </c>
    </row>
    <row r="217">
      <c r="A217" s="46" t="n">
        <v>206</v>
      </c>
      <c r="B217" s="38" t="inlineStr">
        <is>
          <t>Food additives</t>
        </is>
      </c>
      <c r="C217" s="38" t="inlineStr">
        <is>
          <t>Food additives</t>
        </is>
      </c>
      <c r="D217" s="38" t="inlineStr">
        <is>
          <t>Colorants</t>
        </is>
      </c>
      <c r="E217" s="38" t="n"/>
      <c r="F217" s="45" t="inlineStr">
        <is>
          <t>Food color</t>
        </is>
      </c>
      <c r="G217" s="45" t="inlineStr">
        <is>
          <t>Botanical extract, Minerals, Aromatics</t>
        </is>
      </c>
      <c r="H217" s="46" t="inlineStr">
        <is>
          <t>-</t>
        </is>
      </c>
      <c r="I217" s="45" t="inlineStr">
        <is>
          <t>Natural color, Synthetic dye, Lake pigment</t>
        </is>
      </c>
      <c r="J217" s="45" t="inlineStr">
        <is>
          <t>Extraction/mineral/BTX → Food colorant</t>
        </is>
      </c>
      <c r="K217" s="194" t="n">
        <v>0.0244557554042033</v>
      </c>
      <c r="L217" s="196" t="n"/>
    </row>
    <row r="218">
      <c r="A218" s="46" t="n">
        <v>207</v>
      </c>
      <c r="B218" s="38" t="inlineStr">
        <is>
          <t>Food additives</t>
        </is>
      </c>
      <c r="C218" s="38" t="inlineStr">
        <is>
          <t>Food additives</t>
        </is>
      </c>
      <c r="D218" s="38" t="inlineStr">
        <is>
          <t>Enzymes</t>
        </is>
      </c>
      <c r="E218" s="38" t="n"/>
      <c r="F218" s="45" t="inlineStr">
        <is>
          <t>Baking/brewing/dairy enzyme</t>
        </is>
      </c>
      <c r="G218" s="45" t="inlineStr">
        <is>
          <t>Sugar, Fermentation medium</t>
        </is>
      </c>
      <c r="H218" s="46" t="inlineStr">
        <is>
          <t>-</t>
        </is>
      </c>
      <c r="I218" s="45" t="inlineStr">
        <is>
          <t>Amylase, Protease, Lipase</t>
        </is>
      </c>
      <c r="J218" s="45" t="inlineStr">
        <is>
          <t>Biomass/sugar → Fermentation → Food enzyme</t>
        </is>
      </c>
      <c r="K218" s="194" t="n">
        <v>0.0244557554042033</v>
      </c>
      <c r="L218" s="196" t="n"/>
    </row>
    <row r="219">
      <c r="A219" s="46" t="n">
        <v>208</v>
      </c>
      <c r="B219" s="38" t="inlineStr">
        <is>
          <t>Food additives</t>
        </is>
      </c>
      <c r="C219" s="38" t="inlineStr">
        <is>
          <t>Food additives</t>
        </is>
      </c>
      <c r="D219" s="38" t="inlineStr">
        <is>
          <t>Preservatives</t>
        </is>
      </c>
      <c r="E219" s="38" t="n"/>
      <c r="F219" s="45" t="inlineStr">
        <is>
          <t>Shelf-life extender / antimicrobial additive</t>
        </is>
      </c>
      <c r="G219" s="45" t="inlineStr">
        <is>
          <t>Toluene, Propylene, Fermentation feed</t>
        </is>
      </c>
      <c r="H219" s="44" t="inlineStr">
        <is>
          <t>△</t>
        </is>
      </c>
      <c r="I219" s="45" t="inlineStr">
        <is>
          <t>Benzoate, Sorbate, Propionate</t>
        </is>
      </c>
      <c r="J219" s="45" t="inlineStr">
        <is>
          <t>BTX/olefin/fermentation → Preservative</t>
        </is>
      </c>
      <c r="K219" s="194" t="n">
        <v>0.0244557554042033</v>
      </c>
      <c r="L219" s="196" t="n"/>
    </row>
    <row r="220">
      <c r="A220" s="46" t="n">
        <v>209</v>
      </c>
      <c r="B220" s="38" t="inlineStr">
        <is>
          <t>Food additives</t>
        </is>
      </c>
      <c r="C220" s="38" t="inlineStr">
        <is>
          <t>Food additives</t>
        </is>
      </c>
      <c r="D220" s="38" t="inlineStr">
        <is>
          <t>Antioxidants</t>
        </is>
      </c>
      <c r="E220" s="38" t="n"/>
      <c r="F220" s="45" t="inlineStr">
        <is>
          <t>Food oxidation inhibitor</t>
        </is>
      </c>
      <c r="G220" s="45" t="inlineStr">
        <is>
          <t>Benzene, Natural tocopherol source</t>
        </is>
      </c>
      <c r="H220" s="44" t="inlineStr">
        <is>
          <t>△</t>
        </is>
      </c>
      <c r="I220" s="45" t="inlineStr">
        <is>
          <t>BHT/BHA/TBHQ, Tocopherol</t>
        </is>
      </c>
      <c r="J220" s="45" t="inlineStr">
        <is>
          <t>BTX/natural oil → Antioxidant → Food additive</t>
        </is>
      </c>
      <c r="K220" s="194" t="n">
        <v>0.0244557554042033</v>
      </c>
      <c r="L220" s="196" t="n"/>
    </row>
    <row r="221">
      <c r="A221" s="46" t="n">
        <v>210</v>
      </c>
      <c r="B221" s="38" t="inlineStr">
        <is>
          <t>Feed additives</t>
        </is>
      </c>
      <c r="C221" s="38" t="inlineStr">
        <is>
          <t>Feed additives</t>
        </is>
      </c>
      <c r="D221" s="38" t="inlineStr">
        <is>
          <t>Carotenoids</t>
        </is>
      </c>
      <c r="E221" s="38" t="n"/>
      <c r="F221" s="45" t="inlineStr">
        <is>
          <t>Poultry/aquaculture pigmentation additive</t>
        </is>
      </c>
      <c r="G221" s="45" t="inlineStr">
        <is>
          <t>C5 isoprene, Natural extract</t>
        </is>
      </c>
      <c r="H221" s="56" t="inlineStr">
        <is>
          <t>-</t>
        </is>
      </c>
      <c r="I221" s="45" t="inlineStr">
        <is>
          <t>Astaxanthin, Canthaxanthin</t>
        </is>
      </c>
      <c r="J221" s="45" t="inlineStr">
        <is>
          <t>Isoprene/natural route → Carotenoid feed additive</t>
        </is>
      </c>
      <c r="K221" s="194" t="n">
        <v>0.0243946421399239</v>
      </c>
      <c r="L221" s="196" t="n"/>
      <c r="M221" s="30" t="inlineStr">
        <is>
          <t>Isoprene</t>
        </is>
      </c>
    </row>
    <row r="222">
      <c r="A222" s="46" t="n">
        <v>211</v>
      </c>
      <c r="B222" s="38" t="inlineStr">
        <is>
          <t>Feed additives</t>
        </is>
      </c>
      <c r="C222" s="38" t="inlineStr">
        <is>
          <t>Feed additives</t>
        </is>
      </c>
      <c r="D222" s="38" t="inlineStr">
        <is>
          <t>Vitamins</t>
        </is>
      </c>
      <c r="E222" s="38" t="n"/>
      <c r="F222" s="45" t="inlineStr">
        <is>
          <t>Animal nutrition vitamin premix active</t>
        </is>
      </c>
      <c r="G222" s="45" t="inlineStr">
        <is>
          <t>Glucose, Acetone, Isoprene</t>
        </is>
      </c>
      <c r="H222" s="46" t="inlineStr">
        <is>
          <t>-</t>
        </is>
      </c>
      <c r="I222" s="45" t="inlineStr">
        <is>
          <t>Vitamins A/E/B/C intermediates</t>
        </is>
      </c>
      <c r="J222" s="45" t="inlineStr">
        <is>
          <t>Petrochemical/fermentation → Vitamin active</t>
        </is>
      </c>
      <c r="K222" s="194" t="n">
        <v>0.0243946421399239</v>
      </c>
      <c r="L222" s="196" t="n"/>
    </row>
    <row r="223">
      <c r="A223" s="46" t="n">
        <v>212</v>
      </c>
      <c r="B223" s="38" t="inlineStr">
        <is>
          <t>Feed additives</t>
        </is>
      </c>
      <c r="C223" s="38" t="inlineStr">
        <is>
          <t>Feed additives</t>
        </is>
      </c>
      <c r="D223" s="38" t="inlineStr">
        <is>
          <t>Phosphate</t>
        </is>
      </c>
      <c r="E223" s="38" t="n"/>
      <c r="F223" s="45" t="inlineStr">
        <is>
          <t>Feed-grade phosphate mineral</t>
        </is>
      </c>
      <c r="G223" s="45" t="inlineStr">
        <is>
          <t>Phosphate rock, Sulfuric acid</t>
        </is>
      </c>
      <c r="H223" s="46" t="inlineStr">
        <is>
          <t>-</t>
        </is>
      </c>
      <c r="I223" s="45" t="inlineStr">
        <is>
          <t>MCP, DCP, MDCP</t>
        </is>
      </c>
      <c r="J223" s="45" t="inlineStr">
        <is>
          <t>Phosphate rock → Phosphoric acid → Feed phosphate</t>
        </is>
      </c>
      <c r="K223" s="194" t="n">
        <v>0.0243946421399239</v>
      </c>
      <c r="L223" s="196" t="n"/>
    </row>
    <row r="224">
      <c r="A224" s="46" t="n">
        <v>213</v>
      </c>
      <c r="B224" s="38" t="inlineStr">
        <is>
          <t>Feed additives</t>
        </is>
      </c>
      <c r="C224" s="38" t="inlineStr">
        <is>
          <t>Feed additives</t>
        </is>
      </c>
      <c r="D224" s="38" t="inlineStr">
        <is>
          <t>Amino acids</t>
        </is>
      </c>
      <c r="E224" s="38" t="n"/>
      <c r="F224" s="45" t="inlineStr">
        <is>
          <t>Feed amino acid for poultry/swine</t>
        </is>
      </c>
      <c r="G224" s="45" t="inlineStr">
        <is>
          <t>Sugar, Ammonia</t>
        </is>
      </c>
      <c r="H224" s="46" t="inlineStr">
        <is>
          <t>-</t>
        </is>
      </c>
      <c r="I224" s="45" t="inlineStr">
        <is>
          <t>Lysine, Methionine, Threonine, Tryptophan</t>
        </is>
      </c>
      <c r="J224" s="45" t="inlineStr">
        <is>
          <t>Fermentation/petrochemical sulfur chemistry → Feed amino acid</t>
        </is>
      </c>
      <c r="K224" s="194" t="n">
        <v>0.0243946421399239</v>
      </c>
      <c r="L224" s="196" t="n"/>
    </row>
    <row r="225">
      <c r="A225" s="46" t="n">
        <v>214</v>
      </c>
      <c r="B225" s="38" t="inlineStr">
        <is>
          <t>Feed additives</t>
        </is>
      </c>
      <c r="C225" s="38" t="inlineStr">
        <is>
          <t>Feed additives</t>
        </is>
      </c>
      <c r="D225" s="38" t="inlineStr">
        <is>
          <t>Nonprotein nitrogen</t>
        </is>
      </c>
      <c r="E225" s="38" t="n"/>
      <c r="F225" s="45" t="inlineStr">
        <is>
          <t>Ruminant nitrogen source</t>
        </is>
      </c>
      <c r="G225" s="45" t="inlineStr">
        <is>
          <t>Natural gas, Ammonia</t>
        </is>
      </c>
      <c r="H225" s="46" t="inlineStr">
        <is>
          <t>-</t>
        </is>
      </c>
      <c r="I225" s="45" t="inlineStr">
        <is>
          <t>Urea</t>
        </is>
      </c>
      <c r="J225" s="45" t="inlineStr">
        <is>
          <t>Natural gas → Ammonia → Urea → Feed NPN</t>
        </is>
      </c>
      <c r="K225" s="194" t="n">
        <v>0.0243946421399239</v>
      </c>
      <c r="L225" s="196" t="n"/>
    </row>
    <row r="226">
      <c r="A226" s="46" t="n">
        <v>215</v>
      </c>
      <c r="B226" s="38" t="inlineStr">
        <is>
          <t>Feed additives</t>
        </is>
      </c>
      <c r="C226" s="38" t="inlineStr">
        <is>
          <t>Feed additives</t>
        </is>
      </c>
      <c r="D226" s="38" t="inlineStr">
        <is>
          <t>Enzymes</t>
        </is>
      </c>
      <c r="E226" s="38" t="n"/>
      <c r="F226" s="45" t="inlineStr">
        <is>
          <t>Feed enzyme for digestibility improvement</t>
        </is>
      </c>
      <c r="G226" s="45" t="inlineStr">
        <is>
          <t>Sugar, Fermentation medium</t>
        </is>
      </c>
      <c r="H226" s="46" t="inlineStr">
        <is>
          <t>-</t>
        </is>
      </c>
      <c r="I226" s="45" t="inlineStr">
        <is>
          <t>Phytase, NSP enzyme, Protease</t>
        </is>
      </c>
      <c r="J226" s="45" t="inlineStr">
        <is>
          <t>Biomass/sugar → Fermentation → Feed enzyme</t>
        </is>
      </c>
      <c r="K226" s="194" t="n">
        <v>0.0243946421399239</v>
      </c>
      <c r="L226" s="196" t="n"/>
    </row>
    <row r="227" ht="22.5" customHeight="1" s="179">
      <c r="A227" s="46" t="n">
        <v>216</v>
      </c>
      <c r="B227" s="38" t="inlineStr">
        <is>
          <t>Lubricants, synthetic</t>
        </is>
      </c>
      <c r="C227" s="38" t="inlineStr">
        <is>
          <t>Lubricants, synthetic</t>
        </is>
      </c>
      <c r="D227" s="38" t="inlineStr">
        <is>
          <t>Polyalphaolefins</t>
        </is>
      </c>
      <c r="E227" s="38" t="n"/>
      <c r="F227" s="45" t="inlineStr">
        <is>
          <t>PAO synthetic base oil for premium automotive/industrial lubricant</t>
        </is>
      </c>
      <c r="G227" s="45" t="inlineStr">
        <is>
          <t>Ethylene</t>
        </is>
      </c>
      <c r="H227" s="44" t="inlineStr">
        <is>
          <t>○</t>
        </is>
      </c>
      <c r="I227" s="45" t="inlineStr">
        <is>
          <t>LAO, Decene</t>
        </is>
      </c>
      <c r="J227" s="45" t="inlineStr">
        <is>
          <t>Ethylene → LAO/Decene → PAO → Synthetic lubricant</t>
        </is>
      </c>
      <c r="K227" s="194" t="n">
        <v>0.0230256712917403</v>
      </c>
      <c r="L227" s="195" t="inlineStr">
        <is>
          <t>Δ</t>
        </is>
      </c>
      <c r="M227" s="30" t="inlineStr">
        <is>
          <t>Ethylene, LAO, PAO</t>
        </is>
      </c>
    </row>
    <row r="228" ht="22.5" customHeight="1" s="179">
      <c r="A228" s="46" t="n">
        <v>217</v>
      </c>
      <c r="B228" s="38" t="inlineStr">
        <is>
          <t>Lubricants, synthetic</t>
        </is>
      </c>
      <c r="C228" s="38" t="inlineStr">
        <is>
          <t>Lubricants, synthetic</t>
        </is>
      </c>
      <c r="D228" s="38" t="inlineStr">
        <is>
          <t>Polyol esters</t>
        </is>
      </c>
      <c r="E228" s="38" t="n"/>
      <c r="F228" s="45" t="inlineStr">
        <is>
          <t>High-temperature ester base oil for aviation/industrial lubricant</t>
        </is>
      </c>
      <c r="G228" s="45" t="inlineStr">
        <is>
          <t>Propylene, Oleochemical</t>
        </is>
      </c>
      <c r="H228" s="44" t="inlineStr">
        <is>
          <t>△</t>
        </is>
      </c>
      <c r="I228" s="45" t="inlineStr">
        <is>
          <t>Polyol, Fatty acid</t>
        </is>
      </c>
      <c r="J228" s="45" t="inlineStr">
        <is>
          <t>Propylene → Polyol + Fatty acid → Polyol ester</t>
        </is>
      </c>
      <c r="K228" s="194" t="n">
        <v>0.0230256712917403</v>
      </c>
      <c r="L228" s="195" t="inlineStr">
        <is>
          <t>Δ</t>
        </is>
      </c>
      <c r="M228" s="30" t="inlineStr">
        <is>
          <t>Propylene</t>
        </is>
      </c>
    </row>
    <row r="229">
      <c r="A229" s="46" t="n">
        <v>218</v>
      </c>
      <c r="B229" s="38" t="inlineStr">
        <is>
          <t>Lubricants, synthetic</t>
        </is>
      </c>
      <c r="C229" s="38" t="inlineStr">
        <is>
          <t>Lubricants, synthetic</t>
        </is>
      </c>
      <c r="D229" s="38" t="inlineStr">
        <is>
          <t>Polyalkylene glycols</t>
        </is>
      </c>
      <c r="E229" s="38" t="n"/>
      <c r="F229" s="45" t="inlineStr">
        <is>
          <t>PAG base oil for compressor, gear and EV fluids</t>
        </is>
      </c>
      <c r="G229" s="45" t="inlineStr">
        <is>
          <t>Ethylene, Propylene</t>
        </is>
      </c>
      <c r="H229" s="44" t="inlineStr">
        <is>
          <t>○</t>
        </is>
      </c>
      <c r="I229" s="45" t="inlineStr">
        <is>
          <t>EO, PO, PAG</t>
        </is>
      </c>
      <c r="J229" s="45" t="inlineStr">
        <is>
          <t>Ethylene/Propylene → EO/PO → PAG → Synthetic lubricant</t>
        </is>
      </c>
      <c r="K229" s="194" t="n">
        <v>0.0230256712917403</v>
      </c>
      <c r="L229" s="195" t="inlineStr">
        <is>
          <t>Δ</t>
        </is>
      </c>
      <c r="M229" s="30" t="inlineStr">
        <is>
          <t>Ethylene, EO, Propylene, PO</t>
        </is>
      </c>
    </row>
    <row r="230">
      <c r="A230" s="46" t="n">
        <v>219</v>
      </c>
      <c r="B230" s="38" t="inlineStr">
        <is>
          <t>Lubricants, synthetic</t>
        </is>
      </c>
      <c r="C230" s="38" t="inlineStr">
        <is>
          <t>Lubricants, synthetic</t>
        </is>
      </c>
      <c r="D230" s="38" t="inlineStr">
        <is>
          <t>Di-/tribasic esters</t>
        </is>
      </c>
      <c r="E230" s="38" t="n"/>
      <c r="F230" s="45" t="inlineStr">
        <is>
          <t>Diester/triester base oil for low-temperature lubricant</t>
        </is>
      </c>
      <c r="G230" s="45" t="inlineStr">
        <is>
          <t>C4, C6/C8 acids, Alcohols</t>
        </is>
      </c>
      <c r="H230" s="44" t="inlineStr">
        <is>
          <t>○</t>
        </is>
      </c>
      <c r="I230" s="45" t="inlineStr">
        <is>
          <t>Dibasic acid, Monoalcohol</t>
        </is>
      </c>
      <c r="J230" s="45" t="inlineStr">
        <is>
          <t>Olefin/paraffin oxidation + Alcohol → Di-/triester lubricant</t>
        </is>
      </c>
      <c r="K230" s="194" t="n">
        <v>0.0230256712917403</v>
      </c>
      <c r="L230" s="195" t="inlineStr">
        <is>
          <t>Δ</t>
        </is>
      </c>
    </row>
    <row r="231">
      <c r="A231" s="46" t="n">
        <v>220</v>
      </c>
      <c r="B231" s="38" t="inlineStr">
        <is>
          <t>Lubricants, synthetic</t>
        </is>
      </c>
      <c r="C231" s="38" t="inlineStr">
        <is>
          <t>Lubricants, synthetic</t>
        </is>
      </c>
      <c r="D231" s="38" t="inlineStr">
        <is>
          <t>Polybutenes</t>
        </is>
      </c>
      <c r="E231" s="38" t="n"/>
      <c r="F231" s="45" t="inlineStr">
        <is>
          <t>Polybutene base oil/tackifier for lubricants and greases</t>
        </is>
      </c>
      <c r="G231" s="45" t="inlineStr">
        <is>
          <t>C4</t>
        </is>
      </c>
      <c r="H231" s="44" t="inlineStr">
        <is>
          <t>○</t>
        </is>
      </c>
      <c r="I231" s="45" t="inlineStr">
        <is>
          <t>Isobutylene, Polybutene</t>
        </is>
      </c>
      <c r="J231" s="45" t="inlineStr">
        <is>
          <t>C4 stream → Isobutylene → Polybutene</t>
        </is>
      </c>
      <c r="K231" s="194" t="n">
        <v>0.0230256712917403</v>
      </c>
      <c r="L231" s="195" t="inlineStr">
        <is>
          <t>Δ</t>
        </is>
      </c>
      <c r="M231" s="30" t="inlineStr">
        <is>
          <t>Isobutylene</t>
        </is>
      </c>
    </row>
    <row r="232">
      <c r="A232" s="46" t="n">
        <v>221</v>
      </c>
      <c r="B232" s="38" t="inlineStr">
        <is>
          <t>Lubricants, synthetic</t>
        </is>
      </c>
      <c r="C232" s="38" t="inlineStr">
        <is>
          <t>Lubricants, synthetic</t>
        </is>
      </c>
      <c r="D232" s="38" t="inlineStr">
        <is>
          <t>Phosphate esters</t>
        </is>
      </c>
      <c r="E232" s="38" t="n"/>
      <c r="F232" s="45" t="inlineStr">
        <is>
          <t>Fire-resistant hydraulic fluid base stock</t>
        </is>
      </c>
      <c r="G232" s="45" t="inlineStr">
        <is>
          <t>Benzene, Phosphorus</t>
        </is>
      </c>
      <c r="H232" s="44" t="inlineStr">
        <is>
          <t>△</t>
        </is>
      </c>
      <c r="I232" s="45" t="inlineStr">
        <is>
          <t>Phenol, Phosphate ester</t>
        </is>
      </c>
      <c r="J232" s="45" t="inlineStr">
        <is>
          <t>Benzene → Phenol + Phosphorus chemistry → Phosphate ester</t>
        </is>
      </c>
      <c r="K232" s="194" t="n">
        <v>0.0230256712917403</v>
      </c>
      <c r="L232" s="195" t="inlineStr">
        <is>
          <t>Δ</t>
        </is>
      </c>
      <c r="M232" s="30" t="inlineStr">
        <is>
          <t>Benzene, Phenol</t>
        </is>
      </c>
    </row>
    <row r="233">
      <c r="A233" s="46" t="n">
        <v>222</v>
      </c>
      <c r="B233" s="38" t="inlineStr">
        <is>
          <t>Lubricants, synthetic</t>
        </is>
      </c>
      <c r="C233" s="38" t="inlineStr">
        <is>
          <t>Lubricants, synthetic</t>
        </is>
      </c>
      <c r="D233" s="38" t="inlineStr">
        <is>
          <t>Alkylated aromatics</t>
        </is>
      </c>
      <c r="E233" s="38" t="n"/>
      <c r="F233" s="45" t="inlineStr">
        <is>
          <t>Alkylbenzene/alkylnaphthalene synthetic base oil</t>
        </is>
      </c>
      <c r="G233" s="45" t="inlineStr">
        <is>
          <t>Benzene, Naphthalene, LAO</t>
        </is>
      </c>
      <c r="H233" s="44" t="inlineStr">
        <is>
          <t>○</t>
        </is>
      </c>
      <c r="I233" s="45" t="inlineStr">
        <is>
          <t>Alkylbenzene, Alkylnaphthalene</t>
        </is>
      </c>
      <c r="J233" s="45" t="inlineStr">
        <is>
          <t>Aromatics + Olefin → Alkylated aromatic base oil</t>
        </is>
      </c>
      <c r="K233" s="194" t="n">
        <v>0.0230256712917403</v>
      </c>
      <c r="L233" s="195" t="inlineStr">
        <is>
          <t>Δ</t>
        </is>
      </c>
    </row>
    <row r="234" ht="22.5" customHeight="1" s="179">
      <c r="A234" s="46" t="n">
        <v>223</v>
      </c>
      <c r="B234" s="38" t="inlineStr">
        <is>
          <t>Lubricants, synthetic</t>
        </is>
      </c>
      <c r="C234" s="38" t="inlineStr">
        <is>
          <t>Lubricants, synthetic</t>
        </is>
      </c>
      <c r="D234" s="38" t="inlineStr">
        <is>
          <t>Other specialties</t>
        </is>
      </c>
      <c r="E234" s="38" t="n"/>
      <c r="F234" s="45" t="inlineStr">
        <is>
          <t>Silicone/fluorinated/PPE specialty lubricant for extreme conditions</t>
        </is>
      </c>
      <c r="G234" s="45" t="inlineStr">
        <is>
          <t>Silicon, Fluorspar, Benzene</t>
        </is>
      </c>
      <c r="H234" s="44" t="inlineStr">
        <is>
          <t>△</t>
        </is>
      </c>
      <c r="I234" s="45" t="inlineStr">
        <is>
          <t>Silicone fluid, PFPE, Polyphenyl ether</t>
        </is>
      </c>
      <c r="J234" s="45" t="inlineStr">
        <is>
          <t>Silicon/fluorochemical/aromatics → Specialty lubricant</t>
        </is>
      </c>
      <c r="K234" s="194" t="n">
        <v>0.0230256712917403</v>
      </c>
      <c r="L234" s="195" t="inlineStr">
        <is>
          <t>Δ</t>
        </is>
      </c>
    </row>
    <row r="235">
      <c r="A235" s="46" t="n">
        <v>224</v>
      </c>
      <c r="B235" s="57" t="inlineStr">
        <is>
          <t>Paper chemicals</t>
        </is>
      </c>
      <c r="C235" s="57" t="inlineStr">
        <is>
          <t>Paper chemicals</t>
        </is>
      </c>
      <c r="D235" s="57" t="inlineStr">
        <is>
          <t>Pulp and fiber treatment</t>
        </is>
      </c>
      <c r="E235" s="57" t="inlineStr">
        <is>
          <t>Bleaching specialties</t>
        </is>
      </c>
      <c r="F235" s="58" t="inlineStr">
        <is>
          <t>Bleaching specialty for pulp brightness</t>
        </is>
      </c>
      <c r="G235" s="58" t="inlineStr">
        <is>
          <t>Sulfur, Chlorine, Phosphorus</t>
        </is>
      </c>
      <c r="H235" s="59" t="inlineStr">
        <is>
          <t>-</t>
        </is>
      </c>
      <c r="I235" s="58" t="inlineStr">
        <is>
          <t>Chelant, Reducing agent, Peroxide stabilizer</t>
        </is>
      </c>
      <c r="J235" s="58" t="inlineStr">
        <is>
          <t>Inorganic/C2 chemistry → Bleaching specialty</t>
        </is>
      </c>
      <c r="K235" s="194" t="n">
        <v>0.0168213516605007</v>
      </c>
      <c r="L235" s="196" t="n"/>
    </row>
    <row r="236">
      <c r="A236" s="46" t="n">
        <v>225</v>
      </c>
      <c r="B236" s="57" t="inlineStr">
        <is>
          <t>Paper chemicals</t>
        </is>
      </c>
      <c r="C236" s="57" t="inlineStr">
        <is>
          <t>Paper chemicals</t>
        </is>
      </c>
      <c r="D236" s="57" t="inlineStr">
        <is>
          <t>Pulp and fiber treatment</t>
        </is>
      </c>
      <c r="E236" s="57" t="inlineStr">
        <is>
          <t>Deinking agents</t>
        </is>
      </c>
      <c r="F236" s="58" t="inlineStr">
        <is>
          <t>Wastepaper recycling deinking chemical</t>
        </is>
      </c>
      <c r="G236" s="58" t="inlineStr">
        <is>
          <t>EO/PO, Fatty acid</t>
        </is>
      </c>
      <c r="H236" s="44" t="inlineStr">
        <is>
          <t>△</t>
        </is>
      </c>
      <c r="I236" s="58" t="inlineStr">
        <is>
          <t>Surfactant, Collector, Dispersant</t>
        </is>
      </c>
      <c r="J236" s="58" t="inlineStr">
        <is>
          <t>Oleochemical/EO/PO → Deinking formulation</t>
        </is>
      </c>
      <c r="K236" s="194" t="n">
        <v>0.0168213516605007</v>
      </c>
      <c r="L236" s="196" t="n"/>
      <c r="M236" s="30" t="inlineStr">
        <is>
          <t>EO, PO</t>
        </is>
      </c>
    </row>
    <row r="237">
      <c r="A237" s="46" t="n">
        <v>226</v>
      </c>
      <c r="B237" s="57" t="inlineStr">
        <is>
          <t>Paper chemicals</t>
        </is>
      </c>
      <c r="C237" s="57" t="inlineStr">
        <is>
          <t>Paper chemicals</t>
        </is>
      </c>
      <c r="D237" s="57" t="inlineStr">
        <is>
          <t>Pulp and fiber treatment</t>
        </is>
      </c>
      <c r="E237" s="57" t="inlineStr">
        <is>
          <t>Enzymes</t>
        </is>
      </c>
      <c r="F237" s="58" t="inlineStr">
        <is>
          <t>Pulp modification enzyme</t>
        </is>
      </c>
      <c r="G237" s="58" t="inlineStr">
        <is>
          <t>Sugar, Fermentation medium</t>
        </is>
      </c>
      <c r="H237" s="59" t="inlineStr">
        <is>
          <t>-</t>
        </is>
      </c>
      <c r="I237" s="58" t="inlineStr">
        <is>
          <t>Cellulase, Xylanase</t>
        </is>
      </c>
      <c r="J237" s="58" t="inlineStr">
        <is>
          <t>Biomass/sugar → Fermentation → Paper enzyme</t>
        </is>
      </c>
      <c r="K237" s="194" t="n">
        <v>0.0168213516605007</v>
      </c>
      <c r="L237" s="196" t="n"/>
    </row>
    <row r="238">
      <c r="A238" s="46" t="n">
        <v>227</v>
      </c>
      <c r="B238" s="57" t="inlineStr">
        <is>
          <t>Paper chemicals</t>
        </is>
      </c>
      <c r="C238" s="57" t="inlineStr">
        <is>
          <t>Paper chemicals</t>
        </is>
      </c>
      <c r="D238" s="57" t="inlineStr">
        <is>
          <t>Processing aids</t>
        </is>
      </c>
      <c r="E238" s="57" t="inlineStr">
        <is>
          <t>Specialty biocidesa</t>
        </is>
      </c>
      <c r="F238" s="58" t="inlineStr">
        <is>
          <t>Microbial control for paper mill process</t>
        </is>
      </c>
      <c r="G238" s="58" t="inlineStr">
        <is>
          <t>Chlorine, Isothiazolinone feed</t>
        </is>
      </c>
      <c r="H238" s="59" t="inlineStr">
        <is>
          <t>-</t>
        </is>
      </c>
      <c r="I238" s="58" t="inlineStr">
        <is>
          <t>Isothiazolinone, DBNPA, Glutaraldehyde</t>
        </is>
      </c>
      <c r="J238" s="58" t="inlineStr">
        <is>
          <t>Chlorine/C1/specialty intermediate → Paper biocide</t>
        </is>
      </c>
      <c r="K238" s="194" t="n">
        <v>0.0168213516605007</v>
      </c>
      <c r="L238" s="196" t="n"/>
    </row>
    <row r="239">
      <c r="A239" s="46" t="n">
        <v>228</v>
      </c>
      <c r="B239" s="57" t="inlineStr">
        <is>
          <t>Paper chemicals</t>
        </is>
      </c>
      <c r="C239" s="57" t="inlineStr">
        <is>
          <t>Paper chemicals</t>
        </is>
      </c>
      <c r="D239" s="57" t="inlineStr">
        <is>
          <t>Processing aids</t>
        </is>
      </c>
      <c r="E239" s="57" t="inlineStr">
        <is>
          <t>Defoamers</t>
        </is>
      </c>
      <c r="F239" s="58" t="inlineStr">
        <is>
          <t>Foam control agent for papermaking</t>
        </is>
      </c>
      <c r="G239" s="58" t="inlineStr">
        <is>
          <t>Silicon, Mineral oil, Fatty acid</t>
        </is>
      </c>
      <c r="H239" s="59" t="inlineStr">
        <is>
          <t>-</t>
        </is>
      </c>
      <c r="I239" s="58" t="inlineStr">
        <is>
          <t>Silicone defoamer, Oil-based defoamer</t>
        </is>
      </c>
      <c r="J239" s="58" t="inlineStr">
        <is>
          <t>Silicone/mineral oil/oleochemical → Defoamer</t>
        </is>
      </c>
      <c r="K239" s="194" t="n">
        <v>0.0168213516605007</v>
      </c>
      <c r="L239" s="196" t="n"/>
    </row>
    <row r="240">
      <c r="A240" s="46" t="n">
        <v>229</v>
      </c>
      <c r="B240" s="57" t="inlineStr">
        <is>
          <t>Paper chemicals</t>
        </is>
      </c>
      <c r="C240" s="57" t="inlineStr">
        <is>
          <t>Paper chemicals</t>
        </is>
      </c>
      <c r="D240" s="57" t="inlineStr">
        <is>
          <t>Processing aids</t>
        </is>
      </c>
      <c r="E240" s="57" t="inlineStr">
        <is>
          <t>Pitch-control agents</t>
        </is>
      </c>
      <c r="F240" s="58" t="inlineStr">
        <is>
          <t>Deposit/pitch control chemical</t>
        </is>
      </c>
      <c r="G240" s="58" t="inlineStr">
        <is>
          <t>Talc, Surfactant, Polymer feed</t>
        </is>
      </c>
      <c r="H240" s="59" t="inlineStr">
        <is>
          <t>-</t>
        </is>
      </c>
      <c r="I240" s="58" t="inlineStr">
        <is>
          <t>Dispersant, Fixing agent, Talc</t>
        </is>
      </c>
      <c r="J240" s="58" t="inlineStr">
        <is>
          <t>Mineral/polymer/surfactant → Pitch control additive</t>
        </is>
      </c>
      <c r="K240" s="194" t="n">
        <v>0.0168213516605007</v>
      </c>
      <c r="L240" s="196" t="n"/>
    </row>
    <row r="241">
      <c r="A241" s="46" t="n">
        <v>230</v>
      </c>
      <c r="B241" s="57" t="inlineStr">
        <is>
          <t>Paper chemicals</t>
        </is>
      </c>
      <c r="C241" s="57" t="inlineStr">
        <is>
          <t>Paper chemicals</t>
        </is>
      </c>
      <c r="D241" s="57" t="inlineStr">
        <is>
          <t>Processing aids</t>
        </is>
      </c>
      <c r="E241" s="57" t="inlineStr">
        <is>
          <t>Retention/drainage aids</t>
        </is>
      </c>
      <c r="F241" s="58" t="inlineStr">
        <is>
          <t>Retention and drainage polymer</t>
        </is>
      </c>
      <c r="G241" s="58" t="inlineStr">
        <is>
          <t>Propylene, Acrylonitrile</t>
        </is>
      </c>
      <c r="H241" s="44" t="inlineStr">
        <is>
          <t>△</t>
        </is>
      </c>
      <c r="I241" s="58" t="inlineStr">
        <is>
          <t>Acrylamide, Polyacrylamide, Cationic polymer</t>
        </is>
      </c>
      <c r="J241" s="58" t="inlineStr">
        <is>
          <t>Propylene → Acrylamide → Retention aid polymer</t>
        </is>
      </c>
      <c r="K241" s="194" t="n">
        <v>0.0168213516605007</v>
      </c>
      <c r="L241" s="196" t="n"/>
      <c r="M241" s="30" t="inlineStr">
        <is>
          <t>Propylene</t>
        </is>
      </c>
    </row>
    <row r="242">
      <c r="A242" s="46" t="n">
        <v>231</v>
      </c>
      <c r="B242" s="57" t="inlineStr">
        <is>
          <t>Paper chemicals</t>
        </is>
      </c>
      <c r="C242" s="57" t="inlineStr">
        <is>
          <t>Paper chemicals</t>
        </is>
      </c>
      <c r="D242" s="57" t="inlineStr">
        <is>
          <t>Functional chemicalsb</t>
        </is>
      </c>
      <c r="E242" s="57" t="inlineStr">
        <is>
          <t>Dry-strength additives</t>
        </is>
      </c>
      <c r="F242" s="58" t="inlineStr">
        <is>
          <t>Paper strength resin</t>
        </is>
      </c>
      <c r="G242" s="58" t="inlineStr">
        <is>
          <t>Starch, Acrylamide</t>
        </is>
      </c>
      <c r="H242" s="59" t="inlineStr">
        <is>
          <t>-</t>
        </is>
      </c>
      <c r="I242" s="58" t="inlineStr">
        <is>
          <t>Cationic starch, Polyacrylamide</t>
        </is>
      </c>
      <c r="J242" s="58" t="inlineStr">
        <is>
          <t>Biomass/propylene → Strength polymer</t>
        </is>
      </c>
      <c r="K242" s="194" t="n">
        <v>0.0168213516605007</v>
      </c>
      <c r="L242" s="196" t="n"/>
      <c r="M242" s="30" t="inlineStr">
        <is>
          <t>Propylene</t>
        </is>
      </c>
    </row>
    <row r="243">
      <c r="A243" s="46" t="n">
        <v>232</v>
      </c>
      <c r="B243" s="57" t="inlineStr">
        <is>
          <t>Paper chemicals</t>
        </is>
      </c>
      <c r="C243" s="57" t="inlineStr">
        <is>
          <t>Paper chemicals</t>
        </is>
      </c>
      <c r="D243" s="57" t="inlineStr">
        <is>
          <t>Functional chemicalsb</t>
        </is>
      </c>
      <c r="E243" s="57" t="inlineStr">
        <is>
          <t>Wet-strength resins</t>
        </is>
      </c>
      <c r="F243" s="58" t="inlineStr">
        <is>
          <t>Tissue/packaging wet-strength resin</t>
        </is>
      </c>
      <c r="G243" s="58" t="inlineStr">
        <is>
          <t>Epichlorohydrin, Amine</t>
        </is>
      </c>
      <c r="H243" s="59" t="inlineStr">
        <is>
          <t>-</t>
        </is>
      </c>
      <c r="I243" s="58" t="inlineStr">
        <is>
          <t>PAE resin</t>
        </is>
      </c>
      <c r="J243" s="58" t="inlineStr">
        <is>
          <t>Propylene/chlorine + amine → Wet-strength resin</t>
        </is>
      </c>
      <c r="K243" s="194" t="n">
        <v>0.0168213516605007</v>
      </c>
      <c r="L243" s="196" t="n"/>
      <c r="M243" s="30" t="inlineStr">
        <is>
          <t>Propylene</t>
        </is>
      </c>
    </row>
    <row r="244">
      <c r="A244" s="46" t="n">
        <v>233</v>
      </c>
      <c r="B244" s="57" t="inlineStr">
        <is>
          <t>Paper chemicals</t>
        </is>
      </c>
      <c r="C244" s="57" t="inlineStr">
        <is>
          <t>Paper chemicals</t>
        </is>
      </c>
      <c r="D244" s="57" t="inlineStr">
        <is>
          <t>Functional chemicalsb</t>
        </is>
      </c>
      <c r="E244" s="57" t="inlineStr">
        <is>
          <t>Specialty paper sizes</t>
        </is>
      </c>
      <c r="F244" s="58" t="inlineStr">
        <is>
          <t>Water resistance sizing agent</t>
        </is>
      </c>
      <c r="G244" s="58" t="inlineStr">
        <is>
          <t>Rosin, C16/C18 olefin, Styrene</t>
        </is>
      </c>
      <c r="H244" s="44" t="inlineStr">
        <is>
          <t>△</t>
        </is>
      </c>
      <c r="I244" s="58" t="inlineStr">
        <is>
          <t>AKD, ASA, Rosin size</t>
        </is>
      </c>
      <c r="J244" s="58" t="inlineStr">
        <is>
          <t>Oleochemical/olefin/styrene → Sizing agent</t>
        </is>
      </c>
      <c r="K244" s="194" t="n">
        <v>0.0168213516605007</v>
      </c>
      <c r="L244" s="196" t="n"/>
      <c r="M244" s="30" t="inlineStr">
        <is>
          <t>Styrene</t>
        </is>
      </c>
    </row>
    <row r="245">
      <c r="A245" s="46" t="n">
        <v>234</v>
      </c>
      <c r="B245" s="57" t="inlineStr">
        <is>
          <t>Paper chemicals</t>
        </is>
      </c>
      <c r="C245" s="57" t="inlineStr">
        <is>
          <t>Paper chemicals</t>
        </is>
      </c>
      <c r="D245" s="57" t="inlineStr">
        <is>
          <t>Functional chemicalsb</t>
        </is>
      </c>
      <c r="E245" s="57" t="inlineStr">
        <is>
          <t>Dyes, pigments and fluorescent whitening agents</t>
        </is>
      </c>
      <c r="F245" s="58" t="inlineStr">
        <is>
          <t>Paper colorant/brightener</t>
        </is>
      </c>
      <c r="G245" s="58" t="inlineStr">
        <is>
          <t>BTX, Minerals</t>
        </is>
      </c>
      <c r="H245" s="44" t="inlineStr">
        <is>
          <t>△</t>
        </is>
      </c>
      <c r="I245" s="58" t="inlineStr">
        <is>
          <t>Direct dye, Pigment, FWA</t>
        </is>
      </c>
      <c r="J245" s="58" t="inlineStr">
        <is>
          <t>Aromatics/mineral → Paper colorant/brightener</t>
        </is>
      </c>
      <c r="K245" s="194" t="n">
        <v>0.0168213516605007</v>
      </c>
      <c r="L245" s="196" t="n"/>
    </row>
    <row r="246">
      <c r="A246" s="46" t="n">
        <v>235</v>
      </c>
      <c r="B246" s="57" t="inlineStr">
        <is>
          <t>Paper chemicals</t>
        </is>
      </c>
      <c r="C246" s="57" t="inlineStr">
        <is>
          <t>Paper chemicals</t>
        </is>
      </c>
      <c r="D246" s="57" t="inlineStr">
        <is>
          <t>Functional chemicalsb</t>
        </is>
      </c>
      <c r="E246" s="57" t="inlineStr">
        <is>
          <t>Coating binders and additives</t>
        </is>
      </c>
      <c r="F246" s="58" t="inlineStr">
        <is>
          <t>Coated paper binder/additive</t>
        </is>
      </c>
      <c r="G246" s="58" t="inlineStr">
        <is>
          <t>Styrene, Butadiene, Acrylic acid</t>
        </is>
      </c>
      <c r="H246" s="44" t="inlineStr">
        <is>
          <t>△</t>
        </is>
      </c>
      <c r="I246" s="58" t="inlineStr">
        <is>
          <t>SBR latex, Acrylic latex, Starch binder</t>
        </is>
      </c>
      <c r="J246" s="58" t="inlineStr">
        <is>
          <t>BTX/C4/acrylic chain → Coating binder</t>
        </is>
      </c>
      <c r="K246" s="194" t="n">
        <v>0.0168213516605007</v>
      </c>
      <c r="L246" s="196" t="n"/>
    </row>
    <row r="247">
      <c r="A247" s="46" t="n">
        <v>236</v>
      </c>
      <c r="B247" s="57" t="inlineStr">
        <is>
          <t>Paper chemicals</t>
        </is>
      </c>
      <c r="C247" s="57" t="inlineStr">
        <is>
          <t>Paper chemicals</t>
        </is>
      </c>
      <c r="D247" s="57" t="inlineStr">
        <is>
          <t>Functional chemicalsb</t>
        </is>
      </c>
      <c r="E247" s="57" t="inlineStr">
        <is>
          <t>Specialty coatings</t>
        </is>
      </c>
      <c r="F247" s="58" t="inlineStr">
        <is>
          <t>Barrier/coated packaging chemical</t>
        </is>
      </c>
      <c r="G247" s="58" t="inlineStr">
        <is>
          <t>Acrylic acid, Wax, Fluorine alternative, Bio-polymer</t>
        </is>
      </c>
      <c r="H247" s="44" t="inlineStr">
        <is>
          <t>△</t>
        </is>
      </c>
      <c r="I247" s="58" t="inlineStr">
        <is>
          <t>Barrier coating, Release coating</t>
        </is>
      </c>
      <c r="J247" s="58" t="inlineStr">
        <is>
          <t>Acrylic/oleochemical/biopolymer → Specialty paper coating</t>
        </is>
      </c>
      <c r="K247" s="194" t="n">
        <v>0.0168213516605007</v>
      </c>
      <c r="L247" s="196" t="n"/>
    </row>
    <row r="248">
      <c r="A248" s="46" t="n">
        <v>237</v>
      </c>
      <c r="B248" s="38" t="inlineStr">
        <is>
          <t>Construction chemicals</t>
        </is>
      </c>
      <c r="C248" s="38" t="inlineStr">
        <is>
          <t>Construction chemicals</t>
        </is>
      </c>
      <c r="D248" s="38" t="inlineStr">
        <is>
          <t>Concrete admixtures</t>
        </is>
      </c>
      <c r="E248" s="38" t="n"/>
      <c r="F248" s="45" t="inlineStr">
        <is>
          <t>Superplasticizer/accelerator/retarder</t>
        </is>
      </c>
      <c r="G248" s="45" t="inlineStr">
        <is>
          <t>EO, Propylene, Naphthalene</t>
        </is>
      </c>
      <c r="H248" s="44" t="inlineStr">
        <is>
          <t>△</t>
        </is>
      </c>
      <c r="I248" s="45" t="inlineStr">
        <is>
          <t>PCE, SNF, Lignosulfonate, Accelerator</t>
        </is>
      </c>
      <c r="J248" s="45" t="inlineStr">
        <is>
          <t>EO/propylene/aromatics → Concrete admixture</t>
        </is>
      </c>
      <c r="K248" s="194" t="n">
        <v>0.0147205457538071</v>
      </c>
      <c r="L248" s="196" t="n"/>
      <c r="M248" s="30" t="inlineStr">
        <is>
          <t>EO, Propylene</t>
        </is>
      </c>
    </row>
    <row r="249">
      <c r="A249" s="46" t="n">
        <v>238</v>
      </c>
      <c r="B249" s="38" t="inlineStr">
        <is>
          <t>Construction chemicals</t>
        </is>
      </c>
      <c r="C249" s="38" t="inlineStr">
        <is>
          <t>Construction chemicals</t>
        </is>
      </c>
      <c r="D249" s="38" t="inlineStr">
        <is>
          <t>Asphalt additives</t>
        </is>
      </c>
      <c r="E249" s="38" t="n"/>
      <c r="F249" s="45" t="inlineStr">
        <is>
          <t>Polymer-modified asphalt additive</t>
        </is>
      </c>
      <c r="G249" s="45" t="inlineStr">
        <is>
          <t>C4, Styrene, Sulfur</t>
        </is>
      </c>
      <c r="H249" s="44" t="inlineStr">
        <is>
          <t>△</t>
        </is>
      </c>
      <c r="I249" s="45" t="inlineStr">
        <is>
          <t>SBS, SBR, Adhesion promoter</t>
        </is>
      </c>
      <c r="J249" s="45" t="inlineStr">
        <is>
          <t>C4/BTX → Styrenic elastomer/additive → Asphalt modifier</t>
        </is>
      </c>
      <c r="K249" s="194" t="n">
        <v>0.0147205457538071</v>
      </c>
      <c r="L249" s="196" t="n"/>
    </row>
    <row r="250">
      <c r="A250" s="46" t="n">
        <v>239</v>
      </c>
      <c r="B250" s="38" t="inlineStr">
        <is>
          <t>Construction chemicals</t>
        </is>
      </c>
      <c r="C250" s="38" t="inlineStr">
        <is>
          <t>Construction chemicals</t>
        </is>
      </c>
      <c r="D250" s="38" t="inlineStr">
        <is>
          <t>Specialty adhesives and sealants</t>
        </is>
      </c>
      <c r="E250" s="38" t="n"/>
      <c r="F250" s="45" t="inlineStr">
        <is>
          <t>Construction adhesive/sealant</t>
        </is>
      </c>
      <c r="G250" s="45" t="inlineStr">
        <is>
          <t>Benzene, Propylene, Silicon</t>
        </is>
      </c>
      <c r="H250" s="44" t="inlineStr">
        <is>
          <t>△</t>
        </is>
      </c>
      <c r="I250" s="45" t="inlineStr">
        <is>
          <t>Epoxy, PU, Silicone, Acrylic resin</t>
        </is>
      </c>
      <c r="J250" s="45" t="inlineStr">
        <is>
          <t>BTX/PO/silicone/acrylic chain → Construction A&amp;S</t>
        </is>
      </c>
      <c r="K250" s="194" t="n">
        <v>0.0147205457538071</v>
      </c>
      <c r="L250" s="196" t="n"/>
      <c r="M250" s="30" t="inlineStr">
        <is>
          <t>PO</t>
        </is>
      </c>
    </row>
    <row r="251">
      <c r="A251" s="46" t="n">
        <v>240</v>
      </c>
      <c r="B251" s="38" t="inlineStr">
        <is>
          <t>Construction chemicals</t>
        </is>
      </c>
      <c r="C251" s="38" t="inlineStr">
        <is>
          <t>Construction chemicals</t>
        </is>
      </c>
      <c r="D251" s="38" t="inlineStr">
        <is>
          <t>Specialty coatings</t>
        </is>
      </c>
      <c r="E251" s="38" t="n"/>
      <c r="F251" s="45" t="inlineStr">
        <is>
          <t>Floor/roof/waterproofing coating</t>
        </is>
      </c>
      <c r="G251" s="45" t="inlineStr">
        <is>
          <t>Propylene, Benzene, PO, Silicon</t>
        </is>
      </c>
      <c r="H251" s="44" t="inlineStr">
        <is>
          <t>△</t>
        </is>
      </c>
      <c r="I251" s="45" t="inlineStr">
        <is>
          <t>Acrylic, Epoxy, PU, Silicone coating resin</t>
        </is>
      </c>
      <c r="J251" s="45" t="inlineStr">
        <is>
          <t>Acrylic/epoxy/PU/silicone chain → Construction coating</t>
        </is>
      </c>
      <c r="K251" s="194" t="n">
        <v>0.0147205457538071</v>
      </c>
      <c r="L251" s="196" t="n"/>
      <c r="M251" s="30" t="inlineStr">
        <is>
          <t>PU, PU</t>
        </is>
      </c>
    </row>
    <row r="252">
      <c r="A252" s="46" t="n">
        <v>241</v>
      </c>
      <c r="B252" s="38" t="inlineStr">
        <is>
          <t>Construction chemicals</t>
        </is>
      </c>
      <c r="C252" s="38" t="inlineStr">
        <is>
          <t>Construction chemicals</t>
        </is>
      </c>
      <c r="D252" s="38" t="inlineStr">
        <is>
          <t>Insulation</t>
        </is>
      </c>
      <c r="E252" s="38" t="n"/>
      <c r="F252" s="45" t="inlineStr">
        <is>
          <t>PU spray foam / insulation chemical</t>
        </is>
      </c>
      <c r="G252" s="45" t="inlineStr">
        <is>
          <t>Propylene, Benzene/Toluene</t>
        </is>
      </c>
      <c r="H252" s="44" t="inlineStr">
        <is>
          <t>○</t>
        </is>
      </c>
      <c r="I252" s="45" t="inlineStr">
        <is>
          <t>Polyol, MDI/TDI</t>
        </is>
      </c>
      <c r="J252" s="45" t="inlineStr">
        <is>
          <t>PO/EO → Polyol + Aromatics → Isocyanate → Insulation foam</t>
        </is>
      </c>
      <c r="K252" s="194" t="n">
        <v>0.0147205457538071</v>
      </c>
      <c r="L252" s="196" t="n"/>
      <c r="M252" s="30" t="inlineStr">
        <is>
          <t>EO, PO</t>
        </is>
      </c>
    </row>
    <row r="253">
      <c r="A253" s="46" t="n">
        <v>242</v>
      </c>
      <c r="B253" s="38" t="inlineStr">
        <is>
          <t>Mining chemicals</t>
        </is>
      </c>
      <c r="C253" s="38" t="inlineStr">
        <is>
          <t>Mining chemicals</t>
        </is>
      </c>
      <c r="D253" s="38" t="inlineStr">
        <is>
          <t>Flotation reagents</t>
        </is>
      </c>
      <c r="E253" s="38" t="inlineStr">
        <is>
          <t>Frothers</t>
        </is>
      </c>
      <c r="F253" s="45" t="inlineStr">
        <is>
          <t>Mineral flotation frother</t>
        </is>
      </c>
      <c r="G253" s="45" t="inlineStr">
        <is>
          <t>Propylene, C4, MIBC feed</t>
        </is>
      </c>
      <c r="H253" s="44" t="inlineStr">
        <is>
          <t>△</t>
        </is>
      </c>
      <c r="I253" s="45" t="inlineStr">
        <is>
          <t>MIBC, Glycol ether, Alcohol frother</t>
        </is>
      </c>
      <c r="J253" s="45" t="inlineStr">
        <is>
          <t>Olefin/ketone/alcohol chain → Frother</t>
        </is>
      </c>
      <c r="K253" s="194" t="n">
        <v>0.025758560846054</v>
      </c>
      <c r="L253" s="196" t="n"/>
    </row>
    <row r="254">
      <c r="A254" s="46" t="n">
        <v>243</v>
      </c>
      <c r="B254" s="38" t="inlineStr">
        <is>
          <t>Mining chemicals</t>
        </is>
      </c>
      <c r="C254" s="38" t="inlineStr">
        <is>
          <t>Mining chemicals</t>
        </is>
      </c>
      <c r="D254" s="38" t="inlineStr">
        <is>
          <t>Flotation reagents</t>
        </is>
      </c>
      <c r="E254" s="38" t="inlineStr">
        <is>
          <t>Sulfide collectors</t>
        </is>
      </c>
      <c r="F254" s="45" t="inlineStr">
        <is>
          <t>Sulfide ore collector</t>
        </is>
      </c>
      <c r="G254" s="45" t="inlineStr">
        <is>
          <t>Alcohol, CS₂, Phosphorus</t>
        </is>
      </c>
      <c r="H254" s="44" t="inlineStr">
        <is>
          <t>△</t>
        </is>
      </c>
      <c r="I254" s="45" t="inlineStr">
        <is>
          <t>Xanthate, Dithiophosphate</t>
        </is>
      </c>
      <c r="J254" s="45" t="inlineStr">
        <is>
          <t>Alcohol + CS₂/phosphorus chemistry → Sulfide collector</t>
        </is>
      </c>
      <c r="K254" s="194" t="n">
        <v>0.0187700813283682</v>
      </c>
      <c r="L254" s="196" t="n"/>
    </row>
    <row r="255">
      <c r="A255" s="46" t="n">
        <v>244</v>
      </c>
      <c r="B255" s="38" t="inlineStr">
        <is>
          <t>Mining chemicals</t>
        </is>
      </c>
      <c r="C255" s="38" t="inlineStr">
        <is>
          <t>Mining chemicals</t>
        </is>
      </c>
      <c r="D255" s="38" t="inlineStr">
        <is>
          <t>Flotation reagents</t>
        </is>
      </c>
      <c r="E255" s="38" t="inlineStr">
        <is>
          <t>Other collectors</t>
        </is>
      </c>
      <c r="F255" s="45" t="inlineStr">
        <is>
          <t>Oxide/nonmetallic ore collector</t>
        </is>
      </c>
      <c r="G255" s="45" t="inlineStr">
        <is>
          <t>Fatty acid, Amine, Phosphate ester</t>
        </is>
      </c>
      <c r="H255" s="46" t="inlineStr">
        <is>
          <t>-</t>
        </is>
      </c>
      <c r="I255" s="45" t="inlineStr">
        <is>
          <t>Fatty amine, Fatty acid collector</t>
        </is>
      </c>
      <c r="J255" s="45" t="inlineStr">
        <is>
          <t>Oleochemical/amine/phosphate → Collector</t>
        </is>
      </c>
      <c r="K255" s="194" t="n">
        <v>0.026646211792539</v>
      </c>
      <c r="L255" s="196" t="n"/>
    </row>
    <row r="256">
      <c r="A256" s="46" t="n">
        <v>245</v>
      </c>
      <c r="B256" s="38" t="inlineStr">
        <is>
          <t>Mining chemicals</t>
        </is>
      </c>
      <c r="C256" s="38" t="inlineStr">
        <is>
          <t>Mining chemicals</t>
        </is>
      </c>
      <c r="D256" s="38" t="inlineStr">
        <is>
          <t>Flocculants</t>
        </is>
      </c>
      <c r="E256" s="38" t="n"/>
      <c r="F256" s="45" t="inlineStr">
        <is>
          <t>Tailings thickening/dewatering flocculant</t>
        </is>
      </c>
      <c r="G256" s="45" t="inlineStr">
        <is>
          <t>Propylene, Acrylonitrile</t>
        </is>
      </c>
      <c r="H256" s="44" t="inlineStr">
        <is>
          <t>△</t>
        </is>
      </c>
      <c r="I256" s="45" t="inlineStr">
        <is>
          <t>Acrylamide, Polyacrylamide</t>
        </is>
      </c>
      <c r="J256" s="45" t="inlineStr">
        <is>
          <t>Propylene → Acrylonitrile/Acrylamide → Flocculant</t>
        </is>
      </c>
      <c r="K256" s="194" t="n">
        <v>0.0102025307808655</v>
      </c>
      <c r="L256" s="196" t="n"/>
      <c r="M256" s="30" t="inlineStr">
        <is>
          <t>Propylene</t>
        </is>
      </c>
    </row>
    <row r="257">
      <c r="A257" s="46" t="n">
        <v>246</v>
      </c>
      <c r="B257" s="38" t="inlineStr">
        <is>
          <t>Mining chemicals</t>
        </is>
      </c>
      <c r="C257" s="38" t="inlineStr">
        <is>
          <t>Mining chemicals</t>
        </is>
      </c>
      <c r="D257" s="38" t="inlineStr">
        <is>
          <t>Solvent extractants</t>
        </is>
      </c>
      <c r="E257" s="38" t="n"/>
      <c r="F257" s="45" t="inlineStr">
        <is>
          <t>Copper/nickel/uranium solvent extractant</t>
        </is>
      </c>
      <c r="G257" s="45" t="inlineStr">
        <is>
          <t>Benzene, Oxo alcohol, Phosphorus</t>
        </is>
      </c>
      <c r="H257" s="44" t="inlineStr">
        <is>
          <t>△</t>
        </is>
      </c>
      <c r="I257" s="45" t="inlineStr">
        <is>
          <t>Oxime, Phosphoric extractant</t>
        </is>
      </c>
      <c r="J257" s="45" t="inlineStr">
        <is>
          <t>BTX/oxo alcohol/phosphorus → Solvent extractant</t>
        </is>
      </c>
      <c r="K257" s="194" t="n">
        <v>0.0102025307808655</v>
      </c>
      <c r="L257" s="196" t="n"/>
    </row>
    <row r="258">
      <c r="A258" s="46" t="n">
        <v>247</v>
      </c>
      <c r="B258" s="38" t="inlineStr">
        <is>
          <t>Mining chemicals</t>
        </is>
      </c>
      <c r="C258" s="38" t="inlineStr">
        <is>
          <t>Mining chemicals</t>
        </is>
      </c>
      <c r="D258" s="38" t="inlineStr">
        <is>
          <t>Dry grinding aids</t>
        </is>
      </c>
      <c r="E258" s="38" t="n"/>
      <c r="F258" s="45" t="inlineStr">
        <is>
          <t>Cement/mineral dry grinding aid</t>
        </is>
      </c>
      <c r="G258" s="45" t="inlineStr">
        <is>
          <t>EO/PO, Amine</t>
        </is>
      </c>
      <c r="H258" s="44" t="inlineStr">
        <is>
          <t>△</t>
        </is>
      </c>
      <c r="I258" s="45" t="inlineStr">
        <is>
          <t>Glycol, Triethanolamine</t>
        </is>
      </c>
      <c r="J258" s="45" t="inlineStr">
        <is>
          <t>Ethylene/propylene → EO/PO/amine → Grinding aid</t>
        </is>
      </c>
      <c r="K258" s="194" t="n">
        <v>0.0102025307808655</v>
      </c>
      <c r="L258" s="196" t="n"/>
      <c r="M258" s="30" t="inlineStr">
        <is>
          <t>Ethylene, EO, Propylene, PO</t>
        </is>
      </c>
    </row>
    <row r="259">
      <c r="A259" s="46" t="n">
        <v>248</v>
      </c>
      <c r="B259" s="38" t="inlineStr">
        <is>
          <t>Mining chemicals</t>
        </is>
      </c>
      <c r="C259" s="38" t="inlineStr">
        <is>
          <t>Mining chemicals</t>
        </is>
      </c>
      <c r="D259" s="38" t="inlineStr">
        <is>
          <t>Wet grinding aids</t>
        </is>
      </c>
      <c r="E259" s="38" t="n"/>
      <c r="F259" s="45" t="inlineStr">
        <is>
          <t>Mineral slurry wet grinding aid</t>
        </is>
      </c>
      <c r="G259" s="45" t="inlineStr">
        <is>
          <t>Acrylic acid, EO/PO</t>
        </is>
      </c>
      <c r="H259" s="44" t="inlineStr">
        <is>
          <t>△</t>
        </is>
      </c>
      <c r="I259" s="45" t="inlineStr">
        <is>
          <t>Polyacrylate, Dispersant</t>
        </is>
      </c>
      <c r="J259" s="45" t="inlineStr">
        <is>
          <t>Propylene/EO/PO → Dispersant → Wet grinding aid</t>
        </is>
      </c>
      <c r="K259" s="194" t="n">
        <v>0.0102025307808655</v>
      </c>
      <c r="L259" s="196" t="n"/>
      <c r="M259" s="30" t="inlineStr">
        <is>
          <t>EO, Propylene, PO</t>
        </is>
      </c>
    </row>
    <row r="260">
      <c r="A260" s="46" t="n">
        <v>249</v>
      </c>
      <c r="B260" s="38" t="inlineStr">
        <is>
          <t>Mining chemicals</t>
        </is>
      </c>
      <c r="C260" s="38" t="inlineStr">
        <is>
          <t>Mining chemicals</t>
        </is>
      </c>
      <c r="D260" s="38" t="inlineStr">
        <is>
          <t>Rheology modifiers</t>
        </is>
      </c>
      <c r="E260" s="38" t="n"/>
      <c r="F260" s="45" t="inlineStr">
        <is>
          <t>Slurry rheology modifier</t>
        </is>
      </c>
      <c r="G260" s="45" t="inlineStr">
        <is>
          <t>Acrylic acid, Natural gum</t>
        </is>
      </c>
      <c r="H260" s="44" t="inlineStr">
        <is>
          <t>△</t>
        </is>
      </c>
      <c r="I260" s="45" t="inlineStr">
        <is>
          <t>Polyacrylate, Cellulose ether, Xanthan</t>
        </is>
      </c>
      <c r="J260" s="45" t="inlineStr">
        <is>
          <t>Acrylic/biopolymer → Rheology modifier</t>
        </is>
      </c>
      <c r="K260" s="194" t="n">
        <v>0.0102025307808655</v>
      </c>
      <c r="L260" s="196" t="n"/>
    </row>
    <row r="261">
      <c r="A261" s="46" t="n">
        <v>250</v>
      </c>
      <c r="B261" s="38" t="inlineStr">
        <is>
          <t>Lubricating oil additives</t>
        </is>
      </c>
      <c r="C261" s="38" t="inlineStr">
        <is>
          <t>Lubricating oil additives</t>
        </is>
      </c>
      <c r="D261" s="38" t="inlineStr">
        <is>
          <t>Dispersants</t>
        </is>
      </c>
      <c r="E261" s="38" t="n"/>
      <c r="F261" s="45" t="inlineStr">
        <is>
          <t>Ashless dispersant for engine oil</t>
        </is>
      </c>
      <c r="G261" s="45" t="inlineStr">
        <is>
          <t>C4, Polybutene, Amine</t>
        </is>
      </c>
      <c r="H261" s="44" t="inlineStr">
        <is>
          <t>△</t>
        </is>
      </c>
      <c r="I261" s="45" t="inlineStr">
        <is>
          <t>PIBSA, Succinimide dispersant</t>
        </is>
      </c>
      <c r="J261" s="45" t="inlineStr">
        <is>
          <t>C4 → PIB → PIBSA + Amine → Dispersant</t>
        </is>
      </c>
      <c r="K261" s="194" t="n">
        <v>0.00703813033353295</v>
      </c>
      <c r="L261" s="196" t="n"/>
      <c r="M261" s="30" t="inlineStr">
        <is>
          <t>PIB</t>
        </is>
      </c>
    </row>
    <row r="262">
      <c r="A262" s="46" t="n">
        <v>251</v>
      </c>
      <c r="B262" s="38" t="inlineStr">
        <is>
          <t>Lubricating oil additives</t>
        </is>
      </c>
      <c r="C262" s="38" t="inlineStr">
        <is>
          <t>Lubricating oil additives</t>
        </is>
      </c>
      <c r="D262" s="38" t="inlineStr">
        <is>
          <t>Detergents</t>
        </is>
      </c>
      <c r="E262" s="38" t="n"/>
      <c r="F262" s="45" t="inlineStr">
        <is>
          <t>Metal detergent for engine oil</t>
        </is>
      </c>
      <c r="G262" s="45" t="inlineStr">
        <is>
          <t>Benzene, Olefin, Calcium</t>
        </is>
      </c>
      <c r="H262" s="44" t="inlineStr">
        <is>
          <t>△</t>
        </is>
      </c>
      <c r="I262" s="45" t="inlineStr">
        <is>
          <t>Alkylbenzene sulfonate, Phenate, Salicylate</t>
        </is>
      </c>
      <c r="J262" s="45" t="inlineStr">
        <is>
          <t>Aromatics/olefin + metal base → Detergent additive</t>
        </is>
      </c>
      <c r="K262" s="194" t="n">
        <v>0.00703813033353295</v>
      </c>
      <c r="L262" s="196" t="n"/>
    </row>
    <row r="263">
      <c r="A263" s="46" t="n">
        <v>252</v>
      </c>
      <c r="B263" s="38" t="inlineStr">
        <is>
          <t>Lubricating oil additives</t>
        </is>
      </c>
      <c r="C263" s="38" t="inlineStr">
        <is>
          <t>Lubricating oil additives</t>
        </is>
      </c>
      <c r="D263" s="38" t="inlineStr">
        <is>
          <t>EP/antiwear agents</t>
        </is>
      </c>
      <c r="E263" s="38" t="n"/>
      <c r="F263" s="45" t="inlineStr">
        <is>
          <t>ZDDP / EP antiwear additive</t>
        </is>
      </c>
      <c r="G263" s="45" t="inlineStr">
        <is>
          <t>Alcohol, Phosphorus, Sulfur, Zinc</t>
        </is>
      </c>
      <c r="H263" s="46" t="inlineStr">
        <is>
          <t>-</t>
        </is>
      </c>
      <c r="I263" s="45" t="inlineStr">
        <is>
          <t>ZDDP, Phosphate/sulfurized additive</t>
        </is>
      </c>
      <c r="J263" s="45" t="inlineStr">
        <is>
          <t>Alcohol + P/S/Zn chemistry → Anti-wear additive</t>
        </is>
      </c>
      <c r="K263" s="194" t="n">
        <v>0.00703813033353295</v>
      </c>
      <c r="L263" s="196" t="n"/>
    </row>
    <row r="264">
      <c r="A264" s="46" t="n">
        <v>253</v>
      </c>
      <c r="B264" s="38" t="inlineStr">
        <is>
          <t>Lubricating oil additives</t>
        </is>
      </c>
      <c r="C264" s="38" t="inlineStr">
        <is>
          <t>Lubricating oil additives</t>
        </is>
      </c>
      <c r="D264" s="38" t="inlineStr">
        <is>
          <t>Antioxidants</t>
        </is>
      </c>
      <c r="E264" s="38" t="n"/>
      <c r="F264" s="45" t="inlineStr">
        <is>
          <t>Amine/phenolic antioxidant for lubricants</t>
        </is>
      </c>
      <c r="G264" s="45" t="inlineStr">
        <is>
          <t>Benzene, Propylene</t>
        </is>
      </c>
      <c r="H264" s="44" t="inlineStr">
        <is>
          <t>○</t>
        </is>
      </c>
      <c r="I264" s="45" t="inlineStr">
        <is>
          <t>Alkylated diphenylamine, Hindered phenol</t>
        </is>
      </c>
      <c r="J264" s="45" t="inlineStr">
        <is>
          <t>BTX/propylene → Antioxidant intermediate → LOA antioxidant</t>
        </is>
      </c>
      <c r="K264" s="194" t="n">
        <v>0.00703813033353295</v>
      </c>
      <c r="L264" s="196" t="n"/>
      <c r="M264" s="30" t="inlineStr">
        <is>
          <t>Propylene</t>
        </is>
      </c>
    </row>
    <row r="265">
      <c r="A265" s="46" t="n">
        <v>254</v>
      </c>
      <c r="B265" s="38" t="inlineStr">
        <is>
          <t>Lubricating oil additives</t>
        </is>
      </c>
      <c r="C265" s="38" t="inlineStr">
        <is>
          <t>Lubricating oil additives</t>
        </is>
      </c>
      <c r="D265" s="38" t="inlineStr">
        <is>
          <t>Corrosion inhibitors</t>
        </is>
      </c>
      <c r="E265" s="38" t="n"/>
      <c r="F265" s="45" t="inlineStr">
        <is>
          <t>Rust/corrosion inhibitor</t>
        </is>
      </c>
      <c r="G265" s="45" t="inlineStr">
        <is>
          <t>Fatty acid, Benzene, Nitrogen</t>
        </is>
      </c>
      <c r="H265" s="44" t="inlineStr">
        <is>
          <t>△</t>
        </is>
      </c>
      <c r="I265" s="45" t="inlineStr">
        <is>
          <t>Sulfonate, Amine, Azole derivative</t>
        </is>
      </c>
      <c r="J265" s="45" t="inlineStr">
        <is>
          <t>Oleochemical/BTX/N chemistry → Corrosion inhibitor</t>
        </is>
      </c>
      <c r="K265" s="194" t="n">
        <v>0.00703813033353295</v>
      </c>
      <c r="L265" s="196" t="n"/>
    </row>
    <row r="266">
      <c r="A266" s="46" t="n">
        <v>255</v>
      </c>
      <c r="B266" s="38" t="inlineStr">
        <is>
          <t>Lubricating oil additives</t>
        </is>
      </c>
      <c r="C266" s="38" t="inlineStr">
        <is>
          <t>Lubricating oil additives</t>
        </is>
      </c>
      <c r="D266" s="38" t="inlineStr">
        <is>
          <t>VI improvers</t>
        </is>
      </c>
      <c r="E266" s="38" t="n"/>
      <c r="F266" s="45" t="inlineStr">
        <is>
          <t>Viscosity index improver polymer</t>
        </is>
      </c>
      <c r="G266" s="45" t="inlineStr">
        <is>
          <t>Ethylene, Propylene, Methacrylate</t>
        </is>
      </c>
      <c r="H266" s="44" t="inlineStr">
        <is>
          <t>△</t>
        </is>
      </c>
      <c r="I266" s="45" t="inlineStr">
        <is>
          <t>OCP, PMA, Hydrogenated styrene-diene polymer</t>
        </is>
      </c>
      <c r="J266" s="45" t="inlineStr">
        <is>
          <t>Olefin/acrylate/styrenic chain → VI improver</t>
        </is>
      </c>
      <c r="K266" s="194" t="n">
        <v>0.00703813033353295</v>
      </c>
      <c r="L266" s="196" t="n"/>
    </row>
    <row r="267">
      <c r="A267" s="46" t="n">
        <v>256</v>
      </c>
      <c r="B267" s="38" t="inlineStr">
        <is>
          <t>Lubricating oil additives</t>
        </is>
      </c>
      <c r="C267" s="38" t="inlineStr">
        <is>
          <t>Lubricating oil additives</t>
        </is>
      </c>
      <c r="D267" s="38" t="inlineStr">
        <is>
          <t>Other additives</t>
        </is>
      </c>
      <c r="E267" s="38" t="n"/>
      <c r="F267" s="45" t="inlineStr">
        <is>
          <t>Pour point depressant/friction modifier/defoamer</t>
        </is>
      </c>
      <c r="G267" s="45" t="inlineStr">
        <is>
          <t>Acrylate, Fatty acid, Silicon</t>
        </is>
      </c>
      <c r="H267" s="44" t="inlineStr">
        <is>
          <t>△</t>
        </is>
      </c>
      <c r="I267" s="45" t="inlineStr">
        <is>
          <t>PPD, Friction modifier, Silicone defoamer</t>
        </is>
      </c>
      <c r="J267" s="45" t="inlineStr">
        <is>
          <t>Acrylic/oleochemical/silicone chain → Specialty LOA</t>
        </is>
      </c>
      <c r="K267" s="194" t="n">
        <v>0.00703813033353295</v>
      </c>
      <c r="L267" s="196" t="n"/>
    </row>
    <row r="268">
      <c r="A268" s="46" t="n">
        <v>257</v>
      </c>
      <c r="B268" s="38" t="inlineStr">
        <is>
          <t>Oil field chemicals</t>
        </is>
      </c>
      <c r="C268" s="38" t="inlineStr">
        <is>
          <t>Oil field chemicals</t>
        </is>
      </c>
      <c r="D268" s="38" t="inlineStr">
        <is>
          <t>Drilling fluid additives</t>
        </is>
      </c>
      <c r="E268" s="38" t="inlineStr">
        <is>
          <t>Water-based fluids</t>
        </is>
      </c>
      <c r="F268" s="45" t="inlineStr">
        <is>
          <t>Water-based mud additive</t>
        </is>
      </c>
      <c r="G268" s="45" t="inlineStr">
        <is>
          <t>Propylene, Cellulose, Starch</t>
        </is>
      </c>
      <c r="H268" s="44" t="inlineStr">
        <is>
          <t>△</t>
        </is>
      </c>
      <c r="I268" s="45" t="inlineStr">
        <is>
          <t>PAC, CMC, Polyacrylamide, Xanthan</t>
        </is>
      </c>
      <c r="J268" s="45" t="inlineStr">
        <is>
          <t>Biomass/acrylic chain → Water-based drilling additive</t>
        </is>
      </c>
      <c r="K268" s="194" t="n">
        <v>0.0155944511945081</v>
      </c>
      <c r="L268" s="196" t="n"/>
    </row>
    <row r="269">
      <c r="A269" s="46" t="n">
        <v>258</v>
      </c>
      <c r="B269" s="38" t="inlineStr">
        <is>
          <t>Oil field chemicals</t>
        </is>
      </c>
      <c r="C269" s="38" t="inlineStr">
        <is>
          <t>Oil field chemicals</t>
        </is>
      </c>
      <c r="D269" s="38" t="inlineStr">
        <is>
          <t>Drilling fluid additives</t>
        </is>
      </c>
      <c r="E269" s="38" t="inlineStr">
        <is>
          <t>Oil-based fluids</t>
        </is>
      </c>
      <c r="F269" s="45" t="inlineStr">
        <is>
          <t>Oil-based mud emulsifier/wetting agent</t>
        </is>
      </c>
      <c r="G269" s="45" t="inlineStr">
        <is>
          <t>Base oil, Fatty acid, Amine</t>
        </is>
      </c>
      <c r="H269" s="46" t="inlineStr">
        <is>
          <t>-</t>
        </is>
      </c>
      <c r="I269" s="45" t="inlineStr">
        <is>
          <t>Organophilic clay, Emulsifier, Wetting agent</t>
        </is>
      </c>
      <c r="J269" s="45" t="inlineStr">
        <is>
          <t>Base oil/oleochemical/amine → OBM additive</t>
        </is>
      </c>
      <c r="K269" s="194" t="n">
        <v>0.008526451462820051</v>
      </c>
      <c r="L269" s="196" t="n"/>
    </row>
    <row r="270">
      <c r="A270" s="46" t="n">
        <v>259</v>
      </c>
      <c r="B270" s="38" t="inlineStr">
        <is>
          <t>Oil field chemicals</t>
        </is>
      </c>
      <c r="C270" s="38" t="inlineStr">
        <is>
          <t>Oil field chemicals</t>
        </is>
      </c>
      <c r="D270" s="38" t="inlineStr">
        <is>
          <t>Drilling fluid additives</t>
        </is>
      </c>
      <c r="E270" s="38" t="inlineStr">
        <is>
          <t>Synthetic-based fluidsa</t>
        </is>
      </c>
      <c r="F270" s="45" t="inlineStr">
        <is>
          <t>Synthetic drilling fluid additive</t>
        </is>
      </c>
      <c r="G270" s="45" t="inlineStr">
        <is>
          <t>LAO, Ester, Internal olefin</t>
        </is>
      </c>
      <c r="H270" s="44" t="inlineStr">
        <is>
          <t>△</t>
        </is>
      </c>
      <c r="I270" s="45" t="inlineStr">
        <is>
          <t>Synthetic base fluid, Emulsifier</t>
        </is>
      </c>
      <c r="J270" s="45" t="inlineStr">
        <is>
          <t>Ethylene/olefin/ester → Synthetic drilling fluid</t>
        </is>
      </c>
      <c r="K270" s="194" t="n">
        <v>0.009912568465938239</v>
      </c>
      <c r="L270" s="196" t="n"/>
      <c r="M270" s="30" t="inlineStr">
        <is>
          <t>Ethylene</t>
        </is>
      </c>
    </row>
    <row r="271">
      <c r="A271" s="46" t="n">
        <v>260</v>
      </c>
      <c r="B271" s="38" t="inlineStr">
        <is>
          <t>Oil field chemicals</t>
        </is>
      </c>
      <c r="C271" s="38" t="inlineStr">
        <is>
          <t>Oil field chemicals</t>
        </is>
      </c>
      <c r="D271" s="38" t="inlineStr">
        <is>
          <t>Cementing additives</t>
        </is>
      </c>
      <c r="E271" s="38" t="n"/>
      <c r="F271" s="45" t="inlineStr">
        <is>
          <t>Cement dispersant/retarder/fluid loss additive</t>
        </is>
      </c>
      <c r="G271" s="45" t="inlineStr">
        <is>
          <t>EO/PO, Naphthalene, Cellulose</t>
        </is>
      </c>
      <c r="H271" s="44" t="inlineStr">
        <is>
          <t>△</t>
        </is>
      </c>
      <c r="I271" s="45" t="inlineStr">
        <is>
          <t>Lignosulfonate, PCE, Cellulose ether</t>
        </is>
      </c>
      <c r="J271" s="45" t="inlineStr">
        <is>
          <t>Aromatics/EO/PO/cellulose → Cementing additive</t>
        </is>
      </c>
      <c r="K271" s="194" t="n">
        <v>0.00330376083479766</v>
      </c>
      <c r="L271" s="196" t="n"/>
      <c r="M271" s="30" t="inlineStr">
        <is>
          <t>EO, PO</t>
        </is>
      </c>
    </row>
    <row r="272">
      <c r="A272" s="46" t="n">
        <v>261</v>
      </c>
      <c r="B272" s="38" t="inlineStr">
        <is>
          <t>Oil field chemicals</t>
        </is>
      </c>
      <c r="C272" s="38" t="inlineStr">
        <is>
          <t>Oil field chemicals</t>
        </is>
      </c>
      <c r="D272" s="38" t="inlineStr">
        <is>
          <t>Workover and completion fluid additives</t>
        </is>
      </c>
      <c r="E272" s="38" t="n"/>
      <c r="F272" s="45" t="inlineStr">
        <is>
          <t>Completion brine additive / corrosion inhibitor</t>
        </is>
      </c>
      <c r="G272" s="45" t="inlineStr">
        <is>
          <t>Inorganic salts, Amine, Solvent</t>
        </is>
      </c>
      <c r="H272" s="46" t="inlineStr">
        <is>
          <t>-</t>
        </is>
      </c>
      <c r="I272" s="45" t="inlineStr">
        <is>
          <t>Brine additive, Corrosion inhibitor</t>
        </is>
      </c>
      <c r="J272" s="45" t="inlineStr">
        <is>
          <t>Inorganic salt + amine/solvent → Completion fluid chemical</t>
        </is>
      </c>
      <c r="K272" s="194" t="n">
        <v>0.00330376083479766</v>
      </c>
      <c r="L272" s="196" t="n"/>
    </row>
    <row r="273">
      <c r="A273" s="46" t="n">
        <v>262</v>
      </c>
      <c r="B273" s="38" t="inlineStr">
        <is>
          <t>Oil field chemicals</t>
        </is>
      </c>
      <c r="C273" s="38" t="inlineStr">
        <is>
          <t>Oil field chemicals</t>
        </is>
      </c>
      <c r="D273" s="38" t="inlineStr">
        <is>
          <t>Stimulation chemicals</t>
        </is>
      </c>
      <c r="E273" s="38" t="inlineStr">
        <is>
          <t>Acidizing additives</t>
        </is>
      </c>
      <c r="F273" s="45" t="inlineStr">
        <is>
          <t>Acidizing corrosion inhibitor/diverter</t>
        </is>
      </c>
      <c r="G273" s="45" t="inlineStr">
        <is>
          <t>HCl, Amine, Surfactant feed</t>
        </is>
      </c>
      <c r="H273" s="46" t="inlineStr">
        <is>
          <t>-</t>
        </is>
      </c>
      <c r="I273" s="45" t="inlineStr">
        <is>
          <t>Acid corrosion inhibitor, Surfactant, Diverter</t>
        </is>
      </c>
      <c r="J273" s="45" t="inlineStr">
        <is>
          <t>Inorganic acid + amine/surfactant → Acidizing chemical</t>
        </is>
      </c>
      <c r="K273" s="194" t="n">
        <v>0.00802092477393046</v>
      </c>
      <c r="L273" s="196" t="n"/>
    </row>
    <row r="274">
      <c r="A274" s="46" t="n">
        <v>263</v>
      </c>
      <c r="B274" s="38" t="inlineStr">
        <is>
          <t>Oil field chemicals</t>
        </is>
      </c>
      <c r="C274" s="38" t="inlineStr">
        <is>
          <t>Oil field chemicals</t>
        </is>
      </c>
      <c r="D274" s="38" t="inlineStr">
        <is>
          <t>Stimulation chemicals</t>
        </is>
      </c>
      <c r="E274" s="38" t="inlineStr">
        <is>
          <t>Fracturing additives</t>
        </is>
      </c>
      <c r="F274" s="45" t="inlineStr">
        <is>
          <t>Friction reducer / gelling agent / breaker</t>
        </is>
      </c>
      <c r="G274" s="45" t="inlineStr">
        <is>
          <t>Propylene, Guar, Persulfate</t>
        </is>
      </c>
      <c r="H274" s="44" t="inlineStr">
        <is>
          <t>△</t>
        </is>
      </c>
      <c r="I274" s="45" t="inlineStr">
        <is>
          <t>Polyacrylamide, Guar gum, Breaker</t>
        </is>
      </c>
      <c r="J274" s="45" t="inlineStr">
        <is>
          <t>Acrylic/biopolymer/inorganic → Fracturing additive</t>
        </is>
      </c>
      <c r="K274" s="194" t="n">
        <v>0.0605277101964878</v>
      </c>
      <c r="L274" s="196" t="n"/>
    </row>
    <row r="275">
      <c r="A275" s="46" t="n">
        <v>264</v>
      </c>
      <c r="B275" s="38" t="inlineStr">
        <is>
          <t>Oil field chemicals</t>
        </is>
      </c>
      <c r="C275" s="38" t="inlineStr">
        <is>
          <t>Oil field chemicals</t>
        </is>
      </c>
      <c r="D275" s="38" t="inlineStr">
        <is>
          <t>Oil production chemicals</t>
        </is>
      </c>
      <c r="E275" s="38" t="inlineStr">
        <is>
          <t>Asset integrity</t>
        </is>
      </c>
      <c r="F275" s="45" t="inlineStr">
        <is>
          <t>Corrosion/scale/biocide production chemical</t>
        </is>
      </c>
      <c r="G275" s="45" t="inlineStr">
        <is>
          <t>Amine, Phosphorus, Chlorine</t>
        </is>
      </c>
      <c r="H275" s="46" t="inlineStr">
        <is>
          <t>-</t>
        </is>
      </c>
      <c r="I275" s="45" t="inlineStr">
        <is>
          <t>Corrosion inhibitor, Scale inhibitor, Biocide</t>
        </is>
      </c>
      <c r="J275" s="45" t="inlineStr">
        <is>
          <t>Amine/phosphonate/biocide chain → Asset integrity chemical</t>
        </is>
      </c>
      <c r="K275" s="194" t="n">
        <v>0.00360191079018746</v>
      </c>
      <c r="L275" s="196" t="n"/>
    </row>
    <row r="276">
      <c r="A276" s="46" t="n">
        <v>265</v>
      </c>
      <c r="B276" s="38" t="inlineStr">
        <is>
          <t>Oil field chemicals</t>
        </is>
      </c>
      <c r="C276" s="38" t="inlineStr">
        <is>
          <t>Oil field chemicals</t>
        </is>
      </c>
      <c r="D276" s="38" t="inlineStr">
        <is>
          <t>Oil production chemicals</t>
        </is>
      </c>
      <c r="E276" s="38" t="inlineStr">
        <is>
          <t>Flow assurance</t>
        </is>
      </c>
      <c r="F276" s="45" t="inlineStr">
        <is>
          <t>Demulsifier/wax/asphaltene/hydrate inhibitor</t>
        </is>
      </c>
      <c r="G276" s="45" t="inlineStr">
        <is>
          <t>EO/PO, Methanol, Aromatics</t>
        </is>
      </c>
      <c r="H276" s="44" t="inlineStr">
        <is>
          <t>△</t>
        </is>
      </c>
      <c r="I276" s="45" t="inlineStr">
        <is>
          <t>Demulsifier, MEG/Methanol, Pour point additive</t>
        </is>
      </c>
      <c r="J276" s="45" t="inlineStr">
        <is>
          <t>EO/PO/C1/aromatics → Flow assurance chemical</t>
        </is>
      </c>
      <c r="K276" s="194" t="n">
        <v>-0.00733011621235302</v>
      </c>
      <c r="L276" s="196" t="n"/>
      <c r="M276" s="30" t="inlineStr">
        <is>
          <t>EO, PO</t>
        </is>
      </c>
    </row>
    <row r="277">
      <c r="A277" s="46" t="n">
        <v>266</v>
      </c>
      <c r="B277" s="38" t="inlineStr">
        <is>
          <t>Oil field chemicals</t>
        </is>
      </c>
      <c r="C277" s="38" t="inlineStr">
        <is>
          <t>Oil field chemicals</t>
        </is>
      </c>
      <c r="D277" s="38" t="inlineStr">
        <is>
          <t>Oil production chemicals</t>
        </is>
      </c>
      <c r="E277" s="38" t="inlineStr">
        <is>
          <t>Production maximization</t>
        </is>
      </c>
      <c r="F277" s="45" t="inlineStr">
        <is>
          <t>EOR surfactant/polymer</t>
        </is>
      </c>
      <c r="G277" s="45" t="inlineStr">
        <is>
          <t>Propylene, LAB, Acrylamide</t>
        </is>
      </c>
      <c r="H277" s="44" t="inlineStr">
        <is>
          <t>△</t>
        </is>
      </c>
      <c r="I277" s="45" t="inlineStr">
        <is>
          <t>Surfactant, Polyacrylamide, Alkali</t>
        </is>
      </c>
      <c r="J277" s="45" t="inlineStr">
        <is>
          <t>LAB/acrylamide/alkali → EOR chemical</t>
        </is>
      </c>
      <c r="K277" s="194" t="n">
        <v>0.0142398882288319</v>
      </c>
      <c r="L277" s="196" t="n"/>
      <c r="M277" s="30" t="inlineStr">
        <is>
          <t>LAB</t>
        </is>
      </c>
    </row>
    <row r="278">
      <c r="A278" s="46" t="n">
        <v>267</v>
      </c>
      <c r="B278" s="38" t="inlineStr">
        <is>
          <t>Catalysts</t>
        </is>
      </c>
      <c r="C278" s="54" t="inlineStr">
        <is>
          <t>Petroleum refining/chemical process</t>
        </is>
      </c>
      <c r="D278" s="54" t="inlineStr">
        <is>
          <t>Fluid catalytic cracking (FCC)</t>
        </is>
      </c>
      <c r="E278" s="54" t="n"/>
      <c r="F278" s="55" t="inlineStr">
        <is>
          <t>FCC catalyst/additive</t>
        </is>
      </c>
      <c r="G278" s="55" t="inlineStr">
        <is>
          <t>Silica, Alumina, Rare earths</t>
        </is>
      </c>
      <c r="H278" s="62" t="inlineStr">
        <is>
          <t>-</t>
        </is>
      </c>
      <c r="I278" s="55" t="inlineStr">
        <is>
          <t>Zeolite Y, Matrix, ZSM-5 additive</t>
        </is>
      </c>
      <c r="J278" s="55" t="inlineStr">
        <is>
          <t>Inorganic minerals/rare earth → Zeolite catalyst → FCC</t>
        </is>
      </c>
      <c r="K278" s="194" t="n">
        <v>0.00866812408544471</v>
      </c>
      <c r="L278" s="196" t="n"/>
    </row>
    <row r="279">
      <c r="A279" s="46" t="n">
        <v>268</v>
      </c>
      <c r="B279" s="38" t="inlineStr">
        <is>
          <t>Catalysts</t>
        </is>
      </c>
      <c r="C279" s="54" t="inlineStr">
        <is>
          <t>Petroleum refining/chemical process</t>
        </is>
      </c>
      <c r="D279" s="54" t="inlineStr">
        <is>
          <t>Hydrotreating</t>
        </is>
      </c>
      <c r="E279" s="54" t="n"/>
      <c r="F279" s="55" t="inlineStr">
        <is>
          <t>HDS/HDN hydrotreating catalyst</t>
        </is>
      </c>
      <c r="G279" s="55" t="inlineStr">
        <is>
          <t>Molybdenum, Nickel, Cobalt, Alumina</t>
        </is>
      </c>
      <c r="H279" s="62" t="inlineStr">
        <is>
          <t>-</t>
        </is>
      </c>
      <c r="I279" s="55" t="inlineStr">
        <is>
          <t>CoMo/NiMo on alumina</t>
        </is>
      </c>
      <c r="J279" s="55" t="inlineStr">
        <is>
          <t>Metal salts + Alumina → Hydrotreating catalyst</t>
        </is>
      </c>
      <c r="K279" s="194" t="n">
        <v>0.00135101141096605</v>
      </c>
      <c r="L279" s="196" t="n"/>
    </row>
    <row r="280">
      <c r="A280" s="46" t="n">
        <v>269</v>
      </c>
      <c r="B280" s="38" t="inlineStr">
        <is>
          <t>Catalysts</t>
        </is>
      </c>
      <c r="C280" s="54" t="inlineStr">
        <is>
          <t>Petroleum refining/chemical process</t>
        </is>
      </c>
      <c r="D280" s="54" t="inlineStr">
        <is>
          <t>Hydrocracking</t>
        </is>
      </c>
      <c r="E280" s="54" t="n"/>
      <c r="F280" s="55" t="inlineStr">
        <is>
          <t>Hydrocracking catalyst</t>
        </is>
      </c>
      <c r="G280" s="55" t="inlineStr">
        <is>
          <t>Zeolite, Nickel, Tungsten, Alumina</t>
        </is>
      </c>
      <c r="H280" s="62" t="inlineStr">
        <is>
          <t>-</t>
        </is>
      </c>
      <c r="I280" s="55" t="inlineStr">
        <is>
          <t>NiW/Zeolite bifunctional catalyst</t>
        </is>
      </c>
      <c r="J280" s="55" t="inlineStr">
        <is>
          <t>Zeolite/alumina + metals → Hydrocracking catalyst</t>
        </is>
      </c>
      <c r="K280" s="194" t="n">
        <v>0.00752921728828104</v>
      </c>
      <c r="L280" s="196" t="n"/>
    </row>
    <row r="281">
      <c r="A281" s="46" t="n">
        <v>270</v>
      </c>
      <c r="B281" s="38" t="inlineStr">
        <is>
          <t>Catalysts</t>
        </is>
      </c>
      <c r="C281" s="54" t="inlineStr">
        <is>
          <t>Petroleum refining/chemical process</t>
        </is>
      </c>
      <c r="D281" s="54" t="inlineStr">
        <is>
          <t>Catalytic reforming</t>
        </is>
      </c>
      <c r="E281" s="54" t="n"/>
      <c r="F281" s="55" t="inlineStr">
        <is>
          <t>Reforming catalyst for aromatics/octane</t>
        </is>
      </c>
      <c r="G281" s="55" t="inlineStr">
        <is>
          <t>Platinum, Rhenium, Alumina, Chlorine</t>
        </is>
      </c>
      <c r="H281" s="62" t="inlineStr">
        <is>
          <t>-</t>
        </is>
      </c>
      <c r="I281" s="55" t="inlineStr">
        <is>
          <t>Pt-Re/Alumina catalyst</t>
        </is>
      </c>
      <c r="J281" s="55" t="inlineStr">
        <is>
          <t>Precious metal + Alumina → Reforming catalyst</t>
        </is>
      </c>
      <c r="K281" s="194" t="n">
        <v>-0.00700674577273908</v>
      </c>
      <c r="L281" s="196" t="n"/>
    </row>
    <row r="282">
      <c r="A282" s="46" t="n">
        <v>271</v>
      </c>
      <c r="B282" s="38" t="inlineStr">
        <is>
          <t>Catalysts</t>
        </is>
      </c>
      <c r="C282" s="54" t="inlineStr">
        <is>
          <t>Petroleum refining/chemical process</t>
        </is>
      </c>
      <c r="D282" s="54" t="inlineStr">
        <is>
          <t>Isomerization</t>
        </is>
      </c>
      <c r="E282" s="54" t="n"/>
      <c r="F282" s="55" t="inlineStr">
        <is>
          <t>C5/C6 isomerization catalyst</t>
        </is>
      </c>
      <c r="G282" s="55" t="inlineStr">
        <is>
          <t>Platinum, Chlorinated alumina, Zeolite</t>
        </is>
      </c>
      <c r="H282" s="62" t="inlineStr">
        <is>
          <t>-</t>
        </is>
      </c>
      <c r="I282" s="55" t="inlineStr">
        <is>
          <t>Pt/Alumina or Zeolite catalyst</t>
        </is>
      </c>
      <c r="J282" s="55" t="inlineStr">
        <is>
          <t>Precious metal/inorganic support → Isomerization catalyst</t>
        </is>
      </c>
      <c r="K282" s="194" t="n">
        <v>-0.00984043253911759</v>
      </c>
      <c r="L282" s="196" t="n"/>
    </row>
    <row r="283">
      <c r="A283" s="46" t="n">
        <v>272</v>
      </c>
      <c r="B283" s="38" t="inlineStr">
        <is>
          <t>Catalysts</t>
        </is>
      </c>
      <c r="C283" s="54" t="inlineStr">
        <is>
          <t>Petroleum refining/chemical process</t>
        </is>
      </c>
      <c r="D283" s="54" t="inlineStr">
        <is>
          <t>Other refining catalysts</t>
        </is>
      </c>
      <c r="E283" s="54" t="n"/>
      <c r="F283" s="55" t="inlineStr">
        <is>
          <t>Alkylation, oligomerization, sulfur recovery catalyst</t>
        </is>
      </c>
      <c r="G283" s="55" t="inlineStr">
        <is>
          <t>Zeolite, Acid, Alumina, Titanium</t>
        </is>
      </c>
      <c r="H283" s="62" t="inlineStr">
        <is>
          <t>-</t>
        </is>
      </c>
      <c r="I283" s="55" t="inlineStr">
        <is>
          <t>Solid acid catalyst, Claus catalyst</t>
        </is>
      </c>
      <c r="J283" s="55" t="inlineStr">
        <is>
          <t>Inorganic/zeolite/acid chemistry → Refining catalyst</t>
        </is>
      </c>
      <c r="K283" s="194" t="n">
        <v>0</v>
      </c>
      <c r="L283" s="196" t="n"/>
    </row>
    <row r="284">
      <c r="A284" s="46" t="n">
        <v>273</v>
      </c>
      <c r="B284" s="38" t="inlineStr">
        <is>
          <t>Catalysts</t>
        </is>
      </c>
      <c r="C284" s="47" t="inlineStr">
        <is>
          <t>Emission control</t>
        </is>
      </c>
      <c r="D284" s="47" t="inlineStr">
        <is>
          <t>Gasoline engines</t>
        </is>
      </c>
      <c r="E284" s="47" t="inlineStr">
        <is>
          <t>Gasoline vehicles</t>
        </is>
      </c>
      <c r="F284" s="48" t="inlineStr">
        <is>
          <t>Three-way catalyst for passenger cars</t>
        </is>
      </c>
      <c r="G284" s="48" t="inlineStr">
        <is>
          <t>Platinum, Palladium, Rhodium, Ceria</t>
        </is>
      </c>
      <c r="H284" s="50" t="inlineStr">
        <is>
          <t>-</t>
        </is>
      </c>
      <c r="I284" s="48" t="inlineStr">
        <is>
          <t>PGM washcoat, Ceramic substrate</t>
        </is>
      </c>
      <c r="J284" s="48" t="inlineStr">
        <is>
          <t>PGM + Rare earth oxide + Ceramic substrate → TWC</t>
        </is>
      </c>
      <c r="K284" s="194" t="n">
        <v>-0.0409732414884565</v>
      </c>
      <c r="L284" s="196" t="n"/>
    </row>
    <row r="285">
      <c r="A285" s="46" t="n">
        <v>274</v>
      </c>
      <c r="B285" s="38" t="inlineStr">
        <is>
          <t>Catalysts</t>
        </is>
      </c>
      <c r="C285" s="47" t="inlineStr">
        <is>
          <t>Emission control</t>
        </is>
      </c>
      <c r="D285" s="47" t="inlineStr">
        <is>
          <t>Gasoline engines</t>
        </is>
      </c>
      <c r="E285" s="47" t="inlineStr">
        <is>
          <t>Motorcycles and mopeds</t>
        </is>
      </c>
      <c r="F285" s="48" t="inlineStr">
        <is>
          <t>Small engine oxidation/TWC catalyst</t>
        </is>
      </c>
      <c r="G285" s="48" t="inlineStr">
        <is>
          <t>PGM, Ceramic substrate</t>
        </is>
      </c>
      <c r="H285" s="50" t="inlineStr">
        <is>
          <t>-</t>
        </is>
      </c>
      <c r="I285" s="48" t="inlineStr">
        <is>
          <t>PGM washcoat</t>
        </is>
      </c>
      <c r="J285" s="48" t="inlineStr">
        <is>
          <t>PGM/ceramic → Small engine catalyst</t>
        </is>
      </c>
      <c r="K285" s="194" t="n">
        <v>-0.0409732414884565</v>
      </c>
      <c r="L285" s="196" t="n"/>
    </row>
    <row r="286">
      <c r="A286" s="46" t="n">
        <v>275</v>
      </c>
      <c r="B286" s="38" t="inlineStr">
        <is>
          <t>Catalysts</t>
        </is>
      </c>
      <c r="C286" s="47" t="inlineStr">
        <is>
          <t>Emission control</t>
        </is>
      </c>
      <c r="D286" s="47" t="inlineStr">
        <is>
          <t>Gasoline engines</t>
        </is>
      </c>
      <c r="E286" s="47" t="inlineStr">
        <is>
          <t>Small utility engines</t>
        </is>
      </c>
      <c r="F286" s="48" t="inlineStr">
        <is>
          <t>Small utility engine emission catalyst</t>
        </is>
      </c>
      <c r="G286" s="48" t="inlineStr">
        <is>
          <t>PGM, Alumina, Ceria</t>
        </is>
      </c>
      <c r="H286" s="50" t="inlineStr">
        <is>
          <t>-</t>
        </is>
      </c>
      <c r="I286" s="48" t="inlineStr">
        <is>
          <t>Oxidation catalyst</t>
        </is>
      </c>
      <c r="J286" s="48" t="inlineStr">
        <is>
          <t>PGM/oxide washcoat → Small engine catalyst</t>
        </is>
      </c>
      <c r="K286" s="194" t="n">
        <v>-0.0409732414884565</v>
      </c>
      <c r="L286" s="196" t="n"/>
    </row>
    <row r="287">
      <c r="A287" s="46" t="n">
        <v>276</v>
      </c>
      <c r="B287" s="38" t="inlineStr">
        <is>
          <t>Catalysts</t>
        </is>
      </c>
      <c r="C287" s="47" t="inlineStr">
        <is>
          <t>Emission control</t>
        </is>
      </c>
      <c r="D287" s="47" t="inlineStr">
        <is>
          <t>Diesel engines</t>
        </is>
      </c>
      <c r="E287" s="47" t="inlineStr">
        <is>
          <t>Diesel light-duty vehicles</t>
        </is>
      </c>
      <c r="F287" s="48" t="inlineStr">
        <is>
          <t>DOC/DPF/SCR system catalyst</t>
        </is>
      </c>
      <c r="G287" s="48" t="inlineStr">
        <is>
          <t>Platinum, Palladium, Zeolite, Vanadium</t>
        </is>
      </c>
      <c r="H287" s="50" t="inlineStr">
        <is>
          <t>-</t>
        </is>
      </c>
      <c r="I287" s="48" t="inlineStr">
        <is>
          <t>DOC, DPF, SCR catalyst</t>
        </is>
      </c>
      <c r="J287" s="48" t="inlineStr">
        <is>
          <t>PGM/zeolite/oxide → Diesel emission catalyst</t>
        </is>
      </c>
      <c r="K287" s="194" t="n">
        <v>-0.0409732414884565</v>
      </c>
      <c r="L287" s="196" t="n"/>
    </row>
    <row r="288">
      <c r="A288" s="46" t="n">
        <v>277</v>
      </c>
      <c r="B288" s="38" t="inlineStr">
        <is>
          <t>Catalysts</t>
        </is>
      </c>
      <c r="C288" s="47" t="inlineStr">
        <is>
          <t>Emission control</t>
        </is>
      </c>
      <c r="D288" s="47" t="inlineStr">
        <is>
          <t>Diesel engines</t>
        </is>
      </c>
      <c r="E288" s="47" t="inlineStr">
        <is>
          <t>Medium and heavy-duty diesel vehicles</t>
        </is>
      </c>
      <c r="F288" s="48" t="inlineStr">
        <is>
          <t>Heavy-duty SCR/DOC/DPF catalyst</t>
        </is>
      </c>
      <c r="G288" s="48" t="inlineStr">
        <is>
          <t>Zeolite, Vanadium, Titanium, PGM</t>
        </is>
      </c>
      <c r="H288" s="50" t="inlineStr">
        <is>
          <t>-</t>
        </is>
      </c>
      <c r="I288" s="48" t="inlineStr">
        <is>
          <t>Cu/Fe-zeolite SCR, V₂O₅/TiO₂ SCR</t>
        </is>
      </c>
      <c r="J288" s="48" t="inlineStr">
        <is>
          <t>Zeolite/metal oxide/PGM → Heavy-duty emission catalyst</t>
        </is>
      </c>
      <c r="K288" s="194" t="n">
        <v>-0.0409732414884565</v>
      </c>
      <c r="L288" s="196" t="n"/>
    </row>
    <row r="289">
      <c r="A289" s="46" t="n">
        <v>278</v>
      </c>
      <c r="B289" s="38" t="inlineStr">
        <is>
          <t>Catalysts</t>
        </is>
      </c>
      <c r="C289" s="47" t="inlineStr">
        <is>
          <t>Emission control</t>
        </is>
      </c>
      <c r="D289" s="47" t="inlineStr">
        <is>
          <t>Fossil fuel power plants</t>
        </is>
      </c>
      <c r="E289" s="47" t="n"/>
      <c r="F289" s="48" t="inlineStr">
        <is>
          <t>Stationary SCR catalyst for NOx control</t>
        </is>
      </c>
      <c r="G289" s="48" t="inlineStr">
        <is>
          <t>Titanium, Vanadium, Tungsten, Zeolite</t>
        </is>
      </c>
      <c r="H289" s="50" t="inlineStr">
        <is>
          <t>-</t>
        </is>
      </c>
      <c r="I289" s="48" t="inlineStr">
        <is>
          <t>V₂O₅-WO₃/TiO₂ catalyst, Zeolite SCR</t>
        </is>
      </c>
      <c r="J289" s="48" t="inlineStr">
        <is>
          <t>Ti/V/W oxide or Zeolite → Stationary SCR catalyst</t>
        </is>
      </c>
      <c r="K289" s="194" t="n">
        <v>-0.0409732414884565</v>
      </c>
      <c r="L289" s="196" t="n"/>
    </row>
    <row r="290">
      <c r="A290" s="46" t="n">
        <v>279</v>
      </c>
      <c r="B290" s="38" t="inlineStr">
        <is>
          <t>Catalysts</t>
        </is>
      </c>
      <c r="C290" s="47" t="inlineStr">
        <is>
          <t>Emission control</t>
        </is>
      </c>
      <c r="D290" s="47" t="inlineStr">
        <is>
          <t>Chemical and industrial processes</t>
        </is>
      </c>
      <c r="E290" s="47" t="n"/>
      <c r="F290" s="48" t="inlineStr">
        <is>
          <t>VOC/NOx/CO oxidation catalyst</t>
        </is>
      </c>
      <c r="G290" s="48" t="inlineStr">
        <is>
          <t>Platinum, Palladium, Zeolite, Metal oxides</t>
        </is>
      </c>
      <c r="H290" s="50" t="inlineStr">
        <is>
          <t>-</t>
        </is>
      </c>
      <c r="I290" s="48" t="inlineStr">
        <is>
          <t>Oxidation catalyst, SCR catalyst</t>
        </is>
      </c>
      <c r="J290" s="48" t="inlineStr">
        <is>
          <t>PGM/zeolite/metal oxide → Industrial emission catalyst</t>
        </is>
      </c>
      <c r="K290" s="194" t="n">
        <v>-0.0409732414884565</v>
      </c>
      <c r="L290" s="196" t="n"/>
    </row>
    <row r="291">
      <c r="A291" s="71" t="n">
        <v>280</v>
      </c>
      <c r="B291" s="72" t="inlineStr">
        <is>
          <t>Catalysts</t>
        </is>
      </c>
      <c r="C291" s="73" t="inlineStr">
        <is>
          <t>Emission control</t>
        </is>
      </c>
      <c r="D291" s="73" t="inlineStr">
        <is>
          <t>Other applications</t>
        </is>
      </c>
      <c r="E291" s="73" t="n"/>
      <c r="F291" s="74" t="inlineStr">
        <is>
          <t>Marine/locomotive/off-road emission catalyst</t>
        </is>
      </c>
      <c r="G291" s="74" t="inlineStr">
        <is>
          <t>PGM, Zeolite, Ceramic substrate</t>
        </is>
      </c>
      <c r="H291" s="75" t="inlineStr">
        <is>
          <t>-</t>
        </is>
      </c>
      <c r="I291" s="74" t="inlineStr">
        <is>
          <t>SCR/DOC catalyst</t>
        </is>
      </c>
      <c r="J291" s="74" t="inlineStr">
        <is>
          <t>PGM/zeolite/ceramic → Non-road emission catalyst</t>
        </is>
      </c>
      <c r="K291" s="198" t="n">
        <v>-0.0409732414884565</v>
      </c>
      <c r="L291" s="199" t="n"/>
    </row>
    <row r="292">
      <c r="L292" s="200" t="n"/>
    </row>
  </sheetData>
  <pageMargins left="0.7" right="0.7" top="0.75" bottom="0.75" header="0.3" footer="0.3"/>
  <pageSetup orientation="portrait" paperSize="9" verticalDpi="0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codeName="Sheet9">
    <outlinePr summaryBelow="1" summaryRight="1"/>
    <pageSetUpPr/>
  </sheetPr>
  <dimension ref="A1:M115"/>
  <sheetViews>
    <sheetView tabSelected="1" topLeftCell="A85" zoomScale="85" zoomScaleNormal="85" workbookViewId="0">
      <selection activeCell="F115" sqref="F115"/>
    </sheetView>
  </sheetViews>
  <sheetFormatPr baseColWidth="8" defaultRowHeight="16.5"/>
  <cols>
    <col width="13.5" bestFit="1" customWidth="1" style="179" min="1" max="1"/>
    <col width="17.5" bestFit="1" customWidth="1" style="179" min="2" max="2"/>
    <col width="17.125" bestFit="1" customWidth="1" style="179" min="3" max="3"/>
    <col width="16" customWidth="1" style="179" min="4" max="4"/>
    <col width="26.375" customWidth="1" style="179" min="5" max="5"/>
    <col width="16" customWidth="1" style="179" min="6" max="6"/>
    <col width="12.625" customWidth="1" style="179" min="7" max="7"/>
    <col width="29" customWidth="1" style="179" min="8" max="8"/>
    <col width="4.25" customWidth="1" style="179" min="9" max="9"/>
    <col width="12.125" bestFit="1" customWidth="1" style="179" min="10" max="10"/>
    <col width="12.125" customWidth="1" style="179" min="11" max="12"/>
  </cols>
  <sheetData>
    <row r="1">
      <c r="A1" t="inlineStr">
        <is>
          <t>material_id</t>
        </is>
      </c>
      <c r="B1" t="inlineStr">
        <is>
          <t>material_group</t>
        </is>
      </c>
      <c r="C1" t="inlineStr">
        <is>
          <t>material_name</t>
        </is>
      </c>
      <c r="D1" t="inlineStr">
        <is>
          <t>material_type</t>
        </is>
      </c>
      <c r="E1" t="inlineStr">
        <is>
          <t>material_subtype</t>
        </is>
      </c>
      <c r="F1" t="inlineStr">
        <is>
          <t>vertical_order</t>
        </is>
      </c>
      <c r="G1" t="inlineStr">
        <is>
          <t>hsk10</t>
        </is>
      </c>
      <c r="H1" t="inlineStr">
        <is>
          <t>remarks</t>
        </is>
      </c>
      <c r="I1" t="inlineStr">
        <is>
          <t>visual_exclude</t>
        </is>
      </c>
      <c r="J1" t="inlineStr">
        <is>
          <t>ccma_snp</t>
        </is>
      </c>
      <c r="K1" t="inlineStr">
        <is>
          <t>ceh_ceh</t>
        </is>
      </c>
      <c r="L1" t="inlineStr">
        <is>
          <t>has_supplier</t>
        </is>
      </c>
      <c r="M1" t="inlineStr">
        <is>
          <t>is_ulsan</t>
        </is>
      </c>
    </row>
    <row r="2">
      <c r="A2" t="inlineStr">
        <is>
          <t>M001</t>
        </is>
      </c>
      <c r="B2" t="inlineStr">
        <is>
          <t>Ethylene</t>
        </is>
      </c>
      <c r="C2" s="17" t="inlineStr">
        <is>
          <t>Ethylene</t>
        </is>
      </c>
      <c r="D2" t="inlineStr">
        <is>
          <t>Base chemical</t>
        </is>
      </c>
      <c r="E2" t="inlineStr">
        <is>
          <t>Olefin</t>
        </is>
      </c>
      <c r="F2" t="n">
        <v>2100</v>
      </c>
      <c r="G2" t="n">
        <v>2901210000</v>
      </c>
      <c r="H2" t="inlineStr">
        <is>
          <t>C2=</t>
        </is>
      </c>
      <c r="J2">
        <f>IF(COUNTIF(CCMA[material_name],C2)&gt;0,"O","X")</f>
        <v/>
      </c>
      <c r="K2">
        <f>IF(COUNTIF(CEH[material_name],C2)&gt;0,"O","X")</f>
        <v/>
      </c>
      <c r="L2">
        <f>IF(COUNTIF(표8[material_id],표2[[#This Row],[material_id]])&gt;0, "O", "X")</f>
        <v/>
      </c>
      <c r="M2">
        <f>IF(COUNTIFS(표8[material_id],표2[[#This Row],[material_id]],표8[location],"울산")&gt;0, "O", "X")</f>
        <v/>
      </c>
    </row>
    <row r="3">
      <c r="A3" t="inlineStr">
        <is>
          <t>M002</t>
        </is>
      </c>
      <c r="B3" t="inlineStr">
        <is>
          <t>Ethylene</t>
        </is>
      </c>
      <c r="C3" s="21" t="inlineStr">
        <is>
          <t>HDPE</t>
        </is>
      </c>
      <c r="D3" t="inlineStr">
        <is>
          <t>Polymer</t>
        </is>
      </c>
      <c r="E3" t="inlineStr">
        <is>
          <t>Polyolefin</t>
        </is>
      </c>
      <c r="F3" t="n">
        <v>2110</v>
      </c>
      <c r="G3" t="n">
        <v>3910120000</v>
      </c>
      <c r="J3">
        <f>IF(COUNTIF(CCMA[material_name],C3)&gt;0,"O","X")</f>
        <v/>
      </c>
      <c r="K3">
        <f>IF(COUNTIF(CEH[material_name],C3)&gt;0,"O","X")</f>
        <v/>
      </c>
      <c r="L3">
        <f>IF(COUNTIF(표8[material_id],표2[[#This Row],[material_id]])&gt;0, "O", "X")</f>
        <v/>
      </c>
      <c r="M3">
        <f>IF(COUNTIFS(표8[material_id],표2[[#This Row],[material_id]],표8[location],"울산")&gt;0, "O", "X")</f>
        <v/>
      </c>
    </row>
    <row r="4">
      <c r="A4" t="inlineStr">
        <is>
          <t>M003</t>
        </is>
      </c>
      <c r="B4" t="inlineStr">
        <is>
          <t>Ethylene</t>
        </is>
      </c>
      <c r="C4" s="21" t="inlineStr">
        <is>
          <t>LDPE</t>
        </is>
      </c>
      <c r="D4" t="inlineStr">
        <is>
          <t>Polymer</t>
        </is>
      </c>
      <c r="E4" t="inlineStr">
        <is>
          <t>Polyolefin</t>
        </is>
      </c>
      <c r="F4" t="n">
        <v>2120</v>
      </c>
      <c r="G4" t="n">
        <v>3901109000</v>
      </c>
      <c r="J4">
        <f>IF(COUNTIF(CCMA[material_name],C4)&gt;0,"O","X")</f>
        <v/>
      </c>
      <c r="K4">
        <f>IF(COUNTIF(CEH[material_name],C4)&gt;0,"O","X")</f>
        <v/>
      </c>
      <c r="L4">
        <f>IF(COUNTIF(표8[material_id],표2[[#This Row],[material_id]])&gt;0, "O", "X")</f>
        <v/>
      </c>
      <c r="M4">
        <f>IF(COUNTIFS(표8[material_id],표2[[#This Row],[material_id]],표8[location],"울산")&gt;0, "O", "X")</f>
        <v/>
      </c>
    </row>
    <row r="5">
      <c r="A5" t="inlineStr">
        <is>
          <t>M004</t>
        </is>
      </c>
      <c r="B5" t="inlineStr">
        <is>
          <t>Ethylene</t>
        </is>
      </c>
      <c r="C5" s="21" t="inlineStr">
        <is>
          <t>LLDPE</t>
        </is>
      </c>
      <c r="D5" t="inlineStr">
        <is>
          <t>Polymer</t>
        </is>
      </c>
      <c r="E5" t="inlineStr">
        <is>
          <t>Polyolefin</t>
        </is>
      </c>
      <c r="F5" t="n">
        <v>2130</v>
      </c>
      <c r="G5" t="n">
        <v>3901101000</v>
      </c>
      <c r="J5">
        <f>IF(COUNTIF(CCMA[material_name],C5)&gt;0,"O","X")</f>
        <v/>
      </c>
      <c r="K5">
        <f>IF(COUNTIF(CEH[material_name],C5)&gt;0,"O","X")</f>
        <v/>
      </c>
      <c r="L5">
        <f>IF(COUNTIF(표8[material_id],표2[[#This Row],[material_id]])&gt;0, "O", "X")</f>
        <v/>
      </c>
      <c r="M5">
        <f>IF(COUNTIFS(표8[material_id],표2[[#This Row],[material_id]],표8[location],"울산")&gt;0, "O", "X")</f>
        <v/>
      </c>
    </row>
    <row r="6">
      <c r="A6" t="inlineStr">
        <is>
          <t>M005</t>
        </is>
      </c>
      <c r="B6" t="inlineStr">
        <is>
          <t>Ethylene</t>
        </is>
      </c>
      <c r="C6" s="21" t="inlineStr">
        <is>
          <t>EDC</t>
        </is>
      </c>
      <c r="D6" t="inlineStr">
        <is>
          <t>Intermediate</t>
        </is>
      </c>
      <c r="E6" t="inlineStr">
        <is>
          <t>Chlorinated Intermediate</t>
        </is>
      </c>
      <c r="F6" t="n">
        <v>2200</v>
      </c>
      <c r="G6" t="n">
        <v>2903150000</v>
      </c>
      <c r="H6" t="inlineStr">
        <is>
          <t>Ethylene dichloride</t>
        </is>
      </c>
      <c r="J6">
        <f>IF(COUNTIF(CCMA[material_name],C6)&gt;0,"O","X")</f>
        <v/>
      </c>
      <c r="K6">
        <f>IF(COUNTIF(CEH[material_name],C6)&gt;0,"O","X")</f>
        <v/>
      </c>
      <c r="L6">
        <f>IF(COUNTIF(표8[material_id],표2[[#This Row],[material_id]])&gt;0, "O", "X")</f>
        <v/>
      </c>
      <c r="M6">
        <f>IF(COUNTIFS(표8[material_id],표2[[#This Row],[material_id]],표8[location],"울산")&gt;0, "O", "X")</f>
        <v/>
      </c>
    </row>
    <row r="7">
      <c r="A7" t="inlineStr">
        <is>
          <t>M006</t>
        </is>
      </c>
      <c r="B7" t="inlineStr">
        <is>
          <t>Ethylene</t>
        </is>
      </c>
      <c r="C7" s="21" t="inlineStr">
        <is>
          <t>VCM</t>
        </is>
      </c>
      <c r="D7" t="inlineStr">
        <is>
          <t>Monomer</t>
        </is>
      </c>
      <c r="E7" t="inlineStr">
        <is>
          <t>Vinyl Monomer</t>
        </is>
      </c>
      <c r="F7" t="n">
        <v>2210</v>
      </c>
      <c r="G7" t="n">
        <v>2903210000</v>
      </c>
      <c r="H7" t="inlineStr">
        <is>
          <t>Vinyl chloride monomer</t>
        </is>
      </c>
      <c r="J7">
        <f>IF(COUNTIF(CCMA[material_name],C7)&gt;0,"O","X")</f>
        <v/>
      </c>
      <c r="K7">
        <f>IF(COUNTIF(CEH[material_name],C7)&gt;0,"O","X")</f>
        <v/>
      </c>
      <c r="L7">
        <f>IF(COUNTIF(표8[material_id],표2[[#This Row],[material_id]])&gt;0, "O", "X")</f>
        <v/>
      </c>
      <c r="M7">
        <f>IF(COUNTIFS(표8[material_id],표2[[#This Row],[material_id]],표8[location],"울산")&gt;0, "O", "X")</f>
        <v/>
      </c>
    </row>
    <row r="8">
      <c r="A8" t="inlineStr">
        <is>
          <t>M007</t>
        </is>
      </c>
      <c r="B8" t="inlineStr">
        <is>
          <t>Ethylene</t>
        </is>
      </c>
      <c r="C8" s="21" t="inlineStr">
        <is>
          <t>PVC</t>
        </is>
      </c>
      <c r="D8" t="inlineStr">
        <is>
          <t>Polymer</t>
        </is>
      </c>
      <c r="E8" t="inlineStr">
        <is>
          <t>Vinyl Polymer</t>
        </is>
      </c>
      <c r="F8" t="n">
        <v>2220</v>
      </c>
      <c r="G8" t="n">
        <v>3904100000</v>
      </c>
      <c r="H8" t="inlineStr">
        <is>
          <t>Poly vinyl chloride</t>
        </is>
      </c>
      <c r="J8">
        <f>IF(COUNTIF(CCMA[material_name],C8)&gt;0,"O","X")</f>
        <v/>
      </c>
      <c r="K8">
        <f>IF(COUNTIF(CEH[material_name],C8)&gt;0,"O","X")</f>
        <v/>
      </c>
      <c r="L8">
        <f>IF(COUNTIF(표8[material_id],표2[[#This Row],[material_id]])&gt;0, "O", "X")</f>
        <v/>
      </c>
      <c r="M8">
        <f>IF(COUNTIFS(표8[material_id],표2[[#This Row],[material_id]],표8[location],"울산")&gt;0, "O", "X")</f>
        <v/>
      </c>
    </row>
    <row r="9">
      <c r="A9" t="inlineStr">
        <is>
          <t>M008</t>
        </is>
      </c>
      <c r="B9" t="inlineStr">
        <is>
          <t>Ethylene</t>
        </is>
      </c>
      <c r="C9" s="21" t="inlineStr">
        <is>
          <t>Ethanol</t>
        </is>
      </c>
      <c r="D9" t="inlineStr">
        <is>
          <t>Intermediate</t>
        </is>
      </c>
      <c r="E9" t="inlineStr">
        <is>
          <t>Alcohol</t>
        </is>
      </c>
      <c r="F9" t="n">
        <v>2400</v>
      </c>
      <c r="G9" t="n">
        <v>2207200000</v>
      </c>
      <c r="J9">
        <f>IF(COUNTIF(CCMA[material_name],C9)&gt;0,"O","X")</f>
        <v/>
      </c>
      <c r="K9">
        <f>IF(COUNTIF(CEH[material_name],C9)&gt;0,"O","X")</f>
        <v/>
      </c>
      <c r="L9">
        <f>IF(COUNTIF(표8[material_id],표2[[#This Row],[material_id]])&gt;0, "O", "X")</f>
        <v/>
      </c>
      <c r="M9">
        <f>IF(COUNTIFS(표8[material_id],표2[[#This Row],[material_id]],표8[location],"울산")&gt;0, "O", "X")</f>
        <v/>
      </c>
    </row>
    <row r="10">
      <c r="A10" s="16" t="inlineStr">
        <is>
          <t>M009</t>
        </is>
      </c>
      <c r="B10" s="16" t="inlineStr">
        <is>
          <t>Ethylene</t>
        </is>
      </c>
      <c r="C10" s="16" t="inlineStr">
        <is>
          <t>Ethylamine</t>
        </is>
      </c>
      <c r="D10" s="16" t="inlineStr">
        <is>
          <t>Intermediate</t>
        </is>
      </c>
      <c r="E10" s="16" t="inlineStr">
        <is>
          <t>Amine</t>
        </is>
      </c>
      <c r="F10" s="16" t="n">
        <v>2500</v>
      </c>
      <c r="G10" s="16" t="n"/>
      <c r="H10" s="16" t="inlineStr">
        <is>
          <t>C2 derivative로 보기어려움</t>
        </is>
      </c>
      <c r="I10" s="16" t="inlineStr">
        <is>
          <t>Y</t>
        </is>
      </c>
      <c r="J10" s="16">
        <f>IF(COUNTIF(CCMA[material_name],C10)&gt;0,"O","X")</f>
        <v/>
      </c>
      <c r="K10" s="16">
        <f>IF(COUNTIF(CEH[material_name],C10)&gt;0,"O","X")</f>
        <v/>
      </c>
      <c r="L10" s="16">
        <f>IF(COUNTIF(표8[material_id],표2[[#This Row],[material_id]])&gt;0, "O", "X")</f>
        <v/>
      </c>
      <c r="M10" s="16">
        <f>IF(COUNTIFS(표8[material_id],표2[[#This Row],[material_id]],표8[location],"울산")&gt;0, "O", "X")</f>
        <v/>
      </c>
    </row>
    <row r="11">
      <c r="A11" t="inlineStr">
        <is>
          <t>M010</t>
        </is>
      </c>
      <c r="B11" t="inlineStr">
        <is>
          <t>Ethylene</t>
        </is>
      </c>
      <c r="C11" s="21" t="inlineStr">
        <is>
          <t>Ethyl acetate</t>
        </is>
      </c>
      <c r="D11" t="inlineStr">
        <is>
          <t>Intermediate</t>
        </is>
      </c>
      <c r="E11" t="inlineStr">
        <is>
          <t>Acetate Ester</t>
        </is>
      </c>
      <c r="F11" t="n">
        <v>2420</v>
      </c>
      <c r="G11" t="n">
        <v>2915310000</v>
      </c>
      <c r="J11">
        <f>IF(COUNTIF(CCMA[material_name],C11)&gt;0,"O","X")</f>
        <v/>
      </c>
      <c r="K11">
        <f>IF(COUNTIF(CEH[material_name],C11)&gt;0,"O","X")</f>
        <v/>
      </c>
      <c r="L11">
        <f>IF(COUNTIF(표8[material_id],표2[[#This Row],[material_id]])&gt;0, "O", "X")</f>
        <v/>
      </c>
      <c r="M11">
        <f>IF(COUNTIFS(표8[material_id],표2[[#This Row],[material_id]],표8[location],"울산")&gt;0, "O", "X")</f>
        <v/>
      </c>
    </row>
    <row r="12">
      <c r="A12" s="16" t="inlineStr">
        <is>
          <t>M011</t>
        </is>
      </c>
      <c r="B12" s="16" t="inlineStr">
        <is>
          <t>Propylene</t>
        </is>
      </c>
      <c r="C12" s="16" t="inlineStr">
        <is>
          <t>Ethyl acrylate</t>
        </is>
      </c>
      <c r="D12" s="16" t="inlineStr">
        <is>
          <t>Intermediate</t>
        </is>
      </c>
      <c r="E12" s="16" t="inlineStr">
        <is>
          <t>Acrylate Ester</t>
        </is>
      </c>
      <c r="F12" s="16" t="n">
        <v>2510</v>
      </c>
      <c r="G12" s="16" t="n">
        <v>2916121000</v>
      </c>
      <c r="H12" s="16" t="inlineStr">
        <is>
          <t>AA derivative이며 Acrylate ester 중 하나</t>
        </is>
      </c>
      <c r="I12" s="16" t="inlineStr">
        <is>
          <t>Y</t>
        </is>
      </c>
      <c r="J12" s="16">
        <f>IF(COUNTIF(CCMA[material_name],C12)&gt;0,"O","X")</f>
        <v/>
      </c>
      <c r="K12" s="16">
        <f>IF(COUNTIF(CEH[material_name],C12)&gt;0,"O","X")</f>
        <v/>
      </c>
      <c r="L12" s="16">
        <f>IF(COUNTIF(표8[material_id],표2[[#This Row],[material_id]])&gt;0, "O", "X")</f>
        <v/>
      </c>
      <c r="M12" s="16">
        <f>IF(COUNTIFS(표8[material_id],표2[[#This Row],[material_id]],표8[location],"울산")&gt;0, "O", "X")</f>
        <v/>
      </c>
    </row>
    <row r="13">
      <c r="A13" t="inlineStr">
        <is>
          <t>M012</t>
        </is>
      </c>
      <c r="B13" t="inlineStr">
        <is>
          <t>Ethylene</t>
        </is>
      </c>
      <c r="C13" s="21" t="inlineStr">
        <is>
          <t>EO</t>
        </is>
      </c>
      <c r="D13" t="inlineStr">
        <is>
          <t>Intermediate</t>
        </is>
      </c>
      <c r="E13" t="inlineStr">
        <is>
          <t>Epoxide</t>
        </is>
      </c>
      <c r="F13" t="n">
        <v>2300</v>
      </c>
      <c r="G13" t="n">
        <v>2910100000</v>
      </c>
      <c r="H13" t="inlineStr">
        <is>
          <t>Ethylene oxide</t>
        </is>
      </c>
      <c r="J13">
        <f>IF(COUNTIF(CCMA[material_name],C13)&gt;0,"O","X")</f>
        <v/>
      </c>
      <c r="K13">
        <f>IF(COUNTIF(CEH[material_name],C13)&gt;0,"O","X")</f>
        <v/>
      </c>
      <c r="L13">
        <f>IF(COUNTIF(표8[material_id],표2[[#This Row],[material_id]])&gt;0, "O", "X")</f>
        <v/>
      </c>
      <c r="M13">
        <f>IF(COUNTIFS(표8[material_id],표2[[#This Row],[material_id]],표8[location],"울산")&gt;0, "O", "X")</f>
        <v/>
      </c>
    </row>
    <row r="14">
      <c r="A14" t="inlineStr">
        <is>
          <t>M013</t>
        </is>
      </c>
      <c r="B14" t="inlineStr">
        <is>
          <t>Ethylene</t>
        </is>
      </c>
      <c r="C14" s="21" t="inlineStr">
        <is>
          <t>Ethanolamines</t>
        </is>
      </c>
      <c r="D14" t="inlineStr">
        <is>
          <t>Functional Material</t>
        </is>
      </c>
      <c r="E14" t="inlineStr">
        <is>
          <t>Amine Derivatives</t>
        </is>
      </c>
      <c r="F14" t="n">
        <v>2310</v>
      </c>
      <c r="I14" t="inlineStr">
        <is>
          <t>Y</t>
        </is>
      </c>
      <c r="J14">
        <f>IF(COUNTIF(CCMA[material_name],C14)&gt;0,"O","X")</f>
        <v/>
      </c>
      <c r="K14">
        <f>IF(COUNTIF(CEH[material_name],C14)&gt;0,"O","X")</f>
        <v/>
      </c>
      <c r="L14">
        <f>IF(COUNTIF(표8[material_id],표2[[#This Row],[material_id]])&gt;0, "O", "X")</f>
        <v/>
      </c>
      <c r="M14">
        <f>IF(COUNTIFS(표8[material_id],표2[[#This Row],[material_id]],표8[location],"울산")&gt;0, "O", "X")</f>
        <v/>
      </c>
    </row>
    <row r="15">
      <c r="A15" t="inlineStr">
        <is>
          <t>M014</t>
        </is>
      </c>
      <c r="B15" t="inlineStr">
        <is>
          <t>Ethylene</t>
        </is>
      </c>
      <c r="C15" s="21" t="inlineStr">
        <is>
          <t>MEA</t>
        </is>
      </c>
      <c r="D15" t="inlineStr">
        <is>
          <t>Intermediate</t>
        </is>
      </c>
      <c r="E15" t="inlineStr">
        <is>
          <t>Ethanolamine</t>
        </is>
      </c>
      <c r="F15" t="n">
        <v>2320</v>
      </c>
      <c r="G15" t="n">
        <v>2922111000</v>
      </c>
      <c r="H15" t="inlineStr">
        <is>
          <t>Monoethanolamine</t>
        </is>
      </c>
      <c r="J15">
        <f>IF(COUNTIF(CCMA[material_name],C15)&gt;0,"O","X")</f>
        <v/>
      </c>
      <c r="K15">
        <f>IF(COUNTIF(CEH[material_name],C15)&gt;0,"O","X")</f>
        <v/>
      </c>
      <c r="L15">
        <f>IF(COUNTIF(표8[material_id],표2[[#This Row],[material_id]])&gt;0, "O", "X")</f>
        <v/>
      </c>
      <c r="M15">
        <f>IF(COUNTIFS(표8[material_id],표2[[#This Row],[material_id]],표8[location],"울산")&gt;0, "O", "X")</f>
        <v/>
      </c>
    </row>
    <row r="16">
      <c r="A16" t="inlineStr">
        <is>
          <t>M015</t>
        </is>
      </c>
      <c r="B16" t="inlineStr">
        <is>
          <t>Ethylene</t>
        </is>
      </c>
      <c r="C16" s="21" t="inlineStr">
        <is>
          <t>DEA</t>
        </is>
      </c>
      <c r="D16" t="inlineStr">
        <is>
          <t>Intermediate</t>
        </is>
      </c>
      <c r="E16" t="inlineStr">
        <is>
          <t>Ethanolamine</t>
        </is>
      </c>
      <c r="F16" t="n">
        <v>2330</v>
      </c>
      <c r="G16" t="n">
        <v>2922121000</v>
      </c>
      <c r="H16" t="inlineStr">
        <is>
          <t>Diethanolamine</t>
        </is>
      </c>
      <c r="J16">
        <f>IF(COUNTIF(CCMA[material_name],C16)&gt;0,"O","X")</f>
        <v/>
      </c>
      <c r="K16">
        <f>IF(COUNTIF(CEH[material_name],C16)&gt;0,"O","X")</f>
        <v/>
      </c>
      <c r="L16">
        <f>IF(COUNTIF(표8[material_id],표2[[#This Row],[material_id]])&gt;0, "O", "X")</f>
        <v/>
      </c>
      <c r="M16">
        <f>IF(COUNTIFS(표8[material_id],표2[[#This Row],[material_id]],표8[location],"울산")&gt;0, "O", "X")</f>
        <v/>
      </c>
    </row>
    <row r="17">
      <c r="A17" t="inlineStr">
        <is>
          <t>M016</t>
        </is>
      </c>
      <c r="B17" t="inlineStr">
        <is>
          <t>Ethylene</t>
        </is>
      </c>
      <c r="C17" s="21" t="inlineStr">
        <is>
          <t>TEA</t>
        </is>
      </c>
      <c r="D17" t="inlineStr">
        <is>
          <t>Intermediate</t>
        </is>
      </c>
      <c r="E17" t="inlineStr">
        <is>
          <t>Ethanolamine</t>
        </is>
      </c>
      <c r="F17" t="n">
        <v>2340</v>
      </c>
      <c r="G17" t="n">
        <v>2922150000</v>
      </c>
      <c r="H17" t="inlineStr">
        <is>
          <t>Triethanolamine</t>
        </is>
      </c>
      <c r="J17">
        <f>IF(COUNTIF(CCMA[material_name],C17)&gt;0,"O","X")</f>
        <v/>
      </c>
      <c r="K17">
        <f>IF(COUNTIF(CEH[material_name],C17)&gt;0,"O","X")</f>
        <v/>
      </c>
      <c r="L17">
        <f>IF(COUNTIF(표8[material_id],표2[[#This Row],[material_id]])&gt;0, "O", "X")</f>
        <v/>
      </c>
      <c r="M17">
        <f>IF(COUNTIFS(표8[material_id],표2[[#This Row],[material_id]],표8[location],"울산")&gt;0, "O", "X")</f>
        <v/>
      </c>
    </row>
    <row r="18">
      <c r="A18" t="inlineStr">
        <is>
          <t>M017</t>
        </is>
      </c>
      <c r="B18" t="inlineStr">
        <is>
          <t>Ethylene</t>
        </is>
      </c>
      <c r="C18" s="21" t="inlineStr">
        <is>
          <t>MEG</t>
        </is>
      </c>
      <c r="D18" t="inlineStr">
        <is>
          <t>Intermediate</t>
        </is>
      </c>
      <c r="E18" t="inlineStr">
        <is>
          <t>Glycol</t>
        </is>
      </c>
      <c r="F18" t="n">
        <v>2380</v>
      </c>
      <c r="G18" t="n">
        <v>2905310000</v>
      </c>
      <c r="H18" t="inlineStr">
        <is>
          <t>Monoethyleneglycol</t>
        </is>
      </c>
      <c r="J18">
        <f>IF(COUNTIF(CCMA[material_name],C18)&gt;0,"O","X")</f>
        <v/>
      </c>
      <c r="K18">
        <f>IF(COUNTIF(CEH[material_name],C18)&gt;0,"O","X")</f>
        <v/>
      </c>
      <c r="L18">
        <f>IF(COUNTIF(표8[material_id],표2[[#This Row],[material_id]])&gt;0, "O", "X")</f>
        <v/>
      </c>
      <c r="M18">
        <f>IF(COUNTIFS(표8[material_id],표2[[#This Row],[material_id]],표8[location],"울산")&gt;0, "O", "X")</f>
        <v/>
      </c>
    </row>
    <row r="19">
      <c r="A19" t="inlineStr">
        <is>
          <t>M018</t>
        </is>
      </c>
      <c r="B19" t="inlineStr">
        <is>
          <t>Ethylene</t>
        </is>
      </c>
      <c r="C19" s="17" t="inlineStr">
        <is>
          <t>Acetaldehyde</t>
        </is>
      </c>
      <c r="D19" t="inlineStr">
        <is>
          <t>Intermediate</t>
        </is>
      </c>
      <c r="E19" t="inlineStr">
        <is>
          <t>Aldehyde</t>
        </is>
      </c>
      <c r="F19" t="n">
        <v>2410</v>
      </c>
      <c r="G19" t="n">
        <v>2912120000</v>
      </c>
      <c r="I19" t="inlineStr">
        <is>
          <t>Y</t>
        </is>
      </c>
      <c r="J19">
        <f>IF(COUNTIF(CCMA[material_name],C19)&gt;0,"O","X")</f>
        <v/>
      </c>
      <c r="K19">
        <f>IF(COUNTIF(CEH[material_name],C19)&gt;0,"O","X")</f>
        <v/>
      </c>
      <c r="L19">
        <f>IF(COUNTIF(표8[material_id],표2[[#This Row],[material_id]])&gt;0, "O", "X")</f>
        <v/>
      </c>
      <c r="M19">
        <f>IF(COUNTIFS(표8[material_id],표2[[#This Row],[material_id]],표8[location],"울산")&gt;0, "O", "X")</f>
        <v/>
      </c>
    </row>
    <row r="20">
      <c r="A20" t="inlineStr">
        <is>
          <t>M019</t>
        </is>
      </c>
      <c r="B20" t="inlineStr">
        <is>
          <t>Ethylene</t>
        </is>
      </c>
      <c r="C20" s="21" t="inlineStr">
        <is>
          <t>VAM</t>
        </is>
      </c>
      <c r="D20" t="inlineStr">
        <is>
          <t>Monomer</t>
        </is>
      </c>
      <c r="E20" t="inlineStr">
        <is>
          <t>Acetate Monomer</t>
        </is>
      </c>
      <c r="F20" t="n">
        <v>2600</v>
      </c>
      <c r="G20" t="n">
        <v>2915320000</v>
      </c>
      <c r="H20" t="inlineStr">
        <is>
          <t>Vinyl acetate monomer</t>
        </is>
      </c>
      <c r="J20">
        <f>IF(COUNTIF(CCMA[material_name],C20)&gt;0,"O","X")</f>
        <v/>
      </c>
      <c r="K20">
        <f>IF(COUNTIF(CEH[material_name],C20)&gt;0,"O","X")</f>
        <v/>
      </c>
      <c r="L20">
        <f>IF(COUNTIF(표8[material_id],표2[[#This Row],[material_id]])&gt;0, "O", "X")</f>
        <v/>
      </c>
      <c r="M20">
        <f>IF(COUNTIFS(표8[material_id],표2[[#This Row],[material_id]],표8[location],"울산")&gt;0, "O", "X")</f>
        <v/>
      </c>
    </row>
    <row r="21">
      <c r="A21" t="inlineStr">
        <is>
          <t>M020</t>
        </is>
      </c>
      <c r="B21" t="inlineStr">
        <is>
          <t>Propylene</t>
        </is>
      </c>
      <c r="C21" s="17" t="inlineStr">
        <is>
          <t>Propylene</t>
        </is>
      </c>
      <c r="D21" t="inlineStr">
        <is>
          <t>Base chemical</t>
        </is>
      </c>
      <c r="E21" t="inlineStr">
        <is>
          <t>Olefin</t>
        </is>
      </c>
      <c r="F21" t="n">
        <v>3100</v>
      </c>
      <c r="G21" t="n">
        <v>2901220000</v>
      </c>
      <c r="H21" t="inlineStr">
        <is>
          <t>C3=</t>
        </is>
      </c>
      <c r="J21">
        <f>IF(COUNTIF(CCMA[material_name],C21)&gt;0,"O","X")</f>
        <v/>
      </c>
      <c r="K21">
        <f>IF(COUNTIF(CEH[material_name],C21)&gt;0,"O","X")</f>
        <v/>
      </c>
      <c r="L21">
        <f>IF(COUNTIF(표8[material_id],표2[[#This Row],[material_id]])&gt;0, "O", "X")</f>
        <v/>
      </c>
      <c r="M21">
        <f>IF(COUNTIFS(표8[material_id],표2[[#This Row],[material_id]],표8[location],"울산")&gt;0, "O", "X")</f>
        <v/>
      </c>
    </row>
    <row r="22">
      <c r="A22" t="inlineStr">
        <is>
          <t>M021</t>
        </is>
      </c>
      <c r="B22" t="inlineStr">
        <is>
          <t>Propylene</t>
        </is>
      </c>
      <c r="C22" s="21" t="inlineStr">
        <is>
          <t>AN</t>
        </is>
      </c>
      <c r="D22" t="inlineStr">
        <is>
          <t>Monomer</t>
        </is>
      </c>
      <c r="E22" t="inlineStr">
        <is>
          <t>Nitrile Monomer</t>
        </is>
      </c>
      <c r="F22" t="n">
        <v>3200</v>
      </c>
      <c r="G22" t="n">
        <v>2926100000</v>
      </c>
      <c r="H22" t="inlineStr">
        <is>
          <t>Acrylonitrile</t>
        </is>
      </c>
      <c r="J22">
        <f>IF(COUNTIF(CCMA[material_name],C22)&gt;0,"O","X")</f>
        <v/>
      </c>
      <c r="K22">
        <f>IF(COUNTIF(CEH[material_name],C22)&gt;0,"O","X")</f>
        <v/>
      </c>
      <c r="L22">
        <f>IF(COUNTIF(표8[material_id],표2[[#This Row],[material_id]])&gt;0, "O", "X")</f>
        <v/>
      </c>
      <c r="M22">
        <f>IF(COUNTIFS(표8[material_id],표2[[#This Row],[material_id]],표8[location],"울산")&gt;0, "O", "X")</f>
        <v/>
      </c>
    </row>
    <row r="23">
      <c r="A23" t="inlineStr">
        <is>
          <t>M022</t>
        </is>
      </c>
      <c r="B23" t="inlineStr">
        <is>
          <t>Propylene</t>
        </is>
      </c>
      <c r="C23" s="21" t="inlineStr">
        <is>
          <t>ABS</t>
        </is>
      </c>
      <c r="D23" t="inlineStr">
        <is>
          <t>Polymer</t>
        </is>
      </c>
      <c r="E23" t="inlineStr">
        <is>
          <t>Styrenic Resin</t>
        </is>
      </c>
      <c r="F23" t="n">
        <v>3210</v>
      </c>
      <c r="G23" t="n">
        <v>3903300000</v>
      </c>
      <c r="H23" t="inlineStr">
        <is>
          <t>Acrylonitrile Butadiene Stryrene</t>
        </is>
      </c>
      <c r="J23">
        <f>IF(COUNTIF(CCMA[material_name],C23)&gt;0,"O","X")</f>
        <v/>
      </c>
      <c r="K23">
        <f>IF(COUNTIF(CEH[material_name],C23)&gt;0,"O","X")</f>
        <v/>
      </c>
      <c r="L23">
        <f>IF(COUNTIF(표8[material_id],표2[[#This Row],[material_id]])&gt;0, "O", "X")</f>
        <v/>
      </c>
      <c r="M23">
        <f>IF(COUNTIFS(표8[material_id],표2[[#This Row],[material_id]],표8[location],"울산")&gt;0, "O", "X")</f>
        <v/>
      </c>
    </row>
    <row r="24">
      <c r="A24" t="inlineStr">
        <is>
          <t>M023</t>
        </is>
      </c>
      <c r="B24" t="inlineStr">
        <is>
          <t>Propylene</t>
        </is>
      </c>
      <c r="C24" s="21" t="inlineStr">
        <is>
          <t>SAN</t>
        </is>
      </c>
      <c r="D24" t="inlineStr">
        <is>
          <t>Polymer</t>
        </is>
      </c>
      <c r="E24" t="inlineStr">
        <is>
          <t>Styrenic Resin</t>
        </is>
      </c>
      <c r="F24" t="n">
        <v>3220</v>
      </c>
      <c r="G24" t="n">
        <v>3903200000</v>
      </c>
      <c r="H24" t="inlineStr">
        <is>
          <t>Styrene Acrylonitrile</t>
        </is>
      </c>
      <c r="I24" t="inlineStr">
        <is>
          <t>Y</t>
        </is>
      </c>
      <c r="J24">
        <f>IF(COUNTIF(CCMA[material_name],C24)&gt;0,"O","X")</f>
        <v/>
      </c>
      <c r="K24">
        <f>IF(COUNTIF(CEH[material_name],C24)&gt;0,"O","X")</f>
        <v/>
      </c>
      <c r="L24">
        <f>IF(COUNTIF(표8[material_id],표2[[#This Row],[material_id]])&gt;0, "O", "X")</f>
        <v/>
      </c>
      <c r="M24">
        <f>IF(COUNTIFS(표8[material_id],표2[[#This Row],[material_id]],표8[location],"울산")&gt;0, "O", "X")</f>
        <v/>
      </c>
    </row>
    <row r="25">
      <c r="A25" t="inlineStr">
        <is>
          <t>M024</t>
        </is>
      </c>
      <c r="B25" t="inlineStr">
        <is>
          <t>Propylene</t>
        </is>
      </c>
      <c r="C25" s="21" t="inlineStr">
        <is>
          <t>NBR</t>
        </is>
      </c>
      <c r="D25" t="inlineStr">
        <is>
          <t>Polymer</t>
        </is>
      </c>
      <c r="E25" t="inlineStr">
        <is>
          <t>Synthetic Rubber</t>
        </is>
      </c>
      <c r="F25" t="n">
        <v>3230</v>
      </c>
      <c r="G25" t="n">
        <v>4002590000</v>
      </c>
      <c r="H25" t="inlineStr">
        <is>
          <t>Nitrile Butadiene Rubber</t>
        </is>
      </c>
      <c r="J25">
        <f>IF(COUNTIF(CCMA[material_name],C25)&gt;0,"O","X")</f>
        <v/>
      </c>
      <c r="K25">
        <f>IF(COUNTIF(CEH[material_name],C25)&gt;0,"O","X")</f>
        <v/>
      </c>
      <c r="L25">
        <f>IF(COUNTIF(표8[material_id],표2[[#This Row],[material_id]])&gt;0, "O", "X")</f>
        <v/>
      </c>
      <c r="M25">
        <f>IF(COUNTIFS(표8[material_id],표2[[#This Row],[material_id]],표8[location],"울산")&gt;0, "O", "X")</f>
        <v/>
      </c>
    </row>
    <row r="26">
      <c r="A26" t="inlineStr">
        <is>
          <t>M025</t>
        </is>
      </c>
      <c r="B26" t="inlineStr">
        <is>
          <t>Propylene</t>
        </is>
      </c>
      <c r="C26" s="21" t="inlineStr">
        <is>
          <t>PP</t>
        </is>
      </c>
      <c r="D26" t="inlineStr">
        <is>
          <t>Polymer</t>
        </is>
      </c>
      <c r="E26" t="inlineStr">
        <is>
          <t>Polyolefin</t>
        </is>
      </c>
      <c r="F26" t="n">
        <v>3110</v>
      </c>
      <c r="G26" t="n">
        <v>3902100000</v>
      </c>
      <c r="H26" t="inlineStr">
        <is>
          <t>Polypropylene</t>
        </is>
      </c>
      <c r="J26">
        <f>IF(COUNTIF(CCMA[material_name],C26)&gt;0,"O","X")</f>
        <v/>
      </c>
      <c r="K26">
        <f>IF(COUNTIF(CEH[material_name],C26)&gt;0,"O","X")</f>
        <v/>
      </c>
      <c r="L26">
        <f>IF(COUNTIF(표8[material_id],표2[[#This Row],[material_id]])&gt;0, "O", "X")</f>
        <v/>
      </c>
      <c r="M26">
        <f>IF(COUNTIFS(표8[material_id],표2[[#This Row],[material_id]],표8[location],"울산")&gt;0, "O", "X")</f>
        <v/>
      </c>
    </row>
    <row r="27">
      <c r="A27" t="inlineStr">
        <is>
          <t>M026</t>
        </is>
      </c>
      <c r="B27" t="inlineStr">
        <is>
          <t>Propylene</t>
        </is>
      </c>
      <c r="C27" s="21" t="inlineStr">
        <is>
          <t>PO</t>
        </is>
      </c>
      <c r="D27" t="inlineStr">
        <is>
          <t>Intermediate</t>
        </is>
      </c>
      <c r="E27" t="inlineStr">
        <is>
          <t>Epoxide</t>
        </is>
      </c>
      <c r="F27" t="n">
        <v>3300</v>
      </c>
      <c r="G27" t="n">
        <v>2910200000</v>
      </c>
      <c r="H27" t="inlineStr">
        <is>
          <t>Propylene oxide</t>
        </is>
      </c>
      <c r="J27">
        <f>IF(COUNTIF(CCMA[material_name],C27)&gt;0,"O","X")</f>
        <v/>
      </c>
      <c r="K27">
        <f>IF(COUNTIF(CEH[material_name],C27)&gt;0,"O","X")</f>
        <v/>
      </c>
      <c r="L27">
        <f>IF(COUNTIF(표8[material_id],표2[[#This Row],[material_id]])&gt;0, "O", "X")</f>
        <v/>
      </c>
      <c r="M27">
        <f>IF(COUNTIFS(표8[material_id],표2[[#This Row],[material_id]],표8[location],"울산")&gt;0, "O", "X")</f>
        <v/>
      </c>
    </row>
    <row r="28">
      <c r="A28" t="inlineStr">
        <is>
          <t>M027</t>
        </is>
      </c>
      <c r="B28" t="inlineStr">
        <is>
          <t>Propylene</t>
        </is>
      </c>
      <c r="C28" s="21" t="inlineStr">
        <is>
          <t>PG</t>
        </is>
      </c>
      <c r="D28" t="inlineStr">
        <is>
          <t>Intermediate</t>
        </is>
      </c>
      <c r="E28" t="inlineStr">
        <is>
          <t>Glycol</t>
        </is>
      </c>
      <c r="F28" t="n">
        <v>3310</v>
      </c>
      <c r="G28" t="n">
        <v>2905320000</v>
      </c>
      <c r="H28" t="inlineStr">
        <is>
          <t>Propylene glycol</t>
        </is>
      </c>
      <c r="J28">
        <f>IF(COUNTIF(CCMA[material_name],C28)&gt;0,"O","X")</f>
        <v/>
      </c>
      <c r="K28">
        <f>IF(COUNTIF(CEH[material_name],C28)&gt;0,"O","X")</f>
        <v/>
      </c>
      <c r="L28">
        <f>IF(COUNTIF(표8[material_id],표2[[#This Row],[material_id]])&gt;0, "O", "X")</f>
        <v/>
      </c>
      <c r="M28">
        <f>IF(COUNTIFS(표8[material_id],표2[[#This Row],[material_id]],표8[location],"울산")&gt;0, "O", "X")</f>
        <v/>
      </c>
    </row>
    <row r="29">
      <c r="A29" t="inlineStr">
        <is>
          <t>M028</t>
        </is>
      </c>
      <c r="B29" t="inlineStr">
        <is>
          <t>Propylene</t>
        </is>
      </c>
      <c r="C29" s="21" t="inlineStr">
        <is>
          <t>PPG</t>
        </is>
      </c>
      <c r="D29" t="inlineStr">
        <is>
          <t>Functional Material</t>
        </is>
      </c>
      <c r="E29" t="inlineStr">
        <is>
          <t>Polyether Polyol</t>
        </is>
      </c>
      <c r="F29" t="n">
        <v>3320</v>
      </c>
      <c r="G29" t="n">
        <v>3907202000</v>
      </c>
      <c r="H29" t="inlineStr">
        <is>
          <t>Polypropylene glycol</t>
        </is>
      </c>
      <c r="J29">
        <f>IF(COUNTIF(CCMA[material_name],C29)&gt;0,"O","X")</f>
        <v/>
      </c>
      <c r="K29">
        <f>IF(COUNTIF(CEH[material_name],C29)&gt;0,"O","X")</f>
        <v/>
      </c>
      <c r="L29">
        <f>IF(COUNTIF(표8[material_id],표2[[#This Row],[material_id]])&gt;0, "O", "X")</f>
        <v/>
      </c>
      <c r="M29">
        <f>IF(COUNTIFS(표8[material_id],표2[[#This Row],[material_id]],표8[location],"울산")&gt;0, "O", "X")</f>
        <v/>
      </c>
    </row>
    <row r="30">
      <c r="A30" t="inlineStr">
        <is>
          <t>M029</t>
        </is>
      </c>
      <c r="B30" t="inlineStr">
        <is>
          <t>Propylene</t>
        </is>
      </c>
      <c r="C30" s="21" t="inlineStr">
        <is>
          <t>Polyols</t>
        </is>
      </c>
      <c r="D30" t="inlineStr">
        <is>
          <t>Functional Material</t>
        </is>
      </c>
      <c r="E30" t="inlineStr">
        <is>
          <t>Polyol</t>
        </is>
      </c>
      <c r="F30" t="n">
        <v>3330</v>
      </c>
      <c r="H30" t="inlineStr">
        <is>
          <t>Polyether Polyols</t>
        </is>
      </c>
      <c r="J30">
        <f>IF(COUNTIF(CCMA[material_name],C30)&gt;0,"O","X")</f>
        <v/>
      </c>
      <c r="K30">
        <f>IF(COUNTIF(CEH[material_name],C30)&gt;0,"O","X")</f>
        <v/>
      </c>
      <c r="L30">
        <f>IF(COUNTIF(표8[material_id],표2[[#This Row],[material_id]])&gt;0, "O", "X")</f>
        <v/>
      </c>
      <c r="M30">
        <f>IF(COUNTIFS(표8[material_id],표2[[#This Row],[material_id]],표8[location],"울산")&gt;0, "O", "X")</f>
        <v/>
      </c>
    </row>
    <row r="31">
      <c r="A31" t="inlineStr">
        <is>
          <t>M030</t>
        </is>
      </c>
      <c r="B31" t="inlineStr">
        <is>
          <t>Propylene</t>
        </is>
      </c>
      <c r="C31" s="21" t="inlineStr">
        <is>
          <t>PU</t>
        </is>
      </c>
      <c r="D31" t="inlineStr">
        <is>
          <t>Functional Material</t>
        </is>
      </c>
      <c r="E31" t="inlineStr">
        <is>
          <t>Polyurethane System</t>
        </is>
      </c>
      <c r="F31" t="n">
        <v>3340</v>
      </c>
      <c r="G31" t="n">
        <v>3909500000</v>
      </c>
      <c r="H31" t="inlineStr">
        <is>
          <t>Polyurethane(Rigid)</t>
        </is>
      </c>
      <c r="J31">
        <f>IF(COUNTIF(CCMA[material_name],C31)&gt;0,"O","X")</f>
        <v/>
      </c>
      <c r="K31">
        <f>IF(COUNTIF(CEH[material_name],C31)&gt;0,"O","X")</f>
        <v/>
      </c>
      <c r="L31">
        <f>IF(COUNTIF(표8[material_id],표2[[#This Row],[material_id]])&gt;0, "O", "X")</f>
        <v/>
      </c>
      <c r="M31">
        <f>IF(COUNTIFS(표8[material_id],표2[[#This Row],[material_id]],표8[location],"울산")&gt;0, "O", "X")</f>
        <v/>
      </c>
    </row>
    <row r="32">
      <c r="A32" t="inlineStr">
        <is>
          <t>M031</t>
        </is>
      </c>
      <c r="B32" t="inlineStr">
        <is>
          <t>Propylene</t>
        </is>
      </c>
      <c r="C32" s="21" t="inlineStr">
        <is>
          <t>Acrylic acid</t>
        </is>
      </c>
      <c r="D32" t="inlineStr">
        <is>
          <t>Intermediate</t>
        </is>
      </c>
      <c r="E32" t="inlineStr">
        <is>
          <t>Organic Acid</t>
        </is>
      </c>
      <c r="F32" t="n">
        <v>3400</v>
      </c>
      <c r="G32" t="n">
        <v>2916111000</v>
      </c>
      <c r="H32" t="inlineStr">
        <is>
          <t>AA</t>
        </is>
      </c>
      <c r="J32">
        <f>IF(COUNTIF(CCMA[material_name],C32)&gt;0,"O","X")</f>
        <v/>
      </c>
      <c r="K32">
        <f>IF(COUNTIF(CEH[material_name],C32)&gt;0,"O","X")</f>
        <v/>
      </c>
      <c r="L32">
        <f>IF(COUNTIF(표8[material_id],표2[[#This Row],[material_id]])&gt;0, "O", "X")</f>
        <v/>
      </c>
      <c r="M32">
        <f>IF(COUNTIFS(표8[material_id],표2[[#This Row],[material_id]],표8[location],"울산")&gt;0, "O", "X")</f>
        <v/>
      </c>
    </row>
    <row r="33">
      <c r="A33" s="16" t="inlineStr">
        <is>
          <t>M032</t>
        </is>
      </c>
      <c r="B33" s="16" t="inlineStr">
        <is>
          <t>Propylene</t>
        </is>
      </c>
      <c r="C33" s="19" t="inlineStr">
        <is>
          <t>Polyacrylate</t>
        </is>
      </c>
      <c r="D33" s="16" t="inlineStr">
        <is>
          <t>Polymer</t>
        </is>
      </c>
      <c r="E33" s="16" t="inlineStr">
        <is>
          <t>Acrylic Polymer</t>
        </is>
      </c>
      <c r="F33" s="16" t="n">
        <v>3420</v>
      </c>
      <c r="G33" s="16" t="n"/>
      <c r="H33" s="16" t="inlineStr">
        <is>
          <t>Acrylate, SAP과 영역 겹침</t>
        </is>
      </c>
      <c r="I33" s="16" t="inlineStr">
        <is>
          <t>Y</t>
        </is>
      </c>
      <c r="J33" s="16">
        <f>IF(COUNTIF(CCMA[material_name],C33)&gt;0,"O","X")</f>
        <v/>
      </c>
      <c r="K33" s="16">
        <f>IF(COUNTIF(CEH[material_name],C33)&gt;0,"O","X")</f>
        <v/>
      </c>
      <c r="L33" s="16">
        <f>IF(COUNTIF(표8[material_id],표2[[#This Row],[material_id]])&gt;0, "O", "X")</f>
        <v/>
      </c>
      <c r="M33" s="16">
        <f>IF(COUNTIFS(표8[material_id],표2[[#This Row],[material_id]],표8[location],"울산")&gt;0, "O", "X")</f>
        <v/>
      </c>
    </row>
    <row r="34">
      <c r="A34" t="inlineStr">
        <is>
          <t>M033</t>
        </is>
      </c>
      <c r="B34" t="inlineStr">
        <is>
          <t>Propylene</t>
        </is>
      </c>
      <c r="C34" s="21" t="inlineStr">
        <is>
          <t>Acrylate ester</t>
        </is>
      </c>
      <c r="D34" t="inlineStr">
        <is>
          <t>Intermediate</t>
        </is>
      </c>
      <c r="E34" t="inlineStr">
        <is>
          <t>Acrylate Derivative</t>
        </is>
      </c>
      <c r="F34" t="n">
        <v>3410</v>
      </c>
      <c r="J34">
        <f>IF(COUNTIF(CCMA[material_name],C34)&gt;0,"O","X")</f>
        <v/>
      </c>
      <c r="K34">
        <f>IF(COUNTIF(CEH[material_name],C34)&gt;0,"O","X")</f>
        <v/>
      </c>
      <c r="L34">
        <f>IF(COUNTIF(표8[material_id],표2[[#This Row],[material_id]])&gt;0, "O", "X")</f>
        <v/>
      </c>
      <c r="M34">
        <f>IF(COUNTIFS(표8[material_id],표2[[#This Row],[material_id]],표8[location],"울산")&gt;0, "O", "X")</f>
        <v/>
      </c>
    </row>
    <row r="35">
      <c r="A35" t="inlineStr">
        <is>
          <t>M034</t>
        </is>
      </c>
      <c r="B35" t="inlineStr">
        <is>
          <t>Propylene</t>
        </is>
      </c>
      <c r="C35" s="21" t="inlineStr">
        <is>
          <t>SAP</t>
        </is>
      </c>
      <c r="D35" t="inlineStr">
        <is>
          <t>Polymer</t>
        </is>
      </c>
      <c r="E35" t="inlineStr">
        <is>
          <t>Superabsorbent Polymer</t>
        </is>
      </c>
      <c r="F35" t="n">
        <v>3430</v>
      </c>
      <c r="H35" t="inlineStr">
        <is>
          <t>Super Absorbent Polymer</t>
        </is>
      </c>
      <c r="J35">
        <f>IF(COUNTIF(CCMA[material_name],C35)&gt;0,"O","X")</f>
        <v/>
      </c>
      <c r="K35">
        <f>IF(COUNTIF(CEH[material_name],C35)&gt;0,"O","X")</f>
        <v/>
      </c>
      <c r="L35">
        <f>IF(COUNTIF(표8[material_id],표2[[#This Row],[material_id]])&gt;0, "O", "X")</f>
        <v/>
      </c>
      <c r="M35">
        <f>IF(COUNTIFS(표8[material_id],표2[[#This Row],[material_id]],표8[location],"울산")&gt;0, "O", "X")</f>
        <v/>
      </c>
    </row>
    <row r="36">
      <c r="A36" t="inlineStr">
        <is>
          <t>M035</t>
        </is>
      </c>
      <c r="B36" t="inlineStr">
        <is>
          <t>Propylene</t>
        </is>
      </c>
      <c r="C36" s="21" t="inlineStr">
        <is>
          <t>n-Butyraldehyde</t>
        </is>
      </c>
      <c r="D36" t="inlineStr">
        <is>
          <t>Intermediate</t>
        </is>
      </c>
      <c r="E36" t="inlineStr">
        <is>
          <t>Aldehyde</t>
        </is>
      </c>
      <c r="F36" t="n">
        <v>3500</v>
      </c>
      <c r="G36" t="n">
        <v>2912193000</v>
      </c>
      <c r="H36" t="inlineStr">
        <is>
          <t>Oxo chemical</t>
        </is>
      </c>
      <c r="J36">
        <f>IF(COUNTIF(CCMA[material_name],C36)&gt;0,"O","X")</f>
        <v/>
      </c>
      <c r="K36">
        <f>IF(COUNTIF(CEH[material_name],C36)&gt;0,"O","X")</f>
        <v/>
      </c>
      <c r="L36">
        <f>IF(COUNTIF(표8[material_id],표2[[#This Row],[material_id]])&gt;0, "O", "X")</f>
        <v/>
      </c>
      <c r="M36">
        <f>IF(COUNTIFS(표8[material_id],표2[[#This Row],[material_id]],표8[location],"울산")&gt;0, "O", "X")</f>
        <v/>
      </c>
    </row>
    <row r="37">
      <c r="A37" t="inlineStr">
        <is>
          <t>M036</t>
        </is>
      </c>
      <c r="B37" t="inlineStr">
        <is>
          <t>Propylene</t>
        </is>
      </c>
      <c r="C37" s="21" t="inlineStr">
        <is>
          <t>2-Ethylhexanol</t>
        </is>
      </c>
      <c r="D37" t="inlineStr">
        <is>
          <t>Intermediate</t>
        </is>
      </c>
      <c r="E37" t="inlineStr">
        <is>
          <t>Oxo Alcohol</t>
        </is>
      </c>
      <c r="F37" t="n">
        <v>3520</v>
      </c>
      <c r="G37" t="n">
        <v>2905161000</v>
      </c>
      <c r="H37" t="inlineStr">
        <is>
          <t>2-EH(Octanol)</t>
        </is>
      </c>
      <c r="J37">
        <f>IF(COUNTIF(CCMA[material_name],C37)&gt;0,"O","X")</f>
        <v/>
      </c>
      <c r="K37">
        <f>IF(COUNTIF(CEH[material_name],C37)&gt;0,"O","X")</f>
        <v/>
      </c>
      <c r="L37">
        <f>IF(COUNTIF(표8[material_id],표2[[#This Row],[material_id]])&gt;0, "O", "X")</f>
        <v/>
      </c>
      <c r="M37">
        <f>IF(COUNTIFS(표8[material_id],표2[[#This Row],[material_id]],표8[location],"울산")&gt;0, "O", "X")</f>
        <v/>
      </c>
    </row>
    <row r="38">
      <c r="A38" t="inlineStr">
        <is>
          <t>M037</t>
        </is>
      </c>
      <c r="B38" t="inlineStr">
        <is>
          <t>Propylene</t>
        </is>
      </c>
      <c r="C38" s="21" t="inlineStr">
        <is>
          <t>n-Butanol</t>
        </is>
      </c>
      <c r="D38" t="inlineStr">
        <is>
          <t>Intermediate</t>
        </is>
      </c>
      <c r="E38" t="inlineStr">
        <is>
          <t>Oxo Alcohol</t>
        </is>
      </c>
      <c r="F38" t="n">
        <v>3510</v>
      </c>
      <c r="G38" t="n">
        <v>2905130000</v>
      </c>
      <c r="J38">
        <f>IF(COUNTIF(CCMA[material_name],C38)&gt;0,"O","X")</f>
        <v/>
      </c>
      <c r="K38">
        <f>IF(COUNTIF(CEH[material_name],C38)&gt;0,"O","X")</f>
        <v/>
      </c>
      <c r="L38">
        <f>IF(COUNTIF(표8[material_id],표2[[#This Row],[material_id]])&gt;0, "O", "X")</f>
        <v/>
      </c>
      <c r="M38">
        <f>IF(COUNTIFS(표8[material_id],표2[[#This Row],[material_id]],표8[location],"울산")&gt;0, "O", "X")</f>
        <v/>
      </c>
    </row>
    <row r="39">
      <c r="A39" t="inlineStr">
        <is>
          <t>M038</t>
        </is>
      </c>
      <c r="B39" t="inlineStr">
        <is>
          <t>Propylene</t>
        </is>
      </c>
      <c r="C39" s="21" t="inlineStr">
        <is>
          <t>n-Butyl acetate</t>
        </is>
      </c>
      <c r="D39" t="inlineStr">
        <is>
          <t>Intermediate</t>
        </is>
      </c>
      <c r="E39" t="inlineStr">
        <is>
          <t>Acetate Ester</t>
        </is>
      </c>
      <c r="F39" t="n">
        <v>3530</v>
      </c>
      <c r="J39">
        <f>IF(COUNTIF(CCMA[material_name],C39)&gt;0,"O","X")</f>
        <v/>
      </c>
      <c r="K39">
        <f>IF(COUNTIF(CEH[material_name],C39)&gt;0,"O","X")</f>
        <v/>
      </c>
      <c r="L39">
        <f>IF(COUNTIF(표8[material_id],표2[[#This Row],[material_id]])&gt;0, "O", "X")</f>
        <v/>
      </c>
      <c r="M39">
        <f>IF(COUNTIFS(표8[material_id],표2[[#This Row],[material_id]],표8[location],"울산")&gt;0, "O", "X")</f>
        <v/>
      </c>
    </row>
    <row r="40">
      <c r="A40" t="inlineStr">
        <is>
          <t>M039</t>
        </is>
      </c>
      <c r="B40" t="inlineStr">
        <is>
          <t>Propylene</t>
        </is>
      </c>
      <c r="C40" s="21" t="inlineStr">
        <is>
          <t>Isobutanol</t>
        </is>
      </c>
      <c r="D40" t="inlineStr">
        <is>
          <t>Intermediate</t>
        </is>
      </c>
      <c r="E40" t="inlineStr">
        <is>
          <t>Oxo Alcohol</t>
        </is>
      </c>
      <c r="F40" t="n">
        <v>3610</v>
      </c>
      <c r="J40">
        <f>IF(COUNTIF(CCMA[material_name],C40)&gt;0,"O","X")</f>
        <v/>
      </c>
      <c r="K40">
        <f>IF(COUNTIF(CEH[material_name],C40)&gt;0,"O","X")</f>
        <v/>
      </c>
      <c r="L40">
        <f>IF(COUNTIF(표8[material_id],표2[[#This Row],[material_id]])&gt;0, "O", "X")</f>
        <v/>
      </c>
      <c r="M40">
        <f>IF(COUNTIFS(표8[material_id],표2[[#This Row],[material_id]],표8[location],"울산")&gt;0, "O", "X")</f>
        <v/>
      </c>
    </row>
    <row r="41">
      <c r="A41" t="inlineStr">
        <is>
          <t>M040</t>
        </is>
      </c>
      <c r="B41" t="inlineStr">
        <is>
          <t>Propylene</t>
        </is>
      </c>
      <c r="C41" s="21" t="inlineStr">
        <is>
          <t>Isobutyl acetate</t>
        </is>
      </c>
      <c r="D41" t="inlineStr">
        <is>
          <t>Intermediate</t>
        </is>
      </c>
      <c r="E41" t="inlineStr">
        <is>
          <t>Acetate Ester</t>
        </is>
      </c>
      <c r="F41" t="n">
        <v>3620</v>
      </c>
      <c r="J41">
        <f>IF(COUNTIF(CCMA[material_name],C41)&gt;0,"O","X")</f>
        <v/>
      </c>
      <c r="K41">
        <f>IF(COUNTIF(CEH[material_name],C41)&gt;0,"O","X")</f>
        <v/>
      </c>
      <c r="L41">
        <f>IF(COUNTIF(표8[material_id],표2[[#This Row],[material_id]])&gt;0, "O", "X")</f>
        <v/>
      </c>
      <c r="M41">
        <f>IF(COUNTIFS(표8[material_id],표2[[#This Row],[material_id]],표8[location],"울산")&gt;0, "O", "X")</f>
        <v/>
      </c>
    </row>
    <row r="42">
      <c r="A42" t="inlineStr">
        <is>
          <t>M041</t>
        </is>
      </c>
      <c r="B42" t="inlineStr">
        <is>
          <t>Propylene</t>
        </is>
      </c>
      <c r="C42" s="21" t="inlineStr">
        <is>
          <t>IPA</t>
        </is>
      </c>
      <c r="D42" t="inlineStr">
        <is>
          <t>Intermediate</t>
        </is>
      </c>
      <c r="E42" t="inlineStr">
        <is>
          <t>Alcohol</t>
        </is>
      </c>
      <c r="F42" t="n">
        <v>3700</v>
      </c>
      <c r="H42" t="inlineStr">
        <is>
          <t>Isopropanol (propan-2-ol)</t>
        </is>
      </c>
      <c r="J42">
        <f>IF(COUNTIF(CCMA[material_name],C42)&gt;0,"O","X")</f>
        <v/>
      </c>
      <c r="K42">
        <f>IF(COUNTIF(CEH[material_name],C42)&gt;0,"O","X")</f>
        <v/>
      </c>
      <c r="L42">
        <f>IF(COUNTIF(표8[material_id],표2[[#This Row],[material_id]])&gt;0, "O", "X")</f>
        <v/>
      </c>
      <c r="M42">
        <f>IF(COUNTIFS(표8[material_id],표2[[#This Row],[material_id]],표8[location],"울산")&gt;0, "O", "X")</f>
        <v/>
      </c>
    </row>
    <row r="43">
      <c r="A43" t="inlineStr">
        <is>
          <t>M042</t>
        </is>
      </c>
      <c r="B43" t="inlineStr">
        <is>
          <t>Propylene</t>
        </is>
      </c>
      <c r="C43" s="21" t="inlineStr">
        <is>
          <t>Isopropyl acetate</t>
        </is>
      </c>
      <c r="D43" t="inlineStr">
        <is>
          <t>Intermediate</t>
        </is>
      </c>
      <c r="E43" t="inlineStr">
        <is>
          <t>Acetate Ester</t>
        </is>
      </c>
      <c r="F43" t="n">
        <v>3710</v>
      </c>
      <c r="G43" t="inlineStr">
        <is>
          <t> </t>
        </is>
      </c>
      <c r="J43">
        <f>IF(COUNTIF(CCMA[material_name],C43)&gt;0,"O","X")</f>
        <v/>
      </c>
      <c r="K43">
        <f>IF(COUNTIF(CEH[material_name],C43)&gt;0,"O","X")</f>
        <v/>
      </c>
      <c r="L43">
        <f>IF(COUNTIF(표8[material_id],표2[[#This Row],[material_id]])&gt;0, "O", "X")</f>
        <v/>
      </c>
      <c r="M43">
        <f>IF(COUNTIFS(표8[material_id],표2[[#This Row],[material_id]],표8[location],"울산")&gt;0, "O", "X")</f>
        <v/>
      </c>
    </row>
    <row r="44">
      <c r="A44" t="inlineStr">
        <is>
          <t>M043</t>
        </is>
      </c>
      <c r="B44" s="1" t="inlineStr">
        <is>
          <t>C4</t>
        </is>
      </c>
      <c r="C44" s="22" t="inlineStr">
        <is>
          <t>Butadiene</t>
        </is>
      </c>
      <c r="D44" t="inlineStr">
        <is>
          <t>Base chemical</t>
        </is>
      </c>
      <c r="E44" t="inlineStr">
        <is>
          <t>Diolefin</t>
        </is>
      </c>
      <c r="F44" s="1" t="n">
        <v>4100</v>
      </c>
      <c r="G44" t="n">
        <v>2901241000</v>
      </c>
      <c r="H44" t="inlineStr">
        <is>
          <t>BD</t>
        </is>
      </c>
      <c r="J44">
        <f>IF(COUNTIF(CCMA[material_name],C44)&gt;0,"O","X")</f>
        <v/>
      </c>
      <c r="K44">
        <f>IF(COUNTIF(CEH[material_name],C44)&gt;0,"O","X")</f>
        <v/>
      </c>
      <c r="L44">
        <f>IF(COUNTIF(표8[material_id],표2[[#This Row],[material_id]])&gt;0, "O", "X")</f>
        <v/>
      </c>
      <c r="M44">
        <f>IF(COUNTIFS(표8[material_id],표2[[#This Row],[material_id]],표8[location],"울산")&gt;0, "O", "X")</f>
        <v/>
      </c>
    </row>
    <row r="45">
      <c r="A45" t="inlineStr">
        <is>
          <t>M044</t>
        </is>
      </c>
      <c r="B45" s="1" t="inlineStr">
        <is>
          <t>C4</t>
        </is>
      </c>
      <c r="C45" s="22" t="inlineStr">
        <is>
          <t>BR</t>
        </is>
      </c>
      <c r="D45" t="inlineStr">
        <is>
          <t>Polymer</t>
        </is>
      </c>
      <c r="E45" t="inlineStr">
        <is>
          <t>Synthetic Rubber</t>
        </is>
      </c>
      <c r="F45" s="1" t="n">
        <v>4110</v>
      </c>
      <c r="H45" t="inlineStr">
        <is>
          <t>Polybutadiene Rubber</t>
        </is>
      </c>
      <c r="J45">
        <f>IF(COUNTIF(CCMA[material_name],C45)&gt;0,"O","X")</f>
        <v/>
      </c>
      <c r="K45">
        <f>IF(COUNTIF(CEH[material_name],C45)&gt;0,"O","X")</f>
        <v/>
      </c>
      <c r="L45">
        <f>IF(COUNTIF(표8[material_id],표2[[#This Row],[material_id]])&gt;0, "O", "X")</f>
        <v/>
      </c>
      <c r="M45">
        <f>IF(COUNTIFS(표8[material_id],표2[[#This Row],[material_id]],표8[location],"울산")&gt;0, "O", "X")</f>
        <v/>
      </c>
    </row>
    <row r="46">
      <c r="A46" t="inlineStr">
        <is>
          <t>M045</t>
        </is>
      </c>
      <c r="B46" s="1" t="inlineStr">
        <is>
          <t>C4</t>
        </is>
      </c>
      <c r="C46" s="22" t="inlineStr">
        <is>
          <t>SBR</t>
        </is>
      </c>
      <c r="D46" t="inlineStr">
        <is>
          <t>Polymer</t>
        </is>
      </c>
      <c r="E46" t="inlineStr">
        <is>
          <t>Synthetic Rubber</t>
        </is>
      </c>
      <c r="F46" s="1" t="n">
        <v>4120</v>
      </c>
      <c r="G46" t="n">
        <v>3903901000</v>
      </c>
      <c r="J46">
        <f>IF(COUNTIF(CCMA[material_name],C46)&gt;0,"O","X")</f>
        <v/>
      </c>
      <c r="K46">
        <f>IF(COUNTIF(CEH[material_name],C46)&gt;0,"O","X")</f>
        <v/>
      </c>
      <c r="L46">
        <f>IF(COUNTIF(표8[material_id],표2[[#This Row],[material_id]])&gt;0, "O", "X")</f>
        <v/>
      </c>
      <c r="M46">
        <f>IF(COUNTIFS(표8[material_id],표2[[#This Row],[material_id]],표8[location],"울산")&gt;0, "O", "X")</f>
        <v/>
      </c>
    </row>
    <row r="47">
      <c r="A47" t="inlineStr">
        <is>
          <t>M046</t>
        </is>
      </c>
      <c r="B47" s="1" t="inlineStr">
        <is>
          <t>C4</t>
        </is>
      </c>
      <c r="C47" s="22" t="inlineStr">
        <is>
          <t>Isobutylene</t>
        </is>
      </c>
      <c r="D47" t="inlineStr">
        <is>
          <t>Base chemical</t>
        </is>
      </c>
      <c r="E47" t="inlineStr">
        <is>
          <t>Olefin</t>
        </is>
      </c>
      <c r="F47" s="1" t="n">
        <v>4200</v>
      </c>
      <c r="J47">
        <f>IF(COUNTIF(CCMA[material_name],C47)&gt;0,"O","X")</f>
        <v/>
      </c>
      <c r="K47">
        <f>IF(COUNTIF(CEH[material_name],C47)&gt;0,"O","X")</f>
        <v/>
      </c>
      <c r="L47">
        <f>IF(COUNTIF(표8[material_id],표2[[#This Row],[material_id]])&gt;0, "O", "X")</f>
        <v/>
      </c>
      <c r="M47">
        <f>IF(COUNTIFS(표8[material_id],표2[[#This Row],[material_id]],표8[location],"울산")&gt;0, "O", "X")</f>
        <v/>
      </c>
    </row>
    <row r="48">
      <c r="A48" t="inlineStr">
        <is>
          <t>M047</t>
        </is>
      </c>
      <c r="B48" s="1" t="inlineStr">
        <is>
          <t>C4</t>
        </is>
      </c>
      <c r="C48" s="22" t="inlineStr">
        <is>
          <t>PIB</t>
        </is>
      </c>
      <c r="D48" t="inlineStr">
        <is>
          <t>Polymer</t>
        </is>
      </c>
      <c r="E48" t="inlineStr">
        <is>
          <t>Polyolefin Derivative</t>
        </is>
      </c>
      <c r="F48" s="1" t="n">
        <v>4210</v>
      </c>
      <c r="G48" t="n">
        <v>3902200000</v>
      </c>
      <c r="H48" s="1" t="inlineStr">
        <is>
          <t>Polyisobutylene</t>
        </is>
      </c>
      <c r="J48">
        <f>IF(COUNTIF(CCMA[material_name],C48)&gt;0,"O","X")</f>
        <v/>
      </c>
      <c r="K48">
        <f>IF(COUNTIF(CEH[material_name],C48)&gt;0,"O","X")</f>
        <v/>
      </c>
      <c r="L48">
        <f>IF(COUNTIF(표8[material_id],표2[[#This Row],[material_id]])&gt;0, "O", "X")</f>
        <v/>
      </c>
      <c r="M48">
        <f>IF(COUNTIFS(표8[material_id],표2[[#This Row],[material_id]],표8[location],"울산")&gt;0, "O", "X")</f>
        <v/>
      </c>
    </row>
    <row r="49">
      <c r="A49" t="inlineStr">
        <is>
          <t>M048</t>
        </is>
      </c>
      <c r="B49" s="1" t="inlineStr">
        <is>
          <t>C4</t>
        </is>
      </c>
      <c r="C49" s="22" t="inlineStr">
        <is>
          <t>PB-1</t>
        </is>
      </c>
      <c r="D49" t="inlineStr">
        <is>
          <t>Polymer</t>
        </is>
      </c>
      <c r="E49" t="inlineStr">
        <is>
          <t>Polyolefin</t>
        </is>
      </c>
      <c r="F49" s="1" t="n">
        <v>4330</v>
      </c>
      <c r="H49" s="1" t="inlineStr">
        <is>
          <t>Polybutene-1</t>
        </is>
      </c>
      <c r="J49">
        <f>IF(COUNTIF(CCMA[material_name],C49)&gt;0,"O","X")</f>
        <v/>
      </c>
      <c r="K49">
        <f>IF(COUNTIF(CEH[material_name],C49)&gt;0,"O","X")</f>
        <v/>
      </c>
      <c r="L49">
        <f>IF(COUNTIF(표8[material_id],표2[[#This Row],[material_id]])&gt;0, "O", "X")</f>
        <v/>
      </c>
      <c r="M49">
        <f>IF(COUNTIFS(표8[material_id],표2[[#This Row],[material_id]],표8[location],"울산")&gt;0, "O", "X")</f>
        <v/>
      </c>
    </row>
    <row r="50">
      <c r="A50" t="inlineStr">
        <is>
          <t>M049</t>
        </is>
      </c>
      <c r="B50" s="1" t="inlineStr">
        <is>
          <t>C4</t>
        </is>
      </c>
      <c r="C50" s="22" t="inlineStr">
        <is>
          <t>MTBE</t>
        </is>
      </c>
      <c r="D50" t="inlineStr">
        <is>
          <t>Functional Material</t>
        </is>
      </c>
      <c r="E50" t="inlineStr">
        <is>
          <t>Fuel Additive</t>
        </is>
      </c>
      <c r="F50" s="1" t="n">
        <v>4230</v>
      </c>
      <c r="G50" t="n">
        <v>2909192000</v>
      </c>
      <c r="J50">
        <f>IF(COUNTIF(CCMA[material_name],C50)&gt;0,"O","X")</f>
        <v/>
      </c>
      <c r="K50">
        <f>IF(COUNTIF(CEH[material_name],C50)&gt;0,"O","X")</f>
        <v/>
      </c>
      <c r="L50">
        <f>IF(COUNTIF(표8[material_id],표2[[#This Row],[material_id]])&gt;0, "O", "X")</f>
        <v/>
      </c>
      <c r="M50">
        <f>IF(COUNTIFS(표8[material_id],표2[[#This Row],[material_id]],표8[location],"울산")&gt;0, "O", "X")</f>
        <v/>
      </c>
    </row>
    <row r="51">
      <c r="A51" t="inlineStr">
        <is>
          <t>M050</t>
        </is>
      </c>
      <c r="B51" s="1" t="inlineStr">
        <is>
          <t>C4</t>
        </is>
      </c>
      <c r="C51" s="22" t="inlineStr">
        <is>
          <t>Butyl rubber</t>
        </is>
      </c>
      <c r="D51" t="inlineStr">
        <is>
          <t>Polymer</t>
        </is>
      </c>
      <c r="E51" t="inlineStr">
        <is>
          <t>Synthetic Rubber</t>
        </is>
      </c>
      <c r="F51" s="1" t="n">
        <v>4220</v>
      </c>
      <c r="G51" t="n">
        <v>4002319000</v>
      </c>
      <c r="H51" t="inlineStr">
        <is>
          <t>IIR(Isobutylene Isoprene Rubber)</t>
        </is>
      </c>
      <c r="I51" t="inlineStr">
        <is>
          <t>Y</t>
        </is>
      </c>
      <c r="J51">
        <f>IF(COUNTIF(CCMA[material_name],C51)&gt;0,"O","X")</f>
        <v/>
      </c>
      <c r="K51">
        <f>IF(COUNTIF(CEH[material_name],C51)&gt;0,"O","X")</f>
        <v/>
      </c>
      <c r="L51">
        <f>IF(COUNTIF(표8[material_id],표2[[#This Row],[material_id]])&gt;0, "O", "X")</f>
        <v/>
      </c>
      <c r="M51">
        <f>IF(COUNTIFS(표8[material_id],표2[[#This Row],[material_id]],표8[location],"울산")&gt;0, "O", "X")</f>
        <v/>
      </c>
    </row>
    <row r="52">
      <c r="A52" s="16" t="inlineStr">
        <is>
          <t>M051</t>
        </is>
      </c>
      <c r="B52" s="20" t="inlineStr">
        <is>
          <t>C4</t>
        </is>
      </c>
      <c r="C52" s="20" t="inlineStr">
        <is>
          <t>n-Butenes</t>
        </is>
      </c>
      <c r="D52" s="16" t="inlineStr">
        <is>
          <t>Intermediate</t>
        </is>
      </c>
      <c r="E52" s="16" t="inlineStr">
        <is>
          <t>C4 Olefin</t>
        </is>
      </c>
      <c r="F52" s="20" t="n">
        <v>4300</v>
      </c>
      <c r="G52" s="16" t="n"/>
      <c r="H52" s="16" t="inlineStr">
        <is>
          <t>1-Butene 영역과 겹침</t>
        </is>
      </c>
      <c r="I52" s="16" t="inlineStr">
        <is>
          <t>Y</t>
        </is>
      </c>
      <c r="J52" s="16">
        <f>IF(COUNTIF(CCMA[material_name],C52)&gt;0,"O","X")</f>
        <v/>
      </c>
      <c r="K52" s="16">
        <f>IF(COUNTIF(CEH[material_name],C52)&gt;0,"O","X")</f>
        <v/>
      </c>
      <c r="L52" s="16">
        <f>IF(COUNTIF(표8[material_id],표2[[#This Row],[material_id]])&gt;0, "O", "X")</f>
        <v/>
      </c>
      <c r="M52" s="16">
        <f>IF(COUNTIFS(표8[material_id],표2[[#This Row],[material_id]],표8[location],"울산")&gt;0, "O", "X")</f>
        <v/>
      </c>
    </row>
    <row r="53">
      <c r="A53" t="inlineStr">
        <is>
          <t>M052</t>
        </is>
      </c>
      <c r="B53" s="1" t="inlineStr">
        <is>
          <t>C4</t>
        </is>
      </c>
      <c r="C53" s="22" t="inlineStr">
        <is>
          <t>1-Butene</t>
        </is>
      </c>
      <c r="D53" t="inlineStr">
        <is>
          <t>Base chemical</t>
        </is>
      </c>
      <c r="E53" t="inlineStr">
        <is>
          <t>Alpha Olefin</t>
        </is>
      </c>
      <c r="F53" s="1" t="n">
        <v>4310</v>
      </c>
      <c r="J53">
        <f>IF(COUNTIF(CCMA[material_name],C53)&gt;0,"O","X")</f>
        <v/>
      </c>
      <c r="K53">
        <f>IF(COUNTIF(CEH[material_name],C53)&gt;0,"O","X")</f>
        <v/>
      </c>
      <c r="L53">
        <f>IF(COUNTIF(표8[material_id],표2[[#This Row],[material_id]])&gt;0, "O", "X")</f>
        <v/>
      </c>
      <c r="M53">
        <f>IF(COUNTIFS(표8[material_id],표2[[#This Row],[material_id]],표8[location],"울산")&gt;0, "O", "X")</f>
        <v/>
      </c>
    </row>
    <row r="54">
      <c r="A54" s="16" t="inlineStr">
        <is>
          <t>M053</t>
        </is>
      </c>
      <c r="B54" s="20" t="inlineStr">
        <is>
          <t>C4</t>
        </is>
      </c>
      <c r="C54" s="20" t="inlineStr">
        <is>
          <t>2-Butene</t>
        </is>
      </c>
      <c r="D54" s="16" t="inlineStr">
        <is>
          <t>Intermediate</t>
        </is>
      </c>
      <c r="E54" s="16" t="inlineStr">
        <is>
          <t>C4 Olefin</t>
        </is>
      </c>
      <c r="F54" s="20" t="n">
        <v>4320</v>
      </c>
      <c r="G54" s="16" t="n"/>
      <c r="H54" s="16" t="inlineStr">
        <is>
          <t>1-Butene 영역과 겹침</t>
        </is>
      </c>
      <c r="I54" s="16" t="inlineStr">
        <is>
          <t>Y</t>
        </is>
      </c>
      <c r="J54" s="16">
        <f>IF(COUNTIF(CCMA[material_name],C54)&gt;0,"O","X")</f>
        <v/>
      </c>
      <c r="K54" s="16">
        <f>IF(COUNTIF(CEH[material_name],C54)&gt;0,"O","X")</f>
        <v/>
      </c>
      <c r="L54" s="16">
        <f>IF(COUNTIF(표8[material_id],표2[[#This Row],[material_id]])&gt;0, "O", "X")</f>
        <v/>
      </c>
      <c r="M54" s="16">
        <f>IF(COUNTIFS(표8[material_id],표2[[#This Row],[material_id]],표8[location],"울산")&gt;0, "O", "X")</f>
        <v/>
      </c>
    </row>
    <row r="55">
      <c r="A55" t="inlineStr">
        <is>
          <t>M054</t>
        </is>
      </c>
      <c r="B55" s="1" t="inlineStr">
        <is>
          <t>Benzene</t>
        </is>
      </c>
      <c r="C55" s="18" t="inlineStr">
        <is>
          <t>Benzene</t>
        </is>
      </c>
      <c r="D55" t="inlineStr">
        <is>
          <t>Base chemical</t>
        </is>
      </c>
      <c r="E55" t="inlineStr">
        <is>
          <t>Aromatic</t>
        </is>
      </c>
      <c r="F55" s="1" t="n">
        <v>6000</v>
      </c>
      <c r="G55" t="n">
        <v>2902200000</v>
      </c>
      <c r="H55" s="1" t="n"/>
      <c r="J55">
        <f>IF(COUNTIF(CCMA[material_name],C55)&gt;0,"O","X")</f>
        <v/>
      </c>
      <c r="K55">
        <f>IF(COUNTIF(CEH[material_name],C55)&gt;0,"O","X")</f>
        <v/>
      </c>
      <c r="L55">
        <f>IF(COUNTIF(표8[material_id],표2[[#This Row],[material_id]])&gt;0, "O", "X")</f>
        <v/>
      </c>
      <c r="M55">
        <f>IF(COUNTIFS(표8[material_id],표2[[#This Row],[material_id]],표8[location],"울산")&gt;0, "O", "X")</f>
        <v/>
      </c>
    </row>
    <row r="56">
      <c r="A56" t="inlineStr">
        <is>
          <t>M055</t>
        </is>
      </c>
      <c r="B56" s="1" t="inlineStr">
        <is>
          <t>Benzene</t>
        </is>
      </c>
      <c r="C56" s="22" t="inlineStr">
        <is>
          <t>Ethylbenzene</t>
        </is>
      </c>
      <c r="D56" t="inlineStr">
        <is>
          <t>Intermediate</t>
        </is>
      </c>
      <c r="E56" t="inlineStr">
        <is>
          <t>Alkyl Aromatic</t>
        </is>
      </c>
      <c r="F56" s="1" t="n">
        <v>6100</v>
      </c>
      <c r="G56" t="n">
        <v>2902600000</v>
      </c>
      <c r="H56" s="1" t="inlineStr">
        <is>
          <t>EB</t>
        </is>
      </c>
      <c r="J56">
        <f>IF(COUNTIF(CCMA[material_name],C56)&gt;0,"O","X")</f>
        <v/>
      </c>
      <c r="K56">
        <f>IF(COUNTIF(CEH[material_name],C56)&gt;0,"O","X")</f>
        <v/>
      </c>
      <c r="L56">
        <f>IF(COUNTIF(표8[material_id],표2[[#This Row],[material_id]])&gt;0, "O", "X")</f>
        <v/>
      </c>
      <c r="M56">
        <f>IF(COUNTIFS(표8[material_id],표2[[#This Row],[material_id]],표8[location],"울산")&gt;0, "O", "X")</f>
        <v/>
      </c>
    </row>
    <row r="57">
      <c r="A57" t="inlineStr">
        <is>
          <t>M056</t>
        </is>
      </c>
      <c r="B57" s="1" t="inlineStr">
        <is>
          <t>Benzene</t>
        </is>
      </c>
      <c r="C57" s="22" t="inlineStr">
        <is>
          <t>Styrene</t>
        </is>
      </c>
      <c r="D57" t="inlineStr">
        <is>
          <t>Monomer</t>
        </is>
      </c>
      <c r="E57" t="inlineStr">
        <is>
          <t>Styrenic Monomer</t>
        </is>
      </c>
      <c r="F57" s="1" t="n">
        <v>6110</v>
      </c>
      <c r="G57" t="n">
        <v>2902500000</v>
      </c>
      <c r="H57" s="1" t="n"/>
      <c r="J57">
        <f>IF(COUNTIF(CCMA[material_name],C57)&gt;0,"O","X")</f>
        <v/>
      </c>
      <c r="K57">
        <f>IF(COUNTIF(CEH[material_name],C57)&gt;0,"O","X")</f>
        <v/>
      </c>
      <c r="L57">
        <f>IF(COUNTIF(표8[material_id],표2[[#This Row],[material_id]])&gt;0, "O", "X")</f>
        <v/>
      </c>
      <c r="M57">
        <f>IF(COUNTIFS(표8[material_id],표2[[#This Row],[material_id]],표8[location],"울산")&gt;0, "O", "X")</f>
        <v/>
      </c>
    </row>
    <row r="58">
      <c r="A58" t="inlineStr">
        <is>
          <t>M057</t>
        </is>
      </c>
      <c r="B58" s="1" t="inlineStr">
        <is>
          <t>Benzene</t>
        </is>
      </c>
      <c r="C58" s="22" t="inlineStr">
        <is>
          <t>PS</t>
        </is>
      </c>
      <c r="D58" t="inlineStr">
        <is>
          <t>Polymer</t>
        </is>
      </c>
      <c r="E58" t="inlineStr">
        <is>
          <t>Styrenic Resin</t>
        </is>
      </c>
      <c r="F58" s="1" t="n">
        <v>6120</v>
      </c>
      <c r="H58" s="1" t="inlineStr">
        <is>
          <t>Polystyrene</t>
        </is>
      </c>
      <c r="J58">
        <f>IF(COUNTIF(CCMA[material_name],C58)&gt;0,"O","X")</f>
        <v/>
      </c>
      <c r="K58">
        <f>IF(COUNTIF(CEH[material_name],C58)&gt;0,"O","X")</f>
        <v/>
      </c>
      <c r="L58">
        <f>IF(COUNTIF(표8[material_id],표2[[#This Row],[material_id]])&gt;0, "O", "X")</f>
        <v/>
      </c>
      <c r="M58">
        <f>IF(COUNTIFS(표8[material_id],표2[[#This Row],[material_id]],표8[location],"울산")&gt;0, "O", "X")</f>
        <v/>
      </c>
    </row>
    <row r="59">
      <c r="A59" t="inlineStr">
        <is>
          <t>M058</t>
        </is>
      </c>
      <c r="B59" s="1" t="inlineStr">
        <is>
          <t>Benzene</t>
        </is>
      </c>
      <c r="C59" s="22" t="inlineStr">
        <is>
          <t>Cumene</t>
        </is>
      </c>
      <c r="D59" t="inlineStr">
        <is>
          <t>Intermediate</t>
        </is>
      </c>
      <c r="E59" t="inlineStr">
        <is>
          <t>Alkyl Aromatic</t>
        </is>
      </c>
      <c r="F59" s="1" t="n">
        <v>6200</v>
      </c>
      <c r="G59" t="n">
        <v>2902700000</v>
      </c>
      <c r="H59" s="1" t="n"/>
      <c r="J59">
        <f>IF(COUNTIF(CCMA[material_name],C59)&gt;0,"O","X")</f>
        <v/>
      </c>
      <c r="K59">
        <f>IF(COUNTIF(CEH[material_name],C59)&gt;0,"O","X")</f>
        <v/>
      </c>
      <c r="L59">
        <f>IF(COUNTIF(표8[material_id],표2[[#This Row],[material_id]])&gt;0, "O", "X")</f>
        <v/>
      </c>
      <c r="M59">
        <f>IF(COUNTIFS(표8[material_id],표2[[#This Row],[material_id]],표8[location],"울산")&gt;0, "O", "X")</f>
        <v/>
      </c>
    </row>
    <row r="60">
      <c r="A60" t="inlineStr">
        <is>
          <t>M059</t>
        </is>
      </c>
      <c r="B60" s="1" t="inlineStr">
        <is>
          <t>Benzene</t>
        </is>
      </c>
      <c r="C60" s="22" t="inlineStr">
        <is>
          <t>Phenol</t>
        </is>
      </c>
      <c r="D60" t="inlineStr">
        <is>
          <t>Intermediate</t>
        </is>
      </c>
      <c r="E60" t="inlineStr">
        <is>
          <t>Phenolic Intermediate</t>
        </is>
      </c>
      <c r="F60" s="1" t="n">
        <v>6210</v>
      </c>
      <c r="G60" t="n">
        <v>2907111000</v>
      </c>
      <c r="H60" s="1" t="n"/>
      <c r="J60">
        <f>IF(COUNTIF(CCMA[material_name],C60)&gt;0,"O","X")</f>
        <v/>
      </c>
      <c r="K60">
        <f>IF(COUNTIF(CEH[material_name],C60)&gt;0,"O","X")</f>
        <v/>
      </c>
      <c r="L60">
        <f>IF(COUNTIF(표8[material_id],표2[[#This Row],[material_id]])&gt;0, "O", "X")</f>
        <v/>
      </c>
      <c r="M60">
        <f>IF(COUNTIFS(표8[material_id],표2[[#This Row],[material_id]],표8[location],"울산")&gt;0, "O", "X")</f>
        <v/>
      </c>
    </row>
    <row r="61">
      <c r="A61" t="inlineStr">
        <is>
          <t>M060</t>
        </is>
      </c>
      <c r="B61" s="1" t="inlineStr">
        <is>
          <t>Benzene</t>
        </is>
      </c>
      <c r="C61" s="22" t="inlineStr">
        <is>
          <t>Acetone</t>
        </is>
      </c>
      <c r="D61" t="inlineStr">
        <is>
          <t>Intermediate</t>
        </is>
      </c>
      <c r="E61" t="inlineStr">
        <is>
          <t>Ketone</t>
        </is>
      </c>
      <c r="F61" s="1" t="n">
        <v>6220</v>
      </c>
      <c r="G61" t="n">
        <v>2914110000</v>
      </c>
      <c r="H61" s="1" t="n"/>
      <c r="J61">
        <f>IF(COUNTIF(CCMA[material_name],C61)&gt;0,"O","X")</f>
        <v/>
      </c>
      <c r="K61">
        <f>IF(COUNTIF(CEH[material_name],C61)&gt;0,"O","X")</f>
        <v/>
      </c>
      <c r="L61">
        <f>IF(COUNTIF(표8[material_id],표2[[#This Row],[material_id]])&gt;0, "O", "X")</f>
        <v/>
      </c>
      <c r="M61">
        <f>IF(COUNTIFS(표8[material_id],표2[[#This Row],[material_id]],표8[location],"울산")&gt;0, "O", "X")</f>
        <v/>
      </c>
    </row>
    <row r="62">
      <c r="A62" t="inlineStr">
        <is>
          <t>M061</t>
        </is>
      </c>
      <c r="B62" s="1" t="inlineStr">
        <is>
          <t>Benzene</t>
        </is>
      </c>
      <c r="C62" s="22" t="inlineStr">
        <is>
          <t>BPA</t>
        </is>
      </c>
      <c r="D62" t="inlineStr">
        <is>
          <t>Intermediate</t>
        </is>
      </c>
      <c r="E62" t="inlineStr">
        <is>
          <t>Phenolic Intermediate</t>
        </is>
      </c>
      <c r="F62" s="1" t="n">
        <v>6230</v>
      </c>
      <c r="G62" t="n">
        <v>2907231000</v>
      </c>
      <c r="H62" s="1" t="inlineStr">
        <is>
          <t>Bisphenol A</t>
        </is>
      </c>
      <c r="J62">
        <f>IF(COUNTIF(CCMA[material_name],C62)&gt;0,"O","X")</f>
        <v/>
      </c>
      <c r="K62">
        <f>IF(COUNTIF(CEH[material_name],C62)&gt;0,"O","X")</f>
        <v/>
      </c>
      <c r="L62">
        <f>IF(COUNTIF(표8[material_id],표2[[#This Row],[material_id]])&gt;0, "O", "X")</f>
        <v/>
      </c>
      <c r="M62">
        <f>IF(COUNTIFS(표8[material_id],표2[[#This Row],[material_id]],표8[location],"울산")&gt;0, "O", "X")</f>
        <v/>
      </c>
    </row>
    <row r="63">
      <c r="A63" t="inlineStr">
        <is>
          <t>M062</t>
        </is>
      </c>
      <c r="B63" s="1" t="inlineStr">
        <is>
          <t>Benzene</t>
        </is>
      </c>
      <c r="C63" s="22" t="inlineStr">
        <is>
          <t>PC</t>
        </is>
      </c>
      <c r="D63" t="inlineStr">
        <is>
          <t>Polymer</t>
        </is>
      </c>
      <c r="E63" t="inlineStr">
        <is>
          <t>Engineering Plastic</t>
        </is>
      </c>
      <c r="F63" s="1" t="n">
        <v>6240</v>
      </c>
      <c r="G63" t="n">
        <v>3907400000</v>
      </c>
      <c r="H63" s="1" t="inlineStr">
        <is>
          <t>Polycarbonate</t>
        </is>
      </c>
      <c r="J63">
        <f>IF(COUNTIF(CCMA[material_name],C63)&gt;0,"O","X")</f>
        <v/>
      </c>
      <c r="K63">
        <f>IF(COUNTIF(CEH[material_name],C63)&gt;0,"O","X")</f>
        <v/>
      </c>
      <c r="L63">
        <f>IF(COUNTIF(표8[material_id],표2[[#This Row],[material_id]])&gt;0, "O", "X")</f>
        <v/>
      </c>
      <c r="M63">
        <f>IF(COUNTIFS(표8[material_id],표2[[#This Row],[material_id]],표8[location],"울산")&gt;0, "O", "X")</f>
        <v/>
      </c>
    </row>
    <row r="64">
      <c r="A64" t="inlineStr">
        <is>
          <t>M063</t>
        </is>
      </c>
      <c r="B64" s="1" t="inlineStr">
        <is>
          <t>Benzene</t>
        </is>
      </c>
      <c r="C64" s="22" t="inlineStr">
        <is>
          <t>Epoxy resin</t>
        </is>
      </c>
      <c r="D64" t="inlineStr">
        <is>
          <t>Functional Material</t>
        </is>
      </c>
      <c r="E64" t="inlineStr">
        <is>
          <t>Thermoset Resin</t>
        </is>
      </c>
      <c r="F64" s="1" t="n">
        <v>6250</v>
      </c>
      <c r="H64" s="1" t="n"/>
      <c r="J64">
        <f>IF(COUNTIF(CCMA[material_name],C64)&gt;0,"O","X")</f>
        <v/>
      </c>
      <c r="K64">
        <f>IF(COUNTIF(CEH[material_name],C64)&gt;0,"O","X")</f>
        <v/>
      </c>
      <c r="L64">
        <f>IF(COUNTIF(표8[material_id],표2[[#This Row],[material_id]])&gt;0, "O", "X")</f>
        <v/>
      </c>
      <c r="M64">
        <f>IF(COUNTIFS(표8[material_id],표2[[#This Row],[material_id]],표8[location],"울산")&gt;0, "O", "X")</f>
        <v/>
      </c>
    </row>
    <row r="65">
      <c r="A65" t="inlineStr">
        <is>
          <t>M064</t>
        </is>
      </c>
      <c r="B65" s="1" t="inlineStr">
        <is>
          <t>Benzene</t>
        </is>
      </c>
      <c r="C65" s="22" t="inlineStr">
        <is>
          <t>Cyclohexane</t>
        </is>
      </c>
      <c r="D65" t="inlineStr">
        <is>
          <t>Intermediate</t>
        </is>
      </c>
      <c r="E65" t="inlineStr">
        <is>
          <t>Cycloaliphatic Intermediate</t>
        </is>
      </c>
      <c r="F65" s="1" t="n">
        <v>6300</v>
      </c>
      <c r="G65" t="n">
        <v>2902110000</v>
      </c>
      <c r="H65" s="1" t="n"/>
      <c r="J65">
        <f>IF(COUNTIF(CCMA[material_name],C65)&gt;0,"O","X")</f>
        <v/>
      </c>
      <c r="K65">
        <f>IF(COUNTIF(CEH[material_name],C65)&gt;0,"O","X")</f>
        <v/>
      </c>
      <c r="L65">
        <f>IF(COUNTIF(표8[material_id],표2[[#This Row],[material_id]])&gt;0, "O", "X")</f>
        <v/>
      </c>
      <c r="M65">
        <f>IF(COUNTIFS(표8[material_id],표2[[#This Row],[material_id]],표8[location],"울산")&gt;0, "O", "X")</f>
        <v/>
      </c>
    </row>
    <row r="66">
      <c r="A66" t="inlineStr">
        <is>
          <t>M065</t>
        </is>
      </c>
      <c r="B66" s="1" t="inlineStr">
        <is>
          <t>Benzene</t>
        </is>
      </c>
      <c r="C66" s="22" t="inlineStr">
        <is>
          <t>Aniline</t>
        </is>
      </c>
      <c r="D66" t="inlineStr">
        <is>
          <t>Intermediate</t>
        </is>
      </c>
      <c r="E66" t="inlineStr">
        <is>
          <t>Aromatic Amine</t>
        </is>
      </c>
      <c r="F66" s="1" t="n">
        <v>6320</v>
      </c>
      <c r="G66" t="n">
        <v>2921411000</v>
      </c>
      <c r="H66" s="1" t="n"/>
      <c r="J66">
        <f>IF(COUNTIF(CCMA[material_name],C66)&gt;0,"O","X")</f>
        <v/>
      </c>
      <c r="K66">
        <f>IF(COUNTIF(CEH[material_name],C66)&gt;0,"O","X")</f>
        <v/>
      </c>
      <c r="L66">
        <f>IF(COUNTIF(표8[material_id],표2[[#This Row],[material_id]])&gt;0, "O", "X")</f>
        <v/>
      </c>
      <c r="M66">
        <f>IF(COUNTIFS(표8[material_id],표2[[#This Row],[material_id]],표8[location],"울산")&gt;0, "O", "X")</f>
        <v/>
      </c>
    </row>
    <row r="67">
      <c r="A67" t="inlineStr">
        <is>
          <t>M066</t>
        </is>
      </c>
      <c r="B67" s="1" t="inlineStr">
        <is>
          <t>Benzene</t>
        </is>
      </c>
      <c r="C67" s="22" t="inlineStr">
        <is>
          <t>LAB</t>
        </is>
      </c>
      <c r="D67" t="inlineStr">
        <is>
          <t>Intermediate</t>
        </is>
      </c>
      <c r="E67" t="inlineStr">
        <is>
          <t>Alkyl Aromatic</t>
        </is>
      </c>
      <c r="F67" s="1" t="n">
        <v>6400</v>
      </c>
      <c r="H67" t="inlineStr">
        <is>
          <t>Linear Alkylbenzene</t>
        </is>
      </c>
      <c r="J67">
        <f>IF(COUNTIF(CCMA[material_name],C67)&gt;0,"O","X")</f>
        <v/>
      </c>
      <c r="K67">
        <f>IF(COUNTIF(CEH[material_name],C67)&gt;0,"O","X")</f>
        <v/>
      </c>
      <c r="L67">
        <f>IF(COUNTIF(표8[material_id],표2[[#This Row],[material_id]])&gt;0, "O", "X")</f>
        <v/>
      </c>
      <c r="M67">
        <f>IF(COUNTIFS(표8[material_id],표2[[#This Row],[material_id]],표8[location],"울산")&gt;0, "O", "X")</f>
        <v/>
      </c>
    </row>
    <row r="68">
      <c r="A68" t="inlineStr">
        <is>
          <t>M067</t>
        </is>
      </c>
      <c r="B68" s="1" t="inlineStr">
        <is>
          <t>Benzene</t>
        </is>
      </c>
      <c r="C68" s="22" t="inlineStr">
        <is>
          <t>Cyclohexanone</t>
        </is>
      </c>
      <c r="D68" t="inlineStr">
        <is>
          <t>Intermediate</t>
        </is>
      </c>
      <c r="E68" t="inlineStr">
        <is>
          <t>Ketone</t>
        </is>
      </c>
      <c r="F68" s="1" t="n">
        <v>6310</v>
      </c>
      <c r="G68" t="n">
        <v>2914221000</v>
      </c>
      <c r="H68" s="1" t="n"/>
      <c r="J68">
        <f>IF(COUNTIF(CCMA[material_name],C68)&gt;0,"O","X")</f>
        <v/>
      </c>
      <c r="K68">
        <f>IF(COUNTIF(CEH[material_name],C68)&gt;0,"O","X")</f>
        <v/>
      </c>
      <c r="L68">
        <f>IF(COUNTIF(표8[material_id],표2[[#This Row],[material_id]])&gt;0, "O", "X")</f>
        <v/>
      </c>
      <c r="M68">
        <f>IF(COUNTIFS(표8[material_id],표2[[#This Row],[material_id]],표8[location],"울산")&gt;0, "O", "X")</f>
        <v/>
      </c>
    </row>
    <row r="69">
      <c r="A69" t="inlineStr">
        <is>
          <t>M068</t>
        </is>
      </c>
      <c r="B69" t="inlineStr">
        <is>
          <t>C4</t>
        </is>
      </c>
      <c r="C69" s="22" t="inlineStr">
        <is>
          <t>MA</t>
        </is>
      </c>
      <c r="D69" t="inlineStr">
        <is>
          <t>Intermediate</t>
        </is>
      </c>
      <c r="E69" t="inlineStr">
        <is>
          <t>Anhydride</t>
        </is>
      </c>
      <c r="F69" t="n">
        <v>4400</v>
      </c>
      <c r="G69" t="n">
        <v>2917140000</v>
      </c>
      <c r="H69" t="inlineStr">
        <is>
          <t>Maleic anhydride</t>
        </is>
      </c>
      <c r="J69">
        <f>IF(COUNTIF(CCMA[material_name],C69)&gt;0,"O","X")</f>
        <v/>
      </c>
      <c r="K69">
        <f>IF(COUNTIF(CEH[material_name],C69)&gt;0,"O","X")</f>
        <v/>
      </c>
      <c r="L69">
        <f>IF(COUNTIF(표8[material_id],표2[[#This Row],[material_id]])&gt;0, "O", "X")</f>
        <v/>
      </c>
      <c r="M69">
        <f>IF(COUNTIFS(표8[material_id],표2[[#This Row],[material_id]],표8[location],"울산")&gt;0, "O", "X")</f>
        <v/>
      </c>
    </row>
    <row r="70">
      <c r="A70" t="inlineStr">
        <is>
          <t>M069</t>
        </is>
      </c>
      <c r="B70" t="inlineStr">
        <is>
          <t>Methanol</t>
        </is>
      </c>
      <c r="C70" s="22" t="inlineStr">
        <is>
          <t>Methanol</t>
        </is>
      </c>
      <c r="D70" t="inlineStr">
        <is>
          <t>Base chemical</t>
        </is>
      </c>
      <c r="E70" t="inlineStr">
        <is>
          <t>Alcohol</t>
        </is>
      </c>
      <c r="F70" t="n">
        <v>100</v>
      </c>
      <c r="G70" t="n">
        <v>2905110000</v>
      </c>
      <c r="J70">
        <f>IF(COUNTIF(CCMA[material_name],C70)&gt;0,"O","X")</f>
        <v/>
      </c>
      <c r="K70">
        <f>IF(COUNTIF(CEH[material_name],C70)&gt;0,"O","X")</f>
        <v/>
      </c>
      <c r="L70">
        <f>IF(COUNTIF(표8[material_id],표2[[#This Row],[material_id]])&gt;0, "O", "X")</f>
        <v/>
      </c>
      <c r="M70">
        <f>IF(COUNTIFS(표8[material_id],표2[[#This Row],[material_id]],표8[location],"울산")&gt;0, "O", "X")</f>
        <v/>
      </c>
    </row>
    <row r="71">
      <c r="A71" t="inlineStr">
        <is>
          <t>M070</t>
        </is>
      </c>
      <c r="B71" t="inlineStr">
        <is>
          <t>Methanol</t>
        </is>
      </c>
      <c r="C71" s="22" t="inlineStr">
        <is>
          <t>Acetic acid</t>
        </is>
      </c>
      <c r="D71" t="inlineStr">
        <is>
          <t>Intermediate</t>
        </is>
      </c>
      <c r="E71" t="inlineStr">
        <is>
          <t>Organic Acid</t>
        </is>
      </c>
      <c r="F71" t="n">
        <v>200</v>
      </c>
      <c r="G71" t="n">
        <v>2915210000</v>
      </c>
      <c r="J71">
        <f>IF(COUNTIF(CCMA[material_name],C71)&gt;0,"O","X")</f>
        <v/>
      </c>
      <c r="K71">
        <f>IF(COUNTIF(CEH[material_name],C71)&gt;0,"O","X")</f>
        <v/>
      </c>
      <c r="L71">
        <f>IF(COUNTIF(표8[material_id],표2[[#This Row],[material_id]])&gt;0, "O", "X")</f>
        <v/>
      </c>
      <c r="M71">
        <f>IF(COUNTIFS(표8[material_id],표2[[#This Row],[material_id]],표8[location],"울산")&gt;0, "O", "X")</f>
        <v/>
      </c>
    </row>
    <row r="72">
      <c r="A72" t="inlineStr">
        <is>
          <t>M071</t>
        </is>
      </c>
      <c r="B72" t="inlineStr">
        <is>
          <t>Toluene</t>
        </is>
      </c>
      <c r="C72" s="22" t="inlineStr">
        <is>
          <t>Toluene</t>
        </is>
      </c>
      <c r="D72" t="inlineStr">
        <is>
          <t>Base chemical</t>
        </is>
      </c>
      <c r="E72" t="inlineStr">
        <is>
          <t>Aromatic</t>
        </is>
      </c>
      <c r="F72" t="n">
        <v>7000</v>
      </c>
      <c r="G72" t="n">
        <v>2902300000</v>
      </c>
      <c r="J72">
        <f>IF(COUNTIF(CCMA[material_name],C72)&gt;0,"O","X")</f>
        <v/>
      </c>
      <c r="K72">
        <f>IF(COUNTIF(CEH[material_name],C72)&gt;0,"O","X")</f>
        <v/>
      </c>
      <c r="L72">
        <f>IF(COUNTIF(표8[material_id],표2[[#This Row],[material_id]])&gt;0, "O", "X")</f>
        <v/>
      </c>
      <c r="M72">
        <f>IF(COUNTIFS(표8[material_id],표2[[#This Row],[material_id]],표8[location],"울산")&gt;0, "O", "X")</f>
        <v/>
      </c>
    </row>
    <row r="73">
      <c r="A73" t="inlineStr">
        <is>
          <t>M072</t>
        </is>
      </c>
      <c r="B73" t="inlineStr">
        <is>
          <t>Xylene</t>
        </is>
      </c>
      <c r="C73" s="17" t="inlineStr">
        <is>
          <t>Xylene</t>
        </is>
      </c>
      <c r="D73" t="inlineStr">
        <is>
          <t>Base chemical</t>
        </is>
      </c>
      <c r="E73" t="inlineStr">
        <is>
          <t>Aromatic</t>
        </is>
      </c>
      <c r="F73" t="n">
        <v>8000</v>
      </c>
      <c r="G73" t="n">
        <v>2902440000</v>
      </c>
      <c r="J73">
        <f>IF(COUNTIF(CCMA[material_name],C73)&gt;0,"O","X")</f>
        <v/>
      </c>
      <c r="K73">
        <f>IF(COUNTIF(CEH[material_name],C73)&gt;0,"O","X")</f>
        <v/>
      </c>
      <c r="L73">
        <f>IF(COUNTIF(표8[material_id],표2[[#This Row],[material_id]])&gt;0, "O", "X")</f>
        <v/>
      </c>
      <c r="M73">
        <f>IF(COUNTIFS(표8[material_id],표2[[#This Row],[material_id]],표8[location],"울산")&gt;0, "O", "X")</f>
        <v/>
      </c>
    </row>
    <row r="74">
      <c r="A74" t="inlineStr">
        <is>
          <t>M073</t>
        </is>
      </c>
      <c r="B74" t="inlineStr">
        <is>
          <t>Xylene</t>
        </is>
      </c>
      <c r="C74" s="21" t="inlineStr">
        <is>
          <t>PA</t>
        </is>
      </c>
      <c r="D74" t="inlineStr">
        <is>
          <t>Intermediate</t>
        </is>
      </c>
      <c r="E74" t="inlineStr">
        <is>
          <t>Anhydride</t>
        </is>
      </c>
      <c r="F74" t="n">
        <v>8110</v>
      </c>
      <c r="G74" t="n">
        <v>2917350000</v>
      </c>
      <c r="H74" t="inlineStr">
        <is>
          <t>Pthalic Anhydride</t>
        </is>
      </c>
      <c r="J74">
        <f>IF(COUNTIF(CCMA[material_name],C74)&gt;0,"O","X")</f>
        <v/>
      </c>
      <c r="K74">
        <f>IF(COUNTIF(CEH[material_name],C74)&gt;0,"O","X")</f>
        <v/>
      </c>
      <c r="L74">
        <f>IF(COUNTIF(표8[material_id],표2[[#This Row],[material_id]])&gt;0, "O", "X")</f>
        <v/>
      </c>
      <c r="M74">
        <f>IF(COUNTIFS(표8[material_id],표2[[#This Row],[material_id]],표8[location],"울산")&gt;0, "O", "X")</f>
        <v/>
      </c>
    </row>
    <row r="75">
      <c r="A75" t="inlineStr">
        <is>
          <t>M074</t>
        </is>
      </c>
      <c r="B75" t="inlineStr">
        <is>
          <t>Benzene</t>
        </is>
      </c>
      <c r="C75" s="21" t="inlineStr">
        <is>
          <t>Caprolactam</t>
        </is>
      </c>
      <c r="D75" t="inlineStr">
        <is>
          <t>Monomer</t>
        </is>
      </c>
      <c r="E75" t="inlineStr">
        <is>
          <t>Lactam Monomer</t>
        </is>
      </c>
      <c r="F75" t="n">
        <v>6330</v>
      </c>
      <c r="G75" t="n">
        <v>2933710000</v>
      </c>
      <c r="J75">
        <f>IF(COUNTIF(CCMA[material_name],C75)&gt;0,"O","X")</f>
        <v/>
      </c>
      <c r="K75">
        <f>IF(COUNTIF(CEH[material_name],C75)&gt;0,"O","X")</f>
        <v/>
      </c>
      <c r="L75">
        <f>IF(COUNTIF(표8[material_id],표2[[#This Row],[material_id]])&gt;0, "O", "X")</f>
        <v/>
      </c>
      <c r="M75">
        <f>IF(COUNTIFS(표8[material_id],표2[[#This Row],[material_id]],표8[location],"울산")&gt;0, "O", "X")</f>
        <v/>
      </c>
    </row>
    <row r="76">
      <c r="A76" t="inlineStr">
        <is>
          <t>M075</t>
        </is>
      </c>
      <c r="B76" t="inlineStr">
        <is>
          <t>Ethylene</t>
        </is>
      </c>
      <c r="C76" s="21" t="inlineStr">
        <is>
          <t>LAO</t>
        </is>
      </c>
      <c r="D76" t="inlineStr">
        <is>
          <t>Functional Material</t>
        </is>
      </c>
      <c r="E76" t="inlineStr">
        <is>
          <t>Alpha Olefin Mixture</t>
        </is>
      </c>
      <c r="F76" t="n">
        <v>2700</v>
      </c>
      <c r="H76" t="inlineStr">
        <is>
          <t>Linear alpha olefins mixture (typically C4–C12+ range)</t>
        </is>
      </c>
      <c r="J76">
        <f>IF(COUNTIF(CCMA[material_name],C76)&gt;0,"O","X")</f>
        <v/>
      </c>
      <c r="K76">
        <f>IF(COUNTIF(CEH[material_name],C76)&gt;0,"O","X")</f>
        <v/>
      </c>
      <c r="L76">
        <f>IF(COUNTIF(표8[material_id],표2[[#This Row],[material_id]])&gt;0, "O", "X")</f>
        <v/>
      </c>
      <c r="M76">
        <f>IF(COUNTIFS(표8[material_id],표2[[#This Row],[material_id]],표8[location],"울산")&gt;0, "O", "X")</f>
        <v/>
      </c>
    </row>
    <row r="77">
      <c r="A77" t="inlineStr">
        <is>
          <t>M076</t>
        </is>
      </c>
      <c r="B77" t="inlineStr">
        <is>
          <t>Ethylene</t>
        </is>
      </c>
      <c r="C77" t="inlineStr">
        <is>
          <t>1-Hexene</t>
        </is>
      </c>
      <c r="D77" t="inlineStr">
        <is>
          <t>Intermediate</t>
        </is>
      </c>
      <c r="E77" t="inlineStr">
        <is>
          <t>Alpha Olefin</t>
        </is>
      </c>
      <c r="F77" t="n">
        <v>2900</v>
      </c>
      <c r="G77" t="n">
        <v>2901291000</v>
      </c>
      <c r="H77" t="inlineStr">
        <is>
          <t>(Ethylene base)</t>
        </is>
      </c>
      <c r="J77">
        <f>IF(COUNTIF(CCMA[material_name],C77)&gt;0,"O","X")</f>
        <v/>
      </c>
      <c r="K77">
        <f>IF(COUNTIF(CEH[material_name],C77)&gt;0,"O","X")</f>
        <v/>
      </c>
      <c r="L77">
        <f>IF(COUNTIF(표8[material_id],표2[[#This Row],[material_id]])&gt;0, "O", "X")</f>
        <v/>
      </c>
      <c r="M77">
        <f>IF(COUNTIFS(표8[material_id],표2[[#This Row],[material_id]],표8[location],"울산")&gt;0, "O", "X")</f>
        <v/>
      </c>
    </row>
    <row r="78">
      <c r="A78" t="inlineStr">
        <is>
          <t>M077</t>
        </is>
      </c>
      <c r="B78" t="inlineStr">
        <is>
          <t>Ethylene</t>
        </is>
      </c>
      <c r="C78" s="21" t="inlineStr">
        <is>
          <t>PAO</t>
        </is>
      </c>
      <c r="D78" t="inlineStr">
        <is>
          <t>Functional Material</t>
        </is>
      </c>
      <c r="E78" t="inlineStr">
        <is>
          <t>Synthetic Base Oil</t>
        </is>
      </c>
      <c r="F78" t="n">
        <v>2720</v>
      </c>
      <c r="J78">
        <f>IF(COUNTIF(CCMA[material_name],C78)&gt;0,"O","X")</f>
        <v/>
      </c>
      <c r="K78">
        <f>IF(COUNTIF(CEH[material_name],C78)&gt;0,"O","X")</f>
        <v/>
      </c>
      <c r="L78">
        <f>IF(COUNTIF(표8[material_id],표2[[#This Row],[material_id]])&gt;0, "O", "X")</f>
        <v/>
      </c>
      <c r="M78">
        <f>IF(COUNTIFS(표8[material_id],표2[[#This Row],[material_id]],표8[location],"울산")&gt;0, "O", "X")</f>
        <v/>
      </c>
    </row>
    <row r="79">
      <c r="A79" t="inlineStr">
        <is>
          <t>M078</t>
        </is>
      </c>
      <c r="B79" t="inlineStr">
        <is>
          <t>Methanol</t>
        </is>
      </c>
      <c r="C79" s="21" t="inlineStr">
        <is>
          <t>MMA</t>
        </is>
      </c>
      <c r="D79" t="inlineStr">
        <is>
          <t>Monomer</t>
        </is>
      </c>
      <c r="E79" t="inlineStr">
        <is>
          <t>Acrylic Monomer</t>
        </is>
      </c>
      <c r="F79" t="n">
        <v>400</v>
      </c>
      <c r="G79" t="n">
        <v>2916141000</v>
      </c>
      <c r="H79" t="inlineStr">
        <is>
          <t>Methyl methacrylate monomer</t>
        </is>
      </c>
      <c r="J79">
        <f>IF(COUNTIF(CCMA[material_name],C79)&gt;0,"O","X")</f>
        <v/>
      </c>
      <c r="K79">
        <f>IF(COUNTIF(CEH[material_name],C79)&gt;0,"O","X")</f>
        <v/>
      </c>
      <c r="L79">
        <f>IF(COUNTIF(표8[material_id],표2[[#This Row],[material_id]])&gt;0, "O", "X")</f>
        <v/>
      </c>
      <c r="M79">
        <f>IF(COUNTIFS(표8[material_id],표2[[#This Row],[material_id]],표8[location],"울산")&gt;0, "O", "X")</f>
        <v/>
      </c>
    </row>
    <row r="80">
      <c r="A80" t="inlineStr">
        <is>
          <t>M079</t>
        </is>
      </c>
      <c r="B80" t="inlineStr">
        <is>
          <t>Methanol</t>
        </is>
      </c>
      <c r="C80" s="21" t="inlineStr">
        <is>
          <t>PMMA</t>
        </is>
      </c>
      <c r="D80" t="inlineStr">
        <is>
          <t>Polymer</t>
        </is>
      </c>
      <c r="E80" t="inlineStr">
        <is>
          <t>Acrylic Polymer</t>
        </is>
      </c>
      <c r="F80" t="n">
        <v>410</v>
      </c>
      <c r="G80" t="n">
        <v>3906100000</v>
      </c>
      <c r="H80" t="inlineStr">
        <is>
          <t>Polymethyl methacrylate</t>
        </is>
      </c>
      <c r="J80">
        <f>IF(COUNTIF(CCMA[material_name],C80)&gt;0,"O","X")</f>
        <v/>
      </c>
      <c r="K80">
        <f>IF(COUNTIF(CEH[material_name],C80)&gt;0,"O","X")</f>
        <v/>
      </c>
      <c r="L80">
        <f>IF(COUNTIF(표8[material_id],표2[[#This Row],[material_id]])&gt;0, "O", "X")</f>
        <v/>
      </c>
      <c r="M80">
        <f>IF(COUNTIFS(표8[material_id],표2[[#This Row],[material_id]],표8[location],"울산")&gt;0, "O", "X")</f>
        <v/>
      </c>
    </row>
    <row r="81">
      <c r="A81" t="inlineStr">
        <is>
          <t>M080</t>
        </is>
      </c>
      <c r="B81" t="inlineStr">
        <is>
          <t>Methanol</t>
        </is>
      </c>
      <c r="C81" s="21" t="inlineStr">
        <is>
          <t>Formaldehyde</t>
        </is>
      </c>
      <c r="D81" t="inlineStr">
        <is>
          <t>Intermediate</t>
        </is>
      </c>
      <c r="E81" t="inlineStr">
        <is>
          <t>Aldehyde</t>
        </is>
      </c>
      <c r="F81" t="n">
        <v>300</v>
      </c>
      <c r="G81" t="n">
        <v>2912110000</v>
      </c>
      <c r="H81" t="inlineStr">
        <is>
          <t>Polymethyl methacrylate</t>
        </is>
      </c>
      <c r="J81">
        <f>IF(COUNTIF(CCMA[material_name],C81)&gt;0,"O","X")</f>
        <v/>
      </c>
      <c r="K81">
        <f>IF(COUNTIF(CEH[material_name],C81)&gt;0,"O","X")</f>
        <v/>
      </c>
      <c r="L81">
        <f>IF(COUNTIF(표8[material_id],표2[[#This Row],[material_id]])&gt;0, "O", "X")</f>
        <v/>
      </c>
      <c r="M81">
        <f>IF(COUNTIFS(표8[material_id],표2[[#This Row],[material_id]],표8[location],"울산")&gt;0, "O", "X")</f>
        <v/>
      </c>
    </row>
    <row r="82">
      <c r="A82" t="inlineStr">
        <is>
          <t>M081</t>
        </is>
      </c>
      <c r="B82" t="inlineStr">
        <is>
          <t>Ethylene</t>
        </is>
      </c>
      <c r="C82" s="21" t="inlineStr">
        <is>
          <t>EC</t>
        </is>
      </c>
      <c r="D82" t="inlineStr">
        <is>
          <t>Intermediate</t>
        </is>
      </c>
      <c r="E82" t="inlineStr">
        <is>
          <t>Carbonate</t>
        </is>
      </c>
      <c r="F82" t="n">
        <v>2360</v>
      </c>
      <c r="H82" t="inlineStr">
        <is>
          <t>Ethylene Carbonate</t>
        </is>
      </c>
      <c r="J82">
        <f>IF(COUNTIF(CCMA[material_name],C82)&gt;0,"O","X")</f>
        <v/>
      </c>
      <c r="K82">
        <f>IF(COUNTIF(CEH[material_name],C82)&gt;0,"O","X")</f>
        <v/>
      </c>
      <c r="L82">
        <f>IF(COUNTIF(표8[material_id],표2[[#This Row],[material_id]])&gt;0, "O", "X")</f>
        <v/>
      </c>
      <c r="M82">
        <f>IF(COUNTIFS(표8[material_id],표2[[#This Row],[material_id]],표8[location],"울산")&gt;0, "O", "X")</f>
        <v/>
      </c>
    </row>
    <row r="83">
      <c r="A83" t="inlineStr">
        <is>
          <t>M082</t>
        </is>
      </c>
      <c r="B83" t="inlineStr">
        <is>
          <t>Ethylene</t>
        </is>
      </c>
      <c r="C83" s="21" t="inlineStr">
        <is>
          <t>DMC</t>
        </is>
      </c>
      <c r="D83" t="inlineStr">
        <is>
          <t>Intermediate</t>
        </is>
      </c>
      <c r="E83" t="inlineStr">
        <is>
          <t>Carbonate</t>
        </is>
      </c>
      <c r="F83" t="n">
        <v>2370</v>
      </c>
      <c r="H83" t="inlineStr">
        <is>
          <t>Diemethyl Carbonate</t>
        </is>
      </c>
      <c r="J83">
        <f>IF(COUNTIF(CCMA[material_name],C83)&gt;0,"O","X")</f>
        <v/>
      </c>
      <c r="K83">
        <f>IF(COUNTIF(CEH[material_name],C83)&gt;0,"O","X")</f>
        <v/>
      </c>
      <c r="L83">
        <f>IF(COUNTIF(표8[material_id],표2[[#This Row],[material_id]])&gt;0, "O", "X")</f>
        <v/>
      </c>
      <c r="M83">
        <f>IF(COUNTIFS(표8[material_id],표2[[#This Row],[material_id]],표8[location],"울산")&gt;0, "O", "X")</f>
        <v/>
      </c>
    </row>
    <row r="84">
      <c r="A84" t="inlineStr">
        <is>
          <t>M083</t>
        </is>
      </c>
      <c r="B84" t="inlineStr">
        <is>
          <t>Ethylene</t>
        </is>
      </c>
      <c r="C84" s="21" t="inlineStr">
        <is>
          <t>PVOH</t>
        </is>
      </c>
      <c r="D84" t="inlineStr">
        <is>
          <t>Polymer</t>
        </is>
      </c>
      <c r="E84" t="inlineStr">
        <is>
          <t>Functional Polymer</t>
        </is>
      </c>
      <c r="F84" t="n">
        <v>2610</v>
      </c>
      <c r="G84" s="1" t="n">
        <v>3905300000</v>
      </c>
      <c r="H84" t="inlineStr">
        <is>
          <t>Polyvinyl alcohol</t>
        </is>
      </c>
      <c r="J84">
        <f>IF(COUNTIF(CCMA[material_name],C84)&gt;0,"O","X")</f>
        <v/>
      </c>
      <c r="K84">
        <f>IF(COUNTIF(CEH[material_name],C84)&gt;0,"O","X")</f>
        <v/>
      </c>
      <c r="L84">
        <f>IF(COUNTIF(표8[material_id],표2[[#This Row],[material_id]])&gt;0, "O", "X")</f>
        <v/>
      </c>
      <c r="M84">
        <f>IF(COUNTIFS(표8[material_id],표2[[#This Row],[material_id]],표8[location],"울산")&gt;0, "O", "X")</f>
        <v/>
      </c>
    </row>
    <row r="85">
      <c r="A85" t="inlineStr">
        <is>
          <t>M084</t>
        </is>
      </c>
      <c r="B85" t="inlineStr">
        <is>
          <t>Ethylene</t>
        </is>
      </c>
      <c r="C85" s="21" t="inlineStr">
        <is>
          <t>EVA</t>
        </is>
      </c>
      <c r="D85" t="inlineStr">
        <is>
          <t>Polymer</t>
        </is>
      </c>
      <c r="E85" t="inlineStr">
        <is>
          <t>Polyolefin Copolymer</t>
        </is>
      </c>
      <c r="F85" t="n">
        <v>2620</v>
      </c>
      <c r="H85" t="inlineStr">
        <is>
          <t>Ethylene-vinyl acetate copolymer</t>
        </is>
      </c>
      <c r="J85">
        <f>IF(COUNTIF(CCMA[material_name],C85)&gt;0,"O","X")</f>
        <v/>
      </c>
      <c r="K85">
        <f>IF(COUNTIF(CEH[material_name],C85)&gt;0,"O","X")</f>
        <v/>
      </c>
      <c r="L85">
        <f>IF(COUNTIF(표8[material_id],표2[[#This Row],[material_id]])&gt;0, "O", "X")</f>
        <v/>
      </c>
      <c r="M85">
        <f>IF(COUNTIFS(표8[material_id],표2[[#This Row],[material_id]],표8[location],"울산")&gt;0, "O", "X")</f>
        <v/>
      </c>
    </row>
    <row r="86">
      <c r="A86" t="inlineStr">
        <is>
          <t>M085</t>
        </is>
      </c>
      <c r="B86" t="inlineStr">
        <is>
          <t>Benzene</t>
        </is>
      </c>
      <c r="C86" s="21" t="inlineStr">
        <is>
          <t>MDI</t>
        </is>
      </c>
      <c r="D86" t="inlineStr">
        <is>
          <t>Intermediate</t>
        </is>
      </c>
      <c r="E86" t="inlineStr">
        <is>
          <t>Isocyanate</t>
        </is>
      </c>
      <c r="F86" t="n">
        <v>6410</v>
      </c>
      <c r="G86" t="n">
        <v>2929102000</v>
      </c>
      <c r="H86" t="inlineStr">
        <is>
          <t>Methylene Diphenyl Disocyanate</t>
        </is>
      </c>
      <c r="J86">
        <f>IF(COUNTIF(CCMA[material_name],C86)&gt;0,"O","X")</f>
        <v/>
      </c>
      <c r="K86">
        <f>IF(COUNTIF(CEH[material_name],C86)&gt;0,"O","X")</f>
        <v/>
      </c>
      <c r="L86">
        <f>IF(COUNTIF(표8[material_id],표2[[#This Row],[material_id]])&gt;0, "O", "X")</f>
        <v/>
      </c>
      <c r="M86">
        <f>IF(COUNTIFS(표8[material_id],표2[[#This Row],[material_id]],표8[location],"울산")&gt;0, "O", "X")</f>
        <v/>
      </c>
    </row>
    <row r="87">
      <c r="A87" t="inlineStr">
        <is>
          <t>M086</t>
        </is>
      </c>
      <c r="B87" t="inlineStr">
        <is>
          <t>Toluene</t>
        </is>
      </c>
      <c r="C87" s="21" t="inlineStr">
        <is>
          <t>TDI</t>
        </is>
      </c>
      <c r="D87" t="inlineStr">
        <is>
          <t>Intermediate</t>
        </is>
      </c>
      <c r="E87" t="inlineStr">
        <is>
          <t>Isocyanate</t>
        </is>
      </c>
      <c r="F87" t="n">
        <v>7100</v>
      </c>
      <c r="G87" t="n">
        <v>2929101000</v>
      </c>
      <c r="H87" t="inlineStr">
        <is>
          <t>Toluene Diisocyanate</t>
        </is>
      </c>
      <c r="J87">
        <f>IF(COUNTIF(CCMA[material_name],C87)&gt;0,"O","X")</f>
        <v/>
      </c>
      <c r="K87">
        <f>IF(COUNTIF(CEH[material_name],C87)&gt;0,"O","X")</f>
        <v/>
      </c>
      <c r="L87">
        <f>IF(COUNTIF(표8[material_id],표2[[#This Row],[material_id]])&gt;0, "O", "X")</f>
        <v/>
      </c>
      <c r="M87">
        <f>IF(COUNTIFS(표8[material_id],표2[[#This Row],[material_id]],표8[location],"울산")&gt;0, "O", "X")</f>
        <v/>
      </c>
    </row>
    <row r="88">
      <c r="A88" t="inlineStr">
        <is>
          <t>M087</t>
        </is>
      </c>
      <c r="B88" t="inlineStr">
        <is>
          <t>Xylene</t>
        </is>
      </c>
      <c r="C88" s="21" t="inlineStr">
        <is>
          <t>o-Xylene</t>
        </is>
      </c>
      <c r="D88" t="inlineStr">
        <is>
          <t>Intermediate</t>
        </is>
      </c>
      <c r="E88" t="inlineStr">
        <is>
          <t>Aromatic Isomer</t>
        </is>
      </c>
      <c r="F88" t="n">
        <v>8100</v>
      </c>
      <c r="G88" t="n">
        <v>2902410000</v>
      </c>
      <c r="H88" t="inlineStr">
        <is>
          <t>Purified Isophtalic Acid</t>
        </is>
      </c>
      <c r="J88">
        <f>IF(COUNTIF(CCMA[material_name],C88)&gt;0,"O","X")</f>
        <v/>
      </c>
      <c r="K88">
        <f>IF(COUNTIF(CEH[material_name],C88)&gt;0,"O","X")</f>
        <v/>
      </c>
      <c r="L88">
        <f>IF(COUNTIF(표8[material_id],표2[[#This Row],[material_id]])&gt;0, "O", "X")</f>
        <v/>
      </c>
      <c r="M88">
        <f>IF(COUNTIFS(표8[material_id],표2[[#This Row],[material_id]],표8[location],"울산")&gt;0, "O", "X")</f>
        <v/>
      </c>
    </row>
    <row r="89">
      <c r="A89" t="inlineStr">
        <is>
          <t>M088</t>
        </is>
      </c>
      <c r="B89" t="inlineStr">
        <is>
          <t>Xylene</t>
        </is>
      </c>
      <c r="C89" s="21" t="inlineStr">
        <is>
          <t>m-Xylene</t>
        </is>
      </c>
      <c r="D89" t="inlineStr">
        <is>
          <t>Intermediate</t>
        </is>
      </c>
      <c r="E89" t="inlineStr">
        <is>
          <t>Aromatic Isomer</t>
        </is>
      </c>
      <c r="F89" t="n">
        <v>8200</v>
      </c>
      <c r="G89" t="n">
        <v>2902420000</v>
      </c>
      <c r="H89" t="inlineStr">
        <is>
          <t>Terephtalic Acid</t>
        </is>
      </c>
      <c r="J89">
        <f>IF(COUNTIF(CCMA[material_name],C89)&gt;0,"O","X")</f>
        <v/>
      </c>
      <c r="K89">
        <f>IF(COUNTIF(CEH[material_name],C89)&gt;0,"O","X")</f>
        <v/>
      </c>
      <c r="L89">
        <f>IF(COUNTIF(표8[material_id],표2[[#This Row],[material_id]])&gt;0, "O", "X")</f>
        <v/>
      </c>
      <c r="M89">
        <f>IF(COUNTIFS(표8[material_id],표2[[#This Row],[material_id]],표8[location],"울산")&gt;0, "O", "X")</f>
        <v/>
      </c>
    </row>
    <row r="90">
      <c r="A90" t="inlineStr">
        <is>
          <t>M089</t>
        </is>
      </c>
      <c r="B90" t="inlineStr">
        <is>
          <t>Xylene</t>
        </is>
      </c>
      <c r="C90" s="21" t="inlineStr">
        <is>
          <t>p-Xylene</t>
        </is>
      </c>
      <c r="D90" t="inlineStr">
        <is>
          <t>Intermediate</t>
        </is>
      </c>
      <c r="E90" t="inlineStr">
        <is>
          <t>Aromatic Isomer</t>
        </is>
      </c>
      <c r="F90" t="n">
        <v>8300</v>
      </c>
      <c r="G90" t="n">
        <v>2902430000</v>
      </c>
      <c r="H90" t="inlineStr">
        <is>
          <t>Dimethyl Terephtalate</t>
        </is>
      </c>
      <c r="J90">
        <f>IF(COUNTIF(CCMA[material_name],C90)&gt;0,"O","X")</f>
        <v/>
      </c>
      <c r="K90">
        <f>IF(COUNTIF(CEH[material_name],C90)&gt;0,"O","X")</f>
        <v/>
      </c>
      <c r="L90">
        <f>IF(COUNTIF(표8[material_id],표2[[#This Row],[material_id]])&gt;0, "O", "X")</f>
        <v/>
      </c>
      <c r="M90">
        <f>IF(COUNTIFS(표8[material_id],표2[[#This Row],[material_id]],표8[location],"울산")&gt;0, "O", "X")</f>
        <v/>
      </c>
    </row>
    <row r="91">
      <c r="A91" t="inlineStr">
        <is>
          <t>M090</t>
        </is>
      </c>
      <c r="B91" t="inlineStr">
        <is>
          <t>Xylene</t>
        </is>
      </c>
      <c r="C91" s="21" t="inlineStr">
        <is>
          <t>PIA</t>
        </is>
      </c>
      <c r="D91" t="inlineStr">
        <is>
          <t>Monomer</t>
        </is>
      </c>
      <c r="E91" t="inlineStr">
        <is>
          <t>Aromatic Acid Monomer</t>
        </is>
      </c>
      <c r="F91" t="n">
        <v>8210</v>
      </c>
      <c r="H91" t="inlineStr">
        <is>
          <t>Purified Isophtalic Acid</t>
        </is>
      </c>
      <c r="J91">
        <f>IF(COUNTIF(CCMA[material_name],C91)&gt;0,"O","X")</f>
        <v/>
      </c>
      <c r="K91">
        <f>IF(COUNTIF(CEH[material_name],C91)&gt;0,"O","X")</f>
        <v/>
      </c>
      <c r="L91">
        <f>IF(COUNTIF(표8[material_id],표2[[#This Row],[material_id]])&gt;0, "O", "X")</f>
        <v/>
      </c>
      <c r="M91">
        <f>IF(COUNTIFS(표8[material_id],표2[[#This Row],[material_id]],표8[location],"울산")&gt;0, "O", "X")</f>
        <v/>
      </c>
    </row>
    <row r="92">
      <c r="A92" t="inlineStr">
        <is>
          <t>M091</t>
        </is>
      </c>
      <c r="B92" t="inlineStr">
        <is>
          <t>Xylene</t>
        </is>
      </c>
      <c r="C92" s="21" t="inlineStr">
        <is>
          <t>TPA</t>
        </is>
      </c>
      <c r="D92" t="inlineStr">
        <is>
          <t>Monomer</t>
        </is>
      </c>
      <c r="E92" t="inlineStr">
        <is>
          <t>Aromatic Acid Monomer</t>
        </is>
      </c>
      <c r="F92" t="n">
        <v>8310</v>
      </c>
      <c r="G92" t="n">
        <v>2917361000</v>
      </c>
      <c r="H92" t="inlineStr">
        <is>
          <t>Terephtalic Acid</t>
        </is>
      </c>
      <c r="J92">
        <f>IF(COUNTIF(CCMA[material_name],C92)&gt;0,"O","X")</f>
        <v/>
      </c>
      <c r="K92">
        <f>IF(COUNTIF(CEH[material_name],C92)&gt;0,"O","X")</f>
        <v/>
      </c>
      <c r="L92">
        <f>IF(COUNTIF(표8[material_id],표2[[#This Row],[material_id]])&gt;0, "O", "X")</f>
        <v/>
      </c>
      <c r="M92">
        <f>IF(COUNTIFS(표8[material_id],표2[[#This Row],[material_id]],표8[location],"울산")&gt;0, "O", "X")</f>
        <v/>
      </c>
    </row>
    <row r="93">
      <c r="A93" t="inlineStr">
        <is>
          <t>M092</t>
        </is>
      </c>
      <c r="B93" t="inlineStr">
        <is>
          <t>Xylene</t>
        </is>
      </c>
      <c r="C93" s="21" t="inlineStr">
        <is>
          <t>DMT</t>
        </is>
      </c>
      <c r="D93" t="inlineStr">
        <is>
          <t>Monomer</t>
        </is>
      </c>
      <c r="E93" t="inlineStr">
        <is>
          <t>Aromatic Ester Monomer</t>
        </is>
      </c>
      <c r="F93" t="n">
        <v>8320</v>
      </c>
      <c r="G93" t="n">
        <v>2917370000</v>
      </c>
      <c r="H93" t="inlineStr">
        <is>
          <t>Dimethyl Terephtalate</t>
        </is>
      </c>
      <c r="J93">
        <f>IF(COUNTIF(CCMA[material_name],C93)&gt;0,"O","X")</f>
        <v/>
      </c>
      <c r="K93">
        <f>IF(COUNTIF(CEH[material_name],C93)&gt;0,"O","X")</f>
        <v/>
      </c>
      <c r="L93">
        <f>IF(COUNTIF(표8[material_id],표2[[#This Row],[material_id]])&gt;0, "O", "X")</f>
        <v/>
      </c>
      <c r="M93">
        <f>IF(COUNTIFS(표8[material_id],표2[[#This Row],[material_id]],표8[location],"울산")&gt;0, "O", "X")</f>
        <v/>
      </c>
    </row>
    <row r="94">
      <c r="A94" t="inlineStr">
        <is>
          <t>M093</t>
        </is>
      </c>
      <c r="B94" t="inlineStr">
        <is>
          <t>Xylene</t>
        </is>
      </c>
      <c r="C94" s="21" t="inlineStr">
        <is>
          <t>PET</t>
        </is>
      </c>
      <c r="D94" t="inlineStr">
        <is>
          <t>Polymer</t>
        </is>
      </c>
      <c r="E94" t="inlineStr">
        <is>
          <t>Polyester</t>
        </is>
      </c>
      <c r="F94" t="n">
        <v>8330</v>
      </c>
      <c r="H94" t="inlineStr">
        <is>
          <t>Polyethylene terephthalate</t>
        </is>
      </c>
      <c r="J94">
        <f>IF(COUNTIF(CCMA[material_name],C94)&gt;0,"O","X")</f>
        <v/>
      </c>
      <c r="K94">
        <f>IF(COUNTIF(CEH[material_name],C94)&gt;0,"O","X")</f>
        <v/>
      </c>
      <c r="L94">
        <f>IF(COUNTIF(표8[material_id],표2[[#This Row],[material_id]])&gt;0, "O", "X")</f>
        <v/>
      </c>
      <c r="M94">
        <f>IF(COUNTIFS(표8[material_id],표2[[#This Row],[material_id]],표8[location],"울산")&gt;0, "O", "X")</f>
        <v/>
      </c>
    </row>
    <row r="95">
      <c r="A95" t="inlineStr">
        <is>
          <t>M094</t>
        </is>
      </c>
      <c r="B95" t="inlineStr">
        <is>
          <t>Propylene</t>
        </is>
      </c>
      <c r="C95" s="21" t="inlineStr">
        <is>
          <t>PU</t>
        </is>
      </c>
      <c r="D95" t="inlineStr">
        <is>
          <t>Functional Material</t>
        </is>
      </c>
      <c r="E95" t="inlineStr">
        <is>
          <t>Polyurethane System</t>
        </is>
      </c>
      <c r="F95" t="n">
        <v>3350</v>
      </c>
      <c r="G95" t="n">
        <v>3909500000</v>
      </c>
      <c r="H95" t="inlineStr">
        <is>
          <t>Polyurethane(Flexible)</t>
        </is>
      </c>
      <c r="J95">
        <f>IF(COUNTIF(CCMA[material_name],C95)&gt;0,"O","X")</f>
        <v/>
      </c>
      <c r="K95">
        <f>IF(COUNTIF(CEH[material_name],C95)&gt;0,"O","X")</f>
        <v/>
      </c>
      <c r="L95">
        <f>IF(COUNTIF(표8[material_id],표2[[#This Row],[material_id]])&gt;0, "O", "X")</f>
        <v/>
      </c>
      <c r="M95">
        <f>IF(COUNTIFS(표8[material_id],표2[[#This Row],[material_id]],표8[location],"울산")&gt;0, "O", "X")</f>
        <v/>
      </c>
    </row>
    <row r="96">
      <c r="A96" s="16" t="inlineStr">
        <is>
          <t>M095</t>
        </is>
      </c>
      <c r="B96" s="16" t="inlineStr">
        <is>
          <t>C4</t>
        </is>
      </c>
      <c r="C96" s="16" t="inlineStr">
        <is>
          <t>1-Octene</t>
        </is>
      </c>
      <c r="D96" s="16" t="inlineStr">
        <is>
          <t>Intermediate</t>
        </is>
      </c>
      <c r="E96" s="16" t="inlineStr">
        <is>
          <t>Alpha Olefin</t>
        </is>
      </c>
      <c r="F96" s="16" t="n">
        <v>4350</v>
      </c>
      <c r="G96" s="16" t="n">
        <v>2901292000</v>
      </c>
      <c r="H96" s="16" t="inlineStr">
        <is>
          <t>1-Butene 루트 불필요, LAO에 포함</t>
        </is>
      </c>
      <c r="I96" s="16" t="inlineStr">
        <is>
          <t>Y</t>
        </is>
      </c>
      <c r="J96" s="16">
        <f>IF(COUNTIF(CCMA[material_name],C96)&gt;0,"O","X")</f>
        <v/>
      </c>
      <c r="K96" s="16">
        <f>IF(COUNTIF(CEH[material_name],C96)&gt;0,"O","X")</f>
        <v/>
      </c>
      <c r="L96" s="16">
        <f>IF(COUNTIF(표8[material_id],표2[[#This Row],[material_id]])&gt;0, "O", "X")</f>
        <v/>
      </c>
      <c r="M96" s="16">
        <f>IF(COUNTIFS(표8[material_id],표2[[#This Row],[material_id]],표8[location],"울산")&gt;0, "O", "X")</f>
        <v/>
      </c>
    </row>
    <row r="97">
      <c r="A97" s="16" t="inlineStr">
        <is>
          <t>M096</t>
        </is>
      </c>
      <c r="B97" s="16" t="inlineStr">
        <is>
          <t>C4</t>
        </is>
      </c>
      <c r="C97" s="16" t="inlineStr">
        <is>
          <t>1-Hexene</t>
        </is>
      </c>
      <c r="D97" s="16" t="inlineStr">
        <is>
          <t>Intermediate</t>
        </is>
      </c>
      <c r="E97" s="16" t="inlineStr">
        <is>
          <t>Alpha Olefin</t>
        </is>
      </c>
      <c r="F97" s="16" t="n">
        <v>4340</v>
      </c>
      <c r="G97" s="16" t="n"/>
      <c r="H97" s="16" t="inlineStr">
        <is>
          <t>1-Butene 루트 불필요, LAO에 포함</t>
        </is>
      </c>
      <c r="I97" s="16" t="inlineStr">
        <is>
          <t>Y</t>
        </is>
      </c>
      <c r="J97" s="16">
        <f>IF(COUNTIF(CCMA[material_name],C97)&gt;0,"O","X")</f>
        <v/>
      </c>
      <c r="K97" s="16">
        <f>IF(COUNTIF(CEH[material_name],C97)&gt;0,"O","X")</f>
        <v/>
      </c>
      <c r="L97" s="16">
        <f>IF(COUNTIF(표8[material_id],표2[[#This Row],[material_id]])&gt;0, "O", "X")</f>
        <v/>
      </c>
      <c r="M97" s="16">
        <f>IF(COUNTIFS(표8[material_id],표2[[#This Row],[material_id]],표8[location],"울산")&gt;0, "O", "X")</f>
        <v/>
      </c>
    </row>
    <row r="98">
      <c r="A98" t="inlineStr">
        <is>
          <t>M097</t>
        </is>
      </c>
      <c r="B98" t="inlineStr">
        <is>
          <t>Ethylene</t>
        </is>
      </c>
      <c r="C98" s="21" t="inlineStr">
        <is>
          <t>EPDM</t>
        </is>
      </c>
      <c r="D98" t="inlineStr">
        <is>
          <t>Polymer</t>
        </is>
      </c>
      <c r="E98" t="inlineStr">
        <is>
          <t>Synthetic Rubber</t>
        </is>
      </c>
      <c r="F98" t="n">
        <v>2800</v>
      </c>
      <c r="H98" t="inlineStr">
        <is>
          <t>Ethylene Propylene Diene Monomer, Ethylene Propylene Terpolymer(EPT)</t>
        </is>
      </c>
      <c r="J98">
        <f>IF(COUNTIF(CCMA[material_name],C98)&gt;0,"O","X")</f>
        <v/>
      </c>
      <c r="K98">
        <f>IF(COUNTIF(CEH[material_name],C98)&gt;0,"O","X")</f>
        <v/>
      </c>
      <c r="L98">
        <f>IF(COUNTIF(표8[material_id],표2[[#This Row],[material_id]])&gt;0, "O", "X")</f>
        <v/>
      </c>
      <c r="M98">
        <f>IF(COUNTIFS(표8[material_id],표2[[#This Row],[material_id]],표8[location],"울산")&gt;0, "O", "X")</f>
        <v/>
      </c>
    </row>
    <row r="99">
      <c r="A99" t="inlineStr">
        <is>
          <t>M098</t>
        </is>
      </c>
      <c r="B99" t="inlineStr">
        <is>
          <t>Propylene</t>
        </is>
      </c>
      <c r="C99" s="21" t="inlineStr">
        <is>
          <t>ECH</t>
        </is>
      </c>
      <c r="D99" t="inlineStr">
        <is>
          <t>Intermediate</t>
        </is>
      </c>
      <c r="E99" t="inlineStr">
        <is>
          <t>Epoxide Intermediate</t>
        </is>
      </c>
      <c r="F99" t="n">
        <v>3800</v>
      </c>
      <c r="G99" t="n">
        <v>2910300000</v>
      </c>
      <c r="H99" t="inlineStr">
        <is>
          <t>Epichlorohydrin</t>
        </is>
      </c>
      <c r="J99">
        <f>IF(COUNTIF(CCMA[material_name],C99)&gt;0,"O","X")</f>
        <v/>
      </c>
      <c r="K99">
        <f>IF(COUNTIF(CEH[material_name],C99)&gt;0,"O","X")</f>
        <v/>
      </c>
      <c r="L99">
        <f>IF(COUNTIF(표8[material_id],표2[[#This Row],[material_id]])&gt;0, "O", "X")</f>
        <v/>
      </c>
      <c r="M99">
        <f>IF(COUNTIFS(표8[material_id],표2[[#This Row],[material_id]],표8[location],"울산")&gt;0, "O", "X")</f>
        <v/>
      </c>
    </row>
    <row r="100">
      <c r="A100" s="16" t="inlineStr">
        <is>
          <t>M099</t>
        </is>
      </c>
      <c r="B100" s="16" t="inlineStr">
        <is>
          <t>Ethylene</t>
        </is>
      </c>
      <c r="C100" s="16" t="inlineStr">
        <is>
          <t>Ethoxylate</t>
        </is>
      </c>
      <c r="D100" s="16" t="inlineStr">
        <is>
          <t>Functional Material</t>
        </is>
      </c>
      <c r="E100" s="16" t="inlineStr">
        <is>
          <t>Surfactant</t>
        </is>
      </c>
      <c r="F100" s="16" t="n">
        <v>2390</v>
      </c>
      <c r="G100" s="16" t="n"/>
      <c r="H100" s="16" t="inlineStr">
        <is>
          <t>Ethoxylate는 너무 광범위함</t>
        </is>
      </c>
      <c r="I100" s="16" t="n"/>
      <c r="J100" s="16">
        <f>IF(COUNTIF(CCMA[material_name],C100)&gt;0,"O","X")</f>
        <v/>
      </c>
      <c r="K100" s="16">
        <f>IF(COUNTIF(CEH[material_name],C100)&gt;0,"O","X")</f>
        <v/>
      </c>
      <c r="L100" s="16">
        <f>IF(COUNTIF(표8[material_id],표2[[#This Row],[material_id]])&gt;0, "O", "X")</f>
        <v/>
      </c>
      <c r="M100" s="16">
        <f>IF(COUNTIFS(표8[material_id],표2[[#This Row],[material_id]],표8[location],"울산")&gt;0, "O", "X")</f>
        <v/>
      </c>
    </row>
    <row r="101">
      <c r="A101" t="inlineStr">
        <is>
          <t>M100</t>
        </is>
      </c>
      <c r="B101" t="inlineStr">
        <is>
          <t>Benzene</t>
        </is>
      </c>
      <c r="C101" s="21" t="inlineStr">
        <is>
          <t>Adipic Acid</t>
        </is>
      </c>
      <c r="D101" t="inlineStr">
        <is>
          <t>Intermediate</t>
        </is>
      </c>
      <c r="E101" t="inlineStr">
        <is>
          <t>Dicarboxylic Acid</t>
        </is>
      </c>
      <c r="F101" t="n">
        <v>6340</v>
      </c>
      <c r="G101" t="n">
        <v>2917121000</v>
      </c>
      <c r="J101">
        <f>IF(COUNTIF(CCMA[material_name],C101)&gt;0,"O","X")</f>
        <v/>
      </c>
      <c r="K101">
        <f>IF(COUNTIF(CEH[material_name],C101)&gt;0,"O","X")</f>
        <v/>
      </c>
      <c r="L101">
        <f>IF(COUNTIF(표8[material_id],표2[[#This Row],[material_id]])&gt;0, "O", "X")</f>
        <v/>
      </c>
      <c r="M101">
        <f>IF(COUNTIFS(표8[material_id],표2[[#This Row],[material_id]],표8[location],"울산")&gt;0, "O", "X")</f>
        <v/>
      </c>
    </row>
    <row r="102">
      <c r="A102" t="inlineStr">
        <is>
          <t>M101</t>
        </is>
      </c>
      <c r="B102" s="1" t="inlineStr">
        <is>
          <t>C4</t>
        </is>
      </c>
      <c r="C102" s="1" t="inlineStr">
        <is>
          <t>n-Butane</t>
        </is>
      </c>
      <c r="D102" t="inlineStr">
        <is>
          <t>Base chemical</t>
        </is>
      </c>
      <c r="E102" t="inlineStr">
        <is>
          <t>Paraffin</t>
        </is>
      </c>
      <c r="F102" s="1" t="n">
        <v>4320</v>
      </c>
      <c r="G102" t="n">
        <v>2901101000</v>
      </c>
      <c r="J102">
        <f>IF(COUNTIF(CCMA[material_name],C102)&gt;0,"O","X")</f>
        <v/>
      </c>
      <c r="K102">
        <f>IF(COUNTIF(CEH[material_name],C102)&gt;0,"O","X")</f>
        <v/>
      </c>
      <c r="L102">
        <f>IF(COUNTIF(표8[material_id],표2[[#This Row],[material_id]])&gt;0, "O", "X")</f>
        <v/>
      </c>
      <c r="M102">
        <f>IF(COUNTIFS(표8[material_id],표2[[#This Row],[material_id]],표8[location],"울산")&gt;0, "O", "X")</f>
        <v/>
      </c>
    </row>
    <row r="103">
      <c r="A103" t="inlineStr">
        <is>
          <t>M102</t>
        </is>
      </c>
      <c r="B103" s="1" t="inlineStr">
        <is>
          <t>C5</t>
        </is>
      </c>
      <c r="C103" s="22" t="inlineStr">
        <is>
          <t>Isoprene</t>
        </is>
      </c>
      <c r="D103" t="inlineStr">
        <is>
          <t>Base chemical</t>
        </is>
      </c>
      <c r="E103" t="inlineStr">
        <is>
          <t>Diolefin</t>
        </is>
      </c>
      <c r="F103" s="1" t="n">
        <v>9000</v>
      </c>
      <c r="G103" t="n">
        <v>2901242000</v>
      </c>
      <c r="J103">
        <f>IF(COUNTIF(CCMA[material_name],C103)&gt;0,"O","X")</f>
        <v/>
      </c>
      <c r="K103">
        <f>IF(COUNTIF(CEH[material_name],C103)&gt;0,"O","X")</f>
        <v/>
      </c>
      <c r="L103">
        <f>IF(COUNTIF(표8[material_id],표2[[#This Row],[material_id]])&gt;0, "O", "X")</f>
        <v/>
      </c>
      <c r="M103">
        <f>IF(COUNTIFS(표8[material_id],표2[[#This Row],[material_id]],표8[location],"울산")&gt;0, "O", "X")</f>
        <v/>
      </c>
    </row>
    <row r="104">
      <c r="A104" t="inlineStr">
        <is>
          <t>M103</t>
        </is>
      </c>
      <c r="B104" s="1" t="inlineStr">
        <is>
          <t>C5</t>
        </is>
      </c>
      <c r="C104" t="inlineStr">
        <is>
          <t>Piperylene</t>
        </is>
      </c>
      <c r="D104" t="inlineStr">
        <is>
          <t>Base chemical</t>
        </is>
      </c>
      <c r="E104" t="inlineStr">
        <is>
          <t>Diolefin</t>
        </is>
      </c>
      <c r="F104" t="n">
        <v>9100</v>
      </c>
      <c r="J104">
        <f>IF(COUNTIF(CCMA[material_name],C104)&gt;0,"O","X")</f>
        <v/>
      </c>
      <c r="K104">
        <f>IF(COUNTIF(CEH[material_name],C104)&gt;0,"O","X")</f>
        <v/>
      </c>
      <c r="L104">
        <f>IF(COUNTIF(표8[material_id],표2[[#This Row],[material_id]])&gt;0, "O", "X")</f>
        <v/>
      </c>
      <c r="M104">
        <f>IF(COUNTIFS(표8[material_id],표2[[#This Row],[material_id]],표8[location],"울산")&gt;0, "O", "X")</f>
        <v/>
      </c>
    </row>
    <row r="105">
      <c r="A105" t="inlineStr">
        <is>
          <t>M104</t>
        </is>
      </c>
      <c r="B105" s="1" t="inlineStr">
        <is>
          <t>C5</t>
        </is>
      </c>
      <c r="C105" s="21" t="inlineStr">
        <is>
          <t>DCPD</t>
        </is>
      </c>
      <c r="D105" t="inlineStr">
        <is>
          <t>Base chemical</t>
        </is>
      </c>
      <c r="E105" t="inlineStr">
        <is>
          <t>Cyclic Diolefin</t>
        </is>
      </c>
      <c r="F105" t="n">
        <v>9200</v>
      </c>
      <c r="H105" t="inlineStr">
        <is>
          <t>Dicyclopentadiene</t>
        </is>
      </c>
      <c r="J105">
        <f>IF(COUNTIF(CCMA[material_name],C105)&gt;0,"O","X")</f>
        <v/>
      </c>
      <c r="K105">
        <f>IF(COUNTIF(CEH[material_name],C105)&gt;0,"O","X")</f>
        <v/>
      </c>
      <c r="L105">
        <f>IF(COUNTIF(표8[material_id],표2[[#This Row],[material_id]])&gt;0, "O", "X")</f>
        <v/>
      </c>
      <c r="M105">
        <f>IF(COUNTIFS(표8[material_id],표2[[#This Row],[material_id]],표8[location],"울산")&gt;0, "O", "X")</f>
        <v/>
      </c>
    </row>
    <row r="106">
      <c r="A106" t="inlineStr">
        <is>
          <t>M105</t>
        </is>
      </c>
      <c r="B106" s="1" t="inlineStr">
        <is>
          <t>C5</t>
        </is>
      </c>
      <c r="C106" s="21" t="inlineStr">
        <is>
          <t>IR</t>
        </is>
      </c>
      <c r="D106" t="inlineStr">
        <is>
          <t>Polymer</t>
        </is>
      </c>
      <c r="E106" t="inlineStr">
        <is>
          <t>Synthetic Rubber</t>
        </is>
      </c>
      <c r="F106" t="n">
        <v>9010</v>
      </c>
      <c r="G106" t="n">
        <v>4002600000</v>
      </c>
      <c r="H106" t="inlineStr">
        <is>
          <t>Isoprene Rubber</t>
        </is>
      </c>
      <c r="J106">
        <f>IF(COUNTIF(CCMA[material_name],C106)&gt;0,"O","X")</f>
        <v/>
      </c>
      <c r="K106">
        <f>IF(COUNTIF(CEH[material_name],C106)&gt;0,"O","X")</f>
        <v/>
      </c>
      <c r="L106">
        <f>IF(COUNTIF(표8[material_id],표2[[#This Row],[material_id]])&gt;0, "O", "X")</f>
        <v/>
      </c>
      <c r="M106">
        <f>IF(COUNTIFS(표8[material_id],표2[[#This Row],[material_id]],표8[location],"울산")&gt;0, "O", "X")</f>
        <v/>
      </c>
    </row>
    <row r="107">
      <c r="A107" t="inlineStr">
        <is>
          <t>M106</t>
        </is>
      </c>
      <c r="B107" s="1" t="inlineStr">
        <is>
          <t>C5</t>
        </is>
      </c>
      <c r="C107" s="21" t="inlineStr">
        <is>
          <t>SIS</t>
        </is>
      </c>
      <c r="D107" t="inlineStr">
        <is>
          <t>Polymer</t>
        </is>
      </c>
      <c r="E107" t="inlineStr">
        <is>
          <t>Synthetic Rubber</t>
        </is>
      </c>
      <c r="F107" t="n">
        <v>9020</v>
      </c>
      <c r="H107" t="inlineStr">
        <is>
          <t>Styrene-Isoprene-Styrene</t>
        </is>
      </c>
      <c r="J107">
        <f>IF(COUNTIF(CCMA[material_name],C107)&gt;0,"O","X")</f>
        <v/>
      </c>
      <c r="K107">
        <f>IF(COUNTIF(CEH[material_name],C107)&gt;0,"O","X")</f>
        <v/>
      </c>
      <c r="L107">
        <f>IF(COUNTIF(표8[material_id],표2[[#This Row],[material_id]])&gt;0, "O", "X")</f>
        <v/>
      </c>
      <c r="M107">
        <f>IF(COUNTIFS(표8[material_id],표2[[#This Row],[material_id]],표8[location],"울산")&gt;0, "O", "X")</f>
        <v/>
      </c>
    </row>
    <row r="108">
      <c r="A108" t="inlineStr">
        <is>
          <t>M107</t>
        </is>
      </c>
      <c r="B108" t="inlineStr">
        <is>
          <t>Propylene</t>
        </is>
      </c>
      <c r="C108" s="21" t="inlineStr">
        <is>
          <t>i-butyraldehyde</t>
        </is>
      </c>
      <c r="D108" t="inlineStr">
        <is>
          <t>Intermediate</t>
        </is>
      </c>
      <c r="E108" t="inlineStr">
        <is>
          <t>Aldehyde</t>
        </is>
      </c>
      <c r="F108" t="n">
        <v>3600</v>
      </c>
      <c r="J108">
        <f>IF(COUNTIF(CCMA[material_name],C108)&gt;0,"O","X")</f>
        <v/>
      </c>
      <c r="K108">
        <f>IF(COUNTIF(CEH[material_name],C108)&gt;0,"O","X")</f>
        <v/>
      </c>
      <c r="L108">
        <f>IF(COUNTIF(표8[material_id],표2[[#This Row],[material_id]])&gt;0, "O", "X")</f>
        <v/>
      </c>
      <c r="M108">
        <f>IF(COUNTIFS(표8[material_id],표2[[#This Row],[material_id]],표8[location],"울산")&gt;0, "O", "X")</f>
        <v/>
      </c>
    </row>
    <row r="109">
      <c r="A109" t="inlineStr">
        <is>
          <t>M108</t>
        </is>
      </c>
      <c r="B109" t="inlineStr">
        <is>
          <t>C5</t>
        </is>
      </c>
      <c r="C109" t="inlineStr">
        <is>
          <t>DCPD Resin</t>
        </is>
      </c>
      <c r="D109" t="inlineStr">
        <is>
          <t>Functional Material</t>
        </is>
      </c>
      <c r="E109" t="inlineStr">
        <is>
          <t>Hydrocarbon Resin</t>
        </is>
      </c>
      <c r="F109" t="n">
        <v>9210</v>
      </c>
      <c r="J109">
        <f>IF(COUNTIF(CCMA[material_name],C109)&gt;0,"O","X")</f>
        <v/>
      </c>
      <c r="K109">
        <f>IF(COUNTIF(CEH[material_name],C109)&gt;0,"O","X")</f>
        <v/>
      </c>
      <c r="L109">
        <f>IF(COUNTIF(표8[material_id],표2[[#This Row],[material_id]])&gt;0, "O", "X")</f>
        <v/>
      </c>
      <c r="M109">
        <f>IF(COUNTIFS(표8[material_id],표2[[#This Row],[material_id]],표8[location],"울산")&gt;0, "O", "X")</f>
        <v/>
      </c>
    </row>
    <row r="110">
      <c r="A110" t="inlineStr">
        <is>
          <t>M109</t>
        </is>
      </c>
      <c r="B110" t="inlineStr">
        <is>
          <t>C5</t>
        </is>
      </c>
      <c r="C110" s="21" t="inlineStr">
        <is>
          <t>UPR</t>
        </is>
      </c>
      <c r="D110" t="inlineStr">
        <is>
          <t>Functional Material</t>
        </is>
      </c>
      <c r="E110" t="inlineStr">
        <is>
          <t>Thermoset Resin</t>
        </is>
      </c>
      <c r="F110" t="n">
        <v>9220</v>
      </c>
      <c r="H110" t="inlineStr">
        <is>
          <t>Unsaturated Polyester Resin</t>
        </is>
      </c>
      <c r="J110">
        <f>IF(COUNTIF(CCMA[material_name],C110)&gt;0,"O","X")</f>
        <v/>
      </c>
      <c r="K110">
        <f>IF(COUNTIF(CEH[material_name],C110)&gt;0,"O","X")</f>
        <v/>
      </c>
      <c r="L110">
        <f>IF(COUNTIF(표8[material_id],표2[[#This Row],[material_id]])&gt;0, "O", "X")</f>
        <v/>
      </c>
      <c r="M110">
        <f>IF(COUNTIFS(표8[material_id],표2[[#This Row],[material_id]],표8[location],"울산")&gt;0, "O", "X")</f>
        <v/>
      </c>
    </row>
    <row r="111">
      <c r="A111" t="inlineStr">
        <is>
          <t>M110</t>
        </is>
      </c>
      <c r="B111" t="inlineStr">
        <is>
          <t>C5</t>
        </is>
      </c>
      <c r="C111" t="inlineStr">
        <is>
          <t>ENB</t>
        </is>
      </c>
      <c r="D111" t="inlineStr">
        <is>
          <t>Intermediate</t>
        </is>
      </c>
      <c r="E111" t="inlineStr">
        <is>
          <t>Diene Monomer</t>
        </is>
      </c>
      <c r="F111" t="n">
        <v>9230</v>
      </c>
      <c r="H111" t="inlineStr">
        <is>
          <t>Ethylidene Norbornene</t>
        </is>
      </c>
      <c r="J111">
        <f>IF(COUNTIF(CCMA[material_name],C111)&gt;0,"O","X")</f>
        <v/>
      </c>
      <c r="K111">
        <f>IF(COUNTIF(CEH[material_name],C111)&gt;0,"O","X")</f>
        <v/>
      </c>
      <c r="L111">
        <f>IF(COUNTIF(표8[material_id],표2[[#This Row],[material_id]])&gt;0, "O", "X")</f>
        <v/>
      </c>
      <c r="M111">
        <f>IF(COUNTIFS(표8[material_id],표2[[#This Row],[material_id]],표8[location],"울산")&gt;0, "O", "X")</f>
        <v/>
      </c>
    </row>
    <row r="112">
      <c r="A112" t="inlineStr">
        <is>
          <t>M111</t>
        </is>
      </c>
      <c r="B112" t="inlineStr">
        <is>
          <t>C5</t>
        </is>
      </c>
      <c r="C112" t="inlineStr">
        <is>
          <t>PolyDCPD</t>
        </is>
      </c>
      <c r="D112" s="1" t="inlineStr">
        <is>
          <t>Polymer</t>
        </is>
      </c>
      <c r="E112" s="1" t="inlineStr">
        <is>
          <t>Thermoset Resin</t>
        </is>
      </c>
      <c r="F112" t="n">
        <v>9240</v>
      </c>
      <c r="J112">
        <f>IF(COUNTIF(CCMA[material_name],C112)&gt;0,"O","X")</f>
        <v/>
      </c>
      <c r="K112">
        <f>IF(COUNTIF(CEH[material_name],C112)&gt;0,"O","X")</f>
        <v/>
      </c>
      <c r="L112">
        <f>IF(COUNTIF(표8[material_id],표2[[#This Row],[material_id]])&gt;0, "O", "X")</f>
        <v/>
      </c>
      <c r="M112">
        <f>IF(COUNTIFS(표8[material_id],표2[[#This Row],[material_id]],표8[location],"울산")&gt;0, "O", "X")</f>
        <v/>
      </c>
    </row>
    <row r="113">
      <c r="A113" t="inlineStr">
        <is>
          <t>M112</t>
        </is>
      </c>
      <c r="B113" t="inlineStr">
        <is>
          <t>C5</t>
        </is>
      </c>
      <c r="C113" t="inlineStr">
        <is>
          <t>COP</t>
        </is>
      </c>
      <c r="D113" s="1" t="inlineStr">
        <is>
          <t>Polymer</t>
        </is>
      </c>
      <c r="E113" s="1" t="inlineStr">
        <is>
          <t>Cyclic Olefin Polymer</t>
        </is>
      </c>
      <c r="F113" t="n">
        <v>9250</v>
      </c>
      <c r="H113" t="inlineStr">
        <is>
          <t>Cyclo Olefin Polymer (Nobornene)</t>
        </is>
      </c>
      <c r="J113">
        <f>IF(COUNTIF(CCMA[material_name],C113)&gt;0,"O","X")</f>
        <v/>
      </c>
      <c r="K113">
        <f>IF(COUNTIF(CEH[material_name],C113)&gt;0,"O","X")</f>
        <v/>
      </c>
      <c r="L113">
        <f>IF(COUNTIF(표8[material_id],표2[[#This Row],[material_id]])&gt;0, "O", "X")</f>
        <v/>
      </c>
      <c r="M113">
        <f>IF(COUNTIFS(표8[material_id],표2[[#This Row],[material_id]],표8[location],"울산")&gt;0, "O", "X")</f>
        <v/>
      </c>
    </row>
    <row r="114">
      <c r="A114" t="inlineStr">
        <is>
          <t>M113</t>
        </is>
      </c>
      <c r="B114" t="inlineStr">
        <is>
          <t>C5</t>
        </is>
      </c>
      <c r="C114" t="inlineStr">
        <is>
          <t>C5 Resin</t>
        </is>
      </c>
      <c r="D114" t="inlineStr">
        <is>
          <t>Functional Material</t>
        </is>
      </c>
      <c r="E114" t="inlineStr">
        <is>
          <t>Hydrocarbon Resin</t>
        </is>
      </c>
      <c r="F114" t="n">
        <v>9110</v>
      </c>
      <c r="J114">
        <f>IF(COUNTIF(CCMA[material_name],C114)&gt;0,"O","X")</f>
        <v/>
      </c>
      <c r="K114">
        <f>IF(COUNTIF(CEH[material_name],C114)&gt;0,"O","X")</f>
        <v/>
      </c>
      <c r="L114">
        <f>IF(COUNTIF(표8[material_id],표2[[#This Row],[material_id]])&gt;0, "O", "X")</f>
        <v/>
      </c>
      <c r="M114">
        <f>IF(COUNTIFS(표8[material_id],표2[[#This Row],[material_id]],표8[location],"울산")&gt;0, "O", "X")</f>
        <v/>
      </c>
    </row>
    <row r="115">
      <c r="A115" t="inlineStr">
        <is>
          <t>M114</t>
        </is>
      </c>
      <c r="B115" t="inlineStr">
        <is>
          <t>Benzene</t>
        </is>
      </c>
      <c r="C115" t="inlineStr">
        <is>
          <t>Chlorobenzene</t>
        </is>
      </c>
      <c r="D115" t="inlineStr">
        <is>
          <t>Intermediate</t>
        </is>
      </c>
      <c r="E115" t="inlineStr">
        <is>
          <t>Chlorinated Intermediate</t>
        </is>
      </c>
      <c r="F115" t="n">
        <v>6500</v>
      </c>
      <c r="G115" t="n">
        <v>2903911000</v>
      </c>
      <c r="H115" t="inlineStr">
        <is>
          <t>MCB(Mono Chlorobenzene)</t>
        </is>
      </c>
      <c r="J115">
        <f>IF(COUNTIF(CCMA[material_name],C115)&gt;0,"O","X")</f>
        <v/>
      </c>
      <c r="K115">
        <f>IF(COUNTIF(CEH[material_name],C115)&gt;0,"O","X")</f>
        <v/>
      </c>
      <c r="L115">
        <f>IF(COUNTIF(표8[material_id],표2[[#This Row],[material_id]])&gt;0, "O", "X")</f>
        <v/>
      </c>
      <c r="M115">
        <f>IF(COUNTIFS(표8[material_id],표2[[#This Row],[material_id]],표8[location],"울산")&gt;0, "O", "X")</f>
        <v/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0">
    <outlinePr summaryBelow="1" summaryRight="1"/>
    <pageSetUpPr/>
  </sheetPr>
  <dimension ref="A1:E104"/>
  <sheetViews>
    <sheetView topLeftCell="A73" zoomScale="85" zoomScaleNormal="85" workbookViewId="0">
      <selection activeCell="A104" sqref="A104"/>
    </sheetView>
  </sheetViews>
  <sheetFormatPr baseColWidth="8" defaultRowHeight="16.5"/>
  <cols>
    <col width="10.875" bestFit="1" customWidth="1" style="179" min="1" max="1"/>
    <col width="45.875" bestFit="1" customWidth="1" style="179" min="2" max="2"/>
    <col width="28.75" bestFit="1" customWidth="1" style="179" min="3" max="3"/>
    <col width="13" customWidth="1" style="179" min="4" max="4"/>
    <col width="44" bestFit="1" customWidth="1" style="179" min="5" max="5"/>
  </cols>
  <sheetData>
    <row r="1">
      <c r="A1" t="inlineStr">
        <is>
          <t>route_id</t>
        </is>
      </c>
      <c r="B1" t="inlineStr">
        <is>
          <t>route_name</t>
        </is>
      </c>
      <c r="C1" t="inlineStr">
        <is>
          <t>route_category</t>
        </is>
      </c>
      <c r="D1" t="inlineStr">
        <is>
          <t>route_depth</t>
        </is>
      </c>
      <c r="E1" t="inlineStr">
        <is>
          <t>remarks</t>
        </is>
      </c>
    </row>
    <row r="2">
      <c r="A2" t="inlineStr">
        <is>
          <t>R001</t>
        </is>
      </c>
      <c r="B2" t="inlineStr">
        <is>
          <t>Ethylene to HDPE</t>
        </is>
      </c>
      <c r="C2" t="inlineStr">
        <is>
          <t>Polymerization</t>
        </is>
      </c>
      <c r="D2" t="n">
        <v>1</v>
      </c>
    </row>
    <row r="3">
      <c r="A3" t="inlineStr">
        <is>
          <t>R002</t>
        </is>
      </c>
      <c r="B3" t="inlineStr">
        <is>
          <t>Ethylene to LDPE</t>
        </is>
      </c>
      <c r="C3" t="inlineStr">
        <is>
          <t>Polymerization</t>
        </is>
      </c>
      <c r="D3" t="n">
        <v>1</v>
      </c>
    </row>
    <row r="4">
      <c r="A4" t="inlineStr">
        <is>
          <t>R003</t>
        </is>
      </c>
      <c r="B4" t="inlineStr">
        <is>
          <t>Ethylene to LLDPE</t>
        </is>
      </c>
      <c r="C4" t="inlineStr">
        <is>
          <t>Polymerization</t>
        </is>
      </c>
      <c r="D4" t="n">
        <v>1</v>
      </c>
      <c r="E4" t="inlineStr">
        <is>
          <t>comonomer required in practice</t>
        </is>
      </c>
    </row>
    <row r="5">
      <c r="A5" t="inlineStr">
        <is>
          <t>R004</t>
        </is>
      </c>
      <c r="B5" t="inlineStr">
        <is>
          <t>Ethylene to EDC</t>
        </is>
      </c>
      <c r="C5" t="inlineStr">
        <is>
          <t>Chlorination</t>
        </is>
      </c>
      <c r="D5" t="n">
        <v>1</v>
      </c>
    </row>
    <row r="6">
      <c r="A6" t="inlineStr">
        <is>
          <t>R005</t>
        </is>
      </c>
      <c r="B6" t="inlineStr">
        <is>
          <t>EDC to VCM</t>
        </is>
      </c>
      <c r="C6" t="inlineStr">
        <is>
          <t>Cracking</t>
        </is>
      </c>
      <c r="D6" t="n">
        <v>2</v>
      </c>
    </row>
    <row r="7">
      <c r="A7" t="inlineStr">
        <is>
          <t>R006</t>
        </is>
      </c>
      <c r="B7" t="inlineStr">
        <is>
          <t>VCM to PVC</t>
        </is>
      </c>
      <c r="C7" t="inlineStr">
        <is>
          <t>Polymerization</t>
        </is>
      </c>
      <c r="D7" t="n">
        <v>3</v>
      </c>
    </row>
    <row r="8">
      <c r="A8" t="inlineStr">
        <is>
          <t>R007</t>
        </is>
      </c>
      <c r="B8" t="inlineStr">
        <is>
          <t>Ethylene to EO</t>
        </is>
      </c>
      <c r="C8" t="inlineStr">
        <is>
          <t>Oxidation</t>
        </is>
      </c>
      <c r="D8" t="n">
        <v>1</v>
      </c>
    </row>
    <row r="9">
      <c r="A9" t="inlineStr">
        <is>
          <t>R008</t>
        </is>
      </c>
      <c r="B9" t="inlineStr">
        <is>
          <t>EO to MEG</t>
        </is>
      </c>
      <c r="C9" t="inlineStr">
        <is>
          <t>Hydration</t>
        </is>
      </c>
      <c r="D9" t="n">
        <v>2</v>
      </c>
    </row>
    <row r="10">
      <c r="A10" t="inlineStr">
        <is>
          <t>R009</t>
        </is>
      </c>
      <c r="B10" t="inlineStr">
        <is>
          <t>EO to Ethanolamines</t>
        </is>
      </c>
      <c r="C10" t="inlineStr">
        <is>
          <t>Amination</t>
        </is>
      </c>
      <c r="D10" t="n">
        <v>2</v>
      </c>
      <c r="E10" t="inlineStr">
        <is>
          <t>family-level output</t>
        </is>
      </c>
    </row>
    <row r="11">
      <c r="A11" t="inlineStr">
        <is>
          <t>R010</t>
        </is>
      </c>
      <c r="B11" t="inlineStr">
        <is>
          <t>Ethanolamines to MEA</t>
        </is>
      </c>
      <c r="C11" t="inlineStr">
        <is>
          <t>Separation/Refining</t>
        </is>
      </c>
      <c r="D11" t="n">
        <v>3</v>
      </c>
      <c r="E11" t="inlineStr">
        <is>
          <t>family-level split</t>
        </is>
      </c>
    </row>
    <row r="12">
      <c r="A12" t="inlineStr">
        <is>
          <t>R011</t>
        </is>
      </c>
      <c r="B12" t="inlineStr">
        <is>
          <t>Ethanolamines to DEA</t>
        </is>
      </c>
      <c r="C12" t="inlineStr">
        <is>
          <t>Separation/Refining</t>
        </is>
      </c>
      <c r="D12" t="n">
        <v>3</v>
      </c>
      <c r="E12" t="inlineStr">
        <is>
          <t>family-level split</t>
        </is>
      </c>
    </row>
    <row r="13">
      <c r="A13" t="inlineStr">
        <is>
          <t>R012</t>
        </is>
      </c>
      <c r="B13" t="inlineStr">
        <is>
          <t>Ethanolamines to TEA</t>
        </is>
      </c>
      <c r="C13" t="inlineStr">
        <is>
          <t>Separation/Refining</t>
        </is>
      </c>
      <c r="D13" t="n">
        <v>3</v>
      </c>
      <c r="E13" t="inlineStr">
        <is>
          <t>family-level split</t>
        </is>
      </c>
    </row>
    <row r="14">
      <c r="A14" t="inlineStr">
        <is>
          <t>R013</t>
        </is>
      </c>
      <c r="B14" t="inlineStr">
        <is>
          <t>Ethylene to Ethanol</t>
        </is>
      </c>
      <c r="C14" t="inlineStr">
        <is>
          <t>Hydration</t>
        </is>
      </c>
      <c r="D14" t="n">
        <v>1</v>
      </c>
    </row>
    <row r="15">
      <c r="A15" t="inlineStr">
        <is>
          <t>R014</t>
        </is>
      </c>
      <c r="B15" t="inlineStr">
        <is>
          <t>Ethylene to Acetaldehyde</t>
        </is>
      </c>
      <c r="C15" t="inlineStr">
        <is>
          <t>Oxidation</t>
        </is>
      </c>
      <c r="D15" t="n">
        <v>1</v>
      </c>
    </row>
    <row r="16">
      <c r="A16" t="inlineStr">
        <is>
          <t>R015</t>
        </is>
      </c>
      <c r="B16" t="inlineStr">
        <is>
          <t>Ethylene to Ethylamine</t>
        </is>
      </c>
      <c r="C16" t="inlineStr">
        <is>
          <t>Amination</t>
        </is>
      </c>
      <c r="D16" t="n">
        <v>1</v>
      </c>
      <c r="E16" t="inlineStr">
        <is>
          <t>simplified</t>
        </is>
      </c>
    </row>
    <row r="17">
      <c r="A17" t="inlineStr">
        <is>
          <t>R016</t>
        </is>
      </c>
      <c r="B17" t="inlineStr">
        <is>
          <t>Ethylene to VAM</t>
        </is>
      </c>
      <c r="C17" t="inlineStr">
        <is>
          <t>Acetoxylation</t>
        </is>
      </c>
      <c r="D17" t="n">
        <v>1</v>
      </c>
    </row>
    <row r="18">
      <c r="A18" t="inlineStr">
        <is>
          <t>R017</t>
        </is>
      </c>
      <c r="B18" t="inlineStr">
        <is>
          <t>Ethanol to Ethyl acetate</t>
        </is>
      </c>
      <c r="C18" t="inlineStr">
        <is>
          <t>Esterification</t>
        </is>
      </c>
      <c r="D18" t="n">
        <v>2</v>
      </c>
    </row>
    <row r="19">
      <c r="A19" t="inlineStr">
        <is>
          <t>R018</t>
        </is>
      </c>
      <c r="B19" t="inlineStr">
        <is>
          <t>AA plus Ethanol to Ethyl acrylate</t>
        </is>
      </c>
      <c r="C19" t="inlineStr">
        <is>
          <t>Esterification</t>
        </is>
      </c>
      <c r="D19" t="n">
        <v>2</v>
      </c>
      <c r="E19" t="inlineStr">
        <is>
          <t>cross-group route</t>
        </is>
      </c>
    </row>
    <row r="20">
      <c r="A20" t="inlineStr">
        <is>
          <t>R019</t>
        </is>
      </c>
      <c r="B20" t="inlineStr">
        <is>
          <t>Propylene to PP</t>
        </is>
      </c>
      <c r="C20" t="inlineStr">
        <is>
          <t>Polymerization</t>
        </is>
      </c>
      <c r="D20" t="n">
        <v>1</v>
      </c>
    </row>
    <row r="21">
      <c r="A21" t="inlineStr">
        <is>
          <t>R020</t>
        </is>
      </c>
      <c r="B21" t="inlineStr">
        <is>
          <t>Propylene to PO</t>
        </is>
      </c>
      <c r="C21" t="inlineStr">
        <is>
          <t>Oxidation</t>
        </is>
      </c>
      <c r="D21" t="n">
        <v>1</v>
      </c>
    </row>
    <row r="22">
      <c r="A22" t="inlineStr">
        <is>
          <t>R021</t>
        </is>
      </c>
      <c r="B22" t="inlineStr">
        <is>
          <t>PO to PG</t>
        </is>
      </c>
      <c r="C22" t="inlineStr">
        <is>
          <t>Hydration</t>
        </is>
      </c>
      <c r="D22" t="n">
        <v>2</v>
      </c>
    </row>
    <row r="23">
      <c r="A23" t="inlineStr">
        <is>
          <t>R022</t>
        </is>
      </c>
      <c r="B23" t="inlineStr">
        <is>
          <t>PO to PPG</t>
        </is>
      </c>
      <c r="C23" t="inlineStr">
        <is>
          <t>Polyether formation</t>
        </is>
      </c>
      <c r="D23" t="n">
        <v>2</v>
      </c>
    </row>
    <row r="24">
      <c r="A24" t="inlineStr">
        <is>
          <t>R023</t>
        </is>
      </c>
      <c r="B24" t="inlineStr">
        <is>
          <t>PO to Polyols</t>
        </is>
      </c>
      <c r="C24" t="inlineStr">
        <is>
          <t>Polyether formation</t>
        </is>
      </c>
      <c r="D24" t="n">
        <v>2</v>
      </c>
      <c r="E24" t="inlineStr">
        <is>
          <t>family-level output</t>
        </is>
      </c>
    </row>
    <row r="25">
      <c r="A25" t="inlineStr">
        <is>
          <t>R024</t>
        </is>
      </c>
      <c r="B25" t="inlineStr">
        <is>
          <t>Polyols to PU</t>
        </is>
      </c>
      <c r="C25" t="inlineStr">
        <is>
          <t>Polymerization</t>
        </is>
      </c>
      <c r="D25" t="n">
        <v>3</v>
      </c>
    </row>
    <row r="26">
      <c r="A26" t="inlineStr">
        <is>
          <t>R025</t>
        </is>
      </c>
      <c r="B26" t="inlineStr">
        <is>
          <t>Propylene to AN</t>
        </is>
      </c>
      <c r="C26" t="inlineStr">
        <is>
          <t>Ammoxidation</t>
        </is>
      </c>
      <c r="D26" t="n">
        <v>1</v>
      </c>
    </row>
    <row r="27">
      <c r="A27" t="inlineStr">
        <is>
          <t>R026</t>
        </is>
      </c>
      <c r="B27" t="inlineStr">
        <is>
          <t>AN plus Styrene plus Butadiene to ABS</t>
        </is>
      </c>
      <c r="C27" t="inlineStr">
        <is>
          <t>Polymerization</t>
        </is>
      </c>
      <c r="D27" t="n">
        <v>2</v>
      </c>
      <c r="E27" t="inlineStr">
        <is>
          <t>cross-group route</t>
        </is>
      </c>
    </row>
    <row r="28">
      <c r="A28" t="inlineStr">
        <is>
          <t>R027</t>
        </is>
      </c>
      <c r="B28" t="inlineStr">
        <is>
          <t>AN plus Styrene to SAN</t>
        </is>
      </c>
      <c r="C28" t="inlineStr">
        <is>
          <t>Polymerization</t>
        </is>
      </c>
      <c r="D28" t="n">
        <v>2</v>
      </c>
      <c r="E28" t="inlineStr">
        <is>
          <t>cross-group route</t>
        </is>
      </c>
    </row>
    <row r="29">
      <c r="A29" t="inlineStr">
        <is>
          <t>R028</t>
        </is>
      </c>
      <c r="B29" t="inlineStr">
        <is>
          <t>AN plus Butadiene to NBR</t>
        </is>
      </c>
      <c r="C29" t="inlineStr">
        <is>
          <t>Polymerization</t>
        </is>
      </c>
      <c r="D29" t="n">
        <v>2</v>
      </c>
      <c r="E29" t="inlineStr">
        <is>
          <t>cross-group route</t>
        </is>
      </c>
    </row>
    <row r="30">
      <c r="A30" t="inlineStr">
        <is>
          <t>R029</t>
        </is>
      </c>
      <c r="B30" t="inlineStr">
        <is>
          <t>Propylene to Acrylic acid</t>
        </is>
      </c>
      <c r="C30" t="inlineStr">
        <is>
          <t>Oxidation</t>
        </is>
      </c>
      <c r="D30" t="n">
        <v>1</v>
      </c>
    </row>
    <row r="31">
      <c r="A31" t="inlineStr">
        <is>
          <t>R030</t>
        </is>
      </c>
      <c r="B31" t="inlineStr">
        <is>
          <t>Propylene to IPA</t>
        </is>
      </c>
      <c r="C31" t="inlineStr">
        <is>
          <t>Hydration</t>
        </is>
      </c>
      <c r="D31" t="n">
        <v>1</v>
      </c>
    </row>
    <row r="32">
      <c r="A32" t="inlineStr">
        <is>
          <t>R031</t>
        </is>
      </c>
      <c r="B32" t="inlineStr">
        <is>
          <t>Acrylic acid to Acrylate ester</t>
        </is>
      </c>
      <c r="C32" t="inlineStr">
        <is>
          <t>Esterification</t>
        </is>
      </c>
      <c r="D32" t="n">
        <v>2</v>
      </c>
      <c r="E32" t="inlineStr">
        <is>
          <t>simplified, (BA/EA/2-EHA/MA 등)</t>
        </is>
      </c>
    </row>
    <row r="33">
      <c r="A33" t="inlineStr">
        <is>
          <t>R032</t>
        </is>
      </c>
      <c r="B33" t="inlineStr">
        <is>
          <t>Acrylic acid to SAP</t>
        </is>
      </c>
      <c r="C33" t="inlineStr">
        <is>
          <t>Polymerization</t>
        </is>
      </c>
      <c r="D33" t="n">
        <v>2</v>
      </c>
      <c r="E33" t="inlineStr">
        <is>
          <t>simplified</t>
        </is>
      </c>
    </row>
    <row r="34">
      <c r="A34" t="inlineStr">
        <is>
          <t>R033</t>
        </is>
      </c>
      <c r="B34" t="inlineStr">
        <is>
          <t>Propylene to n-Butyraldehyde</t>
        </is>
      </c>
      <c r="C34" t="inlineStr">
        <is>
          <t>Hydroformylation</t>
        </is>
      </c>
      <c r="D34" t="n">
        <v>1</v>
      </c>
    </row>
    <row r="35">
      <c r="A35" t="inlineStr">
        <is>
          <t>R034</t>
        </is>
      </c>
      <c r="B35" t="inlineStr">
        <is>
          <t>Butyraldehyde to n-Butanol</t>
        </is>
      </c>
      <c r="C35" t="inlineStr">
        <is>
          <t>Hydrogenation</t>
        </is>
      </c>
      <c r="D35" t="n">
        <v>2</v>
      </c>
    </row>
    <row r="36">
      <c r="A36" t="inlineStr">
        <is>
          <t>R035</t>
        </is>
      </c>
      <c r="B36" t="inlineStr">
        <is>
          <t>i-Butyraldehyde to Isobutanol</t>
        </is>
      </c>
      <c r="C36" t="inlineStr">
        <is>
          <t>Hydrogenation</t>
        </is>
      </c>
      <c r="D36" t="n">
        <v>2</v>
      </c>
    </row>
    <row r="37">
      <c r="A37" t="inlineStr">
        <is>
          <t>R036</t>
        </is>
      </c>
      <c r="B37" t="inlineStr">
        <is>
          <t>Butyraldehyde to 2-Ethylhexanol</t>
        </is>
      </c>
      <c r="C37" t="inlineStr">
        <is>
          <t>Adol condensation</t>
        </is>
      </c>
      <c r="D37" t="n">
        <v>2</v>
      </c>
      <c r="E37" t="inlineStr">
        <is>
          <t>simplified</t>
        </is>
      </c>
    </row>
    <row r="38">
      <c r="A38" t="inlineStr">
        <is>
          <t>R037</t>
        </is>
      </c>
      <c r="B38" t="inlineStr">
        <is>
          <t>n-Butanol to n-Butyl acetate</t>
        </is>
      </c>
      <c r="C38" t="inlineStr">
        <is>
          <t>Esterification</t>
        </is>
      </c>
      <c r="D38" t="n">
        <v>3</v>
      </c>
    </row>
    <row r="39">
      <c r="A39" t="inlineStr">
        <is>
          <t>R038</t>
        </is>
      </c>
      <c r="B39" t="inlineStr">
        <is>
          <t>Isobutanol to Isobutyl acetate</t>
        </is>
      </c>
      <c r="C39" t="inlineStr">
        <is>
          <t>Esterification</t>
        </is>
      </c>
      <c r="D39" t="n">
        <v>3</v>
      </c>
    </row>
    <row r="40">
      <c r="A40" t="inlineStr">
        <is>
          <t>R039</t>
        </is>
      </c>
      <c r="B40" t="inlineStr">
        <is>
          <t>Propylene to IPA</t>
        </is>
      </c>
      <c r="C40" t="inlineStr">
        <is>
          <t>Hydration</t>
        </is>
      </c>
      <c r="D40" t="n">
        <v>1</v>
      </c>
    </row>
    <row r="41">
      <c r="A41" t="inlineStr">
        <is>
          <t>R040</t>
        </is>
      </c>
      <c r="B41" t="inlineStr">
        <is>
          <t>Isopropanol to Isopropyl acetate</t>
        </is>
      </c>
      <c r="C41" t="inlineStr">
        <is>
          <t>Esterification</t>
        </is>
      </c>
      <c r="D41" t="n">
        <v>2</v>
      </c>
    </row>
    <row r="42">
      <c r="A42" t="inlineStr">
        <is>
          <t>R041</t>
        </is>
      </c>
      <c r="B42" t="inlineStr">
        <is>
          <t>Butadiene to BR</t>
        </is>
      </c>
      <c r="C42" t="inlineStr">
        <is>
          <t>Polymerization</t>
        </is>
      </c>
      <c r="D42" t="n">
        <v>1</v>
      </c>
    </row>
    <row r="43">
      <c r="A43" t="inlineStr">
        <is>
          <t>R042</t>
        </is>
      </c>
      <c r="B43" t="inlineStr">
        <is>
          <t>Butadiene plus Styrene to SBR</t>
        </is>
      </c>
      <c r="C43" t="inlineStr">
        <is>
          <t>Polymerization</t>
        </is>
      </c>
      <c r="D43" t="n">
        <v>2</v>
      </c>
      <c r="E43" t="inlineStr">
        <is>
          <t>cross-group route</t>
        </is>
      </c>
    </row>
    <row r="44">
      <c r="A44" t="inlineStr">
        <is>
          <t>R043</t>
        </is>
      </c>
      <c r="B44" t="inlineStr">
        <is>
          <t>Isobutylene to PIB</t>
        </is>
      </c>
      <c r="C44" t="inlineStr">
        <is>
          <t>Polymerization</t>
        </is>
      </c>
      <c r="D44" t="n">
        <v>1</v>
      </c>
    </row>
    <row r="45">
      <c r="A45" t="inlineStr">
        <is>
          <t>R044</t>
        </is>
      </c>
      <c r="B45" t="inlineStr">
        <is>
          <t>Isobutylene to Butyl rubber</t>
        </is>
      </c>
      <c r="C45" t="inlineStr">
        <is>
          <t>Polymerization</t>
        </is>
      </c>
      <c r="D45" t="n">
        <v>1</v>
      </c>
      <c r="E45" t="inlineStr">
        <is>
          <t>cross-group route</t>
        </is>
      </c>
    </row>
    <row r="46">
      <c r="A46" t="inlineStr">
        <is>
          <t>R045</t>
        </is>
      </c>
      <c r="B46" t="inlineStr">
        <is>
          <t>n-Butenes to 1-Butene</t>
        </is>
      </c>
      <c r="C46" t="inlineStr">
        <is>
          <t>Separation</t>
        </is>
      </c>
      <c r="D46" t="n">
        <v>1</v>
      </c>
    </row>
    <row r="47">
      <c r="A47" t="inlineStr">
        <is>
          <t>R046</t>
        </is>
      </c>
      <c r="B47" t="inlineStr">
        <is>
          <t>n-Butenes to 2-Butene</t>
        </is>
      </c>
      <c r="C47" t="inlineStr">
        <is>
          <t>Separation</t>
        </is>
      </c>
      <c r="D47" t="n">
        <v>1</v>
      </c>
    </row>
    <row r="48">
      <c r="A48" t="inlineStr">
        <is>
          <t>R047</t>
        </is>
      </c>
      <c r="B48" t="inlineStr">
        <is>
          <t>1-Butene to PB-1</t>
        </is>
      </c>
      <c r="C48" t="inlineStr">
        <is>
          <t>Polymerization</t>
        </is>
      </c>
      <c r="D48" t="n">
        <v>2</v>
      </c>
    </row>
    <row r="49">
      <c r="A49" t="inlineStr">
        <is>
          <t>R048</t>
        </is>
      </c>
      <c r="B49" t="inlineStr">
        <is>
          <t>Ethylene to 1-Butene (On-purpose)</t>
        </is>
      </c>
      <c r="C49" t="inlineStr">
        <is>
          <t>Oligomerization</t>
        </is>
      </c>
      <c r="D49" t="n">
        <v>1</v>
      </c>
      <c r="E49" t="inlineStr">
        <is>
          <t>cross-group route</t>
        </is>
      </c>
    </row>
    <row r="50">
      <c r="A50" t="inlineStr">
        <is>
          <t>R049</t>
        </is>
      </c>
      <c r="B50" t="inlineStr">
        <is>
          <t>Benzene plus Ethylene to Ethylbenzene</t>
        </is>
      </c>
      <c r="C50" t="inlineStr">
        <is>
          <t>Alkylation</t>
        </is>
      </c>
      <c r="D50" t="n">
        <v>1</v>
      </c>
    </row>
    <row r="51">
      <c r="A51" t="inlineStr">
        <is>
          <t>R050</t>
        </is>
      </c>
      <c r="B51" t="inlineStr">
        <is>
          <t>Ethylbenzene to Styrene</t>
        </is>
      </c>
      <c r="C51" t="inlineStr">
        <is>
          <t>Dehydrogenation</t>
        </is>
      </c>
      <c r="D51" t="n">
        <v>2</v>
      </c>
    </row>
    <row r="52">
      <c r="A52" t="inlineStr">
        <is>
          <t>R051</t>
        </is>
      </c>
      <c r="B52" t="inlineStr">
        <is>
          <t>Styrene to PS</t>
        </is>
      </c>
      <c r="C52" t="inlineStr">
        <is>
          <t>Polymerization</t>
        </is>
      </c>
      <c r="D52" t="n">
        <v>3</v>
      </c>
    </row>
    <row r="53">
      <c r="A53" t="inlineStr">
        <is>
          <t>R052</t>
        </is>
      </c>
      <c r="B53" t="inlineStr">
        <is>
          <t>Benzene plus Propylene to Cumene</t>
        </is>
      </c>
      <c r="C53" t="inlineStr">
        <is>
          <t>Alkylation</t>
        </is>
      </c>
      <c r="D53" t="n">
        <v>1</v>
      </c>
      <c r="E53" t="inlineStr">
        <is>
          <t>cross-group route</t>
        </is>
      </c>
    </row>
    <row r="54">
      <c r="A54" t="inlineStr">
        <is>
          <t>R053</t>
        </is>
      </c>
      <c r="B54" t="inlineStr">
        <is>
          <t>Cumene to Phenol plus Acetone</t>
        </is>
      </c>
      <c r="C54" t="inlineStr">
        <is>
          <t>Oxidative cleavage</t>
        </is>
      </c>
      <c r="D54" t="n">
        <v>2</v>
      </c>
      <c r="E54" t="inlineStr">
        <is>
          <t>coproduct route</t>
        </is>
      </c>
    </row>
    <row r="55">
      <c r="A55" t="inlineStr">
        <is>
          <t>R054</t>
        </is>
      </c>
      <c r="B55" t="inlineStr">
        <is>
          <t>Phenol plus Acetone to BPA</t>
        </is>
      </c>
      <c r="C55" t="inlineStr">
        <is>
          <t>Condensation</t>
        </is>
      </c>
      <c r="D55" t="n">
        <v>3</v>
      </c>
    </row>
    <row r="56">
      <c r="A56" t="inlineStr">
        <is>
          <t>R055</t>
        </is>
      </c>
      <c r="B56" t="inlineStr">
        <is>
          <t>Bisphenol A to PC</t>
        </is>
      </c>
      <c r="C56" t="inlineStr">
        <is>
          <t>Polymerization</t>
        </is>
      </c>
      <c r="D56" t="n">
        <v>4</v>
      </c>
    </row>
    <row r="57">
      <c r="A57" t="inlineStr">
        <is>
          <t>R056</t>
        </is>
      </c>
      <c r="B57" t="inlineStr">
        <is>
          <t>Bisphenol A to Epoxy resin</t>
        </is>
      </c>
      <c r="C57" t="inlineStr">
        <is>
          <t>Resin synthesis</t>
        </is>
      </c>
      <c r="D57" t="n">
        <v>4</v>
      </c>
    </row>
    <row r="58">
      <c r="A58" t="inlineStr">
        <is>
          <t>R057</t>
        </is>
      </c>
      <c r="B58" t="inlineStr">
        <is>
          <t>Benzene to Cyclohexane</t>
        </is>
      </c>
      <c r="C58" t="inlineStr">
        <is>
          <t>Hydrogenation</t>
        </is>
      </c>
      <c r="D58" t="n">
        <v>1</v>
      </c>
    </row>
    <row r="59">
      <c r="A59" t="inlineStr">
        <is>
          <t>R058</t>
        </is>
      </c>
      <c r="B59" t="inlineStr">
        <is>
          <t>Benzene to Aniline</t>
        </is>
      </c>
      <c r="C59" t="inlineStr">
        <is>
          <t>Amination</t>
        </is>
      </c>
      <c r="D59" t="n">
        <v>1</v>
      </c>
      <c r="E59" t="inlineStr">
        <is>
          <t>simplified; nitrobenzene intermediate omitted</t>
        </is>
      </c>
    </row>
    <row r="60">
      <c r="A60" t="inlineStr">
        <is>
          <t>R059</t>
        </is>
      </c>
      <c r="B60" t="inlineStr">
        <is>
          <t>Benzene to LAB</t>
        </is>
      </c>
      <c r="C60" t="inlineStr">
        <is>
          <t>Alkylation</t>
        </is>
      </c>
      <c r="D60" t="n">
        <v>1</v>
      </c>
    </row>
    <row r="61">
      <c r="A61" t="inlineStr">
        <is>
          <t>R060</t>
        </is>
      </c>
      <c r="B61" t="inlineStr">
        <is>
          <t>Phenol to Cyclohexanone</t>
        </is>
      </c>
      <c r="C61" t="inlineStr">
        <is>
          <t>Hydration</t>
        </is>
      </c>
      <c r="D61" t="n">
        <v>3</v>
      </c>
    </row>
    <row r="62">
      <c r="A62" t="inlineStr">
        <is>
          <t>R061</t>
        </is>
      </c>
      <c r="B62" t="inlineStr">
        <is>
          <t>Cyclohexanone to Carprolactam</t>
        </is>
      </c>
      <c r="C62" t="inlineStr">
        <is>
          <t>Beckmann</t>
        </is>
      </c>
      <c r="D62" t="n">
        <v>4</v>
      </c>
    </row>
    <row r="63">
      <c r="A63" t="inlineStr">
        <is>
          <t>R062</t>
        </is>
      </c>
      <c r="B63" t="inlineStr">
        <is>
          <t>1-Butene plus Ethylene to 1-Hexene</t>
        </is>
      </c>
      <c r="C63" t="inlineStr">
        <is>
          <t>Oligomerization</t>
        </is>
      </c>
      <c r="D63" t="n">
        <v>2</v>
      </c>
      <c r="E63" t="inlineStr">
        <is>
          <t>(1-butene base)</t>
        </is>
      </c>
    </row>
    <row r="64">
      <c r="A64" t="inlineStr">
        <is>
          <t>R063</t>
        </is>
      </c>
      <c r="B64" t="inlineStr">
        <is>
          <t>Ethylene to LAO</t>
        </is>
      </c>
      <c r="C64" t="inlineStr">
        <is>
          <t>Oligomerization</t>
        </is>
      </c>
      <c r="D64" t="n">
        <v>1</v>
      </c>
      <c r="E64" t="inlineStr">
        <is>
          <t>range LAO production</t>
        </is>
      </c>
    </row>
    <row r="65">
      <c r="A65" t="inlineStr">
        <is>
          <t>R064</t>
        </is>
      </c>
      <c r="B65" t="inlineStr">
        <is>
          <t>LAO to PAO</t>
        </is>
      </c>
      <c r="C65" t="inlineStr">
        <is>
          <t>Polymerization</t>
        </is>
      </c>
      <c r="D65" t="n">
        <v>2</v>
      </c>
    </row>
    <row r="66">
      <c r="A66" t="inlineStr">
        <is>
          <t>R065</t>
        </is>
      </c>
      <c r="B66" t="inlineStr">
        <is>
          <t>Methanol to Formaldehyde</t>
        </is>
      </c>
      <c r="C66" t="inlineStr">
        <is>
          <t>Oxidation</t>
        </is>
      </c>
      <c r="D66" t="n">
        <v>1</v>
      </c>
    </row>
    <row r="67">
      <c r="A67" t="inlineStr">
        <is>
          <t>R066</t>
        </is>
      </c>
      <c r="B67" t="inlineStr">
        <is>
          <t>Methanol to Acetic Acid</t>
        </is>
      </c>
      <c r="C67" t="inlineStr">
        <is>
          <t>Carbonylation</t>
        </is>
      </c>
      <c r="D67" t="n">
        <v>1</v>
      </c>
    </row>
    <row r="68">
      <c r="A68" t="inlineStr">
        <is>
          <t>R067</t>
        </is>
      </c>
      <c r="B68" t="inlineStr">
        <is>
          <t>Isobutylene to MTBE</t>
        </is>
      </c>
      <c r="C68" t="inlineStr">
        <is>
          <t>Esterification</t>
        </is>
      </c>
      <c r="D68" t="n">
        <v>1</v>
      </c>
      <c r="E68" t="inlineStr">
        <is>
          <t>Simplified; methanol co-feed</t>
        </is>
      </c>
    </row>
    <row r="69">
      <c r="A69" t="inlineStr">
        <is>
          <t>R068</t>
        </is>
      </c>
      <c r="B69" t="inlineStr">
        <is>
          <t>Methanol to MMA</t>
        </is>
      </c>
      <c r="C69" t="inlineStr">
        <is>
          <t>Methanol-based route</t>
        </is>
      </c>
      <c r="D69" t="n">
        <v>1</v>
      </c>
    </row>
    <row r="70">
      <c r="A70" t="inlineStr">
        <is>
          <t>R069</t>
        </is>
      </c>
      <c r="B70" t="inlineStr">
        <is>
          <t>MMA to PMMA</t>
        </is>
      </c>
      <c r="C70" t="inlineStr">
        <is>
          <t>Polymerization</t>
        </is>
      </c>
      <c r="D70" t="n">
        <v>2</v>
      </c>
    </row>
    <row r="71">
      <c r="A71" t="inlineStr">
        <is>
          <t>R070</t>
        </is>
      </c>
      <c r="B71" t="inlineStr">
        <is>
          <t>EO to EC</t>
        </is>
      </c>
      <c r="C71" t="inlineStr">
        <is>
          <t>Carbonation</t>
        </is>
      </c>
      <c r="D71" t="n">
        <v>2</v>
      </c>
    </row>
    <row r="72">
      <c r="A72" t="inlineStr">
        <is>
          <t>R071</t>
        </is>
      </c>
      <c r="B72" t="inlineStr">
        <is>
          <t>EC to DMC</t>
        </is>
      </c>
      <c r="C72" t="inlineStr">
        <is>
          <t>Carbonate conversion</t>
        </is>
      </c>
      <c r="D72" t="n">
        <v>3</v>
      </c>
      <c r="E72" t="inlineStr">
        <is>
          <t>methanol-related</t>
        </is>
      </c>
    </row>
    <row r="73">
      <c r="A73" t="inlineStr">
        <is>
          <t>R072</t>
        </is>
      </c>
      <c r="B73" t="inlineStr">
        <is>
          <t>VAM to PVOH</t>
        </is>
      </c>
      <c r="C73" t="inlineStr">
        <is>
          <t>Polymerization/Hydrolysis</t>
        </is>
      </c>
      <c r="D73" t="n">
        <v>2</v>
      </c>
    </row>
    <row r="74">
      <c r="A74" t="inlineStr">
        <is>
          <t>R073</t>
        </is>
      </c>
      <c r="B74" t="inlineStr">
        <is>
          <t>VAM to EVA</t>
        </is>
      </c>
      <c r="C74" t="inlineStr">
        <is>
          <t>Copolymerization</t>
        </is>
      </c>
      <c r="D74" t="n">
        <v>2</v>
      </c>
      <c r="E74" t="inlineStr">
        <is>
          <t>ethylene co-feed omitted</t>
        </is>
      </c>
    </row>
    <row r="75">
      <c r="A75" t="inlineStr">
        <is>
          <t>R074</t>
        </is>
      </c>
      <c r="B75" t="inlineStr">
        <is>
          <t>Isobutylene to MMA</t>
        </is>
      </c>
      <c r="C75" t="inlineStr">
        <is>
          <t>C4-based route</t>
        </is>
      </c>
      <c r="D75" t="n">
        <v>1</v>
      </c>
      <c r="E75" t="inlineStr">
        <is>
          <t>via MAA(Methacrylci acid)</t>
        </is>
      </c>
    </row>
    <row r="76">
      <c r="A76" t="inlineStr">
        <is>
          <t>R075</t>
        </is>
      </c>
      <c r="B76" t="inlineStr">
        <is>
          <t>Aniline to MDI</t>
        </is>
      </c>
      <c r="C76" t="inlineStr">
        <is>
          <t>Isocyanate formation</t>
        </is>
      </c>
      <c r="D76" t="n">
        <v>2</v>
      </c>
      <c r="E76" t="inlineStr">
        <is>
          <t>via MDA</t>
        </is>
      </c>
    </row>
    <row r="77">
      <c r="A77" t="inlineStr">
        <is>
          <t>R076</t>
        </is>
      </c>
      <c r="B77" t="inlineStr">
        <is>
          <t>MDI to PU(Rigid)</t>
        </is>
      </c>
      <c r="C77" t="inlineStr">
        <is>
          <t>Polymerization</t>
        </is>
      </c>
      <c r="D77" t="n">
        <v>3</v>
      </c>
    </row>
    <row r="78">
      <c r="A78" t="inlineStr">
        <is>
          <t>R077</t>
        </is>
      </c>
      <c r="B78" t="inlineStr">
        <is>
          <t>Toluene to TDI</t>
        </is>
      </c>
      <c r="C78" t="inlineStr">
        <is>
          <t>Isocyanate formation</t>
        </is>
      </c>
      <c r="D78" t="n">
        <v>1</v>
      </c>
      <c r="E78" t="inlineStr">
        <is>
          <t>via DNT</t>
        </is>
      </c>
    </row>
    <row r="79">
      <c r="A79" t="inlineStr">
        <is>
          <t>R078</t>
        </is>
      </c>
      <c r="B79" t="inlineStr">
        <is>
          <t>TDI to PU(Flexible)</t>
        </is>
      </c>
      <c r="C79" t="inlineStr">
        <is>
          <t>Polymerization</t>
        </is>
      </c>
      <c r="D79" t="n">
        <v>2</v>
      </c>
    </row>
    <row r="80">
      <c r="A80" t="inlineStr">
        <is>
          <t>R079</t>
        </is>
      </c>
      <c r="B80" t="inlineStr">
        <is>
          <t>Xylene to o-Xylene</t>
        </is>
      </c>
      <c r="C80" t="inlineStr">
        <is>
          <t>Seperation</t>
        </is>
      </c>
      <c r="D80" t="n">
        <v>1</v>
      </c>
    </row>
    <row r="81">
      <c r="A81" t="inlineStr">
        <is>
          <t>R080</t>
        </is>
      </c>
      <c r="B81" t="inlineStr">
        <is>
          <t>Xylene to m-Xylene</t>
        </is>
      </c>
      <c r="C81" t="inlineStr">
        <is>
          <t>Seperation</t>
        </is>
      </c>
      <c r="D81" t="n">
        <v>1</v>
      </c>
    </row>
    <row r="82">
      <c r="A82" t="inlineStr">
        <is>
          <t>R081</t>
        </is>
      </c>
      <c r="B82" t="inlineStr">
        <is>
          <t>Xylene to p-Xylene</t>
        </is>
      </c>
      <c r="C82" t="inlineStr">
        <is>
          <t>Seperation</t>
        </is>
      </c>
      <c r="D82" t="n">
        <v>1</v>
      </c>
    </row>
    <row r="83">
      <c r="A83" t="inlineStr">
        <is>
          <t>R082</t>
        </is>
      </c>
      <c r="B83" t="inlineStr">
        <is>
          <t>o-Xylene to PA</t>
        </is>
      </c>
      <c r="C83" t="inlineStr">
        <is>
          <t>Oxidation</t>
        </is>
      </c>
      <c r="D83" t="n">
        <v>2</v>
      </c>
    </row>
    <row r="84">
      <c r="A84" t="inlineStr">
        <is>
          <t>R083</t>
        </is>
      </c>
      <c r="B84" t="inlineStr">
        <is>
          <t>m-Xylene to PIA</t>
        </is>
      </c>
      <c r="C84" t="inlineStr">
        <is>
          <t>Oxidation</t>
        </is>
      </c>
      <c r="D84" t="n">
        <v>2</v>
      </c>
    </row>
    <row r="85">
      <c r="A85" t="inlineStr">
        <is>
          <t>R084</t>
        </is>
      </c>
      <c r="B85" t="inlineStr">
        <is>
          <t>p-Xylene to TPA</t>
        </is>
      </c>
      <c r="C85" t="inlineStr">
        <is>
          <t>Oxidation</t>
        </is>
      </c>
      <c r="D85" t="n">
        <v>2</v>
      </c>
    </row>
    <row r="86">
      <c r="A86" t="inlineStr">
        <is>
          <t>R085</t>
        </is>
      </c>
      <c r="B86" t="inlineStr">
        <is>
          <t>p-Xylene to DMT</t>
        </is>
      </c>
      <c r="C86" t="inlineStr">
        <is>
          <t>Oxidation</t>
        </is>
      </c>
      <c r="D86" t="n">
        <v>2</v>
      </c>
    </row>
    <row r="87">
      <c r="A87" t="inlineStr">
        <is>
          <t>R086</t>
        </is>
      </c>
      <c r="B87" t="inlineStr">
        <is>
          <t>TPA plus MEG to PET</t>
        </is>
      </c>
      <c r="C87" t="inlineStr">
        <is>
          <t>Polycondensation</t>
        </is>
      </c>
      <c r="D87" t="n">
        <v>3</v>
      </c>
      <c r="E87" t="inlineStr">
        <is>
          <t>cross-group route</t>
        </is>
      </c>
    </row>
    <row r="88">
      <c r="A88" t="inlineStr">
        <is>
          <t>R087</t>
        </is>
      </c>
      <c r="B88" t="inlineStr">
        <is>
          <t>Ethylene to 1-Hexene</t>
        </is>
      </c>
      <c r="C88" t="inlineStr">
        <is>
          <t>Oligomerization</t>
        </is>
      </c>
      <c r="D88" t="n">
        <v>1</v>
      </c>
      <c r="E88" t="inlineStr">
        <is>
          <t>(ethylene base)</t>
        </is>
      </c>
    </row>
    <row r="89">
      <c r="A89" t="inlineStr">
        <is>
          <t>R088</t>
        </is>
      </c>
      <c r="B89" t="inlineStr">
        <is>
          <t>1-Butene to 1-Octene</t>
        </is>
      </c>
      <c r="C89" t="inlineStr">
        <is>
          <t>Oligomerization</t>
        </is>
      </c>
      <c r="D89" t="n">
        <v>1</v>
      </c>
    </row>
    <row r="90">
      <c r="A90" t="inlineStr">
        <is>
          <t>R089</t>
        </is>
      </c>
      <c r="B90" t="inlineStr">
        <is>
          <t>Ethylene plus proplyene to EPDM</t>
        </is>
      </c>
      <c r="C90" t="inlineStr">
        <is>
          <t>Polymerization</t>
        </is>
      </c>
      <c r="D90" t="n">
        <v>1</v>
      </c>
      <c r="E90" t="inlineStr">
        <is>
          <t>cross-group route</t>
        </is>
      </c>
    </row>
    <row r="91">
      <c r="A91" t="inlineStr">
        <is>
          <t>R090</t>
        </is>
      </c>
      <c r="B91" t="inlineStr">
        <is>
          <t>Propylene to ECH</t>
        </is>
      </c>
      <c r="C91" t="inlineStr">
        <is>
          <t>Chlorohydrination</t>
        </is>
      </c>
      <c r="D91" t="n">
        <v>1</v>
      </c>
      <c r="E91" t="inlineStr">
        <is>
          <t>simplified</t>
        </is>
      </c>
    </row>
    <row r="92">
      <c r="A92" t="inlineStr">
        <is>
          <t>R091</t>
        </is>
      </c>
      <c r="B92" t="inlineStr">
        <is>
          <t>EO to Ethoxylate</t>
        </is>
      </c>
      <c r="C92" t="inlineStr">
        <is>
          <t>Etoxylation</t>
        </is>
      </c>
      <c r="D92" t="n">
        <v>1</v>
      </c>
    </row>
    <row r="93">
      <c r="A93" t="inlineStr">
        <is>
          <t>R092</t>
        </is>
      </c>
      <c r="B93" t="inlineStr">
        <is>
          <t>Cyclohexanone to Adipic Acid</t>
        </is>
      </c>
      <c r="C93" t="inlineStr">
        <is>
          <t>Oxidation</t>
        </is>
      </c>
      <c r="D93" t="n">
        <v>1</v>
      </c>
    </row>
    <row r="94">
      <c r="A94" t="inlineStr">
        <is>
          <t>R093</t>
        </is>
      </c>
      <c r="B94" t="inlineStr">
        <is>
          <t>n-Butane to MA</t>
        </is>
      </c>
      <c r="C94" t="inlineStr">
        <is>
          <t>Oxidation</t>
        </is>
      </c>
      <c r="D94" t="n">
        <v>1</v>
      </c>
    </row>
    <row r="95">
      <c r="A95" t="inlineStr">
        <is>
          <t>R094</t>
        </is>
      </c>
      <c r="B95" t="inlineStr">
        <is>
          <t>Propylene to i-Butyraldehyde</t>
        </is>
      </c>
      <c r="C95" t="inlineStr">
        <is>
          <t>Hydroformylation</t>
        </is>
      </c>
      <c r="D95" t="n">
        <v>1</v>
      </c>
    </row>
    <row r="96">
      <c r="A96" t="inlineStr">
        <is>
          <t>R095</t>
        </is>
      </c>
      <c r="B96" t="inlineStr">
        <is>
          <t>Isoprene to IR</t>
        </is>
      </c>
      <c r="C96" t="inlineStr">
        <is>
          <t>Polymerization</t>
        </is>
      </c>
      <c r="D96" t="n">
        <v>1</v>
      </c>
    </row>
    <row r="97">
      <c r="A97" t="inlineStr">
        <is>
          <t>R096</t>
        </is>
      </c>
      <c r="B97" t="inlineStr">
        <is>
          <t>Isoprene to SIS</t>
        </is>
      </c>
      <c r="C97" t="inlineStr">
        <is>
          <t>Copolymerization</t>
        </is>
      </c>
      <c r="D97" t="n">
        <v>1</v>
      </c>
    </row>
    <row r="98">
      <c r="A98" t="inlineStr">
        <is>
          <t>R097</t>
        </is>
      </c>
      <c r="B98" t="inlineStr">
        <is>
          <t>DCPD to DCPD resin</t>
        </is>
      </c>
      <c r="C98" t="inlineStr">
        <is>
          <t>Polymerization</t>
        </is>
      </c>
      <c r="D98" t="n">
        <v>1</v>
      </c>
    </row>
    <row r="99">
      <c r="A99" t="inlineStr">
        <is>
          <t>R098</t>
        </is>
      </c>
      <c r="B99" t="inlineStr">
        <is>
          <t>DCPD to UPR</t>
        </is>
      </c>
      <c r="C99" t="inlineStr">
        <is>
          <t>Polycondensation</t>
        </is>
      </c>
      <c r="D99" t="n">
        <v>1</v>
      </c>
      <c r="E99" t="inlineStr">
        <is>
          <t>DCPD+MA+glycol</t>
        </is>
      </c>
    </row>
    <row r="100">
      <c r="A100" t="inlineStr">
        <is>
          <t>R099</t>
        </is>
      </c>
      <c r="B100" t="inlineStr">
        <is>
          <t>DCPD to ENB</t>
        </is>
      </c>
      <c r="C100" t="inlineStr">
        <is>
          <t>Synthesis (Diels-Alder)</t>
        </is>
      </c>
      <c r="D100" t="n">
        <v>1</v>
      </c>
    </row>
    <row r="101">
      <c r="A101" t="inlineStr">
        <is>
          <t>R100</t>
        </is>
      </c>
      <c r="B101" t="inlineStr">
        <is>
          <t>DCPD to PolyDCPD</t>
        </is>
      </c>
      <c r="C101" t="inlineStr">
        <is>
          <t>Polymerization</t>
        </is>
      </c>
      <c r="D101" t="n">
        <v>1</v>
      </c>
      <c r="E101" t="inlineStr">
        <is>
          <t>typically via RIM</t>
        </is>
      </c>
    </row>
    <row r="102">
      <c r="A102" t="inlineStr">
        <is>
          <t>R101</t>
        </is>
      </c>
      <c r="B102" t="inlineStr">
        <is>
          <t>DCPD to COP</t>
        </is>
      </c>
      <c r="C102" t="inlineStr">
        <is>
          <t>Polymerization</t>
        </is>
      </c>
      <c r="D102" t="n">
        <v>1</v>
      </c>
    </row>
    <row r="103">
      <c r="A103" t="inlineStr">
        <is>
          <t>R102</t>
        </is>
      </c>
      <c r="B103" t="inlineStr">
        <is>
          <t>Piperylene to C5 resin</t>
        </is>
      </c>
      <c r="C103" t="inlineStr">
        <is>
          <t>Polymerization</t>
        </is>
      </c>
      <c r="D103" t="n">
        <v>1</v>
      </c>
    </row>
    <row r="104">
      <c r="A104" t="inlineStr">
        <is>
          <t>R103</t>
        </is>
      </c>
      <c r="B104" t="inlineStr">
        <is>
          <t>Benzene to Chlorobenzene</t>
        </is>
      </c>
      <c r="C104" t="inlineStr">
        <is>
          <t>Chlorination</t>
        </is>
      </c>
      <c r="D104" t="n">
        <v>1</v>
      </c>
    </row>
  </sheetData>
  <pageMargins left="0.7" right="0.7" top="0.75" bottom="0.75" header="0.3" footer="0.3"/>
  <pageSetup orientation="portrait" paperSize="9" verticalDpi="0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codeName="Sheet11">
    <outlinePr summaryBelow="1" summaryRight="1"/>
    <pageSetUpPr/>
  </sheetPr>
  <dimension ref="A1:E119"/>
  <sheetViews>
    <sheetView zoomScale="85" zoomScaleNormal="85" workbookViewId="0">
      <selection activeCell="A1" sqref="A1"/>
    </sheetView>
  </sheetViews>
  <sheetFormatPr baseColWidth="8" defaultRowHeight="16.5"/>
  <cols>
    <col width="10.875" bestFit="1" customWidth="1" style="179" min="1" max="1"/>
    <col width="13.5" bestFit="1" customWidth="1" style="179" min="2" max="2"/>
    <col width="12.5" bestFit="1" customWidth="1" style="179" min="3" max="3"/>
    <col width="9.75" bestFit="1" customWidth="1" style="179" min="4" max="4"/>
    <col width="11.625" bestFit="1" customWidth="1" style="179" min="5" max="5"/>
  </cols>
  <sheetData>
    <row r="1">
      <c r="A1" t="inlineStr">
        <is>
          <t>route_id</t>
        </is>
      </c>
      <c r="B1" t="inlineStr">
        <is>
          <t>material_id</t>
        </is>
      </c>
      <c r="C1" t="inlineStr">
        <is>
          <t>input_role</t>
        </is>
      </c>
      <c r="D1" t="inlineStr">
        <is>
          <t>seq_no</t>
        </is>
      </c>
      <c r="E1" t="inlineStr">
        <is>
          <t>remarks</t>
        </is>
      </c>
    </row>
    <row r="2">
      <c r="A2" t="inlineStr">
        <is>
          <t>R001</t>
        </is>
      </c>
      <c r="B2" t="inlineStr">
        <is>
          <t>M001</t>
        </is>
      </c>
      <c r="C2" t="inlineStr">
        <is>
          <t>main</t>
        </is>
      </c>
      <c r="D2" t="n">
        <v>1</v>
      </c>
    </row>
    <row r="3">
      <c r="A3" t="inlineStr">
        <is>
          <t>R002</t>
        </is>
      </c>
      <c r="B3" t="inlineStr">
        <is>
          <t>M001</t>
        </is>
      </c>
      <c r="C3" t="inlineStr">
        <is>
          <t>main</t>
        </is>
      </c>
      <c r="D3" t="n">
        <v>1</v>
      </c>
    </row>
    <row r="4">
      <c r="A4" t="inlineStr">
        <is>
          <t>R003</t>
        </is>
      </c>
      <c r="B4" t="inlineStr">
        <is>
          <t>M001</t>
        </is>
      </c>
      <c r="C4" t="inlineStr">
        <is>
          <t>main</t>
        </is>
      </c>
      <c r="D4" t="n">
        <v>1</v>
      </c>
    </row>
    <row r="5">
      <c r="A5" t="inlineStr">
        <is>
          <t>R004</t>
        </is>
      </c>
      <c r="B5" t="inlineStr">
        <is>
          <t>M001</t>
        </is>
      </c>
      <c r="C5" t="inlineStr">
        <is>
          <t>main</t>
        </is>
      </c>
      <c r="D5" t="n">
        <v>1</v>
      </c>
    </row>
    <row r="6">
      <c r="A6" t="inlineStr">
        <is>
          <t>R005</t>
        </is>
      </c>
      <c r="B6" t="inlineStr">
        <is>
          <t>M005</t>
        </is>
      </c>
      <c r="C6" t="inlineStr">
        <is>
          <t>main</t>
        </is>
      </c>
      <c r="D6" t="n">
        <v>1</v>
      </c>
    </row>
    <row r="7">
      <c r="A7" t="inlineStr">
        <is>
          <t>R006</t>
        </is>
      </c>
      <c r="B7" t="inlineStr">
        <is>
          <t>M006</t>
        </is>
      </c>
      <c r="C7" t="inlineStr">
        <is>
          <t>main</t>
        </is>
      </c>
      <c r="D7" t="n">
        <v>1</v>
      </c>
    </row>
    <row r="8">
      <c r="A8" t="inlineStr">
        <is>
          <t>R007</t>
        </is>
      </c>
      <c r="B8" t="inlineStr">
        <is>
          <t>M001</t>
        </is>
      </c>
      <c r="C8" t="inlineStr">
        <is>
          <t>main</t>
        </is>
      </c>
      <c r="D8" t="n">
        <v>1</v>
      </c>
    </row>
    <row r="9">
      <c r="A9" t="inlineStr">
        <is>
          <t>R008</t>
        </is>
      </c>
      <c r="B9" t="inlineStr">
        <is>
          <t>M012</t>
        </is>
      </c>
      <c r="C9" t="inlineStr">
        <is>
          <t>main</t>
        </is>
      </c>
      <c r="D9" t="n">
        <v>1</v>
      </c>
    </row>
    <row r="10">
      <c r="A10" t="inlineStr">
        <is>
          <t>R009</t>
        </is>
      </c>
      <c r="B10" t="inlineStr">
        <is>
          <t>M012</t>
        </is>
      </c>
      <c r="C10" t="inlineStr">
        <is>
          <t>main</t>
        </is>
      </c>
      <c r="D10" t="n">
        <v>1</v>
      </c>
    </row>
    <row r="11">
      <c r="A11" t="inlineStr">
        <is>
          <t>R010</t>
        </is>
      </c>
      <c r="B11" t="inlineStr">
        <is>
          <t>M013</t>
        </is>
      </c>
      <c r="C11" t="inlineStr">
        <is>
          <t>main</t>
        </is>
      </c>
      <c r="D11" t="n">
        <v>1</v>
      </c>
      <c r="E11" t="inlineStr">
        <is>
          <t>family split</t>
        </is>
      </c>
    </row>
    <row r="12">
      <c r="A12" t="inlineStr">
        <is>
          <t>R011</t>
        </is>
      </c>
      <c r="B12" t="inlineStr">
        <is>
          <t>M013</t>
        </is>
      </c>
      <c r="C12" t="inlineStr">
        <is>
          <t>main</t>
        </is>
      </c>
      <c r="D12" t="n">
        <v>1</v>
      </c>
      <c r="E12" t="inlineStr">
        <is>
          <t>family split</t>
        </is>
      </c>
    </row>
    <row r="13">
      <c r="A13" t="inlineStr">
        <is>
          <t>R012</t>
        </is>
      </c>
      <c r="B13" t="inlineStr">
        <is>
          <t>M013</t>
        </is>
      </c>
      <c r="C13" t="inlineStr">
        <is>
          <t>main</t>
        </is>
      </c>
      <c r="D13" t="n">
        <v>1</v>
      </c>
      <c r="E13" t="inlineStr">
        <is>
          <t>family split</t>
        </is>
      </c>
    </row>
    <row r="14">
      <c r="A14" t="inlineStr">
        <is>
          <t>R013</t>
        </is>
      </c>
      <c r="B14" t="inlineStr">
        <is>
          <t>M001</t>
        </is>
      </c>
      <c r="C14" t="inlineStr">
        <is>
          <t>main</t>
        </is>
      </c>
      <c r="D14" t="n">
        <v>1</v>
      </c>
    </row>
    <row r="15">
      <c r="A15" t="inlineStr">
        <is>
          <t>R014</t>
        </is>
      </c>
      <c r="B15" t="inlineStr">
        <is>
          <t>M001</t>
        </is>
      </c>
      <c r="C15" t="inlineStr">
        <is>
          <t>main</t>
        </is>
      </c>
      <c r="D15" t="n">
        <v>1</v>
      </c>
    </row>
    <row r="16">
      <c r="A16" t="inlineStr">
        <is>
          <t>R015</t>
        </is>
      </c>
      <c r="B16" t="inlineStr">
        <is>
          <t>M001</t>
        </is>
      </c>
      <c r="C16" t="inlineStr">
        <is>
          <t>main</t>
        </is>
      </c>
      <c r="D16" t="n">
        <v>1</v>
      </c>
      <c r="E16" t="inlineStr">
        <is>
          <t>simplified</t>
        </is>
      </c>
    </row>
    <row r="17">
      <c r="A17" t="inlineStr">
        <is>
          <t>R016</t>
        </is>
      </c>
      <c r="B17" t="inlineStr">
        <is>
          <t>M001</t>
        </is>
      </c>
      <c r="C17" t="inlineStr">
        <is>
          <t>main</t>
        </is>
      </c>
      <c r="D17" t="n">
        <v>1</v>
      </c>
    </row>
    <row r="18">
      <c r="A18" t="inlineStr">
        <is>
          <t>R017</t>
        </is>
      </c>
      <c r="B18" t="inlineStr">
        <is>
          <t>M008</t>
        </is>
      </c>
      <c r="C18" t="inlineStr">
        <is>
          <t>main</t>
        </is>
      </c>
      <c r="D18" t="n">
        <v>1</v>
      </c>
    </row>
    <row r="19">
      <c r="A19" t="inlineStr">
        <is>
          <t>R018</t>
        </is>
      </c>
      <c r="B19" t="inlineStr">
        <is>
          <t>M031</t>
        </is>
      </c>
      <c r="C19" t="inlineStr">
        <is>
          <t>co-feed</t>
        </is>
      </c>
      <c r="D19" t="n">
        <v>1</v>
      </c>
      <c r="E19" t="inlineStr">
        <is>
          <t>cross-group</t>
        </is>
      </c>
    </row>
    <row r="20">
      <c r="A20" t="inlineStr">
        <is>
          <t>R018</t>
        </is>
      </c>
      <c r="B20" t="inlineStr">
        <is>
          <t>M008</t>
        </is>
      </c>
      <c r="C20" t="inlineStr">
        <is>
          <t>co-feed</t>
        </is>
      </c>
      <c r="D20" t="n">
        <v>2</v>
      </c>
      <c r="E20" t="inlineStr">
        <is>
          <t>cross-group</t>
        </is>
      </c>
    </row>
    <row r="21">
      <c r="A21" t="inlineStr">
        <is>
          <t>R019</t>
        </is>
      </c>
      <c r="B21" t="inlineStr">
        <is>
          <t>M020</t>
        </is>
      </c>
      <c r="C21" t="inlineStr">
        <is>
          <t>main</t>
        </is>
      </c>
      <c r="D21" t="n">
        <v>1</v>
      </c>
    </row>
    <row r="22">
      <c r="A22" t="inlineStr">
        <is>
          <t>R020</t>
        </is>
      </c>
      <c r="B22" t="inlineStr">
        <is>
          <t>M020</t>
        </is>
      </c>
      <c r="C22" t="inlineStr">
        <is>
          <t>main</t>
        </is>
      </c>
      <c r="D22" t="n">
        <v>1</v>
      </c>
    </row>
    <row r="23">
      <c r="A23" t="inlineStr">
        <is>
          <t>R021</t>
        </is>
      </c>
      <c r="B23" t="inlineStr">
        <is>
          <t>M026</t>
        </is>
      </c>
      <c r="C23" t="inlineStr">
        <is>
          <t>main</t>
        </is>
      </c>
      <c r="D23" t="n">
        <v>1</v>
      </c>
    </row>
    <row r="24">
      <c r="A24" t="inlineStr">
        <is>
          <t>R022</t>
        </is>
      </c>
      <c r="B24" t="inlineStr">
        <is>
          <t>M026</t>
        </is>
      </c>
      <c r="C24" t="inlineStr">
        <is>
          <t>main</t>
        </is>
      </c>
      <c r="D24" t="n">
        <v>1</v>
      </c>
    </row>
    <row r="25">
      <c r="A25" t="inlineStr">
        <is>
          <t>R023</t>
        </is>
      </c>
      <c r="B25" t="inlineStr">
        <is>
          <t>M026</t>
        </is>
      </c>
      <c r="C25" t="inlineStr">
        <is>
          <t>main</t>
        </is>
      </c>
      <c r="D25" t="n">
        <v>1</v>
      </c>
      <c r="E25" t="inlineStr">
        <is>
          <t>family-level</t>
        </is>
      </c>
    </row>
    <row r="26">
      <c r="A26" t="inlineStr">
        <is>
          <t>R024</t>
        </is>
      </c>
      <c r="B26" t="inlineStr">
        <is>
          <t>M029</t>
        </is>
      </c>
      <c r="C26" t="inlineStr">
        <is>
          <t>main</t>
        </is>
      </c>
      <c r="D26" t="n">
        <v>1</v>
      </c>
    </row>
    <row r="27">
      <c r="A27" t="inlineStr">
        <is>
          <t>R025</t>
        </is>
      </c>
      <c r="B27" t="inlineStr">
        <is>
          <t>M020</t>
        </is>
      </c>
      <c r="C27" t="inlineStr">
        <is>
          <t>main</t>
        </is>
      </c>
      <c r="D27" t="n">
        <v>1</v>
      </c>
    </row>
    <row r="28">
      <c r="A28" t="inlineStr">
        <is>
          <t>R026</t>
        </is>
      </c>
      <c r="B28" t="inlineStr">
        <is>
          <t>M021</t>
        </is>
      </c>
      <c r="C28" t="inlineStr">
        <is>
          <t>co-feed</t>
        </is>
      </c>
      <c r="D28" t="n">
        <v>1</v>
      </c>
      <c r="E28" t="inlineStr">
        <is>
          <t>cross-group</t>
        </is>
      </c>
    </row>
    <row r="29">
      <c r="A29" t="inlineStr">
        <is>
          <t>R026</t>
        </is>
      </c>
      <c r="B29" t="inlineStr">
        <is>
          <t>M056</t>
        </is>
      </c>
      <c r="C29" t="inlineStr">
        <is>
          <t>co-feed</t>
        </is>
      </c>
      <c r="D29" t="n">
        <v>2</v>
      </c>
      <c r="E29" t="inlineStr">
        <is>
          <t>cross-group</t>
        </is>
      </c>
    </row>
    <row r="30">
      <c r="A30" t="inlineStr">
        <is>
          <t>R026</t>
        </is>
      </c>
      <c r="B30" t="inlineStr">
        <is>
          <t>M043</t>
        </is>
      </c>
      <c r="C30" t="inlineStr">
        <is>
          <t>co-feed</t>
        </is>
      </c>
      <c r="D30" t="n">
        <v>3</v>
      </c>
      <c r="E30" t="inlineStr">
        <is>
          <t>cross-group</t>
        </is>
      </c>
    </row>
    <row r="31">
      <c r="A31" t="inlineStr">
        <is>
          <t>R027</t>
        </is>
      </c>
      <c r="B31" t="inlineStr">
        <is>
          <t>M021</t>
        </is>
      </c>
      <c r="C31" t="inlineStr">
        <is>
          <t>co-feed</t>
        </is>
      </c>
      <c r="D31" t="n">
        <v>1</v>
      </c>
      <c r="E31" t="inlineStr">
        <is>
          <t>cross-group</t>
        </is>
      </c>
    </row>
    <row r="32">
      <c r="A32" t="inlineStr">
        <is>
          <t>R027</t>
        </is>
      </c>
      <c r="B32" t="inlineStr">
        <is>
          <t>M056</t>
        </is>
      </c>
      <c r="C32" t="inlineStr">
        <is>
          <t>co-feed</t>
        </is>
      </c>
      <c r="D32" t="n">
        <v>2</v>
      </c>
      <c r="E32" t="inlineStr">
        <is>
          <t>cross-group</t>
        </is>
      </c>
    </row>
    <row r="33">
      <c r="A33" t="inlineStr">
        <is>
          <t>R028</t>
        </is>
      </c>
      <c r="B33" t="inlineStr">
        <is>
          <t>M021</t>
        </is>
      </c>
      <c r="C33" t="inlineStr">
        <is>
          <t>co-feed</t>
        </is>
      </c>
      <c r="D33" t="n">
        <v>1</v>
      </c>
      <c r="E33" t="inlineStr">
        <is>
          <t>cross-group</t>
        </is>
      </c>
    </row>
    <row r="34">
      <c r="A34" t="inlineStr">
        <is>
          <t>R028</t>
        </is>
      </c>
      <c r="B34" t="inlineStr">
        <is>
          <t>M043</t>
        </is>
      </c>
      <c r="C34" t="inlineStr">
        <is>
          <t>co-feed</t>
        </is>
      </c>
      <c r="D34" t="n">
        <v>2</v>
      </c>
      <c r="E34" t="inlineStr">
        <is>
          <t>cross-group</t>
        </is>
      </c>
    </row>
    <row r="35">
      <c r="A35" t="inlineStr">
        <is>
          <t>R029</t>
        </is>
      </c>
      <c r="B35" t="inlineStr">
        <is>
          <t>M020</t>
        </is>
      </c>
      <c r="C35" t="inlineStr">
        <is>
          <t>main</t>
        </is>
      </c>
      <c r="D35" t="n">
        <v>1</v>
      </c>
    </row>
    <row r="36">
      <c r="A36" t="inlineStr">
        <is>
          <t>R030</t>
        </is>
      </c>
      <c r="B36" t="inlineStr">
        <is>
          <t>M020</t>
        </is>
      </c>
      <c r="C36" t="inlineStr">
        <is>
          <t>main</t>
        </is>
      </c>
      <c r="D36" t="n">
        <v>1</v>
      </c>
    </row>
    <row r="37">
      <c r="A37" t="inlineStr">
        <is>
          <t>R031</t>
        </is>
      </c>
      <c r="B37" t="inlineStr">
        <is>
          <t>M031</t>
        </is>
      </c>
      <c r="C37" t="inlineStr">
        <is>
          <t>main</t>
        </is>
      </c>
      <c r="D37" t="n">
        <v>1</v>
      </c>
      <c r="E37" t="inlineStr">
        <is>
          <t>simplified</t>
        </is>
      </c>
    </row>
    <row r="38">
      <c r="A38" t="inlineStr">
        <is>
          <t>R032</t>
        </is>
      </c>
      <c r="B38" t="inlineStr">
        <is>
          <t>M031</t>
        </is>
      </c>
      <c r="C38" t="inlineStr">
        <is>
          <t>main</t>
        </is>
      </c>
      <c r="D38" t="n">
        <v>1</v>
      </c>
      <c r="E38" t="inlineStr">
        <is>
          <t>simplified</t>
        </is>
      </c>
    </row>
    <row r="39">
      <c r="A39" t="inlineStr">
        <is>
          <t>R033</t>
        </is>
      </c>
      <c r="B39" t="inlineStr">
        <is>
          <t>M020</t>
        </is>
      </c>
      <c r="C39" t="inlineStr">
        <is>
          <t>main</t>
        </is>
      </c>
      <c r="D39" t="n">
        <v>1</v>
      </c>
    </row>
    <row r="40">
      <c r="A40" t="inlineStr">
        <is>
          <t>R034</t>
        </is>
      </c>
      <c r="B40" t="inlineStr">
        <is>
          <t>M035</t>
        </is>
      </c>
      <c r="C40" t="inlineStr">
        <is>
          <t>main</t>
        </is>
      </c>
      <c r="D40" t="n">
        <v>1</v>
      </c>
    </row>
    <row r="41">
      <c r="A41" t="inlineStr">
        <is>
          <t>R035</t>
        </is>
      </c>
      <c r="B41" t="inlineStr">
        <is>
          <t>M107</t>
        </is>
      </c>
      <c r="C41" t="inlineStr">
        <is>
          <t>main</t>
        </is>
      </c>
      <c r="D41" t="n">
        <v>1</v>
      </c>
    </row>
    <row r="42">
      <c r="A42" t="inlineStr">
        <is>
          <t>R036</t>
        </is>
      </c>
      <c r="B42" t="inlineStr">
        <is>
          <t>M035</t>
        </is>
      </c>
      <c r="C42" t="inlineStr">
        <is>
          <t>main</t>
        </is>
      </c>
      <c r="D42" t="n">
        <v>1</v>
      </c>
      <c r="E42" t="inlineStr">
        <is>
          <t>simplified</t>
        </is>
      </c>
    </row>
    <row r="43">
      <c r="A43" t="inlineStr">
        <is>
          <t>R037</t>
        </is>
      </c>
      <c r="B43" t="inlineStr">
        <is>
          <t>M037</t>
        </is>
      </c>
      <c r="C43" t="inlineStr">
        <is>
          <t>main</t>
        </is>
      </c>
      <c r="D43" t="n">
        <v>1</v>
      </c>
    </row>
    <row r="44">
      <c r="A44" t="inlineStr">
        <is>
          <t>R038</t>
        </is>
      </c>
      <c r="B44" t="inlineStr">
        <is>
          <t>M039</t>
        </is>
      </c>
      <c r="C44" t="inlineStr">
        <is>
          <t>main</t>
        </is>
      </c>
      <c r="D44" t="n">
        <v>1</v>
      </c>
    </row>
    <row r="45">
      <c r="A45" t="inlineStr">
        <is>
          <t>R039</t>
        </is>
      </c>
      <c r="B45" t="inlineStr">
        <is>
          <t>M020</t>
        </is>
      </c>
      <c r="C45" t="inlineStr">
        <is>
          <t>main</t>
        </is>
      </c>
      <c r="D45" t="n">
        <v>1</v>
      </c>
    </row>
    <row r="46">
      <c r="A46" t="inlineStr">
        <is>
          <t>R040</t>
        </is>
      </c>
      <c r="B46" t="inlineStr">
        <is>
          <t>M041</t>
        </is>
      </c>
      <c r="C46" t="inlineStr">
        <is>
          <t>main</t>
        </is>
      </c>
      <c r="D46" t="n">
        <v>1</v>
      </c>
    </row>
    <row r="47">
      <c r="A47" t="inlineStr">
        <is>
          <t>R041</t>
        </is>
      </c>
      <c r="B47" t="inlineStr">
        <is>
          <t>M043</t>
        </is>
      </c>
      <c r="C47" t="inlineStr">
        <is>
          <t>main</t>
        </is>
      </c>
      <c r="D47" t="n">
        <v>1</v>
      </c>
    </row>
    <row r="48">
      <c r="A48" t="inlineStr">
        <is>
          <t>R042</t>
        </is>
      </c>
      <c r="B48" t="inlineStr">
        <is>
          <t>M043</t>
        </is>
      </c>
      <c r="C48" t="inlineStr">
        <is>
          <t>co-feed</t>
        </is>
      </c>
      <c r="D48" t="n">
        <v>1</v>
      </c>
      <c r="E48" t="inlineStr">
        <is>
          <t>cross-group</t>
        </is>
      </c>
    </row>
    <row r="49">
      <c r="A49" t="inlineStr">
        <is>
          <t>R042</t>
        </is>
      </c>
      <c r="B49" t="inlineStr">
        <is>
          <t>M056</t>
        </is>
      </c>
      <c r="C49" t="inlineStr">
        <is>
          <t>co-feed</t>
        </is>
      </c>
      <c r="D49" t="n">
        <v>2</v>
      </c>
      <c r="E49" t="inlineStr">
        <is>
          <t>cross-group</t>
        </is>
      </c>
    </row>
    <row r="50">
      <c r="A50" t="inlineStr">
        <is>
          <t>R043</t>
        </is>
      </c>
      <c r="B50" t="inlineStr">
        <is>
          <t>M046</t>
        </is>
      </c>
      <c r="C50" t="inlineStr">
        <is>
          <t>main</t>
        </is>
      </c>
      <c r="D50" t="n">
        <v>1</v>
      </c>
    </row>
    <row r="51">
      <c r="A51" t="inlineStr">
        <is>
          <t>R044</t>
        </is>
      </c>
      <c r="B51" t="inlineStr">
        <is>
          <t>M046</t>
        </is>
      </c>
      <c r="C51" t="inlineStr">
        <is>
          <t>co-feed</t>
        </is>
      </c>
      <c r="D51" t="n">
        <v>1</v>
      </c>
      <c r="E51" t="inlineStr">
        <is>
          <t>cross-group</t>
        </is>
      </c>
    </row>
    <row r="52">
      <c r="A52" t="inlineStr">
        <is>
          <t>R044</t>
        </is>
      </c>
      <c r="B52" t="inlineStr">
        <is>
          <t>M102</t>
        </is>
      </c>
      <c r="C52" t="inlineStr">
        <is>
          <t>co-feed</t>
        </is>
      </c>
      <c r="D52" t="n">
        <v>2</v>
      </c>
      <c r="E52" t="inlineStr">
        <is>
          <t>cross-group</t>
        </is>
      </c>
    </row>
    <row r="53">
      <c r="A53" t="inlineStr">
        <is>
          <t>R045</t>
        </is>
      </c>
      <c r="B53" t="inlineStr">
        <is>
          <t>M051</t>
        </is>
      </c>
      <c r="C53" t="inlineStr">
        <is>
          <t>main</t>
        </is>
      </c>
      <c r="D53" t="n">
        <v>1</v>
      </c>
    </row>
    <row r="54">
      <c r="A54" t="inlineStr">
        <is>
          <t>R046</t>
        </is>
      </c>
      <c r="B54" t="inlineStr">
        <is>
          <t>M051</t>
        </is>
      </c>
      <c r="C54" t="inlineStr">
        <is>
          <t>main</t>
        </is>
      </c>
      <c r="D54" t="n">
        <v>1</v>
      </c>
    </row>
    <row r="55">
      <c r="A55" t="inlineStr">
        <is>
          <t>R047</t>
        </is>
      </c>
      <c r="B55" t="inlineStr">
        <is>
          <t>M052</t>
        </is>
      </c>
      <c r="C55" t="inlineStr">
        <is>
          <t>main</t>
        </is>
      </c>
      <c r="D55" t="n">
        <v>1</v>
      </c>
    </row>
    <row r="56">
      <c r="A56" t="inlineStr">
        <is>
          <t>R048</t>
        </is>
      </c>
      <c r="B56" t="inlineStr">
        <is>
          <t>M001</t>
        </is>
      </c>
      <c r="C56" t="inlineStr">
        <is>
          <t>main</t>
        </is>
      </c>
      <c r="D56" t="n">
        <v>1</v>
      </c>
      <c r="E56" t="inlineStr">
        <is>
          <t>cross-group</t>
        </is>
      </c>
    </row>
    <row r="57">
      <c r="A57" t="inlineStr">
        <is>
          <t>R049</t>
        </is>
      </c>
      <c r="B57" t="inlineStr">
        <is>
          <t>M054</t>
        </is>
      </c>
      <c r="C57" t="inlineStr">
        <is>
          <t>co-feed</t>
        </is>
      </c>
      <c r="D57" t="n">
        <v>1</v>
      </c>
    </row>
    <row r="58">
      <c r="A58" t="inlineStr">
        <is>
          <t>R049</t>
        </is>
      </c>
      <c r="B58" t="inlineStr">
        <is>
          <t>M001</t>
        </is>
      </c>
      <c r="C58" t="inlineStr">
        <is>
          <t>co-feed</t>
        </is>
      </c>
      <c r="D58" t="n">
        <v>2</v>
      </c>
    </row>
    <row r="59">
      <c r="A59" t="inlineStr">
        <is>
          <t>R050</t>
        </is>
      </c>
      <c r="B59" t="inlineStr">
        <is>
          <t>M055</t>
        </is>
      </c>
      <c r="C59" t="inlineStr">
        <is>
          <t>main</t>
        </is>
      </c>
      <c r="D59" t="n">
        <v>1</v>
      </c>
    </row>
    <row r="60">
      <c r="A60" t="inlineStr">
        <is>
          <t>R051</t>
        </is>
      </c>
      <c r="B60" t="inlineStr">
        <is>
          <t>M056</t>
        </is>
      </c>
      <c r="C60" t="inlineStr">
        <is>
          <t>main</t>
        </is>
      </c>
      <c r="D60" t="n">
        <v>1</v>
      </c>
    </row>
    <row r="61">
      <c r="A61" t="inlineStr">
        <is>
          <t>R052</t>
        </is>
      </c>
      <c r="B61" t="inlineStr">
        <is>
          <t>M054</t>
        </is>
      </c>
      <c r="C61" t="inlineStr">
        <is>
          <t>co-feed</t>
        </is>
      </c>
      <c r="D61" t="n">
        <v>1</v>
      </c>
      <c r="E61" t="inlineStr">
        <is>
          <t>cross-group</t>
        </is>
      </c>
    </row>
    <row r="62">
      <c r="A62" t="inlineStr">
        <is>
          <t>R052</t>
        </is>
      </c>
      <c r="B62" t="inlineStr">
        <is>
          <t>M020</t>
        </is>
      </c>
      <c r="C62" t="inlineStr">
        <is>
          <t>co-feed</t>
        </is>
      </c>
      <c r="D62" t="n">
        <v>2</v>
      </c>
      <c r="E62" t="inlineStr">
        <is>
          <t>cross-group</t>
        </is>
      </c>
    </row>
    <row r="63">
      <c r="A63" t="inlineStr">
        <is>
          <t>R053</t>
        </is>
      </c>
      <c r="B63" t="inlineStr">
        <is>
          <t>M058</t>
        </is>
      </c>
      <c r="C63" t="inlineStr">
        <is>
          <t>main</t>
        </is>
      </c>
      <c r="D63" t="n">
        <v>1</v>
      </c>
    </row>
    <row r="64">
      <c r="A64" t="inlineStr">
        <is>
          <t>R054</t>
        </is>
      </c>
      <c r="B64" t="inlineStr">
        <is>
          <t>M059</t>
        </is>
      </c>
      <c r="C64" t="inlineStr">
        <is>
          <t>co-feed</t>
        </is>
      </c>
      <c r="D64" t="n">
        <v>1</v>
      </c>
    </row>
    <row r="65">
      <c r="A65" t="inlineStr">
        <is>
          <t>R054</t>
        </is>
      </c>
      <c r="B65" t="inlineStr">
        <is>
          <t>M060</t>
        </is>
      </c>
      <c r="C65" t="inlineStr">
        <is>
          <t>co-feed</t>
        </is>
      </c>
      <c r="D65" t="n">
        <v>2</v>
      </c>
    </row>
    <row r="66">
      <c r="A66" t="inlineStr">
        <is>
          <t>R055</t>
        </is>
      </c>
      <c r="B66" t="inlineStr">
        <is>
          <t>M061</t>
        </is>
      </c>
      <c r="C66" t="inlineStr">
        <is>
          <t>main</t>
        </is>
      </c>
      <c r="D66" t="n">
        <v>1</v>
      </c>
    </row>
    <row r="67">
      <c r="A67" t="inlineStr">
        <is>
          <t>R056</t>
        </is>
      </c>
      <c r="B67" t="inlineStr">
        <is>
          <t>M061</t>
        </is>
      </c>
      <c r="C67" t="inlineStr">
        <is>
          <t>main</t>
        </is>
      </c>
      <c r="D67" t="n">
        <v>1</v>
      </c>
    </row>
    <row r="68">
      <c r="A68" t="inlineStr">
        <is>
          <t>R057</t>
        </is>
      </c>
      <c r="B68" t="inlineStr">
        <is>
          <t>M054</t>
        </is>
      </c>
      <c r="C68" t="inlineStr">
        <is>
          <t>main</t>
        </is>
      </c>
      <c r="D68" t="n">
        <v>1</v>
      </c>
    </row>
    <row r="69">
      <c r="A69" t="inlineStr">
        <is>
          <t>R058</t>
        </is>
      </c>
      <c r="B69" t="inlineStr">
        <is>
          <t>M054</t>
        </is>
      </c>
      <c r="C69" t="inlineStr">
        <is>
          <t>main</t>
        </is>
      </c>
      <c r="D69" t="n">
        <v>1</v>
      </c>
      <c r="E69" t="inlineStr">
        <is>
          <t>simplified</t>
        </is>
      </c>
    </row>
    <row r="70">
      <c r="A70" t="inlineStr">
        <is>
          <t>R059</t>
        </is>
      </c>
      <c r="B70" t="inlineStr">
        <is>
          <t>M054</t>
        </is>
      </c>
      <c r="C70" t="inlineStr">
        <is>
          <t>main</t>
        </is>
      </c>
      <c r="D70" t="n">
        <v>1</v>
      </c>
      <c r="E70" t="inlineStr">
        <is>
          <t>family-level</t>
        </is>
      </c>
    </row>
    <row r="71">
      <c r="A71" t="inlineStr">
        <is>
          <t>R060</t>
        </is>
      </c>
      <c r="B71" t="inlineStr">
        <is>
          <t>M059</t>
        </is>
      </c>
      <c r="C71" t="inlineStr">
        <is>
          <t>main</t>
        </is>
      </c>
      <c r="D71" t="n">
        <v>1</v>
      </c>
    </row>
    <row r="72">
      <c r="A72" t="inlineStr">
        <is>
          <t>R061</t>
        </is>
      </c>
      <c r="B72" t="inlineStr">
        <is>
          <t>M067</t>
        </is>
      </c>
      <c r="C72" t="inlineStr">
        <is>
          <t>main</t>
        </is>
      </c>
      <c r="D72" t="n">
        <v>1</v>
      </c>
    </row>
    <row r="73">
      <c r="A73" t="inlineStr">
        <is>
          <t>R062</t>
        </is>
      </c>
      <c r="B73" t="inlineStr">
        <is>
          <t>M052</t>
        </is>
      </c>
      <c r="C73" t="inlineStr">
        <is>
          <t>main</t>
        </is>
      </c>
      <c r="D73" t="n">
        <v>1</v>
      </c>
      <c r="E73" t="inlineStr">
        <is>
          <t>Simplified route; ethylene co-feed omitted for visualization</t>
        </is>
      </c>
    </row>
    <row r="74">
      <c r="A74" t="inlineStr">
        <is>
          <t>R063</t>
        </is>
      </c>
      <c r="B74" t="inlineStr">
        <is>
          <t>M001</t>
        </is>
      </c>
      <c r="C74" t="inlineStr">
        <is>
          <t>main</t>
        </is>
      </c>
      <c r="D74" t="n">
        <v>1</v>
      </c>
    </row>
    <row r="75">
      <c r="A75" t="inlineStr">
        <is>
          <t>R064</t>
        </is>
      </c>
      <c r="B75" t="inlineStr">
        <is>
          <t>M075</t>
        </is>
      </c>
      <c r="C75" t="inlineStr">
        <is>
          <t>main</t>
        </is>
      </c>
      <c r="D75" t="n">
        <v>1</v>
      </c>
    </row>
    <row r="76">
      <c r="A76" t="inlineStr">
        <is>
          <t>R065</t>
        </is>
      </c>
      <c r="B76" t="inlineStr">
        <is>
          <t>M069</t>
        </is>
      </c>
      <c r="C76" t="inlineStr">
        <is>
          <t>main</t>
        </is>
      </c>
      <c r="D76" t="n">
        <v>1</v>
      </c>
    </row>
    <row r="77">
      <c r="A77" t="inlineStr">
        <is>
          <t>R066</t>
        </is>
      </c>
      <c r="B77" t="inlineStr">
        <is>
          <t>M069</t>
        </is>
      </c>
      <c r="C77" t="inlineStr">
        <is>
          <t>main</t>
        </is>
      </c>
      <c r="D77" t="n">
        <v>1</v>
      </c>
    </row>
    <row r="78">
      <c r="A78" t="inlineStr">
        <is>
          <t>R067</t>
        </is>
      </c>
      <c r="B78" t="inlineStr">
        <is>
          <t>M046</t>
        </is>
      </c>
      <c r="C78" t="inlineStr">
        <is>
          <t>main</t>
        </is>
      </c>
      <c r="D78" t="n">
        <v>1</v>
      </c>
    </row>
    <row r="79">
      <c r="A79" t="inlineStr">
        <is>
          <t>R067</t>
        </is>
      </c>
      <c r="B79" t="inlineStr">
        <is>
          <t>M069</t>
        </is>
      </c>
      <c r="C79" t="inlineStr">
        <is>
          <t>co-feed</t>
        </is>
      </c>
      <c r="D79" t="n">
        <v>2</v>
      </c>
    </row>
    <row r="80">
      <c r="A80" t="inlineStr">
        <is>
          <t>R068</t>
        </is>
      </c>
      <c r="B80" t="inlineStr">
        <is>
          <t>M069</t>
        </is>
      </c>
      <c r="C80" t="inlineStr">
        <is>
          <t>main</t>
        </is>
      </c>
      <c r="D80" t="n">
        <v>1</v>
      </c>
    </row>
    <row r="81">
      <c r="A81" t="inlineStr">
        <is>
          <t>R069</t>
        </is>
      </c>
      <c r="B81" t="inlineStr">
        <is>
          <t>M078</t>
        </is>
      </c>
      <c r="C81" t="inlineStr">
        <is>
          <t>main</t>
        </is>
      </c>
      <c r="D81" t="n">
        <v>1</v>
      </c>
    </row>
    <row r="82">
      <c r="A82" t="inlineStr">
        <is>
          <t>R070</t>
        </is>
      </c>
      <c r="B82" t="inlineStr">
        <is>
          <t>M012</t>
        </is>
      </c>
      <c r="C82" t="inlineStr">
        <is>
          <t>main</t>
        </is>
      </c>
      <c r="D82" t="n">
        <v>1</v>
      </c>
    </row>
    <row r="83">
      <c r="A83" t="inlineStr">
        <is>
          <t>R071</t>
        </is>
      </c>
      <c r="B83" t="inlineStr">
        <is>
          <t>M081</t>
        </is>
      </c>
      <c r="C83" t="inlineStr">
        <is>
          <t>main</t>
        </is>
      </c>
      <c r="D83" t="n">
        <v>1</v>
      </c>
    </row>
    <row r="84">
      <c r="A84" t="inlineStr">
        <is>
          <t>R071</t>
        </is>
      </c>
      <c r="B84" t="inlineStr">
        <is>
          <t>M069</t>
        </is>
      </c>
      <c r="C84" t="inlineStr">
        <is>
          <t>co-feed</t>
        </is>
      </c>
      <c r="D84" t="n">
        <v>2</v>
      </c>
    </row>
    <row r="85">
      <c r="A85" t="inlineStr">
        <is>
          <t>R072</t>
        </is>
      </c>
      <c r="B85" t="inlineStr">
        <is>
          <t>M019</t>
        </is>
      </c>
      <c r="C85" t="inlineStr">
        <is>
          <t>main</t>
        </is>
      </c>
      <c r="D85" t="n">
        <v>1</v>
      </c>
    </row>
    <row r="86">
      <c r="A86" t="inlineStr">
        <is>
          <t>R073</t>
        </is>
      </c>
      <c r="B86" t="inlineStr">
        <is>
          <t>M019</t>
        </is>
      </c>
      <c r="C86" t="inlineStr">
        <is>
          <t>main</t>
        </is>
      </c>
      <c r="D86" t="n">
        <v>1</v>
      </c>
    </row>
    <row r="87">
      <c r="A87" t="inlineStr">
        <is>
          <t>R074</t>
        </is>
      </c>
      <c r="B87" t="inlineStr">
        <is>
          <t>M046</t>
        </is>
      </c>
      <c r="C87" t="inlineStr">
        <is>
          <t>main</t>
        </is>
      </c>
      <c r="D87" t="n">
        <v>1</v>
      </c>
    </row>
    <row r="88">
      <c r="A88" t="inlineStr">
        <is>
          <t>R075</t>
        </is>
      </c>
      <c r="B88" t="inlineStr">
        <is>
          <t>M065</t>
        </is>
      </c>
      <c r="C88" t="inlineStr">
        <is>
          <t>main</t>
        </is>
      </c>
      <c r="D88" t="n">
        <v>1</v>
      </c>
    </row>
    <row r="89">
      <c r="A89" t="inlineStr">
        <is>
          <t>R076</t>
        </is>
      </c>
      <c r="B89" t="inlineStr">
        <is>
          <t>M085</t>
        </is>
      </c>
      <c r="C89" t="inlineStr">
        <is>
          <t>main</t>
        </is>
      </c>
      <c r="D89" t="n">
        <v>1</v>
      </c>
    </row>
    <row r="90">
      <c r="A90" t="inlineStr">
        <is>
          <t>R077</t>
        </is>
      </c>
      <c r="B90" t="inlineStr">
        <is>
          <t>M071</t>
        </is>
      </c>
      <c r="C90" t="inlineStr">
        <is>
          <t>main</t>
        </is>
      </c>
      <c r="D90" t="n">
        <v>1</v>
      </c>
    </row>
    <row r="91">
      <c r="A91" t="inlineStr">
        <is>
          <t>R078</t>
        </is>
      </c>
      <c r="B91" t="inlineStr">
        <is>
          <t>M086</t>
        </is>
      </c>
      <c r="C91" t="inlineStr">
        <is>
          <t>main</t>
        </is>
      </c>
      <c r="D91" t="n">
        <v>1</v>
      </c>
    </row>
    <row r="92">
      <c r="A92" t="inlineStr">
        <is>
          <t>R079</t>
        </is>
      </c>
      <c r="B92" t="inlineStr">
        <is>
          <t>M072</t>
        </is>
      </c>
      <c r="C92" t="inlineStr">
        <is>
          <t>main</t>
        </is>
      </c>
      <c r="D92" t="n">
        <v>1</v>
      </c>
    </row>
    <row r="93">
      <c r="A93" t="inlineStr">
        <is>
          <t>R080</t>
        </is>
      </c>
      <c r="B93" t="inlineStr">
        <is>
          <t>M072</t>
        </is>
      </c>
      <c r="C93" t="inlineStr">
        <is>
          <t>main</t>
        </is>
      </c>
      <c r="D93" t="n">
        <v>1</v>
      </c>
    </row>
    <row r="94">
      <c r="A94" t="inlineStr">
        <is>
          <t>R081</t>
        </is>
      </c>
      <c r="B94" t="inlineStr">
        <is>
          <t>M072</t>
        </is>
      </c>
      <c r="C94" t="inlineStr">
        <is>
          <t>main</t>
        </is>
      </c>
      <c r="D94" t="n">
        <v>1</v>
      </c>
    </row>
    <row r="95">
      <c r="A95" t="inlineStr">
        <is>
          <t>R082</t>
        </is>
      </c>
      <c r="B95" t="inlineStr">
        <is>
          <t>M087</t>
        </is>
      </c>
      <c r="C95" t="inlineStr">
        <is>
          <t>main</t>
        </is>
      </c>
      <c r="D95" t="n">
        <v>1</v>
      </c>
    </row>
    <row r="96">
      <c r="A96" t="inlineStr">
        <is>
          <t>R083</t>
        </is>
      </c>
      <c r="B96" t="inlineStr">
        <is>
          <t>M088</t>
        </is>
      </c>
      <c r="C96" t="inlineStr">
        <is>
          <t>main</t>
        </is>
      </c>
      <c r="D96" t="n">
        <v>1</v>
      </c>
    </row>
    <row r="97">
      <c r="A97" t="inlineStr">
        <is>
          <t>R084</t>
        </is>
      </c>
      <c r="B97" t="inlineStr">
        <is>
          <t>M089</t>
        </is>
      </c>
      <c r="C97" t="inlineStr">
        <is>
          <t>main</t>
        </is>
      </c>
      <c r="D97" t="n">
        <v>1</v>
      </c>
    </row>
    <row r="98">
      <c r="A98" t="inlineStr">
        <is>
          <t>R085</t>
        </is>
      </c>
      <c r="B98" t="inlineStr">
        <is>
          <t>M089</t>
        </is>
      </c>
      <c r="C98" t="inlineStr">
        <is>
          <t>main</t>
        </is>
      </c>
      <c r="D98" t="n">
        <v>1</v>
      </c>
    </row>
    <row r="99">
      <c r="A99" t="inlineStr">
        <is>
          <t>R086</t>
        </is>
      </c>
      <c r="B99" t="inlineStr">
        <is>
          <t>M091</t>
        </is>
      </c>
      <c r="C99" t="inlineStr">
        <is>
          <t>main</t>
        </is>
      </c>
      <c r="D99" t="n">
        <v>1</v>
      </c>
    </row>
    <row r="100">
      <c r="A100" t="inlineStr">
        <is>
          <t>R086</t>
        </is>
      </c>
      <c r="B100" t="inlineStr">
        <is>
          <t>M017</t>
        </is>
      </c>
      <c r="C100" t="inlineStr">
        <is>
          <t>co-feed</t>
        </is>
      </c>
      <c r="D100" t="n">
        <v>2</v>
      </c>
    </row>
    <row r="101">
      <c r="A101" t="inlineStr">
        <is>
          <t>R087</t>
        </is>
      </c>
      <c r="B101" t="inlineStr">
        <is>
          <t>M001</t>
        </is>
      </c>
      <c r="C101" t="inlineStr">
        <is>
          <t>main</t>
        </is>
      </c>
      <c r="D101" t="n">
        <v>1</v>
      </c>
    </row>
    <row r="102">
      <c r="A102" t="inlineStr">
        <is>
          <t>R088</t>
        </is>
      </c>
      <c r="B102" t="inlineStr">
        <is>
          <t>M052</t>
        </is>
      </c>
      <c r="C102" t="inlineStr">
        <is>
          <t>main</t>
        </is>
      </c>
      <c r="D102" t="n">
        <v>1</v>
      </c>
    </row>
    <row r="103">
      <c r="A103" t="inlineStr">
        <is>
          <t>R089</t>
        </is>
      </c>
      <c r="B103" t="inlineStr">
        <is>
          <t>M001</t>
        </is>
      </c>
      <c r="C103" t="inlineStr">
        <is>
          <t>main</t>
        </is>
      </c>
      <c r="D103" t="n">
        <v>1</v>
      </c>
      <c r="E103" t="inlineStr">
        <is>
          <t>cross-group</t>
        </is>
      </c>
    </row>
    <row r="104">
      <c r="A104" t="inlineStr">
        <is>
          <t>R089</t>
        </is>
      </c>
      <c r="B104" t="inlineStr">
        <is>
          <t>M020</t>
        </is>
      </c>
      <c r="C104" t="inlineStr">
        <is>
          <t>co-feed</t>
        </is>
      </c>
      <c r="D104" t="n">
        <v>2</v>
      </c>
      <c r="E104" t="inlineStr">
        <is>
          <t>cross-group</t>
        </is>
      </c>
    </row>
    <row r="105">
      <c r="A105" t="inlineStr">
        <is>
          <t>R089</t>
        </is>
      </c>
      <c r="B105" t="inlineStr">
        <is>
          <t>M110</t>
        </is>
      </c>
      <c r="C105" t="inlineStr">
        <is>
          <t>co-feed</t>
        </is>
      </c>
      <c r="D105" t="n">
        <v>3</v>
      </c>
      <c r="E105" t="inlineStr">
        <is>
          <t>cross-group</t>
        </is>
      </c>
    </row>
    <row r="106">
      <c r="A106" t="inlineStr">
        <is>
          <t>R090</t>
        </is>
      </c>
      <c r="B106" t="inlineStr">
        <is>
          <t>M020</t>
        </is>
      </c>
      <c r="C106" t="inlineStr">
        <is>
          <t>main</t>
        </is>
      </c>
      <c r="D106" t="n">
        <v>1</v>
      </c>
    </row>
    <row r="107">
      <c r="A107" t="inlineStr">
        <is>
          <t>R091</t>
        </is>
      </c>
      <c r="B107" t="inlineStr">
        <is>
          <t>M012</t>
        </is>
      </c>
      <c r="C107" t="inlineStr">
        <is>
          <t>main</t>
        </is>
      </c>
      <c r="D107" t="n">
        <v>1</v>
      </c>
    </row>
    <row r="108">
      <c r="A108" t="inlineStr">
        <is>
          <t>R092</t>
        </is>
      </c>
      <c r="B108" t="inlineStr">
        <is>
          <t>M067</t>
        </is>
      </c>
      <c r="C108" t="inlineStr">
        <is>
          <t>main</t>
        </is>
      </c>
      <c r="D108" t="n">
        <v>1</v>
      </c>
    </row>
    <row r="109">
      <c r="A109" t="inlineStr">
        <is>
          <t>R093</t>
        </is>
      </c>
      <c r="B109" t="inlineStr">
        <is>
          <t>M101</t>
        </is>
      </c>
      <c r="C109" t="inlineStr">
        <is>
          <t>main</t>
        </is>
      </c>
      <c r="D109" t="n">
        <v>1</v>
      </c>
    </row>
    <row r="110">
      <c r="A110" t="inlineStr">
        <is>
          <t>R094</t>
        </is>
      </c>
      <c r="B110" t="inlineStr">
        <is>
          <t>M020</t>
        </is>
      </c>
      <c r="C110" t="inlineStr">
        <is>
          <t>main</t>
        </is>
      </c>
      <c r="D110" t="n">
        <v>1</v>
      </c>
    </row>
    <row r="111">
      <c r="A111" t="inlineStr">
        <is>
          <t>R095</t>
        </is>
      </c>
      <c r="B111" t="inlineStr">
        <is>
          <t>M102</t>
        </is>
      </c>
      <c r="C111" t="inlineStr">
        <is>
          <t>main</t>
        </is>
      </c>
      <c r="D111" t="n">
        <v>1</v>
      </c>
    </row>
    <row r="112">
      <c r="A112" t="inlineStr">
        <is>
          <t>R096</t>
        </is>
      </c>
      <c r="B112" t="inlineStr">
        <is>
          <t>M102</t>
        </is>
      </c>
      <c r="C112" t="inlineStr">
        <is>
          <t>main</t>
        </is>
      </c>
      <c r="D112" t="n">
        <v>1</v>
      </c>
    </row>
    <row r="113">
      <c r="A113" t="inlineStr">
        <is>
          <t>R097</t>
        </is>
      </c>
      <c r="B113" t="inlineStr">
        <is>
          <t>M104</t>
        </is>
      </c>
      <c r="C113" t="inlineStr">
        <is>
          <t>main</t>
        </is>
      </c>
      <c r="D113" t="n">
        <v>1</v>
      </c>
    </row>
    <row r="114">
      <c r="A114" t="inlineStr">
        <is>
          <t>R098</t>
        </is>
      </c>
      <c r="B114" t="inlineStr">
        <is>
          <t>M104</t>
        </is>
      </c>
      <c r="C114" t="inlineStr">
        <is>
          <t>main</t>
        </is>
      </c>
      <c r="D114" t="n">
        <v>1</v>
      </c>
    </row>
    <row r="115">
      <c r="A115" t="inlineStr">
        <is>
          <t>R099</t>
        </is>
      </c>
      <c r="B115" t="inlineStr">
        <is>
          <t>M104</t>
        </is>
      </c>
      <c r="C115" t="inlineStr">
        <is>
          <t>main</t>
        </is>
      </c>
      <c r="D115" t="n">
        <v>1</v>
      </c>
    </row>
    <row r="116">
      <c r="A116" t="inlineStr">
        <is>
          <t>R100</t>
        </is>
      </c>
      <c r="B116" t="inlineStr">
        <is>
          <t>M104</t>
        </is>
      </c>
      <c r="C116" t="inlineStr">
        <is>
          <t>main</t>
        </is>
      </c>
      <c r="D116" t="n">
        <v>1</v>
      </c>
    </row>
    <row r="117">
      <c r="A117" t="inlineStr">
        <is>
          <t>R101</t>
        </is>
      </c>
      <c r="B117" t="inlineStr">
        <is>
          <t>M104</t>
        </is>
      </c>
      <c r="C117" t="inlineStr">
        <is>
          <t>main</t>
        </is>
      </c>
      <c r="D117" t="n">
        <v>1</v>
      </c>
    </row>
    <row r="118">
      <c r="A118" t="inlineStr">
        <is>
          <t>R102</t>
        </is>
      </c>
      <c r="B118" t="inlineStr">
        <is>
          <t>M103</t>
        </is>
      </c>
      <c r="C118" t="inlineStr">
        <is>
          <t>main</t>
        </is>
      </c>
      <c r="D118" t="n">
        <v>1</v>
      </c>
    </row>
    <row r="119">
      <c r="A119" t="inlineStr">
        <is>
          <t>R103</t>
        </is>
      </c>
      <c r="B119" t="inlineStr">
        <is>
          <t>M054</t>
        </is>
      </c>
      <c r="C119" t="inlineStr">
        <is>
          <t>main</t>
        </is>
      </c>
      <c r="D119" t="n">
        <v>1</v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Sheet12">
    <outlinePr summaryBelow="1" summaryRight="1"/>
    <pageSetUpPr/>
  </sheetPr>
  <dimension ref="A1:E105"/>
  <sheetViews>
    <sheetView topLeftCell="A34" zoomScale="85" zoomScaleNormal="85" workbookViewId="0">
      <selection activeCell="F50" sqref="F50"/>
    </sheetView>
  </sheetViews>
  <sheetFormatPr baseColWidth="8" defaultRowHeight="16.5"/>
  <cols>
    <col width="9.625" customWidth="1" style="179" min="1" max="1"/>
    <col width="12" customWidth="1" style="179" min="2" max="2"/>
    <col width="13.375" bestFit="1" customWidth="1" style="179" min="3" max="3"/>
    <col width="8.625" customWidth="1" style="179" min="4" max="4"/>
    <col width="18.5" bestFit="1" customWidth="1" style="179" min="5" max="5"/>
  </cols>
  <sheetData>
    <row r="1">
      <c r="A1" t="inlineStr">
        <is>
          <t>route_id</t>
        </is>
      </c>
      <c r="B1" t="inlineStr">
        <is>
          <t>material_id</t>
        </is>
      </c>
      <c r="C1" t="inlineStr">
        <is>
          <t>output_role</t>
        </is>
      </c>
      <c r="D1" t="inlineStr">
        <is>
          <t>seq_no</t>
        </is>
      </c>
      <c r="E1" t="inlineStr">
        <is>
          <t>remarks</t>
        </is>
      </c>
    </row>
    <row r="2">
      <c r="A2" t="inlineStr">
        <is>
          <t>R001</t>
        </is>
      </c>
      <c r="B2" t="inlineStr">
        <is>
          <t>M002</t>
        </is>
      </c>
      <c r="C2" t="inlineStr">
        <is>
          <t>main product</t>
        </is>
      </c>
      <c r="D2" t="n">
        <v>1</v>
      </c>
    </row>
    <row r="3">
      <c r="A3" t="inlineStr">
        <is>
          <t>R002</t>
        </is>
      </c>
      <c r="B3" t="inlineStr">
        <is>
          <t>M003</t>
        </is>
      </c>
      <c r="C3" t="inlineStr">
        <is>
          <t>main product</t>
        </is>
      </c>
      <c r="D3" t="n">
        <v>1</v>
      </c>
    </row>
    <row r="4">
      <c r="A4" t="inlineStr">
        <is>
          <t>R003</t>
        </is>
      </c>
      <c r="B4" t="inlineStr">
        <is>
          <t>M004</t>
        </is>
      </c>
      <c r="C4" t="inlineStr">
        <is>
          <t>main product</t>
        </is>
      </c>
      <c r="D4" t="n">
        <v>1</v>
      </c>
    </row>
    <row r="5">
      <c r="A5" t="inlineStr">
        <is>
          <t>R004</t>
        </is>
      </c>
      <c r="B5" t="inlineStr">
        <is>
          <t>M005</t>
        </is>
      </c>
      <c r="C5" t="inlineStr">
        <is>
          <t>main product</t>
        </is>
      </c>
      <c r="D5" t="n">
        <v>1</v>
      </c>
    </row>
    <row r="6">
      <c r="A6" t="inlineStr">
        <is>
          <t>R005</t>
        </is>
      </c>
      <c r="B6" t="inlineStr">
        <is>
          <t>M006</t>
        </is>
      </c>
      <c r="C6" t="inlineStr">
        <is>
          <t>main product</t>
        </is>
      </c>
      <c r="D6" t="n">
        <v>1</v>
      </c>
    </row>
    <row r="7">
      <c r="A7" t="inlineStr">
        <is>
          <t>R006</t>
        </is>
      </c>
      <c r="B7" t="inlineStr">
        <is>
          <t>M007</t>
        </is>
      </c>
      <c r="C7" t="inlineStr">
        <is>
          <t>main product</t>
        </is>
      </c>
      <c r="D7" t="n">
        <v>1</v>
      </c>
    </row>
    <row r="8">
      <c r="A8" t="inlineStr">
        <is>
          <t>R007</t>
        </is>
      </c>
      <c r="B8" t="inlineStr">
        <is>
          <t>M012</t>
        </is>
      </c>
      <c r="C8" t="inlineStr">
        <is>
          <t>main product</t>
        </is>
      </c>
      <c r="D8" t="n">
        <v>1</v>
      </c>
    </row>
    <row r="9">
      <c r="A9" t="inlineStr">
        <is>
          <t>R008</t>
        </is>
      </c>
      <c r="B9" t="inlineStr">
        <is>
          <t>M017</t>
        </is>
      </c>
      <c r="C9" t="inlineStr">
        <is>
          <t>main product</t>
        </is>
      </c>
      <c r="D9" t="n">
        <v>1</v>
      </c>
    </row>
    <row r="10">
      <c r="A10" t="inlineStr">
        <is>
          <t>R009</t>
        </is>
      </c>
      <c r="B10" t="inlineStr">
        <is>
          <t>M013</t>
        </is>
      </c>
      <c r="C10" t="inlineStr">
        <is>
          <t>main product</t>
        </is>
      </c>
      <c r="D10" t="n">
        <v>1</v>
      </c>
      <c r="E10" t="inlineStr">
        <is>
          <t>family-level output</t>
        </is>
      </c>
    </row>
    <row r="11">
      <c r="A11" t="inlineStr">
        <is>
          <t>R010</t>
        </is>
      </c>
      <c r="B11" t="inlineStr">
        <is>
          <t>M014</t>
        </is>
      </c>
      <c r="C11" t="inlineStr">
        <is>
          <t>main product</t>
        </is>
      </c>
      <c r="D11" t="n">
        <v>1</v>
      </c>
    </row>
    <row r="12">
      <c r="A12" t="inlineStr">
        <is>
          <t>R011</t>
        </is>
      </c>
      <c r="B12" t="inlineStr">
        <is>
          <t>M015</t>
        </is>
      </c>
      <c r="C12" t="inlineStr">
        <is>
          <t>main product</t>
        </is>
      </c>
      <c r="D12" t="n">
        <v>1</v>
      </c>
    </row>
    <row r="13">
      <c r="A13" t="inlineStr">
        <is>
          <t>R012</t>
        </is>
      </c>
      <c r="B13" t="inlineStr">
        <is>
          <t>M016</t>
        </is>
      </c>
      <c r="C13" t="inlineStr">
        <is>
          <t>main product</t>
        </is>
      </c>
      <c r="D13" t="n">
        <v>1</v>
      </c>
    </row>
    <row r="14">
      <c r="A14" t="inlineStr">
        <is>
          <t>R013</t>
        </is>
      </c>
      <c r="B14" t="inlineStr">
        <is>
          <t>M008</t>
        </is>
      </c>
      <c r="C14" t="inlineStr">
        <is>
          <t>main product</t>
        </is>
      </c>
      <c r="D14" t="n">
        <v>1</v>
      </c>
    </row>
    <row r="15">
      <c r="A15" t="inlineStr">
        <is>
          <t>R014</t>
        </is>
      </c>
      <c r="B15" t="inlineStr">
        <is>
          <t>M018</t>
        </is>
      </c>
      <c r="C15" t="inlineStr">
        <is>
          <t>main product</t>
        </is>
      </c>
      <c r="D15" t="n">
        <v>1</v>
      </c>
    </row>
    <row r="16">
      <c r="A16" t="inlineStr">
        <is>
          <t>R015</t>
        </is>
      </c>
      <c r="B16" t="inlineStr">
        <is>
          <t>M009</t>
        </is>
      </c>
      <c r="C16" t="inlineStr">
        <is>
          <t>main product</t>
        </is>
      </c>
      <c r="D16" t="n">
        <v>1</v>
      </c>
    </row>
    <row r="17">
      <c r="A17" t="inlineStr">
        <is>
          <t>R016</t>
        </is>
      </c>
      <c r="B17" t="inlineStr">
        <is>
          <t>M019</t>
        </is>
      </c>
      <c r="C17" t="inlineStr">
        <is>
          <t>main product</t>
        </is>
      </c>
      <c r="D17" t="n">
        <v>1</v>
      </c>
    </row>
    <row r="18">
      <c r="A18" t="inlineStr">
        <is>
          <t>R017</t>
        </is>
      </c>
      <c r="B18" t="inlineStr">
        <is>
          <t>M010</t>
        </is>
      </c>
      <c r="C18" t="inlineStr">
        <is>
          <t>main product</t>
        </is>
      </c>
      <c r="D18" t="n">
        <v>1</v>
      </c>
    </row>
    <row r="19">
      <c r="A19" t="inlineStr">
        <is>
          <t>R018</t>
        </is>
      </c>
      <c r="B19" t="inlineStr">
        <is>
          <t>M011</t>
        </is>
      </c>
      <c r="C19" t="inlineStr">
        <is>
          <t>main product</t>
        </is>
      </c>
      <c r="D19" t="n">
        <v>1</v>
      </c>
    </row>
    <row r="20">
      <c r="A20" t="inlineStr">
        <is>
          <t>R019</t>
        </is>
      </c>
      <c r="B20" t="inlineStr">
        <is>
          <t>M025</t>
        </is>
      </c>
      <c r="C20" t="inlineStr">
        <is>
          <t>main product</t>
        </is>
      </c>
      <c r="D20" t="n">
        <v>1</v>
      </c>
    </row>
    <row r="21">
      <c r="A21" t="inlineStr">
        <is>
          <t>R020</t>
        </is>
      </c>
      <c r="B21" t="inlineStr">
        <is>
          <t>M026</t>
        </is>
      </c>
      <c r="C21" t="inlineStr">
        <is>
          <t>main product</t>
        </is>
      </c>
      <c r="D21" t="n">
        <v>1</v>
      </c>
    </row>
    <row r="22">
      <c r="A22" t="inlineStr">
        <is>
          <t>R021</t>
        </is>
      </c>
      <c r="B22" t="inlineStr">
        <is>
          <t>M027</t>
        </is>
      </c>
      <c r="C22" t="inlineStr">
        <is>
          <t>main product</t>
        </is>
      </c>
      <c r="D22" t="n">
        <v>1</v>
      </c>
    </row>
    <row r="23">
      <c r="A23" t="inlineStr">
        <is>
          <t>R022</t>
        </is>
      </c>
      <c r="B23" t="inlineStr">
        <is>
          <t>M028</t>
        </is>
      </c>
      <c r="C23" t="inlineStr">
        <is>
          <t>main product</t>
        </is>
      </c>
      <c r="D23" t="n">
        <v>1</v>
      </c>
    </row>
    <row r="24">
      <c r="A24" t="inlineStr">
        <is>
          <t>R023</t>
        </is>
      </c>
      <c r="B24" t="inlineStr">
        <is>
          <t>M029</t>
        </is>
      </c>
      <c r="C24" t="inlineStr">
        <is>
          <t>main product</t>
        </is>
      </c>
      <c r="D24" t="n">
        <v>1</v>
      </c>
      <c r="E24" t="inlineStr">
        <is>
          <t>family-level output</t>
        </is>
      </c>
    </row>
    <row r="25">
      <c r="A25" t="inlineStr">
        <is>
          <t>R024</t>
        </is>
      </c>
      <c r="B25" t="inlineStr">
        <is>
          <t>M030</t>
        </is>
      </c>
      <c r="C25" t="inlineStr">
        <is>
          <t>main product</t>
        </is>
      </c>
      <c r="D25" t="n">
        <v>1</v>
      </c>
    </row>
    <row r="26">
      <c r="A26" t="inlineStr">
        <is>
          <t>R025</t>
        </is>
      </c>
      <c r="B26" t="inlineStr">
        <is>
          <t>M021</t>
        </is>
      </c>
      <c r="C26" t="inlineStr">
        <is>
          <t>main product</t>
        </is>
      </c>
      <c r="D26" t="n">
        <v>1</v>
      </c>
    </row>
    <row r="27">
      <c r="A27" t="inlineStr">
        <is>
          <t>R026</t>
        </is>
      </c>
      <c r="B27" t="inlineStr">
        <is>
          <t>M022</t>
        </is>
      </c>
      <c r="C27" t="inlineStr">
        <is>
          <t>main product</t>
        </is>
      </c>
      <c r="D27" t="n">
        <v>1</v>
      </c>
    </row>
    <row r="28">
      <c r="A28" t="inlineStr">
        <is>
          <t>R027</t>
        </is>
      </c>
      <c r="B28" t="inlineStr">
        <is>
          <t>M023</t>
        </is>
      </c>
      <c r="C28" t="inlineStr">
        <is>
          <t>main product</t>
        </is>
      </c>
      <c r="D28" t="n">
        <v>1</v>
      </c>
    </row>
    <row r="29">
      <c r="A29" t="inlineStr">
        <is>
          <t>R028</t>
        </is>
      </c>
      <c r="B29" t="inlineStr">
        <is>
          <t>M024</t>
        </is>
      </c>
      <c r="C29" t="inlineStr">
        <is>
          <t>main product</t>
        </is>
      </c>
      <c r="D29" t="n">
        <v>1</v>
      </c>
    </row>
    <row r="30">
      <c r="A30" t="inlineStr">
        <is>
          <t>R029</t>
        </is>
      </c>
      <c r="B30" t="inlineStr">
        <is>
          <t>M031</t>
        </is>
      </c>
      <c r="C30" t="inlineStr">
        <is>
          <t>main product</t>
        </is>
      </c>
      <c r="D30" t="n">
        <v>1</v>
      </c>
    </row>
    <row r="31">
      <c r="A31" t="inlineStr">
        <is>
          <t>R030</t>
        </is>
      </c>
      <c r="B31" t="inlineStr">
        <is>
          <t>M041</t>
        </is>
      </c>
      <c r="C31" t="inlineStr">
        <is>
          <t>main product</t>
        </is>
      </c>
      <c r="D31" t="n">
        <v>1</v>
      </c>
    </row>
    <row r="32">
      <c r="A32" t="inlineStr">
        <is>
          <t>R031</t>
        </is>
      </c>
      <c r="B32" t="inlineStr">
        <is>
          <t>M033</t>
        </is>
      </c>
      <c r="C32" t="inlineStr">
        <is>
          <t>main product</t>
        </is>
      </c>
      <c r="D32" t="n">
        <v>1</v>
      </c>
    </row>
    <row r="33">
      <c r="A33" t="inlineStr">
        <is>
          <t>R032</t>
        </is>
      </c>
      <c r="B33" t="inlineStr">
        <is>
          <t>M034</t>
        </is>
      </c>
      <c r="C33" t="inlineStr">
        <is>
          <t>main product</t>
        </is>
      </c>
      <c r="D33" t="n">
        <v>1</v>
      </c>
      <c r="E33" t="inlineStr">
        <is>
          <t>simplified</t>
        </is>
      </c>
    </row>
    <row r="34">
      <c r="A34" t="inlineStr">
        <is>
          <t>R033</t>
        </is>
      </c>
      <c r="B34" t="inlineStr">
        <is>
          <t>M035</t>
        </is>
      </c>
      <c r="C34" t="inlineStr">
        <is>
          <t>main product</t>
        </is>
      </c>
      <c r="D34" t="n">
        <v>1</v>
      </c>
    </row>
    <row r="35">
      <c r="A35" t="inlineStr">
        <is>
          <t>R034</t>
        </is>
      </c>
      <c r="B35" t="inlineStr">
        <is>
          <t>M037</t>
        </is>
      </c>
      <c r="C35" t="inlineStr">
        <is>
          <t>main product</t>
        </is>
      </c>
      <c r="D35" t="n">
        <v>1</v>
      </c>
    </row>
    <row r="36">
      <c r="A36" t="inlineStr">
        <is>
          <t>R035</t>
        </is>
      </c>
      <c r="B36" t="inlineStr">
        <is>
          <t>M039</t>
        </is>
      </c>
      <c r="C36" t="inlineStr">
        <is>
          <t>main product</t>
        </is>
      </c>
      <c r="D36" t="n">
        <v>1</v>
      </c>
    </row>
    <row r="37">
      <c r="A37" t="inlineStr">
        <is>
          <t>R036</t>
        </is>
      </c>
      <c r="B37" t="inlineStr">
        <is>
          <t>M036</t>
        </is>
      </c>
      <c r="C37" t="inlineStr">
        <is>
          <t>main product</t>
        </is>
      </c>
      <c r="D37" t="n">
        <v>1</v>
      </c>
    </row>
    <row r="38">
      <c r="A38" t="inlineStr">
        <is>
          <t>R037</t>
        </is>
      </c>
      <c r="B38" t="inlineStr">
        <is>
          <t>M038</t>
        </is>
      </c>
      <c r="C38" t="inlineStr">
        <is>
          <t>main product</t>
        </is>
      </c>
      <c r="D38" t="n">
        <v>1</v>
      </c>
    </row>
    <row r="39">
      <c r="A39" t="inlineStr">
        <is>
          <t>R038</t>
        </is>
      </c>
      <c r="B39" t="inlineStr">
        <is>
          <t>M040</t>
        </is>
      </c>
      <c r="C39" t="inlineStr">
        <is>
          <t>main product</t>
        </is>
      </c>
      <c r="D39" t="n">
        <v>1</v>
      </c>
    </row>
    <row r="40">
      <c r="A40" t="inlineStr">
        <is>
          <t>R039</t>
        </is>
      </c>
      <c r="B40" t="inlineStr">
        <is>
          <t>M041</t>
        </is>
      </c>
      <c r="C40" t="inlineStr">
        <is>
          <t>main product</t>
        </is>
      </c>
      <c r="D40" t="n">
        <v>1</v>
      </c>
    </row>
    <row r="41">
      <c r="A41" t="inlineStr">
        <is>
          <t>R040</t>
        </is>
      </c>
      <c r="B41" t="inlineStr">
        <is>
          <t>M042</t>
        </is>
      </c>
      <c r="C41" t="inlineStr">
        <is>
          <t>main product</t>
        </is>
      </c>
      <c r="D41" t="n">
        <v>1</v>
      </c>
    </row>
    <row r="42">
      <c r="A42" t="inlineStr">
        <is>
          <t>R041</t>
        </is>
      </c>
      <c r="B42" t="inlineStr">
        <is>
          <t>M044</t>
        </is>
      </c>
      <c r="C42" t="inlineStr">
        <is>
          <t>main product</t>
        </is>
      </c>
      <c r="D42" t="n">
        <v>1</v>
      </c>
    </row>
    <row r="43">
      <c r="A43" t="inlineStr">
        <is>
          <t>R042</t>
        </is>
      </c>
      <c r="B43" t="inlineStr">
        <is>
          <t>M045</t>
        </is>
      </c>
      <c r="C43" t="inlineStr">
        <is>
          <t>main product</t>
        </is>
      </c>
      <c r="D43" t="n">
        <v>1</v>
      </c>
    </row>
    <row r="44">
      <c r="A44" t="inlineStr">
        <is>
          <t>R043</t>
        </is>
      </c>
      <c r="B44" t="inlineStr">
        <is>
          <t>M047</t>
        </is>
      </c>
      <c r="C44" t="inlineStr">
        <is>
          <t>main product</t>
        </is>
      </c>
      <c r="D44" t="n">
        <v>1</v>
      </c>
    </row>
    <row r="45">
      <c r="A45" t="inlineStr">
        <is>
          <t>R044</t>
        </is>
      </c>
      <c r="B45" t="inlineStr">
        <is>
          <t>M050</t>
        </is>
      </c>
      <c r="C45" t="inlineStr">
        <is>
          <t>main product</t>
        </is>
      </c>
      <c r="D45" t="n">
        <v>1</v>
      </c>
    </row>
    <row r="46">
      <c r="A46" t="inlineStr">
        <is>
          <t>R045</t>
        </is>
      </c>
      <c r="B46" t="inlineStr">
        <is>
          <t>M052</t>
        </is>
      </c>
      <c r="C46" t="inlineStr">
        <is>
          <t>main product</t>
        </is>
      </c>
      <c r="D46" t="n">
        <v>1</v>
      </c>
    </row>
    <row r="47">
      <c r="A47" t="inlineStr">
        <is>
          <t>R046</t>
        </is>
      </c>
      <c r="B47" t="inlineStr">
        <is>
          <t>M053</t>
        </is>
      </c>
      <c r="C47" t="inlineStr">
        <is>
          <t>main product</t>
        </is>
      </c>
      <c r="D47" t="n">
        <v>1</v>
      </c>
    </row>
    <row r="48">
      <c r="A48" t="inlineStr">
        <is>
          <t>R047</t>
        </is>
      </c>
      <c r="B48" t="inlineStr">
        <is>
          <t>M048</t>
        </is>
      </c>
      <c r="C48" t="inlineStr">
        <is>
          <t>main product</t>
        </is>
      </c>
      <c r="D48" t="n">
        <v>1</v>
      </c>
    </row>
    <row r="49">
      <c r="A49" t="inlineStr">
        <is>
          <t>R048</t>
        </is>
      </c>
      <c r="B49" t="inlineStr">
        <is>
          <t>M052</t>
        </is>
      </c>
      <c r="C49" t="inlineStr">
        <is>
          <t>main product</t>
        </is>
      </c>
      <c r="D49" t="n">
        <v>1</v>
      </c>
      <c r="E49" t="inlineStr">
        <is>
          <t>cross-group</t>
        </is>
      </c>
    </row>
    <row r="50">
      <c r="A50" t="inlineStr">
        <is>
          <t>R049</t>
        </is>
      </c>
      <c r="B50" t="inlineStr">
        <is>
          <t>M055</t>
        </is>
      </c>
      <c r="C50" t="inlineStr">
        <is>
          <t>main product</t>
        </is>
      </c>
      <c r="D50" t="n">
        <v>1</v>
      </c>
    </row>
    <row r="51">
      <c r="A51" t="inlineStr">
        <is>
          <t>R050</t>
        </is>
      </c>
      <c r="B51" t="inlineStr">
        <is>
          <t>M056</t>
        </is>
      </c>
      <c r="C51" t="inlineStr">
        <is>
          <t>main product</t>
        </is>
      </c>
      <c r="D51" t="n">
        <v>1</v>
      </c>
    </row>
    <row r="52">
      <c r="A52" t="inlineStr">
        <is>
          <t>R051</t>
        </is>
      </c>
      <c r="B52" t="inlineStr">
        <is>
          <t>M057</t>
        </is>
      </c>
      <c r="C52" t="inlineStr">
        <is>
          <t>main product</t>
        </is>
      </c>
      <c r="D52" t="n">
        <v>1</v>
      </c>
    </row>
    <row r="53">
      <c r="A53" t="inlineStr">
        <is>
          <t>R052</t>
        </is>
      </c>
      <c r="B53" t="inlineStr">
        <is>
          <t>M058</t>
        </is>
      </c>
      <c r="C53" t="inlineStr">
        <is>
          <t>main product</t>
        </is>
      </c>
      <c r="D53" t="n">
        <v>1</v>
      </c>
    </row>
    <row r="54">
      <c r="A54" t="inlineStr">
        <is>
          <t>R053</t>
        </is>
      </c>
      <c r="B54" t="inlineStr">
        <is>
          <t>M059</t>
        </is>
      </c>
      <c r="C54" t="inlineStr">
        <is>
          <t>main product</t>
        </is>
      </c>
      <c r="D54" t="n">
        <v>1</v>
      </c>
      <c r="E54" t="inlineStr">
        <is>
          <t>coproduct route</t>
        </is>
      </c>
    </row>
    <row r="55">
      <c r="A55" t="inlineStr">
        <is>
          <t>R053</t>
        </is>
      </c>
      <c r="B55" t="inlineStr">
        <is>
          <t>M060</t>
        </is>
      </c>
      <c r="C55" t="inlineStr">
        <is>
          <t>co-product</t>
        </is>
      </c>
      <c r="D55" t="n">
        <v>2</v>
      </c>
      <c r="E55" t="inlineStr">
        <is>
          <t>coproduct route</t>
        </is>
      </c>
    </row>
    <row r="56">
      <c r="A56" t="inlineStr">
        <is>
          <t>R054</t>
        </is>
      </c>
      <c r="B56" t="inlineStr">
        <is>
          <t>M061</t>
        </is>
      </c>
      <c r="C56" t="inlineStr">
        <is>
          <t>main product</t>
        </is>
      </c>
      <c r="D56" t="n">
        <v>1</v>
      </c>
    </row>
    <row r="57">
      <c r="A57" t="inlineStr">
        <is>
          <t>R055</t>
        </is>
      </c>
      <c r="B57" t="inlineStr">
        <is>
          <t>M062</t>
        </is>
      </c>
      <c r="C57" t="inlineStr">
        <is>
          <t>main product</t>
        </is>
      </c>
      <c r="D57" t="n">
        <v>1</v>
      </c>
    </row>
    <row r="58">
      <c r="A58" t="inlineStr">
        <is>
          <t>R056</t>
        </is>
      </c>
      <c r="B58" t="inlineStr">
        <is>
          <t>M063</t>
        </is>
      </c>
      <c r="C58" t="inlineStr">
        <is>
          <t>main product</t>
        </is>
      </c>
      <c r="D58" t="n">
        <v>1</v>
      </c>
    </row>
    <row r="59">
      <c r="A59" t="inlineStr">
        <is>
          <t>R057</t>
        </is>
      </c>
      <c r="B59" t="inlineStr">
        <is>
          <t>M064</t>
        </is>
      </c>
      <c r="C59" t="inlineStr">
        <is>
          <t>main product</t>
        </is>
      </c>
      <c r="D59" t="n">
        <v>1</v>
      </c>
    </row>
    <row r="60">
      <c r="A60" t="inlineStr">
        <is>
          <t>R058</t>
        </is>
      </c>
      <c r="B60" t="inlineStr">
        <is>
          <t>M065</t>
        </is>
      </c>
      <c r="C60" t="inlineStr">
        <is>
          <t>main product</t>
        </is>
      </c>
      <c r="D60" t="n">
        <v>1</v>
      </c>
    </row>
    <row r="61">
      <c r="A61" t="inlineStr">
        <is>
          <t>R059</t>
        </is>
      </c>
      <c r="B61" t="inlineStr">
        <is>
          <t>M066</t>
        </is>
      </c>
      <c r="C61" t="inlineStr">
        <is>
          <t>main product</t>
        </is>
      </c>
      <c r="D61" t="n">
        <v>1</v>
      </c>
      <c r="E61" t="inlineStr">
        <is>
          <t>family-level output</t>
        </is>
      </c>
    </row>
    <row r="62">
      <c r="A62" t="inlineStr">
        <is>
          <t>R060</t>
        </is>
      </c>
      <c r="B62" t="inlineStr">
        <is>
          <t>M067</t>
        </is>
      </c>
      <c r="C62" t="inlineStr">
        <is>
          <t>main product</t>
        </is>
      </c>
      <c r="D62" t="n">
        <v>1</v>
      </c>
    </row>
    <row r="63">
      <c r="A63" t="inlineStr">
        <is>
          <t>R061</t>
        </is>
      </c>
      <c r="B63" t="inlineStr">
        <is>
          <t>M074</t>
        </is>
      </c>
      <c r="C63" t="inlineStr">
        <is>
          <t>main product</t>
        </is>
      </c>
      <c r="D63" t="n">
        <v>1</v>
      </c>
    </row>
    <row r="64">
      <c r="A64" t="inlineStr">
        <is>
          <t>R062</t>
        </is>
      </c>
      <c r="B64" t="inlineStr">
        <is>
          <t>M096</t>
        </is>
      </c>
      <c r="C64" t="inlineStr">
        <is>
          <t>main product</t>
        </is>
      </c>
      <c r="D64" t="n">
        <v>1</v>
      </c>
    </row>
    <row r="65">
      <c r="A65" t="inlineStr">
        <is>
          <t>R063</t>
        </is>
      </c>
      <c r="B65" t="inlineStr">
        <is>
          <t>M075</t>
        </is>
      </c>
      <c r="C65" t="inlineStr">
        <is>
          <t>main product</t>
        </is>
      </c>
      <c r="D65" t="n">
        <v>1</v>
      </c>
    </row>
    <row r="66">
      <c r="A66" t="inlineStr">
        <is>
          <t>R064</t>
        </is>
      </c>
      <c r="B66" t="inlineStr">
        <is>
          <t>M077</t>
        </is>
      </c>
      <c r="C66" t="inlineStr">
        <is>
          <t>main product</t>
        </is>
      </c>
      <c r="D66" t="n">
        <v>1</v>
      </c>
    </row>
    <row r="67">
      <c r="A67" t="inlineStr">
        <is>
          <t>R065</t>
        </is>
      </c>
      <c r="B67" t="inlineStr">
        <is>
          <t>M080</t>
        </is>
      </c>
      <c r="C67" t="inlineStr">
        <is>
          <t>main product</t>
        </is>
      </c>
      <c r="D67" t="n">
        <v>1</v>
      </c>
    </row>
    <row r="68">
      <c r="A68" t="inlineStr">
        <is>
          <t>R066</t>
        </is>
      </c>
      <c r="B68" t="inlineStr">
        <is>
          <t>M070</t>
        </is>
      </c>
      <c r="C68" t="inlineStr">
        <is>
          <t>main product</t>
        </is>
      </c>
      <c r="D68" t="n">
        <v>1</v>
      </c>
    </row>
    <row r="69">
      <c r="A69" t="inlineStr">
        <is>
          <t>R067</t>
        </is>
      </c>
      <c r="B69" t="inlineStr">
        <is>
          <t>M049</t>
        </is>
      </c>
      <c r="C69" t="inlineStr">
        <is>
          <t>main product</t>
        </is>
      </c>
      <c r="D69" t="n">
        <v>1</v>
      </c>
    </row>
    <row r="70">
      <c r="A70" t="inlineStr">
        <is>
          <t>R068</t>
        </is>
      </c>
      <c r="B70" t="inlineStr">
        <is>
          <t>M078</t>
        </is>
      </c>
      <c r="C70" t="inlineStr">
        <is>
          <t>main product</t>
        </is>
      </c>
      <c r="D70" t="n">
        <v>1</v>
      </c>
    </row>
    <row r="71">
      <c r="A71" t="inlineStr">
        <is>
          <t>R069</t>
        </is>
      </c>
      <c r="B71" t="inlineStr">
        <is>
          <t>M079</t>
        </is>
      </c>
      <c r="C71" t="inlineStr">
        <is>
          <t>main product</t>
        </is>
      </c>
      <c r="D71" t="n">
        <v>1</v>
      </c>
    </row>
    <row r="72">
      <c r="A72" t="inlineStr">
        <is>
          <t>R070</t>
        </is>
      </c>
      <c r="B72" t="inlineStr">
        <is>
          <t>M081</t>
        </is>
      </c>
      <c r="C72" t="inlineStr">
        <is>
          <t>main product</t>
        </is>
      </c>
      <c r="D72" t="n">
        <v>1</v>
      </c>
    </row>
    <row r="73">
      <c r="A73" t="inlineStr">
        <is>
          <t>R071</t>
        </is>
      </c>
      <c r="B73" t="inlineStr">
        <is>
          <t>M082</t>
        </is>
      </c>
      <c r="C73" t="inlineStr">
        <is>
          <t>main product</t>
        </is>
      </c>
      <c r="D73" t="n">
        <v>1</v>
      </c>
    </row>
    <row r="74">
      <c r="A74" t="inlineStr">
        <is>
          <t>R072</t>
        </is>
      </c>
      <c r="B74" t="inlineStr">
        <is>
          <t>M083</t>
        </is>
      </c>
      <c r="C74" t="inlineStr">
        <is>
          <t>main product</t>
        </is>
      </c>
      <c r="D74" t="n">
        <v>1</v>
      </c>
    </row>
    <row r="75">
      <c r="A75" t="inlineStr">
        <is>
          <t>R073</t>
        </is>
      </c>
      <c r="B75" t="inlineStr">
        <is>
          <t>M084</t>
        </is>
      </c>
      <c r="C75" t="inlineStr">
        <is>
          <t>main product</t>
        </is>
      </c>
      <c r="D75" t="n">
        <v>1</v>
      </c>
    </row>
    <row r="76">
      <c r="A76" t="inlineStr">
        <is>
          <t>R074</t>
        </is>
      </c>
      <c r="B76" t="inlineStr">
        <is>
          <t>M078</t>
        </is>
      </c>
      <c r="C76" t="inlineStr">
        <is>
          <t>main product</t>
        </is>
      </c>
      <c r="D76" t="n">
        <v>1</v>
      </c>
    </row>
    <row r="77">
      <c r="A77" t="inlineStr">
        <is>
          <t>R075</t>
        </is>
      </c>
      <c r="B77" t="inlineStr">
        <is>
          <t>M085</t>
        </is>
      </c>
      <c r="C77" t="inlineStr">
        <is>
          <t>main product</t>
        </is>
      </c>
      <c r="D77" t="n">
        <v>1</v>
      </c>
    </row>
    <row r="78">
      <c r="A78" t="inlineStr">
        <is>
          <t>R076</t>
        </is>
      </c>
      <c r="B78" t="inlineStr">
        <is>
          <t>M030</t>
        </is>
      </c>
      <c r="C78" t="inlineStr">
        <is>
          <t>main product</t>
        </is>
      </c>
      <c r="D78" t="n">
        <v>1</v>
      </c>
    </row>
    <row r="79">
      <c r="A79" t="inlineStr">
        <is>
          <t>R077</t>
        </is>
      </c>
      <c r="B79" t="inlineStr">
        <is>
          <t>M086</t>
        </is>
      </c>
      <c r="C79" t="inlineStr">
        <is>
          <t>main product</t>
        </is>
      </c>
      <c r="D79" t="n">
        <v>1</v>
      </c>
    </row>
    <row r="80">
      <c r="A80" t="inlineStr">
        <is>
          <t>R078</t>
        </is>
      </c>
      <c r="B80" t="inlineStr">
        <is>
          <t>M094</t>
        </is>
      </c>
      <c r="C80" t="inlineStr">
        <is>
          <t>main product</t>
        </is>
      </c>
      <c r="D80" t="n">
        <v>1</v>
      </c>
    </row>
    <row r="81">
      <c r="A81" t="inlineStr">
        <is>
          <t>R079</t>
        </is>
      </c>
      <c r="B81" t="inlineStr">
        <is>
          <t>M087</t>
        </is>
      </c>
      <c r="C81" t="inlineStr">
        <is>
          <t>main product</t>
        </is>
      </c>
      <c r="D81" t="n">
        <v>1</v>
      </c>
    </row>
    <row r="82">
      <c r="A82" t="inlineStr">
        <is>
          <t>R080</t>
        </is>
      </c>
      <c r="B82" t="inlineStr">
        <is>
          <t>M088</t>
        </is>
      </c>
      <c r="C82" t="inlineStr">
        <is>
          <t>main product</t>
        </is>
      </c>
      <c r="D82" t="n">
        <v>1</v>
      </c>
    </row>
    <row r="83">
      <c r="A83" t="inlineStr">
        <is>
          <t>R081</t>
        </is>
      </c>
      <c r="B83" t="inlineStr">
        <is>
          <t>M089</t>
        </is>
      </c>
      <c r="C83" t="inlineStr">
        <is>
          <t>main product</t>
        </is>
      </c>
      <c r="D83" t="n">
        <v>1</v>
      </c>
    </row>
    <row r="84">
      <c r="A84" t="inlineStr">
        <is>
          <t>R082</t>
        </is>
      </c>
      <c r="B84" t="inlineStr">
        <is>
          <t>M073</t>
        </is>
      </c>
      <c r="C84" t="inlineStr">
        <is>
          <t>main product</t>
        </is>
      </c>
      <c r="D84" t="n">
        <v>1</v>
      </c>
    </row>
    <row r="85">
      <c r="A85" t="inlineStr">
        <is>
          <t>R083</t>
        </is>
      </c>
      <c r="B85" t="inlineStr">
        <is>
          <t>M090</t>
        </is>
      </c>
      <c r="C85" t="inlineStr">
        <is>
          <t>main product</t>
        </is>
      </c>
      <c r="D85" t="n">
        <v>1</v>
      </c>
    </row>
    <row r="86">
      <c r="A86" t="inlineStr">
        <is>
          <t>R084</t>
        </is>
      </c>
      <c r="B86" t="inlineStr">
        <is>
          <t>M091</t>
        </is>
      </c>
      <c r="C86" t="inlineStr">
        <is>
          <t>main product</t>
        </is>
      </c>
      <c r="D86" t="n">
        <v>1</v>
      </c>
    </row>
    <row r="87">
      <c r="A87" t="inlineStr">
        <is>
          <t>R085</t>
        </is>
      </c>
      <c r="B87" t="inlineStr">
        <is>
          <t>M092</t>
        </is>
      </c>
      <c r="C87" t="inlineStr">
        <is>
          <t>main product</t>
        </is>
      </c>
      <c r="D87" t="n">
        <v>1</v>
      </c>
    </row>
    <row r="88">
      <c r="A88" t="inlineStr">
        <is>
          <t>R086</t>
        </is>
      </c>
      <c r="B88" t="inlineStr">
        <is>
          <t>M093</t>
        </is>
      </c>
      <c r="C88" t="inlineStr">
        <is>
          <t>main product</t>
        </is>
      </c>
      <c r="D88" t="n">
        <v>1</v>
      </c>
    </row>
    <row r="89">
      <c r="A89" t="inlineStr">
        <is>
          <t>R087</t>
        </is>
      </c>
      <c r="B89" t="inlineStr">
        <is>
          <t>M076</t>
        </is>
      </c>
      <c r="C89" t="inlineStr">
        <is>
          <t>main product</t>
        </is>
      </c>
      <c r="D89" t="n">
        <v>1</v>
      </c>
    </row>
    <row r="90">
      <c r="A90" t="inlineStr">
        <is>
          <t>R088</t>
        </is>
      </c>
      <c r="B90" t="inlineStr">
        <is>
          <t>M095</t>
        </is>
      </c>
      <c r="C90" t="inlineStr">
        <is>
          <t>main product</t>
        </is>
      </c>
      <c r="D90" t="n">
        <v>1</v>
      </c>
    </row>
    <row r="91">
      <c r="A91" t="inlineStr">
        <is>
          <t>R089</t>
        </is>
      </c>
      <c r="B91" t="inlineStr">
        <is>
          <t>M097</t>
        </is>
      </c>
      <c r="C91" t="inlineStr">
        <is>
          <t>main product</t>
        </is>
      </c>
      <c r="D91" t="n">
        <v>1</v>
      </c>
    </row>
    <row r="92">
      <c r="A92" t="inlineStr">
        <is>
          <t>R090</t>
        </is>
      </c>
      <c r="B92" t="inlineStr">
        <is>
          <t>M098</t>
        </is>
      </c>
      <c r="C92" t="inlineStr">
        <is>
          <t>main product</t>
        </is>
      </c>
      <c r="D92" t="n">
        <v>1</v>
      </c>
    </row>
    <row r="93">
      <c r="A93" t="inlineStr">
        <is>
          <t>R091</t>
        </is>
      </c>
      <c r="B93" t="inlineStr">
        <is>
          <t>M099</t>
        </is>
      </c>
      <c r="C93" t="inlineStr">
        <is>
          <t>main product</t>
        </is>
      </c>
      <c r="D93" t="n">
        <v>1</v>
      </c>
    </row>
    <row r="94">
      <c r="A94" t="inlineStr">
        <is>
          <t>R092</t>
        </is>
      </c>
      <c r="B94" t="inlineStr">
        <is>
          <t>M100</t>
        </is>
      </c>
      <c r="C94" t="inlineStr">
        <is>
          <t>main product</t>
        </is>
      </c>
      <c r="D94" t="n">
        <v>1</v>
      </c>
    </row>
    <row r="95">
      <c r="A95" t="inlineStr">
        <is>
          <t>R093</t>
        </is>
      </c>
      <c r="B95" t="inlineStr">
        <is>
          <t>M068</t>
        </is>
      </c>
      <c r="C95" t="inlineStr">
        <is>
          <t>main product</t>
        </is>
      </c>
      <c r="D95" t="n">
        <v>1</v>
      </c>
    </row>
    <row r="96">
      <c r="A96" t="inlineStr">
        <is>
          <t>R094</t>
        </is>
      </c>
      <c r="B96" t="inlineStr">
        <is>
          <t>M107</t>
        </is>
      </c>
      <c r="C96" t="inlineStr">
        <is>
          <t>main product</t>
        </is>
      </c>
      <c r="D96" t="n">
        <v>1</v>
      </c>
    </row>
    <row r="97">
      <c r="A97" t="inlineStr">
        <is>
          <t>R095</t>
        </is>
      </c>
      <c r="B97" t="inlineStr">
        <is>
          <t>M105</t>
        </is>
      </c>
      <c r="C97" t="inlineStr">
        <is>
          <t>main product</t>
        </is>
      </c>
      <c r="D97" t="n">
        <v>1</v>
      </c>
    </row>
    <row r="98">
      <c r="A98" t="inlineStr">
        <is>
          <t>R096</t>
        </is>
      </c>
      <c r="B98" t="inlineStr">
        <is>
          <t>M106</t>
        </is>
      </c>
      <c r="C98" t="inlineStr">
        <is>
          <t>main product</t>
        </is>
      </c>
      <c r="D98" t="n">
        <v>1</v>
      </c>
    </row>
    <row r="99">
      <c r="A99" t="inlineStr">
        <is>
          <t>R097</t>
        </is>
      </c>
      <c r="B99" t="inlineStr">
        <is>
          <t>M108</t>
        </is>
      </c>
      <c r="C99" t="inlineStr">
        <is>
          <t>main product</t>
        </is>
      </c>
      <c r="D99" t="n">
        <v>1</v>
      </c>
    </row>
    <row r="100">
      <c r="A100" t="inlineStr">
        <is>
          <t>R098</t>
        </is>
      </c>
      <c r="B100" t="inlineStr">
        <is>
          <t>M109</t>
        </is>
      </c>
      <c r="C100" t="inlineStr">
        <is>
          <t>main product</t>
        </is>
      </c>
      <c r="D100" t="n">
        <v>1</v>
      </c>
    </row>
    <row r="101">
      <c r="A101" t="inlineStr">
        <is>
          <t>R099</t>
        </is>
      </c>
      <c r="B101" t="inlineStr">
        <is>
          <t>M110</t>
        </is>
      </c>
      <c r="C101" t="inlineStr">
        <is>
          <t>main product</t>
        </is>
      </c>
      <c r="D101" t="n">
        <v>1</v>
      </c>
    </row>
    <row r="102">
      <c r="A102" t="inlineStr">
        <is>
          <t>R100</t>
        </is>
      </c>
      <c r="B102" t="inlineStr">
        <is>
          <t>M111</t>
        </is>
      </c>
      <c r="C102" t="inlineStr">
        <is>
          <t>main product</t>
        </is>
      </c>
      <c r="D102" t="n">
        <v>1</v>
      </c>
    </row>
    <row r="103">
      <c r="A103" t="inlineStr">
        <is>
          <t>R101</t>
        </is>
      </c>
      <c r="B103" t="inlineStr">
        <is>
          <t>M112</t>
        </is>
      </c>
      <c r="C103" t="inlineStr">
        <is>
          <t>main product</t>
        </is>
      </c>
      <c r="D103" t="n">
        <v>1</v>
      </c>
    </row>
    <row r="104">
      <c r="A104" t="inlineStr">
        <is>
          <t>R102</t>
        </is>
      </c>
      <c r="B104" t="inlineStr">
        <is>
          <t>M113</t>
        </is>
      </c>
      <c r="C104" t="inlineStr">
        <is>
          <t>main product</t>
        </is>
      </c>
      <c r="D104" t="n">
        <v>1</v>
      </c>
    </row>
    <row r="105">
      <c r="A105" t="inlineStr">
        <is>
          <t>R102</t>
        </is>
      </c>
      <c r="B105" t="inlineStr">
        <is>
          <t>M114</t>
        </is>
      </c>
      <c r="C105" t="inlineStr">
        <is>
          <t>main product</t>
        </is>
      </c>
      <c r="D105" t="n">
        <v>1</v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Sheet13">
    <outlinePr summaryBelow="1" summaryRight="1"/>
    <pageSetUpPr/>
  </sheetPr>
  <dimension ref="A1:C29"/>
  <sheetViews>
    <sheetView zoomScale="85" zoomScaleNormal="85" workbookViewId="0">
      <selection activeCell="A1" sqref="A1"/>
    </sheetView>
  </sheetViews>
  <sheetFormatPr baseColWidth="8" defaultRowHeight="16.5"/>
  <cols>
    <col width="11.625" customWidth="1" style="179" min="1" max="1"/>
    <col width="14.75" customWidth="1" style="179" min="2" max="2"/>
    <col width="21.875" bestFit="1" customWidth="1" style="179" min="3" max="3"/>
  </cols>
  <sheetData>
    <row r="1">
      <c r="A1" t="inlineStr">
        <is>
          <t>licensor_id</t>
        </is>
      </c>
      <c r="B1" t="inlineStr">
        <is>
          <t>licensor_name</t>
        </is>
      </c>
      <c r="C1" t="inlineStr">
        <is>
          <t>remarks</t>
        </is>
      </c>
    </row>
    <row r="2">
      <c r="A2" t="inlineStr">
        <is>
          <t>L001</t>
        </is>
      </c>
      <c r="B2" t="inlineStr">
        <is>
          <t>Axens</t>
        </is>
      </c>
    </row>
    <row r="3">
      <c r="A3" t="inlineStr">
        <is>
          <t>L002</t>
        </is>
      </c>
      <c r="B3" t="inlineStr">
        <is>
          <t>UOP</t>
        </is>
      </c>
    </row>
    <row r="4">
      <c r="A4" t="inlineStr">
        <is>
          <t>L003</t>
        </is>
      </c>
      <c r="B4" t="inlineStr">
        <is>
          <t>Lummus</t>
        </is>
      </c>
    </row>
    <row r="5">
      <c r="A5" t="inlineStr">
        <is>
          <t>L004</t>
        </is>
      </c>
      <c r="B5" t="inlineStr">
        <is>
          <t>Dow Chemical</t>
        </is>
      </c>
    </row>
    <row r="6">
      <c r="A6" t="inlineStr">
        <is>
          <t>L005</t>
        </is>
      </c>
      <c r="B6" t="inlineStr">
        <is>
          <t>SinopecTech</t>
        </is>
      </c>
    </row>
    <row r="7">
      <c r="A7" t="inlineStr">
        <is>
          <t>L006</t>
        </is>
      </c>
      <c r="B7" t="inlineStr">
        <is>
          <t>INEOS</t>
        </is>
      </c>
    </row>
    <row r="8">
      <c r="A8" t="inlineStr">
        <is>
          <t>L007</t>
        </is>
      </c>
      <c r="B8" t="inlineStr">
        <is>
          <t>Nippon Shokubai</t>
        </is>
      </c>
    </row>
    <row r="9">
      <c r="A9" t="inlineStr">
        <is>
          <t>L008</t>
        </is>
      </c>
      <c r="B9" t="inlineStr">
        <is>
          <t>Mitsubishi Chemical</t>
        </is>
      </c>
    </row>
    <row r="10">
      <c r="A10" t="inlineStr">
        <is>
          <t>L009</t>
        </is>
      </c>
      <c r="B10" t="inlineStr">
        <is>
          <t>Enichem</t>
        </is>
      </c>
    </row>
    <row r="11">
      <c r="A11" t="inlineStr">
        <is>
          <t>L010</t>
        </is>
      </c>
      <c r="B11" t="inlineStr">
        <is>
          <t>Styron</t>
        </is>
      </c>
    </row>
    <row r="12">
      <c r="A12" t="inlineStr">
        <is>
          <t>L011</t>
        </is>
      </c>
      <c r="B12" t="inlineStr">
        <is>
          <t>JSR</t>
        </is>
      </c>
    </row>
    <row r="13">
      <c r="A13" t="inlineStr">
        <is>
          <t>L012</t>
        </is>
      </c>
      <c r="B13" t="inlineStr">
        <is>
          <t>Goodyear</t>
        </is>
      </c>
    </row>
    <row r="14">
      <c r="A14" t="inlineStr">
        <is>
          <t>L013</t>
        </is>
      </c>
      <c r="B14" t="inlineStr">
        <is>
          <t>Badger</t>
        </is>
      </c>
    </row>
    <row r="15">
      <c r="A15" t="inlineStr">
        <is>
          <t>L014</t>
        </is>
      </c>
      <c r="B15" t="inlineStr">
        <is>
          <t>Sumitomo</t>
        </is>
      </c>
    </row>
    <row r="16">
      <c r="A16" t="inlineStr">
        <is>
          <t>L015</t>
        </is>
      </c>
      <c r="B16" t="inlineStr">
        <is>
          <t>Lucite</t>
        </is>
      </c>
    </row>
    <row r="17">
      <c r="A17" t="inlineStr">
        <is>
          <t>L016</t>
        </is>
      </c>
      <c r="B17" t="inlineStr">
        <is>
          <t>Unigel</t>
        </is>
      </c>
    </row>
    <row r="18">
      <c r="A18" t="inlineStr">
        <is>
          <t>L017</t>
        </is>
      </c>
      <c r="B18" t="inlineStr">
        <is>
          <t>Sulzer</t>
        </is>
      </c>
    </row>
    <row r="19">
      <c r="A19" t="inlineStr">
        <is>
          <t>L018</t>
        </is>
      </c>
      <c r="B19" t="inlineStr">
        <is>
          <t>Shell</t>
        </is>
      </c>
    </row>
    <row r="20">
      <c r="A20" t="inlineStr">
        <is>
          <t>L019</t>
        </is>
      </c>
      <c r="B20" t="inlineStr">
        <is>
          <t>KBR</t>
        </is>
      </c>
      <c r="C20" t="inlineStr">
        <is>
          <t>Kellogg Brown &amp; Root</t>
        </is>
      </c>
    </row>
    <row r="21">
      <c r="A21" t="inlineStr">
        <is>
          <t>L020</t>
        </is>
      </c>
      <c r="B21" t="inlineStr">
        <is>
          <t>Union</t>
        </is>
      </c>
    </row>
    <row r="22">
      <c r="A22" t="inlineStr">
        <is>
          <t>L021</t>
        </is>
      </c>
      <c r="B22" t="inlineStr">
        <is>
          <t>Linde</t>
        </is>
      </c>
    </row>
    <row r="23">
      <c r="A23" t="inlineStr">
        <is>
          <t>L022</t>
        </is>
      </c>
      <c r="B23" t="inlineStr">
        <is>
          <t>Davy</t>
        </is>
      </c>
    </row>
    <row r="24">
      <c r="A24" t="inlineStr">
        <is>
          <t>L023</t>
        </is>
      </c>
      <c r="B24" t="inlineStr">
        <is>
          <t>Sasol</t>
        </is>
      </c>
    </row>
    <row r="25">
      <c r="A25" t="inlineStr">
        <is>
          <t>L024</t>
        </is>
      </c>
      <c r="B25" t="inlineStr">
        <is>
          <t>Eastman</t>
        </is>
      </c>
    </row>
    <row r="26">
      <c r="A26" t="inlineStr">
        <is>
          <t>L025</t>
        </is>
      </c>
      <c r="B26" t="inlineStr">
        <is>
          <t>Maxigas</t>
        </is>
      </c>
    </row>
    <row r="27">
      <c r="A27" t="inlineStr">
        <is>
          <t>L026</t>
        </is>
      </c>
      <c r="B27" t="inlineStr">
        <is>
          <t>Kuraray</t>
        </is>
      </c>
    </row>
    <row r="28">
      <c r="A28" t="inlineStr">
        <is>
          <t>L027</t>
        </is>
      </c>
      <c r="B28" t="inlineStr">
        <is>
          <t>Senergy Chemical</t>
        </is>
      </c>
    </row>
    <row r="29">
      <c r="A29" t="inlineStr">
        <is>
          <t>L028</t>
        </is>
      </c>
      <c r="B29" t="inlineStr">
        <is>
          <t>Toyo</t>
        </is>
      </c>
    </row>
  </sheetData>
  <pageMargins left="0.7" right="0.7" top="0.75" bottom="0.75" header="0.3" footer="0.3"/>
  <pageSetup orientation="portrait" paperSize="9" verticalDpi="0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codeName="Sheet14">
    <outlinePr summaryBelow="1" summaryRight="1"/>
    <pageSetUpPr/>
  </sheetPr>
  <dimension ref="A1:C59"/>
  <sheetViews>
    <sheetView zoomScale="85" zoomScaleNormal="85" workbookViewId="0">
      <selection activeCell="A1" sqref="A1"/>
    </sheetView>
  </sheetViews>
  <sheetFormatPr baseColWidth="8" defaultRowHeight="16.5"/>
  <cols>
    <col width="10.875" bestFit="1" customWidth="1" style="179" min="1" max="1"/>
    <col width="12.875" bestFit="1" customWidth="1" style="179" min="2" max="2"/>
    <col width="11.125" bestFit="1" customWidth="1" style="179" min="3" max="3"/>
  </cols>
  <sheetData>
    <row r="1">
      <c r="A1" t="inlineStr">
        <is>
          <t>route_id</t>
        </is>
      </c>
      <c r="B1" t="inlineStr">
        <is>
          <t>licensor_id</t>
        </is>
      </c>
      <c r="C1" t="inlineStr">
        <is>
          <t>remarks</t>
        </is>
      </c>
    </row>
    <row r="2">
      <c r="A2" t="inlineStr">
        <is>
          <t>R001</t>
        </is>
      </c>
      <c r="B2" t="inlineStr">
        <is>
          <t>L003</t>
        </is>
      </c>
      <c r="C2" t="inlineStr">
        <is>
          <t>Excene</t>
        </is>
      </c>
    </row>
    <row r="3">
      <c r="A3" t="inlineStr">
        <is>
          <t>R002</t>
        </is>
      </c>
      <c r="B3" t="inlineStr">
        <is>
          <t>L003</t>
        </is>
      </c>
      <c r="C3" t="inlineStr">
        <is>
          <t>Hyperlene</t>
        </is>
      </c>
    </row>
    <row r="4">
      <c r="A4" t="inlineStr">
        <is>
          <t>R003</t>
        </is>
      </c>
      <c r="B4" t="inlineStr">
        <is>
          <t>L020</t>
        </is>
      </c>
      <c r="C4" t="inlineStr">
        <is>
          <t>Shaheen</t>
        </is>
      </c>
    </row>
    <row r="5">
      <c r="A5" t="inlineStr">
        <is>
          <t>R004</t>
        </is>
      </c>
      <c r="B5" t="inlineStr">
        <is>
          <t>L006</t>
        </is>
      </c>
    </row>
    <row r="6">
      <c r="A6" t="inlineStr">
        <is>
          <t>R005</t>
        </is>
      </c>
      <c r="B6" t="inlineStr">
        <is>
          <t>L006</t>
        </is>
      </c>
    </row>
    <row r="7">
      <c r="A7" t="inlineStr">
        <is>
          <t>R007</t>
        </is>
      </c>
      <c r="B7" t="inlineStr">
        <is>
          <t>L018</t>
        </is>
      </c>
    </row>
    <row r="8">
      <c r="A8" t="inlineStr">
        <is>
          <t>R007</t>
        </is>
      </c>
      <c r="B8" t="inlineStr">
        <is>
          <t>L020</t>
        </is>
      </c>
    </row>
    <row r="9">
      <c r="A9" t="inlineStr">
        <is>
          <t>R007</t>
        </is>
      </c>
      <c r="B9" t="inlineStr">
        <is>
          <t>L019</t>
        </is>
      </c>
    </row>
    <row r="10">
      <c r="A10" t="inlineStr">
        <is>
          <t>R008</t>
        </is>
      </c>
      <c r="B10" t="inlineStr">
        <is>
          <t>L018</t>
        </is>
      </c>
    </row>
    <row r="11">
      <c r="A11" t="inlineStr">
        <is>
          <t>R008</t>
        </is>
      </c>
      <c r="B11" t="inlineStr">
        <is>
          <t>L004</t>
        </is>
      </c>
    </row>
    <row r="12">
      <c r="A12" t="inlineStr">
        <is>
          <t>R018</t>
        </is>
      </c>
      <c r="B12" t="inlineStr">
        <is>
          <t>L008</t>
        </is>
      </c>
    </row>
    <row r="13">
      <c r="A13" t="inlineStr">
        <is>
          <t>R018</t>
        </is>
      </c>
      <c r="B13" t="inlineStr">
        <is>
          <t>L007</t>
        </is>
      </c>
    </row>
    <row r="14">
      <c r="A14" t="inlineStr">
        <is>
          <t>R019</t>
        </is>
      </c>
      <c r="B14" t="inlineStr">
        <is>
          <t>L014</t>
        </is>
      </c>
      <c r="C14" t="inlineStr">
        <is>
          <t>ODC</t>
        </is>
      </c>
    </row>
    <row r="15">
      <c r="A15" t="inlineStr">
        <is>
          <t>R020</t>
        </is>
      </c>
      <c r="B15" t="inlineStr">
        <is>
          <t>L014</t>
        </is>
      </c>
      <c r="C15" t="inlineStr">
        <is>
          <t>ODC</t>
        </is>
      </c>
    </row>
    <row r="16">
      <c r="A16" t="inlineStr">
        <is>
          <t>R021</t>
        </is>
      </c>
      <c r="B16" t="inlineStr">
        <is>
          <t>L022</t>
        </is>
      </c>
    </row>
    <row r="17">
      <c r="A17" t="inlineStr">
        <is>
          <t>R021</t>
        </is>
      </c>
      <c r="B17" t="inlineStr">
        <is>
          <t>L027</t>
        </is>
      </c>
    </row>
    <row r="18">
      <c r="A18" t="inlineStr">
        <is>
          <t>R025</t>
        </is>
      </c>
      <c r="B18" t="inlineStr">
        <is>
          <t>L006</t>
        </is>
      </c>
    </row>
    <row r="19">
      <c r="A19" t="inlineStr">
        <is>
          <t>R029</t>
        </is>
      </c>
      <c r="B19" t="inlineStr">
        <is>
          <t>L003</t>
        </is>
      </c>
    </row>
    <row r="20">
      <c r="A20" t="inlineStr">
        <is>
          <t>R029</t>
        </is>
      </c>
      <c r="B20" t="inlineStr">
        <is>
          <t>L007</t>
        </is>
      </c>
    </row>
    <row r="21">
      <c r="A21" t="inlineStr">
        <is>
          <t>R029</t>
        </is>
      </c>
      <c r="B21" t="inlineStr">
        <is>
          <t>L008</t>
        </is>
      </c>
    </row>
    <row r="22">
      <c r="A22" t="inlineStr">
        <is>
          <t>R031</t>
        </is>
      </c>
      <c r="B22" t="inlineStr">
        <is>
          <t>L003</t>
        </is>
      </c>
    </row>
    <row r="23">
      <c r="A23" t="inlineStr">
        <is>
          <t>R032</t>
        </is>
      </c>
      <c r="B23" t="inlineStr">
        <is>
          <t>L003</t>
        </is>
      </c>
      <c r="C23" t="inlineStr">
        <is>
          <t>Saplene</t>
        </is>
      </c>
    </row>
    <row r="24">
      <c r="A24" t="inlineStr">
        <is>
          <t>R033</t>
        </is>
      </c>
      <c r="B24" t="inlineStr">
        <is>
          <t>L004</t>
        </is>
      </c>
    </row>
    <row r="25">
      <c r="A25" t="inlineStr">
        <is>
          <t>R033</t>
        </is>
      </c>
      <c r="B25" t="inlineStr">
        <is>
          <t>L022</t>
        </is>
      </c>
    </row>
    <row r="26">
      <c r="A26" t="inlineStr">
        <is>
          <t>R034</t>
        </is>
      </c>
      <c r="B26" t="inlineStr">
        <is>
          <t>L004</t>
        </is>
      </c>
    </row>
    <row r="27">
      <c r="A27" t="inlineStr">
        <is>
          <t>R034</t>
        </is>
      </c>
      <c r="B27" t="inlineStr">
        <is>
          <t>L022</t>
        </is>
      </c>
    </row>
    <row r="28">
      <c r="A28" t="inlineStr">
        <is>
          <t>R034</t>
        </is>
      </c>
      <c r="B28" t="inlineStr">
        <is>
          <t>L023</t>
        </is>
      </c>
    </row>
    <row r="29">
      <c r="A29" t="inlineStr">
        <is>
          <t>R036</t>
        </is>
      </c>
      <c r="B29" t="inlineStr">
        <is>
          <t>L004</t>
        </is>
      </c>
    </row>
    <row r="30">
      <c r="A30" t="inlineStr">
        <is>
          <t>R036</t>
        </is>
      </c>
      <c r="B30" t="inlineStr">
        <is>
          <t>L022</t>
        </is>
      </c>
    </row>
    <row r="31">
      <c r="A31" t="inlineStr">
        <is>
          <t>R036</t>
        </is>
      </c>
      <c r="B31" t="inlineStr">
        <is>
          <t>L024</t>
        </is>
      </c>
    </row>
    <row r="32">
      <c r="A32" t="inlineStr">
        <is>
          <t>R036</t>
        </is>
      </c>
      <c r="B32" t="inlineStr">
        <is>
          <t>L018</t>
        </is>
      </c>
    </row>
    <row r="33">
      <c r="A33" t="inlineStr">
        <is>
          <t>R042</t>
        </is>
      </c>
      <c r="B33" t="inlineStr">
        <is>
          <t>L009</t>
        </is>
      </c>
    </row>
    <row r="34">
      <c r="A34" t="inlineStr">
        <is>
          <t>R042</t>
        </is>
      </c>
      <c r="B34" t="inlineStr">
        <is>
          <t>L005</t>
        </is>
      </c>
    </row>
    <row r="35">
      <c r="A35" t="inlineStr">
        <is>
          <t>R042</t>
        </is>
      </c>
      <c r="B35" t="inlineStr">
        <is>
          <t>L010</t>
        </is>
      </c>
    </row>
    <row r="36">
      <c r="A36" t="inlineStr">
        <is>
          <t>R042</t>
        </is>
      </c>
      <c r="B36" t="inlineStr">
        <is>
          <t>L011</t>
        </is>
      </c>
    </row>
    <row r="37">
      <c r="A37" t="inlineStr">
        <is>
          <t>R042</t>
        </is>
      </c>
      <c r="B37" t="inlineStr">
        <is>
          <t>L012</t>
        </is>
      </c>
    </row>
    <row r="38">
      <c r="A38" t="inlineStr">
        <is>
          <t>R047</t>
        </is>
      </c>
      <c r="B38" t="inlineStr">
        <is>
          <t>L003</t>
        </is>
      </c>
      <c r="C38" t="inlineStr">
        <is>
          <t>TKG일렘</t>
        </is>
      </c>
    </row>
    <row r="39">
      <c r="A39" t="inlineStr">
        <is>
          <t>R048</t>
        </is>
      </c>
      <c r="B39" t="inlineStr">
        <is>
          <t>L001</t>
        </is>
      </c>
      <c r="C39" t="inlineStr">
        <is>
          <t>AlphaButol</t>
        </is>
      </c>
    </row>
    <row r="40">
      <c r="A40" t="inlineStr">
        <is>
          <t>R048</t>
        </is>
      </c>
      <c r="B40" t="inlineStr">
        <is>
          <t>L003</t>
        </is>
      </c>
    </row>
    <row r="41">
      <c r="A41" t="inlineStr">
        <is>
          <t>R049</t>
        </is>
      </c>
      <c r="B41" t="inlineStr">
        <is>
          <t>L002</t>
        </is>
      </c>
    </row>
    <row r="42">
      <c r="A42" t="inlineStr">
        <is>
          <t>R049</t>
        </is>
      </c>
      <c r="B42" t="inlineStr">
        <is>
          <t>L003</t>
        </is>
      </c>
    </row>
    <row r="43">
      <c r="A43" t="inlineStr">
        <is>
          <t>R050</t>
        </is>
      </c>
      <c r="B43" t="inlineStr">
        <is>
          <t>L002</t>
        </is>
      </c>
    </row>
    <row r="44">
      <c r="A44" t="inlineStr">
        <is>
          <t>R050</t>
        </is>
      </c>
      <c r="B44" t="inlineStr">
        <is>
          <t>L003</t>
        </is>
      </c>
    </row>
    <row r="45">
      <c r="A45" t="inlineStr">
        <is>
          <t>R051</t>
        </is>
      </c>
      <c r="B45" t="inlineStr">
        <is>
          <t>L006</t>
        </is>
      </c>
    </row>
    <row r="46">
      <c r="A46" t="inlineStr">
        <is>
          <t>R051</t>
        </is>
      </c>
      <c r="B46" t="inlineStr">
        <is>
          <t>L008</t>
        </is>
      </c>
    </row>
    <row r="47">
      <c r="A47" t="inlineStr">
        <is>
          <t>R051</t>
        </is>
      </c>
      <c r="B47" t="inlineStr">
        <is>
          <t>L028</t>
        </is>
      </c>
    </row>
    <row r="48">
      <c r="A48" t="inlineStr">
        <is>
          <t>R052</t>
        </is>
      </c>
      <c r="B48" t="inlineStr">
        <is>
          <t>L002</t>
        </is>
      </c>
      <c r="C48" t="inlineStr">
        <is>
          <t>Q-Max</t>
        </is>
      </c>
    </row>
    <row r="49">
      <c r="A49" t="inlineStr">
        <is>
          <t>R052</t>
        </is>
      </c>
      <c r="B49" t="inlineStr">
        <is>
          <t>L003</t>
        </is>
      </c>
    </row>
    <row r="50">
      <c r="A50" t="inlineStr">
        <is>
          <t>R053</t>
        </is>
      </c>
      <c r="B50" t="inlineStr">
        <is>
          <t>L002</t>
        </is>
      </c>
    </row>
    <row r="51">
      <c r="A51" t="inlineStr">
        <is>
          <t>R053</t>
        </is>
      </c>
      <c r="B51" t="inlineStr">
        <is>
          <t>L003</t>
        </is>
      </c>
    </row>
    <row r="52">
      <c r="A52" t="inlineStr">
        <is>
          <t>R054</t>
        </is>
      </c>
      <c r="B52" t="inlineStr">
        <is>
          <t>L004</t>
        </is>
      </c>
    </row>
    <row r="53">
      <c r="A53" t="inlineStr">
        <is>
          <t>R054</t>
        </is>
      </c>
      <c r="B53" t="inlineStr">
        <is>
          <t>L013</t>
        </is>
      </c>
    </row>
    <row r="54">
      <c r="A54" t="inlineStr">
        <is>
          <t>R057</t>
        </is>
      </c>
      <c r="B54" t="inlineStr">
        <is>
          <t>L001</t>
        </is>
      </c>
    </row>
    <row r="55">
      <c r="A55" t="inlineStr">
        <is>
          <t>R058</t>
        </is>
      </c>
      <c r="B55" t="inlineStr">
        <is>
          <t>L019</t>
        </is>
      </c>
    </row>
    <row r="56">
      <c r="A56" t="inlineStr">
        <is>
          <t>R059</t>
        </is>
      </c>
      <c r="B56" t="inlineStr">
        <is>
          <t>L002</t>
        </is>
      </c>
    </row>
    <row r="57">
      <c r="A57" t="inlineStr">
        <is>
          <t>R060</t>
        </is>
      </c>
      <c r="B57" t="inlineStr">
        <is>
          <t>L003</t>
        </is>
      </c>
    </row>
    <row r="58">
      <c r="A58" t="inlineStr">
        <is>
          <t>R087</t>
        </is>
      </c>
      <c r="B58" t="inlineStr">
        <is>
          <t>L001</t>
        </is>
      </c>
    </row>
    <row r="59">
      <c r="A59" t="inlineStr">
        <is>
          <t>R088</t>
        </is>
      </c>
      <c r="B59" t="inlineStr">
        <is>
          <t>L001</t>
        </is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codeName="Sheet15">
    <outlinePr summaryBelow="1" summaryRight="1"/>
    <pageSetUpPr/>
  </sheetPr>
  <dimension ref="A1:C61"/>
  <sheetViews>
    <sheetView topLeftCell="A22" zoomScale="85" zoomScaleNormal="85" workbookViewId="0">
      <selection activeCell="A38" sqref="A38"/>
    </sheetView>
  </sheetViews>
  <sheetFormatPr baseColWidth="8" defaultRowHeight="16.5"/>
  <cols>
    <col width="12.125" customWidth="1" style="179" min="1" max="1"/>
    <col width="27.625" bestFit="1" customWidth="1" style="179" min="2" max="2"/>
    <col width="9" customWidth="1" style="179" min="3" max="3"/>
  </cols>
  <sheetData>
    <row r="1">
      <c r="A1" s="5" t="inlineStr">
        <is>
          <t>supplier_id</t>
        </is>
      </c>
      <c r="B1" s="6" t="inlineStr">
        <is>
          <t>supplier_name</t>
        </is>
      </c>
      <c r="C1" s="7" t="inlineStr">
        <is>
          <t>remark</t>
        </is>
      </c>
    </row>
    <row r="2">
      <c r="A2" s="2" t="inlineStr">
        <is>
          <t>S001</t>
        </is>
      </c>
      <c r="B2" s="177" t="inlineStr">
        <is>
          <t>금호석유화학</t>
        </is>
      </c>
      <c r="C2" s="175" t="n"/>
    </row>
    <row r="3">
      <c r="A3" t="inlineStr">
        <is>
          <t>S002</t>
        </is>
      </c>
      <c r="B3" t="inlineStr">
        <is>
          <t>대한유화</t>
        </is>
      </c>
    </row>
    <row r="4">
      <c r="A4" s="2" t="inlineStr">
        <is>
          <t>S003</t>
        </is>
      </c>
      <c r="B4" t="inlineStr">
        <is>
          <t>동서석유화학</t>
        </is>
      </c>
    </row>
    <row r="5">
      <c r="A5" t="inlineStr">
        <is>
          <t>S004</t>
        </is>
      </c>
      <c r="B5" t="inlineStr">
        <is>
          <t>롯데이네오스화학</t>
        </is>
      </c>
    </row>
    <row r="6">
      <c r="A6" s="2" t="inlineStr">
        <is>
          <t>S005</t>
        </is>
      </c>
      <c r="B6" t="inlineStr">
        <is>
          <t>롯데케미칼</t>
        </is>
      </c>
    </row>
    <row r="7">
      <c r="A7" t="inlineStr">
        <is>
          <t>S006</t>
        </is>
      </c>
      <c r="B7" t="inlineStr">
        <is>
          <t>애경케미칼</t>
        </is>
      </c>
    </row>
    <row r="8">
      <c r="A8" s="2" t="inlineStr">
        <is>
          <t>S007</t>
        </is>
      </c>
      <c r="B8" t="inlineStr">
        <is>
          <t>SSNC</t>
        </is>
      </c>
    </row>
    <row r="9">
      <c r="A9" t="inlineStr">
        <is>
          <t>S008</t>
        </is>
      </c>
      <c r="B9" t="inlineStr">
        <is>
          <t>S-OIL</t>
        </is>
      </c>
    </row>
    <row r="10">
      <c r="A10" s="2" t="inlineStr">
        <is>
          <t>S009</t>
        </is>
      </c>
      <c r="B10" t="inlineStr">
        <is>
          <t>SK어드밴스드</t>
        </is>
      </c>
    </row>
    <row r="11">
      <c r="A11" t="inlineStr">
        <is>
          <t>S010</t>
        </is>
      </c>
      <c r="B11" t="inlineStr">
        <is>
          <t>SK에너지</t>
        </is>
      </c>
    </row>
    <row r="12">
      <c r="A12" s="2" t="inlineStr">
        <is>
          <t>S011</t>
        </is>
      </c>
      <c r="B12" t="inlineStr">
        <is>
          <t>SK지오센트릭</t>
        </is>
      </c>
    </row>
    <row r="13">
      <c r="A13" t="inlineStr">
        <is>
          <t>S012</t>
        </is>
      </c>
      <c r="B13" t="inlineStr">
        <is>
          <t>SK케미칼</t>
        </is>
      </c>
    </row>
    <row r="14">
      <c r="A14" s="2" t="inlineStr">
        <is>
          <t>S013</t>
        </is>
      </c>
      <c r="B14" t="inlineStr">
        <is>
          <t>피유코어</t>
        </is>
      </c>
    </row>
    <row r="15">
      <c r="A15" t="inlineStr">
        <is>
          <t>S014</t>
        </is>
      </c>
      <c r="B15" t="inlineStr">
        <is>
          <t>SK picglobal</t>
        </is>
      </c>
    </row>
    <row r="16">
      <c r="A16" s="2" t="inlineStr">
        <is>
          <t>S015</t>
        </is>
      </c>
      <c r="B16" t="inlineStr">
        <is>
          <t>HDC현대EP</t>
        </is>
      </c>
    </row>
    <row r="17">
      <c r="A17" t="inlineStr">
        <is>
          <t>S016</t>
        </is>
      </c>
      <c r="B17" t="inlineStr">
        <is>
          <t>용산케미칼</t>
        </is>
      </c>
    </row>
    <row r="18">
      <c r="A18" s="2" t="inlineStr">
        <is>
          <t>S017</t>
        </is>
      </c>
      <c r="B18" t="inlineStr">
        <is>
          <t>울산아로마틱스</t>
        </is>
      </c>
    </row>
    <row r="19">
      <c r="A19" t="inlineStr">
        <is>
          <t>S018</t>
        </is>
      </c>
      <c r="B19" t="inlineStr">
        <is>
          <t>울산피피</t>
        </is>
      </c>
    </row>
    <row r="20">
      <c r="A20" s="2" t="inlineStr">
        <is>
          <t>S019</t>
        </is>
      </c>
      <c r="B20" t="inlineStr">
        <is>
          <t>이수화학</t>
        </is>
      </c>
    </row>
    <row r="21">
      <c r="A21" t="inlineStr">
        <is>
          <t>S020</t>
        </is>
      </c>
      <c r="B21" t="inlineStr">
        <is>
          <t>카프로</t>
        </is>
      </c>
    </row>
    <row r="22">
      <c r="A22" s="2" t="inlineStr">
        <is>
          <t>S021</t>
        </is>
      </c>
      <c r="B22" t="inlineStr">
        <is>
          <t>KPX케미칼</t>
        </is>
      </c>
    </row>
    <row r="23">
      <c r="A23" t="inlineStr">
        <is>
          <t>S022</t>
        </is>
      </c>
      <c r="B23" t="inlineStr">
        <is>
          <t>코리아피티지</t>
        </is>
      </c>
    </row>
    <row r="24">
      <c r="A24" s="2" t="inlineStr">
        <is>
          <t>S023</t>
        </is>
      </c>
      <c r="B24" t="inlineStr">
        <is>
          <t>코오롱인더스트리</t>
        </is>
      </c>
    </row>
    <row r="25">
      <c r="A25" t="inlineStr">
        <is>
          <t>S024</t>
        </is>
      </c>
      <c r="B25" t="inlineStr">
        <is>
          <t>태광산업</t>
        </is>
      </c>
    </row>
    <row r="26">
      <c r="A26" s="2" t="inlineStr">
        <is>
          <t>S025</t>
        </is>
      </c>
      <c r="B26" t="inlineStr">
        <is>
          <t>한국바스프</t>
        </is>
      </c>
    </row>
    <row r="27">
      <c r="A27" t="inlineStr">
        <is>
          <t>S026</t>
        </is>
      </c>
      <c r="B27" t="inlineStr">
        <is>
          <t>한국알콜산업</t>
        </is>
      </c>
    </row>
    <row r="28">
      <c r="A28" s="2" t="inlineStr">
        <is>
          <t>S027</t>
        </is>
      </c>
      <c r="B28" t="inlineStr">
        <is>
          <t>한국이네오스스티롤루션</t>
        </is>
      </c>
    </row>
    <row r="29">
      <c r="A29" t="inlineStr">
        <is>
          <t>S028</t>
        </is>
      </c>
      <c r="B29" t="inlineStr">
        <is>
          <t>한국트린지오</t>
        </is>
      </c>
    </row>
    <row r="30">
      <c r="A30" s="2" t="inlineStr">
        <is>
          <t>S029</t>
        </is>
      </c>
      <c r="B30" t="inlineStr">
        <is>
          <t>한화솔루션</t>
        </is>
      </c>
    </row>
    <row r="31">
      <c r="A31" t="inlineStr">
        <is>
          <t>S030</t>
        </is>
      </c>
      <c r="B31" t="inlineStr">
        <is>
          <t>한화임팩트</t>
        </is>
      </c>
    </row>
    <row r="32">
      <c r="A32" s="2" t="inlineStr">
        <is>
          <t>S031</t>
        </is>
      </c>
      <c r="B32" t="inlineStr">
        <is>
          <t>효성화학</t>
        </is>
      </c>
    </row>
    <row r="33">
      <c r="A33" s="2" t="inlineStr">
        <is>
          <t>S032</t>
        </is>
      </c>
      <c r="B33" t="inlineStr">
        <is>
          <t>TKG일렘</t>
        </is>
      </c>
    </row>
    <row r="34">
      <c r="A34" s="2" t="inlineStr">
        <is>
          <t>S033</t>
        </is>
      </c>
      <c r="B34" t="inlineStr">
        <is>
          <t>금호미쓰이화학</t>
        </is>
      </c>
    </row>
    <row r="35">
      <c r="A35" s="2" t="inlineStr">
        <is>
          <t>S034</t>
        </is>
      </c>
      <c r="B35" t="inlineStr">
        <is>
          <t>금호폴리켐</t>
        </is>
      </c>
    </row>
    <row r="36">
      <c r="A36" s="2" t="inlineStr">
        <is>
          <t>S035</t>
        </is>
      </c>
      <c r="B36" t="inlineStr">
        <is>
          <t>금호피앤비화학</t>
        </is>
      </c>
    </row>
    <row r="37">
      <c r="A37" s="2" t="inlineStr">
        <is>
          <t>S036</t>
        </is>
      </c>
      <c r="B37" t="inlineStr">
        <is>
          <t>DL케미칼</t>
        </is>
      </c>
    </row>
    <row r="38">
      <c r="A38" s="2" t="inlineStr">
        <is>
          <t>S037</t>
        </is>
      </c>
      <c r="B38" t="inlineStr">
        <is>
          <t>롯데베르살리스엘라스토머스</t>
        </is>
      </c>
    </row>
    <row r="39">
      <c r="A39" s="2" t="inlineStr">
        <is>
          <t>S038</t>
        </is>
      </c>
      <c r="B39" t="inlineStr">
        <is>
          <t>롯데엠시시</t>
        </is>
      </c>
    </row>
    <row r="40">
      <c r="A40" s="2" t="inlineStr">
        <is>
          <t>S039</t>
        </is>
      </c>
      <c r="B40" t="inlineStr">
        <is>
          <t>삼남석유화학</t>
        </is>
      </c>
    </row>
    <row r="41">
      <c r="A41" s="2" t="inlineStr">
        <is>
          <t>S040</t>
        </is>
      </c>
      <c r="B41" t="inlineStr">
        <is>
          <t>LX MMA</t>
        </is>
      </c>
    </row>
    <row r="42">
      <c r="A42" s="2" t="inlineStr">
        <is>
          <t>S041</t>
        </is>
      </c>
      <c r="B42" t="inlineStr">
        <is>
          <t>LG화학</t>
        </is>
      </c>
    </row>
    <row r="43">
      <c r="A43" s="2" t="inlineStr">
        <is>
          <t>S042</t>
        </is>
      </c>
      <c r="B43" t="inlineStr">
        <is>
          <t>여천NCC</t>
        </is>
      </c>
    </row>
    <row r="44">
      <c r="A44" s="2" t="inlineStr">
        <is>
          <t>S043</t>
        </is>
      </c>
      <c r="B44" t="inlineStr">
        <is>
          <t>GS칼텍스</t>
        </is>
      </c>
    </row>
    <row r="45">
      <c r="A45" s="2" t="inlineStr">
        <is>
          <t>S044</t>
        </is>
      </c>
      <c r="B45" t="inlineStr">
        <is>
          <t>폴리미래</t>
        </is>
      </c>
    </row>
    <row r="46">
      <c r="A46" s="2" t="inlineStr">
        <is>
          <t>S045</t>
        </is>
      </c>
      <c r="B46" t="inlineStr">
        <is>
          <t>롯데GS화학</t>
        </is>
      </c>
    </row>
    <row r="47">
      <c r="A47" s="2" t="inlineStr">
        <is>
          <t>S046</t>
        </is>
      </c>
      <c r="B47" t="inlineStr">
        <is>
          <t>구다우케미칼</t>
        </is>
      </c>
    </row>
    <row r="48">
      <c r="A48" s="2" t="inlineStr">
        <is>
          <t>S047</t>
        </is>
      </c>
      <c r="B48" t="inlineStr">
        <is>
          <t>한화토탈에너지스</t>
        </is>
      </c>
    </row>
    <row r="49">
      <c r="A49" s="2" t="inlineStr">
        <is>
          <t>S048</t>
        </is>
      </c>
      <c r="B49" t="inlineStr">
        <is>
          <t>HD현대케미칼</t>
        </is>
      </c>
    </row>
    <row r="50">
      <c r="A50" s="2" t="inlineStr">
        <is>
          <t>S049</t>
        </is>
      </c>
      <c r="B50" t="inlineStr">
        <is>
          <t>HD현대오일뱅크</t>
        </is>
      </c>
    </row>
    <row r="51">
      <c r="A51" s="2" t="inlineStr">
        <is>
          <t>S050</t>
        </is>
      </c>
      <c r="B51" t="inlineStr">
        <is>
          <t>OCI</t>
        </is>
      </c>
    </row>
    <row r="52">
      <c r="A52" s="2" t="inlineStr">
        <is>
          <t>S051</t>
        </is>
      </c>
      <c r="B52" t="inlineStr">
        <is>
          <t>삼양이노켐</t>
        </is>
      </c>
    </row>
    <row r="53">
      <c r="A53" s="2" t="inlineStr">
        <is>
          <t>S052</t>
        </is>
      </c>
      <c r="B53" t="inlineStr">
        <is>
          <t>국도화학</t>
        </is>
      </c>
    </row>
    <row r="54">
      <c r="A54" s="2" t="inlineStr">
        <is>
          <t>S053</t>
        </is>
      </c>
      <c r="B54" t="inlineStr">
        <is>
          <t>SK인천석유화학</t>
        </is>
      </c>
    </row>
    <row r="55">
      <c r="A55" s="2" t="inlineStr">
        <is>
          <t>S054</t>
        </is>
      </c>
      <c r="B55" t="inlineStr">
        <is>
          <t>삼양화성</t>
        </is>
      </c>
    </row>
    <row r="56">
      <c r="A56" s="2" t="inlineStr">
        <is>
          <t>S055</t>
        </is>
      </c>
      <c r="B56" t="inlineStr">
        <is>
          <t>SH에너지화학</t>
        </is>
      </c>
    </row>
    <row r="57">
      <c r="A57" s="2" t="inlineStr">
        <is>
          <t>S056</t>
        </is>
      </c>
      <c r="B57" t="inlineStr">
        <is>
          <t>롯데정밀화학</t>
        </is>
      </c>
    </row>
    <row r="58">
      <c r="A58" s="2" t="inlineStr">
        <is>
          <t>S057</t>
        </is>
      </c>
      <c r="B58" t="inlineStr">
        <is>
          <t>도레이첨단소재</t>
        </is>
      </c>
    </row>
    <row r="59">
      <c r="A59" s="2" t="inlineStr">
        <is>
          <t>S058</t>
        </is>
      </c>
      <c r="B59" t="inlineStr">
        <is>
          <t>티케이케미칼</t>
        </is>
      </c>
    </row>
    <row r="60">
      <c r="A60" s="2" t="inlineStr">
        <is>
          <t>S059</t>
        </is>
      </c>
      <c r="B60" t="inlineStr">
        <is>
          <t>SK마이크로웍스</t>
        </is>
      </c>
    </row>
    <row r="61">
      <c r="A61" s="2" t="inlineStr">
        <is>
          <t>S060</t>
        </is>
      </c>
      <c r="B61" t="inlineStr">
        <is>
          <t>해인기업</t>
        </is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codeName="Sheet16">
    <outlinePr summaryBelow="1" summaryRight="1"/>
    <pageSetUpPr/>
  </sheetPr>
  <dimension ref="A1:K288"/>
  <sheetViews>
    <sheetView topLeftCell="A262" zoomScale="85" zoomScaleNormal="85" workbookViewId="0">
      <selection activeCell="H288" sqref="H288"/>
    </sheetView>
  </sheetViews>
  <sheetFormatPr baseColWidth="8" defaultRowHeight="16.5"/>
  <cols>
    <col width="12.375" customWidth="1" style="179" min="1" max="1"/>
    <col width="12.125" customWidth="1" style="179" min="2" max="2"/>
    <col width="27.625" bestFit="1" customWidth="1" style="179" min="3" max="3"/>
    <col width="21.25" bestFit="1" customWidth="1" style="179" min="4" max="4"/>
    <col width="19.375" customWidth="1" style="179" min="5" max="5"/>
    <col width="14.875" bestFit="1" customWidth="1" style="179" min="6" max="6"/>
    <col width="13.125" customWidth="1" style="179" min="7" max="8"/>
    <col width="9.875" customWidth="1" style="179" min="9" max="9"/>
  </cols>
  <sheetData>
    <row r="1">
      <c r="A1" s="6" t="inlineStr">
        <is>
          <t>material_id</t>
        </is>
      </c>
      <c r="B1" s="5" t="inlineStr">
        <is>
          <t>supplier_id</t>
        </is>
      </c>
      <c r="C1" s="6" t="inlineStr">
        <is>
          <t>회사명</t>
        </is>
      </c>
      <c r="D1" s="7" t="inlineStr">
        <is>
          <t>estimated_capacity</t>
        </is>
      </c>
      <c r="E1" s="6" t="inlineStr">
        <is>
          <t>capacity_unit</t>
        </is>
      </c>
      <c r="F1" s="6" t="inlineStr">
        <is>
          <t>location</t>
        </is>
      </c>
      <c r="G1" s="7" t="inlineStr">
        <is>
          <t>source_type</t>
        </is>
      </c>
      <c r="H1" s="7" t="inlineStr">
        <is>
          <t>source_year</t>
        </is>
      </c>
      <c r="I1" s="7" t="inlineStr">
        <is>
          <t>remarks</t>
        </is>
      </c>
      <c r="J1" s="105" t="inlineStr">
        <is>
          <t>lat</t>
        </is>
      </c>
      <c r="K1" s="105" t="inlineStr">
        <is>
          <t>lon</t>
        </is>
      </c>
    </row>
    <row r="2">
      <c r="A2" s="10" t="inlineStr">
        <is>
          <t>M001</t>
        </is>
      </c>
      <c r="B2" s="10" t="inlineStr">
        <is>
          <t>S047</t>
        </is>
      </c>
      <c r="C2" s="10">
        <f>_xlfn.XLOOKUP(표8[[#This Row],[supplier_id]],표7[supplier_id],표7[supplier_name])</f>
        <v/>
      </c>
      <c r="D2" s="175" t="n">
        <v>1525</v>
      </c>
      <c r="E2" s="177" t="inlineStr">
        <is>
          <t>KTA</t>
        </is>
      </c>
      <c r="F2" s="177" t="inlineStr">
        <is>
          <t>대산</t>
        </is>
      </c>
      <c r="G2" t="inlineStr">
        <is>
          <t>화학편람</t>
        </is>
      </c>
      <c r="H2" t="n">
        <v>2025</v>
      </c>
      <c r="J2">
        <f>_xlfn.XLOOKUP(표8[[#This Row],[location]],Location[location],Location[lat])</f>
        <v/>
      </c>
      <c r="K2">
        <f>_xlfn.XLOOKUP(표8[[#This Row],[location]],Location[location],Location[lon])</f>
        <v/>
      </c>
    </row>
    <row r="3">
      <c r="A3" s="10" t="inlineStr">
        <is>
          <t>M001</t>
        </is>
      </c>
      <c r="B3" s="10" t="inlineStr">
        <is>
          <t>S041</t>
        </is>
      </c>
      <c r="C3" s="10">
        <f>_xlfn.XLOOKUP(표8[[#This Row],[supplier_id]],표7[supplier_id],표7[supplier_name])</f>
        <v/>
      </c>
      <c r="D3" s="175" t="n">
        <v>1300</v>
      </c>
      <c r="E3" s="177" t="inlineStr">
        <is>
          <t>KTA</t>
        </is>
      </c>
      <c r="F3" s="177" t="inlineStr">
        <is>
          <t>대산</t>
        </is>
      </c>
      <c r="G3" t="inlineStr">
        <is>
          <t>화학편람</t>
        </is>
      </c>
      <c r="H3" t="n">
        <v>2025</v>
      </c>
      <c r="J3">
        <f>_xlfn.XLOOKUP(표8[[#This Row],[location]],Location[location],Location[lat])</f>
        <v/>
      </c>
      <c r="K3">
        <f>_xlfn.XLOOKUP(표8[[#This Row],[location]],Location[location],Location[lon])</f>
        <v/>
      </c>
    </row>
    <row r="4">
      <c r="A4" s="177" t="inlineStr">
        <is>
          <t>M001</t>
        </is>
      </c>
      <c r="B4" s="177" t="inlineStr">
        <is>
          <t>S005</t>
        </is>
      </c>
      <c r="C4" s="177">
        <f>_xlfn.XLOOKUP(표8[[#This Row],[supplier_id]],표7[supplier_id],표7[supplier_name])</f>
        <v/>
      </c>
      <c r="D4" s="175" t="n">
        <v>1100</v>
      </c>
      <c r="E4" s="177" t="inlineStr">
        <is>
          <t>KTA</t>
        </is>
      </c>
      <c r="F4" s="177" t="inlineStr">
        <is>
          <t>대산</t>
        </is>
      </c>
      <c r="G4" t="inlineStr">
        <is>
          <t>화학편람</t>
        </is>
      </c>
      <c r="H4" t="n">
        <v>2025</v>
      </c>
      <c r="J4">
        <f>_xlfn.XLOOKUP(표8[[#This Row],[location]],Location[location],Location[lat])</f>
        <v/>
      </c>
      <c r="K4">
        <f>_xlfn.XLOOKUP(표8[[#This Row],[location]],Location[location],Location[lon])</f>
        <v/>
      </c>
    </row>
    <row r="5">
      <c r="A5" s="10" t="inlineStr">
        <is>
          <t>M001</t>
        </is>
      </c>
      <c r="B5" s="10" t="inlineStr">
        <is>
          <t>S048</t>
        </is>
      </c>
      <c r="C5" s="10">
        <f>_xlfn.XLOOKUP(표8[[#This Row],[supplier_id]],표7[supplier_id],표7[supplier_name])</f>
        <v/>
      </c>
      <c r="D5" s="175" t="n">
        <v>850</v>
      </c>
      <c r="E5" s="177" t="inlineStr">
        <is>
          <t>KTA</t>
        </is>
      </c>
      <c r="F5" s="177" t="inlineStr">
        <is>
          <t>대산</t>
        </is>
      </c>
      <c r="G5" t="inlineStr">
        <is>
          <t>화학편람</t>
        </is>
      </c>
      <c r="H5" t="n">
        <v>2025</v>
      </c>
      <c r="J5">
        <f>_xlfn.XLOOKUP(표8[[#This Row],[location]],Location[location],Location[lat])</f>
        <v/>
      </c>
      <c r="K5">
        <f>_xlfn.XLOOKUP(표8[[#This Row],[location]],Location[location],Location[lon])</f>
        <v/>
      </c>
    </row>
    <row r="6">
      <c r="A6" s="177" t="inlineStr">
        <is>
          <t>M001</t>
        </is>
      </c>
      <c r="B6" s="10" t="inlineStr">
        <is>
          <t>S043</t>
        </is>
      </c>
      <c r="C6" s="10">
        <f>_xlfn.XLOOKUP(표8[[#This Row],[supplier_id]],표7[supplier_id],표7[supplier_name])</f>
        <v/>
      </c>
      <c r="D6" s="175" t="n">
        <v>900</v>
      </c>
      <c r="E6" s="177" t="inlineStr">
        <is>
          <t>KTA</t>
        </is>
      </c>
      <c r="F6" s="177" t="inlineStr">
        <is>
          <t>여수</t>
        </is>
      </c>
      <c r="G6" t="inlineStr">
        <is>
          <t>화학편람</t>
        </is>
      </c>
      <c r="H6" t="n">
        <v>2025</v>
      </c>
      <c r="J6">
        <f>_xlfn.XLOOKUP(표8[[#This Row],[location]],Location[location],Location[lat])</f>
        <v/>
      </c>
      <c r="K6">
        <f>_xlfn.XLOOKUP(표8[[#This Row],[location]],Location[location],Location[lon])</f>
        <v/>
      </c>
    </row>
    <row r="7">
      <c r="A7" s="177" t="inlineStr">
        <is>
          <t>M001</t>
        </is>
      </c>
      <c r="B7" s="10" t="inlineStr">
        <is>
          <t>S042</t>
        </is>
      </c>
      <c r="C7" s="10">
        <f>_xlfn.XLOOKUP(표8[[#This Row],[supplier_id]],표7[supplier_id],표7[supplier_name])</f>
        <v/>
      </c>
      <c r="D7" s="175" t="n">
        <v>2285</v>
      </c>
      <c r="E7" s="177" t="inlineStr">
        <is>
          <t>KTA</t>
        </is>
      </c>
      <c r="F7" s="177" t="inlineStr">
        <is>
          <t>여수</t>
        </is>
      </c>
      <c r="G7" t="inlineStr">
        <is>
          <t>화학편람</t>
        </is>
      </c>
      <c r="H7" t="n">
        <v>2025</v>
      </c>
      <c r="J7">
        <f>_xlfn.XLOOKUP(표8[[#This Row],[location]],Location[location],Location[lat])</f>
        <v/>
      </c>
      <c r="K7">
        <f>_xlfn.XLOOKUP(표8[[#This Row],[location]],Location[location],Location[lon])</f>
        <v/>
      </c>
    </row>
    <row r="8">
      <c r="A8" s="177" t="inlineStr">
        <is>
          <t>M001</t>
        </is>
      </c>
      <c r="B8" s="10" t="inlineStr">
        <is>
          <t>S041</t>
        </is>
      </c>
      <c r="C8" s="10">
        <f>_xlfn.XLOOKUP(표8[[#This Row],[supplier_id]],표7[supplier_id],표7[supplier_name])</f>
        <v/>
      </c>
      <c r="D8" s="175" t="n">
        <v>2080</v>
      </c>
      <c r="E8" s="177" t="inlineStr">
        <is>
          <t>KTA</t>
        </is>
      </c>
      <c r="F8" s="177" t="inlineStr">
        <is>
          <t>여수</t>
        </is>
      </c>
      <c r="G8" t="inlineStr">
        <is>
          <t>화학편람</t>
        </is>
      </c>
      <c r="H8" t="n">
        <v>2025</v>
      </c>
      <c r="J8">
        <f>_xlfn.XLOOKUP(표8[[#This Row],[location]],Location[location],Location[lat])</f>
        <v/>
      </c>
      <c r="K8">
        <f>_xlfn.XLOOKUP(표8[[#This Row],[location]],Location[location],Location[lon])</f>
        <v/>
      </c>
    </row>
    <row r="9">
      <c r="A9" s="177" t="inlineStr">
        <is>
          <t>M001</t>
        </is>
      </c>
      <c r="B9" s="10" t="inlineStr">
        <is>
          <t>S005</t>
        </is>
      </c>
      <c r="C9" s="177">
        <f>_xlfn.XLOOKUP(표8[[#This Row],[supplier_id]],표7[supplier_id],표7[supplier_name])</f>
        <v/>
      </c>
      <c r="D9" s="175" t="n">
        <v>1230</v>
      </c>
      <c r="E9" s="177" t="inlineStr">
        <is>
          <t>KTA</t>
        </is>
      </c>
      <c r="F9" s="177" t="inlineStr">
        <is>
          <t>여수</t>
        </is>
      </c>
      <c r="G9" t="inlineStr">
        <is>
          <t>화학편람</t>
        </is>
      </c>
      <c r="H9" t="n">
        <v>2025</v>
      </c>
      <c r="J9">
        <f>_xlfn.XLOOKUP(표8[[#This Row],[location]],Location[location],Location[lat])</f>
        <v/>
      </c>
      <c r="K9">
        <f>_xlfn.XLOOKUP(표8[[#This Row],[location]],Location[location],Location[lon])</f>
        <v/>
      </c>
    </row>
    <row r="10">
      <c r="A10" s="177" t="inlineStr">
        <is>
          <t>M001</t>
        </is>
      </c>
      <c r="B10" s="177" t="inlineStr">
        <is>
          <t>S002</t>
        </is>
      </c>
      <c r="C10" s="177">
        <f>_xlfn.XLOOKUP(표8[[#This Row],[supplier_id]],표7[supplier_id],표7[supplier_name])</f>
        <v/>
      </c>
      <c r="D10" s="175" t="n">
        <v>900</v>
      </c>
      <c r="E10" s="177" t="inlineStr">
        <is>
          <t>KTA</t>
        </is>
      </c>
      <c r="F10" s="177" t="inlineStr">
        <is>
          <t>울산</t>
        </is>
      </c>
      <c r="G10" t="inlineStr">
        <is>
          <t>화학편람</t>
        </is>
      </c>
      <c r="H10" t="n">
        <v>2025</v>
      </c>
      <c r="J10">
        <f>_xlfn.XLOOKUP(표8[[#This Row],[location]],Location[location],Location[lat])</f>
        <v/>
      </c>
      <c r="K10">
        <f>_xlfn.XLOOKUP(표8[[#This Row],[location]],Location[location],Location[lon])</f>
        <v/>
      </c>
    </row>
    <row r="11">
      <c r="A11" s="177" t="inlineStr">
        <is>
          <t>M001</t>
        </is>
      </c>
      <c r="B11" s="177" t="inlineStr">
        <is>
          <t>S011</t>
        </is>
      </c>
      <c r="C11" s="177">
        <f>_xlfn.XLOOKUP(표8[[#This Row],[supplier_id]],표7[supplier_id],표7[supplier_name])</f>
        <v/>
      </c>
      <c r="D11" s="175" t="n">
        <v>660</v>
      </c>
      <c r="E11" s="177" t="inlineStr">
        <is>
          <t>KTA</t>
        </is>
      </c>
      <c r="F11" s="177" t="inlineStr">
        <is>
          <t>울산</t>
        </is>
      </c>
      <c r="G11" t="inlineStr">
        <is>
          <t>화학편람</t>
        </is>
      </c>
      <c r="H11" t="n">
        <v>2025</v>
      </c>
      <c r="J11">
        <f>_xlfn.XLOOKUP(표8[[#This Row],[location]],Location[location],Location[lat])</f>
        <v/>
      </c>
      <c r="K11">
        <f>_xlfn.XLOOKUP(표8[[#This Row],[location]],Location[location],Location[lon])</f>
        <v/>
      </c>
    </row>
    <row r="12">
      <c r="A12" s="177" t="inlineStr">
        <is>
          <t>M001</t>
        </is>
      </c>
      <c r="B12" s="177" t="inlineStr">
        <is>
          <t>S008</t>
        </is>
      </c>
      <c r="C12" s="177">
        <f>_xlfn.XLOOKUP(표8[[#This Row],[supplier_id]],표7[supplier_id],표7[supplier_name])</f>
        <v/>
      </c>
      <c r="D12" s="175" t="n">
        <v>182</v>
      </c>
      <c r="E12" s="177" t="inlineStr">
        <is>
          <t>KTA</t>
        </is>
      </c>
      <c r="F12" s="177" t="inlineStr">
        <is>
          <t>울산</t>
        </is>
      </c>
      <c r="G12" t="inlineStr">
        <is>
          <t>화학편람</t>
        </is>
      </c>
      <c r="H12" t="n">
        <v>2025</v>
      </c>
      <c r="J12">
        <f>_xlfn.XLOOKUP(표8[[#This Row],[location]],Location[location],Location[lat])</f>
        <v/>
      </c>
      <c r="K12">
        <f>_xlfn.XLOOKUP(표8[[#This Row],[location]],Location[location],Location[lon])</f>
        <v/>
      </c>
    </row>
    <row r="13">
      <c r="A13" s="10" t="inlineStr">
        <is>
          <t>M002</t>
        </is>
      </c>
      <c r="B13" s="180" t="inlineStr">
        <is>
          <t>S047</t>
        </is>
      </c>
      <c r="C13" s="180">
        <f>_xlfn.XLOOKUP(표8[[#This Row],[supplier_id]],표7[supplier_id],표7[supplier_name])</f>
        <v/>
      </c>
      <c r="D13" s="181" t="n">
        <v>575</v>
      </c>
      <c r="E13" s="177" t="inlineStr">
        <is>
          <t>KTA</t>
        </is>
      </c>
      <c r="F13" s="177" t="inlineStr">
        <is>
          <t>대산</t>
        </is>
      </c>
      <c r="G13" t="inlineStr">
        <is>
          <t>화학편람</t>
        </is>
      </c>
      <c r="H13" t="n">
        <v>2025</v>
      </c>
      <c r="J13">
        <f>_xlfn.XLOOKUP(표8[[#This Row],[location]],Location[location],Location[lat])</f>
        <v/>
      </c>
      <c r="K13">
        <f>_xlfn.XLOOKUP(표8[[#This Row],[location]],Location[location],Location[lon])</f>
        <v/>
      </c>
    </row>
    <row r="14">
      <c r="A14" s="10" t="inlineStr">
        <is>
          <t>M002</t>
        </is>
      </c>
      <c r="B14" s="180" t="inlineStr">
        <is>
          <t>S048</t>
        </is>
      </c>
      <c r="C14" s="180">
        <f>_xlfn.XLOOKUP(표8[[#This Row],[supplier_id]],표7[supplier_id],표7[supplier_name])</f>
        <v/>
      </c>
      <c r="D14" s="181" t="n">
        <v>550</v>
      </c>
      <c r="E14" s="177" t="inlineStr">
        <is>
          <t>KTA</t>
        </is>
      </c>
      <c r="F14" s="177" t="inlineStr">
        <is>
          <t>대산</t>
        </is>
      </c>
      <c r="G14" t="inlineStr">
        <is>
          <t>화학편람</t>
        </is>
      </c>
      <c r="H14" t="n">
        <v>2025</v>
      </c>
      <c r="J14">
        <f>_xlfn.XLOOKUP(표8[[#This Row],[location]],Location[location],Location[lat])</f>
        <v/>
      </c>
      <c r="K14">
        <f>_xlfn.XLOOKUP(표8[[#This Row],[location]],Location[location],Location[lon])</f>
        <v/>
      </c>
    </row>
    <row r="15">
      <c r="A15" t="inlineStr">
        <is>
          <t>M002</t>
        </is>
      </c>
      <c r="B15" s="180" t="inlineStr">
        <is>
          <t>S005</t>
        </is>
      </c>
      <c r="C15" s="180">
        <f>_xlfn.XLOOKUP(표8[[#This Row],[supplier_id]],표7[supplier_id],표7[supplier_name])</f>
        <v/>
      </c>
      <c r="D15" s="181" t="n">
        <v>630</v>
      </c>
      <c r="E15" s="177" t="inlineStr">
        <is>
          <t>KTA</t>
        </is>
      </c>
      <c r="F15" s="177" t="inlineStr">
        <is>
          <t>여수</t>
        </is>
      </c>
      <c r="G15" t="inlineStr">
        <is>
          <t>화학편람</t>
        </is>
      </c>
      <c r="H15" t="n">
        <v>2025</v>
      </c>
      <c r="J15">
        <f>_xlfn.XLOOKUP(표8[[#This Row],[location]],Location[location],Location[lat])</f>
        <v/>
      </c>
      <c r="K15">
        <f>_xlfn.XLOOKUP(표8[[#This Row],[location]],Location[location],Location[lon])</f>
        <v/>
      </c>
    </row>
    <row r="16">
      <c r="A16" t="inlineStr">
        <is>
          <t>M002</t>
        </is>
      </c>
      <c r="B16" s="180" t="inlineStr">
        <is>
          <t>S043</t>
        </is>
      </c>
      <c r="C16" s="180">
        <f>_xlfn.XLOOKUP(표8[[#This Row],[supplier_id]],표7[supplier_id],표7[supplier_name])</f>
        <v/>
      </c>
      <c r="D16" s="181" t="n">
        <v>500</v>
      </c>
      <c r="E16" s="177" t="inlineStr">
        <is>
          <t>KTA</t>
        </is>
      </c>
      <c r="F16" s="177" t="inlineStr">
        <is>
          <t>여수</t>
        </is>
      </c>
      <c r="G16" t="inlineStr">
        <is>
          <t>화학편람</t>
        </is>
      </c>
      <c r="H16" t="n">
        <v>2025</v>
      </c>
      <c r="J16">
        <f>_xlfn.XLOOKUP(표8[[#This Row],[location]],Location[location],Location[lat])</f>
        <v/>
      </c>
      <c r="K16">
        <f>_xlfn.XLOOKUP(표8[[#This Row],[location]],Location[location],Location[lon])</f>
        <v/>
      </c>
    </row>
    <row r="17">
      <c r="A17" t="inlineStr">
        <is>
          <t>M002</t>
        </is>
      </c>
      <c r="B17" s="180" t="inlineStr">
        <is>
          <t>S041</t>
        </is>
      </c>
      <c r="C17" s="180">
        <f>_xlfn.XLOOKUP(표8[[#This Row],[supplier_id]],표7[supplier_id],표7[supplier_name])</f>
        <v/>
      </c>
      <c r="D17" s="181" t="n">
        <v>360</v>
      </c>
      <c r="E17" s="177" t="inlineStr">
        <is>
          <t>KTA</t>
        </is>
      </c>
      <c r="F17" s="177" t="inlineStr">
        <is>
          <t>여수</t>
        </is>
      </c>
      <c r="G17" t="inlineStr">
        <is>
          <t>화학편람</t>
        </is>
      </c>
      <c r="H17" t="n">
        <v>2025</v>
      </c>
      <c r="J17">
        <f>_xlfn.XLOOKUP(표8[[#This Row],[location]],Location[location],Location[lat])</f>
        <v/>
      </c>
      <c r="K17">
        <f>_xlfn.XLOOKUP(표8[[#This Row],[location]],Location[location],Location[lon])</f>
        <v/>
      </c>
    </row>
    <row r="18">
      <c r="A18" s="180" t="inlineStr">
        <is>
          <t>M002</t>
        </is>
      </c>
      <c r="B18" s="180" t="inlineStr">
        <is>
          <t>S036</t>
        </is>
      </c>
      <c r="C18" s="180">
        <f>_xlfn.XLOOKUP(표8[[#This Row],[supplier_id]],표7[supplier_id],표7[supplier_name])</f>
        <v/>
      </c>
      <c r="D18" s="181" t="n">
        <v>180</v>
      </c>
      <c r="E18" s="177" t="inlineStr">
        <is>
          <t>KTA</t>
        </is>
      </c>
      <c r="F18" s="177" t="inlineStr">
        <is>
          <t>여수</t>
        </is>
      </c>
      <c r="G18" t="inlineStr">
        <is>
          <t>화학편람</t>
        </is>
      </c>
      <c r="H18" t="n">
        <v>2025</v>
      </c>
      <c r="J18">
        <f>_xlfn.XLOOKUP(표8[[#This Row],[location]],Location[location],Location[lat])</f>
        <v/>
      </c>
      <c r="K18">
        <f>_xlfn.XLOOKUP(표8[[#This Row],[location]],Location[location],Location[lon])</f>
        <v/>
      </c>
    </row>
    <row r="19">
      <c r="A19" s="180" t="inlineStr">
        <is>
          <t>M002</t>
        </is>
      </c>
      <c r="B19" t="inlineStr">
        <is>
          <t>S002</t>
        </is>
      </c>
      <c r="C19">
        <f>_xlfn.XLOOKUP(표8[[#This Row],[supplier_id]],표7[supplier_id],표7[supplier_name])</f>
        <v/>
      </c>
      <c r="D19" s="181" t="n">
        <v>650</v>
      </c>
      <c r="E19" s="177" t="inlineStr">
        <is>
          <t>KTA</t>
        </is>
      </c>
      <c r="F19" s="177" t="inlineStr">
        <is>
          <t>울산</t>
        </is>
      </c>
      <c r="G19" t="inlineStr">
        <is>
          <t>화학편람</t>
        </is>
      </c>
      <c r="H19" t="n">
        <v>2025</v>
      </c>
      <c r="J19">
        <f>_xlfn.XLOOKUP(표8[[#This Row],[location]],Location[location],Location[lat])</f>
        <v/>
      </c>
      <c r="K19">
        <f>_xlfn.XLOOKUP(표8[[#This Row],[location]],Location[location],Location[lon])</f>
        <v/>
      </c>
    </row>
    <row r="20">
      <c r="A20" s="180" t="inlineStr">
        <is>
          <t>M002</t>
        </is>
      </c>
      <c r="B20" t="inlineStr">
        <is>
          <t>S011</t>
        </is>
      </c>
      <c r="C20">
        <f>_xlfn.XLOOKUP(표8[[#This Row],[supplier_id]],표7[supplier_id],표7[supplier_name])</f>
        <v/>
      </c>
      <c r="D20" s="181" t="n">
        <v>210</v>
      </c>
      <c r="E20" s="177" t="inlineStr">
        <is>
          <t>KTA</t>
        </is>
      </c>
      <c r="F20" s="177" t="inlineStr">
        <is>
          <t>울산</t>
        </is>
      </c>
      <c r="G20" t="inlineStr">
        <is>
          <t>화학편람</t>
        </is>
      </c>
      <c r="H20" t="n">
        <v>2025</v>
      </c>
      <c r="J20">
        <f>_xlfn.XLOOKUP(표8[[#This Row],[location]],Location[location],Location[lat])</f>
        <v/>
      </c>
      <c r="K20">
        <f>_xlfn.XLOOKUP(표8[[#This Row],[location]],Location[location],Location[lon])</f>
        <v/>
      </c>
    </row>
    <row r="21">
      <c r="A21" s="180" t="inlineStr">
        <is>
          <t>M003</t>
        </is>
      </c>
      <c r="B21" s="180" t="inlineStr">
        <is>
          <t>S047</t>
        </is>
      </c>
      <c r="C21" s="180">
        <f>_xlfn.XLOOKUP(표8[[#This Row],[supplier_id]],표7[supplier_id],표7[supplier_name])</f>
        <v/>
      </c>
      <c r="D21" s="181" t="n">
        <v>435</v>
      </c>
      <c r="E21" s="177" t="inlineStr">
        <is>
          <t>KTA</t>
        </is>
      </c>
      <c r="F21" s="177" t="inlineStr">
        <is>
          <t>대산</t>
        </is>
      </c>
      <c r="G21" t="inlineStr">
        <is>
          <t>화학편람</t>
        </is>
      </c>
      <c r="H21" t="n">
        <v>2025</v>
      </c>
      <c r="J21">
        <f>_xlfn.XLOOKUP(표8[[#This Row],[location]],Location[location],Location[lat])</f>
        <v/>
      </c>
      <c r="K21">
        <f>_xlfn.XLOOKUP(표8[[#This Row],[location]],Location[location],Location[lon])</f>
        <v/>
      </c>
    </row>
    <row r="22">
      <c r="A22" s="180" t="inlineStr">
        <is>
          <t>M003</t>
        </is>
      </c>
      <c r="B22" s="180" t="inlineStr">
        <is>
          <t>S048</t>
        </is>
      </c>
      <c r="C22" s="180">
        <f>_xlfn.XLOOKUP(표8[[#This Row],[supplier_id]],표7[supplier_id],표7[supplier_name])</f>
        <v/>
      </c>
      <c r="D22" s="181" t="n">
        <v>300</v>
      </c>
      <c r="E22" s="177" t="inlineStr">
        <is>
          <t>KTA</t>
        </is>
      </c>
      <c r="F22" s="177" t="inlineStr">
        <is>
          <t>대산</t>
        </is>
      </c>
      <c r="G22" t="inlineStr">
        <is>
          <t>화학편람</t>
        </is>
      </c>
      <c r="H22" t="n">
        <v>2025</v>
      </c>
      <c r="J22">
        <f>_xlfn.XLOOKUP(표8[[#This Row],[location]],Location[location],Location[lat])</f>
        <v/>
      </c>
      <c r="K22">
        <f>_xlfn.XLOOKUP(표8[[#This Row],[location]],Location[location],Location[lon])</f>
        <v/>
      </c>
    </row>
    <row r="23">
      <c r="A23" s="180" t="inlineStr">
        <is>
          <t>M003</t>
        </is>
      </c>
      <c r="B23" s="180" t="inlineStr">
        <is>
          <t>S041</t>
        </is>
      </c>
      <c r="C23" s="180">
        <f>_xlfn.XLOOKUP(표8[[#This Row],[supplier_id]],표7[supplier_id],표7[supplier_name])</f>
        <v/>
      </c>
      <c r="D23" s="181" t="n">
        <v>280</v>
      </c>
      <c r="E23" s="177" t="inlineStr">
        <is>
          <t>KTA</t>
        </is>
      </c>
      <c r="F23" s="177" t="inlineStr">
        <is>
          <t>대산</t>
        </is>
      </c>
      <c r="G23" t="inlineStr">
        <is>
          <t>화학편람</t>
        </is>
      </c>
      <c r="H23" t="n">
        <v>2025</v>
      </c>
      <c r="J23">
        <f>_xlfn.XLOOKUP(표8[[#This Row],[location]],Location[location],Location[lat])</f>
        <v/>
      </c>
      <c r="K23">
        <f>_xlfn.XLOOKUP(표8[[#This Row],[location]],Location[location],Location[lon])</f>
        <v/>
      </c>
    </row>
    <row r="24">
      <c r="A24" s="180" t="inlineStr">
        <is>
          <t>M003</t>
        </is>
      </c>
      <c r="B24" s="180" t="inlineStr">
        <is>
          <t>S005</t>
        </is>
      </c>
      <c r="C24" s="180">
        <f>_xlfn.XLOOKUP(표8[[#This Row],[supplier_id]],표7[supplier_id],표7[supplier_name])</f>
        <v/>
      </c>
      <c r="D24" s="181" t="n">
        <v>135</v>
      </c>
      <c r="E24" s="177" t="inlineStr">
        <is>
          <t>KTA</t>
        </is>
      </c>
      <c r="F24" s="177" t="inlineStr">
        <is>
          <t>대산</t>
        </is>
      </c>
      <c r="G24" t="inlineStr">
        <is>
          <t>화학편람</t>
        </is>
      </c>
      <c r="H24" t="n">
        <v>2025</v>
      </c>
      <c r="J24">
        <f>_xlfn.XLOOKUP(표8[[#This Row],[location]],Location[location],Location[lat])</f>
        <v/>
      </c>
      <c r="K24">
        <f>_xlfn.XLOOKUP(표8[[#This Row],[location]],Location[location],Location[lon])</f>
        <v/>
      </c>
    </row>
    <row r="25">
      <c r="A25" s="180" t="inlineStr">
        <is>
          <t>M003</t>
        </is>
      </c>
      <c r="B25" s="180" t="inlineStr">
        <is>
          <t>S029</t>
        </is>
      </c>
      <c r="C25" s="180">
        <f>_xlfn.XLOOKUP(표8[[#This Row],[supplier_id]],표7[supplier_id],표7[supplier_name])</f>
        <v/>
      </c>
      <c r="D25" s="181" t="n">
        <v>337</v>
      </c>
      <c r="E25" s="177" t="inlineStr">
        <is>
          <t>KTA</t>
        </is>
      </c>
      <c r="F25" s="177" t="inlineStr">
        <is>
          <t>여수</t>
        </is>
      </c>
      <c r="G25" t="inlineStr">
        <is>
          <t>화학편람</t>
        </is>
      </c>
      <c r="H25" t="n">
        <v>2025</v>
      </c>
      <c r="J25">
        <f>_xlfn.XLOOKUP(표8[[#This Row],[location]],Location[location],Location[lat])</f>
        <v/>
      </c>
      <c r="K25">
        <f>_xlfn.XLOOKUP(표8[[#This Row],[location]],Location[location],Location[lon])</f>
        <v/>
      </c>
    </row>
    <row r="26">
      <c r="A26" s="180" t="inlineStr">
        <is>
          <t>M003</t>
        </is>
      </c>
      <c r="B26" s="180" t="inlineStr">
        <is>
          <t>S041</t>
        </is>
      </c>
      <c r="C26" s="180">
        <f>_xlfn.XLOOKUP(표8[[#This Row],[supplier_id]],표7[supplier_id],표7[supplier_name])</f>
        <v/>
      </c>
      <c r="D26" s="181" t="n">
        <v>180</v>
      </c>
      <c r="E26" s="177" t="inlineStr">
        <is>
          <t>KTA</t>
        </is>
      </c>
      <c r="F26" s="177" t="inlineStr">
        <is>
          <t>여수</t>
        </is>
      </c>
      <c r="G26" t="inlineStr">
        <is>
          <t>화학편람</t>
        </is>
      </c>
      <c r="H26" t="n">
        <v>2025</v>
      </c>
      <c r="J26">
        <f>_xlfn.XLOOKUP(표8[[#This Row],[location]],Location[location],Location[lat])</f>
        <v/>
      </c>
      <c r="K26">
        <f>_xlfn.XLOOKUP(표8[[#This Row],[location]],Location[location],Location[lon])</f>
        <v/>
      </c>
    </row>
    <row r="27">
      <c r="A27" s="180" t="inlineStr">
        <is>
          <t>M003</t>
        </is>
      </c>
      <c r="B27" t="inlineStr">
        <is>
          <t>S029</t>
        </is>
      </c>
      <c r="C27">
        <f>_xlfn.XLOOKUP(표8[[#This Row],[supplier_id]],표7[supplier_id],표7[supplier_name])</f>
        <v/>
      </c>
      <c r="D27" s="181" t="n">
        <v>120</v>
      </c>
      <c r="E27" s="177" t="inlineStr">
        <is>
          <t>KTA</t>
        </is>
      </c>
      <c r="F27" s="177" t="inlineStr">
        <is>
          <t>울산</t>
        </is>
      </c>
      <c r="G27" t="inlineStr">
        <is>
          <t>화학편람</t>
        </is>
      </c>
      <c r="H27" t="n">
        <v>2025</v>
      </c>
      <c r="J27">
        <f>_xlfn.XLOOKUP(표8[[#This Row],[location]],Location[location],Location[lat])</f>
        <v/>
      </c>
      <c r="K27">
        <f>_xlfn.XLOOKUP(표8[[#This Row],[location]],Location[location],Location[lon])</f>
        <v/>
      </c>
    </row>
    <row r="28">
      <c r="A28" s="180" t="inlineStr">
        <is>
          <t>M004</t>
        </is>
      </c>
      <c r="B28" s="180" t="inlineStr">
        <is>
          <t>S041</t>
        </is>
      </c>
      <c r="C28" s="180">
        <f>_xlfn.XLOOKUP(표8[[#This Row],[supplier_id]],표7[supplier_id],표7[supplier_name])</f>
        <v/>
      </c>
      <c r="D28" s="181" t="n">
        <v>500</v>
      </c>
      <c r="E28" s="177" t="inlineStr">
        <is>
          <t>KTA</t>
        </is>
      </c>
      <c r="F28" s="177" t="inlineStr">
        <is>
          <t>대산</t>
        </is>
      </c>
      <c r="G28" t="inlineStr">
        <is>
          <t>화학편람</t>
        </is>
      </c>
      <c r="H28" t="n">
        <v>2025</v>
      </c>
      <c r="J28">
        <f>_xlfn.XLOOKUP(표8[[#This Row],[location]],Location[location],Location[lat])</f>
        <v/>
      </c>
      <c r="K28">
        <f>_xlfn.XLOOKUP(표8[[#This Row],[location]],Location[location],Location[lon])</f>
        <v/>
      </c>
    </row>
    <row r="29">
      <c r="A29" s="180" t="inlineStr">
        <is>
          <t>M004</t>
        </is>
      </c>
      <c r="B29" s="180" t="inlineStr">
        <is>
          <t>S005</t>
        </is>
      </c>
      <c r="C29" s="180">
        <f>_xlfn.XLOOKUP(표8[[#This Row],[supplier_id]],표7[supplier_id],표7[supplier_name])</f>
        <v/>
      </c>
      <c r="D29" s="181" t="n">
        <v>300</v>
      </c>
      <c r="E29" s="177" t="inlineStr">
        <is>
          <t>KTA</t>
        </is>
      </c>
      <c r="F29" s="177" t="inlineStr">
        <is>
          <t>대산</t>
        </is>
      </c>
      <c r="G29" t="inlineStr">
        <is>
          <t>화학편람</t>
        </is>
      </c>
      <c r="H29" t="n">
        <v>2025</v>
      </c>
      <c r="J29">
        <f>_xlfn.XLOOKUP(표8[[#This Row],[location]],Location[location],Location[lat])</f>
        <v/>
      </c>
      <c r="K29">
        <f>_xlfn.XLOOKUP(표8[[#This Row],[location]],Location[location],Location[lon])</f>
        <v/>
      </c>
    </row>
    <row r="30">
      <c r="A30" s="180" t="inlineStr">
        <is>
          <t>M004</t>
        </is>
      </c>
      <c r="B30" s="180" t="inlineStr">
        <is>
          <t>S047</t>
        </is>
      </c>
      <c r="C30" s="180">
        <f>_xlfn.XLOOKUP(표8[[#This Row],[supplier_id]],표7[supplier_id],표7[supplier_name])</f>
        <v/>
      </c>
      <c r="D30" s="181" t="n">
        <v>125</v>
      </c>
      <c r="E30" s="177" t="inlineStr">
        <is>
          <t>KTA</t>
        </is>
      </c>
      <c r="F30" s="177" t="inlineStr">
        <is>
          <t>대산</t>
        </is>
      </c>
      <c r="G30" t="inlineStr">
        <is>
          <t>화학편람</t>
        </is>
      </c>
      <c r="H30" t="n">
        <v>2025</v>
      </c>
      <c r="J30">
        <f>_xlfn.XLOOKUP(표8[[#This Row],[location]],Location[location],Location[lat])</f>
        <v/>
      </c>
      <c r="K30">
        <f>_xlfn.XLOOKUP(표8[[#This Row],[location]],Location[location],Location[lon])</f>
        <v/>
      </c>
    </row>
    <row r="31">
      <c r="A31" s="180" t="inlineStr">
        <is>
          <t>M004</t>
        </is>
      </c>
      <c r="B31" s="180" t="inlineStr">
        <is>
          <t>S041</t>
        </is>
      </c>
      <c r="C31" s="180">
        <f>_xlfn.XLOOKUP(표8[[#This Row],[supplier_id]],표7[supplier_id],표7[supplier_name])</f>
        <v/>
      </c>
      <c r="D31" s="181" t="n">
        <v>600</v>
      </c>
      <c r="E31" s="177" t="inlineStr">
        <is>
          <t>KTA</t>
        </is>
      </c>
      <c r="F31" s="177" t="inlineStr">
        <is>
          <t>여수</t>
        </is>
      </c>
      <c r="G31" t="inlineStr">
        <is>
          <t>화학편람</t>
        </is>
      </c>
      <c r="H31" t="n">
        <v>2025</v>
      </c>
      <c r="J31">
        <f>_xlfn.XLOOKUP(표8[[#This Row],[location]],Location[location],Location[lat])</f>
        <v/>
      </c>
      <c r="K31">
        <f>_xlfn.XLOOKUP(표8[[#This Row],[location]],Location[location],Location[lon])</f>
        <v/>
      </c>
    </row>
    <row r="32">
      <c r="A32" s="180" t="inlineStr">
        <is>
          <t>M004</t>
        </is>
      </c>
      <c r="B32" s="180" t="inlineStr">
        <is>
          <t>S036</t>
        </is>
      </c>
      <c r="C32" s="180">
        <f>_xlfn.XLOOKUP(표8[[#This Row],[supplier_id]],표7[supplier_id],표7[supplier_name])</f>
        <v/>
      </c>
      <c r="D32" s="181" t="n">
        <v>530</v>
      </c>
      <c r="E32" s="177" t="inlineStr">
        <is>
          <t>KTA</t>
        </is>
      </c>
      <c r="F32" s="177" t="inlineStr">
        <is>
          <t>여수</t>
        </is>
      </c>
      <c r="G32" t="inlineStr">
        <is>
          <t>화학편람</t>
        </is>
      </c>
      <c r="H32" t="n">
        <v>2025</v>
      </c>
      <c r="J32">
        <f>_xlfn.XLOOKUP(표8[[#This Row],[location]],Location[location],Location[lat])</f>
        <v/>
      </c>
      <c r="K32">
        <f>_xlfn.XLOOKUP(표8[[#This Row],[location]],Location[location],Location[lon])</f>
        <v/>
      </c>
    </row>
    <row r="33">
      <c r="A33" s="180" t="inlineStr">
        <is>
          <t>M004</t>
        </is>
      </c>
      <c r="B33" s="180" t="inlineStr">
        <is>
          <t>S029</t>
        </is>
      </c>
      <c r="C33" s="180">
        <f>_xlfn.XLOOKUP(표8[[#This Row],[supplier_id]],표7[supplier_id],표7[supplier_name])</f>
        <v/>
      </c>
      <c r="D33" s="181" t="n">
        <v>425</v>
      </c>
      <c r="E33" s="177" t="inlineStr">
        <is>
          <t>KTA</t>
        </is>
      </c>
      <c r="F33" s="177" t="inlineStr">
        <is>
          <t>여수</t>
        </is>
      </c>
      <c r="G33" t="inlineStr">
        <is>
          <t>화학편람</t>
        </is>
      </c>
      <c r="H33" t="n">
        <v>2025</v>
      </c>
      <c r="J33">
        <f>_xlfn.XLOOKUP(표8[[#This Row],[location]],Location[location],Location[lat])</f>
        <v/>
      </c>
      <c r="K33">
        <f>_xlfn.XLOOKUP(표8[[#This Row],[location]],Location[location],Location[lon])</f>
        <v/>
      </c>
    </row>
    <row r="34">
      <c r="A34" s="180" t="inlineStr">
        <is>
          <t>M004</t>
        </is>
      </c>
      <c r="B34" s="180" t="inlineStr">
        <is>
          <t>S005</t>
        </is>
      </c>
      <c r="C34" s="180">
        <f>_xlfn.XLOOKUP(표8[[#This Row],[supplier_id]],표7[supplier_id],표7[supplier_name])</f>
        <v/>
      </c>
      <c r="D34" s="181" t="n">
        <v>10</v>
      </c>
      <c r="E34" s="177" t="inlineStr">
        <is>
          <t>KTA</t>
        </is>
      </c>
      <c r="F34" s="177" t="inlineStr">
        <is>
          <t>여수</t>
        </is>
      </c>
      <c r="G34" t="inlineStr">
        <is>
          <t>화학편람</t>
        </is>
      </c>
      <c r="H34" t="n">
        <v>2025</v>
      </c>
      <c r="J34">
        <f>_xlfn.XLOOKUP(표8[[#This Row],[location]],Location[location],Location[lat])</f>
        <v/>
      </c>
      <c r="K34">
        <f>_xlfn.XLOOKUP(표8[[#This Row],[location]],Location[location],Location[lon])</f>
        <v/>
      </c>
    </row>
    <row r="35">
      <c r="A35" s="180" t="inlineStr">
        <is>
          <t>M004</t>
        </is>
      </c>
      <c r="B35" t="inlineStr">
        <is>
          <t>S007</t>
        </is>
      </c>
      <c r="C35">
        <f>_xlfn.XLOOKUP(표8[[#This Row],[supplier_id]],표7[supplier_id],표7[supplier_name])</f>
        <v/>
      </c>
      <c r="D35" s="181" t="n">
        <v>288</v>
      </c>
      <c r="E35" s="177" t="inlineStr">
        <is>
          <t>KTA</t>
        </is>
      </c>
      <c r="F35" s="177" t="inlineStr">
        <is>
          <t>울산</t>
        </is>
      </c>
      <c r="G35" t="inlineStr">
        <is>
          <t>화학편람</t>
        </is>
      </c>
      <c r="H35" t="n">
        <v>2025</v>
      </c>
      <c r="J35">
        <f>_xlfn.XLOOKUP(표8[[#This Row],[location]],Location[location],Location[lat])</f>
        <v/>
      </c>
      <c r="K35">
        <f>_xlfn.XLOOKUP(표8[[#This Row],[location]],Location[location],Location[lon])</f>
        <v/>
      </c>
    </row>
    <row r="36">
      <c r="A36" s="180" t="inlineStr">
        <is>
          <t>M004</t>
        </is>
      </c>
      <c r="B36" t="inlineStr">
        <is>
          <t>S011</t>
        </is>
      </c>
      <c r="C36">
        <f>_xlfn.XLOOKUP(표8[[#This Row],[supplier_id]],표7[supplier_id],표7[supplier_name])</f>
        <v/>
      </c>
      <c r="D36" s="181" t="n">
        <v>180</v>
      </c>
      <c r="E36" s="177" t="inlineStr">
        <is>
          <t>KTA</t>
        </is>
      </c>
      <c r="F36" s="177" t="inlineStr">
        <is>
          <t>울산</t>
        </is>
      </c>
      <c r="G36" t="inlineStr">
        <is>
          <t>화학편람</t>
        </is>
      </c>
      <c r="H36" t="n">
        <v>2025</v>
      </c>
      <c r="J36">
        <f>_xlfn.XLOOKUP(표8[[#This Row],[location]],Location[location],Location[lat])</f>
        <v/>
      </c>
      <c r="K36">
        <f>_xlfn.XLOOKUP(표8[[#This Row],[location]],Location[location],Location[lon])</f>
        <v/>
      </c>
    </row>
    <row r="37">
      <c r="A37" s="180" t="inlineStr">
        <is>
          <t>M005</t>
        </is>
      </c>
      <c r="B37" s="180" t="inlineStr">
        <is>
          <t>S029</t>
        </is>
      </c>
      <c r="C37" s="180">
        <f>_xlfn.XLOOKUP(표8[[#This Row],[supplier_id]],표7[supplier_id],표7[supplier_name])</f>
        <v/>
      </c>
      <c r="D37" s="181" t="n">
        <v>1586</v>
      </c>
      <c r="E37" s="177" t="inlineStr">
        <is>
          <t>KTA</t>
        </is>
      </c>
      <c r="F37" s="177" t="inlineStr">
        <is>
          <t>여수</t>
        </is>
      </c>
      <c r="G37" t="inlineStr">
        <is>
          <t>화학편람</t>
        </is>
      </c>
      <c r="H37" t="n">
        <v>2025</v>
      </c>
      <c r="J37">
        <f>_xlfn.XLOOKUP(표8[[#This Row],[location]],Location[location],Location[lat])</f>
        <v/>
      </c>
      <c r="K37">
        <f>_xlfn.XLOOKUP(표8[[#This Row],[location]],Location[location],Location[lon])</f>
        <v/>
      </c>
    </row>
    <row r="38">
      <c r="A38" s="180" t="inlineStr">
        <is>
          <t>M005</t>
        </is>
      </c>
      <c r="B38" s="180" t="inlineStr">
        <is>
          <t>S041</t>
        </is>
      </c>
      <c r="C38" s="180">
        <f>_xlfn.XLOOKUP(표8[[#This Row],[supplier_id]],표7[supplier_id],표7[supplier_name])</f>
        <v/>
      </c>
      <c r="D38" s="181" t="n">
        <v>810</v>
      </c>
      <c r="E38" s="177" t="inlineStr">
        <is>
          <t>KTA</t>
        </is>
      </c>
      <c r="F38" s="177" t="inlineStr">
        <is>
          <t>여수</t>
        </is>
      </c>
      <c r="G38" t="inlineStr">
        <is>
          <t>화학편람</t>
        </is>
      </c>
      <c r="H38" t="n">
        <v>2025</v>
      </c>
      <c r="J38">
        <f>_xlfn.XLOOKUP(표8[[#This Row],[location]],Location[location],Location[lat])</f>
        <v/>
      </c>
      <c r="K38">
        <f>_xlfn.XLOOKUP(표8[[#This Row],[location]],Location[location],Location[lon])</f>
        <v/>
      </c>
    </row>
    <row r="39">
      <c r="A39" s="180" t="inlineStr">
        <is>
          <t>M005</t>
        </is>
      </c>
      <c r="B39" t="inlineStr">
        <is>
          <t>S029</t>
        </is>
      </c>
      <c r="C39">
        <f>_xlfn.XLOOKUP(표8[[#This Row],[supplier_id]],표7[supplier_id],표7[supplier_name])</f>
        <v/>
      </c>
      <c r="D39" s="181" t="n">
        <v>385</v>
      </c>
      <c r="E39" s="177" t="inlineStr">
        <is>
          <t>KTA</t>
        </is>
      </c>
      <c r="F39" s="177" t="inlineStr">
        <is>
          <t>울산</t>
        </is>
      </c>
      <c r="G39" t="inlineStr">
        <is>
          <t>화학편람</t>
        </is>
      </c>
      <c r="H39" t="n">
        <v>2025</v>
      </c>
      <c r="J39">
        <f>_xlfn.XLOOKUP(표8[[#This Row],[location]],Location[location],Location[lat])</f>
        <v/>
      </c>
      <c r="K39">
        <f>_xlfn.XLOOKUP(표8[[#This Row],[location]],Location[location],Location[lon])</f>
        <v/>
      </c>
    </row>
    <row r="40">
      <c r="A40" s="180" t="inlineStr">
        <is>
          <t>M006</t>
        </is>
      </c>
      <c r="B40" s="180" t="inlineStr">
        <is>
          <t>S041</t>
        </is>
      </c>
      <c r="C40" s="180">
        <f>_xlfn.XLOOKUP(표8[[#This Row],[supplier_id]],표7[supplier_id],표7[supplier_name])</f>
        <v/>
      </c>
      <c r="D40" s="181" t="n">
        <v>230</v>
      </c>
      <c r="E40" s="177" t="inlineStr">
        <is>
          <t>KTA</t>
        </is>
      </c>
      <c r="F40" s="177" t="inlineStr">
        <is>
          <t>대산</t>
        </is>
      </c>
      <c r="G40" t="inlineStr">
        <is>
          <t>화학편람</t>
        </is>
      </c>
      <c r="H40" t="n">
        <v>2025</v>
      </c>
      <c r="J40">
        <f>_xlfn.XLOOKUP(표8[[#This Row],[location]],Location[location],Location[lat])</f>
        <v/>
      </c>
      <c r="K40">
        <f>_xlfn.XLOOKUP(표8[[#This Row],[location]],Location[location],Location[lon])</f>
        <v/>
      </c>
    </row>
    <row r="41">
      <c r="A41" s="180" t="inlineStr">
        <is>
          <t>M006</t>
        </is>
      </c>
      <c r="B41" s="180" t="inlineStr">
        <is>
          <t>S041</t>
        </is>
      </c>
      <c r="C41" s="180">
        <f>_xlfn.XLOOKUP(표8[[#This Row],[supplier_id]],표7[supplier_id],표7[supplier_name])</f>
        <v/>
      </c>
      <c r="D41" s="181" t="n">
        <v>720</v>
      </c>
      <c r="E41" s="177" t="inlineStr">
        <is>
          <t>KTA</t>
        </is>
      </c>
      <c r="F41" s="177" t="inlineStr">
        <is>
          <t>여수</t>
        </is>
      </c>
      <c r="G41" t="inlineStr">
        <is>
          <t>화학편람</t>
        </is>
      </c>
      <c r="H41" t="n">
        <v>2025</v>
      </c>
      <c r="J41">
        <f>_xlfn.XLOOKUP(표8[[#This Row],[location]],Location[location],Location[lat])</f>
        <v/>
      </c>
      <c r="K41">
        <f>_xlfn.XLOOKUP(표8[[#This Row],[location]],Location[location],Location[lon])</f>
        <v/>
      </c>
    </row>
    <row r="42">
      <c r="A42" s="180" t="inlineStr">
        <is>
          <t>M006</t>
        </is>
      </c>
      <c r="B42" s="180" t="inlineStr">
        <is>
          <t>S029</t>
        </is>
      </c>
      <c r="C42" s="180">
        <f>_xlfn.XLOOKUP(표8[[#This Row],[supplier_id]],표7[supplier_id],표7[supplier_name])</f>
        <v/>
      </c>
      <c r="D42" s="181" t="n">
        <v>583</v>
      </c>
      <c r="E42" s="177" t="inlineStr">
        <is>
          <t>KTA</t>
        </is>
      </c>
      <c r="F42" s="177" t="inlineStr">
        <is>
          <t>여수</t>
        </is>
      </c>
      <c r="G42" t="inlineStr">
        <is>
          <t>화학편람</t>
        </is>
      </c>
      <c r="H42" t="n">
        <v>2025</v>
      </c>
      <c r="J42">
        <f>_xlfn.XLOOKUP(표8[[#This Row],[location]],Location[location],Location[lat])</f>
        <v/>
      </c>
      <c r="K42">
        <f>_xlfn.XLOOKUP(표8[[#This Row],[location]],Location[location],Location[lon])</f>
        <v/>
      </c>
    </row>
    <row r="43">
      <c r="A43" s="180" t="inlineStr">
        <is>
          <t>M006</t>
        </is>
      </c>
      <c r="B43" t="inlineStr">
        <is>
          <t>S029</t>
        </is>
      </c>
      <c r="C43">
        <f>_xlfn.XLOOKUP(표8[[#This Row],[supplier_id]],표7[supplier_id],표7[supplier_name])</f>
        <v/>
      </c>
      <c r="D43" s="181" t="n">
        <v>264</v>
      </c>
      <c r="E43" s="177" t="inlineStr">
        <is>
          <t>KTA</t>
        </is>
      </c>
      <c r="F43" s="177" t="inlineStr">
        <is>
          <t>울산</t>
        </is>
      </c>
      <c r="G43" t="inlineStr">
        <is>
          <t>화학편람</t>
        </is>
      </c>
      <c r="H43" t="n">
        <v>2025</v>
      </c>
      <c r="J43">
        <f>_xlfn.XLOOKUP(표8[[#This Row],[location]],Location[location],Location[lat])</f>
        <v/>
      </c>
      <c r="K43">
        <f>_xlfn.XLOOKUP(표8[[#This Row],[location]],Location[location],Location[lon])</f>
        <v/>
      </c>
    </row>
    <row r="44">
      <c r="A44" s="180" t="inlineStr">
        <is>
          <t>M007</t>
        </is>
      </c>
      <c r="B44" s="180" t="inlineStr">
        <is>
          <t>S041</t>
        </is>
      </c>
      <c r="C44" s="180">
        <f>_xlfn.XLOOKUP(표8[[#This Row],[supplier_id]],표7[supplier_id],표7[supplier_name])</f>
        <v/>
      </c>
      <c r="D44" s="181" t="n">
        <v>240</v>
      </c>
      <c r="E44" s="177" t="inlineStr">
        <is>
          <t>KTA</t>
        </is>
      </c>
      <c r="F44" s="177" t="inlineStr">
        <is>
          <t>대산</t>
        </is>
      </c>
      <c r="G44" t="inlineStr">
        <is>
          <t>화학편람</t>
        </is>
      </c>
      <c r="H44" t="n">
        <v>2025</v>
      </c>
      <c r="J44">
        <f>_xlfn.XLOOKUP(표8[[#This Row],[location]],Location[location],Location[lat])</f>
        <v/>
      </c>
      <c r="K44">
        <f>_xlfn.XLOOKUP(표8[[#This Row],[location]],Location[location],Location[lon])</f>
        <v/>
      </c>
    </row>
    <row r="45">
      <c r="A45" s="180" t="inlineStr">
        <is>
          <t>M007</t>
        </is>
      </c>
      <c r="B45" s="180" t="inlineStr">
        <is>
          <t>S029</t>
        </is>
      </c>
      <c r="C45" s="180">
        <f>_xlfn.XLOOKUP(표8[[#This Row],[supplier_id]],표7[supplier_id],표7[supplier_name])</f>
        <v/>
      </c>
      <c r="D45" s="181" t="n">
        <v>480</v>
      </c>
      <c r="E45" s="177" t="inlineStr">
        <is>
          <t>KTA</t>
        </is>
      </c>
      <c r="F45" s="177" t="inlineStr">
        <is>
          <t>여수</t>
        </is>
      </c>
      <c r="G45" t="inlineStr">
        <is>
          <t>화학편람</t>
        </is>
      </c>
      <c r="H45" t="n">
        <v>2025</v>
      </c>
      <c r="J45">
        <f>_xlfn.XLOOKUP(표8[[#This Row],[location]],Location[location],Location[lat])</f>
        <v/>
      </c>
      <c r="K45">
        <f>_xlfn.XLOOKUP(표8[[#This Row],[location]],Location[location],Location[lon])</f>
        <v/>
      </c>
    </row>
    <row r="46">
      <c r="A46" s="180" t="inlineStr">
        <is>
          <t>M007</t>
        </is>
      </c>
      <c r="B46" s="180" t="inlineStr">
        <is>
          <t>S041</t>
        </is>
      </c>
      <c r="C46" s="180">
        <f>_xlfn.XLOOKUP(표8[[#This Row],[supplier_id]],표7[supplier_id],표7[supplier_name])</f>
        <v/>
      </c>
      <c r="D46" s="181" t="n">
        <v>450</v>
      </c>
      <c r="E46" s="177" t="inlineStr">
        <is>
          <t>KTA</t>
        </is>
      </c>
      <c r="F46" s="177" t="inlineStr">
        <is>
          <t>여수</t>
        </is>
      </c>
      <c r="G46" t="inlineStr">
        <is>
          <t>화학편람</t>
        </is>
      </c>
      <c r="H46" t="n">
        <v>2025</v>
      </c>
      <c r="J46">
        <f>_xlfn.XLOOKUP(표8[[#This Row],[location]],Location[location],Location[lat])</f>
        <v/>
      </c>
      <c r="K46">
        <f>_xlfn.XLOOKUP(표8[[#This Row],[location]],Location[location],Location[lon])</f>
        <v/>
      </c>
    </row>
    <row r="47">
      <c r="A47" s="180" t="inlineStr">
        <is>
          <t>M007</t>
        </is>
      </c>
      <c r="B47" t="inlineStr">
        <is>
          <t>S029</t>
        </is>
      </c>
      <c r="C47">
        <f>_xlfn.XLOOKUP(표8[[#This Row],[supplier_id]],표7[supplier_id],표7[supplier_name])</f>
        <v/>
      </c>
      <c r="D47" s="181" t="n">
        <v>330</v>
      </c>
      <c r="E47" s="177" t="inlineStr">
        <is>
          <t>KTA</t>
        </is>
      </c>
      <c r="F47" s="177" t="inlineStr">
        <is>
          <t>울산</t>
        </is>
      </c>
      <c r="G47" t="inlineStr">
        <is>
          <t>화학편람</t>
        </is>
      </c>
      <c r="H47" t="n">
        <v>2025</v>
      </c>
      <c r="J47">
        <f>_xlfn.XLOOKUP(표8[[#This Row],[location]],Location[location],Location[lat])</f>
        <v/>
      </c>
      <c r="K47">
        <f>_xlfn.XLOOKUP(표8[[#This Row],[location]],Location[location],Location[lon])</f>
        <v/>
      </c>
    </row>
    <row r="48">
      <c r="A48" s="180" t="inlineStr">
        <is>
          <t>M008</t>
        </is>
      </c>
      <c r="B48" t="inlineStr">
        <is>
          <t>S026</t>
        </is>
      </c>
      <c r="C48">
        <f>_xlfn.XLOOKUP(표8[[#This Row],[supplier_id]],표7[supplier_id],표7[supplier_name])</f>
        <v/>
      </c>
      <c r="D48" s="181" t="n">
        <v>70</v>
      </c>
      <c r="E48" s="177" t="inlineStr">
        <is>
          <t>KTA</t>
        </is>
      </c>
      <c r="F48" s="177" t="inlineStr">
        <is>
          <t>울산</t>
        </is>
      </c>
      <c r="G48" t="inlineStr">
        <is>
          <t>화학편람</t>
        </is>
      </c>
      <c r="H48" t="n">
        <v>2025</v>
      </c>
      <c r="J48">
        <f>_xlfn.XLOOKUP(표8[[#This Row],[location]],Location[location],Location[lat])</f>
        <v/>
      </c>
      <c r="K48">
        <f>_xlfn.XLOOKUP(표8[[#This Row],[location]],Location[location],Location[lon])</f>
        <v/>
      </c>
    </row>
    <row r="49">
      <c r="A49" s="180" t="inlineStr">
        <is>
          <t>M010</t>
        </is>
      </c>
      <c r="B49" t="inlineStr">
        <is>
          <t>S026</t>
        </is>
      </c>
      <c r="C49">
        <f>_xlfn.XLOOKUP(표8[[#This Row],[supplier_id]],표7[supplier_id],표7[supplier_name])</f>
        <v/>
      </c>
      <c r="D49" s="181" t="n">
        <v>123</v>
      </c>
      <c r="E49" s="177" t="inlineStr">
        <is>
          <t>KTA</t>
        </is>
      </c>
      <c r="F49" s="177" t="inlineStr">
        <is>
          <t>울산</t>
        </is>
      </c>
      <c r="G49" t="inlineStr">
        <is>
          <t>화학편람</t>
        </is>
      </c>
      <c r="H49" t="n">
        <v>2025</v>
      </c>
      <c r="J49">
        <f>_xlfn.XLOOKUP(표8[[#This Row],[location]],Location[location],Location[lat])</f>
        <v/>
      </c>
      <c r="K49">
        <f>_xlfn.XLOOKUP(표8[[#This Row],[location]],Location[location],Location[lon])</f>
        <v/>
      </c>
    </row>
    <row r="50">
      <c r="A50" t="inlineStr">
        <is>
          <t>M012</t>
        </is>
      </c>
      <c r="B50" s="180" t="inlineStr">
        <is>
          <t>S047</t>
        </is>
      </c>
      <c r="C50" s="180">
        <f>_xlfn.XLOOKUP(표8[[#This Row],[supplier_id]],표7[supplier_id],표7[supplier_name])</f>
        <v/>
      </c>
      <c r="D50" s="181" t="n">
        <v>120</v>
      </c>
      <c r="E50" s="177" t="inlineStr">
        <is>
          <t>KTA</t>
        </is>
      </c>
      <c r="F50" s="177" t="inlineStr">
        <is>
          <t>대산</t>
        </is>
      </c>
      <c r="G50" t="inlineStr">
        <is>
          <t>S&amp;P CEH</t>
        </is>
      </c>
      <c r="H50" t="n">
        <v>2025</v>
      </c>
      <c r="J50">
        <f>_xlfn.XLOOKUP(표8[[#This Row],[location]],Location[location],Location[lat])</f>
        <v/>
      </c>
      <c r="K50">
        <f>_xlfn.XLOOKUP(표8[[#This Row],[location]],Location[location],Location[lon])</f>
        <v/>
      </c>
    </row>
    <row r="51">
      <c r="A51" t="inlineStr">
        <is>
          <t>M012</t>
        </is>
      </c>
      <c r="B51" s="180" t="inlineStr">
        <is>
          <t>S041</t>
        </is>
      </c>
      <c r="C51" s="180">
        <f>_xlfn.XLOOKUP(표8[[#This Row],[supplier_id]],표7[supplier_id],표7[supplier_name])</f>
        <v/>
      </c>
      <c r="D51" s="181" t="n">
        <v>60</v>
      </c>
      <c r="E51" s="177" t="inlineStr">
        <is>
          <t>KTA</t>
        </is>
      </c>
      <c r="F51" s="177" t="inlineStr">
        <is>
          <t>대산</t>
        </is>
      </c>
      <c r="G51" t="inlineStr">
        <is>
          <t>S&amp;P CEH</t>
        </is>
      </c>
      <c r="H51" t="n">
        <v>2025</v>
      </c>
      <c r="J51">
        <f>_xlfn.XLOOKUP(표8[[#This Row],[location]],Location[location],Location[lat])</f>
        <v/>
      </c>
      <c r="K51">
        <f>_xlfn.XLOOKUP(표8[[#This Row],[location]],Location[location],Location[lon])</f>
        <v/>
      </c>
    </row>
    <row r="52">
      <c r="A52" t="inlineStr">
        <is>
          <t>M012</t>
        </is>
      </c>
      <c r="B52" s="180" t="inlineStr">
        <is>
          <t>S005</t>
        </is>
      </c>
      <c r="C52" s="180">
        <f>_xlfn.XLOOKUP(표8[[#This Row],[supplier_id]],표7[supplier_id],표7[supplier_name])</f>
        <v/>
      </c>
      <c r="D52" s="181" t="n">
        <v>620</v>
      </c>
      <c r="E52" s="177" t="inlineStr">
        <is>
          <t>KTA</t>
        </is>
      </c>
      <c r="F52" s="177" t="inlineStr">
        <is>
          <t>대산</t>
        </is>
      </c>
      <c r="G52" t="inlineStr">
        <is>
          <t>S&amp;P CEH</t>
        </is>
      </c>
      <c r="H52" t="n">
        <v>2025</v>
      </c>
      <c r="J52">
        <f>_xlfn.XLOOKUP(표8[[#This Row],[location]],Location[location],Location[lat])</f>
        <v/>
      </c>
      <c r="K52">
        <f>_xlfn.XLOOKUP(표8[[#This Row],[location]],Location[location],Location[lon])</f>
        <v/>
      </c>
    </row>
    <row r="53">
      <c r="A53" t="inlineStr">
        <is>
          <t>M012</t>
        </is>
      </c>
      <c r="B53" t="inlineStr">
        <is>
          <t>S005</t>
        </is>
      </c>
      <c r="C53" s="180">
        <f>_xlfn.XLOOKUP(표8[[#This Row],[supplier_id]],표7[supplier_id],표7[supplier_name])</f>
        <v/>
      </c>
      <c r="D53" s="181" t="n">
        <v>302</v>
      </c>
      <c r="E53" s="177" t="inlineStr">
        <is>
          <t>KTA</t>
        </is>
      </c>
      <c r="F53" s="177" t="inlineStr">
        <is>
          <t>여수</t>
        </is>
      </c>
      <c r="G53" t="inlineStr">
        <is>
          <t>S&amp;P CEH</t>
        </is>
      </c>
      <c r="H53" t="n">
        <v>2025</v>
      </c>
      <c r="J53">
        <f>_xlfn.XLOOKUP(표8[[#This Row],[location]],Location[location],Location[lat])</f>
        <v/>
      </c>
      <c r="K53">
        <f>_xlfn.XLOOKUP(표8[[#This Row],[location]],Location[location],Location[lon])</f>
        <v/>
      </c>
    </row>
    <row r="54">
      <c r="A54" s="177" t="inlineStr">
        <is>
          <t>M012</t>
        </is>
      </c>
      <c r="B54" s="177" t="inlineStr">
        <is>
          <t>S002</t>
        </is>
      </c>
      <c r="C54" s="10">
        <f>_xlfn.XLOOKUP(표8[[#This Row],[supplier_id]],표7[supplier_id],표7[supplier_name])</f>
        <v/>
      </c>
      <c r="D54" s="175" t="n">
        <v>250</v>
      </c>
      <c r="E54" s="177" t="inlineStr">
        <is>
          <t>KTA</t>
        </is>
      </c>
      <c r="F54" s="177" t="inlineStr">
        <is>
          <t>울산</t>
        </is>
      </c>
      <c r="G54" t="inlineStr">
        <is>
          <t>S&amp;P CEH</t>
        </is>
      </c>
      <c r="H54" t="n">
        <v>2025</v>
      </c>
      <c r="J54">
        <f>_xlfn.XLOOKUP(표8[[#This Row],[location]],Location[location],Location[lat])</f>
        <v/>
      </c>
      <c r="K54">
        <f>_xlfn.XLOOKUP(표8[[#This Row],[location]],Location[location],Location[lon])</f>
        <v/>
      </c>
    </row>
    <row r="55">
      <c r="A55" s="10" t="inlineStr">
        <is>
          <t>M017</t>
        </is>
      </c>
      <c r="B55" s="10" t="inlineStr">
        <is>
          <t>S005</t>
        </is>
      </c>
      <c r="C55" s="10">
        <f>_xlfn.XLOOKUP(표8[[#This Row],[supplier_id]],표7[supplier_id],표7[supplier_name])</f>
        <v/>
      </c>
      <c r="D55" s="175" t="n">
        <v>730</v>
      </c>
      <c r="E55" s="177" t="inlineStr">
        <is>
          <t>KTA</t>
        </is>
      </c>
      <c r="F55" s="177" t="inlineStr">
        <is>
          <t>대산</t>
        </is>
      </c>
      <c r="G55" t="inlineStr">
        <is>
          <t>화학편람</t>
        </is>
      </c>
      <c r="H55" t="n">
        <v>2025</v>
      </c>
      <c r="J55">
        <f>_xlfn.XLOOKUP(표8[[#This Row],[location]],Location[location],Location[lat])</f>
        <v/>
      </c>
      <c r="K55">
        <f>_xlfn.XLOOKUP(표8[[#This Row],[location]],Location[location],Location[lon])</f>
        <v/>
      </c>
    </row>
    <row r="56">
      <c r="A56" s="10" t="inlineStr">
        <is>
          <t>M017</t>
        </is>
      </c>
      <c r="B56" s="10" t="inlineStr">
        <is>
          <t>S047</t>
        </is>
      </c>
      <c r="C56" s="10">
        <f>_xlfn.XLOOKUP(표8[[#This Row],[supplier_id]],표7[supplier_id],표7[supplier_name])</f>
        <v/>
      </c>
      <c r="D56" s="175" t="n">
        <v>218</v>
      </c>
      <c r="E56" s="177" t="inlineStr">
        <is>
          <t>KTA</t>
        </is>
      </c>
      <c r="F56" s="177" t="inlineStr">
        <is>
          <t>대산</t>
        </is>
      </c>
      <c r="G56" t="inlineStr">
        <is>
          <t>화학편람</t>
        </is>
      </c>
      <c r="H56" t="n">
        <v>2025</v>
      </c>
      <c r="J56">
        <f>_xlfn.XLOOKUP(표8[[#This Row],[location]],Location[location],Location[lat])</f>
        <v/>
      </c>
      <c r="K56">
        <f>_xlfn.XLOOKUP(표8[[#This Row],[location]],Location[location],Location[lon])</f>
        <v/>
      </c>
    </row>
    <row r="57">
      <c r="A57" s="10" t="inlineStr">
        <is>
          <t>M017</t>
        </is>
      </c>
      <c r="B57" s="10" t="inlineStr">
        <is>
          <t>S005</t>
        </is>
      </c>
      <c r="C57" s="10">
        <f>_xlfn.XLOOKUP(표8[[#This Row],[supplier_id]],표7[supplier_id],표7[supplier_name])</f>
        <v/>
      </c>
      <c r="D57" s="175" t="n">
        <v>400</v>
      </c>
      <c r="E57" s="177" t="inlineStr">
        <is>
          <t>KTA</t>
        </is>
      </c>
      <c r="F57" s="177" t="inlineStr">
        <is>
          <t>여수</t>
        </is>
      </c>
      <c r="G57" t="inlineStr">
        <is>
          <t>화학편람</t>
        </is>
      </c>
      <c r="H57" t="n">
        <v>2025</v>
      </c>
      <c r="J57">
        <f>_xlfn.XLOOKUP(표8[[#This Row],[location]],Location[location],Location[lat])</f>
        <v/>
      </c>
      <c r="K57">
        <f>_xlfn.XLOOKUP(표8[[#This Row],[location]],Location[location],Location[lon])</f>
        <v/>
      </c>
    </row>
    <row r="58">
      <c r="A58" s="10" t="inlineStr">
        <is>
          <t>M017</t>
        </is>
      </c>
      <c r="B58" s="177" t="inlineStr">
        <is>
          <t>S002</t>
        </is>
      </c>
      <c r="C58" s="177">
        <f>_xlfn.XLOOKUP(표8[[#This Row],[supplier_id]],표7[supplier_id],표7[supplier_name])</f>
        <v/>
      </c>
      <c r="D58" s="175" t="n">
        <v>200</v>
      </c>
      <c r="E58" s="177" t="inlineStr">
        <is>
          <t>KTA</t>
        </is>
      </c>
      <c r="F58" s="177" t="inlineStr">
        <is>
          <t>울산</t>
        </is>
      </c>
      <c r="G58" t="inlineStr">
        <is>
          <t>화학편람</t>
        </is>
      </c>
      <c r="H58" t="n">
        <v>2025</v>
      </c>
      <c r="J58">
        <f>_xlfn.XLOOKUP(표8[[#This Row],[location]],Location[location],Location[lat])</f>
        <v/>
      </c>
      <c r="K58">
        <f>_xlfn.XLOOKUP(표8[[#This Row],[location]],Location[location],Location[lon])</f>
        <v/>
      </c>
    </row>
    <row r="59">
      <c r="A59" s="10" t="inlineStr">
        <is>
          <t>M019</t>
        </is>
      </c>
      <c r="B59" s="177" t="inlineStr">
        <is>
          <t>S004</t>
        </is>
      </c>
      <c r="C59" s="177">
        <f>_xlfn.XLOOKUP(표8[[#This Row],[supplier_id]],표7[supplier_id],표7[supplier_name])</f>
        <v/>
      </c>
      <c r="D59" s="175" t="n">
        <v>460</v>
      </c>
      <c r="E59" s="177" t="inlineStr">
        <is>
          <t>KTA</t>
        </is>
      </c>
      <c r="F59" s="177" t="inlineStr">
        <is>
          <t>울산</t>
        </is>
      </c>
      <c r="G59" t="inlineStr">
        <is>
          <t>화학편람</t>
        </is>
      </c>
      <c r="H59" t="n">
        <v>2025</v>
      </c>
      <c r="J59">
        <f>_xlfn.XLOOKUP(표8[[#This Row],[location]],Location[location],Location[lat])</f>
        <v/>
      </c>
      <c r="K59">
        <f>_xlfn.XLOOKUP(표8[[#This Row],[location]],Location[location],Location[lon])</f>
        <v/>
      </c>
    </row>
    <row r="60">
      <c r="A60" s="10" t="inlineStr">
        <is>
          <t>M020</t>
        </is>
      </c>
      <c r="B60" s="10" t="inlineStr">
        <is>
          <t>S047</t>
        </is>
      </c>
      <c r="C60" s="10">
        <f>_xlfn.XLOOKUP(표8[[#This Row],[supplier_id]],표7[supplier_id],표7[supplier_name])</f>
        <v/>
      </c>
      <c r="D60" s="175" t="n">
        <v>1064</v>
      </c>
      <c r="E60" s="177" t="inlineStr">
        <is>
          <t>KTA</t>
        </is>
      </c>
      <c r="F60" s="177" t="inlineStr">
        <is>
          <t>대산</t>
        </is>
      </c>
      <c r="G60" t="inlineStr">
        <is>
          <t>화학편람</t>
        </is>
      </c>
      <c r="H60" t="n">
        <v>2025</v>
      </c>
      <c r="J60">
        <f>_xlfn.XLOOKUP(표8[[#This Row],[location]],Location[location],Location[lat])</f>
        <v/>
      </c>
      <c r="K60">
        <f>_xlfn.XLOOKUP(표8[[#This Row],[location]],Location[location],Location[lon])</f>
        <v/>
      </c>
    </row>
    <row r="61">
      <c r="A61" s="10" t="inlineStr">
        <is>
          <t>M020</t>
        </is>
      </c>
      <c r="B61" s="10" t="inlineStr">
        <is>
          <t>S041</t>
        </is>
      </c>
      <c r="C61" s="10">
        <f>_xlfn.XLOOKUP(표8[[#This Row],[supplier_id]],표7[supplier_id],표7[supplier_name])</f>
        <v/>
      </c>
      <c r="D61" s="175" t="n">
        <v>680</v>
      </c>
      <c r="E61" s="177" t="inlineStr">
        <is>
          <t>KTA</t>
        </is>
      </c>
      <c r="F61" s="177" t="inlineStr">
        <is>
          <t>대산</t>
        </is>
      </c>
      <c r="G61" t="inlineStr">
        <is>
          <t>화학편람</t>
        </is>
      </c>
      <c r="H61" t="n">
        <v>2025</v>
      </c>
      <c r="J61">
        <f>_xlfn.XLOOKUP(표8[[#This Row],[location]],Location[location],Location[lat])</f>
        <v/>
      </c>
      <c r="K61">
        <f>_xlfn.XLOOKUP(표8[[#This Row],[location]],Location[location],Location[lon])</f>
        <v/>
      </c>
    </row>
    <row r="62">
      <c r="A62" s="10" t="inlineStr">
        <is>
          <t>M020</t>
        </is>
      </c>
      <c r="B62" s="10" t="inlineStr">
        <is>
          <t>S005</t>
        </is>
      </c>
      <c r="C62" s="10">
        <f>_xlfn.XLOOKUP(표8[[#This Row],[supplier_id]],표7[supplier_id],표7[supplier_name])</f>
        <v/>
      </c>
      <c r="D62" s="175" t="n">
        <v>550</v>
      </c>
      <c r="E62" s="177" t="inlineStr">
        <is>
          <t>KTA</t>
        </is>
      </c>
      <c r="F62" s="177" t="inlineStr">
        <is>
          <t>대산</t>
        </is>
      </c>
      <c r="G62" t="inlineStr">
        <is>
          <t>화학편람</t>
        </is>
      </c>
      <c r="H62" t="n">
        <v>2025</v>
      </c>
      <c r="J62">
        <f>_xlfn.XLOOKUP(표8[[#This Row],[location]],Location[location],Location[lat])</f>
        <v/>
      </c>
      <c r="K62">
        <f>_xlfn.XLOOKUP(표8[[#This Row],[location]],Location[location],Location[lon])</f>
        <v/>
      </c>
    </row>
    <row r="63">
      <c r="A63" s="10" t="inlineStr">
        <is>
          <t>M020</t>
        </is>
      </c>
      <c r="B63" s="10" t="inlineStr">
        <is>
          <t>S048</t>
        </is>
      </c>
      <c r="C63" s="10">
        <f>_xlfn.XLOOKUP(표8[[#This Row],[supplier_id]],표7[supplier_id],표7[supplier_name])</f>
        <v/>
      </c>
      <c r="D63" s="175" t="n">
        <v>451</v>
      </c>
      <c r="E63" s="177" t="inlineStr">
        <is>
          <t>KTA</t>
        </is>
      </c>
      <c r="F63" s="177" t="inlineStr">
        <is>
          <t>대산</t>
        </is>
      </c>
      <c r="G63" t="inlineStr">
        <is>
          <t>화학편람</t>
        </is>
      </c>
      <c r="H63" t="n">
        <v>2025</v>
      </c>
      <c r="J63">
        <f>_xlfn.XLOOKUP(표8[[#This Row],[location]],Location[location],Location[lat])</f>
        <v/>
      </c>
      <c r="K63">
        <f>_xlfn.XLOOKUP(표8[[#This Row],[location]],Location[location],Location[lon])</f>
        <v/>
      </c>
    </row>
    <row r="64">
      <c r="A64" s="10" t="inlineStr">
        <is>
          <t>M020</t>
        </is>
      </c>
      <c r="B64" s="10" t="inlineStr">
        <is>
          <t>S049</t>
        </is>
      </c>
      <c r="C64" s="10">
        <f>_xlfn.XLOOKUP(표8[[#This Row],[supplier_id]],표7[supplier_id],표7[supplier_name])</f>
        <v/>
      </c>
      <c r="D64" s="175" t="n">
        <v>420</v>
      </c>
      <c r="E64" s="177" t="inlineStr">
        <is>
          <t>KTA</t>
        </is>
      </c>
      <c r="F64" s="177" t="inlineStr">
        <is>
          <t>대산</t>
        </is>
      </c>
      <c r="G64" t="inlineStr">
        <is>
          <t>화학편람</t>
        </is>
      </c>
      <c r="H64" t="n">
        <v>2025</v>
      </c>
      <c r="J64">
        <f>_xlfn.XLOOKUP(표8[[#This Row],[location]],Location[location],Location[lat])</f>
        <v/>
      </c>
      <c r="K64">
        <f>_xlfn.XLOOKUP(표8[[#This Row],[location]],Location[location],Location[lon])</f>
        <v/>
      </c>
    </row>
    <row r="65">
      <c r="A65" s="10" t="inlineStr">
        <is>
          <t>M020</t>
        </is>
      </c>
      <c r="B65" s="10" t="inlineStr">
        <is>
          <t>S041</t>
        </is>
      </c>
      <c r="C65" s="10">
        <f>_xlfn.XLOOKUP(표8[[#This Row],[supplier_id]],표7[supplier_id],표7[supplier_name])</f>
        <v/>
      </c>
      <c r="D65" s="175" t="n">
        <v>1300</v>
      </c>
      <c r="E65" s="177" t="inlineStr">
        <is>
          <t>KTA</t>
        </is>
      </c>
      <c r="F65" s="177" t="inlineStr">
        <is>
          <t>여수</t>
        </is>
      </c>
      <c r="G65" t="inlineStr">
        <is>
          <t>화학편람</t>
        </is>
      </c>
      <c r="H65" t="n">
        <v>2025</v>
      </c>
      <c r="J65">
        <f>_xlfn.XLOOKUP(표8[[#This Row],[location]],Location[location],Location[lat])</f>
        <v/>
      </c>
      <c r="K65">
        <f>_xlfn.XLOOKUP(표8[[#This Row],[location]],Location[location],Location[lon])</f>
        <v/>
      </c>
    </row>
    <row r="66">
      <c r="A66" s="10" t="inlineStr">
        <is>
          <t>M020</t>
        </is>
      </c>
      <c r="B66" s="10" t="inlineStr">
        <is>
          <t>S042</t>
        </is>
      </c>
      <c r="C66" s="10">
        <f>_xlfn.XLOOKUP(표8[[#This Row],[supplier_id]],표7[supplier_id],표7[supplier_name])</f>
        <v/>
      </c>
      <c r="D66" s="175" t="n">
        <v>1289</v>
      </c>
      <c r="E66" s="177" t="inlineStr">
        <is>
          <t>KTA</t>
        </is>
      </c>
      <c r="F66" s="177" t="inlineStr">
        <is>
          <t>여수</t>
        </is>
      </c>
      <c r="G66" t="inlineStr">
        <is>
          <t>화학편람</t>
        </is>
      </c>
      <c r="H66" t="n">
        <v>2025</v>
      </c>
      <c r="J66">
        <f>_xlfn.XLOOKUP(표8[[#This Row],[location]],Location[location],Location[lat])</f>
        <v/>
      </c>
      <c r="K66">
        <f>_xlfn.XLOOKUP(표8[[#This Row],[location]],Location[location],Location[lon])</f>
        <v/>
      </c>
    </row>
    <row r="67">
      <c r="A67" s="10" t="inlineStr">
        <is>
          <t>M020</t>
        </is>
      </c>
      <c r="B67" s="10" t="inlineStr">
        <is>
          <t>S043</t>
        </is>
      </c>
      <c r="C67" s="10">
        <f>_xlfn.XLOOKUP(표8[[#This Row],[supplier_id]],표7[supplier_id],표7[supplier_name])</f>
        <v/>
      </c>
      <c r="D67" s="175" t="n">
        <v>970</v>
      </c>
      <c r="E67" s="177" t="inlineStr">
        <is>
          <t>KTA</t>
        </is>
      </c>
      <c r="F67" s="177" t="inlineStr">
        <is>
          <t>여수</t>
        </is>
      </c>
      <c r="G67" t="inlineStr">
        <is>
          <t>화학편람</t>
        </is>
      </c>
      <c r="H67" t="n">
        <v>2025</v>
      </c>
      <c r="J67">
        <f>_xlfn.XLOOKUP(표8[[#This Row],[location]],Location[location],Location[lat])</f>
        <v/>
      </c>
      <c r="K67">
        <f>_xlfn.XLOOKUP(표8[[#This Row],[location]],Location[location],Location[lon])</f>
        <v/>
      </c>
    </row>
    <row r="68">
      <c r="A68" s="10" t="inlineStr">
        <is>
          <t>M020</t>
        </is>
      </c>
      <c r="B68" s="10" t="inlineStr">
        <is>
          <t>S005</t>
        </is>
      </c>
      <c r="C68" s="10">
        <f>_xlfn.XLOOKUP(표8[[#This Row],[supplier_id]],표7[supplier_id],표7[supplier_name])</f>
        <v/>
      </c>
      <c r="D68" s="175" t="n">
        <v>641</v>
      </c>
      <c r="E68" s="177" t="inlineStr">
        <is>
          <t>KTA</t>
        </is>
      </c>
      <c r="F68" s="177" t="inlineStr">
        <is>
          <t>여수</t>
        </is>
      </c>
      <c r="G68" t="inlineStr">
        <is>
          <t>화학편람</t>
        </is>
      </c>
      <c r="H68" t="n">
        <v>2025</v>
      </c>
      <c r="J68">
        <f>_xlfn.XLOOKUP(표8[[#This Row],[location]],Location[location],Location[lat])</f>
        <v/>
      </c>
      <c r="K68">
        <f>_xlfn.XLOOKUP(표8[[#This Row],[location]],Location[location],Location[lon])</f>
        <v/>
      </c>
    </row>
    <row r="69">
      <c r="A69" t="inlineStr">
        <is>
          <t>M020</t>
        </is>
      </c>
      <c r="B69" s="177" t="inlineStr">
        <is>
          <t>S008</t>
        </is>
      </c>
      <c r="C69" s="177">
        <f>_xlfn.XLOOKUP(표8[[#This Row],[supplier_id]],표7[supplier_id],표7[supplier_name])</f>
        <v/>
      </c>
      <c r="D69" s="175" t="n">
        <v>840</v>
      </c>
      <c r="E69" s="177" t="inlineStr">
        <is>
          <t>KTA</t>
        </is>
      </c>
      <c r="F69" s="177" t="inlineStr">
        <is>
          <t>울산</t>
        </is>
      </c>
      <c r="G69" t="inlineStr">
        <is>
          <t>화학편람</t>
        </is>
      </c>
      <c r="H69" t="n">
        <v>2025</v>
      </c>
      <c r="J69">
        <f>_xlfn.XLOOKUP(표8[[#This Row],[location]],Location[location],Location[lat])</f>
        <v/>
      </c>
      <c r="K69">
        <f>_xlfn.XLOOKUP(표8[[#This Row],[location]],Location[location],Location[lon])</f>
        <v/>
      </c>
    </row>
    <row r="70">
      <c r="A70" t="inlineStr">
        <is>
          <t>M020</t>
        </is>
      </c>
      <c r="B70" t="inlineStr">
        <is>
          <t>S010</t>
        </is>
      </c>
      <c r="C70" s="177">
        <f>_xlfn.XLOOKUP(표8[[#This Row],[supplier_id]],표7[supplier_id],표7[supplier_name])</f>
        <v/>
      </c>
      <c r="D70" s="175" t="n">
        <v>620</v>
      </c>
      <c r="E70" s="177" t="inlineStr">
        <is>
          <t>KTA</t>
        </is>
      </c>
      <c r="F70" s="177" t="inlineStr">
        <is>
          <t>울산</t>
        </is>
      </c>
      <c r="G70" t="inlineStr">
        <is>
          <t>화학편람</t>
        </is>
      </c>
      <c r="H70" t="n">
        <v>2025</v>
      </c>
      <c r="J70">
        <f>_xlfn.XLOOKUP(표8[[#This Row],[location]],Location[location],Location[lat])</f>
        <v/>
      </c>
      <c r="K70">
        <f>_xlfn.XLOOKUP(표8[[#This Row],[location]],Location[location],Location[lon])</f>
        <v/>
      </c>
    </row>
    <row r="71">
      <c r="A71" t="inlineStr">
        <is>
          <t>M020</t>
        </is>
      </c>
      <c r="B71" t="inlineStr">
        <is>
          <t>S009</t>
        </is>
      </c>
      <c r="C71" s="177">
        <f>_xlfn.XLOOKUP(표8[[#This Row],[supplier_id]],표7[supplier_id],표7[supplier_name])</f>
        <v/>
      </c>
      <c r="D71" s="175" t="n">
        <v>600</v>
      </c>
      <c r="E71" s="177" t="inlineStr">
        <is>
          <t>KTA</t>
        </is>
      </c>
      <c r="F71" s="177" t="inlineStr">
        <is>
          <t>울산</t>
        </is>
      </c>
      <c r="G71" t="inlineStr">
        <is>
          <t>화학편람</t>
        </is>
      </c>
      <c r="H71" t="n">
        <v>2025</v>
      </c>
      <c r="J71">
        <f>_xlfn.XLOOKUP(표8[[#This Row],[location]],Location[location],Location[lat])</f>
        <v/>
      </c>
      <c r="K71">
        <f>_xlfn.XLOOKUP(표8[[#This Row],[location]],Location[location],Location[lon])</f>
        <v/>
      </c>
    </row>
    <row r="72">
      <c r="A72" t="inlineStr">
        <is>
          <t>M020</t>
        </is>
      </c>
      <c r="B72" t="inlineStr">
        <is>
          <t>S002</t>
        </is>
      </c>
      <c r="C72" s="177">
        <f>_xlfn.XLOOKUP(표8[[#This Row],[supplier_id]],표7[supplier_id],표7[supplier_name])</f>
        <v/>
      </c>
      <c r="D72" s="175" t="n">
        <v>560</v>
      </c>
      <c r="E72" s="177" t="inlineStr">
        <is>
          <t>KTA</t>
        </is>
      </c>
      <c r="F72" s="177" t="inlineStr">
        <is>
          <t>울산</t>
        </is>
      </c>
      <c r="G72" t="inlineStr">
        <is>
          <t>화학편람</t>
        </is>
      </c>
      <c r="H72" t="n">
        <v>2025</v>
      </c>
      <c r="J72">
        <f>_xlfn.XLOOKUP(표8[[#This Row],[location]],Location[location],Location[lat])</f>
        <v/>
      </c>
      <c r="K72">
        <f>_xlfn.XLOOKUP(표8[[#This Row],[location]],Location[location],Location[lon])</f>
        <v/>
      </c>
    </row>
    <row r="73">
      <c r="A73" t="inlineStr">
        <is>
          <t>M020</t>
        </is>
      </c>
      <c r="B73" t="inlineStr">
        <is>
          <t>S031</t>
        </is>
      </c>
      <c r="C73">
        <f>_xlfn.XLOOKUP(표8[[#This Row],[supplier_id]],표7[supplier_id],표7[supplier_name])</f>
        <v/>
      </c>
      <c r="D73" s="181" t="n">
        <v>500</v>
      </c>
      <c r="E73" s="177" t="inlineStr">
        <is>
          <t>KTA</t>
        </is>
      </c>
      <c r="F73" s="177" t="inlineStr">
        <is>
          <t>울산</t>
        </is>
      </c>
      <c r="G73" t="inlineStr">
        <is>
          <t>화학편람</t>
        </is>
      </c>
      <c r="H73" t="n">
        <v>2025</v>
      </c>
      <c r="J73">
        <f>_xlfn.XLOOKUP(표8[[#This Row],[location]],Location[location],Location[lat])</f>
        <v/>
      </c>
      <c r="K73">
        <f>_xlfn.XLOOKUP(표8[[#This Row],[location]],Location[location],Location[lon])</f>
        <v/>
      </c>
    </row>
    <row r="74">
      <c r="A74" t="inlineStr">
        <is>
          <t>M020</t>
        </is>
      </c>
      <c r="B74" t="inlineStr">
        <is>
          <t>S011</t>
        </is>
      </c>
      <c r="C74">
        <f>_xlfn.XLOOKUP(표8[[#This Row],[supplier_id]],표7[supplier_id],표7[supplier_name])</f>
        <v/>
      </c>
      <c r="D74" s="181" t="n">
        <v>380</v>
      </c>
      <c r="E74" s="177" t="inlineStr">
        <is>
          <t>KTA</t>
        </is>
      </c>
      <c r="F74" s="177" t="inlineStr">
        <is>
          <t>울산</t>
        </is>
      </c>
      <c r="G74" t="inlineStr">
        <is>
          <t>화학편람</t>
        </is>
      </c>
      <c r="H74" t="n">
        <v>2025</v>
      </c>
      <c r="J74">
        <f>_xlfn.XLOOKUP(표8[[#This Row],[location]],Location[location],Location[lat])</f>
        <v/>
      </c>
      <c r="K74">
        <f>_xlfn.XLOOKUP(표8[[#This Row],[location]],Location[location],Location[lon])</f>
        <v/>
      </c>
    </row>
    <row r="75">
      <c r="A75" t="inlineStr">
        <is>
          <t>M020</t>
        </is>
      </c>
      <c r="B75" t="inlineStr">
        <is>
          <t>S024</t>
        </is>
      </c>
      <c r="C75">
        <f>_xlfn.XLOOKUP(표8[[#This Row],[supplier_id]],표7[supplier_id],표7[supplier_name])</f>
        <v/>
      </c>
      <c r="D75" s="181" t="n">
        <v>300</v>
      </c>
      <c r="E75" s="177" t="inlineStr">
        <is>
          <t>KTA</t>
        </is>
      </c>
      <c r="F75" s="177" t="inlineStr">
        <is>
          <t>울산</t>
        </is>
      </c>
      <c r="G75" t="inlineStr">
        <is>
          <t>화학편람</t>
        </is>
      </c>
      <c r="H75" t="n">
        <v>2025</v>
      </c>
      <c r="J75">
        <f>_xlfn.XLOOKUP(표8[[#This Row],[location]],Location[location],Location[lat])</f>
        <v/>
      </c>
      <c r="K75">
        <f>_xlfn.XLOOKUP(표8[[#This Row],[location]],Location[location],Location[lon])</f>
        <v/>
      </c>
    </row>
    <row r="76">
      <c r="A76" s="180" t="inlineStr">
        <is>
          <t>M021</t>
        </is>
      </c>
      <c r="B76" t="inlineStr">
        <is>
          <t>S003</t>
        </is>
      </c>
      <c r="C76">
        <f>_xlfn.XLOOKUP(표8[[#This Row],[supplier_id]],표7[supplier_id],표7[supplier_name])</f>
        <v/>
      </c>
      <c r="D76" s="181" t="n">
        <v>602</v>
      </c>
      <c r="E76" s="177" t="inlineStr">
        <is>
          <t>KTA</t>
        </is>
      </c>
      <c r="F76" s="177" t="inlineStr">
        <is>
          <t>울산</t>
        </is>
      </c>
      <c r="G76" t="inlineStr">
        <is>
          <t>화학편람</t>
        </is>
      </c>
      <c r="H76" t="n">
        <v>2025</v>
      </c>
      <c r="J76">
        <f>_xlfn.XLOOKUP(표8[[#This Row],[location]],Location[location],Location[lat])</f>
        <v/>
      </c>
      <c r="K76">
        <f>_xlfn.XLOOKUP(표8[[#This Row],[location]],Location[location],Location[lon])</f>
        <v/>
      </c>
    </row>
    <row r="77">
      <c r="A77" s="180" t="inlineStr">
        <is>
          <t>M021</t>
        </is>
      </c>
      <c r="B77" t="inlineStr">
        <is>
          <t>S024</t>
        </is>
      </c>
      <c r="C77">
        <f>_xlfn.XLOOKUP(표8[[#This Row],[supplier_id]],표7[supplier_id],표7[supplier_name])</f>
        <v/>
      </c>
      <c r="D77" s="181" t="n">
        <v>290</v>
      </c>
      <c r="E77" s="177" t="inlineStr">
        <is>
          <t>KTA</t>
        </is>
      </c>
      <c r="F77" s="177" t="inlineStr">
        <is>
          <t>울산</t>
        </is>
      </c>
      <c r="G77" t="inlineStr">
        <is>
          <t>화학편람</t>
        </is>
      </c>
      <c r="H77" t="n">
        <v>2025</v>
      </c>
      <c r="J77">
        <f>_xlfn.XLOOKUP(표8[[#This Row],[location]],Location[location],Location[lat])</f>
        <v/>
      </c>
      <c r="K77">
        <f>_xlfn.XLOOKUP(표8[[#This Row],[location]],Location[location],Location[lon])</f>
        <v/>
      </c>
    </row>
    <row r="78">
      <c r="A78" s="180" t="inlineStr">
        <is>
          <t>M022</t>
        </is>
      </c>
      <c r="B78" s="180" t="inlineStr">
        <is>
          <t>S041</t>
        </is>
      </c>
      <c r="C78" s="10">
        <f>_xlfn.XLOOKUP(표8[[#This Row],[supplier_id]],표7[supplier_id],표7[supplier_name])</f>
        <v/>
      </c>
      <c r="D78" s="175" t="n">
        <v>1030</v>
      </c>
      <c r="E78" t="inlineStr">
        <is>
          <t>KTA</t>
        </is>
      </c>
      <c r="F78" s="177" t="inlineStr">
        <is>
          <t>여수</t>
        </is>
      </c>
      <c r="G78" t="inlineStr">
        <is>
          <t>화학편람</t>
        </is>
      </c>
      <c r="H78" t="n">
        <v>2025</v>
      </c>
      <c r="J78">
        <f>_xlfn.XLOOKUP(표8[[#This Row],[location]],Location[location],Location[lat])</f>
        <v/>
      </c>
      <c r="K78">
        <f>_xlfn.XLOOKUP(표8[[#This Row],[location]],Location[location],Location[lon])</f>
        <v/>
      </c>
    </row>
    <row r="79">
      <c r="A79" s="180" t="inlineStr">
        <is>
          <t>M022</t>
        </is>
      </c>
      <c r="B79" s="180" t="inlineStr">
        <is>
          <t>S005</t>
        </is>
      </c>
      <c r="C79" s="10">
        <f>_xlfn.XLOOKUP(표8[[#This Row],[supplier_id]],표7[supplier_id],표7[supplier_name])</f>
        <v/>
      </c>
      <c r="D79" s="175" t="n">
        <v>757</v>
      </c>
      <c r="E79" t="inlineStr">
        <is>
          <t>KTA</t>
        </is>
      </c>
      <c r="F79" s="177" t="inlineStr">
        <is>
          <t>여수</t>
        </is>
      </c>
      <c r="G79" t="inlineStr">
        <is>
          <t>화학편람</t>
        </is>
      </c>
      <c r="H79" t="n">
        <v>2025</v>
      </c>
      <c r="J79">
        <f>_xlfn.XLOOKUP(표8[[#This Row],[location]],Location[location],Location[lat])</f>
        <v/>
      </c>
      <c r="K79">
        <f>_xlfn.XLOOKUP(표8[[#This Row],[location]],Location[location],Location[lon])</f>
        <v/>
      </c>
    </row>
    <row r="80">
      <c r="A80" t="inlineStr">
        <is>
          <t>M022</t>
        </is>
      </c>
      <c r="B80" t="inlineStr">
        <is>
          <t>S001</t>
        </is>
      </c>
      <c r="C80">
        <f>_xlfn.XLOOKUP(표8[[#This Row],[supplier_id]],표7[supplier_id],표7[supplier_name])</f>
        <v/>
      </c>
      <c r="D80" s="181" t="n">
        <v>290</v>
      </c>
      <c r="E80" t="inlineStr">
        <is>
          <t>KTA</t>
        </is>
      </c>
      <c r="F80" s="177" t="inlineStr">
        <is>
          <t>울산</t>
        </is>
      </c>
      <c r="G80" t="inlineStr">
        <is>
          <t>화학편람</t>
        </is>
      </c>
      <c r="H80" t="n">
        <v>2025</v>
      </c>
      <c r="J80">
        <f>_xlfn.XLOOKUP(표8[[#This Row],[location]],Location[location],Location[lat])</f>
        <v/>
      </c>
      <c r="K80">
        <f>_xlfn.XLOOKUP(표8[[#This Row],[location]],Location[location],Location[lon])</f>
        <v/>
      </c>
    </row>
    <row r="81">
      <c r="A81" t="inlineStr">
        <is>
          <t>M022</t>
        </is>
      </c>
      <c r="B81" t="inlineStr">
        <is>
          <t>S027</t>
        </is>
      </c>
      <c r="C81">
        <f>_xlfn.XLOOKUP(표8[[#This Row],[supplier_id]],표7[supplier_id],표7[supplier_name])</f>
        <v/>
      </c>
      <c r="D81" s="181" t="n">
        <v>276</v>
      </c>
      <c r="E81" t="inlineStr">
        <is>
          <t>KTA</t>
        </is>
      </c>
      <c r="F81" s="177" t="inlineStr">
        <is>
          <t>울산</t>
        </is>
      </c>
      <c r="G81" t="inlineStr">
        <is>
          <t>화학편람</t>
        </is>
      </c>
      <c r="H81" t="n">
        <v>2025</v>
      </c>
      <c r="J81">
        <f>_xlfn.XLOOKUP(표8[[#This Row],[location]],Location[location],Location[lat])</f>
        <v/>
      </c>
      <c r="K81">
        <f>_xlfn.XLOOKUP(표8[[#This Row],[location]],Location[location],Location[lon])</f>
        <v/>
      </c>
    </row>
    <row r="82">
      <c r="A82" t="inlineStr">
        <is>
          <t>M023</t>
        </is>
      </c>
      <c r="B82" t="inlineStr">
        <is>
          <t>S041</t>
        </is>
      </c>
      <c r="C82" s="180">
        <f>_xlfn.XLOOKUP(표8[[#This Row],[supplier_id]],표7[supplier_id],표7[supplier_name])</f>
        <v/>
      </c>
      <c r="D82" s="181" t="n">
        <v>70</v>
      </c>
      <c r="E82" t="inlineStr">
        <is>
          <t>KTA</t>
        </is>
      </c>
      <c r="F82" s="177" t="inlineStr">
        <is>
          <t>여수</t>
        </is>
      </c>
      <c r="G82" t="inlineStr">
        <is>
          <t>S&amp;P CEH</t>
        </is>
      </c>
      <c r="H82" t="n">
        <v>2022</v>
      </c>
      <c r="J82">
        <f>_xlfn.XLOOKUP(표8[[#This Row],[location]],Location[location],Location[lat])</f>
        <v/>
      </c>
      <c r="K82">
        <f>_xlfn.XLOOKUP(표8[[#This Row],[location]],Location[location],Location[lon])</f>
        <v/>
      </c>
    </row>
    <row r="83">
      <c r="A83" s="180" t="inlineStr">
        <is>
          <t>M023</t>
        </is>
      </c>
      <c r="B83" t="inlineStr">
        <is>
          <t>S005</t>
        </is>
      </c>
      <c r="C83" s="180">
        <f>_xlfn.XLOOKUP(표8[[#This Row],[supplier_id]],표7[supplier_id],표7[supplier_name])</f>
        <v/>
      </c>
      <c r="D83" s="181" t="n">
        <v>40</v>
      </c>
      <c r="E83" t="inlineStr">
        <is>
          <t>KTA</t>
        </is>
      </c>
      <c r="F83" s="177" t="inlineStr">
        <is>
          <t>여수</t>
        </is>
      </c>
      <c r="G83" t="inlineStr">
        <is>
          <t>S&amp;P CEH</t>
        </is>
      </c>
      <c r="H83" t="n">
        <v>2022</v>
      </c>
      <c r="J83">
        <f>_xlfn.XLOOKUP(표8[[#This Row],[location]],Location[location],Location[lat])</f>
        <v/>
      </c>
      <c r="K83">
        <f>_xlfn.XLOOKUP(표8[[#This Row],[location]],Location[location],Location[lon])</f>
        <v/>
      </c>
    </row>
    <row r="84">
      <c r="A84" t="inlineStr">
        <is>
          <t>M023</t>
        </is>
      </c>
      <c r="B84" t="inlineStr">
        <is>
          <t>S001</t>
        </is>
      </c>
      <c r="C84" s="180">
        <f>_xlfn.XLOOKUP(표8[[#This Row],[supplier_id]],표7[supplier_id],표7[supplier_name])</f>
        <v/>
      </c>
      <c r="D84" s="181" t="n">
        <v>50</v>
      </c>
      <c r="E84" t="inlineStr">
        <is>
          <t>KTA</t>
        </is>
      </c>
      <c r="F84" s="177" t="inlineStr">
        <is>
          <t>울산</t>
        </is>
      </c>
      <c r="G84" t="inlineStr">
        <is>
          <t>S&amp;P CEH</t>
        </is>
      </c>
      <c r="H84" t="n">
        <v>2022</v>
      </c>
      <c r="J84">
        <f>_xlfn.XLOOKUP(표8[[#This Row],[location]],Location[location],Location[lat])</f>
        <v/>
      </c>
      <c r="K84">
        <f>_xlfn.XLOOKUP(표8[[#This Row],[location]],Location[location],Location[lon])</f>
        <v/>
      </c>
    </row>
    <row r="85">
      <c r="A85" s="180" t="inlineStr">
        <is>
          <t>M024</t>
        </is>
      </c>
      <c r="B85" s="180" t="inlineStr">
        <is>
          <t>S041</t>
        </is>
      </c>
      <c r="C85" s="180">
        <f>_xlfn.XLOOKUP(표8[[#This Row],[supplier_id]],표7[supplier_id],표7[supplier_name])</f>
        <v/>
      </c>
      <c r="D85" s="181" t="n">
        <v>65</v>
      </c>
      <c r="E85" t="inlineStr">
        <is>
          <t>KTA</t>
        </is>
      </c>
      <c r="F85" s="177" t="inlineStr">
        <is>
          <t>대산</t>
        </is>
      </c>
      <c r="G85" t="inlineStr">
        <is>
          <t>화학편람</t>
        </is>
      </c>
      <c r="H85" t="n">
        <v>2025</v>
      </c>
      <c r="J85">
        <f>_xlfn.XLOOKUP(표8[[#This Row],[location]],Location[location],Location[lat])</f>
        <v/>
      </c>
      <c r="K85">
        <f>_xlfn.XLOOKUP(표8[[#This Row],[location]],Location[location],Location[lon])</f>
        <v/>
      </c>
    </row>
    <row r="86">
      <c r="A86" t="inlineStr">
        <is>
          <t>M024</t>
        </is>
      </c>
      <c r="B86" t="inlineStr">
        <is>
          <t>S001</t>
        </is>
      </c>
      <c r="C86">
        <f>_xlfn.XLOOKUP(표8[[#This Row],[supplier_id]],표7[supplier_id],표7[supplier_name])</f>
        <v/>
      </c>
      <c r="D86" s="181" t="n">
        <v>92</v>
      </c>
      <c r="E86" t="inlineStr">
        <is>
          <t>KTA</t>
        </is>
      </c>
      <c r="F86" s="177" t="inlineStr">
        <is>
          <t>울산</t>
        </is>
      </c>
      <c r="G86" t="inlineStr">
        <is>
          <t>화학편람</t>
        </is>
      </c>
      <c r="H86" t="n">
        <v>2025</v>
      </c>
      <c r="J86">
        <f>_xlfn.XLOOKUP(표8[[#This Row],[location]],Location[location],Location[lat])</f>
        <v/>
      </c>
      <c r="K86">
        <f>_xlfn.XLOOKUP(표8[[#This Row],[location]],Location[location],Location[lon])</f>
        <v/>
      </c>
    </row>
    <row r="87">
      <c r="A87" s="180" t="inlineStr">
        <is>
          <t>M025</t>
        </is>
      </c>
      <c r="B87" s="180" t="inlineStr">
        <is>
          <t>S047</t>
        </is>
      </c>
      <c r="C87" s="180">
        <f>_xlfn.XLOOKUP(표8[[#This Row],[supplier_id]],표7[supplier_id],표7[supplier_name])</f>
        <v/>
      </c>
      <c r="D87" s="181" t="n">
        <v>1117</v>
      </c>
      <c r="E87" t="inlineStr">
        <is>
          <t>KTA</t>
        </is>
      </c>
      <c r="F87" s="177" t="inlineStr">
        <is>
          <t>대산</t>
        </is>
      </c>
      <c r="G87" t="inlineStr">
        <is>
          <t>화학편람</t>
        </is>
      </c>
      <c r="H87" t="n">
        <v>2025</v>
      </c>
      <c r="J87">
        <f>_xlfn.XLOOKUP(표8[[#This Row],[location]],Location[location],Location[lat])</f>
        <v/>
      </c>
      <c r="K87">
        <f>_xlfn.XLOOKUP(표8[[#This Row],[location]],Location[location],Location[lon])</f>
        <v/>
      </c>
    </row>
    <row r="88">
      <c r="A88" s="180" t="inlineStr">
        <is>
          <t>M025</t>
        </is>
      </c>
      <c r="B88" s="180" t="inlineStr">
        <is>
          <t>S048</t>
        </is>
      </c>
      <c r="C88" s="180">
        <f>_xlfn.XLOOKUP(표8[[#This Row],[supplier_id]],표7[supplier_id],표7[supplier_name])</f>
        <v/>
      </c>
      <c r="D88" s="181" t="n">
        <v>500</v>
      </c>
      <c r="E88" t="inlineStr">
        <is>
          <t>KTA</t>
        </is>
      </c>
      <c r="F88" s="177" t="inlineStr">
        <is>
          <t>대산</t>
        </is>
      </c>
      <c r="G88" t="inlineStr">
        <is>
          <t>화학편람</t>
        </is>
      </c>
      <c r="H88" t="n">
        <v>2025</v>
      </c>
      <c r="J88">
        <f>_xlfn.XLOOKUP(표8[[#This Row],[location]],Location[location],Location[lat])</f>
        <v/>
      </c>
      <c r="K88">
        <f>_xlfn.XLOOKUP(표8[[#This Row],[location]],Location[location],Location[lon])</f>
        <v/>
      </c>
    </row>
    <row r="89">
      <c r="A89" s="180" t="inlineStr">
        <is>
          <t>M025</t>
        </is>
      </c>
      <c r="B89" s="180" t="inlineStr">
        <is>
          <t>S005</t>
        </is>
      </c>
      <c r="C89" s="180">
        <f>_xlfn.XLOOKUP(표8[[#This Row],[supplier_id]],표7[supplier_id],표7[supplier_name])</f>
        <v/>
      </c>
      <c r="D89" s="181" t="n">
        <v>490</v>
      </c>
      <c r="E89" t="inlineStr">
        <is>
          <t>KTA</t>
        </is>
      </c>
      <c r="F89" s="177" t="inlineStr">
        <is>
          <t>대산</t>
        </is>
      </c>
      <c r="G89" t="inlineStr">
        <is>
          <t>화학편람</t>
        </is>
      </c>
      <c r="H89" t="n">
        <v>2025</v>
      </c>
      <c r="J89">
        <f>_xlfn.XLOOKUP(표8[[#This Row],[location]],Location[location],Location[lat])</f>
        <v/>
      </c>
      <c r="K89">
        <f>_xlfn.XLOOKUP(표8[[#This Row],[location]],Location[location],Location[lon])</f>
        <v/>
      </c>
    </row>
    <row r="90">
      <c r="A90" s="180" t="inlineStr">
        <is>
          <t>M025</t>
        </is>
      </c>
      <c r="B90" s="180" t="inlineStr">
        <is>
          <t>S041</t>
        </is>
      </c>
      <c r="C90" s="180">
        <f>_xlfn.XLOOKUP(표8[[#This Row],[supplier_id]],표7[supplier_id],표7[supplier_name])</f>
        <v/>
      </c>
      <c r="D90" s="181" t="n">
        <v>380</v>
      </c>
      <c r="E90" t="inlineStr">
        <is>
          <t>KTA</t>
        </is>
      </c>
      <c r="F90" s="177" t="inlineStr">
        <is>
          <t>대산</t>
        </is>
      </c>
      <c r="G90" t="inlineStr">
        <is>
          <t>화학편람</t>
        </is>
      </c>
      <c r="H90" t="n">
        <v>2025</v>
      </c>
      <c r="J90">
        <f>_xlfn.XLOOKUP(표8[[#This Row],[location]],Location[location],Location[lat])</f>
        <v/>
      </c>
      <c r="K90">
        <f>_xlfn.XLOOKUP(표8[[#This Row],[location]],Location[location],Location[lon])</f>
        <v/>
      </c>
    </row>
    <row r="91">
      <c r="A91" s="180" t="inlineStr">
        <is>
          <t>M025</t>
        </is>
      </c>
      <c r="B91" s="180" t="inlineStr">
        <is>
          <t>S044</t>
        </is>
      </c>
      <c r="C91" s="180">
        <f>_xlfn.XLOOKUP(표8[[#This Row],[supplier_id]],표7[supplier_id],표7[supplier_name])</f>
        <v/>
      </c>
      <c r="D91" s="181" t="n">
        <v>730</v>
      </c>
      <c r="E91" t="inlineStr">
        <is>
          <t>KTA</t>
        </is>
      </c>
      <c r="F91" s="177" t="inlineStr">
        <is>
          <t>여수</t>
        </is>
      </c>
      <c r="G91" t="inlineStr">
        <is>
          <t>화학편람</t>
        </is>
      </c>
      <c r="H91" t="n">
        <v>2025</v>
      </c>
      <c r="J91">
        <f>_xlfn.XLOOKUP(표8[[#This Row],[location]],Location[location],Location[lat])</f>
        <v/>
      </c>
      <c r="K91">
        <f>_xlfn.XLOOKUP(표8[[#This Row],[location]],Location[location],Location[lon])</f>
        <v/>
      </c>
    </row>
    <row r="92">
      <c r="A92" s="180" t="inlineStr">
        <is>
          <t>M025</t>
        </is>
      </c>
      <c r="B92" s="180" t="inlineStr">
        <is>
          <t>S005</t>
        </is>
      </c>
      <c r="C92" s="180">
        <f>_xlfn.XLOOKUP(표8[[#This Row],[supplier_id]],표7[supplier_id],표7[supplier_name])</f>
        <v/>
      </c>
      <c r="D92" s="181" t="n">
        <v>600</v>
      </c>
      <c r="E92" t="inlineStr">
        <is>
          <t>KTA</t>
        </is>
      </c>
      <c r="F92" s="177" t="inlineStr">
        <is>
          <t>여수</t>
        </is>
      </c>
      <c r="G92" t="inlineStr">
        <is>
          <t>화학편람</t>
        </is>
      </c>
      <c r="H92" t="n">
        <v>2025</v>
      </c>
      <c r="J92">
        <f>_xlfn.XLOOKUP(표8[[#This Row],[location]],Location[location],Location[lat])</f>
        <v/>
      </c>
      <c r="K92">
        <f>_xlfn.XLOOKUP(표8[[#This Row],[location]],Location[location],Location[lon])</f>
        <v/>
      </c>
    </row>
    <row r="93">
      <c r="A93" s="180" t="inlineStr">
        <is>
          <t>M025</t>
        </is>
      </c>
      <c r="B93" s="180" t="inlineStr">
        <is>
          <t>S043</t>
        </is>
      </c>
      <c r="C93" s="180">
        <f>_xlfn.XLOOKUP(표8[[#This Row],[supplier_id]],표7[supplier_id],표7[supplier_name])</f>
        <v/>
      </c>
      <c r="D93" s="181" t="n">
        <v>180</v>
      </c>
      <c r="E93" t="inlineStr">
        <is>
          <t>KTA</t>
        </is>
      </c>
      <c r="F93" s="177" t="inlineStr">
        <is>
          <t>여수</t>
        </is>
      </c>
      <c r="G93" t="inlineStr">
        <is>
          <t>화학편람</t>
        </is>
      </c>
      <c r="H93" t="n">
        <v>2025</v>
      </c>
      <c r="J93">
        <f>_xlfn.XLOOKUP(표8[[#This Row],[location]],Location[location],Location[lat])</f>
        <v/>
      </c>
      <c r="K93">
        <f>_xlfn.XLOOKUP(표8[[#This Row],[location]],Location[location],Location[lon])</f>
        <v/>
      </c>
    </row>
    <row r="94">
      <c r="A94" s="180" t="inlineStr">
        <is>
          <t>M025</t>
        </is>
      </c>
      <c r="B94" t="inlineStr">
        <is>
          <t>S031</t>
        </is>
      </c>
      <c r="C94">
        <f>_xlfn.XLOOKUP(표8[[#This Row],[supplier_id]],표7[supplier_id],표7[supplier_name])</f>
        <v/>
      </c>
      <c r="D94" s="181" t="n">
        <v>600</v>
      </c>
      <c r="E94" t="inlineStr">
        <is>
          <t>KTA</t>
        </is>
      </c>
      <c r="F94" s="177" t="inlineStr">
        <is>
          <t>울산</t>
        </is>
      </c>
      <c r="G94" t="inlineStr">
        <is>
          <t>화학편람</t>
        </is>
      </c>
      <c r="H94" t="n">
        <v>2025</v>
      </c>
      <c r="J94">
        <f>_xlfn.XLOOKUP(표8[[#This Row],[location]],Location[location],Location[lat])</f>
        <v/>
      </c>
      <c r="K94">
        <f>_xlfn.XLOOKUP(표8[[#This Row],[location]],Location[location],Location[lon])</f>
        <v/>
      </c>
    </row>
    <row r="95">
      <c r="A95" s="180" t="inlineStr">
        <is>
          <t>M025</t>
        </is>
      </c>
      <c r="B95" t="inlineStr">
        <is>
          <t>S002</t>
        </is>
      </c>
      <c r="C95">
        <f>_xlfn.XLOOKUP(표8[[#This Row],[supplier_id]],표7[supplier_id],표7[supplier_name])</f>
        <v/>
      </c>
      <c r="D95" s="181" t="n">
        <v>550</v>
      </c>
      <c r="E95" t="inlineStr">
        <is>
          <t>KTA</t>
        </is>
      </c>
      <c r="F95" s="177" t="inlineStr">
        <is>
          <t>울산</t>
        </is>
      </c>
      <c r="G95" t="inlineStr">
        <is>
          <t>화학편람</t>
        </is>
      </c>
      <c r="H95" t="n">
        <v>2025</v>
      </c>
      <c r="J95">
        <f>_xlfn.XLOOKUP(표8[[#This Row],[location]],Location[location],Location[lat])</f>
        <v/>
      </c>
      <c r="K95">
        <f>_xlfn.XLOOKUP(표8[[#This Row],[location]],Location[location],Location[lon])</f>
        <v/>
      </c>
    </row>
    <row r="96">
      <c r="A96" s="180" t="inlineStr">
        <is>
          <t>M025</t>
        </is>
      </c>
      <c r="B96" t="inlineStr">
        <is>
          <t>S011</t>
        </is>
      </c>
      <c r="C96">
        <f>_xlfn.XLOOKUP(표8[[#This Row],[supplier_id]],표7[supplier_id],표7[supplier_name])</f>
        <v/>
      </c>
      <c r="D96" s="181" t="n">
        <v>432</v>
      </c>
      <c r="E96" t="inlineStr">
        <is>
          <t>KTA</t>
        </is>
      </c>
      <c r="F96" s="177" t="inlineStr">
        <is>
          <t>울산</t>
        </is>
      </c>
      <c r="G96" t="inlineStr">
        <is>
          <t>화학편람</t>
        </is>
      </c>
      <c r="H96" t="n">
        <v>2025</v>
      </c>
      <c r="J96">
        <f>_xlfn.XLOOKUP(표8[[#This Row],[location]],Location[location],Location[lat])</f>
        <v/>
      </c>
      <c r="K96">
        <f>_xlfn.XLOOKUP(표8[[#This Row],[location]],Location[location],Location[lon])</f>
        <v/>
      </c>
    </row>
    <row r="97">
      <c r="A97" s="180" t="inlineStr">
        <is>
          <t>M025</t>
        </is>
      </c>
      <c r="B97" t="inlineStr">
        <is>
          <t>S008</t>
        </is>
      </c>
      <c r="C97">
        <f>_xlfn.XLOOKUP(표8[[#This Row],[supplier_id]],표7[supplier_id],표7[supplier_name])</f>
        <v/>
      </c>
      <c r="D97" s="181" t="n">
        <v>405</v>
      </c>
      <c r="E97" t="inlineStr">
        <is>
          <t>KTA</t>
        </is>
      </c>
      <c r="F97" s="177" t="inlineStr">
        <is>
          <t>울산</t>
        </is>
      </c>
      <c r="G97" t="inlineStr">
        <is>
          <t>화학편람</t>
        </is>
      </c>
      <c r="H97" t="n">
        <v>2025</v>
      </c>
      <c r="J97">
        <f>_xlfn.XLOOKUP(표8[[#This Row],[location]],Location[location],Location[lat])</f>
        <v/>
      </c>
      <c r="K97">
        <f>_xlfn.XLOOKUP(표8[[#This Row],[location]],Location[location],Location[lon])</f>
        <v/>
      </c>
    </row>
    <row r="98">
      <c r="A98" s="180" t="inlineStr">
        <is>
          <t>M025</t>
        </is>
      </c>
      <c r="B98" t="inlineStr">
        <is>
          <t>S018</t>
        </is>
      </c>
      <c r="C98">
        <f>_xlfn.XLOOKUP(표8[[#This Row],[supplier_id]],표7[supplier_id],표7[supplier_name])</f>
        <v/>
      </c>
      <c r="D98" s="181" t="n">
        <v>400</v>
      </c>
      <c r="E98" t="inlineStr">
        <is>
          <t>KTA</t>
        </is>
      </c>
      <c r="F98" s="177" t="inlineStr">
        <is>
          <t>울산</t>
        </is>
      </c>
      <c r="G98" t="inlineStr">
        <is>
          <t>화학편람</t>
        </is>
      </c>
      <c r="H98" t="n">
        <v>2025</v>
      </c>
      <c r="J98">
        <f>_xlfn.XLOOKUP(표8[[#This Row],[location]],Location[location],Location[lat])</f>
        <v/>
      </c>
      <c r="K98">
        <f>_xlfn.XLOOKUP(표8[[#This Row],[location]],Location[location],Location[lon])</f>
        <v/>
      </c>
    </row>
    <row r="99">
      <c r="A99" s="180" t="inlineStr">
        <is>
          <t>M026</t>
        </is>
      </c>
      <c r="B99" t="inlineStr">
        <is>
          <t>S014</t>
        </is>
      </c>
      <c r="C99">
        <f>_xlfn.XLOOKUP(표8[[#This Row],[supplier_id]],표7[supplier_id],표7[supplier_name])</f>
        <v/>
      </c>
      <c r="D99" s="181" t="n">
        <v>310</v>
      </c>
      <c r="E99" t="inlineStr">
        <is>
          <t>KTA</t>
        </is>
      </c>
      <c r="F99" s="177" t="inlineStr">
        <is>
          <t>울산</t>
        </is>
      </c>
      <c r="G99" t="inlineStr">
        <is>
          <t>화학편람</t>
        </is>
      </c>
      <c r="H99" t="n">
        <v>2025</v>
      </c>
      <c r="J99">
        <f>_xlfn.XLOOKUP(표8[[#This Row],[location]],Location[location],Location[lat])</f>
        <v/>
      </c>
      <c r="K99">
        <f>_xlfn.XLOOKUP(표8[[#This Row],[location]],Location[location],Location[lon])</f>
        <v/>
      </c>
    </row>
    <row r="100">
      <c r="A100" s="180" t="inlineStr">
        <is>
          <t>M026</t>
        </is>
      </c>
      <c r="B100" t="inlineStr">
        <is>
          <t>S008</t>
        </is>
      </c>
      <c r="C100">
        <f>_xlfn.XLOOKUP(표8[[#This Row],[supplier_id]],표7[supplier_id],표7[supplier_name])</f>
        <v/>
      </c>
      <c r="D100" s="181" t="n">
        <v>300</v>
      </c>
      <c r="E100" t="inlineStr">
        <is>
          <t>KTA</t>
        </is>
      </c>
      <c r="F100" s="177" t="inlineStr">
        <is>
          <t>울산</t>
        </is>
      </c>
      <c r="G100" t="inlineStr">
        <is>
          <t>화학편람</t>
        </is>
      </c>
      <c r="H100" t="n">
        <v>2025</v>
      </c>
      <c r="J100">
        <f>_xlfn.XLOOKUP(표8[[#This Row],[location]],Location[location],Location[lat])</f>
        <v/>
      </c>
      <c r="K100">
        <f>_xlfn.XLOOKUP(표8[[#This Row],[location]],Location[location],Location[lon])</f>
        <v/>
      </c>
    </row>
    <row r="101">
      <c r="A101" t="inlineStr">
        <is>
          <t>M027</t>
        </is>
      </c>
      <c r="B101" t="inlineStr">
        <is>
          <t>S014</t>
        </is>
      </c>
      <c r="C101">
        <f>_xlfn.XLOOKUP(표8[[#This Row],[supplier_id]],표7[supplier_id],표7[supplier_name])</f>
        <v/>
      </c>
      <c r="D101" s="181" t="n">
        <v>180</v>
      </c>
      <c r="E101" t="inlineStr">
        <is>
          <t>KTA</t>
        </is>
      </c>
      <c r="F101" s="177" t="inlineStr">
        <is>
          <t>울산</t>
        </is>
      </c>
      <c r="G101" t="inlineStr">
        <is>
          <t>화학편람</t>
        </is>
      </c>
      <c r="H101" t="n">
        <v>2025</v>
      </c>
      <c r="J101">
        <f>_xlfn.XLOOKUP(표8[[#This Row],[location]],Location[location],Location[lat])</f>
        <v/>
      </c>
      <c r="K101">
        <f>_xlfn.XLOOKUP(표8[[#This Row],[location]],Location[location],Location[lon])</f>
        <v/>
      </c>
    </row>
    <row r="102">
      <c r="A102" t="inlineStr">
        <is>
          <t>M028</t>
        </is>
      </c>
      <c r="B102" t="inlineStr">
        <is>
          <t>S021</t>
        </is>
      </c>
      <c r="C102">
        <f>_xlfn.XLOOKUP(표8[[#This Row],[supplier_id]],표7[supplier_id],표7[supplier_name])</f>
        <v/>
      </c>
      <c r="D102" s="181" t="n">
        <v>298</v>
      </c>
      <c r="E102" t="inlineStr">
        <is>
          <t>KTA</t>
        </is>
      </c>
      <c r="F102" s="177" t="inlineStr">
        <is>
          <t>울산</t>
        </is>
      </c>
      <c r="G102" t="inlineStr">
        <is>
          <t>화학편람</t>
        </is>
      </c>
      <c r="H102" t="n">
        <v>2025</v>
      </c>
      <c r="J102">
        <f>_xlfn.XLOOKUP(표8[[#This Row],[location]],Location[location],Location[lat])</f>
        <v/>
      </c>
      <c r="K102">
        <f>_xlfn.XLOOKUP(표8[[#This Row],[location]],Location[location],Location[lon])</f>
        <v/>
      </c>
    </row>
    <row r="103">
      <c r="A103" s="180" t="inlineStr">
        <is>
          <t>M028</t>
        </is>
      </c>
      <c r="B103" t="inlineStr">
        <is>
          <t>S014</t>
        </is>
      </c>
      <c r="C103">
        <f>_xlfn.XLOOKUP(표8[[#This Row],[supplier_id]],표7[supplier_id],표7[supplier_name])</f>
        <v/>
      </c>
      <c r="D103" s="181" t="n">
        <v>220</v>
      </c>
      <c r="E103" t="inlineStr">
        <is>
          <t>KTA</t>
        </is>
      </c>
      <c r="F103" s="177" t="inlineStr">
        <is>
          <t>울산</t>
        </is>
      </c>
      <c r="G103" t="inlineStr">
        <is>
          <t>화학편람</t>
        </is>
      </c>
      <c r="H103" t="n">
        <v>2025</v>
      </c>
      <c r="J103">
        <f>_xlfn.XLOOKUP(표8[[#This Row],[location]],Location[location],Location[lat])</f>
        <v/>
      </c>
      <c r="K103">
        <f>_xlfn.XLOOKUP(표8[[#This Row],[location]],Location[location],Location[lon])</f>
        <v/>
      </c>
    </row>
    <row r="104">
      <c r="A104" t="inlineStr">
        <is>
          <t>M028</t>
        </is>
      </c>
      <c r="B104" t="inlineStr">
        <is>
          <t>S001</t>
        </is>
      </c>
      <c r="C104">
        <f>_xlfn.XLOOKUP(표8[[#This Row],[supplier_id]],표7[supplier_id],표7[supplier_name])</f>
        <v/>
      </c>
      <c r="D104" s="181" t="n">
        <v>152</v>
      </c>
      <c r="E104" t="inlineStr">
        <is>
          <t>KTA</t>
        </is>
      </c>
      <c r="F104" s="177" t="inlineStr">
        <is>
          <t>울산</t>
        </is>
      </c>
      <c r="G104" t="inlineStr">
        <is>
          <t>화학편람</t>
        </is>
      </c>
      <c r="H104" t="n">
        <v>2025</v>
      </c>
      <c r="J104">
        <f>_xlfn.XLOOKUP(표8[[#This Row],[location]],Location[location],Location[lat])</f>
        <v/>
      </c>
      <c r="K104">
        <f>_xlfn.XLOOKUP(표8[[#This Row],[location]],Location[location],Location[lon])</f>
        <v/>
      </c>
    </row>
    <row r="105">
      <c r="A105" s="180" t="inlineStr">
        <is>
          <t>M028</t>
        </is>
      </c>
      <c r="B105" t="inlineStr">
        <is>
          <t>S025</t>
        </is>
      </c>
      <c r="C105">
        <f>_xlfn.XLOOKUP(표8[[#This Row],[supplier_id]],표7[supplier_id],표7[supplier_name])</f>
        <v/>
      </c>
      <c r="D105" s="181" t="n">
        <v>119</v>
      </c>
      <c r="E105" t="inlineStr">
        <is>
          <t>KTA</t>
        </is>
      </c>
      <c r="F105" s="177" t="inlineStr">
        <is>
          <t>울산</t>
        </is>
      </c>
      <c r="G105" t="inlineStr">
        <is>
          <t>화학편람</t>
        </is>
      </c>
      <c r="H105" t="n">
        <v>2025</v>
      </c>
      <c r="J105">
        <f>_xlfn.XLOOKUP(표8[[#This Row],[location]],Location[location],Location[lat])</f>
        <v/>
      </c>
      <c r="K105">
        <f>_xlfn.XLOOKUP(표8[[#This Row],[location]],Location[location],Location[lon])</f>
        <v/>
      </c>
    </row>
    <row r="106">
      <c r="A106" s="180" t="inlineStr">
        <is>
          <t>M031</t>
        </is>
      </c>
      <c r="B106" s="180" t="inlineStr">
        <is>
          <t>S041</t>
        </is>
      </c>
      <c r="C106" s="180">
        <f>_xlfn.XLOOKUP(표8[[#This Row],[supplier_id]],표7[supplier_id],표7[supplier_name])</f>
        <v/>
      </c>
      <c r="D106" s="181" t="n">
        <v>649</v>
      </c>
      <c r="E106" t="inlineStr">
        <is>
          <t>KTA</t>
        </is>
      </c>
      <c r="F106" s="177" t="inlineStr">
        <is>
          <t>여수</t>
        </is>
      </c>
      <c r="G106" t="inlineStr">
        <is>
          <t>화학편람</t>
        </is>
      </c>
      <c r="H106" t="n">
        <v>2025</v>
      </c>
      <c r="J106">
        <f>_xlfn.XLOOKUP(표8[[#This Row],[location]],Location[location],Location[lat])</f>
        <v/>
      </c>
      <c r="K106">
        <f>_xlfn.XLOOKUP(표8[[#This Row],[location]],Location[location],Location[lon])</f>
        <v/>
      </c>
    </row>
    <row r="107">
      <c r="A107" t="inlineStr">
        <is>
          <t>M033</t>
        </is>
      </c>
      <c r="B107" t="inlineStr">
        <is>
          <t>S041</t>
        </is>
      </c>
      <c r="C107" s="180">
        <f>_xlfn.XLOOKUP(표8[[#This Row],[supplier_id]],표7[supplier_id],표7[supplier_name])</f>
        <v/>
      </c>
      <c r="D107" s="181" t="n">
        <v>200</v>
      </c>
      <c r="E107" t="inlineStr">
        <is>
          <t>KTA</t>
        </is>
      </c>
      <c r="F107" s="177" t="inlineStr">
        <is>
          <t>여수</t>
        </is>
      </c>
      <c r="G107" t="inlineStr">
        <is>
          <t>S&amp;P CEH</t>
        </is>
      </c>
      <c r="H107" t="n">
        <v>2023</v>
      </c>
      <c r="J107">
        <f>_xlfn.XLOOKUP(표8[[#This Row],[location]],Location[location],Location[lat])</f>
        <v/>
      </c>
      <c r="K107">
        <f>_xlfn.XLOOKUP(표8[[#This Row],[location]],Location[location],Location[lon])</f>
        <v/>
      </c>
    </row>
    <row r="108">
      <c r="A108" t="inlineStr">
        <is>
          <t>M034</t>
        </is>
      </c>
      <c r="B108" s="180" t="inlineStr">
        <is>
          <t>S041</t>
        </is>
      </c>
      <c r="C108">
        <f>_xlfn.XLOOKUP(표8[[#This Row],[supplier_id]],표7[supplier_id],표7[supplier_name])</f>
        <v/>
      </c>
      <c r="D108" s="181" t="n">
        <v>280</v>
      </c>
      <c r="E108" t="inlineStr">
        <is>
          <t>KTA</t>
        </is>
      </c>
      <c r="F108" s="177" t="inlineStr">
        <is>
          <t>여수</t>
        </is>
      </c>
      <c r="G108" t="inlineStr">
        <is>
          <t>홈페이지</t>
        </is>
      </c>
      <c r="H108" t="n">
        <v>2025</v>
      </c>
      <c r="J108">
        <f>_xlfn.XLOOKUP(표8[[#This Row],[location]],Location[location],Location[lat])</f>
        <v/>
      </c>
      <c r="K108">
        <f>_xlfn.XLOOKUP(표8[[#This Row],[location]],Location[location],Location[lon])</f>
        <v/>
      </c>
    </row>
    <row r="109">
      <c r="A109" t="inlineStr">
        <is>
          <t>M035</t>
        </is>
      </c>
      <c r="B109" t="inlineStr">
        <is>
          <t>S041</t>
        </is>
      </c>
      <c r="C109" s="180">
        <f>_xlfn.XLOOKUP(표8[[#This Row],[supplier_id]],표7[supplier_id],표7[supplier_name])</f>
        <v/>
      </c>
      <c r="D109" s="181" t="n">
        <v>205</v>
      </c>
      <c r="E109" t="inlineStr">
        <is>
          <t>KTA</t>
        </is>
      </c>
      <c r="F109" s="177" t="inlineStr">
        <is>
          <t>나주</t>
        </is>
      </c>
      <c r="G109" t="inlineStr">
        <is>
          <t>S&amp;P CEH</t>
        </is>
      </c>
      <c r="H109" t="n">
        <v>2024</v>
      </c>
      <c r="J109">
        <f>_xlfn.XLOOKUP(표8[[#This Row],[location]],Location[location],Location[lat])</f>
        <v/>
      </c>
      <c r="K109">
        <f>_xlfn.XLOOKUP(표8[[#This Row],[location]],Location[location],Location[lon])</f>
        <v/>
      </c>
    </row>
    <row r="110">
      <c r="A110" t="inlineStr">
        <is>
          <t>M035</t>
        </is>
      </c>
      <c r="B110" s="180" t="inlineStr">
        <is>
          <t>S029</t>
        </is>
      </c>
      <c r="C110" s="180">
        <f>_xlfn.XLOOKUP(표8[[#This Row],[supplier_id]],표7[supplier_id],표7[supplier_name])</f>
        <v/>
      </c>
      <c r="D110" s="181" t="n">
        <v>210</v>
      </c>
      <c r="E110" t="inlineStr">
        <is>
          <t>KTA</t>
        </is>
      </c>
      <c r="F110" s="177" t="inlineStr">
        <is>
          <t>여수</t>
        </is>
      </c>
      <c r="G110" t="inlineStr">
        <is>
          <t>S&amp;P CEH</t>
        </is>
      </c>
      <c r="H110" t="n">
        <v>2024</v>
      </c>
      <c r="J110">
        <f>_xlfn.XLOOKUP(표8[[#This Row],[location]],Location[location],Location[lat])</f>
        <v/>
      </c>
      <c r="K110">
        <f>_xlfn.XLOOKUP(표8[[#This Row],[location]],Location[location],Location[lon])</f>
        <v/>
      </c>
    </row>
    <row r="111">
      <c r="A111" t="inlineStr">
        <is>
          <t>M035</t>
        </is>
      </c>
      <c r="B111" t="inlineStr">
        <is>
          <t>S041</t>
        </is>
      </c>
      <c r="C111" s="180">
        <f>_xlfn.XLOOKUP(표8[[#This Row],[supplier_id]],표7[supplier_id],표7[supplier_name])</f>
        <v/>
      </c>
      <c r="D111" s="181" t="n">
        <v>145</v>
      </c>
      <c r="E111" t="inlineStr">
        <is>
          <t>KTA</t>
        </is>
      </c>
      <c r="F111" s="177" t="inlineStr">
        <is>
          <t>여수</t>
        </is>
      </c>
      <c r="G111" t="inlineStr">
        <is>
          <t>S&amp;P CEH</t>
        </is>
      </c>
      <c r="H111" t="n">
        <v>2024</v>
      </c>
      <c r="J111">
        <f>_xlfn.XLOOKUP(표8[[#This Row],[location]],Location[location],Location[lat])</f>
        <v/>
      </c>
      <c r="K111">
        <f>_xlfn.XLOOKUP(표8[[#This Row],[location]],Location[location],Location[lon])</f>
        <v/>
      </c>
    </row>
    <row r="112">
      <c r="A112" s="180" t="inlineStr">
        <is>
          <t>M036</t>
        </is>
      </c>
      <c r="B112" s="180" t="inlineStr">
        <is>
          <t>S029</t>
        </is>
      </c>
      <c r="C112" s="180">
        <f>_xlfn.XLOOKUP(표8[[#This Row],[supplier_id]],표7[supplier_id],표7[supplier_name])</f>
        <v/>
      </c>
      <c r="D112" s="181" t="n">
        <v>152</v>
      </c>
      <c r="E112" t="inlineStr">
        <is>
          <t>KTA</t>
        </is>
      </c>
      <c r="F112" s="177" t="inlineStr">
        <is>
          <t>여수</t>
        </is>
      </c>
      <c r="G112" t="inlineStr">
        <is>
          <t>화학편람</t>
        </is>
      </c>
      <c r="H112" t="n">
        <v>2025</v>
      </c>
      <c r="J112">
        <f>_xlfn.XLOOKUP(표8[[#This Row],[location]],Location[location],Location[lat])</f>
        <v/>
      </c>
      <c r="K112">
        <f>_xlfn.XLOOKUP(표8[[#This Row],[location]],Location[location],Location[lon])</f>
        <v/>
      </c>
    </row>
    <row r="113">
      <c r="A113" s="180" t="inlineStr">
        <is>
          <t>M036</t>
        </is>
      </c>
      <c r="B113" s="180" t="inlineStr">
        <is>
          <t>S041</t>
        </is>
      </c>
      <c r="C113" s="180">
        <f>_xlfn.XLOOKUP(표8[[#This Row],[supplier_id]],표7[supplier_id],표7[supplier_name])</f>
        <v/>
      </c>
      <c r="D113" s="181" t="n">
        <v>125</v>
      </c>
      <c r="E113" t="inlineStr">
        <is>
          <t>KTA</t>
        </is>
      </c>
      <c r="F113" s="177" t="inlineStr">
        <is>
          <t>여수</t>
        </is>
      </c>
      <c r="G113" t="inlineStr">
        <is>
          <t>화학편람</t>
        </is>
      </c>
      <c r="H113" t="n">
        <v>2025</v>
      </c>
      <c r="J113">
        <f>_xlfn.XLOOKUP(표8[[#This Row],[location]],Location[location],Location[lat])</f>
        <v/>
      </c>
      <c r="K113">
        <f>_xlfn.XLOOKUP(표8[[#This Row],[location]],Location[location],Location[lon])</f>
        <v/>
      </c>
    </row>
    <row r="114">
      <c r="A114" s="180" t="inlineStr">
        <is>
          <t>M037</t>
        </is>
      </c>
      <c r="B114" s="180" t="inlineStr">
        <is>
          <t>S029</t>
        </is>
      </c>
      <c r="C114" s="180">
        <f>_xlfn.XLOOKUP(표8[[#This Row],[supplier_id]],표7[supplier_id],표7[supplier_name])</f>
        <v/>
      </c>
      <c r="D114" s="181" t="n">
        <v>12</v>
      </c>
      <c r="E114" t="inlineStr">
        <is>
          <t>KTA</t>
        </is>
      </c>
      <c r="F114" s="177" t="inlineStr">
        <is>
          <t>여수</t>
        </is>
      </c>
      <c r="G114" t="inlineStr">
        <is>
          <t>화학편람</t>
        </is>
      </c>
      <c r="H114" t="n">
        <v>2025</v>
      </c>
      <c r="J114">
        <f>_xlfn.XLOOKUP(표8[[#This Row],[location]],Location[location],Location[lat])</f>
        <v/>
      </c>
      <c r="K114">
        <f>_xlfn.XLOOKUP(표8[[#This Row],[location]],Location[location],Location[lon])</f>
        <v/>
      </c>
    </row>
    <row r="115">
      <c r="A115" s="180" t="inlineStr">
        <is>
          <t>M041</t>
        </is>
      </c>
      <c r="B115" s="180" t="inlineStr">
        <is>
          <t>S041</t>
        </is>
      </c>
      <c r="C115" s="180">
        <f>_xlfn.XLOOKUP(표8[[#This Row],[supplier_id]],표7[supplier_id],표7[supplier_name])</f>
        <v/>
      </c>
      <c r="D115" s="181" t="n">
        <v>205</v>
      </c>
      <c r="E115" t="inlineStr">
        <is>
          <t>KTA</t>
        </is>
      </c>
      <c r="F115" s="177" t="inlineStr">
        <is>
          <t>여수</t>
        </is>
      </c>
      <c r="G115" t="inlineStr">
        <is>
          <t>화학편람</t>
        </is>
      </c>
      <c r="H115" t="n">
        <v>2025</v>
      </c>
      <c r="J115">
        <f>_xlfn.XLOOKUP(표8[[#This Row],[location]],Location[location],Location[lat])</f>
        <v/>
      </c>
      <c r="K115">
        <f>_xlfn.XLOOKUP(표8[[#This Row],[location]],Location[location],Location[lon])</f>
        <v/>
      </c>
    </row>
    <row r="116">
      <c r="A116" s="180" t="inlineStr">
        <is>
          <t>M041</t>
        </is>
      </c>
      <c r="B116" t="inlineStr">
        <is>
          <t>S019</t>
        </is>
      </c>
      <c r="C116">
        <f>_xlfn.XLOOKUP(표8[[#This Row],[supplier_id]],표7[supplier_id],표7[supplier_name])</f>
        <v/>
      </c>
      <c r="D116" s="181" t="n">
        <v>60</v>
      </c>
      <c r="E116" t="inlineStr">
        <is>
          <t>KTA</t>
        </is>
      </c>
      <c r="F116" s="177" t="inlineStr">
        <is>
          <t>울산</t>
        </is>
      </c>
      <c r="G116" t="inlineStr">
        <is>
          <t>화학편람</t>
        </is>
      </c>
      <c r="H116" t="n">
        <v>2025</v>
      </c>
      <c r="J116">
        <f>_xlfn.XLOOKUP(표8[[#This Row],[location]],Location[location],Location[lat])</f>
        <v/>
      </c>
      <c r="K116">
        <f>_xlfn.XLOOKUP(표8[[#This Row],[location]],Location[location],Location[lon])</f>
        <v/>
      </c>
    </row>
    <row r="117">
      <c r="A117" s="180" t="inlineStr">
        <is>
          <t>M043</t>
        </is>
      </c>
      <c r="B117" s="180" t="inlineStr">
        <is>
          <t>S041</t>
        </is>
      </c>
      <c r="C117" s="180">
        <f>_xlfn.XLOOKUP(표8[[#This Row],[supplier_id]],표7[supplier_id],표7[supplier_name])</f>
        <v/>
      </c>
      <c r="D117" s="181" t="n">
        <v>200</v>
      </c>
      <c r="E117" t="inlineStr">
        <is>
          <t>KTA</t>
        </is>
      </c>
      <c r="F117" s="177" t="inlineStr">
        <is>
          <t>대산</t>
        </is>
      </c>
      <c r="G117" t="inlineStr">
        <is>
          <t>화학편람</t>
        </is>
      </c>
      <c r="H117" t="n">
        <v>2025</v>
      </c>
      <c r="J117">
        <f>_xlfn.XLOOKUP(표8[[#This Row],[location]],Location[location],Location[lat])</f>
        <v/>
      </c>
      <c r="K117">
        <f>_xlfn.XLOOKUP(표8[[#This Row],[location]],Location[location],Location[lon])</f>
        <v/>
      </c>
    </row>
    <row r="118">
      <c r="A118" s="180" t="inlineStr">
        <is>
          <t>M043</t>
        </is>
      </c>
      <c r="B118" s="180" t="inlineStr">
        <is>
          <t>S005</t>
        </is>
      </c>
      <c r="C118" s="180">
        <f>_xlfn.XLOOKUP(표8[[#This Row],[supplier_id]],표7[supplier_id],표7[supplier_name])</f>
        <v/>
      </c>
      <c r="D118" s="181" t="n">
        <v>190</v>
      </c>
      <c r="E118" t="inlineStr">
        <is>
          <t>KTA</t>
        </is>
      </c>
      <c r="F118" s="177" t="inlineStr">
        <is>
          <t>대산</t>
        </is>
      </c>
      <c r="G118" t="inlineStr">
        <is>
          <t>화학편람</t>
        </is>
      </c>
      <c r="H118" t="n">
        <v>2025</v>
      </c>
      <c r="J118">
        <f>_xlfn.XLOOKUP(표8[[#This Row],[location]],Location[location],Location[lat])</f>
        <v/>
      </c>
      <c r="K118">
        <f>_xlfn.XLOOKUP(표8[[#This Row],[location]],Location[location],Location[lon])</f>
        <v/>
      </c>
    </row>
    <row r="119">
      <c r="A119" s="180" t="inlineStr">
        <is>
          <t>M043</t>
        </is>
      </c>
      <c r="B119" s="180" t="inlineStr">
        <is>
          <t>S048</t>
        </is>
      </c>
      <c r="C119" s="180">
        <f>_xlfn.XLOOKUP(표8[[#This Row],[supplier_id]],표7[supplier_id],표7[supplier_name])</f>
        <v/>
      </c>
      <c r="D119" s="181" t="n">
        <v>163</v>
      </c>
      <c r="E119" t="inlineStr">
        <is>
          <t>KTA</t>
        </is>
      </c>
      <c r="F119" s="177" t="inlineStr">
        <is>
          <t>대산</t>
        </is>
      </c>
      <c r="G119" t="inlineStr">
        <is>
          <t>화학편람</t>
        </is>
      </c>
      <c r="H119" t="n">
        <v>2025</v>
      </c>
      <c r="J119">
        <f>_xlfn.XLOOKUP(표8[[#This Row],[location]],Location[location],Location[lat])</f>
        <v/>
      </c>
      <c r="K119">
        <f>_xlfn.XLOOKUP(표8[[#This Row],[location]],Location[location],Location[lon])</f>
        <v/>
      </c>
    </row>
    <row r="120">
      <c r="A120" s="180" t="inlineStr">
        <is>
          <t>M043</t>
        </is>
      </c>
      <c r="B120" s="180" t="inlineStr">
        <is>
          <t>S047</t>
        </is>
      </c>
      <c r="C120" s="180">
        <f>_xlfn.XLOOKUP(표8[[#This Row],[supplier_id]],표7[supplier_id],표7[supplier_name])</f>
        <v/>
      </c>
      <c r="D120" s="181" t="n">
        <v>150</v>
      </c>
      <c r="E120" t="inlineStr">
        <is>
          <t>KTA</t>
        </is>
      </c>
      <c r="F120" s="177" t="inlineStr">
        <is>
          <t>대산</t>
        </is>
      </c>
      <c r="G120" t="inlineStr">
        <is>
          <t>화학편람</t>
        </is>
      </c>
      <c r="H120" t="n">
        <v>2025</v>
      </c>
      <c r="J120">
        <f>_xlfn.XLOOKUP(표8[[#This Row],[location]],Location[location],Location[lat])</f>
        <v/>
      </c>
      <c r="K120">
        <f>_xlfn.XLOOKUP(표8[[#This Row],[location]],Location[location],Location[lon])</f>
        <v/>
      </c>
    </row>
    <row r="121">
      <c r="A121" s="180" t="inlineStr">
        <is>
          <t>M043</t>
        </is>
      </c>
      <c r="B121" s="180" t="inlineStr">
        <is>
          <t>S042</t>
        </is>
      </c>
      <c r="C121" s="180">
        <f>_xlfn.XLOOKUP(표8[[#This Row],[supplier_id]],표7[supplier_id],표7[supplier_name])</f>
        <v/>
      </c>
      <c r="D121" s="181" t="n">
        <v>378</v>
      </c>
      <c r="E121" t="inlineStr">
        <is>
          <t>KTA</t>
        </is>
      </c>
      <c r="F121" s="177" t="inlineStr">
        <is>
          <t>여수</t>
        </is>
      </c>
      <c r="G121" t="inlineStr">
        <is>
          <t>화학편람</t>
        </is>
      </c>
      <c r="H121" t="n">
        <v>2025</v>
      </c>
      <c r="J121">
        <f>_xlfn.XLOOKUP(표8[[#This Row],[location]],Location[location],Location[lat])</f>
        <v/>
      </c>
      <c r="K121">
        <f>_xlfn.XLOOKUP(표8[[#This Row],[location]],Location[location],Location[lon])</f>
        <v/>
      </c>
    </row>
    <row r="122">
      <c r="A122" s="180" t="inlineStr">
        <is>
          <t>M043</t>
        </is>
      </c>
      <c r="B122" s="180" t="inlineStr">
        <is>
          <t>S041</t>
        </is>
      </c>
      <c r="C122" s="180">
        <f>_xlfn.XLOOKUP(표8[[#This Row],[supplier_id]],표7[supplier_id],표7[supplier_name])</f>
        <v/>
      </c>
      <c r="D122" s="181" t="n">
        <v>306</v>
      </c>
      <c r="E122" t="inlineStr">
        <is>
          <t>KTA</t>
        </is>
      </c>
      <c r="F122" s="177" t="inlineStr">
        <is>
          <t>여수</t>
        </is>
      </c>
      <c r="G122" t="inlineStr">
        <is>
          <t>화학편람</t>
        </is>
      </c>
      <c r="H122" t="n">
        <v>2025</v>
      </c>
      <c r="J122">
        <f>_xlfn.XLOOKUP(표8[[#This Row],[location]],Location[location],Location[lat])</f>
        <v/>
      </c>
      <c r="K122">
        <f>_xlfn.XLOOKUP(표8[[#This Row],[location]],Location[location],Location[lon])</f>
        <v/>
      </c>
    </row>
    <row r="123">
      <c r="A123" s="180" t="inlineStr">
        <is>
          <t>M043</t>
        </is>
      </c>
      <c r="B123" s="180" t="inlineStr">
        <is>
          <t>S005</t>
        </is>
      </c>
      <c r="C123" s="180">
        <f>_xlfn.XLOOKUP(표8[[#This Row],[supplier_id]],표7[supplier_id],표7[supplier_name])</f>
        <v/>
      </c>
      <c r="D123" s="181" t="n">
        <v>160</v>
      </c>
      <c r="E123" t="inlineStr">
        <is>
          <t>KTA</t>
        </is>
      </c>
      <c r="F123" s="177" t="inlineStr">
        <is>
          <t>여수</t>
        </is>
      </c>
      <c r="G123" t="inlineStr">
        <is>
          <t>화학편람</t>
        </is>
      </c>
      <c r="H123" t="n">
        <v>2025</v>
      </c>
      <c r="J123">
        <f>_xlfn.XLOOKUP(표8[[#This Row],[location]],Location[location],Location[lat])</f>
        <v/>
      </c>
      <c r="K123">
        <f>_xlfn.XLOOKUP(표8[[#This Row],[location]],Location[location],Location[lon])</f>
        <v/>
      </c>
    </row>
    <row r="124">
      <c r="A124" s="180" t="inlineStr">
        <is>
          <t>M043</t>
        </is>
      </c>
      <c r="B124" s="180" t="inlineStr">
        <is>
          <t>S001</t>
        </is>
      </c>
      <c r="C124" s="180">
        <f>_xlfn.XLOOKUP(표8[[#This Row],[supplier_id]],표7[supplier_id],표7[supplier_name])</f>
        <v/>
      </c>
      <c r="D124" s="181" t="n">
        <v>147</v>
      </c>
      <c r="E124" t="inlineStr">
        <is>
          <t>KTA</t>
        </is>
      </c>
      <c r="F124" s="177" t="inlineStr">
        <is>
          <t>여수</t>
        </is>
      </c>
      <c r="G124" t="inlineStr">
        <is>
          <t>화학편람</t>
        </is>
      </c>
      <c r="H124" t="n">
        <v>2025</v>
      </c>
      <c r="J124">
        <f>_xlfn.XLOOKUP(표8[[#This Row],[location]],Location[location],Location[lat])</f>
        <v/>
      </c>
      <c r="K124">
        <f>_xlfn.XLOOKUP(표8[[#This Row],[location]],Location[location],Location[lon])</f>
        <v/>
      </c>
    </row>
    <row r="125">
      <c r="A125" s="180" t="inlineStr">
        <is>
          <t>M043</t>
        </is>
      </c>
      <c r="B125" s="180" t="inlineStr">
        <is>
          <t>S045</t>
        </is>
      </c>
      <c r="C125" s="180">
        <f>_xlfn.XLOOKUP(표8[[#This Row],[supplier_id]],표7[supplier_id],표7[supplier_name])</f>
        <v/>
      </c>
      <c r="D125" s="181" t="n">
        <v>130</v>
      </c>
      <c r="E125" t="inlineStr">
        <is>
          <t>KTA</t>
        </is>
      </c>
      <c r="F125" s="177" t="inlineStr">
        <is>
          <t>여수</t>
        </is>
      </c>
      <c r="G125" t="inlineStr">
        <is>
          <t>화학편람</t>
        </is>
      </c>
      <c r="H125" t="n">
        <v>2025</v>
      </c>
      <c r="J125">
        <f>_xlfn.XLOOKUP(표8[[#This Row],[location]],Location[location],Location[lat])</f>
        <v/>
      </c>
      <c r="K125">
        <f>_xlfn.XLOOKUP(표8[[#This Row],[location]],Location[location],Location[lon])</f>
        <v/>
      </c>
    </row>
    <row r="126">
      <c r="A126" t="inlineStr">
        <is>
          <t>M043</t>
        </is>
      </c>
      <c r="B126" t="inlineStr">
        <is>
          <t>S002</t>
        </is>
      </c>
      <c r="C126">
        <f>_xlfn.XLOOKUP(표8[[#This Row],[supplier_id]],표7[supplier_id],표7[supplier_name])</f>
        <v/>
      </c>
      <c r="D126" s="181" t="n">
        <v>146</v>
      </c>
      <c r="E126" t="inlineStr">
        <is>
          <t>KTA</t>
        </is>
      </c>
      <c r="F126" s="177" t="inlineStr">
        <is>
          <t>울산</t>
        </is>
      </c>
      <c r="G126" t="inlineStr">
        <is>
          <t>화학편람</t>
        </is>
      </c>
      <c r="H126" t="n">
        <v>2025</v>
      </c>
      <c r="J126">
        <f>_xlfn.XLOOKUP(표8[[#This Row],[location]],Location[location],Location[lat])</f>
        <v/>
      </c>
      <c r="K126">
        <f>_xlfn.XLOOKUP(표8[[#This Row],[location]],Location[location],Location[lon])</f>
        <v/>
      </c>
    </row>
    <row r="127">
      <c r="A127" t="inlineStr">
        <is>
          <t>M043</t>
        </is>
      </c>
      <c r="B127" t="inlineStr">
        <is>
          <t>S011</t>
        </is>
      </c>
      <c r="C127">
        <f>_xlfn.XLOOKUP(표8[[#This Row],[supplier_id]],표7[supplier_id],표7[supplier_name])</f>
        <v/>
      </c>
      <c r="D127" s="181" t="n">
        <v>130</v>
      </c>
      <c r="E127" t="inlineStr">
        <is>
          <t>KTA</t>
        </is>
      </c>
      <c r="F127" s="177" t="inlineStr">
        <is>
          <t>울산</t>
        </is>
      </c>
      <c r="G127" t="inlineStr">
        <is>
          <t>화학편람</t>
        </is>
      </c>
      <c r="H127" t="n">
        <v>2025</v>
      </c>
      <c r="J127">
        <f>_xlfn.XLOOKUP(표8[[#This Row],[location]],Location[location],Location[lat])</f>
        <v/>
      </c>
      <c r="K127">
        <f>_xlfn.XLOOKUP(표8[[#This Row],[location]],Location[location],Location[lon])</f>
        <v/>
      </c>
    </row>
    <row r="128">
      <c r="A128" t="inlineStr">
        <is>
          <t>M043</t>
        </is>
      </c>
      <c r="B128" t="inlineStr">
        <is>
          <t>S001</t>
        </is>
      </c>
      <c r="C128">
        <f>_xlfn.XLOOKUP(표8[[#This Row],[supplier_id]],표7[supplier_id],표7[supplier_name])</f>
        <v/>
      </c>
      <c r="D128" s="181" t="n">
        <v>90</v>
      </c>
      <c r="E128" t="inlineStr">
        <is>
          <t>KTA</t>
        </is>
      </c>
      <c r="F128" s="177" t="inlineStr">
        <is>
          <t>울산</t>
        </is>
      </c>
      <c r="G128" t="inlineStr">
        <is>
          <t>화학편람</t>
        </is>
      </c>
      <c r="H128" t="n">
        <v>2025</v>
      </c>
      <c r="J128">
        <f>_xlfn.XLOOKUP(표8[[#This Row],[location]],Location[location],Location[lat])</f>
        <v/>
      </c>
      <c r="K128">
        <f>_xlfn.XLOOKUP(표8[[#This Row],[location]],Location[location],Location[lon])</f>
        <v/>
      </c>
    </row>
    <row r="129">
      <c r="A129" s="180" t="inlineStr">
        <is>
          <t>M044</t>
        </is>
      </c>
      <c r="B129" s="180" t="inlineStr">
        <is>
          <t>S041</t>
        </is>
      </c>
      <c r="C129" s="180">
        <f>_xlfn.XLOOKUP(표8[[#This Row],[supplier_id]],표7[supplier_id],표7[supplier_name])</f>
        <v/>
      </c>
      <c r="D129" s="181" t="n">
        <v>220</v>
      </c>
      <c r="E129" t="inlineStr">
        <is>
          <t>KTA</t>
        </is>
      </c>
      <c r="F129" s="177" t="inlineStr">
        <is>
          <t>대산</t>
        </is>
      </c>
      <c r="G129" t="inlineStr">
        <is>
          <t>화학편람</t>
        </is>
      </c>
      <c r="H129" t="n">
        <v>2025</v>
      </c>
      <c r="I129" t="inlineStr">
        <is>
          <t>SSBR(80)</t>
        </is>
      </c>
      <c r="J129">
        <f>_xlfn.XLOOKUP(표8[[#This Row],[location]],Location[location],Location[lat])</f>
        <v/>
      </c>
      <c r="K129">
        <f>_xlfn.XLOOKUP(표8[[#This Row],[location]],Location[location],Location[lon])</f>
        <v/>
      </c>
    </row>
    <row r="130">
      <c r="A130" s="180" t="inlineStr">
        <is>
          <t>M044</t>
        </is>
      </c>
      <c r="B130" s="180" t="inlineStr">
        <is>
          <t>S001</t>
        </is>
      </c>
      <c r="C130" s="180">
        <f>_xlfn.XLOOKUP(표8[[#This Row],[supplier_id]],표7[supplier_id],표7[supplier_name])</f>
        <v/>
      </c>
      <c r="D130" s="181" t="n">
        <v>275</v>
      </c>
      <c r="E130" t="inlineStr">
        <is>
          <t>KTA</t>
        </is>
      </c>
      <c r="F130" s="177" t="inlineStr">
        <is>
          <t>여수</t>
        </is>
      </c>
      <c r="G130" t="inlineStr">
        <is>
          <t>화학편람</t>
        </is>
      </c>
      <c r="H130" t="n">
        <v>2025</v>
      </c>
      <c r="J130">
        <f>_xlfn.XLOOKUP(표8[[#This Row],[location]],Location[location],Location[lat])</f>
        <v/>
      </c>
      <c r="K130">
        <f>_xlfn.XLOOKUP(표8[[#This Row],[location]],Location[location],Location[lon])</f>
        <v/>
      </c>
    </row>
    <row r="131">
      <c r="A131" s="180" t="inlineStr">
        <is>
          <t>M045</t>
        </is>
      </c>
      <c r="B131" s="180" t="inlineStr">
        <is>
          <t>S041</t>
        </is>
      </c>
      <c r="C131" s="180">
        <f>_xlfn.XLOOKUP(표8[[#This Row],[supplier_id]],표7[supplier_id],표7[supplier_name])</f>
        <v/>
      </c>
      <c r="D131" s="181" t="n">
        <v>80</v>
      </c>
      <c r="E131" t="inlineStr">
        <is>
          <t>KTA</t>
        </is>
      </c>
      <c r="F131" s="177" t="inlineStr">
        <is>
          <t>대산</t>
        </is>
      </c>
      <c r="G131" t="inlineStr">
        <is>
          <t>화학편람</t>
        </is>
      </c>
      <c r="H131" t="n">
        <v>2025</v>
      </c>
      <c r="J131">
        <f>_xlfn.XLOOKUP(표8[[#This Row],[location]],Location[location],Location[lat])</f>
        <v/>
      </c>
      <c r="K131">
        <f>_xlfn.XLOOKUP(표8[[#This Row],[location]],Location[location],Location[lon])</f>
        <v/>
      </c>
    </row>
    <row r="132">
      <c r="A132" s="180" t="inlineStr">
        <is>
          <t>M045</t>
        </is>
      </c>
      <c r="B132" s="180" t="inlineStr">
        <is>
          <t>S001</t>
        </is>
      </c>
      <c r="C132" s="180">
        <f>_xlfn.XLOOKUP(표8[[#This Row],[supplier_id]],표7[supplier_id],표7[supplier_name])</f>
        <v/>
      </c>
      <c r="D132" s="181" t="n">
        <v>123</v>
      </c>
      <c r="E132" t="inlineStr">
        <is>
          <t>KTA</t>
        </is>
      </c>
      <c r="F132" s="177" t="inlineStr">
        <is>
          <t>여수</t>
        </is>
      </c>
      <c r="G132" t="inlineStr">
        <is>
          <t>화학편람</t>
        </is>
      </c>
      <c r="H132" t="n">
        <v>2025</v>
      </c>
      <c r="I132" t="inlineStr">
        <is>
          <t>SSBR(123)</t>
        </is>
      </c>
      <c r="J132">
        <f>_xlfn.XLOOKUP(표8[[#This Row],[location]],Location[location],Location[lat])</f>
        <v/>
      </c>
      <c r="K132">
        <f>_xlfn.XLOOKUP(표8[[#This Row],[location]],Location[location],Location[lon])</f>
        <v/>
      </c>
    </row>
    <row r="133">
      <c r="A133" s="180" t="inlineStr">
        <is>
          <t>M045</t>
        </is>
      </c>
      <c r="B133" s="180" t="inlineStr">
        <is>
          <t>S037</t>
        </is>
      </c>
      <c r="C133" s="180">
        <f>_xlfn.XLOOKUP(표8[[#This Row],[supplier_id]],표7[supplier_id],표7[supplier_name])</f>
        <v/>
      </c>
      <c r="D133" s="181" t="n">
        <v>100</v>
      </c>
      <c r="E133" t="inlineStr">
        <is>
          <t>KTA</t>
        </is>
      </c>
      <c r="F133" s="177" t="inlineStr">
        <is>
          <t>여수</t>
        </is>
      </c>
      <c r="G133" t="inlineStr">
        <is>
          <t>화학편람</t>
        </is>
      </c>
      <c r="H133" t="n">
        <v>2025</v>
      </c>
      <c r="I133" t="inlineStr">
        <is>
          <t>SSBR(100)</t>
        </is>
      </c>
      <c r="J133">
        <f>_xlfn.XLOOKUP(표8[[#This Row],[location]],Location[location],Location[lat])</f>
        <v/>
      </c>
      <c r="K133">
        <f>_xlfn.XLOOKUP(표8[[#This Row],[location]],Location[location],Location[lon])</f>
        <v/>
      </c>
    </row>
    <row r="134">
      <c r="A134" t="inlineStr">
        <is>
          <t>M045</t>
        </is>
      </c>
      <c r="B134" t="inlineStr">
        <is>
          <t>S001</t>
        </is>
      </c>
      <c r="C134">
        <f>_xlfn.XLOOKUP(표8[[#This Row],[supplier_id]],표7[supplier_id],표7[supplier_name])</f>
        <v/>
      </c>
      <c r="D134" s="181" t="n">
        <v>263</v>
      </c>
      <c r="E134" t="inlineStr">
        <is>
          <t>KTA</t>
        </is>
      </c>
      <c r="F134" s="177" t="inlineStr">
        <is>
          <t>울산</t>
        </is>
      </c>
      <c r="G134" t="inlineStr">
        <is>
          <t>화학편람</t>
        </is>
      </c>
      <c r="H134" t="n">
        <v>2025</v>
      </c>
      <c r="J134">
        <f>_xlfn.XLOOKUP(표8[[#This Row],[location]],Location[location],Location[lat])</f>
        <v/>
      </c>
      <c r="K134">
        <f>_xlfn.XLOOKUP(표8[[#This Row],[location]],Location[location],Location[lon])</f>
        <v/>
      </c>
    </row>
    <row r="135">
      <c r="A135" t="inlineStr">
        <is>
          <t>M047</t>
        </is>
      </c>
      <c r="B135" t="inlineStr">
        <is>
          <t>S036</t>
        </is>
      </c>
      <c r="C135" s="180">
        <f>_xlfn.XLOOKUP(표8[[#This Row],[supplier_id]],표7[supplier_id],표7[supplier_name])</f>
        <v/>
      </c>
      <c r="D135" s="181" t="n">
        <v>220</v>
      </c>
      <c r="E135" t="inlineStr">
        <is>
          <t>KTA</t>
        </is>
      </c>
      <c r="F135" s="177" t="inlineStr">
        <is>
          <t>여수</t>
        </is>
      </c>
      <c r="G135" s="101" t="inlineStr">
        <is>
          <t>기사</t>
        </is>
      </c>
      <c r="H135" t="n">
        <v>2024</v>
      </c>
      <c r="J135">
        <f>_xlfn.XLOOKUP(표8[[#This Row],[location]],Location[location],Location[lat])</f>
        <v/>
      </c>
      <c r="K135">
        <f>_xlfn.XLOOKUP(표8[[#This Row],[location]],Location[location],Location[lon])</f>
        <v/>
      </c>
    </row>
    <row r="136">
      <c r="A136" t="inlineStr">
        <is>
          <t>M048</t>
        </is>
      </c>
      <c r="B136" t="inlineStr">
        <is>
          <t>S032</t>
        </is>
      </c>
      <c r="C136">
        <f>_xlfn.XLOOKUP(표8[[#This Row],[supplier_id]],표7[supplier_id],표7[supplier_name])</f>
        <v/>
      </c>
      <c r="D136" s="181" t="n">
        <v>13</v>
      </c>
      <c r="E136" t="inlineStr">
        <is>
          <t>KTA</t>
        </is>
      </c>
      <c r="F136" s="177" t="inlineStr">
        <is>
          <t>여수</t>
        </is>
      </c>
      <c r="G136" t="inlineStr">
        <is>
          <t>홈페이지</t>
        </is>
      </c>
      <c r="H136" t="n">
        <v>2025</v>
      </c>
      <c r="J136">
        <f>_xlfn.XLOOKUP(표8[[#This Row],[location]],Location[location],Location[lat])</f>
        <v/>
      </c>
      <c r="K136">
        <f>_xlfn.XLOOKUP(표8[[#This Row],[location]],Location[location],Location[lon])</f>
        <v/>
      </c>
    </row>
    <row r="137">
      <c r="A137" s="180" t="inlineStr">
        <is>
          <t>M049</t>
        </is>
      </c>
      <c r="B137" s="180" t="inlineStr">
        <is>
          <t>S041</t>
        </is>
      </c>
      <c r="C137" s="180">
        <f>_xlfn.XLOOKUP(표8[[#This Row],[supplier_id]],표7[supplier_id],표7[supplier_name])</f>
        <v/>
      </c>
      <c r="D137" s="181" t="n">
        <v>220</v>
      </c>
      <c r="E137" t="inlineStr">
        <is>
          <t>KTA</t>
        </is>
      </c>
      <c r="F137" s="177" t="inlineStr">
        <is>
          <t>대산</t>
        </is>
      </c>
      <c r="G137" t="inlineStr">
        <is>
          <t>화학편람</t>
        </is>
      </c>
      <c r="H137" t="n">
        <v>2025</v>
      </c>
      <c r="J137">
        <f>_xlfn.XLOOKUP(표8[[#This Row],[location]],Location[location],Location[lat])</f>
        <v/>
      </c>
      <c r="K137">
        <f>_xlfn.XLOOKUP(표8[[#This Row],[location]],Location[location],Location[lon])</f>
        <v/>
      </c>
    </row>
    <row r="138">
      <c r="A138" s="180" t="inlineStr">
        <is>
          <t>M049</t>
        </is>
      </c>
      <c r="B138" s="180" t="inlineStr">
        <is>
          <t>S049</t>
        </is>
      </c>
      <c r="C138" s="180">
        <f>_xlfn.XLOOKUP(표8[[#This Row],[supplier_id]],표7[supplier_id],표7[supplier_name])</f>
        <v/>
      </c>
      <c r="D138" s="181" t="n">
        <v>200</v>
      </c>
      <c r="E138" t="inlineStr">
        <is>
          <t>KTA</t>
        </is>
      </c>
      <c r="F138" s="177" t="inlineStr">
        <is>
          <t>대산</t>
        </is>
      </c>
      <c r="G138" t="inlineStr">
        <is>
          <t>화학편람</t>
        </is>
      </c>
      <c r="H138" t="n">
        <v>2025</v>
      </c>
      <c r="J138">
        <f>_xlfn.XLOOKUP(표8[[#This Row],[location]],Location[location],Location[lat])</f>
        <v/>
      </c>
      <c r="K138">
        <f>_xlfn.XLOOKUP(표8[[#This Row],[location]],Location[location],Location[lon])</f>
        <v/>
      </c>
    </row>
    <row r="139">
      <c r="A139" s="180" t="inlineStr">
        <is>
          <t>M049</t>
        </is>
      </c>
      <c r="B139" s="180" t="inlineStr">
        <is>
          <t>S040</t>
        </is>
      </c>
      <c r="C139" s="180">
        <f>_xlfn.XLOOKUP(표8[[#This Row],[supplier_id]],표7[supplier_id],표7[supplier_name])</f>
        <v/>
      </c>
      <c r="D139" s="181" t="n">
        <v>275</v>
      </c>
      <c r="E139" t="inlineStr">
        <is>
          <t>KTA</t>
        </is>
      </c>
      <c r="F139" s="177" t="inlineStr">
        <is>
          <t>여수</t>
        </is>
      </c>
      <c r="G139" t="inlineStr">
        <is>
          <t>화학편람</t>
        </is>
      </c>
      <c r="H139" t="n">
        <v>2025</v>
      </c>
      <c r="J139">
        <f>_xlfn.XLOOKUP(표8[[#This Row],[location]],Location[location],Location[lat])</f>
        <v/>
      </c>
      <c r="K139">
        <f>_xlfn.XLOOKUP(표8[[#This Row],[location]],Location[location],Location[lon])</f>
        <v/>
      </c>
    </row>
    <row r="140">
      <c r="A140" s="180" t="inlineStr">
        <is>
          <t>M049</t>
        </is>
      </c>
      <c r="B140" s="180" t="inlineStr">
        <is>
          <t>S042</t>
        </is>
      </c>
      <c r="C140" s="180">
        <f>_xlfn.XLOOKUP(표8[[#This Row],[supplier_id]],표7[supplier_id],표7[supplier_name])</f>
        <v/>
      </c>
      <c r="D140" s="181" t="n">
        <v>170</v>
      </c>
      <c r="E140" t="inlineStr">
        <is>
          <t>KTA</t>
        </is>
      </c>
      <c r="F140" s="177" t="inlineStr">
        <is>
          <t>여수</t>
        </is>
      </c>
      <c r="G140" t="inlineStr">
        <is>
          <t>화학편람</t>
        </is>
      </c>
      <c r="H140" t="n">
        <v>2025</v>
      </c>
      <c r="J140">
        <f>_xlfn.XLOOKUP(표8[[#This Row],[location]],Location[location],Location[lat])</f>
        <v/>
      </c>
      <c r="K140">
        <f>_xlfn.XLOOKUP(표8[[#This Row],[location]],Location[location],Location[lon])</f>
        <v/>
      </c>
    </row>
    <row r="141">
      <c r="A141" s="180" t="inlineStr">
        <is>
          <t>M049</t>
        </is>
      </c>
      <c r="B141" s="180" t="inlineStr">
        <is>
          <t>S043</t>
        </is>
      </c>
      <c r="C141" s="180">
        <f>_xlfn.XLOOKUP(표8[[#This Row],[supplier_id]],표7[supplier_id],표7[supplier_name])</f>
        <v/>
      </c>
      <c r="D141" s="181" t="n">
        <v>150</v>
      </c>
      <c r="E141" t="inlineStr">
        <is>
          <t>KTA</t>
        </is>
      </c>
      <c r="F141" s="177" t="inlineStr">
        <is>
          <t>여수</t>
        </is>
      </c>
      <c r="G141" t="inlineStr">
        <is>
          <t>화학편람</t>
        </is>
      </c>
      <c r="H141" t="n">
        <v>2025</v>
      </c>
      <c r="J141">
        <f>_xlfn.XLOOKUP(표8[[#This Row],[location]],Location[location],Location[lat])</f>
        <v/>
      </c>
      <c r="K141">
        <f>_xlfn.XLOOKUP(표8[[#This Row],[location]],Location[location],Location[lon])</f>
        <v/>
      </c>
    </row>
    <row r="142">
      <c r="A142" s="180" t="inlineStr">
        <is>
          <t>M049</t>
        </is>
      </c>
      <c r="B142" s="180" t="inlineStr">
        <is>
          <t>S005</t>
        </is>
      </c>
      <c r="C142" s="180">
        <f>_xlfn.XLOOKUP(표8[[#This Row],[supplier_id]],표7[supplier_id],표7[supplier_name])</f>
        <v/>
      </c>
      <c r="D142" s="181" t="n">
        <v>20</v>
      </c>
      <c r="E142" t="inlineStr">
        <is>
          <t>KTA</t>
        </is>
      </c>
      <c r="F142" s="177" t="inlineStr">
        <is>
          <t>여수</t>
        </is>
      </c>
      <c r="G142" t="inlineStr">
        <is>
          <t>화학편람</t>
        </is>
      </c>
      <c r="H142" t="n">
        <v>2025</v>
      </c>
      <c r="J142">
        <f>_xlfn.XLOOKUP(표8[[#This Row],[location]],Location[location],Location[lat])</f>
        <v/>
      </c>
      <c r="K142">
        <f>_xlfn.XLOOKUP(표8[[#This Row],[location]],Location[location],Location[lon])</f>
        <v/>
      </c>
    </row>
    <row r="143">
      <c r="A143" t="inlineStr">
        <is>
          <t>M049</t>
        </is>
      </c>
      <c r="B143" t="inlineStr">
        <is>
          <t>S008</t>
        </is>
      </c>
      <c r="C143">
        <f>_xlfn.XLOOKUP(표8[[#This Row],[supplier_id]],표7[supplier_id],표7[supplier_name])</f>
        <v/>
      </c>
      <c r="D143" s="181" t="n">
        <v>460</v>
      </c>
      <c r="E143" t="inlineStr">
        <is>
          <t>KTA</t>
        </is>
      </c>
      <c r="F143" s="177" t="inlineStr">
        <is>
          <t>울산</t>
        </is>
      </c>
      <c r="G143" t="inlineStr">
        <is>
          <t>화학편람</t>
        </is>
      </c>
      <c r="H143" t="n">
        <v>2025</v>
      </c>
      <c r="J143">
        <f>_xlfn.XLOOKUP(표8[[#This Row],[location]],Location[location],Location[lat])</f>
        <v/>
      </c>
      <c r="K143">
        <f>_xlfn.XLOOKUP(표8[[#This Row],[location]],Location[location],Location[lon])</f>
        <v/>
      </c>
    </row>
    <row r="144">
      <c r="A144" t="inlineStr">
        <is>
          <t>M049</t>
        </is>
      </c>
      <c r="B144" t="inlineStr">
        <is>
          <t>S011</t>
        </is>
      </c>
      <c r="C144">
        <f>_xlfn.XLOOKUP(표8[[#This Row],[supplier_id]],표7[supplier_id],표7[supplier_name])</f>
        <v/>
      </c>
      <c r="D144" s="181" t="n">
        <v>178</v>
      </c>
      <c r="E144" t="inlineStr">
        <is>
          <t>KTA</t>
        </is>
      </c>
      <c r="F144" s="177" t="inlineStr">
        <is>
          <t>울산</t>
        </is>
      </c>
      <c r="G144" t="inlineStr">
        <is>
          <t>화학편람</t>
        </is>
      </c>
      <c r="H144" t="n">
        <v>2025</v>
      </c>
      <c r="J144">
        <f>_xlfn.XLOOKUP(표8[[#This Row],[location]],Location[location],Location[lat])</f>
        <v/>
      </c>
      <c r="K144">
        <f>_xlfn.XLOOKUP(표8[[#This Row],[location]],Location[location],Location[lon])</f>
        <v/>
      </c>
    </row>
    <row r="145">
      <c r="A145" t="inlineStr">
        <is>
          <t>M054</t>
        </is>
      </c>
      <c r="B145" t="inlineStr">
        <is>
          <t>S050</t>
        </is>
      </c>
      <c r="C145">
        <f>_xlfn.XLOOKUP(표8[[#This Row],[supplier_id]],표7[supplier_id],표7[supplier_name])</f>
        <v/>
      </c>
      <c r="D145" s="181" t="n">
        <v>200</v>
      </c>
      <c r="E145" t="inlineStr">
        <is>
          <t>KTA</t>
        </is>
      </c>
      <c r="F145" s="177" t="inlineStr">
        <is>
          <t>광양</t>
        </is>
      </c>
      <c r="G145" t="inlineStr">
        <is>
          <t>화학편람</t>
        </is>
      </c>
      <c r="H145" t="n">
        <v>2025</v>
      </c>
      <c r="J145">
        <f>_xlfn.XLOOKUP(표8[[#This Row],[location]],Location[location],Location[lat])</f>
        <v/>
      </c>
      <c r="K145">
        <f>_xlfn.XLOOKUP(표8[[#This Row],[location]],Location[location],Location[lon])</f>
        <v/>
      </c>
    </row>
    <row r="146">
      <c r="A146" s="180" t="inlineStr">
        <is>
          <t>M054</t>
        </is>
      </c>
      <c r="B146" s="180" t="inlineStr">
        <is>
          <t>S047</t>
        </is>
      </c>
      <c r="C146" s="180">
        <f>_xlfn.XLOOKUP(표8[[#This Row],[supplier_id]],표7[supplier_id],표7[supplier_name])</f>
        <v/>
      </c>
      <c r="D146" s="181" t="n">
        <v>1267</v>
      </c>
      <c r="E146" t="inlineStr">
        <is>
          <t>KTA</t>
        </is>
      </c>
      <c r="F146" s="177" t="inlineStr">
        <is>
          <t>대산</t>
        </is>
      </c>
      <c r="G146" t="inlineStr">
        <is>
          <t>화학편람</t>
        </is>
      </c>
      <c r="H146" t="n">
        <v>2025</v>
      </c>
      <c r="J146">
        <f>_xlfn.XLOOKUP(표8[[#This Row],[location]],Location[location],Location[lat])</f>
        <v/>
      </c>
      <c r="K146">
        <f>_xlfn.XLOOKUP(표8[[#This Row],[location]],Location[location],Location[lon])</f>
        <v/>
      </c>
    </row>
    <row r="147">
      <c r="A147" s="180" t="inlineStr">
        <is>
          <t>M054</t>
        </is>
      </c>
      <c r="B147" s="180" t="inlineStr">
        <is>
          <t>S048</t>
        </is>
      </c>
      <c r="C147" s="180">
        <f>_xlfn.XLOOKUP(표8[[#This Row],[supplier_id]],표7[supplier_id],표7[supplier_name])</f>
        <v/>
      </c>
      <c r="D147" s="181" t="n">
        <v>410</v>
      </c>
      <c r="E147" t="inlineStr">
        <is>
          <t>KTA</t>
        </is>
      </c>
      <c r="F147" s="177" t="inlineStr">
        <is>
          <t>대산</t>
        </is>
      </c>
      <c r="G147" t="inlineStr">
        <is>
          <t>화학편람</t>
        </is>
      </c>
      <c r="H147" t="n">
        <v>2025</v>
      </c>
      <c r="J147">
        <f>_xlfn.XLOOKUP(표8[[#This Row],[location]],Location[location],Location[lat])</f>
        <v/>
      </c>
      <c r="K147">
        <f>_xlfn.XLOOKUP(표8[[#This Row],[location]],Location[location],Location[lon])</f>
        <v/>
      </c>
    </row>
    <row r="148">
      <c r="A148" s="180" t="inlineStr">
        <is>
          <t>M054</t>
        </is>
      </c>
      <c r="B148" s="180" t="inlineStr">
        <is>
          <t>S049</t>
        </is>
      </c>
      <c r="C148" s="180">
        <f>_xlfn.XLOOKUP(표8[[#This Row],[supplier_id]],표7[supplier_id],표7[supplier_name])</f>
        <v/>
      </c>
      <c r="D148" s="181" t="n">
        <v>338</v>
      </c>
      <c r="E148" t="inlineStr">
        <is>
          <t>KTA</t>
        </is>
      </c>
      <c r="F148" s="177" t="inlineStr">
        <is>
          <t>대산</t>
        </is>
      </c>
      <c r="G148" t="inlineStr">
        <is>
          <t>화학편람</t>
        </is>
      </c>
      <c r="H148" t="n">
        <v>2025</v>
      </c>
      <c r="J148">
        <f>_xlfn.XLOOKUP(표8[[#This Row],[location]],Location[location],Location[lat])</f>
        <v/>
      </c>
      <c r="K148">
        <f>_xlfn.XLOOKUP(표8[[#This Row],[location]],Location[location],Location[lon])</f>
        <v/>
      </c>
    </row>
    <row r="149">
      <c r="A149" s="180" t="inlineStr">
        <is>
          <t>M054</t>
        </is>
      </c>
      <c r="B149" s="180" t="inlineStr">
        <is>
          <t>S041</t>
        </is>
      </c>
      <c r="C149" s="180">
        <f>_xlfn.XLOOKUP(표8[[#This Row],[supplier_id]],표7[supplier_id],표7[supplier_name])</f>
        <v/>
      </c>
      <c r="D149" s="181" t="n">
        <v>270</v>
      </c>
      <c r="E149" t="inlineStr">
        <is>
          <t>KTA</t>
        </is>
      </c>
      <c r="F149" s="177" t="inlineStr">
        <is>
          <t>대산</t>
        </is>
      </c>
      <c r="G149" t="inlineStr">
        <is>
          <t>화학편람</t>
        </is>
      </c>
      <c r="H149" t="n">
        <v>2025</v>
      </c>
      <c r="J149">
        <f>_xlfn.XLOOKUP(표8[[#This Row],[location]],Location[location],Location[lat])</f>
        <v/>
      </c>
      <c r="K149">
        <f>_xlfn.XLOOKUP(표8[[#This Row],[location]],Location[location],Location[lon])</f>
        <v/>
      </c>
    </row>
    <row r="150">
      <c r="A150" s="180" t="inlineStr">
        <is>
          <t>M054</t>
        </is>
      </c>
      <c r="B150" s="180" t="inlineStr">
        <is>
          <t>S005</t>
        </is>
      </c>
      <c r="C150" s="180">
        <f>_xlfn.XLOOKUP(표8[[#This Row],[supplier_id]],표7[supplier_id],표7[supplier_name])</f>
        <v/>
      </c>
      <c r="D150" s="181" t="n">
        <v>240</v>
      </c>
      <c r="E150" t="inlineStr">
        <is>
          <t>KTA</t>
        </is>
      </c>
      <c r="F150" s="177" t="inlineStr">
        <is>
          <t>대산</t>
        </is>
      </c>
      <c r="G150" t="inlineStr">
        <is>
          <t>화학편람</t>
        </is>
      </c>
      <c r="H150" t="n">
        <v>2025</v>
      </c>
      <c r="J150">
        <f>_xlfn.XLOOKUP(표8[[#This Row],[location]],Location[location],Location[lat])</f>
        <v/>
      </c>
      <c r="K150">
        <f>_xlfn.XLOOKUP(표8[[#This Row],[location]],Location[location],Location[lon])</f>
        <v/>
      </c>
    </row>
    <row r="151">
      <c r="A151" s="180" t="inlineStr">
        <is>
          <t>M054</t>
        </is>
      </c>
      <c r="B151" s="180" t="inlineStr">
        <is>
          <t>S043</t>
        </is>
      </c>
      <c r="C151" s="180">
        <f>_xlfn.XLOOKUP(표8[[#This Row],[supplier_id]],표7[supplier_id],표7[supplier_name])</f>
        <v/>
      </c>
      <c r="D151" s="181" t="n">
        <v>930</v>
      </c>
      <c r="E151" t="inlineStr">
        <is>
          <t>KTA</t>
        </is>
      </c>
      <c r="F151" s="177" t="inlineStr">
        <is>
          <t>여수</t>
        </is>
      </c>
      <c r="G151" t="inlineStr">
        <is>
          <t>화학편람</t>
        </is>
      </c>
      <c r="H151" t="n">
        <v>2025</v>
      </c>
      <c r="J151">
        <f>_xlfn.XLOOKUP(표8[[#This Row],[location]],Location[location],Location[lat])</f>
        <v/>
      </c>
      <c r="K151">
        <f>_xlfn.XLOOKUP(표8[[#This Row],[location]],Location[location],Location[lon])</f>
        <v/>
      </c>
    </row>
    <row r="152">
      <c r="A152" s="180" t="inlineStr">
        <is>
          <t>M054</t>
        </is>
      </c>
      <c r="B152" s="180" t="inlineStr">
        <is>
          <t>S041</t>
        </is>
      </c>
      <c r="C152" s="180">
        <f>_xlfn.XLOOKUP(표8[[#This Row],[supplier_id]],표7[supplier_id],표7[supplier_name])</f>
        <v/>
      </c>
      <c r="D152" s="181" t="n">
        <v>630</v>
      </c>
      <c r="E152" t="inlineStr">
        <is>
          <t>KTA</t>
        </is>
      </c>
      <c r="F152" s="177" t="inlineStr">
        <is>
          <t>여수</t>
        </is>
      </c>
      <c r="G152" t="inlineStr">
        <is>
          <t>화학편람</t>
        </is>
      </c>
      <c r="H152" t="n">
        <v>2025</v>
      </c>
      <c r="J152">
        <f>_xlfn.XLOOKUP(표8[[#This Row],[location]],Location[location],Location[lat])</f>
        <v/>
      </c>
      <c r="K152">
        <f>_xlfn.XLOOKUP(표8[[#This Row],[location]],Location[location],Location[lon])</f>
        <v/>
      </c>
    </row>
    <row r="153">
      <c r="A153" s="180" t="inlineStr">
        <is>
          <t>M054</t>
        </is>
      </c>
      <c r="B153" s="180" t="inlineStr">
        <is>
          <t>S042</t>
        </is>
      </c>
      <c r="C153" s="180">
        <f>_xlfn.XLOOKUP(표8[[#This Row],[supplier_id]],표7[supplier_id],표7[supplier_name])</f>
        <v/>
      </c>
      <c r="D153" s="181" t="n">
        <v>457</v>
      </c>
      <c r="E153" t="inlineStr">
        <is>
          <t>KTA</t>
        </is>
      </c>
      <c r="F153" s="177" t="inlineStr">
        <is>
          <t>여수</t>
        </is>
      </c>
      <c r="G153" t="inlineStr">
        <is>
          <t>화학편람</t>
        </is>
      </c>
      <c r="H153" t="n">
        <v>2025</v>
      </c>
      <c r="J153">
        <f>_xlfn.XLOOKUP(표8[[#This Row],[location]],Location[location],Location[lat])</f>
        <v/>
      </c>
      <c r="K153">
        <f>_xlfn.XLOOKUP(표8[[#This Row],[location]],Location[location],Location[lon])</f>
        <v/>
      </c>
    </row>
    <row r="154">
      <c r="A154" s="180" t="inlineStr">
        <is>
          <t>M054</t>
        </is>
      </c>
      <c r="B154" s="180" t="inlineStr">
        <is>
          <t>S005</t>
        </is>
      </c>
      <c r="C154" s="180">
        <f>_xlfn.XLOOKUP(표8[[#This Row],[supplier_id]],표7[supplier_id],표7[supplier_name])</f>
        <v/>
      </c>
      <c r="D154" s="181" t="n">
        <v>235</v>
      </c>
      <c r="E154" t="inlineStr">
        <is>
          <t>KTA</t>
        </is>
      </c>
      <c r="F154" s="177" t="inlineStr">
        <is>
          <t>여수</t>
        </is>
      </c>
      <c r="G154" t="inlineStr">
        <is>
          <t>화학편람</t>
        </is>
      </c>
      <c r="H154" t="n">
        <v>2025</v>
      </c>
      <c r="J154">
        <f>_xlfn.XLOOKUP(표8[[#This Row],[location]],Location[location],Location[lat])</f>
        <v/>
      </c>
      <c r="K154">
        <f>_xlfn.XLOOKUP(표8[[#This Row],[location]],Location[location],Location[lon])</f>
        <v/>
      </c>
    </row>
    <row r="155">
      <c r="A155" s="180" t="inlineStr">
        <is>
          <t>M054</t>
        </is>
      </c>
      <c r="B155" t="inlineStr">
        <is>
          <t>S008</t>
        </is>
      </c>
      <c r="C155">
        <f>_xlfn.XLOOKUP(표8[[#This Row],[supplier_id]],표7[supplier_id],표7[supplier_name])</f>
        <v/>
      </c>
      <c r="D155" s="181" t="n">
        <v>672</v>
      </c>
      <c r="E155" t="inlineStr">
        <is>
          <t>KTA</t>
        </is>
      </c>
      <c r="F155" s="177" t="inlineStr">
        <is>
          <t>울산</t>
        </is>
      </c>
      <c r="G155" t="inlineStr">
        <is>
          <t>화학편람</t>
        </is>
      </c>
      <c r="H155" t="n">
        <v>2025</v>
      </c>
      <c r="J155">
        <f>_xlfn.XLOOKUP(표8[[#This Row],[location]],Location[location],Location[lat])</f>
        <v/>
      </c>
      <c r="K155">
        <f>_xlfn.XLOOKUP(표8[[#This Row],[location]],Location[location],Location[lon])</f>
        <v/>
      </c>
    </row>
    <row r="156">
      <c r="A156" s="180" t="inlineStr">
        <is>
          <t>M054</t>
        </is>
      </c>
      <c r="B156" t="inlineStr">
        <is>
          <t>S011</t>
        </is>
      </c>
      <c r="C156">
        <f>_xlfn.XLOOKUP(표8[[#This Row],[supplier_id]],표7[supplier_id],표7[supplier_name])</f>
        <v/>
      </c>
      <c r="D156" s="181" t="n">
        <v>603</v>
      </c>
      <c r="E156" t="inlineStr">
        <is>
          <t>KTA</t>
        </is>
      </c>
      <c r="F156" s="177" t="inlineStr">
        <is>
          <t>울산</t>
        </is>
      </c>
      <c r="G156" t="inlineStr">
        <is>
          <t>화학편람</t>
        </is>
      </c>
      <c r="H156" t="n">
        <v>2025</v>
      </c>
      <c r="J156">
        <f>_xlfn.XLOOKUP(표8[[#This Row],[location]],Location[location],Location[lat])</f>
        <v/>
      </c>
      <c r="K156">
        <f>_xlfn.XLOOKUP(표8[[#This Row],[location]],Location[location],Location[lon])</f>
        <v/>
      </c>
    </row>
    <row r="157">
      <c r="A157" s="180" t="inlineStr">
        <is>
          <t>M054</t>
        </is>
      </c>
      <c r="B157" t="inlineStr">
        <is>
          <t>S017</t>
        </is>
      </c>
      <c r="C157">
        <f>_xlfn.XLOOKUP(표8[[#This Row],[supplier_id]],표7[supplier_id],표7[supplier_name])</f>
        <v/>
      </c>
      <c r="D157" s="181" t="n">
        <v>600</v>
      </c>
      <c r="E157" t="inlineStr">
        <is>
          <t>KTA</t>
        </is>
      </c>
      <c r="F157" s="177" t="inlineStr">
        <is>
          <t>울산</t>
        </is>
      </c>
      <c r="G157" t="inlineStr">
        <is>
          <t>화학편람</t>
        </is>
      </c>
      <c r="H157" t="n">
        <v>2025</v>
      </c>
      <c r="J157">
        <f>_xlfn.XLOOKUP(표8[[#This Row],[location]],Location[location],Location[lat])</f>
        <v/>
      </c>
      <c r="K157">
        <f>_xlfn.XLOOKUP(표8[[#This Row],[location]],Location[location],Location[lon])</f>
        <v/>
      </c>
    </row>
    <row r="158">
      <c r="A158" s="180" t="inlineStr">
        <is>
          <t>M054</t>
        </is>
      </c>
      <c r="B158" t="inlineStr">
        <is>
          <t>S002</t>
        </is>
      </c>
      <c r="C158">
        <f>_xlfn.XLOOKUP(표8[[#This Row],[supplier_id]],표7[supplier_id],표7[supplier_name])</f>
        <v/>
      </c>
      <c r="D158" s="181" t="n">
        <v>210</v>
      </c>
      <c r="E158" t="inlineStr">
        <is>
          <t>KTA</t>
        </is>
      </c>
      <c r="F158" s="177" t="inlineStr">
        <is>
          <t>울산</t>
        </is>
      </c>
      <c r="G158" t="inlineStr">
        <is>
          <t>화학편람</t>
        </is>
      </c>
      <c r="H158" t="n">
        <v>2025</v>
      </c>
      <c r="J158">
        <f>_xlfn.XLOOKUP(표8[[#This Row],[location]],Location[location],Location[lat])</f>
        <v/>
      </c>
      <c r="K158">
        <f>_xlfn.XLOOKUP(표8[[#This Row],[location]],Location[location],Location[lon])</f>
        <v/>
      </c>
    </row>
    <row r="159">
      <c r="A159" s="180" t="inlineStr">
        <is>
          <t>M054</t>
        </is>
      </c>
      <c r="B159" t="inlineStr">
        <is>
          <t>S005</t>
        </is>
      </c>
      <c r="C159">
        <f>_xlfn.XLOOKUP(표8[[#This Row],[supplier_id]],표7[supplier_id],표7[supplier_name])</f>
        <v/>
      </c>
      <c r="D159" s="181" t="n">
        <v>110</v>
      </c>
      <c r="E159" t="inlineStr">
        <is>
          <t>KTA</t>
        </is>
      </c>
      <c r="F159" s="177" t="inlineStr">
        <is>
          <t>울산</t>
        </is>
      </c>
      <c r="G159" t="inlineStr">
        <is>
          <t>화학편람</t>
        </is>
      </c>
      <c r="H159" t="n">
        <v>2025</v>
      </c>
      <c r="J159">
        <f>_xlfn.XLOOKUP(표8[[#This Row],[location]],Location[location],Location[lat])</f>
        <v/>
      </c>
      <c r="K159">
        <f>_xlfn.XLOOKUP(표8[[#This Row],[location]],Location[location],Location[lon])</f>
        <v/>
      </c>
    </row>
    <row r="160">
      <c r="A160" s="180" t="inlineStr">
        <is>
          <t>M054</t>
        </is>
      </c>
      <c r="B160" s="180" t="inlineStr">
        <is>
          <t>S053</t>
        </is>
      </c>
      <c r="C160" s="180">
        <f>_xlfn.XLOOKUP(표8[[#This Row],[supplier_id]],표7[supplier_id],표7[supplier_name])</f>
        <v/>
      </c>
      <c r="D160" s="181" t="n">
        <v>600</v>
      </c>
      <c r="E160" t="inlineStr">
        <is>
          <t>KTA</t>
        </is>
      </c>
      <c r="F160" s="177" t="inlineStr">
        <is>
          <t>인천</t>
        </is>
      </c>
      <c r="G160" t="inlineStr">
        <is>
          <t>화학편람</t>
        </is>
      </c>
      <c r="H160" t="n">
        <v>2025</v>
      </c>
      <c r="J160">
        <f>_xlfn.XLOOKUP(표8[[#This Row],[location]],Location[location],Location[lat])</f>
        <v/>
      </c>
      <c r="K160">
        <f>_xlfn.XLOOKUP(표8[[#This Row],[location]],Location[location],Location[lon])</f>
        <v/>
      </c>
    </row>
    <row r="161">
      <c r="A161" t="inlineStr">
        <is>
          <t>M055</t>
        </is>
      </c>
      <c r="B161" t="inlineStr">
        <is>
          <t>S047</t>
        </is>
      </c>
      <c r="C161" s="180">
        <f>_xlfn.XLOOKUP(표8[[#This Row],[supplier_id]],표7[supplier_id],표7[supplier_name])</f>
        <v/>
      </c>
      <c r="D161" s="102" t="n">
        <v>440</v>
      </c>
      <c r="E161" t="inlineStr">
        <is>
          <t>KTA</t>
        </is>
      </c>
      <c r="F161" s="177" t="inlineStr">
        <is>
          <t>대산</t>
        </is>
      </c>
      <c r="G161" t="inlineStr">
        <is>
          <t>S&amp;P CEH</t>
        </is>
      </c>
      <c r="H161" t="n">
        <v>2024</v>
      </c>
      <c r="J161">
        <f>_xlfn.XLOOKUP(표8[[#This Row],[location]],Location[location],Location[lat])</f>
        <v/>
      </c>
      <c r="K161">
        <f>_xlfn.XLOOKUP(표8[[#This Row],[location]],Location[location],Location[lon])</f>
        <v/>
      </c>
    </row>
    <row r="162">
      <c r="A162" t="inlineStr">
        <is>
          <t>M055</t>
        </is>
      </c>
      <c r="B162" t="inlineStr">
        <is>
          <t>S047</t>
        </is>
      </c>
      <c r="C162" s="180">
        <f>_xlfn.XLOOKUP(표8[[#This Row],[supplier_id]],표7[supplier_id],표7[supplier_name])</f>
        <v/>
      </c>
      <c r="D162" s="102" t="n">
        <v>715</v>
      </c>
      <c r="E162" t="inlineStr">
        <is>
          <t>KTA</t>
        </is>
      </c>
      <c r="F162" s="177" t="inlineStr">
        <is>
          <t>대산</t>
        </is>
      </c>
      <c r="G162" t="inlineStr">
        <is>
          <t>S&amp;P CEH</t>
        </is>
      </c>
      <c r="H162" t="n">
        <v>2024</v>
      </c>
      <c r="J162">
        <f>_xlfn.XLOOKUP(표8[[#This Row],[location]],Location[location],Location[lat])</f>
        <v/>
      </c>
      <c r="K162">
        <f>_xlfn.XLOOKUP(표8[[#This Row],[location]],Location[location],Location[lon])</f>
        <v/>
      </c>
    </row>
    <row r="163">
      <c r="A163" s="10" t="inlineStr">
        <is>
          <t>M055</t>
        </is>
      </c>
      <c r="B163" s="177" t="inlineStr">
        <is>
          <t>S005</t>
        </is>
      </c>
      <c r="C163" s="10">
        <f>_xlfn.XLOOKUP(표8[[#This Row],[supplier_id]],표7[supplier_id],표7[supplier_name])</f>
        <v/>
      </c>
      <c r="D163" s="103" t="n">
        <v>233</v>
      </c>
      <c r="E163" t="inlineStr">
        <is>
          <t>KTA</t>
        </is>
      </c>
      <c r="F163" t="inlineStr">
        <is>
          <t>대산</t>
        </is>
      </c>
      <c r="G163" t="inlineStr">
        <is>
          <t>S&amp;P CEH</t>
        </is>
      </c>
      <c r="H163" t="n">
        <v>2024</v>
      </c>
      <c r="J163">
        <f>_xlfn.XLOOKUP(표8[[#This Row],[location]],Location[location],Location[lat])</f>
        <v/>
      </c>
      <c r="K163">
        <f>_xlfn.XLOOKUP(표8[[#This Row],[location]],Location[location],Location[lon])</f>
        <v/>
      </c>
    </row>
    <row r="164">
      <c r="A164" s="180" t="inlineStr">
        <is>
          <t>M055</t>
        </is>
      </c>
      <c r="B164" t="inlineStr">
        <is>
          <t>S005</t>
        </is>
      </c>
      <c r="C164" s="180">
        <f>_xlfn.XLOOKUP(표8[[#This Row],[supplier_id]],표7[supplier_id],표7[supplier_name])</f>
        <v/>
      </c>
      <c r="D164" s="102" t="n">
        <v>440</v>
      </c>
      <c r="E164" t="inlineStr">
        <is>
          <t>KTA</t>
        </is>
      </c>
      <c r="F164" t="inlineStr">
        <is>
          <t>대산</t>
        </is>
      </c>
      <c r="G164" t="inlineStr">
        <is>
          <t>S&amp;P CEH</t>
        </is>
      </c>
      <c r="H164" t="n">
        <v>2024</v>
      </c>
      <c r="J164">
        <f>_xlfn.XLOOKUP(표8[[#This Row],[location]],Location[location],Location[lat])</f>
        <v/>
      </c>
      <c r="K164">
        <f>_xlfn.XLOOKUP(표8[[#This Row],[location]],Location[location],Location[lon])</f>
        <v/>
      </c>
    </row>
    <row r="165">
      <c r="A165" s="180" t="inlineStr">
        <is>
          <t>M055</t>
        </is>
      </c>
      <c r="B165" t="inlineStr">
        <is>
          <t>S042</t>
        </is>
      </c>
      <c r="C165" s="180">
        <f>_xlfn.XLOOKUP(표8[[#This Row],[supplier_id]],표7[supplier_id],표7[supplier_name])</f>
        <v/>
      </c>
      <c r="D165" s="102" t="n">
        <v>370</v>
      </c>
      <c r="E165" t="inlineStr">
        <is>
          <t>KTA</t>
        </is>
      </c>
      <c r="F165" t="inlineStr">
        <is>
          <t>여수</t>
        </is>
      </c>
      <c r="G165" t="inlineStr">
        <is>
          <t>S&amp;P CEH</t>
        </is>
      </c>
      <c r="H165" t="n">
        <v>2024</v>
      </c>
      <c r="J165">
        <f>_xlfn.XLOOKUP(표8[[#This Row],[location]],Location[location],Location[lat])</f>
        <v/>
      </c>
      <c r="K165">
        <f>_xlfn.XLOOKUP(표8[[#This Row],[location]],Location[location],Location[lon])</f>
        <v/>
      </c>
    </row>
    <row r="166">
      <c r="A166" s="180" t="inlineStr">
        <is>
          <t>M055</t>
        </is>
      </c>
      <c r="B166" t="inlineStr">
        <is>
          <t>S014</t>
        </is>
      </c>
      <c r="C166" s="180">
        <f>_xlfn.XLOOKUP(표8[[#This Row],[supplier_id]],표7[supplier_id],표7[supplier_name])</f>
        <v/>
      </c>
      <c r="D166" s="102" t="n">
        <v>438</v>
      </c>
      <c r="E166" t="inlineStr">
        <is>
          <t>KTA</t>
        </is>
      </c>
      <c r="F166" t="inlineStr">
        <is>
          <t>울산</t>
        </is>
      </c>
      <c r="G166" t="inlineStr">
        <is>
          <t>S&amp;P CEH</t>
        </is>
      </c>
      <c r="H166" t="n">
        <v>2024</v>
      </c>
      <c r="J166">
        <f>_xlfn.XLOOKUP(표8[[#This Row],[location]],Location[location],Location[lat])</f>
        <v/>
      </c>
      <c r="K166">
        <f>_xlfn.XLOOKUP(표8[[#This Row],[location]],Location[location],Location[lon])</f>
        <v/>
      </c>
    </row>
    <row r="167">
      <c r="A167" s="180" t="inlineStr">
        <is>
          <t>M056</t>
        </is>
      </c>
      <c r="B167" s="180" t="inlineStr">
        <is>
          <t>S047</t>
        </is>
      </c>
      <c r="C167" s="180">
        <f>_xlfn.XLOOKUP(표8[[#This Row],[supplier_id]],표7[supplier_id],표7[supplier_name])</f>
        <v/>
      </c>
      <c r="D167" s="181" t="n">
        <v>1071</v>
      </c>
      <c r="E167" t="inlineStr">
        <is>
          <t>KTA</t>
        </is>
      </c>
      <c r="F167" t="inlineStr">
        <is>
          <t>대산</t>
        </is>
      </c>
      <c r="G167" t="inlineStr">
        <is>
          <t>화학편람</t>
        </is>
      </c>
      <c r="H167" t="n">
        <v>2025</v>
      </c>
      <c r="J167">
        <f>_xlfn.XLOOKUP(표8[[#This Row],[location]],Location[location],Location[lat])</f>
        <v/>
      </c>
      <c r="K167">
        <f>_xlfn.XLOOKUP(표8[[#This Row],[location]],Location[location],Location[lon])</f>
        <v/>
      </c>
    </row>
    <row r="168">
      <c r="A168" s="180" t="inlineStr">
        <is>
          <t>M056</t>
        </is>
      </c>
      <c r="B168" s="180" t="inlineStr">
        <is>
          <t>S005</t>
        </is>
      </c>
      <c r="C168" s="180">
        <f>_xlfn.XLOOKUP(표8[[#This Row],[supplier_id]],표7[supplier_id],표7[supplier_name])</f>
        <v/>
      </c>
      <c r="D168" s="181" t="n">
        <v>577</v>
      </c>
      <c r="E168" t="inlineStr">
        <is>
          <t>KTA</t>
        </is>
      </c>
      <c r="F168" t="inlineStr">
        <is>
          <t>대산</t>
        </is>
      </c>
      <c r="G168" t="inlineStr">
        <is>
          <t>화학편람</t>
        </is>
      </c>
      <c r="H168" t="n">
        <v>2025</v>
      </c>
      <c r="J168">
        <f>_xlfn.XLOOKUP(표8[[#This Row],[location]],Location[location],Location[lat])</f>
        <v/>
      </c>
      <c r="K168">
        <f>_xlfn.XLOOKUP(표8[[#This Row],[location]],Location[location],Location[lon])</f>
        <v/>
      </c>
    </row>
    <row r="169">
      <c r="A169" s="180" t="inlineStr">
        <is>
          <t>M056</t>
        </is>
      </c>
      <c r="B169" s="180" t="inlineStr">
        <is>
          <t>S042</t>
        </is>
      </c>
      <c r="C169" s="180">
        <f>_xlfn.XLOOKUP(표8[[#This Row],[supplier_id]],표7[supplier_id],표7[supplier_name])</f>
        <v/>
      </c>
      <c r="D169" s="181" t="n">
        <v>351</v>
      </c>
      <c r="E169" t="inlineStr">
        <is>
          <t>KTA</t>
        </is>
      </c>
      <c r="F169" t="inlineStr">
        <is>
          <t>여수</t>
        </is>
      </c>
      <c r="G169" t="inlineStr">
        <is>
          <t>화학편람</t>
        </is>
      </c>
      <c r="H169" t="n">
        <v>2025</v>
      </c>
      <c r="J169">
        <f>_xlfn.XLOOKUP(표8[[#This Row],[location]],Location[location],Location[lat])</f>
        <v/>
      </c>
      <c r="K169">
        <f>_xlfn.XLOOKUP(표8[[#This Row],[location]],Location[location],Location[lon])</f>
        <v/>
      </c>
    </row>
    <row r="170">
      <c r="A170" s="180" t="inlineStr">
        <is>
          <t>M056</t>
        </is>
      </c>
      <c r="B170" t="inlineStr">
        <is>
          <t>S014</t>
        </is>
      </c>
      <c r="C170">
        <f>_xlfn.XLOOKUP(표8[[#This Row],[supplier_id]],표7[supplier_id],표7[supplier_name])</f>
        <v/>
      </c>
      <c r="D170" s="181" t="n">
        <v>400</v>
      </c>
      <c r="E170" t="inlineStr">
        <is>
          <t>KTA</t>
        </is>
      </c>
      <c r="F170" t="inlineStr">
        <is>
          <t>울산</t>
        </is>
      </c>
      <c r="G170" t="inlineStr">
        <is>
          <t>화학편람</t>
        </is>
      </c>
      <c r="H170" t="n">
        <v>2025</v>
      </c>
      <c r="J170">
        <f>_xlfn.XLOOKUP(표8[[#This Row],[location]],Location[location],Location[lat])</f>
        <v/>
      </c>
      <c r="K170">
        <f>_xlfn.XLOOKUP(표8[[#This Row],[location]],Location[location],Location[lon])</f>
        <v/>
      </c>
    </row>
    <row r="171">
      <c r="A171" s="180" t="inlineStr">
        <is>
          <t>M057</t>
        </is>
      </c>
      <c r="B171" s="180" t="inlineStr">
        <is>
          <t>S055</t>
        </is>
      </c>
      <c r="C171" s="180">
        <f>_xlfn.XLOOKUP(표8[[#This Row],[supplier_id]],표7[supplier_id],표7[supplier_name])</f>
        <v/>
      </c>
      <c r="D171" s="181" t="n">
        <v>100</v>
      </c>
      <c r="E171" t="inlineStr">
        <is>
          <t>KTA</t>
        </is>
      </c>
      <c r="F171" t="inlineStr">
        <is>
          <t>군산</t>
        </is>
      </c>
      <c r="G171" t="inlineStr">
        <is>
          <t>화학편람</t>
        </is>
      </c>
      <c r="H171" t="n">
        <v>2025</v>
      </c>
      <c r="I171" t="inlineStr">
        <is>
          <t>EPS(100)</t>
        </is>
      </c>
      <c r="J171">
        <f>_xlfn.XLOOKUP(표8[[#This Row],[location]],Location[location],Location[lat])</f>
        <v/>
      </c>
      <c r="K171">
        <f>_xlfn.XLOOKUP(표8[[#This Row],[location]],Location[location],Location[lon])</f>
        <v/>
      </c>
    </row>
    <row r="172">
      <c r="A172" s="180" t="inlineStr">
        <is>
          <t>M057</t>
        </is>
      </c>
      <c r="B172" s="180" t="inlineStr">
        <is>
          <t>S041</t>
        </is>
      </c>
      <c r="C172" s="180">
        <f>_xlfn.XLOOKUP(표8[[#This Row],[supplier_id]],표7[supplier_id],표7[supplier_name])</f>
        <v/>
      </c>
      <c r="D172" s="181" t="n">
        <v>90</v>
      </c>
      <c r="E172" t="inlineStr">
        <is>
          <t>KTA</t>
        </is>
      </c>
      <c r="F172" t="inlineStr">
        <is>
          <t>여수</t>
        </is>
      </c>
      <c r="G172" t="inlineStr">
        <is>
          <t>화학편람</t>
        </is>
      </c>
      <c r="H172" t="n">
        <v>2025</v>
      </c>
      <c r="I172" t="inlineStr">
        <is>
          <t>EPS(50)</t>
        </is>
      </c>
      <c r="J172">
        <f>_xlfn.XLOOKUP(표8[[#This Row],[location]],Location[location],Location[lat])</f>
        <v/>
      </c>
      <c r="K172">
        <f>_xlfn.XLOOKUP(표8[[#This Row],[location]],Location[location],Location[lon])</f>
        <v/>
      </c>
    </row>
    <row r="173">
      <c r="A173" t="inlineStr">
        <is>
          <t>M057</t>
        </is>
      </c>
      <c r="B173" t="inlineStr">
        <is>
          <t>S001</t>
        </is>
      </c>
      <c r="C173">
        <f>_xlfn.XLOOKUP(표8[[#This Row],[supplier_id]],표7[supplier_id],표7[supplier_name])</f>
        <v/>
      </c>
      <c r="D173" s="181">
        <f>265+80</f>
        <v/>
      </c>
      <c r="E173" t="inlineStr">
        <is>
          <t>KTA</t>
        </is>
      </c>
      <c r="F173" t="inlineStr">
        <is>
          <t>울산</t>
        </is>
      </c>
      <c r="G173" t="inlineStr">
        <is>
          <t>화학편람</t>
        </is>
      </c>
      <c r="H173" t="n">
        <v>2025</v>
      </c>
      <c r="I173" t="inlineStr">
        <is>
          <t>EPS(80)</t>
        </is>
      </c>
      <c r="J173">
        <f>_xlfn.XLOOKUP(표8[[#This Row],[location]],Location[location],Location[lat])</f>
        <v/>
      </c>
      <c r="K173">
        <f>_xlfn.XLOOKUP(표8[[#This Row],[location]],Location[location],Location[lon])</f>
        <v/>
      </c>
    </row>
    <row r="174">
      <c r="A174" t="inlineStr">
        <is>
          <t>M057</t>
        </is>
      </c>
      <c r="B174" t="inlineStr">
        <is>
          <t>S027</t>
        </is>
      </c>
      <c r="C174">
        <f>_xlfn.XLOOKUP(표8[[#This Row],[supplier_id]],표7[supplier_id],표7[supplier_name])</f>
        <v/>
      </c>
      <c r="D174" s="181" t="n">
        <v>266</v>
      </c>
      <c r="E174" t="inlineStr">
        <is>
          <t>KTA</t>
        </is>
      </c>
      <c r="F174" t="inlineStr">
        <is>
          <t>울산</t>
        </is>
      </c>
      <c r="G174" t="inlineStr">
        <is>
          <t>화학편람</t>
        </is>
      </c>
      <c r="H174" t="n">
        <v>2025</v>
      </c>
      <c r="J174">
        <f>_xlfn.XLOOKUP(표8[[#This Row],[location]],Location[location],Location[lat])</f>
        <v/>
      </c>
      <c r="K174">
        <f>_xlfn.XLOOKUP(표8[[#This Row],[location]],Location[location],Location[lon])</f>
        <v/>
      </c>
    </row>
    <row r="175">
      <c r="A175" t="inlineStr">
        <is>
          <t>M057</t>
        </is>
      </c>
      <c r="B175" t="inlineStr">
        <is>
          <t>S015</t>
        </is>
      </c>
      <c r="C175">
        <f>_xlfn.XLOOKUP(표8[[#This Row],[supplier_id]],표7[supplier_id],표7[supplier_name])</f>
        <v/>
      </c>
      <c r="D175" s="181">
        <f>148+80</f>
        <v/>
      </c>
      <c r="E175" t="inlineStr">
        <is>
          <t>KTA</t>
        </is>
      </c>
      <c r="F175" t="inlineStr">
        <is>
          <t>울산</t>
        </is>
      </c>
      <c r="G175" t="inlineStr">
        <is>
          <t>화학편람</t>
        </is>
      </c>
      <c r="H175" t="n">
        <v>2025</v>
      </c>
      <c r="I175" t="inlineStr">
        <is>
          <t>EPS(80)</t>
        </is>
      </c>
      <c r="J175">
        <f>_xlfn.XLOOKUP(표8[[#This Row],[location]],Location[location],Location[lat])</f>
        <v/>
      </c>
      <c r="K175">
        <f>_xlfn.XLOOKUP(표8[[#This Row],[location]],Location[location],Location[lon])</f>
        <v/>
      </c>
    </row>
    <row r="176">
      <c r="A176" t="inlineStr">
        <is>
          <t>M057</t>
        </is>
      </c>
      <c r="B176" t="inlineStr">
        <is>
          <t>S025</t>
        </is>
      </c>
      <c r="C176">
        <f>_xlfn.XLOOKUP(표8[[#This Row],[supplier_id]],표7[supplier_id],표7[supplier_name])</f>
        <v/>
      </c>
      <c r="D176" s="181" t="n">
        <v>85</v>
      </c>
      <c r="E176" t="inlineStr">
        <is>
          <t>KTA</t>
        </is>
      </c>
      <c r="F176" t="inlineStr">
        <is>
          <t>울산</t>
        </is>
      </c>
      <c r="G176" t="inlineStr">
        <is>
          <t>화학편람</t>
        </is>
      </c>
      <c r="H176" t="n">
        <v>2025</v>
      </c>
      <c r="I176" t="inlineStr">
        <is>
          <t>EPS(85)</t>
        </is>
      </c>
      <c r="J176">
        <f>_xlfn.XLOOKUP(표8[[#This Row],[location]],Location[location],Location[lat])</f>
        <v/>
      </c>
      <c r="K176">
        <f>_xlfn.XLOOKUP(표8[[#This Row],[location]],Location[location],Location[lon])</f>
        <v/>
      </c>
    </row>
    <row r="177">
      <c r="A177" t="inlineStr">
        <is>
          <t>M058</t>
        </is>
      </c>
      <c r="B177" t="inlineStr">
        <is>
          <t>S041</t>
        </is>
      </c>
      <c r="C177" s="180">
        <f>_xlfn.XLOOKUP(표8[[#This Row],[supplier_id]],표7[supplier_id],표7[supplier_name])</f>
        <v/>
      </c>
      <c r="D177" s="181" t="n">
        <v>450</v>
      </c>
      <c r="E177" t="inlineStr">
        <is>
          <t>KTA</t>
        </is>
      </c>
      <c r="F177" t="inlineStr">
        <is>
          <t>대산</t>
        </is>
      </c>
      <c r="G177" t="inlineStr">
        <is>
          <t>S&amp;P CEH</t>
        </is>
      </c>
      <c r="H177" t="n">
        <v>2025</v>
      </c>
      <c r="J177">
        <f>_xlfn.XLOOKUP(표8[[#This Row],[location]],Location[location],Location[lat])</f>
        <v/>
      </c>
      <c r="K177">
        <f>_xlfn.XLOOKUP(표8[[#This Row],[location]],Location[location],Location[lon])</f>
        <v/>
      </c>
    </row>
    <row r="178">
      <c r="A178" t="inlineStr">
        <is>
          <t>M058</t>
        </is>
      </c>
      <c r="B178" t="inlineStr">
        <is>
          <t>S041</t>
        </is>
      </c>
      <c r="C178" s="180">
        <f>_xlfn.XLOOKUP(표8[[#This Row],[supplier_id]],표7[supplier_id],표7[supplier_name])</f>
        <v/>
      </c>
      <c r="D178" s="181" t="n">
        <v>450</v>
      </c>
      <c r="E178" t="inlineStr">
        <is>
          <t>KTA</t>
        </is>
      </c>
      <c r="F178" t="inlineStr">
        <is>
          <t>여수</t>
        </is>
      </c>
      <c r="G178" t="inlineStr">
        <is>
          <t>S&amp;P CEH</t>
        </is>
      </c>
      <c r="H178" t="n">
        <v>2025</v>
      </c>
      <c r="J178">
        <f>_xlfn.XLOOKUP(표8[[#This Row],[location]],Location[location],Location[lat])</f>
        <v/>
      </c>
      <c r="K178">
        <f>_xlfn.XLOOKUP(표8[[#This Row],[location]],Location[location],Location[lon])</f>
        <v/>
      </c>
    </row>
    <row r="179">
      <c r="A179" t="inlineStr">
        <is>
          <t>M058</t>
        </is>
      </c>
      <c r="B179" s="180" t="inlineStr">
        <is>
          <t>S035</t>
        </is>
      </c>
      <c r="C179" s="180">
        <f>_xlfn.XLOOKUP(표8[[#This Row],[supplier_id]],표7[supplier_id],표7[supplier_name])</f>
        <v/>
      </c>
      <c r="D179" s="181" t="n">
        <v>430</v>
      </c>
      <c r="E179" t="inlineStr">
        <is>
          <t>KTA</t>
        </is>
      </c>
      <c r="F179" t="inlineStr">
        <is>
          <t>여수</t>
        </is>
      </c>
      <c r="G179" t="inlineStr">
        <is>
          <t>S&amp;P CEH</t>
        </is>
      </c>
      <c r="H179" t="n">
        <v>2025</v>
      </c>
      <c r="J179">
        <f>_xlfn.XLOOKUP(표8[[#This Row],[location]],Location[location],Location[lat])</f>
        <v/>
      </c>
      <c r="K179">
        <f>_xlfn.XLOOKUP(표8[[#This Row],[location]],Location[location],Location[lon])</f>
        <v/>
      </c>
    </row>
    <row r="180">
      <c r="A180" t="inlineStr">
        <is>
          <t>M058</t>
        </is>
      </c>
      <c r="B180" s="180" t="inlineStr">
        <is>
          <t>S035</t>
        </is>
      </c>
      <c r="C180" s="180">
        <f>_xlfn.XLOOKUP(표8[[#This Row],[supplier_id]],표7[supplier_id],표7[supplier_name])</f>
        <v/>
      </c>
      <c r="D180" s="181" t="n">
        <v>470</v>
      </c>
      <c r="E180" t="inlineStr">
        <is>
          <t>KTA</t>
        </is>
      </c>
      <c r="F180" t="inlineStr">
        <is>
          <t>여수</t>
        </is>
      </c>
      <c r="G180" t="inlineStr">
        <is>
          <t>S&amp;P CEH</t>
        </is>
      </c>
      <c r="H180" t="n">
        <v>2025</v>
      </c>
      <c r="J180">
        <f>_xlfn.XLOOKUP(표8[[#This Row],[location]],Location[location],Location[lat])</f>
        <v/>
      </c>
      <c r="K180">
        <f>_xlfn.XLOOKUP(표8[[#This Row],[location]],Location[location],Location[lon])</f>
        <v/>
      </c>
    </row>
    <row r="181">
      <c r="A181" s="180" t="inlineStr">
        <is>
          <t>M058</t>
        </is>
      </c>
      <c r="B181" s="180" t="inlineStr">
        <is>
          <t>S045</t>
        </is>
      </c>
      <c r="C181" s="180">
        <f>_xlfn.XLOOKUP(표8[[#This Row],[supplier_id]],표7[supplier_id],표7[supplier_name])</f>
        <v/>
      </c>
      <c r="D181" s="181" t="n">
        <v>475</v>
      </c>
      <c r="E181" t="inlineStr">
        <is>
          <t>KTA</t>
        </is>
      </c>
      <c r="F181" t="inlineStr">
        <is>
          <t>여수</t>
        </is>
      </c>
      <c r="G181" t="inlineStr">
        <is>
          <t>S&amp;P CEH</t>
        </is>
      </c>
      <c r="H181" t="n">
        <v>2025</v>
      </c>
      <c r="J181">
        <f>_xlfn.XLOOKUP(표8[[#This Row],[location]],Location[location],Location[lat])</f>
        <v/>
      </c>
      <c r="K181">
        <f>_xlfn.XLOOKUP(표8[[#This Row],[location]],Location[location],Location[lon])</f>
        <v/>
      </c>
    </row>
    <row r="182">
      <c r="A182" s="180" t="inlineStr">
        <is>
          <t>M059</t>
        </is>
      </c>
      <c r="B182" s="180" t="inlineStr">
        <is>
          <t>S041</t>
        </is>
      </c>
      <c r="C182" s="180">
        <f>_xlfn.XLOOKUP(표8[[#This Row],[supplier_id]],표7[supplier_id],표7[supplier_name])</f>
        <v/>
      </c>
      <c r="D182" s="181" t="n">
        <v>360</v>
      </c>
      <c r="E182" t="inlineStr">
        <is>
          <t>KTA</t>
        </is>
      </c>
      <c r="F182" t="inlineStr">
        <is>
          <t>대산</t>
        </is>
      </c>
      <c r="G182" t="inlineStr">
        <is>
          <t>화학편람</t>
        </is>
      </c>
      <c r="H182" t="n">
        <v>2025</v>
      </c>
      <c r="J182">
        <f>_xlfn.XLOOKUP(표8[[#This Row],[location]],Location[location],Location[lat])</f>
        <v/>
      </c>
      <c r="K182">
        <f>_xlfn.XLOOKUP(표8[[#This Row],[location]],Location[location],Location[lon])</f>
        <v/>
      </c>
    </row>
    <row r="183">
      <c r="A183" s="180" t="inlineStr">
        <is>
          <t>M059</t>
        </is>
      </c>
      <c r="B183" s="180" t="inlineStr">
        <is>
          <t>S035</t>
        </is>
      </c>
      <c r="C183" s="180">
        <f>_xlfn.XLOOKUP(표8[[#This Row],[supplier_id]],표7[supplier_id],표7[supplier_name])</f>
        <v/>
      </c>
      <c r="D183" s="181" t="n">
        <v>680</v>
      </c>
      <c r="E183" t="inlineStr">
        <is>
          <t>KTA</t>
        </is>
      </c>
      <c r="F183" t="inlineStr">
        <is>
          <t>여수</t>
        </is>
      </c>
      <c r="G183" t="inlineStr">
        <is>
          <t>화학편람</t>
        </is>
      </c>
      <c r="H183" t="n">
        <v>2025</v>
      </c>
      <c r="J183">
        <f>_xlfn.XLOOKUP(표8[[#This Row],[location]],Location[location],Location[lat])</f>
        <v/>
      </c>
      <c r="K183">
        <f>_xlfn.XLOOKUP(표8[[#This Row],[location]],Location[location],Location[lon])</f>
        <v/>
      </c>
    </row>
    <row r="184">
      <c r="A184" s="180" t="inlineStr">
        <is>
          <t>M059</t>
        </is>
      </c>
      <c r="B184" s="180" t="inlineStr">
        <is>
          <t>S041</t>
        </is>
      </c>
      <c r="C184" s="180">
        <f>_xlfn.XLOOKUP(표8[[#This Row],[supplier_id]],표7[supplier_id],표7[supplier_name])</f>
        <v/>
      </c>
      <c r="D184" s="181" t="n">
        <v>350</v>
      </c>
      <c r="E184" t="inlineStr">
        <is>
          <t>KTA</t>
        </is>
      </c>
      <c r="F184" t="inlineStr">
        <is>
          <t>여수</t>
        </is>
      </c>
      <c r="G184" t="inlineStr">
        <is>
          <t>화학편람</t>
        </is>
      </c>
      <c r="H184" t="n">
        <v>2025</v>
      </c>
      <c r="J184">
        <f>_xlfn.XLOOKUP(표8[[#This Row],[location]],Location[location],Location[lat])</f>
        <v/>
      </c>
      <c r="K184">
        <f>_xlfn.XLOOKUP(표8[[#This Row],[location]],Location[location],Location[lon])</f>
        <v/>
      </c>
    </row>
    <row r="185">
      <c r="A185" s="180" t="inlineStr">
        <is>
          <t>M060</t>
        </is>
      </c>
      <c r="B185" s="180" t="inlineStr">
        <is>
          <t>S041</t>
        </is>
      </c>
      <c r="C185" s="180">
        <f>_xlfn.XLOOKUP(표8[[#This Row],[supplier_id]],표7[supplier_id],표7[supplier_name])</f>
        <v/>
      </c>
      <c r="D185" s="181" t="n">
        <v>225</v>
      </c>
      <c r="E185" t="inlineStr">
        <is>
          <t>KTA</t>
        </is>
      </c>
      <c r="F185" t="inlineStr">
        <is>
          <t>대산</t>
        </is>
      </c>
      <c r="G185" t="inlineStr">
        <is>
          <t>화학편람</t>
        </is>
      </c>
      <c r="H185" t="n">
        <v>2025</v>
      </c>
      <c r="J185">
        <f>_xlfn.XLOOKUP(표8[[#This Row],[location]],Location[location],Location[lat])</f>
        <v/>
      </c>
      <c r="K185">
        <f>_xlfn.XLOOKUP(표8[[#This Row],[location]],Location[location],Location[lon])</f>
        <v/>
      </c>
    </row>
    <row r="186">
      <c r="A186" s="180" t="inlineStr">
        <is>
          <t>M060</t>
        </is>
      </c>
      <c r="B186" s="180" t="inlineStr">
        <is>
          <t>S035</t>
        </is>
      </c>
      <c r="C186" s="180">
        <f>_xlfn.XLOOKUP(표8[[#This Row],[supplier_id]],표7[supplier_id],표7[supplier_name])</f>
        <v/>
      </c>
      <c r="D186" s="181" t="n">
        <v>420</v>
      </c>
      <c r="E186" t="inlineStr">
        <is>
          <t>KTA</t>
        </is>
      </c>
      <c r="F186" t="inlineStr">
        <is>
          <t>여수</t>
        </is>
      </c>
      <c r="G186" t="inlineStr">
        <is>
          <t>화학편람</t>
        </is>
      </c>
      <c r="H186" t="n">
        <v>2025</v>
      </c>
      <c r="J186">
        <f>_xlfn.XLOOKUP(표8[[#This Row],[location]],Location[location],Location[lat])</f>
        <v/>
      </c>
      <c r="K186">
        <f>_xlfn.XLOOKUP(표8[[#This Row],[location]],Location[location],Location[lon])</f>
        <v/>
      </c>
    </row>
    <row r="187">
      <c r="A187" s="180" t="inlineStr">
        <is>
          <t>M060</t>
        </is>
      </c>
      <c r="B187" s="180" t="inlineStr">
        <is>
          <t>S041</t>
        </is>
      </c>
      <c r="C187" s="180">
        <f>_xlfn.XLOOKUP(표8[[#This Row],[supplier_id]],표7[supplier_id],표7[supplier_name])</f>
        <v/>
      </c>
      <c r="D187" s="181" t="n">
        <v>210</v>
      </c>
      <c r="E187" t="inlineStr">
        <is>
          <t>KTA</t>
        </is>
      </c>
      <c r="F187" t="inlineStr">
        <is>
          <t>여수</t>
        </is>
      </c>
      <c r="G187" t="inlineStr">
        <is>
          <t>화학편람</t>
        </is>
      </c>
      <c r="H187" t="n">
        <v>2025</v>
      </c>
      <c r="J187">
        <f>_xlfn.XLOOKUP(표8[[#This Row],[location]],Location[location],Location[lat])</f>
        <v/>
      </c>
      <c r="K187">
        <f>_xlfn.XLOOKUP(표8[[#This Row],[location]],Location[location],Location[lon])</f>
        <v/>
      </c>
    </row>
    <row r="188">
      <c r="A188" s="180" t="inlineStr">
        <is>
          <t>M061</t>
        </is>
      </c>
      <c r="B188" s="180" t="inlineStr">
        <is>
          <t>S051</t>
        </is>
      </c>
      <c r="C188" s="180">
        <f>_xlfn.XLOOKUP(표8[[#This Row],[supplier_id]],표7[supplier_id],표7[supplier_name])</f>
        <v/>
      </c>
      <c r="D188" s="181" t="n">
        <v>180</v>
      </c>
      <c r="E188" t="inlineStr">
        <is>
          <t>KTA</t>
        </is>
      </c>
      <c r="F188" t="inlineStr">
        <is>
          <t>군산</t>
        </is>
      </c>
      <c r="G188" t="inlineStr">
        <is>
          <t>화학편람</t>
        </is>
      </c>
      <c r="H188" t="n">
        <v>2025</v>
      </c>
      <c r="J188">
        <f>_xlfn.XLOOKUP(표8[[#This Row],[location]],Location[location],Location[lat])</f>
        <v/>
      </c>
      <c r="K188">
        <f>_xlfn.XLOOKUP(표8[[#This Row],[location]],Location[location],Location[lon])</f>
        <v/>
      </c>
    </row>
    <row r="189">
      <c r="A189" s="180" t="inlineStr">
        <is>
          <t>M061</t>
        </is>
      </c>
      <c r="B189" s="180" t="inlineStr">
        <is>
          <t>S041</t>
        </is>
      </c>
      <c r="C189" s="180">
        <f>_xlfn.XLOOKUP(표8[[#This Row],[supplier_id]],표7[supplier_id],표7[supplier_name])</f>
        <v/>
      </c>
      <c r="D189" s="181" t="n">
        <v>165</v>
      </c>
      <c r="E189" t="inlineStr">
        <is>
          <t>KTA</t>
        </is>
      </c>
      <c r="F189" t="inlineStr">
        <is>
          <t>대산</t>
        </is>
      </c>
      <c r="G189" t="inlineStr">
        <is>
          <t>화학편람</t>
        </is>
      </c>
      <c r="H189" t="n">
        <v>2025</v>
      </c>
      <c r="J189">
        <f>_xlfn.XLOOKUP(표8[[#This Row],[location]],Location[location],Location[lat])</f>
        <v/>
      </c>
      <c r="K189">
        <f>_xlfn.XLOOKUP(표8[[#This Row],[location]],Location[location],Location[lon])</f>
        <v/>
      </c>
    </row>
    <row r="190">
      <c r="A190" s="180" t="inlineStr">
        <is>
          <t>M061</t>
        </is>
      </c>
      <c r="B190" s="180" t="inlineStr">
        <is>
          <t>S035</t>
        </is>
      </c>
      <c r="C190" s="180">
        <f>_xlfn.XLOOKUP(표8[[#This Row],[supplier_id]],표7[supplier_id],표7[supplier_name])</f>
        <v/>
      </c>
      <c r="D190" s="181" t="n">
        <v>450</v>
      </c>
      <c r="E190" t="inlineStr">
        <is>
          <t>KTA</t>
        </is>
      </c>
      <c r="F190" t="inlineStr">
        <is>
          <t>여수</t>
        </is>
      </c>
      <c r="G190" t="inlineStr">
        <is>
          <t>화학편람</t>
        </is>
      </c>
      <c r="H190" t="n">
        <v>2025</v>
      </c>
      <c r="J190">
        <f>_xlfn.XLOOKUP(표8[[#This Row],[location]],Location[location],Location[lat])</f>
        <v/>
      </c>
      <c r="K190">
        <f>_xlfn.XLOOKUP(표8[[#This Row],[location]],Location[location],Location[lon])</f>
        <v/>
      </c>
    </row>
    <row r="191">
      <c r="A191" s="180" t="inlineStr">
        <is>
          <t>M061</t>
        </is>
      </c>
      <c r="B191" s="180" t="inlineStr">
        <is>
          <t>S041</t>
        </is>
      </c>
      <c r="C191" s="180">
        <f>_xlfn.XLOOKUP(표8[[#This Row],[supplier_id]],표7[supplier_id],표7[supplier_name])</f>
        <v/>
      </c>
      <c r="D191" s="181" t="n">
        <v>330</v>
      </c>
      <c r="E191" t="inlineStr">
        <is>
          <t>KTA</t>
        </is>
      </c>
      <c r="F191" t="inlineStr">
        <is>
          <t>여수</t>
        </is>
      </c>
      <c r="G191" t="inlineStr">
        <is>
          <t>화학편람</t>
        </is>
      </c>
      <c r="H191" t="n">
        <v>2025</v>
      </c>
      <c r="J191">
        <f>_xlfn.XLOOKUP(표8[[#This Row],[location]],Location[location],Location[lat])</f>
        <v/>
      </c>
      <c r="K191">
        <f>_xlfn.XLOOKUP(표8[[#This Row],[location]],Location[location],Location[lon])</f>
        <v/>
      </c>
    </row>
    <row r="192">
      <c r="A192" s="180" t="inlineStr">
        <is>
          <t>M062</t>
        </is>
      </c>
      <c r="B192" s="180" t="inlineStr">
        <is>
          <t>S005</t>
        </is>
      </c>
      <c r="C192" s="180">
        <f>_xlfn.XLOOKUP(표8[[#This Row],[supplier_id]],표7[supplier_id],표7[supplier_name])</f>
        <v/>
      </c>
      <c r="D192" s="181" t="n">
        <v>480</v>
      </c>
      <c r="E192" t="inlineStr">
        <is>
          <t>KTA</t>
        </is>
      </c>
      <c r="F192" t="inlineStr">
        <is>
          <t>여수</t>
        </is>
      </c>
      <c r="G192" t="inlineStr">
        <is>
          <t>화학편람</t>
        </is>
      </c>
      <c r="H192" t="n">
        <v>2025</v>
      </c>
      <c r="J192">
        <f>_xlfn.XLOOKUP(표8[[#This Row],[location]],Location[location],Location[lat])</f>
        <v/>
      </c>
      <c r="K192">
        <f>_xlfn.XLOOKUP(표8[[#This Row],[location]],Location[location],Location[lon])</f>
        <v/>
      </c>
    </row>
    <row r="193">
      <c r="A193" s="180" t="inlineStr">
        <is>
          <t>M062</t>
        </is>
      </c>
      <c r="B193" s="180" t="inlineStr">
        <is>
          <t>S041</t>
        </is>
      </c>
      <c r="C193" s="180">
        <f>_xlfn.XLOOKUP(표8[[#This Row],[supplier_id]],표7[supplier_id],표7[supplier_name])</f>
        <v/>
      </c>
      <c r="D193" s="181" t="n">
        <v>170</v>
      </c>
      <c r="E193" t="inlineStr">
        <is>
          <t>KTA</t>
        </is>
      </c>
      <c r="F193" t="inlineStr">
        <is>
          <t>여수</t>
        </is>
      </c>
      <c r="G193" t="inlineStr">
        <is>
          <t>화학편람</t>
        </is>
      </c>
      <c r="H193" t="n">
        <v>2025</v>
      </c>
      <c r="J193">
        <f>_xlfn.XLOOKUP(표8[[#This Row],[location]],Location[location],Location[lat])</f>
        <v/>
      </c>
      <c r="K193">
        <f>_xlfn.XLOOKUP(표8[[#This Row],[location]],Location[location],Location[lon])</f>
        <v/>
      </c>
    </row>
    <row r="194">
      <c r="A194" s="180" t="inlineStr">
        <is>
          <t>M062</t>
        </is>
      </c>
      <c r="B194" s="180" t="inlineStr">
        <is>
          <t>S054</t>
        </is>
      </c>
      <c r="C194" s="180">
        <f>_xlfn.XLOOKUP(표8[[#This Row],[supplier_id]],표7[supplier_id],표7[supplier_name])</f>
        <v/>
      </c>
      <c r="D194" s="181" t="n">
        <v>120</v>
      </c>
      <c r="E194" t="inlineStr">
        <is>
          <t>KTA</t>
        </is>
      </c>
      <c r="F194" t="inlineStr">
        <is>
          <t>포항</t>
        </is>
      </c>
      <c r="G194" t="inlineStr">
        <is>
          <t>화학편람</t>
        </is>
      </c>
      <c r="H194" t="n">
        <v>2025</v>
      </c>
      <c r="J194">
        <f>_xlfn.XLOOKUP(표8[[#This Row],[location]],Location[location],Location[lat])</f>
        <v/>
      </c>
      <c r="K194">
        <f>_xlfn.XLOOKUP(표8[[#This Row],[location]],Location[location],Location[lon])</f>
        <v/>
      </c>
    </row>
    <row r="195">
      <c r="A195" s="180" t="inlineStr">
        <is>
          <t>M063</t>
        </is>
      </c>
      <c r="B195" s="180" t="inlineStr">
        <is>
          <t>S023</t>
        </is>
      </c>
      <c r="C195" s="180">
        <f>_xlfn.XLOOKUP(표8[[#This Row],[supplier_id]],표7[supplier_id],표7[supplier_name])</f>
        <v/>
      </c>
      <c r="D195" s="181" t="n">
        <v>52</v>
      </c>
      <c r="E195" t="inlineStr">
        <is>
          <t>KTA</t>
        </is>
      </c>
      <c r="F195" t="inlineStr">
        <is>
          <t>김천</t>
        </is>
      </c>
      <c r="G195" t="inlineStr">
        <is>
          <t>화학편람</t>
        </is>
      </c>
      <c r="H195" t="n">
        <v>2025</v>
      </c>
      <c r="J195">
        <f>_xlfn.XLOOKUP(표8[[#This Row],[location]],Location[location],Location[lat])</f>
        <v/>
      </c>
      <c r="K195">
        <f>_xlfn.XLOOKUP(표8[[#This Row],[location]],Location[location],Location[lon])</f>
        <v/>
      </c>
    </row>
    <row r="196">
      <c r="A196" t="inlineStr">
        <is>
          <t>M063</t>
        </is>
      </c>
      <c r="B196" s="180" t="inlineStr">
        <is>
          <t>S052</t>
        </is>
      </c>
      <c r="C196" s="180">
        <f>_xlfn.XLOOKUP(표8[[#This Row],[supplier_id]],표7[supplier_id],표7[supplier_name])</f>
        <v/>
      </c>
      <c r="D196" s="181" t="n">
        <v>530</v>
      </c>
      <c r="E196" t="inlineStr">
        <is>
          <t>KTA</t>
        </is>
      </c>
      <c r="F196" t="inlineStr">
        <is>
          <t>부산</t>
        </is>
      </c>
      <c r="G196" t="inlineStr">
        <is>
          <t>화학편람</t>
        </is>
      </c>
      <c r="H196" t="n">
        <v>2025</v>
      </c>
      <c r="J196">
        <f>_xlfn.XLOOKUP(표8[[#This Row],[location]],Location[location],Location[lat])</f>
        <v/>
      </c>
      <c r="K196">
        <f>_xlfn.XLOOKUP(표8[[#This Row],[location]],Location[location],Location[lon])</f>
        <v/>
      </c>
    </row>
    <row r="197">
      <c r="A197" s="180" t="inlineStr">
        <is>
          <t>M063</t>
        </is>
      </c>
      <c r="B197" s="180" t="inlineStr">
        <is>
          <t>S035</t>
        </is>
      </c>
      <c r="C197" s="180">
        <f>_xlfn.XLOOKUP(표8[[#This Row],[supplier_id]],표7[supplier_id],표7[supplier_name])</f>
        <v/>
      </c>
      <c r="D197" s="181" t="n">
        <v>338</v>
      </c>
      <c r="E197" t="inlineStr">
        <is>
          <t>KTA</t>
        </is>
      </c>
      <c r="F197" t="inlineStr">
        <is>
          <t>여수</t>
        </is>
      </c>
      <c r="G197" t="inlineStr">
        <is>
          <t>화학편람</t>
        </is>
      </c>
      <c r="H197" t="n">
        <v>2025</v>
      </c>
      <c r="J197">
        <f>_xlfn.XLOOKUP(표8[[#This Row],[location]],Location[location],Location[lat])</f>
        <v/>
      </c>
      <c r="K197">
        <f>_xlfn.XLOOKUP(표8[[#This Row],[location]],Location[location],Location[lon])</f>
        <v/>
      </c>
    </row>
    <row r="198">
      <c r="A198" s="180" t="inlineStr">
        <is>
          <t>M064</t>
        </is>
      </c>
      <c r="B198" t="inlineStr">
        <is>
          <t>S020</t>
        </is>
      </c>
      <c r="C198">
        <f>_xlfn.XLOOKUP(표8[[#This Row],[supplier_id]],표7[supplier_id],표7[supplier_name])</f>
        <v/>
      </c>
      <c r="D198" s="181" t="n">
        <v>190</v>
      </c>
      <c r="E198" t="inlineStr">
        <is>
          <t>KTA</t>
        </is>
      </c>
      <c r="F198" t="inlineStr">
        <is>
          <t>울산</t>
        </is>
      </c>
      <c r="G198" t="inlineStr">
        <is>
          <t>화학편람</t>
        </is>
      </c>
      <c r="H198" t="n">
        <v>2025</v>
      </c>
      <c r="J198">
        <f>_xlfn.XLOOKUP(표8[[#This Row],[location]],Location[location],Location[lat])</f>
        <v/>
      </c>
      <c r="K198">
        <f>_xlfn.XLOOKUP(표8[[#This Row],[location]],Location[location],Location[lon])</f>
        <v/>
      </c>
    </row>
    <row r="199">
      <c r="A199" s="180" t="inlineStr">
        <is>
          <t>M064</t>
        </is>
      </c>
      <c r="B199" t="inlineStr">
        <is>
          <t>S011</t>
        </is>
      </c>
      <c r="C199">
        <f>_xlfn.XLOOKUP(표8[[#This Row],[supplier_id]],표7[supplier_id],표7[supplier_name])</f>
        <v/>
      </c>
      <c r="D199" s="181" t="n">
        <v>160</v>
      </c>
      <c r="E199" t="inlineStr">
        <is>
          <t>KTA</t>
        </is>
      </c>
      <c r="F199" t="inlineStr">
        <is>
          <t>울산</t>
        </is>
      </c>
      <c r="G199" t="inlineStr">
        <is>
          <t>화학편람</t>
        </is>
      </c>
      <c r="H199" t="n">
        <v>2025</v>
      </c>
      <c r="J199">
        <f>_xlfn.XLOOKUP(표8[[#This Row],[location]],Location[location],Location[lat])</f>
        <v/>
      </c>
      <c r="K199">
        <f>_xlfn.XLOOKUP(표8[[#This Row],[location]],Location[location],Location[lon])</f>
        <v/>
      </c>
    </row>
    <row r="200">
      <c r="A200" t="inlineStr">
        <is>
          <t>M065</t>
        </is>
      </c>
      <c r="B200" t="inlineStr">
        <is>
          <t>S025</t>
        </is>
      </c>
      <c r="C200" s="180">
        <f>_xlfn.XLOOKUP(표8[[#This Row],[supplier_id]],표7[supplier_id],표7[supplier_name])</f>
        <v/>
      </c>
      <c r="D200" s="181" t="n">
        <v>155</v>
      </c>
      <c r="E200" t="inlineStr">
        <is>
          <t>KTA</t>
        </is>
      </c>
      <c r="F200" t="inlineStr">
        <is>
          <t>여수</t>
        </is>
      </c>
      <c r="G200" t="inlineStr">
        <is>
          <t>S&amp;P CEH</t>
        </is>
      </c>
      <c r="H200" t="n">
        <v>2024</v>
      </c>
      <c r="J200">
        <f>_xlfn.XLOOKUP(표8[[#This Row],[location]],Location[location],Location[lat])</f>
        <v/>
      </c>
      <c r="K200">
        <f>_xlfn.XLOOKUP(표8[[#This Row],[location]],Location[location],Location[lon])</f>
        <v/>
      </c>
    </row>
    <row r="201">
      <c r="A201" t="inlineStr">
        <is>
          <t>M065</t>
        </is>
      </c>
      <c r="B201" t="inlineStr">
        <is>
          <t>S033</t>
        </is>
      </c>
      <c r="C201" s="180">
        <f>_xlfn.XLOOKUP(표8[[#This Row],[supplier_id]],표7[supplier_id],표7[supplier_name])</f>
        <v/>
      </c>
      <c r="D201" s="181" t="n">
        <v>320</v>
      </c>
      <c r="E201" t="inlineStr">
        <is>
          <t>KTA</t>
        </is>
      </c>
      <c r="F201" t="inlineStr">
        <is>
          <t>여수</t>
        </is>
      </c>
      <c r="G201" t="inlineStr">
        <is>
          <t>S&amp;P CEH</t>
        </is>
      </c>
      <c r="H201" t="n">
        <v>2024</v>
      </c>
      <c r="J201">
        <f>_xlfn.XLOOKUP(표8[[#This Row],[location]],Location[location],Location[lat])</f>
        <v/>
      </c>
      <c r="K201">
        <f>_xlfn.XLOOKUP(표8[[#This Row],[location]],Location[location],Location[lon])</f>
        <v/>
      </c>
    </row>
    <row r="202">
      <c r="A202" s="180" t="inlineStr">
        <is>
          <t>M066</t>
        </is>
      </c>
      <c r="B202" t="inlineStr">
        <is>
          <t>S019</t>
        </is>
      </c>
      <c r="C202">
        <f>_xlfn.XLOOKUP(표8[[#This Row],[supplier_id]],표7[supplier_id],표7[supplier_name])</f>
        <v/>
      </c>
      <c r="D202" s="181" t="n">
        <v>180</v>
      </c>
      <c r="E202" t="inlineStr">
        <is>
          <t>KTA</t>
        </is>
      </c>
      <c r="F202" t="inlineStr">
        <is>
          <t>울산</t>
        </is>
      </c>
      <c r="G202" t="inlineStr">
        <is>
          <t>화학편람</t>
        </is>
      </c>
      <c r="H202" t="n">
        <v>2025</v>
      </c>
      <c r="J202">
        <f>_xlfn.XLOOKUP(표8[[#This Row],[location]],Location[location],Location[lat])</f>
        <v/>
      </c>
      <c r="K202">
        <f>_xlfn.XLOOKUP(표8[[#This Row],[location]],Location[location],Location[lon])</f>
        <v/>
      </c>
    </row>
    <row r="203">
      <c r="A203" t="inlineStr">
        <is>
          <t>M068</t>
        </is>
      </c>
      <c r="B203" t="inlineStr">
        <is>
          <t>S016</t>
        </is>
      </c>
      <c r="C203">
        <f>_xlfn.XLOOKUP(표8[[#This Row],[supplier_id]],표7[supplier_id],표7[supplier_name])</f>
        <v/>
      </c>
      <c r="D203" s="181" t="n">
        <v>38</v>
      </c>
      <c r="E203" t="inlineStr">
        <is>
          <t>KTA</t>
        </is>
      </c>
      <c r="F203" t="inlineStr">
        <is>
          <t>울산</t>
        </is>
      </c>
      <c r="G203" t="inlineStr">
        <is>
          <t>화학편람</t>
        </is>
      </c>
      <c r="H203" t="n">
        <v>2025</v>
      </c>
      <c r="J203">
        <f>_xlfn.XLOOKUP(표8[[#This Row],[location]],Location[location],Location[lat])</f>
        <v/>
      </c>
      <c r="K203">
        <f>_xlfn.XLOOKUP(표8[[#This Row],[location]],Location[location],Location[lon])</f>
        <v/>
      </c>
    </row>
    <row r="204">
      <c r="A204" t="inlineStr">
        <is>
          <t>M068</t>
        </is>
      </c>
      <c r="B204" t="inlineStr">
        <is>
          <t>S022</t>
        </is>
      </c>
      <c r="C204">
        <f>_xlfn.XLOOKUP(표8[[#This Row],[supplier_id]],표7[supplier_id],표7[supplier_name])</f>
        <v/>
      </c>
      <c r="D204" s="181" t="n">
        <v>30</v>
      </c>
      <c r="E204" t="inlineStr">
        <is>
          <t>KTA</t>
        </is>
      </c>
      <c r="F204" t="inlineStr">
        <is>
          <t>울산</t>
        </is>
      </c>
      <c r="G204" t="inlineStr">
        <is>
          <t>화학편람</t>
        </is>
      </c>
      <c r="H204" t="n">
        <v>2025</v>
      </c>
      <c r="J204">
        <f>_xlfn.XLOOKUP(표8[[#This Row],[location]],Location[location],Location[lat])</f>
        <v/>
      </c>
      <c r="K204">
        <f>_xlfn.XLOOKUP(표8[[#This Row],[location]],Location[location],Location[lon])</f>
        <v/>
      </c>
    </row>
    <row r="205">
      <c r="A205" s="180" t="inlineStr">
        <is>
          <t>M068</t>
        </is>
      </c>
      <c r="B205" t="inlineStr">
        <is>
          <t>S006</t>
        </is>
      </c>
      <c r="C205">
        <f>_xlfn.XLOOKUP(표8[[#This Row],[supplier_id]],표7[supplier_id],표7[supplier_name])</f>
        <v/>
      </c>
      <c r="D205" s="181" t="n">
        <v>8</v>
      </c>
      <c r="E205" t="inlineStr">
        <is>
          <t>KTA</t>
        </is>
      </c>
      <c r="F205" t="inlineStr">
        <is>
          <t>울산</t>
        </is>
      </c>
      <c r="G205" t="inlineStr">
        <is>
          <t>화학편람</t>
        </is>
      </c>
      <c r="H205" t="n">
        <v>2025</v>
      </c>
      <c r="J205">
        <f>_xlfn.XLOOKUP(표8[[#This Row],[location]],Location[location],Location[lat])</f>
        <v/>
      </c>
      <c r="K205">
        <f>_xlfn.XLOOKUP(표8[[#This Row],[location]],Location[location],Location[lon])</f>
        <v/>
      </c>
    </row>
    <row r="206">
      <c r="A206" s="180" t="inlineStr">
        <is>
          <t>M070</t>
        </is>
      </c>
      <c r="B206" t="inlineStr">
        <is>
          <t>S004</t>
        </is>
      </c>
      <c r="C206">
        <f>_xlfn.XLOOKUP(표8[[#This Row],[supplier_id]],표7[supplier_id],표7[supplier_name])</f>
        <v/>
      </c>
      <c r="D206" s="181" t="n">
        <v>710</v>
      </c>
      <c r="E206" t="inlineStr">
        <is>
          <t>KTA</t>
        </is>
      </c>
      <c r="F206" t="inlineStr">
        <is>
          <t>울산</t>
        </is>
      </c>
      <c r="G206" t="inlineStr">
        <is>
          <t>화학편람</t>
        </is>
      </c>
      <c r="H206" t="n">
        <v>2025</v>
      </c>
      <c r="J206">
        <f>_xlfn.XLOOKUP(표8[[#This Row],[location]],Location[location],Location[lat])</f>
        <v/>
      </c>
      <c r="K206">
        <f>_xlfn.XLOOKUP(표8[[#This Row],[location]],Location[location],Location[lon])</f>
        <v/>
      </c>
    </row>
    <row r="207">
      <c r="A207" s="180" t="inlineStr">
        <is>
          <t>M071</t>
        </is>
      </c>
      <c r="B207" s="180" t="inlineStr">
        <is>
          <t>S050</t>
        </is>
      </c>
      <c r="C207" s="180">
        <f>_xlfn.XLOOKUP(표8[[#This Row],[supplier_id]],표7[supplier_id],표7[supplier_name])</f>
        <v/>
      </c>
      <c r="D207" s="181" t="n">
        <v>40</v>
      </c>
      <c r="E207" t="inlineStr">
        <is>
          <t>KTA</t>
        </is>
      </c>
      <c r="F207" t="inlineStr">
        <is>
          <t>광양</t>
        </is>
      </c>
      <c r="G207" t="inlineStr">
        <is>
          <t>화학편람</t>
        </is>
      </c>
      <c r="H207" t="n">
        <v>2025</v>
      </c>
      <c r="J207">
        <f>_xlfn.XLOOKUP(표8[[#This Row],[location]],Location[location],Location[lat])</f>
        <v/>
      </c>
      <c r="K207">
        <f>_xlfn.XLOOKUP(표8[[#This Row],[location]],Location[location],Location[lon])</f>
        <v/>
      </c>
    </row>
    <row r="208">
      <c r="A208" s="180" t="inlineStr">
        <is>
          <t>M071</t>
        </is>
      </c>
      <c r="B208" s="180" t="inlineStr">
        <is>
          <t>S005</t>
        </is>
      </c>
      <c r="C208" s="180">
        <f>_xlfn.XLOOKUP(표8[[#This Row],[supplier_id]],표7[supplier_id],표7[supplier_name])</f>
        <v/>
      </c>
      <c r="D208" s="181" t="n">
        <v>120</v>
      </c>
      <c r="E208" t="inlineStr">
        <is>
          <t>KTA</t>
        </is>
      </c>
      <c r="F208" t="inlineStr">
        <is>
          <t>대산</t>
        </is>
      </c>
      <c r="G208" t="inlineStr">
        <is>
          <t>화학편람</t>
        </is>
      </c>
      <c r="H208" t="n">
        <v>2025</v>
      </c>
      <c r="J208">
        <f>_xlfn.XLOOKUP(표8[[#This Row],[location]],Location[location],Location[lat])</f>
        <v/>
      </c>
      <c r="K208">
        <f>_xlfn.XLOOKUP(표8[[#This Row],[location]],Location[location],Location[lon])</f>
        <v/>
      </c>
    </row>
    <row r="209">
      <c r="A209" s="180" t="inlineStr">
        <is>
          <t>M071</t>
        </is>
      </c>
      <c r="B209" s="180" t="inlineStr">
        <is>
          <t>S041</t>
        </is>
      </c>
      <c r="C209" s="180">
        <f>_xlfn.XLOOKUP(표8[[#This Row],[supplier_id]],표7[supplier_id],표7[supplier_name])</f>
        <v/>
      </c>
      <c r="D209" s="181" t="n">
        <v>100</v>
      </c>
      <c r="E209" t="inlineStr">
        <is>
          <t>KTA</t>
        </is>
      </c>
      <c r="F209" t="inlineStr">
        <is>
          <t>대산</t>
        </is>
      </c>
      <c r="G209" t="inlineStr">
        <is>
          <t>화학편람</t>
        </is>
      </c>
      <c r="H209" t="n">
        <v>2025</v>
      </c>
      <c r="J209">
        <f>_xlfn.XLOOKUP(표8[[#This Row],[location]],Location[location],Location[lat])</f>
        <v/>
      </c>
      <c r="K209">
        <f>_xlfn.XLOOKUP(표8[[#This Row],[location]],Location[location],Location[lon])</f>
        <v/>
      </c>
    </row>
    <row r="210">
      <c r="A210" s="180" t="inlineStr">
        <is>
          <t>M071</t>
        </is>
      </c>
      <c r="B210" s="180" t="inlineStr">
        <is>
          <t>S042</t>
        </is>
      </c>
      <c r="C210" s="180">
        <f>_xlfn.XLOOKUP(표8[[#This Row],[supplier_id]],표7[supplier_id],표7[supplier_name])</f>
        <v/>
      </c>
      <c r="D210" s="181" t="n">
        <v>282</v>
      </c>
      <c r="E210" t="inlineStr">
        <is>
          <t>KTA</t>
        </is>
      </c>
      <c r="F210" t="inlineStr">
        <is>
          <t>여수</t>
        </is>
      </c>
      <c r="G210" t="inlineStr">
        <is>
          <t>화학편람</t>
        </is>
      </c>
      <c r="H210" t="n">
        <v>2025</v>
      </c>
      <c r="J210">
        <f>_xlfn.XLOOKUP(표8[[#This Row],[location]],Location[location],Location[lat])</f>
        <v/>
      </c>
      <c r="K210">
        <f>_xlfn.XLOOKUP(표8[[#This Row],[location]],Location[location],Location[lon])</f>
        <v/>
      </c>
    </row>
    <row r="211">
      <c r="A211" s="180" t="inlineStr">
        <is>
          <t>M071</t>
        </is>
      </c>
      <c r="B211" s="180" t="inlineStr">
        <is>
          <t>S043</t>
        </is>
      </c>
      <c r="C211" s="180">
        <f>_xlfn.XLOOKUP(표8[[#This Row],[supplier_id]],표7[supplier_id],표7[supplier_name])</f>
        <v/>
      </c>
      <c r="D211" s="181" t="n">
        <v>170</v>
      </c>
      <c r="E211" t="inlineStr">
        <is>
          <t>KTA</t>
        </is>
      </c>
      <c r="F211" t="inlineStr">
        <is>
          <t>여수</t>
        </is>
      </c>
      <c r="G211" t="inlineStr">
        <is>
          <t>화학편람</t>
        </is>
      </c>
      <c r="H211" t="n">
        <v>2025</v>
      </c>
      <c r="J211">
        <f>_xlfn.XLOOKUP(표8[[#This Row],[location]],Location[location],Location[lat])</f>
        <v/>
      </c>
      <c r="K211">
        <f>_xlfn.XLOOKUP(표8[[#This Row],[location]],Location[location],Location[lon])</f>
        <v/>
      </c>
    </row>
    <row r="212">
      <c r="A212" s="180" t="inlineStr">
        <is>
          <t>M071</t>
        </is>
      </c>
      <c r="B212" s="180" t="inlineStr">
        <is>
          <t>S005</t>
        </is>
      </c>
      <c r="C212" s="180">
        <f>_xlfn.XLOOKUP(표8[[#This Row],[supplier_id]],표7[supplier_id],표7[supplier_name])</f>
        <v/>
      </c>
      <c r="D212" s="181" t="n">
        <v>112</v>
      </c>
      <c r="E212" t="inlineStr">
        <is>
          <t>KTA</t>
        </is>
      </c>
      <c r="F212" t="inlineStr">
        <is>
          <t>여수</t>
        </is>
      </c>
      <c r="G212" t="inlineStr">
        <is>
          <t>화학편람</t>
        </is>
      </c>
      <c r="H212" t="n">
        <v>2025</v>
      </c>
      <c r="J212">
        <f>_xlfn.XLOOKUP(표8[[#This Row],[location]],Location[location],Location[lat])</f>
        <v/>
      </c>
      <c r="K212">
        <f>_xlfn.XLOOKUP(표8[[#This Row],[location]],Location[location],Location[lon])</f>
        <v/>
      </c>
    </row>
    <row r="213">
      <c r="A213" s="180" t="inlineStr">
        <is>
          <t>M071</t>
        </is>
      </c>
      <c r="B213" s="180" t="inlineStr">
        <is>
          <t>S041</t>
        </is>
      </c>
      <c r="C213" s="180">
        <f>_xlfn.XLOOKUP(표8[[#This Row],[supplier_id]],표7[supplier_id],표7[supplier_name])</f>
        <v/>
      </c>
      <c r="D213" s="181" t="n">
        <v>110</v>
      </c>
      <c r="E213" t="inlineStr">
        <is>
          <t>KTA</t>
        </is>
      </c>
      <c r="F213" t="inlineStr">
        <is>
          <t>여수</t>
        </is>
      </c>
      <c r="G213" t="inlineStr">
        <is>
          <t>화학편람</t>
        </is>
      </c>
      <c r="H213" t="n">
        <v>2025</v>
      </c>
      <c r="J213">
        <f>_xlfn.XLOOKUP(표8[[#This Row],[location]],Location[location],Location[lat])</f>
        <v/>
      </c>
      <c r="K213">
        <f>_xlfn.XLOOKUP(표8[[#This Row],[location]],Location[location],Location[lon])</f>
        <v/>
      </c>
    </row>
    <row r="214">
      <c r="A214" s="180" t="inlineStr">
        <is>
          <t>M071</t>
        </is>
      </c>
      <c r="B214" t="inlineStr">
        <is>
          <t>S011</t>
        </is>
      </c>
      <c r="C214">
        <f>_xlfn.XLOOKUP(표8[[#This Row],[supplier_id]],표7[supplier_id],표7[supplier_name])</f>
        <v/>
      </c>
      <c r="D214" s="181" t="n">
        <v>1506</v>
      </c>
      <c r="E214" t="inlineStr">
        <is>
          <t>KTA</t>
        </is>
      </c>
      <c r="F214" t="inlineStr">
        <is>
          <t>울산</t>
        </is>
      </c>
      <c r="G214" t="inlineStr">
        <is>
          <t>화학편람</t>
        </is>
      </c>
      <c r="H214" t="n">
        <v>2025</v>
      </c>
      <c r="J214">
        <f>_xlfn.XLOOKUP(표8[[#This Row],[location]],Location[location],Location[lat])</f>
        <v/>
      </c>
      <c r="K214">
        <f>_xlfn.XLOOKUP(표8[[#This Row],[location]],Location[location],Location[lon])</f>
        <v/>
      </c>
    </row>
    <row r="215">
      <c r="A215" s="180" t="inlineStr">
        <is>
          <t>M071</t>
        </is>
      </c>
      <c r="B215" t="inlineStr">
        <is>
          <t>S008</t>
        </is>
      </c>
      <c r="C215">
        <f>_xlfn.XLOOKUP(표8[[#This Row],[supplier_id]],표7[supplier_id],표7[supplier_name])</f>
        <v/>
      </c>
      <c r="D215" s="181" t="n">
        <v>300</v>
      </c>
      <c r="E215" t="inlineStr">
        <is>
          <t>KTA</t>
        </is>
      </c>
      <c r="F215" t="inlineStr">
        <is>
          <t>울산</t>
        </is>
      </c>
      <c r="G215" t="inlineStr">
        <is>
          <t>화학편람</t>
        </is>
      </c>
      <c r="H215" t="n">
        <v>2025</v>
      </c>
      <c r="J215">
        <f>_xlfn.XLOOKUP(표8[[#This Row],[location]],Location[location],Location[lat])</f>
        <v/>
      </c>
      <c r="K215">
        <f>_xlfn.XLOOKUP(표8[[#This Row],[location]],Location[location],Location[lon])</f>
        <v/>
      </c>
    </row>
    <row r="216">
      <c r="A216" s="10" t="inlineStr">
        <is>
          <t>M071</t>
        </is>
      </c>
      <c r="B216" s="177" t="inlineStr">
        <is>
          <t>S002</t>
        </is>
      </c>
      <c r="C216" s="177">
        <f>_xlfn.XLOOKUP(표8[[#This Row],[supplier_id]],표7[supplier_id],표7[supplier_name])</f>
        <v/>
      </c>
      <c r="D216" s="175" t="n">
        <v>78</v>
      </c>
      <c r="E216" t="inlineStr">
        <is>
          <t>KTA</t>
        </is>
      </c>
      <c r="F216" t="inlineStr">
        <is>
          <t>울산</t>
        </is>
      </c>
      <c r="G216" t="inlineStr">
        <is>
          <t>화학편람</t>
        </is>
      </c>
      <c r="H216" t="n">
        <v>2025</v>
      </c>
      <c r="J216">
        <f>_xlfn.XLOOKUP(표8[[#This Row],[location]],Location[location],Location[lat])</f>
        <v/>
      </c>
      <c r="K216">
        <f>_xlfn.XLOOKUP(표8[[#This Row],[location]],Location[location],Location[lon])</f>
        <v/>
      </c>
    </row>
    <row r="217">
      <c r="A217" s="180" t="inlineStr">
        <is>
          <t>M072</t>
        </is>
      </c>
      <c r="B217" s="180" t="inlineStr">
        <is>
          <t>S048</t>
        </is>
      </c>
      <c r="C217" s="180">
        <f>_xlfn.XLOOKUP(표8[[#This Row],[supplier_id]],표7[supplier_id],표7[supplier_name])</f>
        <v/>
      </c>
      <c r="D217" s="181" t="n">
        <v>1350</v>
      </c>
      <c r="E217" t="inlineStr">
        <is>
          <t>KTA</t>
        </is>
      </c>
      <c r="F217" t="inlineStr">
        <is>
          <t>대산</t>
        </is>
      </c>
      <c r="G217" t="inlineStr">
        <is>
          <t>화학편람</t>
        </is>
      </c>
      <c r="H217" t="n">
        <v>2025</v>
      </c>
      <c r="J217">
        <f>_xlfn.XLOOKUP(표8[[#This Row],[location]],Location[location],Location[lat])</f>
        <v/>
      </c>
      <c r="K217">
        <f>_xlfn.XLOOKUP(표8[[#This Row],[location]],Location[location],Location[lon])</f>
        <v/>
      </c>
    </row>
    <row r="218">
      <c r="A218" s="180" t="inlineStr">
        <is>
          <t>M072</t>
        </is>
      </c>
      <c r="B218" s="180" t="inlineStr">
        <is>
          <t>S005</t>
        </is>
      </c>
      <c r="C218" s="180">
        <f>_xlfn.XLOOKUP(표8[[#This Row],[supplier_id]],표7[supplier_id],표7[supplier_name])</f>
        <v/>
      </c>
      <c r="D218" s="181" t="n">
        <v>60</v>
      </c>
      <c r="E218" t="inlineStr">
        <is>
          <t>KTA</t>
        </is>
      </c>
      <c r="F218" t="inlineStr">
        <is>
          <t>대산</t>
        </is>
      </c>
      <c r="G218" t="inlineStr">
        <is>
          <t>화학편람</t>
        </is>
      </c>
      <c r="H218" t="n">
        <v>2025</v>
      </c>
      <c r="J218">
        <f>_xlfn.XLOOKUP(표8[[#This Row],[location]],Location[location],Location[lat])</f>
        <v/>
      </c>
      <c r="K218">
        <f>_xlfn.XLOOKUP(표8[[#This Row],[location]],Location[location],Location[lon])</f>
        <v/>
      </c>
    </row>
    <row r="219">
      <c r="A219" s="180" t="inlineStr">
        <is>
          <t>M072</t>
        </is>
      </c>
      <c r="B219" s="180" t="inlineStr">
        <is>
          <t>S043</t>
        </is>
      </c>
      <c r="C219" s="180">
        <f>_xlfn.XLOOKUP(표8[[#This Row],[supplier_id]],표7[supplier_id],표7[supplier_name])</f>
        <v/>
      </c>
      <c r="D219" s="181" t="n">
        <v>350</v>
      </c>
      <c r="E219" t="inlineStr">
        <is>
          <t>KTA</t>
        </is>
      </c>
      <c r="F219" t="inlineStr">
        <is>
          <t>여수</t>
        </is>
      </c>
      <c r="G219" t="inlineStr">
        <is>
          <t>화학편람</t>
        </is>
      </c>
      <c r="H219" t="n">
        <v>2025</v>
      </c>
      <c r="J219">
        <f>_xlfn.XLOOKUP(표8[[#This Row],[location]],Location[location],Location[lat])</f>
        <v/>
      </c>
      <c r="K219">
        <f>_xlfn.XLOOKUP(표8[[#This Row],[location]],Location[location],Location[lon])</f>
        <v/>
      </c>
    </row>
    <row r="220">
      <c r="A220" s="180" t="inlineStr">
        <is>
          <t>M072</t>
        </is>
      </c>
      <c r="B220" s="180" t="inlineStr">
        <is>
          <t>S042</t>
        </is>
      </c>
      <c r="C220" s="180">
        <f>_xlfn.XLOOKUP(표8[[#This Row],[supplier_id]],표7[supplier_id],표7[supplier_name])</f>
        <v/>
      </c>
      <c r="D220" s="181" t="n">
        <v>204</v>
      </c>
      <c r="E220" t="inlineStr">
        <is>
          <t>KTA</t>
        </is>
      </c>
      <c r="F220" t="inlineStr">
        <is>
          <t>여수</t>
        </is>
      </c>
      <c r="G220" t="inlineStr">
        <is>
          <t>화학편람</t>
        </is>
      </c>
      <c r="H220" t="n">
        <v>2025</v>
      </c>
      <c r="J220">
        <f>_xlfn.XLOOKUP(표8[[#This Row],[location]],Location[location],Location[lat])</f>
        <v/>
      </c>
      <c r="K220">
        <f>_xlfn.XLOOKUP(표8[[#This Row],[location]],Location[location],Location[lon])</f>
        <v/>
      </c>
    </row>
    <row r="221">
      <c r="A221" s="180" t="inlineStr">
        <is>
          <t>M072</t>
        </is>
      </c>
      <c r="B221" s="180" t="inlineStr">
        <is>
          <t>S005</t>
        </is>
      </c>
      <c r="C221" s="180">
        <f>_xlfn.XLOOKUP(표8[[#This Row],[supplier_id]],표7[supplier_id],표7[supplier_name])</f>
        <v/>
      </c>
      <c r="D221" s="181" t="n">
        <v>79</v>
      </c>
      <c r="E221" t="inlineStr">
        <is>
          <t>KTA</t>
        </is>
      </c>
      <c r="F221" t="inlineStr">
        <is>
          <t>여수</t>
        </is>
      </c>
      <c r="G221" t="inlineStr">
        <is>
          <t>화학편람</t>
        </is>
      </c>
      <c r="H221" t="n">
        <v>2025</v>
      </c>
      <c r="J221">
        <f>_xlfn.XLOOKUP(표8[[#This Row],[location]],Location[location],Location[lat])</f>
        <v/>
      </c>
      <c r="K221">
        <f>_xlfn.XLOOKUP(표8[[#This Row],[location]],Location[location],Location[lon])</f>
        <v/>
      </c>
    </row>
    <row r="222">
      <c r="A222" s="180" t="inlineStr">
        <is>
          <t>M072</t>
        </is>
      </c>
      <c r="B222" s="180" t="inlineStr">
        <is>
          <t>S041</t>
        </is>
      </c>
      <c r="C222" s="180">
        <f>_xlfn.XLOOKUP(표8[[#This Row],[supplier_id]],표7[supplier_id],표7[supplier_name])</f>
        <v/>
      </c>
      <c r="D222" s="181" t="n">
        <v>60</v>
      </c>
      <c r="E222" t="inlineStr">
        <is>
          <t>KTA</t>
        </is>
      </c>
      <c r="F222" t="inlineStr">
        <is>
          <t>여수</t>
        </is>
      </c>
      <c r="G222" t="inlineStr">
        <is>
          <t>화학편람</t>
        </is>
      </c>
      <c r="H222" t="n">
        <v>2025</v>
      </c>
      <c r="J222">
        <f>_xlfn.XLOOKUP(표8[[#This Row],[location]],Location[location],Location[lat])</f>
        <v/>
      </c>
      <c r="K222">
        <f>_xlfn.XLOOKUP(표8[[#This Row],[location]],Location[location],Location[lon])</f>
        <v/>
      </c>
    </row>
    <row r="223">
      <c r="A223" s="180" t="inlineStr">
        <is>
          <t>M072</t>
        </is>
      </c>
      <c r="B223" t="inlineStr">
        <is>
          <t>S011</t>
        </is>
      </c>
      <c r="C223">
        <f>_xlfn.XLOOKUP(표8[[#This Row],[supplier_id]],표7[supplier_id],표7[supplier_name])</f>
        <v/>
      </c>
      <c r="D223" s="181" t="n">
        <v>894</v>
      </c>
      <c r="E223" t="inlineStr">
        <is>
          <t>KTA</t>
        </is>
      </c>
      <c r="F223" t="inlineStr">
        <is>
          <t>울산</t>
        </is>
      </c>
      <c r="G223" t="inlineStr">
        <is>
          <t>화학편람</t>
        </is>
      </c>
      <c r="H223" t="n">
        <v>2025</v>
      </c>
      <c r="J223">
        <f>_xlfn.XLOOKUP(표8[[#This Row],[location]],Location[location],Location[lat])</f>
        <v/>
      </c>
      <c r="K223">
        <f>_xlfn.XLOOKUP(표8[[#This Row],[location]],Location[location],Location[lon])</f>
        <v/>
      </c>
    </row>
    <row r="224">
      <c r="A224" s="180" t="inlineStr">
        <is>
          <t>M072</t>
        </is>
      </c>
      <c r="B224" t="inlineStr">
        <is>
          <t>S008</t>
        </is>
      </c>
      <c r="C224">
        <f>_xlfn.XLOOKUP(표8[[#This Row],[supplier_id]],표7[supplier_id],표7[supplier_name])</f>
        <v/>
      </c>
      <c r="D224" s="181" t="n">
        <v>450</v>
      </c>
      <c r="E224" t="inlineStr">
        <is>
          <t>KTA</t>
        </is>
      </c>
      <c r="F224" t="inlineStr">
        <is>
          <t>울산</t>
        </is>
      </c>
      <c r="G224" t="inlineStr">
        <is>
          <t>화학편람</t>
        </is>
      </c>
      <c r="H224" t="n">
        <v>2025</v>
      </c>
      <c r="J224">
        <f>_xlfn.XLOOKUP(표8[[#This Row],[location]],Location[location],Location[lat])</f>
        <v/>
      </c>
      <c r="K224">
        <f>_xlfn.XLOOKUP(표8[[#This Row],[location]],Location[location],Location[lon])</f>
        <v/>
      </c>
    </row>
    <row r="225">
      <c r="A225" s="180" t="inlineStr">
        <is>
          <t>M072</t>
        </is>
      </c>
      <c r="B225" t="inlineStr">
        <is>
          <t>S002</t>
        </is>
      </c>
      <c r="C225">
        <f>_xlfn.XLOOKUP(표8[[#This Row],[supplier_id]],표7[supplier_id],표7[supplier_name])</f>
        <v/>
      </c>
      <c r="D225" s="181" t="n">
        <v>47</v>
      </c>
      <c r="E225" t="inlineStr">
        <is>
          <t>KTA</t>
        </is>
      </c>
      <c r="F225" t="inlineStr">
        <is>
          <t>울산</t>
        </is>
      </c>
      <c r="G225" t="inlineStr">
        <is>
          <t>화학편람</t>
        </is>
      </c>
      <c r="H225" t="n">
        <v>2025</v>
      </c>
      <c r="J225">
        <f>_xlfn.XLOOKUP(표8[[#This Row],[location]],Location[location],Location[lat])</f>
        <v/>
      </c>
      <c r="K225">
        <f>_xlfn.XLOOKUP(표8[[#This Row],[location]],Location[location],Location[lon])</f>
        <v/>
      </c>
    </row>
    <row r="226">
      <c r="A226" s="180" t="inlineStr">
        <is>
          <t>M073</t>
        </is>
      </c>
      <c r="B226" t="inlineStr">
        <is>
          <t>S030</t>
        </is>
      </c>
      <c r="C226">
        <f>_xlfn.XLOOKUP(표8[[#This Row],[supplier_id]],표7[supplier_id],표7[supplier_name])</f>
        <v/>
      </c>
      <c r="D226" s="181" t="n">
        <v>1300</v>
      </c>
      <c r="E226" t="inlineStr">
        <is>
          <t>KTA</t>
        </is>
      </c>
      <c r="F226" t="inlineStr">
        <is>
          <t>울산</t>
        </is>
      </c>
      <c r="G226" t="inlineStr">
        <is>
          <t>화학편람</t>
        </is>
      </c>
      <c r="H226" t="n">
        <v>2025</v>
      </c>
      <c r="J226">
        <f>_xlfn.XLOOKUP(표8[[#This Row],[location]],Location[location],Location[lat])</f>
        <v/>
      </c>
      <c r="K226">
        <f>_xlfn.XLOOKUP(표8[[#This Row],[location]],Location[location],Location[lon])</f>
        <v/>
      </c>
    </row>
    <row r="227">
      <c r="A227" s="180" t="inlineStr">
        <is>
          <t>M073</t>
        </is>
      </c>
      <c r="B227" t="inlineStr">
        <is>
          <t>S024</t>
        </is>
      </c>
      <c r="C227" s="177">
        <f>_xlfn.XLOOKUP(표8[[#This Row],[supplier_id]],표7[supplier_id],표7[supplier_name])</f>
        <v/>
      </c>
      <c r="D227" s="175" t="n">
        <v>1000</v>
      </c>
      <c r="E227" t="inlineStr">
        <is>
          <t>KTA</t>
        </is>
      </c>
      <c r="F227" t="inlineStr">
        <is>
          <t>울산</t>
        </is>
      </c>
      <c r="G227" t="inlineStr">
        <is>
          <t>화학편람</t>
        </is>
      </c>
      <c r="H227" t="n">
        <v>2025</v>
      </c>
      <c r="J227">
        <f>_xlfn.XLOOKUP(표8[[#This Row],[location]],Location[location],Location[lat])</f>
        <v/>
      </c>
      <c r="K227">
        <f>_xlfn.XLOOKUP(표8[[#This Row],[location]],Location[location],Location[lon])</f>
        <v/>
      </c>
    </row>
    <row r="228">
      <c r="A228" s="10" t="inlineStr">
        <is>
          <t>M073</t>
        </is>
      </c>
      <c r="B228" s="177" t="inlineStr">
        <is>
          <t>S005</t>
        </is>
      </c>
      <c r="C228" s="177">
        <f>_xlfn.XLOOKUP(표8[[#This Row],[supplier_id]],표7[supplier_id],표7[supplier_name])</f>
        <v/>
      </c>
      <c r="D228" s="175" t="n">
        <v>840</v>
      </c>
      <c r="E228" t="inlineStr">
        <is>
          <t>KTA</t>
        </is>
      </c>
      <c r="F228" t="inlineStr">
        <is>
          <t>울산</t>
        </is>
      </c>
      <c r="G228" t="inlineStr">
        <is>
          <t>화학편람</t>
        </is>
      </c>
      <c r="H228" t="n">
        <v>2025</v>
      </c>
      <c r="J228">
        <f>_xlfn.XLOOKUP(표8[[#This Row],[location]],Location[location],Location[lat])</f>
        <v/>
      </c>
      <c r="K228">
        <f>_xlfn.XLOOKUP(표8[[#This Row],[location]],Location[location],Location[lon])</f>
        <v/>
      </c>
    </row>
    <row r="229">
      <c r="A229" s="180" t="inlineStr">
        <is>
          <t>M073</t>
        </is>
      </c>
      <c r="B229" s="177" t="inlineStr">
        <is>
          <t>S031</t>
        </is>
      </c>
      <c r="C229" s="177">
        <f>_xlfn.XLOOKUP(표8[[#This Row],[supplier_id]],표7[supplier_id],표7[supplier_name])</f>
        <v/>
      </c>
      <c r="D229" s="175" t="n">
        <v>420</v>
      </c>
      <c r="E229" t="inlineStr">
        <is>
          <t>KTA</t>
        </is>
      </c>
      <c r="F229" t="inlineStr">
        <is>
          <t>울산</t>
        </is>
      </c>
      <c r="G229" t="inlineStr">
        <is>
          <t>화학편람</t>
        </is>
      </c>
      <c r="H229" t="n">
        <v>2025</v>
      </c>
      <c r="J229">
        <f>_xlfn.XLOOKUP(표8[[#This Row],[location]],Location[location],Location[lat])</f>
        <v/>
      </c>
      <c r="K229">
        <f>_xlfn.XLOOKUP(표8[[#This Row],[location]],Location[location],Location[lon])</f>
        <v/>
      </c>
    </row>
    <row r="230">
      <c r="A230" s="177" t="inlineStr">
        <is>
          <t>M073</t>
        </is>
      </c>
      <c r="B230" s="177" t="inlineStr">
        <is>
          <t>S006</t>
        </is>
      </c>
      <c r="C230">
        <f>_xlfn.XLOOKUP(표8[[#This Row],[supplier_id]],표7[supplier_id],표7[supplier_name])</f>
        <v/>
      </c>
      <c r="D230" s="175" t="n">
        <v>210</v>
      </c>
      <c r="E230" t="inlineStr">
        <is>
          <t>KTA</t>
        </is>
      </c>
      <c r="F230" t="inlineStr">
        <is>
          <t>울산</t>
        </is>
      </c>
      <c r="G230" t="inlineStr">
        <is>
          <t>화학편람</t>
        </is>
      </c>
      <c r="H230" t="n">
        <v>2025</v>
      </c>
      <c r="J230">
        <f>_xlfn.XLOOKUP(표8[[#This Row],[location]],Location[location],Location[lat])</f>
        <v/>
      </c>
      <c r="K230">
        <f>_xlfn.XLOOKUP(표8[[#This Row],[location]],Location[location],Location[lon])</f>
        <v/>
      </c>
    </row>
    <row r="231">
      <c r="A231" s="10" t="inlineStr">
        <is>
          <t>M073</t>
        </is>
      </c>
      <c r="B231" s="177" t="inlineStr">
        <is>
          <t>S012</t>
        </is>
      </c>
      <c r="C231">
        <f>_xlfn.XLOOKUP(표8[[#This Row],[supplier_id]],표7[supplier_id],표7[supplier_name])</f>
        <v/>
      </c>
      <c r="D231" s="175" t="n">
        <v>160</v>
      </c>
      <c r="E231" t="inlineStr">
        <is>
          <t>KTA</t>
        </is>
      </c>
      <c r="F231" t="inlineStr">
        <is>
          <t>울산</t>
        </is>
      </c>
      <c r="G231" t="inlineStr">
        <is>
          <t>화학편람</t>
        </is>
      </c>
      <c r="H231" t="n">
        <v>2025</v>
      </c>
      <c r="J231">
        <f>_xlfn.XLOOKUP(표8[[#This Row],[location]],Location[location],Location[lat])</f>
        <v/>
      </c>
      <c r="K231">
        <f>_xlfn.XLOOKUP(표8[[#This Row],[location]],Location[location],Location[lon])</f>
        <v/>
      </c>
    </row>
    <row r="232">
      <c r="A232" s="10" t="inlineStr">
        <is>
          <t>M073</t>
        </is>
      </c>
      <c r="B232" s="180" t="inlineStr">
        <is>
          <t>S050</t>
        </is>
      </c>
      <c r="C232" s="180">
        <f>_xlfn.XLOOKUP(표8[[#This Row],[supplier_id]],표7[supplier_id],표7[supplier_name])</f>
        <v/>
      </c>
      <c r="D232" s="181" t="n">
        <v>60</v>
      </c>
      <c r="E232" t="inlineStr">
        <is>
          <t>KTA</t>
        </is>
      </c>
      <c r="F232" t="inlineStr">
        <is>
          <t>포항</t>
        </is>
      </c>
      <c r="G232" t="inlineStr">
        <is>
          <t>화학편람</t>
        </is>
      </c>
      <c r="H232" t="n">
        <v>2025</v>
      </c>
      <c r="J232">
        <f>_xlfn.XLOOKUP(표8[[#This Row],[location]],Location[location],Location[lat])</f>
        <v/>
      </c>
      <c r="K232">
        <f>_xlfn.XLOOKUP(표8[[#This Row],[location]],Location[location],Location[lon])</f>
        <v/>
      </c>
    </row>
    <row r="233">
      <c r="A233" s="177" t="inlineStr">
        <is>
          <t>M074</t>
        </is>
      </c>
      <c r="B233" s="177" t="inlineStr">
        <is>
          <t>S020</t>
        </is>
      </c>
      <c r="C233">
        <f>_xlfn.XLOOKUP(표8[[#This Row],[supplier_id]],표7[supplier_id],표7[supplier_name])</f>
        <v/>
      </c>
      <c r="D233" s="175" t="n">
        <v>270</v>
      </c>
      <c r="E233" t="inlineStr">
        <is>
          <t>KTA</t>
        </is>
      </c>
      <c r="F233" t="inlineStr">
        <is>
          <t>울산</t>
        </is>
      </c>
      <c r="G233" t="inlineStr">
        <is>
          <t>화학편람</t>
        </is>
      </c>
      <c r="H233" t="n">
        <v>2025</v>
      </c>
      <c r="J233">
        <f>_xlfn.XLOOKUP(표8[[#This Row],[location]],Location[location],Location[lat])</f>
        <v/>
      </c>
      <c r="K233">
        <f>_xlfn.XLOOKUP(표8[[#This Row],[location]],Location[location],Location[lon])</f>
        <v/>
      </c>
    </row>
    <row r="234">
      <c r="A234" s="10" t="inlineStr">
        <is>
          <t>M078</t>
        </is>
      </c>
      <c r="B234" s="10" t="inlineStr">
        <is>
          <t>S038</t>
        </is>
      </c>
      <c r="C234" s="180">
        <f>_xlfn.XLOOKUP(표8[[#This Row],[supplier_id]],표7[supplier_id],표7[supplier_name])</f>
        <v/>
      </c>
      <c r="D234" s="175" t="n">
        <v>90</v>
      </c>
      <c r="E234" t="inlineStr">
        <is>
          <t>KTA</t>
        </is>
      </c>
      <c r="F234" t="inlineStr">
        <is>
          <t>대산</t>
        </is>
      </c>
      <c r="G234" t="inlineStr">
        <is>
          <t>화학편람</t>
        </is>
      </c>
      <c r="H234" t="n">
        <v>2025</v>
      </c>
      <c r="J234">
        <f>_xlfn.XLOOKUP(표8[[#This Row],[location]],Location[location],Location[lat])</f>
        <v/>
      </c>
      <c r="K234">
        <f>_xlfn.XLOOKUP(표8[[#This Row],[location]],Location[location],Location[lon])</f>
        <v/>
      </c>
    </row>
    <row r="235">
      <c r="A235" s="10" t="inlineStr">
        <is>
          <t>M078</t>
        </is>
      </c>
      <c r="B235" s="10" t="inlineStr">
        <is>
          <t>S040</t>
        </is>
      </c>
      <c r="C235" s="180">
        <f>_xlfn.XLOOKUP(표8[[#This Row],[supplier_id]],표7[supplier_id],표7[supplier_name])</f>
        <v/>
      </c>
      <c r="D235" s="175" t="n">
        <v>260</v>
      </c>
      <c r="E235" t="inlineStr">
        <is>
          <t>KTA</t>
        </is>
      </c>
      <c r="F235" t="inlineStr">
        <is>
          <t>여수</t>
        </is>
      </c>
      <c r="G235" t="inlineStr">
        <is>
          <t>화학편람</t>
        </is>
      </c>
      <c r="H235" t="n">
        <v>2025</v>
      </c>
      <c r="J235">
        <f>_xlfn.XLOOKUP(표8[[#This Row],[location]],Location[location],Location[lat])</f>
        <v/>
      </c>
      <c r="K235">
        <f>_xlfn.XLOOKUP(표8[[#This Row],[location]],Location[location],Location[lon])</f>
        <v/>
      </c>
    </row>
    <row r="236">
      <c r="A236" s="10" t="inlineStr">
        <is>
          <t>M078</t>
        </is>
      </c>
      <c r="B236" s="10" t="inlineStr">
        <is>
          <t>S038</t>
        </is>
      </c>
      <c r="C236" s="180">
        <f>_xlfn.XLOOKUP(표8[[#This Row],[supplier_id]],표7[supplier_id],표7[supplier_name])</f>
        <v/>
      </c>
      <c r="D236" s="175" t="n">
        <v>97</v>
      </c>
      <c r="E236" t="inlineStr">
        <is>
          <t>KTA</t>
        </is>
      </c>
      <c r="F236" t="inlineStr">
        <is>
          <t>여수</t>
        </is>
      </c>
      <c r="G236" t="inlineStr">
        <is>
          <t>화학편람</t>
        </is>
      </c>
      <c r="H236" t="n">
        <v>2025</v>
      </c>
      <c r="J236">
        <f>_xlfn.XLOOKUP(표8[[#This Row],[location]],Location[location],Location[lat])</f>
        <v/>
      </c>
      <c r="K236">
        <f>_xlfn.XLOOKUP(표8[[#This Row],[location]],Location[location],Location[lon])</f>
        <v/>
      </c>
    </row>
    <row r="237">
      <c r="A237" s="10" t="inlineStr">
        <is>
          <t>M078</t>
        </is>
      </c>
      <c r="B237" s="10" t="inlineStr">
        <is>
          <t>S005</t>
        </is>
      </c>
      <c r="C237" s="180">
        <f>_xlfn.XLOOKUP(표8[[#This Row],[supplier_id]],표7[supplier_id],표7[supplier_name])</f>
        <v/>
      </c>
      <c r="D237" s="175" t="n">
        <v>50</v>
      </c>
      <c r="E237" t="inlineStr">
        <is>
          <t>KTA</t>
        </is>
      </c>
      <c r="F237" t="inlineStr">
        <is>
          <t>여수</t>
        </is>
      </c>
      <c r="G237" t="inlineStr">
        <is>
          <t>화학편람</t>
        </is>
      </c>
      <c r="H237" t="n">
        <v>2025</v>
      </c>
      <c r="J237">
        <f>_xlfn.XLOOKUP(표8[[#This Row],[location]],Location[location],Location[lat])</f>
        <v/>
      </c>
      <c r="K237">
        <f>_xlfn.XLOOKUP(표8[[#This Row],[location]],Location[location],Location[lon])</f>
        <v/>
      </c>
    </row>
    <row r="238">
      <c r="A238" s="10" t="inlineStr">
        <is>
          <t>M079</t>
        </is>
      </c>
      <c r="B238" s="10" t="inlineStr">
        <is>
          <t>S040</t>
        </is>
      </c>
      <c r="C238" s="180">
        <f>_xlfn.XLOOKUP(표8[[#This Row],[supplier_id]],표7[supplier_id],표7[supplier_name])</f>
        <v/>
      </c>
      <c r="D238" s="175" t="n">
        <v>120</v>
      </c>
      <c r="E238" t="inlineStr">
        <is>
          <t>KTA</t>
        </is>
      </c>
      <c r="F238" t="inlineStr">
        <is>
          <t>여수</t>
        </is>
      </c>
      <c r="G238" t="inlineStr">
        <is>
          <t>화학편람</t>
        </is>
      </c>
      <c r="H238" t="n">
        <v>2025</v>
      </c>
      <c r="J238">
        <f>_xlfn.XLOOKUP(표8[[#This Row],[location]],Location[location],Location[lat])</f>
        <v/>
      </c>
      <c r="K238">
        <f>_xlfn.XLOOKUP(표8[[#This Row],[location]],Location[location],Location[lon])</f>
        <v/>
      </c>
    </row>
    <row r="239">
      <c r="A239" s="10" t="inlineStr">
        <is>
          <t>M079</t>
        </is>
      </c>
      <c r="B239" s="10" t="inlineStr">
        <is>
          <t>S038</t>
        </is>
      </c>
      <c r="C239" s="180">
        <f>_xlfn.XLOOKUP(표8[[#This Row],[supplier_id]],표7[supplier_id],표7[supplier_name])</f>
        <v/>
      </c>
      <c r="D239" s="175" t="n">
        <v>110</v>
      </c>
      <c r="E239" t="inlineStr">
        <is>
          <t>KTA</t>
        </is>
      </c>
      <c r="F239" t="inlineStr">
        <is>
          <t>여수</t>
        </is>
      </c>
      <c r="G239" t="inlineStr">
        <is>
          <t>화학편람</t>
        </is>
      </c>
      <c r="H239" t="n">
        <v>2025</v>
      </c>
      <c r="J239">
        <f>_xlfn.XLOOKUP(표8[[#This Row],[location]],Location[location],Location[lat])</f>
        <v/>
      </c>
      <c r="K239">
        <f>_xlfn.XLOOKUP(표8[[#This Row],[location]],Location[location],Location[lon])</f>
        <v/>
      </c>
    </row>
    <row r="240">
      <c r="A240" s="10" t="inlineStr">
        <is>
          <t>M084</t>
        </is>
      </c>
      <c r="B240" s="177" t="inlineStr">
        <is>
          <t>S029</t>
        </is>
      </c>
      <c r="C240" s="180">
        <f>_xlfn.XLOOKUP(표8[[#This Row],[supplier_id]],표7[supplier_id],표7[supplier_name])</f>
        <v/>
      </c>
      <c r="D240" s="175" t="n">
        <v>363</v>
      </c>
      <c r="E240" s="180" t="inlineStr">
        <is>
          <t>KTA</t>
        </is>
      </c>
      <c r="F240" t="inlineStr">
        <is>
          <t>여수</t>
        </is>
      </c>
      <c r="G240" t="inlineStr">
        <is>
          <t>S&amp;P CEH</t>
        </is>
      </c>
      <c r="H240" t="n">
        <v>2026</v>
      </c>
      <c r="J240">
        <f>_xlfn.XLOOKUP(표8[[#This Row],[location]],Location[location],Location[lat])</f>
        <v/>
      </c>
      <c r="K240">
        <f>_xlfn.XLOOKUP(표8[[#This Row],[location]],Location[location],Location[lon])</f>
        <v/>
      </c>
    </row>
    <row r="241">
      <c r="A241" s="177" t="inlineStr">
        <is>
          <t>M084</t>
        </is>
      </c>
      <c r="B241" s="177" t="inlineStr">
        <is>
          <t>S041</t>
        </is>
      </c>
      <c r="C241" s="180">
        <f>_xlfn.XLOOKUP(표8[[#This Row],[supplier_id]],표7[supplier_id],표7[supplier_name])</f>
        <v/>
      </c>
      <c r="D241" s="175" t="n">
        <v>275</v>
      </c>
      <c r="E241" t="inlineStr">
        <is>
          <t>KTA</t>
        </is>
      </c>
      <c r="F241" t="inlineStr">
        <is>
          <t>여수</t>
        </is>
      </c>
      <c r="G241" t="inlineStr">
        <is>
          <t>S&amp;P CEH</t>
        </is>
      </c>
      <c r="H241" t="n">
        <v>2026</v>
      </c>
      <c r="J241">
        <f>_xlfn.XLOOKUP(표8[[#This Row],[location]],Location[location],Location[lat])</f>
        <v/>
      </c>
      <c r="K241">
        <f>_xlfn.XLOOKUP(표8[[#This Row],[location]],Location[location],Location[lon])</f>
        <v/>
      </c>
    </row>
    <row r="242">
      <c r="A242" s="10" t="inlineStr">
        <is>
          <t>M085</t>
        </is>
      </c>
      <c r="B242" s="10" t="inlineStr">
        <is>
          <t>S033</t>
        </is>
      </c>
      <c r="C242" s="180">
        <f>_xlfn.XLOOKUP(표8[[#This Row],[supplier_id]],표7[supplier_id],표7[supplier_name])</f>
        <v/>
      </c>
      <c r="D242" s="175" t="n">
        <v>610</v>
      </c>
      <c r="E242" t="inlineStr">
        <is>
          <t>KTA</t>
        </is>
      </c>
      <c r="F242" t="inlineStr">
        <is>
          <t>여수</t>
        </is>
      </c>
      <c r="G242" t="inlineStr">
        <is>
          <t>화학편람</t>
        </is>
      </c>
      <c r="H242" t="n">
        <v>2025</v>
      </c>
      <c r="J242">
        <f>_xlfn.XLOOKUP(표8[[#This Row],[location]],Location[location],Location[lat])</f>
        <v/>
      </c>
      <c r="K242">
        <f>_xlfn.XLOOKUP(표8[[#This Row],[location]],Location[location],Location[lon])</f>
        <v/>
      </c>
    </row>
    <row r="243">
      <c r="A243" s="10" t="inlineStr">
        <is>
          <t>M085</t>
        </is>
      </c>
      <c r="B243" s="10" t="inlineStr">
        <is>
          <t>S025</t>
        </is>
      </c>
      <c r="C243" s="180">
        <f>_xlfn.XLOOKUP(표8[[#This Row],[supplier_id]],표7[supplier_id],표7[supplier_name])</f>
        <v/>
      </c>
      <c r="D243" s="175" t="n">
        <v>250</v>
      </c>
      <c r="E243" t="inlineStr">
        <is>
          <t>KTA</t>
        </is>
      </c>
      <c r="F243" t="inlineStr">
        <is>
          <t>여수</t>
        </is>
      </c>
      <c r="G243" t="inlineStr">
        <is>
          <t>화학편람</t>
        </is>
      </c>
      <c r="H243" t="n">
        <v>2025</v>
      </c>
      <c r="J243">
        <f>_xlfn.XLOOKUP(표8[[#This Row],[location]],Location[location],Location[lat])</f>
        <v/>
      </c>
      <c r="K243">
        <f>_xlfn.XLOOKUP(표8[[#This Row],[location]],Location[location],Location[lon])</f>
        <v/>
      </c>
    </row>
    <row r="244">
      <c r="A244" s="10" t="inlineStr">
        <is>
          <t>M085</t>
        </is>
      </c>
      <c r="B244" s="180" t="inlineStr">
        <is>
          <t>S046</t>
        </is>
      </c>
      <c r="C244" s="180">
        <f>_xlfn.XLOOKUP(표8[[#This Row],[supplier_id]],표7[supplier_id],표7[supplier_name])</f>
        <v/>
      </c>
      <c r="D244" s="181" t="n">
        <v>30</v>
      </c>
      <c r="E244" t="inlineStr">
        <is>
          <t>KTA</t>
        </is>
      </c>
      <c r="F244" t="inlineStr">
        <is>
          <t>여수</t>
        </is>
      </c>
      <c r="G244" t="inlineStr">
        <is>
          <t>화학편람</t>
        </is>
      </c>
      <c r="H244" t="n">
        <v>2025</v>
      </c>
      <c r="J244">
        <f>_xlfn.XLOOKUP(표8[[#This Row],[location]],Location[location],Location[lat])</f>
        <v/>
      </c>
      <c r="K244">
        <f>_xlfn.XLOOKUP(표8[[#This Row],[location]],Location[location],Location[lon])</f>
        <v/>
      </c>
    </row>
    <row r="245">
      <c r="A245" s="10" t="inlineStr">
        <is>
          <t>M086</t>
        </is>
      </c>
      <c r="B245" s="180" t="inlineStr">
        <is>
          <t>S050</t>
        </is>
      </c>
      <c r="C245" s="180">
        <f>_xlfn.XLOOKUP(표8[[#This Row],[supplier_id]],표7[supplier_id],표7[supplier_name])</f>
        <v/>
      </c>
      <c r="D245" s="181" t="n">
        <v>50</v>
      </c>
      <c r="E245" t="inlineStr">
        <is>
          <t>KTA</t>
        </is>
      </c>
      <c r="F245" t="inlineStr">
        <is>
          <t>군산</t>
        </is>
      </c>
      <c r="G245" t="inlineStr">
        <is>
          <t>화학편람</t>
        </is>
      </c>
      <c r="H245" t="n">
        <v>2025</v>
      </c>
      <c r="J245">
        <f>_xlfn.XLOOKUP(표8[[#This Row],[location]],Location[location],Location[lat])</f>
        <v/>
      </c>
      <c r="K245">
        <f>_xlfn.XLOOKUP(표8[[#This Row],[location]],Location[location],Location[lon])</f>
        <v/>
      </c>
    </row>
    <row r="246">
      <c r="A246" s="10" t="inlineStr">
        <is>
          <t>M086</t>
        </is>
      </c>
      <c r="B246" s="10" t="inlineStr">
        <is>
          <t>S025</t>
        </is>
      </c>
      <c r="C246" s="180">
        <f>_xlfn.XLOOKUP(표8[[#This Row],[supplier_id]],표7[supplier_id],표7[supplier_name])</f>
        <v/>
      </c>
      <c r="D246" s="175" t="n">
        <v>160</v>
      </c>
      <c r="E246" t="inlineStr">
        <is>
          <t>KTA</t>
        </is>
      </c>
      <c r="F246" t="inlineStr">
        <is>
          <t>여수</t>
        </is>
      </c>
      <c r="G246" t="inlineStr">
        <is>
          <t>화학편람</t>
        </is>
      </c>
      <c r="H246" t="n">
        <v>2025</v>
      </c>
      <c r="J246">
        <f>_xlfn.XLOOKUP(표8[[#This Row],[location]],Location[location],Location[lat])</f>
        <v/>
      </c>
      <c r="K246">
        <f>_xlfn.XLOOKUP(표8[[#This Row],[location]],Location[location],Location[lon])</f>
        <v/>
      </c>
    </row>
    <row r="247">
      <c r="A247" s="10" t="inlineStr">
        <is>
          <t>M086</t>
        </is>
      </c>
      <c r="B247" s="180" t="inlineStr">
        <is>
          <t>S029</t>
        </is>
      </c>
      <c r="C247" s="180">
        <f>_xlfn.XLOOKUP(표8[[#This Row],[supplier_id]],표7[supplier_id],표7[supplier_name])</f>
        <v/>
      </c>
      <c r="D247" s="175" t="n">
        <v>150</v>
      </c>
      <c r="E247" t="inlineStr">
        <is>
          <t>KTA</t>
        </is>
      </c>
      <c r="F247" t="inlineStr">
        <is>
          <t>여수</t>
        </is>
      </c>
      <c r="G247" t="inlineStr">
        <is>
          <t>화학편람</t>
        </is>
      </c>
      <c r="H247" t="n">
        <v>2025</v>
      </c>
      <c r="J247">
        <f>_xlfn.XLOOKUP(표8[[#This Row],[location]],Location[location],Location[lat])</f>
        <v/>
      </c>
      <c r="K247">
        <f>_xlfn.XLOOKUP(표8[[#This Row],[location]],Location[location],Location[lon])</f>
        <v/>
      </c>
    </row>
    <row r="248">
      <c r="A248" s="10" t="inlineStr">
        <is>
          <t>M087</t>
        </is>
      </c>
      <c r="B248" s="10" t="inlineStr">
        <is>
          <t>S011</t>
        </is>
      </c>
      <c r="C248" s="180">
        <f>_xlfn.XLOOKUP(표8[[#This Row],[supplier_id]],표7[supplier_id],표7[supplier_name])</f>
        <v/>
      </c>
      <c r="D248" s="181" t="n">
        <v>200</v>
      </c>
      <c r="E248" t="inlineStr">
        <is>
          <t>KTA</t>
        </is>
      </c>
      <c r="F248" t="inlineStr">
        <is>
          <t>울산</t>
        </is>
      </c>
      <c r="G248" t="inlineStr">
        <is>
          <t>화학편람</t>
        </is>
      </c>
      <c r="H248" t="n">
        <v>2025</v>
      </c>
      <c r="J248">
        <f>_xlfn.XLOOKUP(표8[[#This Row],[location]],Location[location],Location[lat])</f>
        <v/>
      </c>
      <c r="K248">
        <f>_xlfn.XLOOKUP(표8[[#This Row],[location]],Location[location],Location[lon])</f>
        <v/>
      </c>
    </row>
    <row r="249">
      <c r="A249" s="10" t="inlineStr">
        <is>
          <t>M087</t>
        </is>
      </c>
      <c r="B249" s="10" t="inlineStr">
        <is>
          <t>S005</t>
        </is>
      </c>
      <c r="C249" s="180">
        <f>_xlfn.XLOOKUP(표8[[#This Row],[supplier_id]],표7[supplier_id],표7[supplier_name])</f>
        <v/>
      </c>
      <c r="D249" s="181" t="n">
        <v>210</v>
      </c>
      <c r="E249" t="inlineStr">
        <is>
          <t>KTA</t>
        </is>
      </c>
      <c r="F249" t="inlineStr">
        <is>
          <t>울산</t>
        </is>
      </c>
      <c r="G249" t="inlineStr">
        <is>
          <t>화학편람</t>
        </is>
      </c>
      <c r="H249" t="n">
        <v>2025</v>
      </c>
      <c r="J249">
        <f>_xlfn.XLOOKUP(표8[[#This Row],[location]],Location[location],Location[lat])</f>
        <v/>
      </c>
      <c r="K249">
        <f>_xlfn.XLOOKUP(표8[[#This Row],[location]],Location[location],Location[lon])</f>
        <v/>
      </c>
    </row>
    <row r="250">
      <c r="A250" s="10" t="inlineStr">
        <is>
          <t>M088</t>
        </is>
      </c>
      <c r="B250" s="180" t="inlineStr">
        <is>
          <t>S005</t>
        </is>
      </c>
      <c r="C250" s="180">
        <f>_xlfn.XLOOKUP(표8[[#This Row],[supplier_id]],표7[supplier_id],표7[supplier_name])</f>
        <v/>
      </c>
      <c r="D250" s="181" t="n">
        <v>360</v>
      </c>
      <c r="E250" t="inlineStr">
        <is>
          <t>KTA</t>
        </is>
      </c>
      <c r="F250" t="inlineStr">
        <is>
          <t>울산</t>
        </is>
      </c>
      <c r="G250" t="inlineStr">
        <is>
          <t>화학편람</t>
        </is>
      </c>
      <c r="H250" t="n">
        <v>2025</v>
      </c>
      <c r="J250">
        <f>_xlfn.XLOOKUP(표8[[#This Row],[location]],Location[location],Location[lat])</f>
        <v/>
      </c>
      <c r="K250">
        <f>_xlfn.XLOOKUP(표8[[#This Row],[location]],Location[location],Location[lon])</f>
        <v/>
      </c>
    </row>
    <row r="251">
      <c r="A251" s="10" t="inlineStr">
        <is>
          <t>M089</t>
        </is>
      </c>
      <c r="B251" s="10" t="inlineStr">
        <is>
          <t>S047</t>
        </is>
      </c>
      <c r="C251" s="180">
        <f>_xlfn.XLOOKUP(표8[[#This Row],[supplier_id]],표7[supplier_id],표7[supplier_name])</f>
        <v/>
      </c>
      <c r="D251" s="181" t="n">
        <v>2000</v>
      </c>
      <c r="E251" t="inlineStr">
        <is>
          <t>KTA</t>
        </is>
      </c>
      <c r="F251" t="inlineStr">
        <is>
          <t>대산</t>
        </is>
      </c>
      <c r="G251" t="inlineStr">
        <is>
          <t>화학편람</t>
        </is>
      </c>
      <c r="H251" t="n">
        <v>2025</v>
      </c>
      <c r="J251">
        <f>_xlfn.XLOOKUP(표8[[#This Row],[location]],Location[location],Location[lat])</f>
        <v/>
      </c>
      <c r="K251">
        <f>_xlfn.XLOOKUP(표8[[#This Row],[location]],Location[location],Location[lon])</f>
        <v/>
      </c>
    </row>
    <row r="252">
      <c r="A252" s="10" t="inlineStr">
        <is>
          <t>M089</t>
        </is>
      </c>
      <c r="B252" s="10" t="inlineStr">
        <is>
          <t>S049</t>
        </is>
      </c>
      <c r="C252" s="180">
        <f>_xlfn.XLOOKUP(표8[[#This Row],[supplier_id]],표7[supplier_id],표7[supplier_name])</f>
        <v/>
      </c>
      <c r="D252" s="181" t="n">
        <v>1460</v>
      </c>
      <c r="E252" t="inlineStr">
        <is>
          <t>KTA</t>
        </is>
      </c>
      <c r="F252" t="inlineStr">
        <is>
          <t>대산</t>
        </is>
      </c>
      <c r="G252" t="inlineStr">
        <is>
          <t>화학편람</t>
        </is>
      </c>
      <c r="H252" t="n">
        <v>2025</v>
      </c>
      <c r="J252">
        <f>_xlfn.XLOOKUP(표8[[#This Row],[location]],Location[location],Location[lat])</f>
        <v/>
      </c>
      <c r="K252">
        <f>_xlfn.XLOOKUP(표8[[#This Row],[location]],Location[location],Location[lon])</f>
        <v/>
      </c>
    </row>
    <row r="253">
      <c r="A253" s="10" t="inlineStr">
        <is>
          <t>M089</t>
        </is>
      </c>
      <c r="B253" s="10" t="inlineStr">
        <is>
          <t>S043</t>
        </is>
      </c>
      <c r="C253" s="180">
        <f>_xlfn.XLOOKUP(표8[[#This Row],[supplier_id]],표7[supplier_id],표7[supplier_name])</f>
        <v/>
      </c>
      <c r="D253" s="175" t="n">
        <v>1350</v>
      </c>
      <c r="E253" t="inlineStr">
        <is>
          <t>KTA</t>
        </is>
      </c>
      <c r="F253" t="inlineStr">
        <is>
          <t>여수</t>
        </is>
      </c>
      <c r="G253" t="inlineStr">
        <is>
          <t>화학편람</t>
        </is>
      </c>
      <c r="H253" t="n">
        <v>2025</v>
      </c>
      <c r="J253">
        <f>_xlfn.XLOOKUP(표8[[#This Row],[location]],Location[location],Location[lat])</f>
        <v/>
      </c>
      <c r="K253">
        <f>_xlfn.XLOOKUP(표8[[#This Row],[location]],Location[location],Location[lon])</f>
        <v/>
      </c>
    </row>
    <row r="254">
      <c r="A254" s="10" t="inlineStr">
        <is>
          <t>M089</t>
        </is>
      </c>
      <c r="B254" s="180" t="inlineStr">
        <is>
          <t>S005</t>
        </is>
      </c>
      <c r="C254" s="180">
        <f>_xlfn.XLOOKUP(표8[[#This Row],[supplier_id]],표7[supplier_id],표7[supplier_name])</f>
        <v/>
      </c>
      <c r="D254" s="181" t="n">
        <v>750</v>
      </c>
      <c r="E254" t="inlineStr">
        <is>
          <t>KTA</t>
        </is>
      </c>
      <c r="F254" t="inlineStr">
        <is>
          <t>울산</t>
        </is>
      </c>
      <c r="G254" t="inlineStr">
        <is>
          <t>화학편람</t>
        </is>
      </c>
      <c r="H254" t="n">
        <v>2025</v>
      </c>
      <c r="J254">
        <f>_xlfn.XLOOKUP(표8[[#This Row],[location]],Location[location],Location[lat])</f>
        <v/>
      </c>
      <c r="K254">
        <f>_xlfn.XLOOKUP(표8[[#This Row],[location]],Location[location],Location[lon])</f>
        <v/>
      </c>
    </row>
    <row r="255">
      <c r="A255" s="10" t="inlineStr">
        <is>
          <t>M089</t>
        </is>
      </c>
      <c r="B255" s="180" t="inlineStr">
        <is>
          <t>S008</t>
        </is>
      </c>
      <c r="C255" s="180">
        <f>_xlfn.XLOOKUP(표8[[#This Row],[supplier_id]],표7[supplier_id],표7[supplier_name])</f>
        <v/>
      </c>
      <c r="D255" s="175" t="n">
        <v>1900</v>
      </c>
      <c r="E255" t="inlineStr">
        <is>
          <t>KTA</t>
        </is>
      </c>
      <c r="F255" t="inlineStr">
        <is>
          <t>울산</t>
        </is>
      </c>
      <c r="G255" t="inlineStr">
        <is>
          <t>화학편람</t>
        </is>
      </c>
      <c r="H255" t="n">
        <v>2025</v>
      </c>
      <c r="J255">
        <f>_xlfn.XLOOKUP(표8[[#This Row],[location]],Location[location],Location[lat])</f>
        <v/>
      </c>
      <c r="K255">
        <f>_xlfn.XLOOKUP(표8[[#This Row],[location]],Location[location],Location[lon])</f>
        <v/>
      </c>
    </row>
    <row r="256">
      <c r="A256" s="10" t="inlineStr">
        <is>
          <t>M089</t>
        </is>
      </c>
      <c r="B256" s="180" t="inlineStr">
        <is>
          <t>S011</t>
        </is>
      </c>
      <c r="C256" s="180">
        <f>_xlfn.XLOOKUP(표8[[#This Row],[supplier_id]],표7[supplier_id],표7[supplier_name])</f>
        <v/>
      </c>
      <c r="D256" s="175" t="n">
        <v>830</v>
      </c>
      <c r="E256" t="inlineStr">
        <is>
          <t>KTA</t>
        </is>
      </c>
      <c r="F256" t="inlineStr">
        <is>
          <t>울산</t>
        </is>
      </c>
      <c r="G256" t="inlineStr">
        <is>
          <t>화학편람</t>
        </is>
      </c>
      <c r="H256" t="n">
        <v>2025</v>
      </c>
      <c r="J256">
        <f>_xlfn.XLOOKUP(표8[[#This Row],[location]],Location[location],Location[lat])</f>
        <v/>
      </c>
      <c r="K256">
        <f>_xlfn.XLOOKUP(표8[[#This Row],[location]],Location[location],Location[lon])</f>
        <v/>
      </c>
    </row>
    <row r="257">
      <c r="A257" s="10" t="inlineStr">
        <is>
          <t>M089</t>
        </is>
      </c>
      <c r="B257" s="180" t="inlineStr">
        <is>
          <t>S017</t>
        </is>
      </c>
      <c r="C257" s="180">
        <f>_xlfn.XLOOKUP(표8[[#This Row],[supplier_id]],표7[supplier_id],표7[supplier_name])</f>
        <v/>
      </c>
      <c r="D257" s="181" t="n">
        <v>1000</v>
      </c>
      <c r="E257" t="inlineStr">
        <is>
          <t>KTA</t>
        </is>
      </c>
      <c r="F257" t="inlineStr">
        <is>
          <t>울산</t>
        </is>
      </c>
      <c r="G257" t="inlineStr">
        <is>
          <t>화학편람</t>
        </is>
      </c>
      <c r="H257" t="n">
        <v>2025</v>
      </c>
      <c r="J257">
        <f>_xlfn.XLOOKUP(표8[[#This Row],[location]],Location[location],Location[lat])</f>
        <v/>
      </c>
      <c r="K257">
        <f>_xlfn.XLOOKUP(표8[[#This Row],[location]],Location[location],Location[lon])</f>
        <v/>
      </c>
    </row>
    <row r="258">
      <c r="A258" s="10" t="inlineStr">
        <is>
          <t>M089</t>
        </is>
      </c>
      <c r="B258" s="10" t="inlineStr">
        <is>
          <t>S053</t>
        </is>
      </c>
      <c r="C258" s="180">
        <f>_xlfn.XLOOKUP(표8[[#This Row],[supplier_id]],표7[supplier_id],표7[supplier_name])</f>
        <v/>
      </c>
      <c r="D258" s="175" t="n">
        <v>1500</v>
      </c>
      <c r="E258" t="inlineStr">
        <is>
          <t>KTA</t>
        </is>
      </c>
      <c r="F258" t="inlineStr">
        <is>
          <t>인천</t>
        </is>
      </c>
      <c r="G258" t="inlineStr">
        <is>
          <t>화학편람</t>
        </is>
      </c>
      <c r="H258" t="n">
        <v>2025</v>
      </c>
      <c r="J258">
        <f>_xlfn.XLOOKUP(표8[[#This Row],[location]],Location[location],Location[lat])</f>
        <v/>
      </c>
      <c r="K258">
        <f>_xlfn.XLOOKUP(표8[[#This Row],[location]],Location[location],Location[lon])</f>
        <v/>
      </c>
    </row>
    <row r="259">
      <c r="A259" s="10" t="inlineStr">
        <is>
          <t>M090</t>
        </is>
      </c>
      <c r="B259" s="10" t="inlineStr">
        <is>
          <t>S005</t>
        </is>
      </c>
      <c r="C259" s="180">
        <f>_xlfn.XLOOKUP(표8[[#This Row],[supplier_id]],표7[supplier_id],표7[supplier_name])</f>
        <v/>
      </c>
      <c r="D259" s="175" t="n">
        <v>840</v>
      </c>
      <c r="E259" t="inlineStr">
        <is>
          <t>KTA</t>
        </is>
      </c>
      <c r="F259" t="inlineStr">
        <is>
          <t>울산</t>
        </is>
      </c>
      <c r="G259" t="inlineStr">
        <is>
          <t>화학편람</t>
        </is>
      </c>
      <c r="H259" t="n">
        <v>2025</v>
      </c>
      <c r="J259">
        <f>_xlfn.XLOOKUP(표8[[#This Row],[location]],Location[location],Location[lat])</f>
        <v/>
      </c>
      <c r="K259">
        <f>_xlfn.XLOOKUP(표8[[#This Row],[location]],Location[location],Location[lon])</f>
        <v/>
      </c>
    </row>
    <row r="260">
      <c r="A260" s="10" t="inlineStr">
        <is>
          <t>M091</t>
        </is>
      </c>
      <c r="B260" s="10" t="inlineStr">
        <is>
          <t>S030</t>
        </is>
      </c>
      <c r="C260" s="180">
        <f>_xlfn.XLOOKUP(표8[[#This Row],[supplier_id]],표7[supplier_id],표7[supplier_name])</f>
        <v/>
      </c>
      <c r="D260" s="175" t="n">
        <v>700</v>
      </c>
      <c r="E260" t="inlineStr">
        <is>
          <t>KTA</t>
        </is>
      </c>
      <c r="F260" t="inlineStr">
        <is>
          <t>대산</t>
        </is>
      </c>
      <c r="G260" t="inlineStr">
        <is>
          <t>화학편람</t>
        </is>
      </c>
      <c r="H260" t="n">
        <v>2025</v>
      </c>
      <c r="J260">
        <f>_xlfn.XLOOKUP(표8[[#This Row],[location]],Location[location],Location[lat])</f>
        <v/>
      </c>
      <c r="K260">
        <f>_xlfn.XLOOKUP(표8[[#This Row],[location]],Location[location],Location[lon])</f>
        <v/>
      </c>
    </row>
    <row r="261">
      <c r="A261" s="10" t="inlineStr">
        <is>
          <t>M091</t>
        </is>
      </c>
      <c r="B261" s="10" t="inlineStr">
        <is>
          <t>S039</t>
        </is>
      </c>
      <c r="C261" s="180">
        <f>_xlfn.XLOOKUP(표8[[#This Row],[supplier_id]],표7[supplier_id],표7[supplier_name])</f>
        <v/>
      </c>
      <c r="D261" s="175" t="n">
        <v>1500</v>
      </c>
      <c r="E261" t="inlineStr">
        <is>
          <t>KTA</t>
        </is>
      </c>
      <c r="F261" t="inlineStr">
        <is>
          <t>여수</t>
        </is>
      </c>
      <c r="G261" t="inlineStr">
        <is>
          <t>화학편람</t>
        </is>
      </c>
      <c r="H261" t="n">
        <v>2025</v>
      </c>
      <c r="J261">
        <f>_xlfn.XLOOKUP(표8[[#This Row],[location]],Location[location],Location[lat])</f>
        <v/>
      </c>
      <c r="K261">
        <f>_xlfn.XLOOKUP(표8[[#This Row],[location]],Location[location],Location[lon])</f>
        <v/>
      </c>
    </row>
    <row r="262">
      <c r="A262" s="10" t="inlineStr">
        <is>
          <t>M093</t>
        </is>
      </c>
      <c r="B262" s="177" t="inlineStr">
        <is>
          <t>S058</t>
        </is>
      </c>
      <c r="C262" s="180">
        <f>_xlfn.XLOOKUP(표8[[#This Row],[supplier_id]],표7[supplier_id],표7[supplier_name])</f>
        <v/>
      </c>
      <c r="D262" s="175" t="n">
        <v>280</v>
      </c>
      <c r="E262" t="inlineStr">
        <is>
          <t>KTA</t>
        </is>
      </c>
      <c r="F262" t="inlineStr">
        <is>
          <t>구미</t>
        </is>
      </c>
      <c r="G262" t="inlineStr">
        <is>
          <t>S&amp;P CEH</t>
        </is>
      </c>
      <c r="H262" t="n">
        <v>2025</v>
      </c>
      <c r="J262">
        <f>_xlfn.XLOOKUP(표8[[#This Row],[location]],Location[location],Location[lat])</f>
        <v/>
      </c>
      <c r="K262">
        <f>_xlfn.XLOOKUP(표8[[#This Row],[location]],Location[location],Location[lon])</f>
        <v/>
      </c>
    </row>
    <row r="263">
      <c r="A263" t="inlineStr">
        <is>
          <t>M093</t>
        </is>
      </c>
      <c r="B263" s="10" t="inlineStr">
        <is>
          <t>S059</t>
        </is>
      </c>
      <c r="C263" s="180">
        <f>_xlfn.XLOOKUP(표8[[#This Row],[supplier_id]],표7[supplier_id],표7[supplier_name])</f>
        <v/>
      </c>
      <c r="D263" s="175" t="n">
        <v>20</v>
      </c>
      <c r="E263" t="inlineStr">
        <is>
          <t>KTA</t>
        </is>
      </c>
      <c r="F263" t="inlineStr">
        <is>
          <t>수원</t>
        </is>
      </c>
      <c r="G263" t="inlineStr">
        <is>
          <t>S&amp;P CEH</t>
        </is>
      </c>
      <c r="H263" t="n">
        <v>2025</v>
      </c>
      <c r="J263">
        <f>_xlfn.XLOOKUP(표8[[#This Row],[location]],Location[location],Location[lat])</f>
        <v/>
      </c>
      <c r="K263">
        <f>_xlfn.XLOOKUP(표8[[#This Row],[location]],Location[location],Location[lon])</f>
        <v/>
      </c>
    </row>
    <row r="264">
      <c r="A264" s="177" t="inlineStr">
        <is>
          <t>M093</t>
        </is>
      </c>
      <c r="B264" s="177" t="inlineStr">
        <is>
          <t>S005</t>
        </is>
      </c>
      <c r="C264" s="180">
        <f>_xlfn.XLOOKUP(표8[[#This Row],[supplier_id]],표7[supplier_id],표7[supplier_name])</f>
        <v/>
      </c>
      <c r="D264" s="175" t="n">
        <v>450</v>
      </c>
      <c r="E264" t="inlineStr">
        <is>
          <t>KTA</t>
        </is>
      </c>
      <c r="F264" t="inlineStr">
        <is>
          <t>울산</t>
        </is>
      </c>
      <c r="G264" t="inlineStr">
        <is>
          <t>S&amp;P CEH</t>
        </is>
      </c>
      <c r="H264" t="n">
        <v>2025</v>
      </c>
      <c r="J264">
        <f>_xlfn.XLOOKUP(표8[[#This Row],[location]],Location[location],Location[lat])</f>
        <v/>
      </c>
      <c r="K264">
        <f>_xlfn.XLOOKUP(표8[[#This Row],[location]],Location[location],Location[lon])</f>
        <v/>
      </c>
    </row>
    <row r="265">
      <c r="A265" s="10" t="inlineStr">
        <is>
          <t>M097</t>
        </is>
      </c>
      <c r="B265" s="10" t="inlineStr">
        <is>
          <t>S034</t>
        </is>
      </c>
      <c r="C265" s="180">
        <f>_xlfn.XLOOKUP(표8[[#This Row],[supplier_id]],표7[supplier_id],표7[supplier_name])</f>
        <v/>
      </c>
      <c r="D265" s="175" t="n">
        <v>310</v>
      </c>
      <c r="E265" t="inlineStr">
        <is>
          <t>KTA</t>
        </is>
      </c>
      <c r="F265" t="inlineStr">
        <is>
          <t>여수</t>
        </is>
      </c>
      <c r="G265" t="inlineStr">
        <is>
          <t>화학편람</t>
        </is>
      </c>
      <c r="H265" t="n">
        <v>2025</v>
      </c>
      <c r="J265">
        <f>_xlfn.XLOOKUP(표8[[#This Row],[location]],Location[location],Location[lat])</f>
        <v/>
      </c>
      <c r="K265">
        <f>_xlfn.XLOOKUP(표8[[#This Row],[location]],Location[location],Location[lon])</f>
        <v/>
      </c>
    </row>
    <row r="266">
      <c r="A266" s="10" t="inlineStr">
        <is>
          <t>M097</t>
        </is>
      </c>
      <c r="B266" s="180" t="inlineStr">
        <is>
          <t>S037</t>
        </is>
      </c>
      <c r="C266" s="180">
        <f>_xlfn.XLOOKUP(표8[[#This Row],[supplier_id]],표7[supplier_id],표7[supplier_name])</f>
        <v/>
      </c>
      <c r="D266" s="181" t="n">
        <v>96</v>
      </c>
      <c r="E266" t="inlineStr">
        <is>
          <t>KTA</t>
        </is>
      </c>
      <c r="F266" t="inlineStr">
        <is>
          <t>여수</t>
        </is>
      </c>
      <c r="G266" t="inlineStr">
        <is>
          <t>화학편람</t>
        </is>
      </c>
      <c r="H266" t="n">
        <v>2025</v>
      </c>
      <c r="J266">
        <f>_xlfn.XLOOKUP(표8[[#This Row],[location]],Location[location],Location[lat])</f>
        <v/>
      </c>
      <c r="K266">
        <f>_xlfn.XLOOKUP(표8[[#This Row],[location]],Location[location],Location[lon])</f>
        <v/>
      </c>
    </row>
    <row r="267">
      <c r="A267" s="177" t="inlineStr">
        <is>
          <t>M098</t>
        </is>
      </c>
      <c r="B267" t="inlineStr">
        <is>
          <t>S029</t>
        </is>
      </c>
      <c r="C267" s="180">
        <f>_xlfn.XLOOKUP(표8[[#This Row],[supplier_id]],표7[supplier_id],표7[supplier_name])</f>
        <v/>
      </c>
      <c r="D267" s="181" t="n">
        <v>25</v>
      </c>
      <c r="E267" t="inlineStr">
        <is>
          <t>KTA</t>
        </is>
      </c>
      <c r="F267" t="inlineStr">
        <is>
          <t>여수</t>
        </is>
      </c>
      <c r="G267" t="inlineStr">
        <is>
          <t>S&amp;P CEH</t>
        </is>
      </c>
      <c r="H267" t="n">
        <v>2024</v>
      </c>
      <c r="J267">
        <f>_xlfn.XLOOKUP(표8[[#This Row],[location]],Location[location],Location[lat])</f>
        <v/>
      </c>
      <c r="K267">
        <f>_xlfn.XLOOKUP(표8[[#This Row],[location]],Location[location],Location[lon])</f>
        <v/>
      </c>
    </row>
    <row r="268">
      <c r="A268" s="177" t="inlineStr">
        <is>
          <t>M098</t>
        </is>
      </c>
      <c r="B268" t="inlineStr">
        <is>
          <t>S056</t>
        </is>
      </c>
      <c r="C268" s="180">
        <f>_xlfn.XLOOKUP(표8[[#This Row],[supplier_id]],표7[supplier_id],표7[supplier_name])</f>
        <v/>
      </c>
      <c r="D268" s="181" t="n">
        <v>132</v>
      </c>
      <c r="E268" t="inlineStr">
        <is>
          <t>KTA</t>
        </is>
      </c>
      <c r="F268" t="inlineStr">
        <is>
          <t>여수</t>
        </is>
      </c>
      <c r="G268" t="inlineStr">
        <is>
          <t>S&amp;P CEH</t>
        </is>
      </c>
      <c r="H268" t="n">
        <v>2024</v>
      </c>
      <c r="J268">
        <f>_xlfn.XLOOKUP(표8[[#This Row],[location]],Location[location],Location[lat])</f>
        <v/>
      </c>
      <c r="K268">
        <f>_xlfn.XLOOKUP(표8[[#This Row],[location]],Location[location],Location[lon])</f>
        <v/>
      </c>
    </row>
    <row r="269">
      <c r="A269" s="177" t="inlineStr">
        <is>
          <t>M102</t>
        </is>
      </c>
      <c r="B269" s="177" t="inlineStr">
        <is>
          <t>S005</t>
        </is>
      </c>
      <c r="C269" s="180">
        <f>_xlfn.XLOOKUP(표8[[#This Row],[supplier_id]],표7[supplier_id],표7[supplier_name])</f>
        <v/>
      </c>
      <c r="D269" s="175" t="n">
        <v>32</v>
      </c>
      <c r="E269" t="inlineStr">
        <is>
          <t>KTA</t>
        </is>
      </c>
      <c r="F269" t="inlineStr">
        <is>
          <t>여수</t>
        </is>
      </c>
      <c r="G269" t="inlineStr">
        <is>
          <t>S&amp;P CEH</t>
        </is>
      </c>
      <c r="H269" t="n">
        <v>2023</v>
      </c>
      <c r="J269">
        <f>_xlfn.XLOOKUP(표8[[#This Row],[location]],Location[location],Location[lat])</f>
        <v/>
      </c>
      <c r="K269">
        <f>_xlfn.XLOOKUP(표8[[#This Row],[location]],Location[location],Location[lon])</f>
        <v/>
      </c>
    </row>
    <row r="270">
      <c r="A270" s="177" t="inlineStr">
        <is>
          <t>M102</t>
        </is>
      </c>
      <c r="B270" s="177" t="inlineStr">
        <is>
          <t>S042</t>
        </is>
      </c>
      <c r="C270" s="180">
        <f>_xlfn.XLOOKUP(표8[[#This Row],[supplier_id]],표7[supplier_id],표7[supplier_name])</f>
        <v/>
      </c>
      <c r="D270" s="175" t="n">
        <v>38</v>
      </c>
      <c r="E270" t="inlineStr">
        <is>
          <t>KTA</t>
        </is>
      </c>
      <c r="F270" t="inlineStr">
        <is>
          <t>여수</t>
        </is>
      </c>
      <c r="G270" t="inlineStr">
        <is>
          <t>S&amp;P CEH</t>
        </is>
      </c>
      <c r="H270" t="n">
        <v>2023</v>
      </c>
      <c r="J270">
        <f>_xlfn.XLOOKUP(표8[[#This Row],[location]],Location[location],Location[lat])</f>
        <v/>
      </c>
      <c r="K270">
        <f>_xlfn.XLOOKUP(표8[[#This Row],[location]],Location[location],Location[lon])</f>
        <v/>
      </c>
    </row>
    <row r="271">
      <c r="A271" s="10" t="inlineStr">
        <is>
          <t>M107</t>
        </is>
      </c>
      <c r="B271" s="177" t="inlineStr">
        <is>
          <t>S041</t>
        </is>
      </c>
      <c r="C271" s="180">
        <f>_xlfn.XLOOKUP(표8[[#This Row],[supplier_id]],표7[supplier_id],표7[supplier_name])</f>
        <v/>
      </c>
      <c r="D271" s="175" t="n">
        <v>25</v>
      </c>
      <c r="E271" t="inlineStr">
        <is>
          <t>KTA</t>
        </is>
      </c>
      <c r="F271" t="inlineStr">
        <is>
          <t>나주</t>
        </is>
      </c>
      <c r="G271" t="inlineStr">
        <is>
          <t>S&amp;P CEH</t>
        </is>
      </c>
      <c r="H271" t="n">
        <v>2024</v>
      </c>
      <c r="J271">
        <f>_xlfn.XLOOKUP(표8[[#This Row],[location]],Location[location],Location[lat])</f>
        <v/>
      </c>
      <c r="K271">
        <f>_xlfn.XLOOKUP(표8[[#This Row],[location]],Location[location],Location[lon])</f>
        <v/>
      </c>
    </row>
    <row r="272">
      <c r="A272" s="10" t="inlineStr">
        <is>
          <t>M107</t>
        </is>
      </c>
      <c r="B272" s="10" t="inlineStr">
        <is>
          <t>S029</t>
        </is>
      </c>
      <c r="C272" s="180">
        <f>_xlfn.XLOOKUP(표8[[#This Row],[supplier_id]],표7[supplier_id],표7[supplier_name])</f>
        <v/>
      </c>
      <c r="D272" s="175" t="n">
        <v>10</v>
      </c>
      <c r="E272" t="inlineStr">
        <is>
          <t>KTA</t>
        </is>
      </c>
      <c r="F272" t="inlineStr">
        <is>
          <t>여수</t>
        </is>
      </c>
      <c r="G272" t="inlineStr">
        <is>
          <t>S&amp;P CEH</t>
        </is>
      </c>
      <c r="H272" t="n">
        <v>2024</v>
      </c>
      <c r="J272">
        <f>_xlfn.XLOOKUP(표8[[#This Row],[location]],Location[location],Location[lat])</f>
        <v/>
      </c>
      <c r="K272">
        <f>_xlfn.XLOOKUP(표8[[#This Row],[location]],Location[location],Location[lon])</f>
        <v/>
      </c>
    </row>
    <row r="273">
      <c r="A273" s="10" t="inlineStr">
        <is>
          <t>M107</t>
        </is>
      </c>
      <c r="B273" s="177" t="inlineStr">
        <is>
          <t>S041</t>
        </is>
      </c>
      <c r="C273" s="180">
        <f>_xlfn.XLOOKUP(표8[[#This Row],[supplier_id]],표7[supplier_id],표7[supplier_name])</f>
        <v/>
      </c>
      <c r="D273" s="181" t="n">
        <v>100</v>
      </c>
      <c r="E273" t="inlineStr">
        <is>
          <t>KTA</t>
        </is>
      </c>
      <c r="F273" t="inlineStr">
        <is>
          <t>여수</t>
        </is>
      </c>
      <c r="G273" t="inlineStr">
        <is>
          <t>S&amp;P CEH</t>
        </is>
      </c>
      <c r="H273" t="n">
        <v>2024</v>
      </c>
      <c r="J273">
        <f>_xlfn.XLOOKUP(표8[[#This Row],[location]],Location[location],Location[lat])</f>
        <v/>
      </c>
      <c r="K273">
        <f>_xlfn.XLOOKUP(표8[[#This Row],[location]],Location[location],Location[lon])</f>
        <v/>
      </c>
    </row>
    <row r="274">
      <c r="A274" s="177" t="inlineStr">
        <is>
          <t>M114</t>
        </is>
      </c>
      <c r="B274" s="177" t="inlineStr">
        <is>
          <t>S057</t>
        </is>
      </c>
      <c r="C274" s="180">
        <f>_xlfn.XLOOKUP(표8[[#This Row],[supplier_id]],표7[supplier_id],표7[supplier_name])</f>
        <v/>
      </c>
      <c r="D274" s="181" t="n">
        <v>14</v>
      </c>
      <c r="E274" t="inlineStr">
        <is>
          <t>KTA</t>
        </is>
      </c>
      <c r="F274" t="inlineStr">
        <is>
          <t>군산</t>
        </is>
      </c>
      <c r="G274" t="inlineStr">
        <is>
          <t>S&amp;P CEH</t>
        </is>
      </c>
      <c r="H274" t="n">
        <v>2024</v>
      </c>
      <c r="I274" t="inlineStr">
        <is>
          <t>p-dichlorobenzene(14)</t>
        </is>
      </c>
      <c r="J274">
        <f>_xlfn.XLOOKUP(표8[[#This Row],[location]],Location[location],Location[lat])</f>
        <v/>
      </c>
      <c r="K274">
        <f>_xlfn.XLOOKUP(표8[[#This Row],[location]],Location[location],Location[lon])</f>
        <v/>
      </c>
    </row>
    <row r="275">
      <c r="A275" s="177" t="inlineStr">
        <is>
          <t>M052</t>
        </is>
      </c>
      <c r="B275" s="177" t="inlineStr">
        <is>
          <t>S002</t>
        </is>
      </c>
      <c r="C275" s="180">
        <f>_xlfn.XLOOKUP(표8[[#This Row],[supplier_id]],표7[supplier_id],표7[supplier_name])</f>
        <v/>
      </c>
      <c r="D275" s="175" t="n">
        <v>6</v>
      </c>
      <c r="E275" t="inlineStr">
        <is>
          <t>KTA</t>
        </is>
      </c>
      <c r="F275" t="inlineStr">
        <is>
          <t>울산</t>
        </is>
      </c>
      <c r="G275" t="inlineStr">
        <is>
          <t>S&amp;P CEH</t>
        </is>
      </c>
      <c r="H275" t="n">
        <v>2026</v>
      </c>
      <c r="J275">
        <f>_xlfn.XLOOKUP(표8[[#This Row],[location]],Location[location],Location[lat])</f>
        <v/>
      </c>
      <c r="K275">
        <f>_xlfn.XLOOKUP(표8[[#This Row],[location]],Location[location],Location[lon])</f>
        <v/>
      </c>
    </row>
    <row r="276">
      <c r="A276" s="177" t="inlineStr">
        <is>
          <t>M052</t>
        </is>
      </c>
      <c r="B276" s="177" t="inlineStr">
        <is>
          <t>S041</t>
        </is>
      </c>
      <c r="C276" s="180">
        <f>_xlfn.XLOOKUP(표8[[#This Row],[supplier_id]],표7[supplier_id],표7[supplier_name])</f>
        <v/>
      </c>
      <c r="D276" s="175" t="n">
        <v>40</v>
      </c>
      <c r="E276" t="inlineStr">
        <is>
          <t>KTA</t>
        </is>
      </c>
      <c r="F276" t="inlineStr">
        <is>
          <t>대산</t>
        </is>
      </c>
      <c r="G276" t="inlineStr">
        <is>
          <t>S&amp;P CEH</t>
        </is>
      </c>
      <c r="H276" t="n">
        <v>2026</v>
      </c>
      <c r="J276">
        <f>_xlfn.XLOOKUP(표8[[#This Row],[location]],Location[location],Location[lat])</f>
        <v/>
      </c>
      <c r="K276">
        <f>_xlfn.XLOOKUP(표8[[#This Row],[location]],Location[location],Location[lon])</f>
        <v/>
      </c>
    </row>
    <row r="277">
      <c r="A277" s="10" t="inlineStr">
        <is>
          <t>M052</t>
        </is>
      </c>
      <c r="B277" s="177" t="inlineStr">
        <is>
          <t>S005</t>
        </is>
      </c>
      <c r="C277" s="180">
        <f>_xlfn.XLOOKUP(표8[[#This Row],[supplier_id]],표7[supplier_id],표7[supplier_name])</f>
        <v/>
      </c>
      <c r="D277" s="181" t="n">
        <v>30</v>
      </c>
      <c r="E277" t="inlineStr">
        <is>
          <t>KTA</t>
        </is>
      </c>
      <c r="F277" t="inlineStr">
        <is>
          <t>여수</t>
        </is>
      </c>
      <c r="G277" t="inlineStr">
        <is>
          <t>S&amp;P CEH</t>
        </is>
      </c>
      <c r="H277" t="n">
        <v>2026</v>
      </c>
      <c r="J277">
        <f>_xlfn.XLOOKUP(표8[[#This Row],[location]],Location[location],Location[lat])</f>
        <v/>
      </c>
      <c r="K277">
        <f>_xlfn.XLOOKUP(표8[[#This Row],[location]],Location[location],Location[lon])</f>
        <v/>
      </c>
    </row>
    <row r="278">
      <c r="A278" s="10" t="inlineStr">
        <is>
          <t>M052</t>
        </is>
      </c>
      <c r="B278" s="177" t="inlineStr">
        <is>
          <t>S011</t>
        </is>
      </c>
      <c r="C278" s="180">
        <f>_xlfn.XLOOKUP(표8[[#This Row],[supplier_id]],표7[supplier_id],표7[supplier_name])</f>
        <v/>
      </c>
      <c r="D278" s="181" t="n">
        <v>42</v>
      </c>
      <c r="E278" t="inlineStr">
        <is>
          <t>KTA</t>
        </is>
      </c>
      <c r="F278" t="inlineStr">
        <is>
          <t>울산</t>
        </is>
      </c>
      <c r="G278" t="inlineStr">
        <is>
          <t>S&amp;P CEH</t>
        </is>
      </c>
      <c r="H278" t="n">
        <v>2026</v>
      </c>
      <c r="J278">
        <f>_xlfn.XLOOKUP(표8[[#This Row],[location]],Location[location],Location[lat])</f>
        <v/>
      </c>
      <c r="K278">
        <f>_xlfn.XLOOKUP(표8[[#This Row],[location]],Location[location],Location[lon])</f>
        <v/>
      </c>
    </row>
    <row r="279">
      <c r="A279" s="10" t="inlineStr">
        <is>
          <t>M052</t>
        </is>
      </c>
      <c r="B279" s="177" t="inlineStr">
        <is>
          <t>S042</t>
        </is>
      </c>
      <c r="C279" s="180">
        <f>_xlfn.XLOOKUP(표8[[#This Row],[supplier_id]],표7[supplier_id],표7[supplier_name])</f>
        <v/>
      </c>
      <c r="D279" s="181" t="n">
        <v>65</v>
      </c>
      <c r="E279" t="inlineStr">
        <is>
          <t>KTA</t>
        </is>
      </c>
      <c r="F279" t="inlineStr">
        <is>
          <t>여수</t>
        </is>
      </c>
      <c r="G279" t="inlineStr">
        <is>
          <t>S&amp;P CEH</t>
        </is>
      </c>
      <c r="H279" t="n">
        <v>2026</v>
      </c>
      <c r="J279">
        <f>_xlfn.XLOOKUP(표8[[#This Row],[location]],Location[location],Location[lat])</f>
        <v/>
      </c>
      <c r="K279">
        <f>_xlfn.XLOOKUP(표8[[#This Row],[location]],Location[location],Location[lon])</f>
        <v/>
      </c>
    </row>
    <row r="280">
      <c r="A280" t="inlineStr">
        <is>
          <t>M067</t>
        </is>
      </c>
      <c r="B280" s="177" t="inlineStr">
        <is>
          <t>S020</t>
        </is>
      </c>
      <c r="C280" s="180">
        <f>_xlfn.XLOOKUP(표8[[#This Row],[supplier_id]],표7[supplier_id],표7[supplier_name])</f>
        <v/>
      </c>
      <c r="D280" s="175" t="n">
        <v>189</v>
      </c>
      <c r="E280" t="inlineStr">
        <is>
          <t>KTA</t>
        </is>
      </c>
      <c r="F280" t="inlineStr">
        <is>
          <t>울산</t>
        </is>
      </c>
      <c r="G280" t="inlineStr">
        <is>
          <t>S&amp;P CEH</t>
        </is>
      </c>
      <c r="H280" t="n">
        <v>2025</v>
      </c>
      <c r="J280">
        <f>_xlfn.XLOOKUP(표8[[#This Row],[location]],Location[location],Location[lat])</f>
        <v/>
      </c>
      <c r="K280">
        <f>_xlfn.XLOOKUP(표8[[#This Row],[location]],Location[location],Location[lon])</f>
        <v/>
      </c>
    </row>
    <row r="281">
      <c r="A281" s="177" t="inlineStr">
        <is>
          <t>M080</t>
        </is>
      </c>
      <c r="B281" s="177" t="inlineStr">
        <is>
          <t>S060</t>
        </is>
      </c>
      <c r="C281" s="180">
        <f>_xlfn.XLOOKUP(표8[[#This Row],[supplier_id]],표7[supplier_id],표7[supplier_name])</f>
        <v/>
      </c>
      <c r="D281" s="175" t="n">
        <v>150</v>
      </c>
      <c r="E281" t="inlineStr">
        <is>
          <t>KTA</t>
        </is>
      </c>
      <c r="F281" t="inlineStr">
        <is>
          <t>여수</t>
        </is>
      </c>
      <c r="G281" t="inlineStr">
        <is>
          <t>S&amp;P CEH</t>
        </is>
      </c>
      <c r="H281" t="n">
        <v>2024</v>
      </c>
      <c r="J281">
        <f>_xlfn.XLOOKUP(표8[[#This Row],[location]],Location[location],Location[lat])</f>
        <v/>
      </c>
      <c r="K281">
        <f>_xlfn.XLOOKUP(표8[[#This Row],[location]],Location[location],Location[lon])</f>
        <v/>
      </c>
    </row>
    <row r="282">
      <c r="A282" s="177" t="inlineStr">
        <is>
          <t>M080</t>
        </is>
      </c>
      <c r="B282" s="177" t="inlineStr">
        <is>
          <t>S060</t>
        </is>
      </c>
      <c r="C282" s="180">
        <f>_xlfn.XLOOKUP(표8[[#This Row],[supplier_id]],표7[supplier_id],표7[supplier_name])</f>
        <v/>
      </c>
      <c r="D282" s="175" t="n">
        <v>50</v>
      </c>
      <c r="E282" t="inlineStr">
        <is>
          <t>KTA</t>
        </is>
      </c>
      <c r="F282" t="inlineStr">
        <is>
          <t>구미</t>
        </is>
      </c>
      <c r="G282" t="inlineStr">
        <is>
          <t>S&amp;P CEH</t>
        </is>
      </c>
      <c r="H282" t="n">
        <v>2024</v>
      </c>
      <c r="J282">
        <f>_xlfn.XLOOKUP(표8[[#This Row],[location]],Location[location],Location[lat])</f>
        <v/>
      </c>
      <c r="K282">
        <f>_xlfn.XLOOKUP(표8[[#This Row],[location]],Location[location],Location[lon])</f>
        <v/>
      </c>
    </row>
    <row r="283">
      <c r="A283" s="177" t="inlineStr">
        <is>
          <t>M080</t>
        </is>
      </c>
      <c r="B283" s="177" t="inlineStr">
        <is>
          <t>S011</t>
        </is>
      </c>
      <c r="C283" s="180">
        <f>_xlfn.XLOOKUP(표8[[#This Row],[supplier_id]],표7[supplier_id],표7[supplier_name])</f>
        <v/>
      </c>
      <c r="D283" s="175" t="n">
        <v>100</v>
      </c>
      <c r="E283" t="inlineStr">
        <is>
          <t>KTA</t>
        </is>
      </c>
      <c r="F283" t="inlineStr">
        <is>
          <t>울산</t>
        </is>
      </c>
      <c r="G283" t="inlineStr">
        <is>
          <t>S&amp;P CEH</t>
        </is>
      </c>
      <c r="H283" t="n">
        <v>2024</v>
      </c>
      <c r="J283">
        <f>_xlfn.XLOOKUP(표8[[#This Row],[location]],Location[location],Location[lat])</f>
        <v/>
      </c>
      <c r="K283">
        <f>_xlfn.XLOOKUP(표8[[#This Row],[location]],Location[location],Location[lon])</f>
        <v/>
      </c>
    </row>
    <row r="284">
      <c r="A284" s="177" t="inlineStr">
        <is>
          <t>M081</t>
        </is>
      </c>
      <c r="B284" s="177" t="inlineStr">
        <is>
          <t>S005</t>
        </is>
      </c>
      <c r="C284" s="180">
        <f>_xlfn.XLOOKUP(표8[[#This Row],[supplier_id]],표7[supplier_id],표7[supplier_name])</f>
        <v/>
      </c>
      <c r="D284" s="175" t="n">
        <v>38</v>
      </c>
      <c r="E284" t="inlineStr">
        <is>
          <t>KTA</t>
        </is>
      </c>
      <c r="F284" t="inlineStr">
        <is>
          <t>대산</t>
        </is>
      </c>
      <c r="G284" s="101" t="inlineStr">
        <is>
          <t>기사</t>
        </is>
      </c>
      <c r="H284" t="n">
        <v>2022</v>
      </c>
      <c r="J284">
        <f>_xlfn.XLOOKUP(표8[[#This Row],[location]],Location[location],Location[lat])</f>
        <v/>
      </c>
      <c r="K284">
        <f>_xlfn.XLOOKUP(표8[[#This Row],[location]],Location[location],Location[lon])</f>
        <v/>
      </c>
    </row>
    <row r="285">
      <c r="A285" s="180" t="inlineStr">
        <is>
          <t>M082</t>
        </is>
      </c>
      <c r="B285" s="177" t="inlineStr">
        <is>
          <t>S005</t>
        </is>
      </c>
      <c r="C285" s="180">
        <f>_xlfn.XLOOKUP(표8[[#This Row],[supplier_id]],표7[supplier_id],표7[supplier_name])</f>
        <v/>
      </c>
      <c r="D285" s="181" t="n">
        <v>70</v>
      </c>
      <c r="E285" t="inlineStr">
        <is>
          <t>KTA</t>
        </is>
      </c>
      <c r="F285" t="inlineStr">
        <is>
          <t>대산</t>
        </is>
      </c>
      <c r="G285" s="101" t="inlineStr">
        <is>
          <t>기사</t>
        </is>
      </c>
      <c r="H285" t="n">
        <v>2022</v>
      </c>
      <c r="J285">
        <f>_xlfn.XLOOKUP(표8[[#This Row],[location]],Location[location],Location[lat])</f>
        <v/>
      </c>
      <c r="K285">
        <f>_xlfn.XLOOKUP(표8[[#This Row],[location]],Location[location],Location[lon])</f>
        <v/>
      </c>
    </row>
    <row r="286">
      <c r="A286" s="177" t="inlineStr">
        <is>
          <t>M102</t>
        </is>
      </c>
      <c r="B286" s="177" t="inlineStr">
        <is>
          <t>S005</t>
        </is>
      </c>
      <c r="C286" s="180">
        <f>_xlfn.XLOOKUP(표8[[#This Row],[supplier_id]],표7[supplier_id],표7[supplier_name])</f>
        <v/>
      </c>
      <c r="D286" s="175" t="n">
        <v>32</v>
      </c>
      <c r="E286" t="inlineStr">
        <is>
          <t>KTA</t>
        </is>
      </c>
      <c r="F286" t="inlineStr">
        <is>
          <t>여수</t>
        </is>
      </c>
      <c r="G286" t="inlineStr">
        <is>
          <t>S&amp;P CEH</t>
        </is>
      </c>
      <c r="H286" t="n">
        <v>2023</v>
      </c>
      <c r="J286">
        <f>_xlfn.XLOOKUP(표8[[#This Row],[location]],Location[location],Location[lat])</f>
        <v/>
      </c>
      <c r="K286">
        <f>_xlfn.XLOOKUP(표8[[#This Row],[location]],Location[location],Location[lon])</f>
        <v/>
      </c>
    </row>
    <row r="287">
      <c r="A287" s="177" t="inlineStr">
        <is>
          <t>M102</t>
        </is>
      </c>
      <c r="B287" s="177" t="inlineStr">
        <is>
          <t>S042</t>
        </is>
      </c>
      <c r="C287" s="180">
        <f>_xlfn.XLOOKUP(표8[[#This Row],[supplier_id]],표7[supplier_id],표7[supplier_name])</f>
        <v/>
      </c>
      <c r="D287" s="175" t="n">
        <v>38</v>
      </c>
      <c r="E287" t="inlineStr">
        <is>
          <t>KTA</t>
        </is>
      </c>
      <c r="F287" t="inlineStr">
        <is>
          <t>여수</t>
        </is>
      </c>
      <c r="G287" t="inlineStr">
        <is>
          <t>S&amp;P CEH</t>
        </is>
      </c>
      <c r="H287" t="n">
        <v>2023</v>
      </c>
      <c r="J287">
        <f>_xlfn.XLOOKUP(표8[[#This Row],[location]],Location[location],Location[lat])</f>
        <v/>
      </c>
      <c r="K287">
        <f>_xlfn.XLOOKUP(표8[[#This Row],[location]],Location[location],Location[lon])</f>
        <v/>
      </c>
    </row>
    <row r="288">
      <c r="A288" s="177" t="inlineStr">
        <is>
          <t>M106</t>
        </is>
      </c>
      <c r="B288" s="177" t="inlineStr">
        <is>
          <t>S037</t>
        </is>
      </c>
      <c r="C288" s="180">
        <f>_xlfn.XLOOKUP(표8[[#This Row],[supplier_id]],표7[supplier_id],표7[supplier_name])</f>
        <v/>
      </c>
      <c r="D288" s="175" t="n">
        <v>50</v>
      </c>
      <c r="E288" t="inlineStr">
        <is>
          <t>KTA</t>
        </is>
      </c>
      <c r="F288" t="inlineStr">
        <is>
          <t>여수</t>
        </is>
      </c>
      <c r="G288" t="inlineStr">
        <is>
          <t>S&amp;P CEH</t>
        </is>
      </c>
      <c r="H288" t="n">
        <v>2023</v>
      </c>
      <c r="J288">
        <f>_xlfn.XLOOKUP(표8[[#This Row],[location]],Location[location],Location[lat])</f>
        <v/>
      </c>
      <c r="K288">
        <f>_xlfn.XLOOKUP(표8[[#This Row],[location]],Location[location],Location[lon])</f>
        <v/>
      </c>
    </row>
  </sheetData>
  <hyperlinks>
    <hyperlink xmlns:r="http://schemas.openxmlformats.org/officeDocument/2006/relationships" ref="G135" r:id="rId1"/>
    <hyperlink xmlns:r="http://schemas.openxmlformats.org/officeDocument/2006/relationships" ref="G284" r:id="rId2"/>
    <hyperlink xmlns:r="http://schemas.openxmlformats.org/officeDocument/2006/relationships" ref="G285" r:id="rId3"/>
  </hyperlinks>
  <pageMargins left="0.7" right="0.7" top="0.75" bottom="0.75" header="0.3" footer="0.3"/>
  <pageSetup orientation="portrait" paperSize="9" verticalDpi="0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4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="85" zoomScaleNormal="85" workbookViewId="0">
      <selection activeCell="A1" sqref="A1"/>
    </sheetView>
  </sheetViews>
  <sheetFormatPr baseColWidth="8" defaultRowHeight="16.5"/>
  <cols>
    <col width="12.375" customWidth="1" style="179" min="1" max="1"/>
    <col width="12.125" customWidth="1" style="179" min="2" max="3"/>
    <col width="17.875" bestFit="1" customWidth="1" style="179" min="4" max="4"/>
  </cols>
  <sheetData>
    <row r="1">
      <c r="A1" s="6" t="inlineStr">
        <is>
          <t>location</t>
        </is>
      </c>
      <c r="B1" s="5" t="inlineStr">
        <is>
          <t>lat</t>
        </is>
      </c>
      <c r="C1" s="6" t="inlineStr">
        <is>
          <t>lon</t>
        </is>
      </c>
      <c r="D1" s="105" t="inlineStr">
        <is>
          <t>Remark</t>
        </is>
      </c>
    </row>
    <row r="2">
      <c r="A2" s="1" t="inlineStr">
        <is>
          <t>광양</t>
        </is>
      </c>
      <c r="B2" s="104" t="n">
        <v>34.934</v>
      </c>
      <c r="C2" s="104" t="n">
        <v>127.756</v>
      </c>
      <c r="D2" t="inlineStr">
        <is>
          <t>OCI 광양</t>
        </is>
      </c>
    </row>
    <row r="3">
      <c r="A3" s="1" t="inlineStr">
        <is>
          <t>구미</t>
        </is>
      </c>
      <c r="B3" s="104" t="n">
        <v>36.091</v>
      </c>
      <c r="C3" s="104" t="n">
        <v>128.377</v>
      </c>
      <c r="D3" t="inlineStr">
        <is>
          <t>티케이케미칼 구미</t>
        </is>
      </c>
    </row>
    <row r="4">
      <c r="A4" s="1" t="inlineStr">
        <is>
          <t>군산</t>
        </is>
      </c>
      <c r="B4" s="104" t="n">
        <v>35.979</v>
      </c>
      <c r="C4" s="104" t="n">
        <v>126.662</v>
      </c>
      <c r="D4" t="inlineStr">
        <is>
          <t>OCI 군산</t>
        </is>
      </c>
    </row>
    <row r="5">
      <c r="A5" s="1" t="inlineStr">
        <is>
          <t>김천</t>
        </is>
      </c>
      <c r="B5" s="104" t="n">
        <v>36.147</v>
      </c>
      <c r="C5" s="104" t="n">
        <v>128.127</v>
      </c>
      <c r="D5" t="inlineStr">
        <is>
          <t>코오롱 김천</t>
        </is>
      </c>
    </row>
    <row r="6">
      <c r="A6" s="1" t="inlineStr">
        <is>
          <t>나주</t>
        </is>
      </c>
      <c r="B6" s="104" t="n">
        <v>35.022</v>
      </c>
      <c r="C6" s="104" t="n">
        <v>126.72</v>
      </c>
      <c r="D6" t="inlineStr">
        <is>
          <t>LG화학 나주</t>
        </is>
      </c>
    </row>
    <row r="7">
      <c r="A7" s="1" t="inlineStr">
        <is>
          <t>대산</t>
        </is>
      </c>
      <c r="B7" s="104" t="n">
        <v>36.99</v>
      </c>
      <c r="C7" s="104" t="n">
        <v>126.39</v>
      </c>
      <c r="D7" t="inlineStr">
        <is>
          <t>LG화학 서산</t>
        </is>
      </c>
    </row>
    <row r="8">
      <c r="A8" t="inlineStr">
        <is>
          <t>부산</t>
        </is>
      </c>
      <c r="B8" s="104" t="n">
        <v>35.095</v>
      </c>
      <c r="C8" s="104" t="n">
        <v>128.836</v>
      </c>
      <c r="D8" t="inlineStr">
        <is>
          <t>국도화학 부산</t>
        </is>
      </c>
    </row>
    <row r="9">
      <c r="A9" s="1" t="inlineStr">
        <is>
          <t>수원</t>
        </is>
      </c>
      <c r="B9" s="104" t="n">
        <v>37.303</v>
      </c>
      <c r="C9" s="104" t="n">
        <v>126.985</v>
      </c>
      <c r="D9" t="inlineStr">
        <is>
          <t>SK마이크로웍스</t>
        </is>
      </c>
    </row>
    <row r="10">
      <c r="A10" s="1" t="inlineStr">
        <is>
          <t>여수</t>
        </is>
      </c>
      <c r="B10" s="104" t="n">
        <v>34.834</v>
      </c>
      <c r="C10" s="104" t="n">
        <v>127.686</v>
      </c>
      <c r="D10" t="inlineStr">
        <is>
          <t>LG화학 여수</t>
        </is>
      </c>
    </row>
    <row r="11">
      <c r="A11" s="1" t="inlineStr">
        <is>
          <t>울산</t>
        </is>
      </c>
      <c r="B11" s="104" t="n">
        <v>35.446</v>
      </c>
      <c r="C11" s="104" t="n">
        <v>129.334</v>
      </c>
      <c r="D11" t="inlineStr">
        <is>
          <t>S-OIL</t>
        </is>
      </c>
    </row>
    <row r="12">
      <c r="A12" s="28" t="inlineStr">
        <is>
          <t>인천</t>
        </is>
      </c>
      <c r="B12" s="104" t="n">
        <v>37.511</v>
      </c>
      <c r="C12" s="104" t="n">
        <v>126.662</v>
      </c>
      <c r="D12" t="inlineStr">
        <is>
          <t>SK인천석유화학</t>
        </is>
      </c>
    </row>
    <row r="13">
      <c r="A13" s="28" t="inlineStr">
        <is>
          <t>포항</t>
        </is>
      </c>
      <c r="B13" s="106" t="n">
        <v>35.998</v>
      </c>
      <c r="C13" s="104" t="n">
        <v>129.407</v>
      </c>
      <c r="D13" t="inlineStr">
        <is>
          <t>OCI 포항</t>
        </is>
      </c>
    </row>
  </sheetData>
  <pageMargins left="0.7" right="0.7" top="0.75" bottom="0.75" header="0.3" footer="0.3"/>
  <pageSetup orientation="portrait" paperSize="9" verticalDpi="0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codeName="Sheet17">
    <outlinePr summaryBelow="1" summaryRight="1"/>
    <pageSetUpPr/>
  </sheetPr>
  <dimension ref="A1:E36"/>
  <sheetViews>
    <sheetView zoomScale="85" zoomScaleNormal="85" workbookViewId="0">
      <selection activeCell="A1" sqref="A1"/>
    </sheetView>
  </sheetViews>
  <sheetFormatPr baseColWidth="8" defaultRowHeight="16.5"/>
  <cols>
    <col width="26.375" bestFit="1" customWidth="1" style="179" min="1" max="1"/>
    <col width="11.25" customWidth="1" style="179" min="2" max="2"/>
    <col width="12.25" customWidth="1" style="179" min="3" max="3"/>
    <col width="24" bestFit="1" customWidth="1" style="179" min="4" max="4"/>
    <col width="24" customWidth="1" style="179" min="5" max="5"/>
  </cols>
  <sheetData>
    <row r="1">
      <c r="A1" s="6" t="inlineStr">
        <is>
          <t>CCMA Report Name</t>
        </is>
      </c>
      <c r="B1" s="6" t="inlineStr">
        <is>
          <t>Frequency</t>
        </is>
      </c>
      <c r="C1" s="6" t="inlineStr">
        <is>
          <t>Cover Date</t>
        </is>
      </c>
      <c r="D1" s="6" t="inlineStr">
        <is>
          <t>Published Date</t>
        </is>
      </c>
      <c r="E1" s="6" t="inlineStr">
        <is>
          <t>material_name</t>
        </is>
      </c>
    </row>
    <row r="2">
      <c r="A2" s="11" t="inlineStr">
        <is>
          <t>Propylene</t>
        </is>
      </c>
      <c r="B2" s="11" t="inlineStr">
        <is>
          <t>Quarterly</t>
        </is>
      </c>
      <c r="C2" s="12" t="n">
        <v>46135</v>
      </c>
      <c r="D2" s="11" t="inlineStr">
        <is>
          <t>04/23/2026 10:00:00 UTC</t>
        </is>
      </c>
      <c r="E2" s="11" t="inlineStr">
        <is>
          <t>Propylene</t>
        </is>
      </c>
    </row>
    <row r="3">
      <c r="A3" s="11" t="inlineStr">
        <is>
          <t>Bisphenol A</t>
        </is>
      </c>
      <c r="B3" s="11" t="inlineStr">
        <is>
          <t>Quarterly</t>
        </is>
      </c>
      <c r="C3" s="12" t="n">
        <v>46113</v>
      </c>
      <c r="D3" s="11" t="inlineStr">
        <is>
          <t>04/01/2026 10:00:00 UTC</t>
        </is>
      </c>
      <c r="E3" s="11" t="inlineStr">
        <is>
          <t>BPA</t>
        </is>
      </c>
    </row>
    <row r="4">
      <c r="A4" s="11" t="inlineStr">
        <is>
          <t>Styrene</t>
        </is>
      </c>
      <c r="B4" s="11" t="inlineStr">
        <is>
          <t>Quarterly</t>
        </is>
      </c>
      <c r="C4" s="12" t="n">
        <v>46113</v>
      </c>
      <c r="D4" s="11" t="inlineStr">
        <is>
          <t>04/01/2026 10:00:00 UTC</t>
        </is>
      </c>
      <c r="E4" s="11" t="inlineStr">
        <is>
          <t>Styrene</t>
        </is>
      </c>
    </row>
    <row r="5">
      <c r="A5" s="11" t="inlineStr">
        <is>
          <t>ABS Resins</t>
        </is>
      </c>
      <c r="B5" s="11" t="inlineStr">
        <is>
          <t>Quarterly</t>
        </is>
      </c>
      <c r="C5" s="12" t="n">
        <v>46091</v>
      </c>
      <c r="D5" s="11" t="inlineStr">
        <is>
          <t>03/10/2026 10:00:00 UTC</t>
        </is>
      </c>
      <c r="E5" s="11" t="inlineStr">
        <is>
          <t>ABS</t>
        </is>
      </c>
    </row>
    <row r="6">
      <c r="A6" s="11" t="inlineStr">
        <is>
          <t>Polyvinyl Chloride</t>
        </is>
      </c>
      <c r="B6" s="11" t="inlineStr">
        <is>
          <t>Quarterly</t>
        </is>
      </c>
      <c r="C6" s="12" t="n">
        <v>46087</v>
      </c>
      <c r="D6" s="11" t="inlineStr">
        <is>
          <t>03/07/2026 00:15:55 UTC</t>
        </is>
      </c>
      <c r="E6" s="11" t="inlineStr">
        <is>
          <t>PVC</t>
        </is>
      </c>
    </row>
    <row r="7">
      <c r="A7" s="11" t="inlineStr">
        <is>
          <t>Methanol</t>
        </is>
      </c>
      <c r="B7" s="11" t="inlineStr">
        <is>
          <t>Quarterly</t>
        </is>
      </c>
      <c r="C7" s="12" t="n">
        <v>46087</v>
      </c>
      <c r="D7" s="11" t="inlineStr">
        <is>
          <t>03/06/2026 22:30:25 UTC</t>
        </is>
      </c>
      <c r="E7" s="11" t="inlineStr">
        <is>
          <t>Methanol</t>
        </is>
      </c>
    </row>
    <row r="8">
      <c r="A8" s="11" t="inlineStr">
        <is>
          <t>Polypropylene</t>
        </is>
      </c>
      <c r="B8" s="11" t="inlineStr">
        <is>
          <t>Quarterly</t>
        </is>
      </c>
      <c r="C8" s="12" t="n">
        <v>46087</v>
      </c>
      <c r="D8" s="11" t="inlineStr">
        <is>
          <t>03/07/2026 00:15:45 UTC</t>
        </is>
      </c>
      <c r="E8" s="11" t="inlineStr">
        <is>
          <t>PP</t>
        </is>
      </c>
    </row>
    <row r="9">
      <c r="A9" s="11" t="inlineStr">
        <is>
          <t>Mixed Xylenes</t>
        </is>
      </c>
      <c r="B9" s="11" t="inlineStr">
        <is>
          <t>Quarterly</t>
        </is>
      </c>
      <c r="C9" s="12" t="n">
        <v>46087</v>
      </c>
      <c r="D9" s="11" t="inlineStr">
        <is>
          <t>03/06/2026 23:40:29 UTC</t>
        </is>
      </c>
      <c r="E9" s="11" t="inlineStr">
        <is>
          <t>Xylene</t>
        </is>
      </c>
    </row>
    <row r="10">
      <c r="A10" s="11" t="inlineStr">
        <is>
          <t>Vinyl Chloride Monomer</t>
        </is>
      </c>
      <c r="B10" s="11" t="inlineStr">
        <is>
          <t>Quarterly</t>
        </is>
      </c>
      <c r="C10" s="12" t="n">
        <v>46087</v>
      </c>
      <c r="D10" s="11" t="inlineStr">
        <is>
          <t>03/06/2026 10:00:00 UTC</t>
        </is>
      </c>
      <c r="E10" s="11" t="inlineStr">
        <is>
          <t>VCM</t>
        </is>
      </c>
    </row>
    <row r="11">
      <c r="A11" s="11" t="inlineStr">
        <is>
          <t>Phenol</t>
        </is>
      </c>
      <c r="B11" s="11" t="inlineStr">
        <is>
          <t>Quarterly</t>
        </is>
      </c>
      <c r="C11" s="12" t="n">
        <v>46087</v>
      </c>
      <c r="D11" s="11" t="inlineStr">
        <is>
          <t>03/07/2026 00:10:51 UTC</t>
        </is>
      </c>
      <c r="E11" s="11" t="inlineStr">
        <is>
          <t>Phenol</t>
        </is>
      </c>
    </row>
    <row r="12">
      <c r="A12" s="11" t="inlineStr">
        <is>
          <t>Polybutadiene Rubber</t>
        </is>
      </c>
      <c r="B12" s="11" t="inlineStr">
        <is>
          <t>Quarterly</t>
        </is>
      </c>
      <c r="C12" s="12" t="n">
        <v>46087</v>
      </c>
      <c r="D12" s="11" t="inlineStr">
        <is>
          <t>03/06/2026 10:00:00 UTC</t>
        </is>
      </c>
      <c r="E12" s="11" t="inlineStr">
        <is>
          <t>BR</t>
        </is>
      </c>
    </row>
    <row r="13">
      <c r="A13" s="11" t="inlineStr">
        <is>
          <t>Benzene</t>
        </is>
      </c>
      <c r="B13" s="11" t="inlineStr">
        <is>
          <t>Quarterly</t>
        </is>
      </c>
      <c r="C13" s="12" t="n">
        <v>46087</v>
      </c>
      <c r="D13" s="11" t="inlineStr">
        <is>
          <t>03/06/2026 10:00:00 UTC</t>
        </is>
      </c>
      <c r="E13" s="11" t="inlineStr">
        <is>
          <t>Benzene</t>
        </is>
      </c>
    </row>
    <row r="14">
      <c r="A14" s="11" t="inlineStr">
        <is>
          <t>Chlor-Alkali</t>
        </is>
      </c>
      <c r="B14" s="11" t="inlineStr">
        <is>
          <t>Quarterly</t>
        </is>
      </c>
      <c r="C14" s="12" t="n">
        <v>46087</v>
      </c>
      <c r="D14" s="11" t="inlineStr">
        <is>
          <t>03/06/2026 22:10:16 UTC</t>
        </is>
      </c>
      <c r="E14" s="11" t="n"/>
    </row>
    <row r="15">
      <c r="A15" s="11" t="inlineStr">
        <is>
          <t>High Purity Ethylene Oxide</t>
        </is>
      </c>
      <c r="B15" s="11" t="inlineStr">
        <is>
          <t>Quarterly</t>
        </is>
      </c>
      <c r="C15" s="12" t="n">
        <v>46087</v>
      </c>
      <c r="D15" s="11" t="inlineStr">
        <is>
          <t>03/06/2026 22:30:19 UTC</t>
        </is>
      </c>
      <c r="E15" s="11" t="inlineStr">
        <is>
          <t>EO</t>
        </is>
      </c>
    </row>
    <row r="16">
      <c r="A16" s="11" t="inlineStr">
        <is>
          <t>Polyethylene</t>
        </is>
      </c>
      <c r="B16" s="11" t="inlineStr">
        <is>
          <t>Quarterly</t>
        </is>
      </c>
      <c r="C16" s="12" t="n">
        <v>46087</v>
      </c>
      <c r="D16" s="11" t="inlineStr">
        <is>
          <t>03/07/2026 00:15:32 UTC</t>
        </is>
      </c>
      <c r="E16" s="11" t="inlineStr">
        <is>
          <t>Ethylene</t>
        </is>
      </c>
    </row>
    <row r="17">
      <c r="A17" s="11" t="inlineStr">
        <is>
          <t>Styrene Butadiene Rubber</t>
        </is>
      </c>
      <c r="B17" s="11" t="inlineStr">
        <is>
          <t>Quarterly</t>
        </is>
      </c>
      <c r="C17" s="12" t="n">
        <v>46087</v>
      </c>
      <c r="D17" s="11" t="inlineStr">
        <is>
          <t>03/06/2026 10:00:00 UTC</t>
        </is>
      </c>
      <c r="E17" s="11" t="inlineStr">
        <is>
          <t>SBR</t>
        </is>
      </c>
    </row>
    <row r="18">
      <c r="A18" s="11" t="inlineStr">
        <is>
          <t>Terephthalic Acid</t>
        </is>
      </c>
      <c r="B18" s="11" t="inlineStr">
        <is>
          <t>Quarterly</t>
        </is>
      </c>
      <c r="C18" s="12" t="n">
        <v>46087</v>
      </c>
      <c r="D18" s="11" t="inlineStr">
        <is>
          <t>03/06/2026 10:00:00 UTC</t>
        </is>
      </c>
      <c r="E18" s="11" t="inlineStr">
        <is>
          <t>TPA</t>
        </is>
      </c>
    </row>
    <row r="19">
      <c r="A19" s="11" t="inlineStr">
        <is>
          <t>Butadiene</t>
        </is>
      </c>
      <c r="B19" s="11" t="inlineStr">
        <is>
          <t>Quarterly</t>
        </is>
      </c>
      <c r="C19" s="12" t="n">
        <v>46087</v>
      </c>
      <c r="D19" s="11" t="inlineStr">
        <is>
          <t>03/06/2026 10:00:00 UTC</t>
        </is>
      </c>
      <c r="E19" s="11" t="inlineStr">
        <is>
          <t>Butadiene</t>
        </is>
      </c>
    </row>
    <row r="20">
      <c r="A20" s="11" t="inlineStr">
        <is>
          <t>Ethylene</t>
        </is>
      </c>
      <c r="B20" s="11" t="inlineStr">
        <is>
          <t>Quarterly</t>
        </is>
      </c>
      <c r="C20" s="12" t="n">
        <v>46087</v>
      </c>
      <c r="D20" s="11" t="inlineStr">
        <is>
          <t>03/06/2026 22:20:18 UTC</t>
        </is>
      </c>
      <c r="E20" s="11" t="inlineStr">
        <is>
          <t>Ethylene</t>
        </is>
      </c>
    </row>
    <row r="21">
      <c r="A21" s="11" t="inlineStr">
        <is>
          <t>Vinyl Acetate Monomer</t>
        </is>
      </c>
      <c r="B21" s="11" t="inlineStr">
        <is>
          <t>Quarterly</t>
        </is>
      </c>
      <c r="C21" s="12" t="n">
        <v>46087</v>
      </c>
      <c r="D21" s="11" t="inlineStr">
        <is>
          <t>03/07/2026 01:15:21 UTC</t>
        </is>
      </c>
      <c r="E21" s="11" t="inlineStr">
        <is>
          <t>VAM</t>
        </is>
      </c>
    </row>
    <row r="22">
      <c r="A22" s="11" t="inlineStr">
        <is>
          <t>Expandable Polystyrene</t>
        </is>
      </c>
      <c r="B22" s="11" t="inlineStr">
        <is>
          <t>Quarterly</t>
        </is>
      </c>
      <c r="C22" s="12" t="n">
        <v>46087</v>
      </c>
      <c r="D22" s="11" t="inlineStr">
        <is>
          <t>03/06/2026 10:00:00 UTC</t>
        </is>
      </c>
      <c r="E22" s="11" t="inlineStr">
        <is>
          <t>PS</t>
        </is>
      </c>
    </row>
    <row r="23">
      <c r="A23" s="11" t="inlineStr">
        <is>
          <t>Propylene Oxide</t>
        </is>
      </c>
      <c r="B23" s="11" t="inlineStr">
        <is>
          <t>Quarterly</t>
        </is>
      </c>
      <c r="C23" s="12" t="n">
        <v>46087</v>
      </c>
      <c r="D23" s="11" t="inlineStr">
        <is>
          <t>03/07/2026 00:16:06 UTC</t>
        </is>
      </c>
      <c r="E23" s="11" t="inlineStr">
        <is>
          <t>PO</t>
        </is>
      </c>
    </row>
    <row r="24">
      <c r="A24" s="11" t="inlineStr">
        <is>
          <t>Polystyrene</t>
        </is>
      </c>
      <c r="B24" s="11" t="inlineStr">
        <is>
          <t>Quarterly</t>
        </is>
      </c>
      <c r="C24" s="12" t="n">
        <v>46087</v>
      </c>
      <c r="D24" s="11" t="inlineStr">
        <is>
          <t>03/07/2026 00:15:50 UTC</t>
        </is>
      </c>
      <c r="E24" s="11" t="inlineStr">
        <is>
          <t>PS</t>
        </is>
      </c>
    </row>
    <row r="25">
      <c r="A25" s="11" t="inlineStr">
        <is>
          <t>Ethylene Dichloride</t>
        </is>
      </c>
      <c r="B25" s="11" t="inlineStr">
        <is>
          <t>Quarterly</t>
        </is>
      </c>
      <c r="C25" s="12" t="n">
        <v>46087</v>
      </c>
      <c r="D25" s="11" t="inlineStr">
        <is>
          <t>03/06/2026 22:20:25 UTC</t>
        </is>
      </c>
      <c r="E25" s="11" t="inlineStr">
        <is>
          <t>EDC</t>
        </is>
      </c>
    </row>
    <row r="26">
      <c r="A26" s="11" t="inlineStr">
        <is>
          <t>Ethylbenzene</t>
        </is>
      </c>
      <c r="B26" s="11" t="inlineStr">
        <is>
          <t>Quarterly</t>
        </is>
      </c>
      <c r="C26" s="12" t="n">
        <v>46087</v>
      </c>
      <c r="D26" s="11" t="inlineStr">
        <is>
          <t>03/06/2026 22:15:35 UTC</t>
        </is>
      </c>
      <c r="E26" s="11" t="inlineStr">
        <is>
          <t>Ethylbenzene</t>
        </is>
      </c>
    </row>
    <row r="27">
      <c r="A27" s="11" t="inlineStr">
        <is>
          <t>Monoethylene Glycol</t>
        </is>
      </c>
      <c r="B27" s="11" t="inlineStr">
        <is>
          <t>Quarterly</t>
        </is>
      </c>
      <c r="C27" s="12" t="n">
        <v>46087</v>
      </c>
      <c r="D27" s="11" t="inlineStr">
        <is>
          <t>03/06/2026 10:00:00 UTC</t>
        </is>
      </c>
      <c r="E27" s="11" t="inlineStr">
        <is>
          <t>MEG</t>
        </is>
      </c>
    </row>
    <row r="28">
      <c r="A28" s="11" t="inlineStr">
        <is>
          <t>Methyl Methacrylate</t>
        </is>
      </c>
      <c r="B28" s="11" t="inlineStr">
        <is>
          <t>Quarterly</t>
        </is>
      </c>
      <c r="C28" s="12" t="n">
        <v>46087</v>
      </c>
      <c r="D28" s="11" t="inlineStr">
        <is>
          <t>03/06/2026 22:35:19 UTC</t>
        </is>
      </c>
      <c r="E28" s="11" t="inlineStr">
        <is>
          <t>MMA</t>
        </is>
      </c>
    </row>
    <row r="29">
      <c r="A29" s="11" t="inlineStr">
        <is>
          <t>Acetic Acid</t>
        </is>
      </c>
      <c r="B29" s="11" t="inlineStr">
        <is>
          <t>Quarterly</t>
        </is>
      </c>
      <c r="C29" s="12" t="n">
        <v>46087</v>
      </c>
      <c r="D29" s="11" t="inlineStr">
        <is>
          <t>03/06/2026 10:00:00 UTC</t>
        </is>
      </c>
      <c r="E29" s="11" t="inlineStr">
        <is>
          <t>Acetic acid</t>
        </is>
      </c>
    </row>
    <row r="30">
      <c r="A30" s="11" t="inlineStr">
        <is>
          <t>Acrylonitrile</t>
        </is>
      </c>
      <c r="B30" s="11" t="inlineStr">
        <is>
          <t>Quarterly</t>
        </is>
      </c>
      <c r="C30" s="12" t="n">
        <v>46087</v>
      </c>
      <c r="D30" s="11" t="inlineStr">
        <is>
          <t>03/06/2026 10:00:00 UTC</t>
        </is>
      </c>
      <c r="E30" s="11" t="inlineStr">
        <is>
          <t>AN</t>
        </is>
      </c>
    </row>
    <row r="31">
      <c r="A31" s="11" t="inlineStr">
        <is>
          <t>Paraxylene</t>
        </is>
      </c>
      <c r="B31" s="11" t="inlineStr">
        <is>
          <t>Quarterly</t>
        </is>
      </c>
      <c r="C31" s="12" t="n">
        <v>46087</v>
      </c>
      <c r="D31" s="11" t="inlineStr">
        <is>
          <t>03/06/2026 10:00:00 UTC</t>
        </is>
      </c>
      <c r="E31" s="11" t="inlineStr">
        <is>
          <t>p-Xylene</t>
        </is>
      </c>
    </row>
    <row r="32">
      <c r="A32" s="11" t="inlineStr">
        <is>
          <t>Polyethylene Terephthalate</t>
        </is>
      </c>
      <c r="B32" s="11" t="inlineStr">
        <is>
          <t>Quarterly</t>
        </is>
      </c>
      <c r="C32" s="12" t="n">
        <v>46087</v>
      </c>
      <c r="D32" s="11" t="inlineStr">
        <is>
          <t>03/07/2026 00:15:41 UTC</t>
        </is>
      </c>
      <c r="E32" s="11" t="inlineStr">
        <is>
          <t>PET</t>
        </is>
      </c>
    </row>
    <row r="33">
      <c r="A33" s="11" t="inlineStr">
        <is>
          <t>Formaldehyde</t>
        </is>
      </c>
      <c r="B33" s="11" t="inlineStr">
        <is>
          <t>Quarterly</t>
        </is>
      </c>
      <c r="C33" s="12" t="n">
        <v>46087</v>
      </c>
      <c r="D33" s="11" t="inlineStr">
        <is>
          <t>03/06/2026 10:00:00 UTC</t>
        </is>
      </c>
      <c r="E33" s="11" t="inlineStr">
        <is>
          <t>Formaldehyde</t>
        </is>
      </c>
    </row>
    <row r="34">
      <c r="A34" s="11" t="inlineStr">
        <is>
          <t>Toluene</t>
        </is>
      </c>
      <c r="B34" s="11" t="inlineStr">
        <is>
          <t>Quarterly</t>
        </is>
      </c>
      <c r="C34" s="12" t="n">
        <v>46087</v>
      </c>
      <c r="D34" s="11" t="inlineStr">
        <is>
          <t>03/07/2026 01:10:15 UTC</t>
        </is>
      </c>
      <c r="E34" s="11" t="inlineStr">
        <is>
          <t>Toluene</t>
        </is>
      </c>
    </row>
    <row r="35">
      <c r="A35" s="11" t="inlineStr">
        <is>
          <t>Cumene</t>
        </is>
      </c>
      <c r="B35" s="11" t="inlineStr">
        <is>
          <t>Quarterly</t>
        </is>
      </c>
      <c r="C35" s="12" t="n">
        <v>46087</v>
      </c>
      <c r="D35" s="11" t="inlineStr">
        <is>
          <t>03/06/2026 22:15:30 UTC</t>
        </is>
      </c>
      <c r="E35" s="11" t="inlineStr">
        <is>
          <t>Cumene</t>
        </is>
      </c>
    </row>
    <row r="36">
      <c r="A36" s="11" t="inlineStr">
        <is>
          <t>Polycarbonate</t>
        </is>
      </c>
      <c r="B36" s="11" t="inlineStr">
        <is>
          <t>Quarterly</t>
        </is>
      </c>
      <c r="C36" s="12" t="n">
        <v>45749</v>
      </c>
      <c r="D36" s="11" t="inlineStr">
        <is>
          <t>04/02/2025 10:00:00 UTC</t>
        </is>
      </c>
      <c r="E36" s="11" t="inlineStr">
        <is>
          <t>PC</t>
        </is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codeName="Sheet18">
    <outlinePr summaryBelow="1" summaryRight="1"/>
    <pageSetUpPr/>
  </sheetPr>
  <dimension ref="A1:D116"/>
  <sheetViews>
    <sheetView topLeftCell="A84" zoomScale="85" zoomScaleNormal="85" workbookViewId="0">
      <selection activeCell="A116" sqref="A116"/>
    </sheetView>
  </sheetViews>
  <sheetFormatPr baseColWidth="8" defaultRowHeight="16.5"/>
  <cols>
    <col width="59.375" customWidth="1" style="179" min="1" max="1"/>
    <col width="18.875" bestFit="1" customWidth="1" style="179" min="2" max="2"/>
    <col width="12.25" customWidth="1" style="179" min="3" max="3"/>
    <col width="24" bestFit="1" customWidth="1" style="179" min="4" max="4"/>
    <col width="24" customWidth="1" style="179" min="5" max="6"/>
  </cols>
  <sheetData>
    <row r="1">
      <c r="A1" s="12" t="inlineStr">
        <is>
          <t>CEH Report name</t>
        </is>
      </c>
      <c r="B1" s="12" t="inlineStr">
        <is>
          <t>Downstream 대상</t>
        </is>
      </c>
      <c r="C1" s="12" t="inlineStr">
        <is>
          <t>Publication Year2</t>
        </is>
      </c>
      <c r="D1" s="6" t="inlineStr">
        <is>
          <t>material_name</t>
        </is>
      </c>
    </row>
    <row r="2">
      <c r="A2" s="13" t="inlineStr">
        <is>
          <t>Acetaldehyde</t>
        </is>
      </c>
      <c r="B2" s="13" t="inlineStr">
        <is>
          <t>O</t>
        </is>
      </c>
      <c r="C2" s="14" t="n">
        <v>2023</v>
      </c>
      <c r="D2" s="13" t="inlineStr">
        <is>
          <t>Acetaldehyde</t>
        </is>
      </c>
    </row>
    <row r="3">
      <c r="A3" s="14" t="inlineStr">
        <is>
          <t>Acetic Acid</t>
        </is>
      </c>
      <c r="B3" s="14" t="inlineStr">
        <is>
          <t>O</t>
        </is>
      </c>
      <c r="C3" s="14" t="n">
        <v>2025</v>
      </c>
      <c r="D3" s="13" t="inlineStr">
        <is>
          <t>Acetic acid</t>
        </is>
      </c>
    </row>
    <row r="4">
      <c r="A4" s="14" t="inlineStr">
        <is>
          <t>Acetone</t>
        </is>
      </c>
      <c r="B4" s="14" t="inlineStr">
        <is>
          <t>O</t>
        </is>
      </c>
      <c r="C4" s="14" t="n">
        <v>2025</v>
      </c>
      <c r="D4" s="13" t="inlineStr">
        <is>
          <t>Acetone</t>
        </is>
      </c>
    </row>
    <row r="5">
      <c r="A5" s="13" t="inlineStr">
        <is>
          <t>Acrylic acid and esters</t>
        </is>
      </c>
      <c r="B5" s="13" t="inlineStr">
        <is>
          <t>O</t>
        </is>
      </c>
      <c r="C5" s="14" t="n">
        <v>2023</v>
      </c>
      <c r="D5" s="13" t="inlineStr">
        <is>
          <t>Acrylic Acid</t>
        </is>
      </c>
    </row>
    <row r="6">
      <c r="A6" s="13" t="inlineStr">
        <is>
          <t>Acrylic acid and esters</t>
        </is>
      </c>
      <c r="B6" s="13" t="inlineStr">
        <is>
          <t>O</t>
        </is>
      </c>
      <c r="C6" s="14" t="n">
        <v>2023</v>
      </c>
      <c r="D6" s="13" t="inlineStr">
        <is>
          <t>Acrylate Ester</t>
        </is>
      </c>
    </row>
    <row r="7">
      <c r="A7" s="14" t="inlineStr">
        <is>
          <t>Acrylonitrile</t>
        </is>
      </c>
      <c r="B7" s="14" t="inlineStr">
        <is>
          <t>O</t>
        </is>
      </c>
      <c r="C7" s="14" t="n">
        <v>2025</v>
      </c>
      <c r="D7" s="13" t="inlineStr">
        <is>
          <t>AN</t>
        </is>
      </c>
    </row>
    <row r="8">
      <c r="A8" s="14" t="inlineStr">
        <is>
          <t>Acrylonitrile-Butadiene-Styrene (ABS) Resins</t>
        </is>
      </c>
      <c r="B8" s="14" t="inlineStr">
        <is>
          <t>O</t>
        </is>
      </c>
      <c r="C8" s="14" t="n">
        <v>2026</v>
      </c>
      <c r="D8" s="13" t="inlineStr">
        <is>
          <t>ABS</t>
        </is>
      </c>
    </row>
    <row r="9">
      <c r="A9" s="14" t="inlineStr">
        <is>
          <t>Adipic Acid</t>
        </is>
      </c>
      <c r="B9" s="14" t="inlineStr">
        <is>
          <t>O</t>
        </is>
      </c>
      <c r="C9" s="14" t="n">
        <v>2025</v>
      </c>
      <c r="D9" s="13" t="inlineStr">
        <is>
          <t>Adipic Acid</t>
        </is>
      </c>
    </row>
    <row r="10" ht="18" customHeight="1" s="179">
      <c r="A10" s="14" t="inlineStr">
        <is>
          <t>Alkyl Acetates (C1-C4)</t>
        </is>
      </c>
      <c r="B10" s="14" t="inlineStr">
        <is>
          <t>O</t>
        </is>
      </c>
      <c r="C10" s="14" t="n">
        <v>2024</v>
      </c>
      <c r="D10" s="13" t="inlineStr">
        <is>
          <t>Ethyl acetate</t>
        </is>
      </c>
    </row>
    <row r="11" ht="18" customHeight="1" s="179">
      <c r="A11" s="14" t="inlineStr">
        <is>
          <t>Alkylamines (C1-C6)</t>
        </is>
      </c>
      <c r="B11" s="14" t="inlineStr">
        <is>
          <t>Δ</t>
        </is>
      </c>
      <c r="C11" s="14" t="n">
        <v>2024</v>
      </c>
      <c r="D11" s="13" t="n"/>
    </row>
    <row r="12">
      <c r="A12" s="13" t="inlineStr">
        <is>
          <t>Alkylamines (C1-C6)</t>
        </is>
      </c>
      <c r="B12" s="14" t="inlineStr">
        <is>
          <t>O</t>
        </is>
      </c>
      <c r="C12" s="14" t="n">
        <v>2024</v>
      </c>
      <c r="D12" s="13" t="inlineStr">
        <is>
          <t>Ethylamine</t>
        </is>
      </c>
    </row>
    <row r="13">
      <c r="A13" s="14" t="inlineStr">
        <is>
          <t>Alkylbenzenes, Linear and Branched</t>
        </is>
      </c>
      <c r="B13" s="14" t="inlineStr">
        <is>
          <t>O</t>
        </is>
      </c>
      <c r="C13" s="14" t="n">
        <v>2024</v>
      </c>
      <c r="D13" s="13" t="inlineStr">
        <is>
          <t>LAB</t>
        </is>
      </c>
    </row>
    <row r="14">
      <c r="A14" s="14" t="inlineStr">
        <is>
          <t>Benzene</t>
        </is>
      </c>
      <c r="B14" s="14" t="inlineStr">
        <is>
          <t>O</t>
        </is>
      </c>
      <c r="C14" s="14" t="n">
        <v>2026</v>
      </c>
      <c r="D14" s="13" t="inlineStr">
        <is>
          <t>Benzene</t>
        </is>
      </c>
    </row>
    <row r="15">
      <c r="A15" s="14" t="inlineStr">
        <is>
          <t>Bisphenol A</t>
        </is>
      </c>
      <c r="B15" s="14" t="inlineStr">
        <is>
          <t>O</t>
        </is>
      </c>
      <c r="C15" s="14" t="n">
        <v>2025</v>
      </c>
      <c r="D15" s="13" t="inlineStr">
        <is>
          <t>BPA</t>
        </is>
      </c>
    </row>
    <row r="16">
      <c r="A16" s="14" t="inlineStr">
        <is>
          <t>Butadiene</t>
        </is>
      </c>
      <c r="B16" s="14" t="inlineStr">
        <is>
          <t>O</t>
        </is>
      </c>
      <c r="C16" s="14" t="n">
        <v>2025</v>
      </c>
      <c r="D16" s="13" t="inlineStr">
        <is>
          <t>Butadiene</t>
        </is>
      </c>
    </row>
    <row r="17">
      <c r="A17" s="14" t="inlineStr">
        <is>
          <t>Butyl Elastomers</t>
        </is>
      </c>
      <c r="B17" s="14" t="inlineStr">
        <is>
          <t>O</t>
        </is>
      </c>
      <c r="C17" s="14" t="n">
        <v>2025</v>
      </c>
      <c r="D17" s="13" t="inlineStr">
        <is>
          <t>Butyl rubber</t>
        </is>
      </c>
    </row>
    <row r="18">
      <c r="A18" s="13" t="inlineStr">
        <is>
          <t>Butylenes</t>
        </is>
      </c>
      <c r="B18" s="13" t="inlineStr">
        <is>
          <t>O</t>
        </is>
      </c>
      <c r="C18" s="14" t="n">
        <v>2024</v>
      </c>
      <c r="D18" s="13" t="inlineStr">
        <is>
          <t>Isobutylene</t>
        </is>
      </c>
    </row>
    <row r="19">
      <c r="A19" s="13" t="inlineStr">
        <is>
          <t>Butylenes</t>
        </is>
      </c>
      <c r="B19" s="13" t="inlineStr">
        <is>
          <t>O</t>
        </is>
      </c>
      <c r="C19" s="14" t="n">
        <v>2024</v>
      </c>
      <c r="D19" s="13" t="inlineStr">
        <is>
          <t>PIB</t>
        </is>
      </c>
    </row>
    <row r="20">
      <c r="A20" s="13" t="inlineStr">
        <is>
          <t>Butylenes</t>
        </is>
      </c>
      <c r="B20" s="13" t="inlineStr">
        <is>
          <t>O</t>
        </is>
      </c>
      <c r="C20" s="14" t="n">
        <v>2024</v>
      </c>
      <c r="D20" s="13" t="inlineStr">
        <is>
          <t>PB-1</t>
        </is>
      </c>
    </row>
    <row r="21">
      <c r="A21" s="13" t="inlineStr">
        <is>
          <t>Butylenes</t>
        </is>
      </c>
      <c r="B21" s="13" t="inlineStr">
        <is>
          <t>O</t>
        </is>
      </c>
      <c r="C21" s="14" t="n">
        <v>2024</v>
      </c>
      <c r="D21" s="13" t="inlineStr">
        <is>
          <t>MTBE</t>
        </is>
      </c>
    </row>
    <row r="22">
      <c r="A22" s="13" t="inlineStr">
        <is>
          <t>Butylenes</t>
        </is>
      </c>
      <c r="B22" s="13" t="inlineStr">
        <is>
          <t>O</t>
        </is>
      </c>
      <c r="C22" s="14" t="n">
        <v>2024</v>
      </c>
      <c r="D22" s="13" t="inlineStr">
        <is>
          <t>Butyl rubber</t>
        </is>
      </c>
    </row>
    <row r="23">
      <c r="A23" s="13" t="inlineStr">
        <is>
          <t>Butylenes</t>
        </is>
      </c>
      <c r="B23" s="13" t="inlineStr">
        <is>
          <t>O</t>
        </is>
      </c>
      <c r="C23" s="14" t="n">
        <v>2024</v>
      </c>
      <c r="D23" s="13" t="inlineStr">
        <is>
          <t>n-Butenes</t>
        </is>
      </c>
    </row>
    <row r="24">
      <c r="A24" s="13" t="inlineStr">
        <is>
          <t>Butylenes</t>
        </is>
      </c>
      <c r="B24" s="13" t="inlineStr">
        <is>
          <t>O</t>
        </is>
      </c>
      <c r="C24" s="14" t="n">
        <v>2024</v>
      </c>
      <c r="D24" s="13" t="inlineStr">
        <is>
          <t>1-Butene</t>
        </is>
      </c>
    </row>
    <row r="25">
      <c r="A25" s="13" t="inlineStr">
        <is>
          <t>Butylenes</t>
        </is>
      </c>
      <c r="B25" s="13" t="inlineStr">
        <is>
          <t>O</t>
        </is>
      </c>
      <c r="C25" s="14" t="n">
        <v>2024</v>
      </c>
      <c r="D25" s="13" t="inlineStr">
        <is>
          <t>2-Butene</t>
        </is>
      </c>
    </row>
    <row r="26">
      <c r="A26" s="14" t="inlineStr">
        <is>
          <t>Caprolactam</t>
        </is>
      </c>
      <c r="B26" s="14" t="inlineStr">
        <is>
          <t>O</t>
        </is>
      </c>
      <c r="C26" s="14" t="n">
        <v>2025</v>
      </c>
      <c r="D26" s="13" t="inlineStr">
        <is>
          <t>Caprolactam</t>
        </is>
      </c>
    </row>
    <row r="27">
      <c r="A27" s="14" t="inlineStr">
        <is>
          <t>Carbon Fibers</t>
        </is>
      </c>
      <c r="B27" s="14" t="inlineStr">
        <is>
          <t>Δ</t>
        </is>
      </c>
      <c r="C27" s="14" t="n">
        <v>2025</v>
      </c>
      <c r="D27" s="13" t="n"/>
    </row>
    <row r="28">
      <c r="A28" s="13" t="inlineStr">
        <is>
          <t>Chlorobenzene</t>
        </is>
      </c>
      <c r="B28" s="13" t="inlineStr">
        <is>
          <t>O</t>
        </is>
      </c>
      <c r="C28" s="14" t="n">
        <v>2024</v>
      </c>
      <c r="D28" s="13" t="inlineStr">
        <is>
          <t>Chlorobenzene</t>
        </is>
      </c>
    </row>
    <row r="29">
      <c r="A29" s="14" t="inlineStr">
        <is>
          <t>Cumene</t>
        </is>
      </c>
      <c r="B29" s="14" t="inlineStr">
        <is>
          <t>O</t>
        </is>
      </c>
      <c r="C29" s="14" t="n">
        <v>2025</v>
      </c>
      <c r="D29" s="13" t="inlineStr">
        <is>
          <t>Cumene</t>
        </is>
      </c>
    </row>
    <row r="30">
      <c r="A30" s="14" t="inlineStr">
        <is>
          <t>Cyclohexane</t>
        </is>
      </c>
      <c r="B30" s="14" t="inlineStr">
        <is>
          <t>O</t>
        </is>
      </c>
      <c r="C30" s="14" t="n">
        <v>2025</v>
      </c>
      <c r="D30" s="13" t="inlineStr">
        <is>
          <t>Cyclohexane</t>
        </is>
      </c>
    </row>
    <row r="31">
      <c r="A31" s="14" t="inlineStr">
        <is>
          <t>Cyclohexanol and Cyclohexanone</t>
        </is>
      </c>
      <c r="B31" s="14" t="inlineStr">
        <is>
          <t>O</t>
        </is>
      </c>
      <c r="C31" s="14" t="n">
        <v>2025</v>
      </c>
      <c r="D31" s="13" t="inlineStr">
        <is>
          <t>Cyclohexanone</t>
        </is>
      </c>
    </row>
    <row r="32">
      <c r="A32" t="inlineStr">
        <is>
          <t>Cyclopentadiene, Dicyclopentadiene</t>
        </is>
      </c>
      <c r="B32" s="13" t="inlineStr">
        <is>
          <t>O</t>
        </is>
      </c>
      <c r="C32" s="14" t="n">
        <v>2022</v>
      </c>
      <c r="D32" s="13" t="inlineStr">
        <is>
          <t>DCPD</t>
        </is>
      </c>
    </row>
    <row r="33">
      <c r="A33" s="14" t="inlineStr">
        <is>
          <t>Detergent Alcohols</t>
        </is>
      </c>
      <c r="B33" s="14" t="inlineStr">
        <is>
          <t>Δ</t>
        </is>
      </c>
      <c r="C33" s="14" t="n">
        <v>2025</v>
      </c>
      <c r="D33" s="13" t="n"/>
    </row>
    <row r="34">
      <c r="A34" s="13" t="inlineStr">
        <is>
          <t>Diisocyanates and Polyisocyanates</t>
        </is>
      </c>
      <c r="B34" s="13" t="inlineStr">
        <is>
          <t>O</t>
        </is>
      </c>
      <c r="C34" s="14" t="n">
        <v>2025</v>
      </c>
      <c r="D34" s="13" t="inlineStr">
        <is>
          <t>MDI</t>
        </is>
      </c>
    </row>
    <row r="35">
      <c r="A35" s="13" t="inlineStr">
        <is>
          <t>Diisocyanates and Polyisocyanates</t>
        </is>
      </c>
      <c r="B35" s="13" t="inlineStr">
        <is>
          <t>O</t>
        </is>
      </c>
      <c r="C35" s="14" t="n">
        <v>2025</v>
      </c>
      <c r="D35" s="13" t="inlineStr">
        <is>
          <t>TDI</t>
        </is>
      </c>
    </row>
    <row r="36">
      <c r="A36" s="14" t="inlineStr">
        <is>
          <t>Dimethyl Terephthalate (DMT) and Terephthalic Acid (TPA)</t>
        </is>
      </c>
      <c r="B36" s="14" t="inlineStr">
        <is>
          <t>O</t>
        </is>
      </c>
      <c r="C36" s="14" t="n">
        <v>2025</v>
      </c>
      <c r="D36" s="13" t="inlineStr">
        <is>
          <t>TPA</t>
        </is>
      </c>
    </row>
    <row r="37">
      <c r="A37" s="14" t="inlineStr">
        <is>
          <t>Dimethyl Terephthalate (DMT) and Terephthalic Acid (TPA)</t>
        </is>
      </c>
      <c r="B37" s="14" t="inlineStr">
        <is>
          <t>O</t>
        </is>
      </c>
      <c r="C37" s="14" t="n">
        <v>2025</v>
      </c>
      <c r="D37" s="13" t="inlineStr">
        <is>
          <t>DMT</t>
        </is>
      </c>
    </row>
    <row r="38">
      <c r="A38" s="14" t="inlineStr">
        <is>
          <t>Elastomers, Synthetic Overview</t>
        </is>
      </c>
      <c r="B38" s="14" t="inlineStr">
        <is>
          <t>Δ</t>
        </is>
      </c>
      <c r="C38" s="14" t="n">
        <v>2024</v>
      </c>
      <c r="D38" s="13" t="n"/>
    </row>
    <row r="39">
      <c r="A39" s="14" t="inlineStr">
        <is>
          <t>Energy</t>
        </is>
      </c>
      <c r="B39" s="14" t="inlineStr">
        <is>
          <t>Δ</t>
        </is>
      </c>
      <c r="C39" s="14" t="n">
        <v>2025</v>
      </c>
      <c r="D39" s="13" t="n"/>
    </row>
    <row r="40">
      <c r="A40" s="14" t="inlineStr">
        <is>
          <t>Epichlorohydrin</t>
        </is>
      </c>
      <c r="B40" s="14" t="inlineStr">
        <is>
          <t>Δ</t>
        </is>
      </c>
      <c r="C40" s="14" t="n">
        <v>2024</v>
      </c>
      <c r="D40" s="13" t="n"/>
    </row>
    <row r="41">
      <c r="A41" s="14" t="inlineStr">
        <is>
          <t>Epoxy Resins</t>
        </is>
      </c>
      <c r="B41" s="14" t="inlineStr">
        <is>
          <t>O</t>
        </is>
      </c>
      <c r="C41" s="14" t="n">
        <v>2024</v>
      </c>
      <c r="D41" s="13" t="inlineStr">
        <is>
          <t>Epoxy resin</t>
        </is>
      </c>
    </row>
    <row r="42">
      <c r="A42" s="14" t="inlineStr">
        <is>
          <t>Epoxy Surface Coatings</t>
        </is>
      </c>
      <c r="B42" s="14" t="inlineStr">
        <is>
          <t>Δ</t>
        </is>
      </c>
      <c r="C42" s="14" t="n">
        <v>2024</v>
      </c>
      <c r="D42" s="13" t="n"/>
    </row>
    <row r="43">
      <c r="A43" s="14" t="inlineStr">
        <is>
          <t>Ethanol</t>
        </is>
      </c>
      <c r="B43" s="14" t="inlineStr">
        <is>
          <t>O</t>
        </is>
      </c>
      <c r="C43" s="14" t="n">
        <v>2024</v>
      </c>
      <c r="D43" s="13" t="inlineStr">
        <is>
          <t>Ethanol</t>
        </is>
      </c>
    </row>
    <row r="44">
      <c r="A44" s="14" t="inlineStr">
        <is>
          <t>Ethanolamines</t>
        </is>
      </c>
      <c r="B44" s="14" t="inlineStr">
        <is>
          <t>O</t>
        </is>
      </c>
      <c r="C44" s="14" t="n">
        <v>2024</v>
      </c>
      <c r="D44" s="13" t="inlineStr">
        <is>
          <t>Ethanolamines</t>
        </is>
      </c>
    </row>
    <row r="45">
      <c r="A45" s="14" t="inlineStr">
        <is>
          <t>Ethanolamines</t>
        </is>
      </c>
      <c r="B45" s="14" t="inlineStr">
        <is>
          <t>O</t>
        </is>
      </c>
      <c r="C45" s="14" t="n">
        <v>2024</v>
      </c>
      <c r="D45" s="13" t="inlineStr">
        <is>
          <t>MEA</t>
        </is>
      </c>
    </row>
    <row r="46">
      <c r="A46" s="14" t="inlineStr">
        <is>
          <t>Ethanolamines</t>
        </is>
      </c>
      <c r="B46" s="14" t="inlineStr">
        <is>
          <t>O</t>
        </is>
      </c>
      <c r="C46" s="14" t="n">
        <v>2024</v>
      </c>
      <c r="D46" s="13" t="inlineStr">
        <is>
          <t>DEA</t>
        </is>
      </c>
    </row>
    <row r="47">
      <c r="A47" s="14" t="inlineStr">
        <is>
          <t>Ethanolamines</t>
        </is>
      </c>
      <c r="B47" s="14" t="inlineStr">
        <is>
          <t>O</t>
        </is>
      </c>
      <c r="C47" s="14" t="n">
        <v>2024</v>
      </c>
      <c r="D47" s="13" t="inlineStr">
        <is>
          <t>TEA</t>
        </is>
      </c>
    </row>
    <row r="48">
      <c r="A48" s="14" t="inlineStr">
        <is>
          <t>Ethyl Ether</t>
        </is>
      </c>
      <c r="B48" s="14" t="inlineStr">
        <is>
          <t>Δ</t>
        </is>
      </c>
      <c r="C48" s="14" t="n">
        <v>2024</v>
      </c>
      <c r="D48" s="13" t="n"/>
    </row>
    <row r="49">
      <c r="A49" s="14" t="inlineStr">
        <is>
          <t>Ethylbenzene</t>
        </is>
      </c>
      <c r="B49" s="14" t="inlineStr">
        <is>
          <t>O</t>
        </is>
      </c>
      <c r="C49" s="14" t="n">
        <v>2025</v>
      </c>
      <c r="D49" s="13" t="inlineStr">
        <is>
          <t>Ethylbenzene</t>
        </is>
      </c>
    </row>
    <row r="50">
      <c r="A50" s="14" t="inlineStr">
        <is>
          <t>Ethylene</t>
        </is>
      </c>
      <c r="B50" s="14" t="inlineStr">
        <is>
          <t>O</t>
        </is>
      </c>
      <c r="C50" s="14" t="n">
        <v>2025</v>
      </c>
      <c r="D50" s="13" t="inlineStr">
        <is>
          <t>Ethylene</t>
        </is>
      </c>
    </row>
    <row r="51">
      <c r="A51" s="14" t="inlineStr">
        <is>
          <t>Ethylene Dichloride</t>
        </is>
      </c>
      <c r="B51" s="14" t="inlineStr">
        <is>
          <t>O</t>
        </is>
      </c>
      <c r="C51" s="14" t="n">
        <v>2025</v>
      </c>
      <c r="D51" s="13" t="inlineStr">
        <is>
          <t>EDC</t>
        </is>
      </c>
    </row>
    <row r="52">
      <c r="A52" s="14" t="inlineStr">
        <is>
          <t>Ethylene Glycols</t>
        </is>
      </c>
      <c r="B52" s="14" t="inlineStr">
        <is>
          <t>O</t>
        </is>
      </c>
      <c r="C52" s="14" t="n">
        <v>2026</v>
      </c>
      <c r="D52" s="13" t="inlineStr">
        <is>
          <t>MEG</t>
        </is>
      </c>
    </row>
    <row r="53">
      <c r="A53" s="14" t="inlineStr">
        <is>
          <t>Ethylene Oxide</t>
        </is>
      </c>
      <c r="B53" s="14" t="inlineStr">
        <is>
          <t>O</t>
        </is>
      </c>
      <c r="C53" s="14" t="n">
        <v>2025</v>
      </c>
      <c r="D53" s="13" t="inlineStr">
        <is>
          <t>EO</t>
        </is>
      </c>
    </row>
    <row r="54">
      <c r="A54" s="13" t="inlineStr">
        <is>
          <t>Ethylene-Propylene_Elastomers</t>
        </is>
      </c>
      <c r="B54" s="13" t="inlineStr">
        <is>
          <t>O</t>
        </is>
      </c>
      <c r="C54" s="14" t="n">
        <v>2021</v>
      </c>
      <c r="D54" s="13" t="inlineStr">
        <is>
          <t>EPDM</t>
        </is>
      </c>
    </row>
    <row r="55">
      <c r="A55" s="14" t="inlineStr">
        <is>
          <t>Ethylene-Vinyl Acetate (EVA)</t>
        </is>
      </c>
      <c r="B55" s="14" t="inlineStr">
        <is>
          <t>O</t>
        </is>
      </c>
      <c r="C55" s="14" t="n">
        <v>2026</v>
      </c>
      <c r="D55" s="13" t="inlineStr">
        <is>
          <t>EVA</t>
        </is>
      </c>
    </row>
    <row r="56">
      <c r="A56" s="14" t="inlineStr">
        <is>
          <t>Expandable Polystyrene (EPS)</t>
        </is>
      </c>
      <c r="B56" s="14" t="inlineStr">
        <is>
          <t>O</t>
        </is>
      </c>
      <c r="C56" s="14" t="n">
        <v>2025</v>
      </c>
      <c r="D56" s="13" t="inlineStr">
        <is>
          <t>PS</t>
        </is>
      </c>
    </row>
    <row r="57">
      <c r="A57" s="15" t="inlineStr">
        <is>
          <t>Formaldehyde</t>
        </is>
      </c>
      <c r="B57" s="15" t="inlineStr">
        <is>
          <t>O</t>
        </is>
      </c>
      <c r="C57" s="14" t="n">
        <v>2024</v>
      </c>
      <c r="D57" s="13" t="inlineStr">
        <is>
          <t>Formaldehyde</t>
        </is>
      </c>
    </row>
    <row r="58">
      <c r="A58" s="15" t="inlineStr">
        <is>
          <t>Isophthalic Acid and meta-Xylene</t>
        </is>
      </c>
      <c r="B58" s="15" t="inlineStr">
        <is>
          <t>O</t>
        </is>
      </c>
      <c r="C58" s="14" t="n">
        <v>2025</v>
      </c>
      <c r="D58" s="13" t="inlineStr">
        <is>
          <t>m-Xylene</t>
        </is>
      </c>
    </row>
    <row r="59">
      <c r="A59" s="15" t="inlineStr">
        <is>
          <t>Isophthalic Acid and meta-Xylene</t>
        </is>
      </c>
      <c r="B59" s="15" t="inlineStr">
        <is>
          <t>O</t>
        </is>
      </c>
      <c r="C59" s="14" t="n">
        <v>2025</v>
      </c>
      <c r="D59" s="13" t="inlineStr">
        <is>
          <t>PIA</t>
        </is>
      </c>
    </row>
    <row r="60">
      <c r="A60" s="15" t="inlineStr">
        <is>
          <t>Isoprene</t>
        </is>
      </c>
      <c r="B60" s="13" t="inlineStr">
        <is>
          <t>O</t>
        </is>
      </c>
      <c r="C60" s="14" t="n">
        <v>2023</v>
      </c>
      <c r="D60" s="13" t="inlineStr">
        <is>
          <t>Isoprene</t>
        </is>
      </c>
    </row>
    <row r="61">
      <c r="A61" s="15" t="inlineStr">
        <is>
          <t>Isopropyl Alcohol (IPA)</t>
        </is>
      </c>
      <c r="B61" s="15" t="inlineStr">
        <is>
          <t>O</t>
        </is>
      </c>
      <c r="C61" s="14" t="n">
        <v>2024</v>
      </c>
      <c r="D61" s="13" t="inlineStr">
        <is>
          <t>IPA</t>
        </is>
      </c>
    </row>
    <row r="62">
      <c r="A62" s="13" t="inlineStr">
        <is>
          <t>Linear Alpha Olefins</t>
        </is>
      </c>
      <c r="B62" s="13" t="inlineStr">
        <is>
          <t>O</t>
        </is>
      </c>
      <c r="C62" s="14" t="n">
        <v>2026</v>
      </c>
      <c r="D62" s="13" t="inlineStr">
        <is>
          <t>LAO</t>
        </is>
      </c>
    </row>
    <row r="63">
      <c r="A63" s="15" t="inlineStr">
        <is>
          <t>Maleic Anhydride</t>
        </is>
      </c>
      <c r="B63" s="15" t="inlineStr">
        <is>
          <t>O</t>
        </is>
      </c>
      <c r="C63" s="14" t="n">
        <v>2025</v>
      </c>
      <c r="D63" s="13" t="inlineStr">
        <is>
          <t>MA</t>
        </is>
      </c>
    </row>
    <row r="64">
      <c r="A64" s="15" t="inlineStr">
        <is>
          <t>Methanol</t>
        </is>
      </c>
      <c r="B64" s="15" t="inlineStr">
        <is>
          <t>O</t>
        </is>
      </c>
      <c r="C64" s="14" t="n">
        <v>2026</v>
      </c>
      <c r="D64" s="13" t="inlineStr">
        <is>
          <t>Methanol</t>
        </is>
      </c>
    </row>
    <row r="65">
      <c r="A65" s="13" t="inlineStr">
        <is>
          <t>Methyl Methacrylate</t>
        </is>
      </c>
      <c r="B65" s="13" t="inlineStr">
        <is>
          <t>O</t>
        </is>
      </c>
      <c r="C65" s="14" t="n">
        <v>2023</v>
      </c>
      <c r="D65" s="13" t="inlineStr">
        <is>
          <t>MMA</t>
        </is>
      </c>
    </row>
    <row r="66">
      <c r="A66" s="15" t="inlineStr">
        <is>
          <t>Methyl tertiary-Butyl Ether (MTBE)</t>
        </is>
      </c>
      <c r="B66" s="15" t="inlineStr">
        <is>
          <t>O</t>
        </is>
      </c>
      <c r="C66" s="14" t="n">
        <v>2025</v>
      </c>
      <c r="D66" s="13" t="inlineStr">
        <is>
          <t>MTBE</t>
        </is>
      </c>
    </row>
    <row r="67">
      <c r="A67" s="15" t="inlineStr">
        <is>
          <t>Mixed Xylenes</t>
        </is>
      </c>
      <c r="B67" s="15" t="inlineStr">
        <is>
          <t>O</t>
        </is>
      </c>
      <c r="C67" s="14" t="n">
        <v>2025</v>
      </c>
      <c r="D67" s="13" t="inlineStr">
        <is>
          <t>Xylene</t>
        </is>
      </c>
    </row>
    <row r="68">
      <c r="A68" s="13" t="inlineStr">
        <is>
          <t>Nitrile Elastomers</t>
        </is>
      </c>
      <c r="B68" s="15" t="inlineStr">
        <is>
          <t>O</t>
        </is>
      </c>
      <c r="C68" s="14" t="n">
        <v>2022</v>
      </c>
      <c r="D68" s="13" t="inlineStr">
        <is>
          <t>NBR</t>
        </is>
      </c>
    </row>
    <row r="69">
      <c r="A69" s="15" t="inlineStr">
        <is>
          <t>Nitrobenzene and Aniline</t>
        </is>
      </c>
      <c r="B69" s="15" t="inlineStr">
        <is>
          <t>O</t>
        </is>
      </c>
      <c r="C69" s="14" t="n">
        <v>2024</v>
      </c>
      <c r="D69" s="13" t="inlineStr">
        <is>
          <t>Aniline</t>
        </is>
      </c>
    </row>
    <row r="70">
      <c r="A70" s="15" t="inlineStr">
        <is>
          <t>ortho-Xylene</t>
        </is>
      </c>
      <c r="B70" s="15" t="inlineStr">
        <is>
          <t>O</t>
        </is>
      </c>
      <c r="C70" s="14" t="n">
        <v>2024</v>
      </c>
      <c r="D70" s="13" t="inlineStr">
        <is>
          <t>o-Xylene</t>
        </is>
      </c>
    </row>
    <row r="71">
      <c r="A71" s="15" t="inlineStr">
        <is>
          <t>Oxo Chemicals</t>
        </is>
      </c>
      <c r="B71" s="13" t="inlineStr">
        <is>
          <t>O</t>
        </is>
      </c>
      <c r="C71" s="14" t="n">
        <v>2024</v>
      </c>
      <c r="D71" s="13" t="inlineStr">
        <is>
          <t>n-Butyraldehyde</t>
        </is>
      </c>
    </row>
    <row r="72">
      <c r="A72" s="15" t="inlineStr">
        <is>
          <t>Oxo Chemicals</t>
        </is>
      </c>
      <c r="B72" s="13" t="inlineStr">
        <is>
          <t>O</t>
        </is>
      </c>
      <c r="C72" s="14" t="n">
        <v>2024</v>
      </c>
      <c r="D72" s="13" t="inlineStr">
        <is>
          <t>i-Butyraldehyde</t>
        </is>
      </c>
    </row>
    <row r="73">
      <c r="A73" s="15" t="inlineStr">
        <is>
          <t>Oxo Chemicals</t>
        </is>
      </c>
      <c r="B73" s="13" t="inlineStr">
        <is>
          <t>O</t>
        </is>
      </c>
      <c r="C73" s="14" t="n">
        <v>2024</v>
      </c>
      <c r="D73" s="13" t="inlineStr">
        <is>
          <t>2-Ethylhexanol</t>
        </is>
      </c>
    </row>
    <row r="74">
      <c r="A74" s="15" t="inlineStr">
        <is>
          <t>Oxo Chemicals</t>
        </is>
      </c>
      <c r="B74" s="13" t="inlineStr">
        <is>
          <t>O</t>
        </is>
      </c>
      <c r="C74" s="14" t="n">
        <v>2024</v>
      </c>
      <c r="D74" s="13" t="inlineStr">
        <is>
          <t>n-Butanol</t>
        </is>
      </c>
    </row>
    <row r="75">
      <c r="A75" s="15" t="inlineStr">
        <is>
          <t>Oxo Chemicals</t>
        </is>
      </c>
      <c r="B75" s="13" t="inlineStr">
        <is>
          <t>O</t>
        </is>
      </c>
      <c r="C75" s="14" t="n">
        <v>2024</v>
      </c>
      <c r="D75" s="13" t="inlineStr">
        <is>
          <t>n-Butyl acetate</t>
        </is>
      </c>
    </row>
    <row r="76">
      <c r="A76" s="15" t="inlineStr">
        <is>
          <t>Oxo Chemicals</t>
        </is>
      </c>
      <c r="B76" s="13" t="inlineStr">
        <is>
          <t>O</t>
        </is>
      </c>
      <c r="C76" s="14" t="n">
        <v>2024</v>
      </c>
      <c r="D76" s="13" t="inlineStr">
        <is>
          <t>Isobutanol</t>
        </is>
      </c>
    </row>
    <row r="77">
      <c r="A77" s="15" t="inlineStr">
        <is>
          <t>Oxo Chemicals</t>
        </is>
      </c>
      <c r="B77" s="13" t="inlineStr">
        <is>
          <t>O</t>
        </is>
      </c>
      <c r="C77" s="14" t="n">
        <v>2024</v>
      </c>
      <c r="D77" s="13" t="inlineStr">
        <is>
          <t>Isobutyl acetate</t>
        </is>
      </c>
    </row>
    <row r="78">
      <c r="A78" s="15" t="inlineStr">
        <is>
          <t>para-Xylene</t>
        </is>
      </c>
      <c r="B78" s="15" t="inlineStr">
        <is>
          <t>O</t>
        </is>
      </c>
      <c r="C78" s="14" t="n">
        <v>2024</v>
      </c>
      <c r="D78" s="13" t="inlineStr">
        <is>
          <t>p-Xylene</t>
        </is>
      </c>
    </row>
    <row r="79">
      <c r="A79" s="15" t="inlineStr">
        <is>
          <t>Petrochemical Feedstocks</t>
        </is>
      </c>
      <c r="B79" s="14" t="inlineStr">
        <is>
          <t>Δ</t>
        </is>
      </c>
      <c r="C79" s="14" t="n">
        <v>2025</v>
      </c>
      <c r="D79" s="13" t="n"/>
    </row>
    <row r="80">
      <c r="A80" s="15" t="inlineStr">
        <is>
          <t>Petrochemical Industry Overview</t>
        </is>
      </c>
      <c r="B80" s="14" t="inlineStr">
        <is>
          <t>Δ</t>
        </is>
      </c>
      <c r="C80" s="14" t="n">
        <v>2025</v>
      </c>
      <c r="D80" s="13" t="n"/>
    </row>
    <row r="81">
      <c r="A81" s="15" t="inlineStr">
        <is>
          <t>Phenol</t>
        </is>
      </c>
      <c r="B81" s="15" t="inlineStr">
        <is>
          <t>O</t>
        </is>
      </c>
      <c r="C81" s="14" t="n">
        <v>2025</v>
      </c>
      <c r="D81" s="13" t="inlineStr">
        <is>
          <t>Phenol</t>
        </is>
      </c>
    </row>
    <row r="82">
      <c r="A82" s="15" t="inlineStr">
        <is>
          <t>Phenolic Resins</t>
        </is>
      </c>
      <c r="B82" s="14" t="inlineStr">
        <is>
          <t>Δ</t>
        </is>
      </c>
      <c r="C82" s="14" t="n">
        <v>2025</v>
      </c>
      <c r="D82" s="13" t="n"/>
    </row>
    <row r="83">
      <c r="A83" s="15" t="inlineStr">
        <is>
          <t>Phthalic Anhydride</t>
        </is>
      </c>
      <c r="B83" s="14" t="inlineStr">
        <is>
          <t>Δ</t>
        </is>
      </c>
      <c r="C83" s="14" t="n">
        <v>2025</v>
      </c>
      <c r="D83" s="13" t="inlineStr">
        <is>
          <t>PA</t>
        </is>
      </c>
    </row>
    <row r="84">
      <c r="A84" s="15" t="inlineStr">
        <is>
          <t>Polybutadiene Elastomers</t>
        </is>
      </c>
      <c r="B84" s="15" t="inlineStr">
        <is>
          <t>O</t>
        </is>
      </c>
      <c r="C84" s="14" t="n">
        <v>2025</v>
      </c>
      <c r="D84" s="13" t="inlineStr">
        <is>
          <t>BR</t>
        </is>
      </c>
    </row>
    <row r="85">
      <c r="A85" s="15" t="inlineStr">
        <is>
          <t>Polycarbonate Resins</t>
        </is>
      </c>
      <c r="B85" s="15" t="inlineStr">
        <is>
          <t>O</t>
        </is>
      </c>
      <c r="C85" s="14" t="n">
        <v>2025</v>
      </c>
      <c r="D85" s="13" t="inlineStr">
        <is>
          <t>PC</t>
        </is>
      </c>
    </row>
    <row r="86">
      <c r="A86" s="15" t="inlineStr">
        <is>
          <t>Polyester Fibers</t>
        </is>
      </c>
      <c r="B86" s="14" t="inlineStr">
        <is>
          <t>Δ</t>
        </is>
      </c>
      <c r="C86" s="14" t="n">
        <v>2026</v>
      </c>
      <c r="D86" s="13" t="n"/>
    </row>
    <row r="87">
      <c r="A87" s="15" t="inlineStr">
        <is>
          <t>Polyester Film</t>
        </is>
      </c>
      <c r="B87" s="14" t="inlineStr">
        <is>
          <t>Δ</t>
        </is>
      </c>
      <c r="C87" s="14" t="n">
        <v>2024</v>
      </c>
      <c r="D87" s="13" t="n"/>
    </row>
    <row r="88">
      <c r="A88" s="13" t="inlineStr">
        <is>
          <t>Polyester Polyols</t>
        </is>
      </c>
      <c r="B88" s="13" t="inlineStr">
        <is>
          <t>O</t>
        </is>
      </c>
      <c r="C88" s="14" t="n">
        <v>2022</v>
      </c>
      <c r="D88" s="13" t="inlineStr">
        <is>
          <t>Polyols</t>
        </is>
      </c>
    </row>
    <row r="89">
      <c r="A89" t="inlineStr">
        <is>
          <t>Polyester Resins, Unsaturated</t>
        </is>
      </c>
      <c r="B89" s="13" t="inlineStr">
        <is>
          <t>O</t>
        </is>
      </c>
      <c r="C89" s="14" t="n">
        <v>2023</v>
      </c>
      <c r="D89" s="13" t="inlineStr">
        <is>
          <t>UPR</t>
        </is>
      </c>
    </row>
    <row r="90">
      <c r="A90" s="15" t="inlineStr">
        <is>
          <t>Polyethylene Resins, High-Density (HDPE)</t>
        </is>
      </c>
      <c r="B90" s="15" t="inlineStr">
        <is>
          <t>O</t>
        </is>
      </c>
      <c r="C90" s="14" t="n">
        <v>2025</v>
      </c>
      <c r="D90" s="13" t="inlineStr">
        <is>
          <t>HDPE</t>
        </is>
      </c>
    </row>
    <row r="91">
      <c r="A91" s="15" t="inlineStr">
        <is>
          <t>Polyethylene Resins, Linear Low-Density (LLDPE)</t>
        </is>
      </c>
      <c r="B91" s="15" t="inlineStr">
        <is>
          <t>O</t>
        </is>
      </c>
      <c r="C91" s="14" t="n">
        <v>2024</v>
      </c>
      <c r="D91" s="13" t="inlineStr">
        <is>
          <t>LLDPE</t>
        </is>
      </c>
    </row>
    <row r="92">
      <c r="A92" s="15" t="inlineStr">
        <is>
          <t>Polyethylene Resins, Low-Density (LDPE)</t>
        </is>
      </c>
      <c r="B92" s="15" t="inlineStr">
        <is>
          <t>O</t>
        </is>
      </c>
      <c r="C92" s="14" t="n">
        <v>2025</v>
      </c>
      <c r="D92" s="13" t="inlineStr">
        <is>
          <t>LDPE</t>
        </is>
      </c>
    </row>
    <row r="93">
      <c r="A93" s="15" t="inlineStr">
        <is>
          <t>Polyethylene Terephthalate (PET) Bottle-Grade Resins</t>
        </is>
      </c>
      <c r="B93" s="15" t="inlineStr">
        <is>
          <t>O</t>
        </is>
      </c>
      <c r="C93" s="14" t="n">
        <v>2026</v>
      </c>
      <c r="D93" s="13" t="inlineStr">
        <is>
          <t>PET</t>
        </is>
      </c>
    </row>
    <row r="94">
      <c r="A94" s="13" t="inlineStr">
        <is>
          <t>Polyisoprene Elastomers</t>
        </is>
      </c>
      <c r="B94" s="13" t="inlineStr">
        <is>
          <t>O</t>
        </is>
      </c>
      <c r="C94" s="14" t="n">
        <v>2023</v>
      </c>
      <c r="D94" s="13" t="inlineStr">
        <is>
          <t>IR</t>
        </is>
      </c>
    </row>
    <row r="95">
      <c r="A95" s="13" t="inlineStr">
        <is>
          <t>Polymethyl_Methacrylate (PMMA)</t>
        </is>
      </c>
      <c r="B95" s="13" t="inlineStr">
        <is>
          <t>O</t>
        </is>
      </c>
      <c r="C95" s="14" t="n">
        <v>2023</v>
      </c>
      <c r="D95" s="13" t="inlineStr">
        <is>
          <t>PMMA</t>
        </is>
      </c>
    </row>
    <row r="96">
      <c r="A96" s="15" t="inlineStr">
        <is>
          <t>Polypropylene Resins (PP)</t>
        </is>
      </c>
      <c r="B96" s="15" t="inlineStr">
        <is>
          <t>O</t>
        </is>
      </c>
      <c r="C96" s="14" t="n">
        <v>2024</v>
      </c>
      <c r="D96" s="13" t="inlineStr">
        <is>
          <t>PP</t>
        </is>
      </c>
    </row>
    <row r="97">
      <c r="A97" s="15" t="inlineStr">
        <is>
          <t>Polystyrene (PS)</t>
        </is>
      </c>
      <c r="B97" s="15" t="inlineStr">
        <is>
          <t>O</t>
        </is>
      </c>
      <c r="C97" s="14" t="n">
        <v>2025</v>
      </c>
      <c r="D97" s="13" t="inlineStr">
        <is>
          <t>PS</t>
        </is>
      </c>
    </row>
    <row r="98">
      <c r="A98" s="15" t="inlineStr">
        <is>
          <t>Polytetramethylene Ether Glycol (PTMEG)</t>
        </is>
      </c>
      <c r="B98" s="14" t="inlineStr">
        <is>
          <t>Δ</t>
        </is>
      </c>
      <c r="C98" s="14" t="n">
        <v>2025</v>
      </c>
      <c r="D98" s="13" t="n"/>
    </row>
    <row r="99">
      <c r="A99" s="15" t="inlineStr">
        <is>
          <t>Polyurethane Foams</t>
        </is>
      </c>
      <c r="B99" s="15" t="inlineStr">
        <is>
          <t>O</t>
        </is>
      </c>
      <c r="C99" s="14" t="n">
        <v>2025</v>
      </c>
      <c r="D99" s="13" t="inlineStr">
        <is>
          <t>PU</t>
        </is>
      </c>
    </row>
    <row r="100">
      <c r="A100" s="13" t="inlineStr">
        <is>
          <t>Polyvinyl Alcohol</t>
        </is>
      </c>
      <c r="B100" s="15" t="inlineStr">
        <is>
          <t>O</t>
        </is>
      </c>
      <c r="C100" s="14" t="n">
        <v>2023</v>
      </c>
      <c r="D100" s="13" t="inlineStr">
        <is>
          <t>PVOH</t>
        </is>
      </c>
    </row>
    <row r="101">
      <c r="A101" s="15" t="inlineStr">
        <is>
          <t>Polyvinyl Chloride (PVC)</t>
        </is>
      </c>
      <c r="B101" s="15" t="inlineStr">
        <is>
          <t>O</t>
        </is>
      </c>
      <c r="C101" s="14" t="n">
        <v>2025</v>
      </c>
      <c r="D101" s="13" t="inlineStr">
        <is>
          <t>PVC</t>
        </is>
      </c>
    </row>
    <row r="102">
      <c r="A102" s="15" t="inlineStr">
        <is>
          <t>Propylene</t>
        </is>
      </c>
      <c r="B102" s="15" t="inlineStr">
        <is>
          <t>O</t>
        </is>
      </c>
      <c r="C102" s="14" t="n">
        <v>2026</v>
      </c>
      <c r="D102" s="13" t="inlineStr">
        <is>
          <t>Propylene</t>
        </is>
      </c>
    </row>
    <row r="103">
      <c r="A103" s="13" t="inlineStr">
        <is>
          <t>Propylene Glycols</t>
        </is>
      </c>
      <c r="B103" s="13" t="inlineStr">
        <is>
          <t>O</t>
        </is>
      </c>
      <c r="C103" s="14" t="n">
        <v>2024</v>
      </c>
      <c r="D103" s="13" t="inlineStr">
        <is>
          <t>PG</t>
        </is>
      </c>
    </row>
    <row r="104">
      <c r="A104" s="13" t="inlineStr">
        <is>
          <t>Propylene Glycols</t>
        </is>
      </c>
      <c r="B104" s="13" t="inlineStr">
        <is>
          <t>O</t>
        </is>
      </c>
      <c r="C104" s="14" t="n">
        <v>2024</v>
      </c>
      <c r="D104" s="13" t="inlineStr">
        <is>
          <t>PPG</t>
        </is>
      </c>
    </row>
    <row r="105">
      <c r="A105" s="15" t="inlineStr">
        <is>
          <t>Propylene Oxide</t>
        </is>
      </c>
      <c r="B105" s="15" t="inlineStr">
        <is>
          <t>O</t>
        </is>
      </c>
      <c r="C105" s="14" t="n">
        <v>2025</v>
      </c>
      <c r="D105" s="13" t="inlineStr">
        <is>
          <t>PO</t>
        </is>
      </c>
    </row>
    <row r="106">
      <c r="A106" s="15" t="inlineStr">
        <is>
          <t>Styrene</t>
        </is>
      </c>
      <c r="B106" s="15" t="inlineStr">
        <is>
          <t>O</t>
        </is>
      </c>
      <c r="C106" s="14" t="n">
        <v>2025</v>
      </c>
      <c r="D106" s="13" t="inlineStr">
        <is>
          <t>Styrene</t>
        </is>
      </c>
    </row>
    <row r="107">
      <c r="A107" s="13" t="inlineStr">
        <is>
          <t>Styrene-Acrylonitrile</t>
        </is>
      </c>
      <c r="B107" s="15" t="inlineStr">
        <is>
          <t>O</t>
        </is>
      </c>
      <c r="C107" s="14" t="n">
        <v>2022</v>
      </c>
      <c r="D107" s="13" t="inlineStr">
        <is>
          <t>SAN</t>
        </is>
      </c>
    </row>
    <row r="108">
      <c r="A108" s="15" t="inlineStr">
        <is>
          <t>Styrene-Butadiene Elastomers (SBR)</t>
        </is>
      </c>
      <c r="B108" s="15" t="inlineStr">
        <is>
          <t>O</t>
        </is>
      </c>
      <c r="C108" s="14" t="n">
        <v>2025</v>
      </c>
      <c r="D108" s="13" t="inlineStr">
        <is>
          <t>SBR</t>
        </is>
      </c>
    </row>
    <row r="109">
      <c r="A109" s="15" t="inlineStr">
        <is>
          <t>Styrene-Butadiene Latexes (SBL)</t>
        </is>
      </c>
      <c r="B109" s="14" t="inlineStr">
        <is>
          <t>Δ</t>
        </is>
      </c>
      <c r="C109" s="14" t="n">
        <v>2026</v>
      </c>
      <c r="D109" s="13" t="n"/>
    </row>
    <row r="110">
      <c r="A110" s="13" t="inlineStr">
        <is>
          <t>Styrenic Block Copolymers</t>
        </is>
      </c>
      <c r="B110" s="13" t="inlineStr">
        <is>
          <t>O</t>
        </is>
      </c>
      <c r="C110" s="14" t="n">
        <v>2023</v>
      </c>
      <c r="D110" s="13" t="inlineStr">
        <is>
          <t>SIS</t>
        </is>
      </c>
    </row>
    <row r="111">
      <c r="A111" s="15" t="inlineStr">
        <is>
          <t>Styrenic Copolymers</t>
        </is>
      </c>
      <c r="B111" s="14" t="inlineStr">
        <is>
          <t>Δ</t>
        </is>
      </c>
      <c r="C111" s="14" t="n">
        <v>2024</v>
      </c>
      <c r="D111" s="13" t="n"/>
    </row>
    <row r="112">
      <c r="A112" s="15" t="inlineStr">
        <is>
          <t>Superabsorbent Polymers</t>
        </is>
      </c>
      <c r="B112" s="13" t="inlineStr">
        <is>
          <t>O</t>
        </is>
      </c>
      <c r="C112" s="14" t="n">
        <v>2023</v>
      </c>
      <c r="D112" s="13" t="inlineStr">
        <is>
          <t>SAP</t>
        </is>
      </c>
    </row>
    <row r="113">
      <c r="A113" s="15" t="inlineStr">
        <is>
          <t>Thermoplastic Copolyester Elastomers (formerly Copolyester-Ether Elastomers)</t>
        </is>
      </c>
      <c r="B113" s="14" t="inlineStr">
        <is>
          <t>Δ</t>
        </is>
      </c>
      <c r="C113" s="14" t="n">
        <v>2024</v>
      </c>
      <c r="D113" s="13" t="n"/>
    </row>
    <row r="114">
      <c r="A114" s="15" t="inlineStr">
        <is>
          <t>Toluene</t>
        </is>
      </c>
      <c r="B114" s="15" t="inlineStr">
        <is>
          <t>O</t>
        </is>
      </c>
      <c r="C114" s="14" t="n">
        <v>2025</v>
      </c>
      <c r="D114" s="13" t="inlineStr">
        <is>
          <t>Toluene</t>
        </is>
      </c>
    </row>
    <row r="115">
      <c r="A115" s="15" t="inlineStr">
        <is>
          <t>Vinyl Acetate</t>
        </is>
      </c>
      <c r="B115" s="15" t="inlineStr">
        <is>
          <t>O</t>
        </is>
      </c>
      <c r="C115" s="14" t="n">
        <v>2025</v>
      </c>
      <c r="D115" s="13" t="inlineStr">
        <is>
          <t>VAM</t>
        </is>
      </c>
    </row>
    <row r="116">
      <c r="A116" s="15" t="inlineStr">
        <is>
          <t>Vinyl Chloride Monomer (VCM)</t>
        </is>
      </c>
      <c r="B116" s="15" t="inlineStr">
        <is>
          <t>O</t>
        </is>
      </c>
      <c r="C116" s="14" t="n">
        <v>2025</v>
      </c>
      <c r="D116" s="13" t="inlineStr">
        <is>
          <t>VCM</t>
        </is>
      </c>
    </row>
  </sheetData>
  <pageMargins left="0.7" right="0.7" top="0.75" bottom="0.75" header="0.3" footer="0.3"/>
  <headerFooter>
    <oddHeader/>
    <oddFooter>&amp;L&amp;"Aptos"&amp;11 &amp;K5F5F5F_x000d_# S-OIL: Company Use Only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2026-07-10T05:16:48Z</dcterms:modified>
  <cp:lastModifiedBy>이원일(W.I. Lee)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a567d48d-774c-44e2-a79a-7d15724a8f35_Enabled" fmtid="{D5CDD505-2E9C-101B-9397-08002B2CF9AE}" pid="2">
    <vt:lpwstr>true</vt:lpwstr>
  </property>
  <property name="MSIP_Label_a567d48d-774c-44e2-a79a-7d15724a8f35_SetDate" fmtid="{D5CDD505-2E9C-101B-9397-08002B2CF9AE}" pid="3">
    <vt:lpwstr>2026-06-21T14:35:45Z</vt:lpwstr>
  </property>
  <property name="MSIP_Label_a567d48d-774c-44e2-a79a-7d15724a8f35_Method" fmtid="{D5CDD505-2E9C-101B-9397-08002B2CF9AE}" pid="4">
    <vt:lpwstr>Standard</vt:lpwstr>
  </property>
  <property name="MSIP_Label_a567d48d-774c-44e2-a79a-7d15724a8f35_Name" fmtid="{D5CDD505-2E9C-101B-9397-08002B2CF9AE}" pid="5">
    <vt:lpwstr>Default</vt:lpwstr>
  </property>
  <property name="MSIP_Label_a567d48d-774c-44e2-a79a-7d15724a8f35_SiteId" fmtid="{D5CDD505-2E9C-101B-9397-08002B2CF9AE}" pid="6">
    <vt:lpwstr>a2d478ac-b585-41c5-a681-f7383808fa1a</vt:lpwstr>
  </property>
  <property name="MSIP_Label_a567d48d-774c-44e2-a79a-7d15724a8f35_ActionId" fmtid="{D5CDD505-2E9C-101B-9397-08002B2CF9AE}" pid="7">
    <vt:lpwstr>5c804baf-42d3-4173-8478-89542520bfa5</vt:lpwstr>
  </property>
  <property name="MSIP_Label_a567d48d-774c-44e2-a79a-7d15724a8f35_ContentBits" fmtid="{D5CDD505-2E9C-101B-9397-08002B2CF9AE}" pid="8">
    <vt:lpwstr>3</vt:lpwstr>
  </property>
  <property name="MSIP_Label_a567d48d-774c-44e2-a79a-7d15724a8f35_Tag" fmtid="{D5CDD505-2E9C-101B-9397-08002B2CF9AE}" pid="9">
    <vt:lpwstr>10, 3, 0, 1</vt:lpwstr>
  </property>
</Properties>
</file>