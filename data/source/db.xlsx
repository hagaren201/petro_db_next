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2.xml" ContentType="application/vnd.openxmlformats-officedocument.spreadsheetml.pivot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현재_통합_문서" hidePivotFieldList="1"/>
  <mc:AlternateContent xmlns:mc="http://schemas.openxmlformats.org/markup-compatibility/2006">
    <mc:Choice Requires="x15">
      <x15ac:absPath xmlns:x15ac="http://schemas.microsoft.com/office/spreadsheetml/2010/11/ac" url="D:\DS\Petro_DB\"/>
    </mc:Choice>
  </mc:AlternateContent>
  <xr:revisionPtr revIDLastSave="0" documentId="13_ncr:1_{2B150523-0E3A-48B8-B102-B4688CB2583B}" xr6:coauthVersionLast="47" xr6:coauthVersionMax="47" xr10:uidLastSave="{00000000-0000-0000-0000-000000000000}"/>
  <bookViews>
    <workbookView xWindow="-120" yWindow="-120" windowWidth="29040" windowHeight="15720" firstSheet="10" activeTab="11" xr2:uid="{00000000-000D-0000-FFFF-FFFF00000000}"/>
  </bookViews>
  <sheets>
    <sheet name="supply_value_overall_score" sheetId="31" r:id="rId1"/>
    <sheet name="supply_score" sheetId="30" r:id="rId2"/>
    <sheet name="value_chain_score" sheetId="29" r:id="rId3"/>
    <sheet name="rating" sheetId="16" r:id="rId4"/>
    <sheet name="end_use_id" sheetId="14" r:id="rId5"/>
    <sheet name="end_use_specialty" sheetId="21" r:id="rId6"/>
    <sheet name="app_id" sheetId="13" r:id="rId7"/>
    <sheet name="app_master" sheetId="15" r:id="rId8"/>
    <sheet name="app_rating" sheetId="24" r:id="rId9"/>
    <sheet name="group_master" sheetId="18" r:id="rId10"/>
    <sheet name="specialty_master" sheetId="22" r:id="rId11"/>
    <sheet name="material_master" sheetId="1" r:id="rId12"/>
    <sheet name="route_master" sheetId="2" r:id="rId13"/>
    <sheet name="route_input_link" sheetId="3" r:id="rId14"/>
    <sheet name="route_output_link" sheetId="4" r:id="rId15"/>
    <sheet name="licensor_master" sheetId="5" r:id="rId16"/>
    <sheet name="route_licensor_link" sheetId="6" r:id="rId17"/>
    <sheet name="supplier_master" sheetId="7" r:id="rId18"/>
    <sheet name="material_supplier_link" sheetId="8" r:id="rId19"/>
    <sheet name="location_master" sheetId="28" r:id="rId20"/>
    <sheet name="ccma_list" sheetId="9" r:id="rId21"/>
    <sheet name="ceh_list" sheetId="11" r:id="rId22"/>
  </sheets>
  <externalReferences>
    <externalReference r:id="rId23"/>
    <externalReference r:id="rId24"/>
  </externalReferences>
  <definedNames>
    <definedName name="__123Graph_A" hidden="1">#REF!</definedName>
    <definedName name="__123Graph_AAROPOL" hidden="1">#REF!</definedName>
    <definedName name="__123Graph_ACHART1" hidden="1">#REF!</definedName>
    <definedName name="__123Graph_ACHART10" hidden="1">#REF!</definedName>
    <definedName name="__123Graph_ACHART11" hidden="1">#REF!</definedName>
    <definedName name="__123Graph_ACHART12" hidden="1">#REF!</definedName>
    <definedName name="__123Graph_ACHART13" hidden="1">#REF!</definedName>
    <definedName name="__123Graph_ACHART14" hidden="1">#REF!</definedName>
    <definedName name="__123Graph_ACHART15" hidden="1">#REF!</definedName>
    <definedName name="__123Graph_ACHART16" hidden="1">#REF!</definedName>
    <definedName name="__123Graph_ACHART17" hidden="1">#REF!</definedName>
    <definedName name="__123Graph_ACHART18" hidden="1">#REF!</definedName>
    <definedName name="__123Graph_ACHART19" hidden="1">#REF!</definedName>
    <definedName name="__123Graph_ACHART2" hidden="1">#REF!</definedName>
    <definedName name="__123Graph_ACHART20" hidden="1">#REF!</definedName>
    <definedName name="__123Graph_ACHART21" hidden="1">#REF!</definedName>
    <definedName name="__123Graph_ACHART22" hidden="1">#REF!</definedName>
    <definedName name="__123Graph_ACHART3" hidden="1">#REF!</definedName>
    <definedName name="__123Graph_ACHART4" hidden="1">#REF!</definedName>
    <definedName name="__123Graph_ACHART5" hidden="1">#REF!</definedName>
    <definedName name="__123Graph_ACHART6" hidden="1">#REF!</definedName>
    <definedName name="__123Graph_ACHART7" hidden="1">#REF!</definedName>
    <definedName name="__123Graph_ACHART8" hidden="1">#REF!</definedName>
    <definedName name="__123Graph_ACHART9" hidden="1">#REF!</definedName>
    <definedName name="__123Graph_AEXP2" hidden="1">#REF!</definedName>
    <definedName name="__123Graph_AEXPORTS" hidden="1">#REF!</definedName>
    <definedName name="__123Graph_AMDI" hidden="1">#REF!</definedName>
    <definedName name="__123Graph_AMDIANN" hidden="1">#REF!</definedName>
    <definedName name="__123Graph_AMDISP" hidden="1">#REF!</definedName>
    <definedName name="__123Graph_ASLIDE17" hidden="1">#REF!</definedName>
    <definedName name="__123Graph_ASLIDEIII15" hidden="1">#REF!</definedName>
    <definedName name="__123Graph_ASLIDEIII25" hidden="1">#REF!</definedName>
    <definedName name="__123Graph_ASLIDEIII26" hidden="1">#REF!</definedName>
    <definedName name="__123Graph_B" hidden="1">#REF!</definedName>
    <definedName name="__123Graph_BCHART1" hidden="1">#REF!</definedName>
    <definedName name="__123Graph_BCHART10" hidden="1">#REF!</definedName>
    <definedName name="__123Graph_BCHART11" hidden="1">#REF!</definedName>
    <definedName name="__123Graph_BCHART12" hidden="1">#REF!</definedName>
    <definedName name="__123Graph_BCHART13" hidden="1">#REF!</definedName>
    <definedName name="__123Graph_BCHART14" hidden="1">#REF!</definedName>
    <definedName name="__123Graph_BCHART15" hidden="1">#REF!</definedName>
    <definedName name="__123Graph_BCHART16" hidden="1">#REF!</definedName>
    <definedName name="__123Graph_BCHART17" hidden="1">#REF!</definedName>
    <definedName name="__123Graph_BCHART18" hidden="1">#REF!</definedName>
    <definedName name="__123Graph_BCHART19" hidden="1">#REF!</definedName>
    <definedName name="__123Graph_BCHART2" hidden="1">#REF!</definedName>
    <definedName name="__123Graph_BCHART20" hidden="1">#REF!</definedName>
    <definedName name="__123Graph_BCHART22" hidden="1">#REF!</definedName>
    <definedName name="__123Graph_BCHART3" hidden="1">#REF!</definedName>
    <definedName name="__123Graph_BCHART4" hidden="1">#REF!</definedName>
    <definedName name="__123Graph_BCHART6" hidden="1">#REF!</definedName>
    <definedName name="__123Graph_BCHART7" hidden="1">#REF!</definedName>
    <definedName name="__123Graph_BCHART8" hidden="1">#REF!</definedName>
    <definedName name="__123Graph_BCHART9" hidden="1">#REF!</definedName>
    <definedName name="__123Graph_BEXPORTS" hidden="1">#REF!</definedName>
    <definedName name="__123Graph_BGDPTRKRTM" hidden="1">#REF!</definedName>
    <definedName name="__123Graph_BMDI" hidden="1">#REF!</definedName>
    <definedName name="__123Graph_BMDIANN" hidden="1">#REF!</definedName>
    <definedName name="__123Graph_BMDISP" hidden="1">#REF!</definedName>
    <definedName name="__123Graph_BSLIDE17" hidden="1">#REF!</definedName>
    <definedName name="__123Graph_BSLIDEIII15" hidden="1">#REF!</definedName>
    <definedName name="__123Graph_BSLIDEIII25" hidden="1">#REF!</definedName>
    <definedName name="__123Graph_BSLIDEIII26" hidden="1">#REF!</definedName>
    <definedName name="__123Graph_C" hidden="1">#REF!</definedName>
    <definedName name="__123Graph_CCHART1" hidden="1">#REF!</definedName>
    <definedName name="__123Graph_CCHART10" hidden="1">#REF!</definedName>
    <definedName name="__123Graph_CCHART11" hidden="1">#REF!</definedName>
    <definedName name="__123Graph_CCHART14" hidden="1">#REF!</definedName>
    <definedName name="__123Graph_CCHART15" hidden="1">#REF!</definedName>
    <definedName name="__123Graph_CCHART2" hidden="1">#REF!</definedName>
    <definedName name="__123Graph_CCHART22" hidden="1">#REF!</definedName>
    <definedName name="__123Graph_CCHART3" hidden="1">#REF!</definedName>
    <definedName name="__123Graph_CCHART6" hidden="1">#REF!</definedName>
    <definedName name="__123Graph_CCHART7" hidden="1">#REF!</definedName>
    <definedName name="__123Graph_CCHART8" hidden="1">#REF!</definedName>
    <definedName name="__123Graph_CEXPORTS" hidden="1">#REF!</definedName>
    <definedName name="__123Graph_CINDICES" hidden="1">#REF!</definedName>
    <definedName name="__123Graph_CMDIANN" hidden="1">#REF!</definedName>
    <definedName name="__123Graph_CMDISP" hidden="1">#REF!</definedName>
    <definedName name="__123Graph_CSLIDEIII25" hidden="1">#REF!</definedName>
    <definedName name="__123Graph_CSLIDEIII26" hidden="1">#REF!</definedName>
    <definedName name="__123Graph_DCHART10" hidden="1">#REF!</definedName>
    <definedName name="__123Graph_DCHART14" hidden="1">#REF!</definedName>
    <definedName name="__123Graph_DSLIDEIII25" hidden="1">#REF!</definedName>
    <definedName name="__123Graph_LBL_CCHART22" hidden="1">#REF!</definedName>
    <definedName name="__123Graph_X" hidden="1">#REF!</definedName>
    <definedName name="__123Graph_XAROPOL" hidden="1">#REF!</definedName>
    <definedName name="__123Graph_XCHART1" hidden="1">#REF!</definedName>
    <definedName name="__123Graph_XCHART10" hidden="1">#REF!</definedName>
    <definedName name="__123Graph_XCHART11" hidden="1">#REF!</definedName>
    <definedName name="__123Graph_XCHART12" hidden="1">#REF!</definedName>
    <definedName name="__123Graph_XCHART13" hidden="1">#REF!</definedName>
    <definedName name="__123Graph_XCHART14" hidden="1">#REF!</definedName>
    <definedName name="__123Graph_XCHART15" hidden="1">#REF!</definedName>
    <definedName name="__123Graph_XCHART16" hidden="1">#REF!</definedName>
    <definedName name="__123Graph_XCHART17" hidden="1">#REF!</definedName>
    <definedName name="__123Graph_XCHART18" hidden="1">#REF!</definedName>
    <definedName name="__123Graph_XCHART19" hidden="1">#REF!</definedName>
    <definedName name="__123Graph_XCHART2" hidden="1">#REF!</definedName>
    <definedName name="__123Graph_XCHART20" hidden="1">#REF!</definedName>
    <definedName name="__123Graph_XCHART21" hidden="1">#REF!</definedName>
    <definedName name="__123Graph_XCHART22" hidden="1">#REF!</definedName>
    <definedName name="__123Graph_XCHART3" hidden="1">#REF!</definedName>
    <definedName name="__123Graph_XCHART4" hidden="1">#REF!</definedName>
    <definedName name="__123Graph_XCHART5" hidden="1">#REF!</definedName>
    <definedName name="__123Graph_XCHART6" hidden="1">#REF!</definedName>
    <definedName name="__123Graph_XCHART7" hidden="1">#REF!</definedName>
    <definedName name="__123Graph_XCHART8" hidden="1">#REF!</definedName>
    <definedName name="__123Graph_XCHART9" hidden="1">#REF!</definedName>
    <definedName name="__123Graph_XEXP2" hidden="1">#REF!</definedName>
    <definedName name="__123Graph_XEXPORTS" hidden="1">#REF!</definedName>
    <definedName name="__123Graph_XMDI" hidden="1">#REF!</definedName>
    <definedName name="__123Graph_XMDIANN" hidden="1">#REF!</definedName>
    <definedName name="__123Graph_XMDISP" hidden="1">#REF!</definedName>
    <definedName name="__123Graph_XSLIDE17" hidden="1">#REF!</definedName>
    <definedName name="__123Graph_XSLIDEIII15" hidden="1">#REF!</definedName>
    <definedName name="__123Graph_XSLIDEIII25" hidden="1">#REF!</definedName>
    <definedName name="__123Graph_XSLIDEIII26" hidden="1">#REF!</definedName>
    <definedName name="_1__123Graph_ACHART_1" hidden="1">#REF!</definedName>
    <definedName name="_1__123Graph_ACHART_15" hidden="1">#REF!</definedName>
    <definedName name="_10__123Graph_ACHART_7" hidden="1">#REF!</definedName>
    <definedName name="_10__123Graph_XCHART_15" hidden="1">#REF!</definedName>
    <definedName name="_11__123Graph_BCHART_10" hidden="1">#REF!</definedName>
    <definedName name="_12__123Graph_BCHART_13" hidden="1">#REF!</definedName>
    <definedName name="_13__123Graph_BCHART_15" hidden="1">#REF!</definedName>
    <definedName name="_14__123Graph_BCHART_18" hidden="1">#REF!</definedName>
    <definedName name="_15__123Graph_BCHART_20" hidden="1">#REF!</definedName>
    <definedName name="_16__123Graph_BCHART_23" hidden="1">#REF!</definedName>
    <definedName name="_17__123Graph_BCHART_28" hidden="1">#REF!</definedName>
    <definedName name="_18__123Graph_BCHART_29" hidden="1">#REF!</definedName>
    <definedName name="_19__123Graph_BCHART_30" hidden="1">#REF!</definedName>
    <definedName name="_2__123Graph_ACHART_18" hidden="1">#REF!</definedName>
    <definedName name="_2__123Graph_BCHART_1" hidden="1">#REF!</definedName>
    <definedName name="_2__123Graph_BCHART_10" hidden="1">#REF!</definedName>
    <definedName name="_20__123Graph_BCHART_5" hidden="1">#REF!</definedName>
    <definedName name="_21__123Graph_BCHART_6" hidden="1">#REF!</definedName>
    <definedName name="_22__123Graph_BCHART_7" hidden="1">#REF!</definedName>
    <definedName name="_23__123Graph_CCHART_10" hidden="1">#REF!</definedName>
    <definedName name="_24__123Graph_CCHART_13" hidden="1">#REF!</definedName>
    <definedName name="_25__123Graph_CCHART_15" hidden="1">#REF!</definedName>
    <definedName name="_26__123Graph_CCHART_20" hidden="1">#REF!</definedName>
    <definedName name="_27__123Graph_CCHART_23" hidden="1">#REF!</definedName>
    <definedName name="_28__123Graph_CCHART_28" hidden="1">#REF!</definedName>
    <definedName name="_29__123Graph_CCHART_29" hidden="1">#REF!</definedName>
    <definedName name="_3__123Graph_ACHART_20" hidden="1">#REF!</definedName>
    <definedName name="_3__123Graph_BCHART_13" hidden="1">#REF!</definedName>
    <definedName name="_3__123Graph_CCHART_1" hidden="1">#REF!</definedName>
    <definedName name="_30__123Graph_CCHART_30" hidden="1">#REF!</definedName>
    <definedName name="_31__123Graph_CCHART_5" hidden="1">#REF!</definedName>
    <definedName name="_32__123Graph_CCHART_6" hidden="1">#REF!</definedName>
    <definedName name="_33__123Graph_CCHART_7" hidden="1">#REF!</definedName>
    <definedName name="_34__123Graph_XCHART_10" hidden="1">#REF!</definedName>
    <definedName name="_35__123Graph_XCHART_13" hidden="1">#REF!</definedName>
    <definedName name="_36__123Graph_XCHART_15" hidden="1">#REF!</definedName>
    <definedName name="_37__123Graph_XCHART_23" hidden="1">#REF!</definedName>
    <definedName name="_38__123Graph_XCHART_28" hidden="1">#REF!</definedName>
    <definedName name="_39__123Graph_XCHART_29" hidden="1">#REF!</definedName>
    <definedName name="_4__123Graph_ACHART_23" hidden="1">#REF!</definedName>
    <definedName name="_4__123Graph_BCHART_15" hidden="1">#REF!</definedName>
    <definedName name="_4__123Graph_LBL_CCHART_1" hidden="1">#REF!</definedName>
    <definedName name="_40__123Graph_XCHART_30" hidden="1">#REF!</definedName>
    <definedName name="_5__123Graph_ACHART_28" hidden="1">#REF!</definedName>
    <definedName name="_5__123Graph_CCHART_10" hidden="1">#REF!</definedName>
    <definedName name="_5__123Graph_XCHART_1" hidden="1">#REF!</definedName>
    <definedName name="_6__123Graph_ACHART_29" hidden="1">#REF!</definedName>
    <definedName name="_6__123Graph_CCHART_13" hidden="1">#REF!</definedName>
    <definedName name="_7__123Graph_ACHART_30" hidden="1">#REF!</definedName>
    <definedName name="_7__123Graph_CCHART_15" hidden="1">#REF!</definedName>
    <definedName name="_8__123Graph_ACHART_5" hidden="1">#REF!</definedName>
    <definedName name="_8__123Graph_XCHART_10" hidden="1">#REF!</definedName>
    <definedName name="_9__123Graph_ACHART_6" hidden="1">#REF!</definedName>
    <definedName name="_9__123Graph_XCHART_13" hidden="1">#REF!</definedName>
    <definedName name="_bdm.5C43BCF7431342879A9206C542F711FD.edm" hidden="1">#REF!</definedName>
    <definedName name="_Fill" hidden="1">#REF!</definedName>
    <definedName name="_Fill_2" hidden="1">#REF!</definedName>
    <definedName name="_Fill2" hidden="1">#REF!</definedName>
    <definedName name="_xlnm._FilterDatabase" localSheetId="5" hidden="1">end_use_specialty!$A$1:$E$73</definedName>
    <definedName name="_xlnm._FilterDatabase" localSheetId="10" hidden="1">specialty_master!$A$1:$L$291</definedName>
    <definedName name="_xlnm._FilterDatabase" localSheetId="0" hidden="1">supply_value_overall_score!$A$1:$I$96</definedName>
    <definedName name="_Key1" hidden="1">#REF!</definedName>
    <definedName name="_Key1b" hidden="1">#REF!</definedName>
    <definedName name="_Key2" hidden="1">#REF!</definedName>
    <definedName name="_MatMult_A" hidden="1">[1]POLYOLEFINS!#REF!</definedName>
    <definedName name="_MatMult_B" hidden="1">[1]POLYOLEFINS!#REF!</definedName>
    <definedName name="_Order1" hidden="1">255</definedName>
    <definedName name="_Order2" hidden="1">255</definedName>
    <definedName name="_Order2_1" hidden="1">0</definedName>
    <definedName name="_Regression_Int" hidden="1">1</definedName>
    <definedName name="_Regression_Out" hidden="1">#REF!</definedName>
    <definedName name="_Regression_Out_2" hidden="1">#REF!</definedName>
    <definedName name="_Regression_out2" hidden="1">#REF!</definedName>
    <definedName name="_Regression_X" hidden="1">#REF!</definedName>
    <definedName name="_Regression_X2" hidden="1">#REF!</definedName>
    <definedName name="_Regression_Y" hidden="1">#REF!</definedName>
    <definedName name="_Regression_y2" hidden="1">#REF!</definedName>
    <definedName name="_Sort" hidden="1">#REF!</definedName>
    <definedName name="_Sortb" hidden="1">#REF!</definedName>
    <definedName name="a" hidden="1">#REF!</definedName>
    <definedName name="aa" localSheetId="10" hidden="1">{"Gasoline",#N/A,FALSE,"HOUSTON";"GasolineBPD",#N/A,FALSE,"BPD"}</definedName>
    <definedName name="aa" hidden="1">{"Gasoline",#N/A,FALSE,"HOUSTON";"GasolineBPD",#N/A,FALSE,"BPD"}</definedName>
    <definedName name="aa_1" localSheetId="10" hidden="1">{"Gasoline",#N/A,FALSE,"HOUSTON";"GasolineBPD",#N/A,FALSE,"BPD"}</definedName>
    <definedName name="aa_1" hidden="1">{"Gasoline",#N/A,FALSE,"HOUSTON";"GasolineBPD",#N/A,FALSE,"BPD"}</definedName>
    <definedName name="aa_1_1" localSheetId="10" hidden="1">{"Gasoline",#N/A,FALSE,"HOUSTON";"GasolineBPD",#N/A,FALSE,"BPD"}</definedName>
    <definedName name="aa_1_1" hidden="1">{"Gasoline",#N/A,FALSE,"HOUSTON";"GasolineBPD",#N/A,FALSE,"BPD"}</definedName>
    <definedName name="aa_2" localSheetId="10" hidden="1">{"Gasoline",#N/A,FALSE,"HOUSTON";"GasolineBPD",#N/A,FALSE,"BPD"}</definedName>
    <definedName name="aa_2" hidden="1">{"Gasoline",#N/A,FALSE,"HOUSTON";"GasolineBPD",#N/A,FALSE,"BPD"}</definedName>
    <definedName name="aa_2_1" localSheetId="10" hidden="1">{"Gasoline",#N/A,FALSE,"HOUSTON";"GasolineBPD",#N/A,FALSE,"BPD"}</definedName>
    <definedName name="aa_2_1" hidden="1">{"Gasoline",#N/A,FALSE,"HOUSTON";"GasolineBPD",#N/A,FALSE,"BPD"}</definedName>
    <definedName name="ab" localSheetId="10" hidden="1">{"MatBal",#N/A,FALSE,"Houston Matrl Balance"}</definedName>
    <definedName name="ab" hidden="1">{"MatBal",#N/A,FALSE,"Houston Matrl Balance"}</definedName>
    <definedName name="ab_1" localSheetId="10" hidden="1">{"MatBal",#N/A,FALSE,"Houston Matrl Balance"}</definedName>
    <definedName name="ab_1" hidden="1">{"MatBal",#N/A,FALSE,"Houston Matrl Balance"}</definedName>
    <definedName name="ab_1_1" localSheetId="10" hidden="1">{"MatBal",#N/A,FALSE,"Houston Matrl Balance"}</definedName>
    <definedName name="ab_1_1" hidden="1">{"MatBal",#N/A,FALSE,"Houston Matrl Balance"}</definedName>
    <definedName name="ab_2" localSheetId="10" hidden="1">{"MatBal",#N/A,FALSE,"Houston Matrl Balance"}</definedName>
    <definedName name="ab_2" hidden="1">{"MatBal",#N/A,FALSE,"Houston Matrl Balance"}</definedName>
    <definedName name="ab_2_1" localSheetId="10" hidden="1">{"MatBal",#N/A,FALSE,"Houston Matrl Balance"}</definedName>
    <definedName name="ab_2_1" hidden="1">{"MatBal",#N/A,FALSE,"Houston Matrl Balance"}</definedName>
    <definedName name="abc" localSheetId="10" hidden="1">{"japcurrent1",#N/A,FALSE,"JAPAN PRODUCTS";"japcurrent2",#N/A,FALSE,"JAPAN PRODUCTS"}</definedName>
    <definedName name="abc" hidden="1">{"japcurrent1",#N/A,FALSE,"JAPAN PRODUCTS";"japcurrent2",#N/A,FALSE,"JAPAN PRODUCTS"}</definedName>
    <definedName name="abcd" localSheetId="10" hidden="1">{"japcurrent1",#N/A,FALSE,"JAPAN PRODUCTS";"japcurrent2",#N/A,FALSE,"JAPAN PRODUCTS"}</definedName>
    <definedName name="abcd" hidden="1">{"japcurrent1",#N/A,FALSE,"JAPAN PRODUCTS";"japcurrent2",#N/A,FALSE,"JAPAN PRODUCTS"}</definedName>
    <definedName name="ac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1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_1" localSheetId="10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c_2_1" hidden="1">{"Crudes",#N/A,FALSE,"HOUSTON";"Gas Oils",#N/A,FALSE,"HOUSTON";"Gasoline",#N/A,FALSE,"HOUSTON";"GasolineBPD",#N/A,FALSE,"BPD";"Diesel",#N/A,FALSE,"HOUSTON";"DieselBPD",#N/A,FALSE,"BPD";"Fuel Oil",#N/A,FALSE,"HOUSTON";"Fuel Oil BPD",#N/A,FALSE,"BPD";"LPG",#N/A,FALSE,"HOUSTON";"LPGBPD",#N/A,FALSE,"BPD";"MatBal",#N/A,FALSE,"Houston Matrl Balance";"Capacities",#N/A,FALSE,"HOUSTON";"Prices",#N/A,FALSE,"Prices";"StreamProps",#N/A,FALSE,"Stream Props"}</definedName>
    <definedName name="anscount" hidden="1">1</definedName>
    <definedName name="Can_trade" hidden="1">#REF!</definedName>
    <definedName name="CHartA" hidden="1">#REF!</definedName>
    <definedName name="CIQWBGuid" hidden="1">"d5478d2e-4960-4aa9-b51f-b57792b0e820"</definedName>
    <definedName name="CIQWBInfo" hidden="1">"{ ""CIQVersion"":""9.45.614.5792"" }"</definedName>
    <definedName name="Dollars" localSheetId="10" hidden="1">{"japcurrent1",#N/A,FALSE,"JAPAN PRODUCTS";"japcurrent2",#N/A,FALSE,"JAPAN PRODUCTS"}</definedName>
    <definedName name="Dollars" hidden="1">{"japcurrent1",#N/A,FALSE,"JAPAN PRODUCTS";"japcurrent2",#N/A,FALSE,"JAPAN PRODUCTS"}</definedName>
    <definedName name="Dummy" hidden="1">#REF!</definedName>
    <definedName name="Fig4_2" localSheetId="10" hidden="1">{"monthly",#N/A,FALSE,"GASODEM";"qtr to yr",#N/A,FALSE,"GASODEM"}</definedName>
    <definedName name="Fig4_2" hidden="1">{"monthly",#N/A,FALSE,"GASODEM";"qtr to yr",#N/A,FALSE,"GASODEM"}</definedName>
    <definedName name="Fig4_2_1" localSheetId="10" hidden="1">{"monthly",#N/A,FALSE,"GASODEM";"qtr to yr",#N/A,FALSE,"GASODEM"}</definedName>
    <definedName name="Fig4_2_1" hidden="1">{"monthly",#N/A,FALSE,"GASODEM";"qtr to yr",#N/A,FALSE,"GASODEM"}</definedName>
    <definedName name="Fig4_2_1_1" localSheetId="10" hidden="1">{"monthly",#N/A,FALSE,"GASODEM";"qtr to yr",#N/A,FALSE,"GASODEM"}</definedName>
    <definedName name="Fig4_2_1_1" hidden="1">{"monthly",#N/A,FALSE,"GASODEM";"qtr to yr",#N/A,FALSE,"GASODEM"}</definedName>
    <definedName name="Fig4_2_2" localSheetId="10" hidden="1">{"monthly",#N/A,FALSE,"GASODEM";"qtr to yr",#N/A,FALSE,"GASODEM"}</definedName>
    <definedName name="Fig4_2_2" hidden="1">{"monthly",#N/A,FALSE,"GASODEM";"qtr to yr",#N/A,FALSE,"GASODEM"}</definedName>
    <definedName name="Fig4_2_2_1" localSheetId="10" hidden="1">{"monthly",#N/A,FALSE,"GASODEM";"qtr to yr",#N/A,FALSE,"GASODEM"}</definedName>
    <definedName name="Fig4_2_2_1" hidden="1">{"monthly",#N/A,FALSE,"GASODEM";"qtr to yr",#N/A,FALSE,"GASODEM"}</definedName>
    <definedName name="Fill" hidden="1">#REF!</definedName>
    <definedName name="Global_Prices_2" hidden="1">#REF!</definedName>
    <definedName name="graph" localSheetId="10" hidden="1">{"monthly",#N/A,FALSE,"GASODEM";"qtr to yr",#N/A,FALSE,"GASODEM"}</definedName>
    <definedName name="graph" hidden="1">{"monthly",#N/A,FALSE,"GASODEM";"qtr to yr",#N/A,FALSE,"GASODEM"}</definedName>
    <definedName name="graph_1" localSheetId="10" hidden="1">{"monthly",#N/A,FALSE,"GASODEM";"qtr to yr",#N/A,FALSE,"GASODEM"}</definedName>
    <definedName name="graph_1" hidden="1">{"monthly",#N/A,FALSE,"GASODEM";"qtr to yr",#N/A,FALSE,"GASODEM"}</definedName>
    <definedName name="graph_1_1" localSheetId="10" hidden="1">{"monthly",#N/A,FALSE,"GASODEM";"qtr to yr",#N/A,FALSE,"GASODEM"}</definedName>
    <definedName name="graph_1_1" hidden="1">{"monthly",#N/A,FALSE,"GASODEM";"qtr to yr",#N/A,FALSE,"GASODEM"}</definedName>
    <definedName name="graph_2" localSheetId="10" hidden="1">{"monthly",#N/A,FALSE,"GASODEM";"qtr to yr",#N/A,FALSE,"GASODEM"}</definedName>
    <definedName name="graph_2" hidden="1">{"monthly",#N/A,FALSE,"GASODEM";"qtr to yr",#N/A,FALSE,"GASODEM"}</definedName>
    <definedName name="graph_2_1" localSheetId="10" hidden="1">{"monthly",#N/A,FALSE,"GASODEM";"qtr to yr",#N/A,FALSE,"GASODEM"}</definedName>
    <definedName name="graph_2_1" hidden="1">{"monthly",#N/A,FALSE,"GASODEM";"qtr to yr",#N/A,FALSE,"GASODEM"}</definedName>
    <definedName name="HTML_CodePage" hidden="1">1252</definedName>
    <definedName name="HTML_Control" localSheetId="10" hidden="1">{"'Sheet1'!$A$1:$J$121"}</definedName>
    <definedName name="HTML_Control" hidden="1">{"'Sheet1'!$A$1:$J$121"}</definedName>
    <definedName name="HTML_Description" hidden="1">""</definedName>
    <definedName name="HTML_Email" hidden="1">""</definedName>
    <definedName name="HTML_Header" hidden="1">"Sheet1"</definedName>
    <definedName name="HTML_LastUpdate" hidden="1">"10/21/99"</definedName>
    <definedName name="HTML_LineAfter" hidden="1">FALSE</definedName>
    <definedName name="HTML_LineBefore" hidden="1">FALSE</definedName>
    <definedName name="HTML_Name" hidden="1">"Paulette Peoples"</definedName>
    <definedName name="HTML_OBDlg2" hidden="1">TRUE</definedName>
    <definedName name="HTML_OBDlg4" hidden="1">TRUE</definedName>
    <definedName name="HTML_OS" hidden="1">0</definedName>
    <definedName name="HTML_PathFile" hidden="1">"\\Bhincres01\groups\Mkt_Dev\EXECMKTR\RIGS\RigBible\Web NA.htm"</definedName>
    <definedName name="HTML_Title" hidden="1">"Total North America"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 hidden="1">"AUTO"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LL_FEATURE" hidden="1">"c2197"</definedName>
    <definedName name="IQ_CALLABLE" hidden="1">"c2196"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PREMIUM" hidden="1">"c2195"</definedName>
    <definedName name="IQ_CONV_PRICE" hidden="1">"c2193"</definedName>
    <definedName name="IQ_CONV_RATE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XITY" hidden="1">"c2182"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NTM" hidden="1">700000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ACT_OR_EST" hidden="1">"c2213"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INT_DATE" hidden="1">"c2186"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GA_EXP" hidden="1">"c2241"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ROSS_SPRD" hidden="1">"c2155"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_REVENUE_OVER_EMPLOYEES" hidden="1">"c1437"</definedName>
    <definedName name="IQ_LTMMONTH" hidden="1">120000</definedName>
    <definedName name="IQ_MACHINERY" hidden="1">"c711"</definedName>
    <definedName name="IQ_MAINT_REPAIR" hidden="1">"c2087"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MTD" hidden="1">800000</definedName>
    <definedName name="IQ_NAMES_REVISION_DATE_" hidden="1">40504.4285532407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NORMALIZED" hidden="1">"c2207"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TD" hidden="1">750000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REVISION_DATE_" hidden="1">38876.5673726852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TW" hidden="1">"c2166"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EV_UFCF" hidden="1">"c2208"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MONTH" hidden="1">130000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limcount" hidden="1">1</definedName>
    <definedName name="lowsulfurdiesel" localSheetId="10" hidden="1">{"PAGE1",#N/A,FALSE,"YIELDS";"PAGE2",#N/A,FALSE,"YIELDS";"PAGE3",#N/A,FALSE,"YIELDS"}</definedName>
    <definedName name="lowsulfurdiesel" hidden="1">{"PAGE1",#N/A,FALSE,"YIELDS";"PAGE2",#N/A,FALSE,"YIELDS";"PAGE3",#N/A,FALSE,"YIELDS"}</definedName>
    <definedName name="lowsulfurdiesel_1" localSheetId="10" hidden="1">{"PAGE1",#N/A,FALSE,"YIELDS";"PAGE2",#N/A,FALSE,"YIELDS";"PAGE3",#N/A,FALSE,"YIELDS"}</definedName>
    <definedName name="lowsulfurdiesel_1" hidden="1">{"PAGE1",#N/A,FALSE,"YIELDS";"PAGE2",#N/A,FALSE,"YIELDS";"PAGE3",#N/A,FALSE,"YIELDS"}</definedName>
    <definedName name="lowsulfurdiesel_1_1" localSheetId="10" hidden="1">{"PAGE1",#N/A,FALSE,"YIELDS";"PAGE2",#N/A,FALSE,"YIELDS";"PAGE3",#N/A,FALSE,"YIELDS"}</definedName>
    <definedName name="lowsulfurdiesel_1_1" hidden="1">{"PAGE1",#N/A,FALSE,"YIELDS";"PAGE2",#N/A,FALSE,"YIELDS";"PAGE3",#N/A,FALSE,"YIELDS"}</definedName>
    <definedName name="lowsulfurdiesel_2" localSheetId="10" hidden="1">{"PAGE1",#N/A,FALSE,"YIELDS";"PAGE2",#N/A,FALSE,"YIELDS";"PAGE3",#N/A,FALSE,"YIELDS"}</definedName>
    <definedName name="lowsulfurdiesel_2" hidden="1">{"PAGE1",#N/A,FALSE,"YIELDS";"PAGE2",#N/A,FALSE,"YIELDS";"PAGE3",#N/A,FALSE,"YIELDS"}</definedName>
    <definedName name="lowsulfurdiesel_2_1" localSheetId="10" hidden="1">{"PAGE1",#N/A,FALSE,"YIELDS";"PAGE2",#N/A,FALSE,"YIELDS";"PAGE3",#N/A,FALSE,"YIELDS"}</definedName>
    <definedName name="lowsulfurdiesel_2_1" hidden="1">{"PAGE1",#N/A,FALSE,"YIELDS";"PAGE2",#N/A,FALSE,"YIELDS";"PAGE3",#N/A,FALSE,"YIELDS"}</definedName>
    <definedName name="lowsulphurdiesel" localSheetId="10" hidden="1">{"PAGE1",#N/A,FALSE,"YIELDS";"PAGE2",#N/A,FALSE,"YIELDS";"PAGE3",#N/A,FALSE,"YIELDS"}</definedName>
    <definedName name="lowsulphurdiesel" hidden="1">{"PAGE1",#N/A,FALSE,"YIELDS";"PAGE2",#N/A,FALSE,"YIELDS";"PAGE3",#N/A,FALSE,"YIELDS"}</definedName>
    <definedName name="lowsulphurdiesel_1" localSheetId="10" hidden="1">{"PAGE1",#N/A,FALSE,"YIELDS";"PAGE2",#N/A,FALSE,"YIELDS";"PAGE3",#N/A,FALSE,"YIELDS"}</definedName>
    <definedName name="lowsulphurdiesel_1" hidden="1">{"PAGE1",#N/A,FALSE,"YIELDS";"PAGE2",#N/A,FALSE,"YIELDS";"PAGE3",#N/A,FALSE,"YIELDS"}</definedName>
    <definedName name="lowsulphurdiesel_1_1" localSheetId="10" hidden="1">{"PAGE1",#N/A,FALSE,"YIELDS";"PAGE2",#N/A,FALSE,"YIELDS";"PAGE3",#N/A,FALSE,"YIELDS"}</definedName>
    <definedName name="lowsulphurdiesel_1_1" hidden="1">{"PAGE1",#N/A,FALSE,"YIELDS";"PAGE2",#N/A,FALSE,"YIELDS";"PAGE3",#N/A,FALSE,"YIELDS"}</definedName>
    <definedName name="lowsulphurdiesel_2" localSheetId="10" hidden="1">{"PAGE1",#N/A,FALSE,"YIELDS";"PAGE2",#N/A,FALSE,"YIELDS";"PAGE3",#N/A,FALSE,"YIELDS"}</definedName>
    <definedName name="lowsulphurdiesel_2" hidden="1">{"PAGE1",#N/A,FALSE,"YIELDS";"PAGE2",#N/A,FALSE,"YIELDS";"PAGE3",#N/A,FALSE,"YIELDS"}</definedName>
    <definedName name="lowsulphurdiesel_2_1" localSheetId="10" hidden="1">{"PAGE1",#N/A,FALSE,"YIELDS";"PAGE2",#N/A,FALSE,"YIELDS";"PAGE3",#N/A,FALSE,"YIELDS"}</definedName>
    <definedName name="lowsulphurdiesel_2_1" hidden="1">{"PAGE1",#N/A,FALSE,"YIELDS";"PAGE2",#N/A,FALSE,"YIELDS";"PAGE3",#N/A,FALSE,"YIELDS"}</definedName>
    <definedName name="Mx_cons" hidden="1">#REF!</definedName>
    <definedName name="mx_cons_2" hidden="1">#REF!</definedName>
    <definedName name="new" localSheetId="10" hidden="1">{"japlpg1",#N/A,FALSE,"JAPAN LPG ";"japllpg2",#N/A,FALSE,"JAPAN LPG "}</definedName>
    <definedName name="new" hidden="1">{"japlpg1",#N/A,FALSE,"JAPAN LPG ";"japllpg2",#N/A,FALSE,"JAPAN LPG "}</definedName>
    <definedName name="NN" hidden="1">#REF!</definedName>
    <definedName name="nnnn" hidden="1">#REF!</definedName>
    <definedName name="North_America" hidden="1">#REF!</definedName>
    <definedName name="pooh" localSheetId="10" hidden="1">{"PAGE1",#N/A,FALSE,"YIELDS";"PAGE2",#N/A,FALSE,"YIELDS";"PAGE3",#N/A,FALSE,"YIELDS"}</definedName>
    <definedName name="pooh" hidden="1">{"PAGE1",#N/A,FALSE,"YIELDS";"PAGE2",#N/A,FALSE,"YIELDS";"PAGE3",#N/A,FALSE,"YIELDS"}</definedName>
    <definedName name="SAPBEXrevision" hidden="1">1</definedName>
    <definedName name="SAPBEXsysID" hidden="1">"BWP"</definedName>
    <definedName name="SAPBEXwbID" hidden="1">"3MZNM3C23R632FL2DM4ZHU39I"</definedName>
    <definedName name="sd" localSheetId="10" hidden="1">{"PAGE1",#N/A,FALSE,"YIELDS";"PAGE2",#N/A,FALSE,"YIELDS";"PAGE3",#N/A,FALSE,"YIELDS"}</definedName>
    <definedName name="sd" hidden="1">{"PAGE1",#N/A,FALSE,"YIELDS";"PAGE2",#N/A,FALSE,"YIELDS";"PAGE3",#N/A,FALSE,"YIELDS"}</definedName>
    <definedName name="sd_1" localSheetId="10" hidden="1">{"PAGE1",#N/A,FALSE,"YIELDS";"PAGE2",#N/A,FALSE,"YIELDS";"PAGE3",#N/A,FALSE,"YIELDS"}</definedName>
    <definedName name="sd_1" hidden="1">{"PAGE1",#N/A,FALSE,"YIELDS";"PAGE2",#N/A,FALSE,"YIELDS";"PAGE3",#N/A,FALSE,"YIELDS"}</definedName>
    <definedName name="sd_1_1" localSheetId="10" hidden="1">{"PAGE1",#N/A,FALSE,"YIELDS";"PAGE2",#N/A,FALSE,"YIELDS";"PAGE3",#N/A,FALSE,"YIELDS"}</definedName>
    <definedName name="sd_1_1" hidden="1">{"PAGE1",#N/A,FALSE,"YIELDS";"PAGE2",#N/A,FALSE,"YIELDS";"PAGE3",#N/A,FALSE,"YIELDS"}</definedName>
    <definedName name="sd_2" localSheetId="10" hidden="1">{"PAGE1",#N/A,FALSE,"YIELDS";"PAGE2",#N/A,FALSE,"YIELDS";"PAGE3",#N/A,FALSE,"YIELDS"}</definedName>
    <definedName name="sd_2" hidden="1">{"PAGE1",#N/A,FALSE,"YIELDS";"PAGE2",#N/A,FALSE,"YIELDS";"PAGE3",#N/A,FALSE,"YIELDS"}</definedName>
    <definedName name="sd_2_1" localSheetId="10" hidden="1">{"PAGE1",#N/A,FALSE,"YIELDS";"PAGE2",#N/A,FALSE,"YIELDS";"PAGE3",#N/A,FALSE,"YIELDS"}</definedName>
    <definedName name="sd_2_1" hidden="1">{"PAGE1",#N/A,FALSE,"YIELDS";"PAGE2",#N/A,FALSE,"YIELDS";"PAGE3",#N/A,FALSE,"YIELDS"}</definedName>
    <definedName name="sencount" hidden="1">1</definedName>
    <definedName name="sha" hidden="1">#REF!</definedName>
    <definedName name="Sportsman" hidden="1">#REF!</definedName>
    <definedName name="steven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steven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able_Summary" localSheetId="10" hidden="1">{"PAGE1",#N/A,FALSE,"YIELDS";"PAGE2",#N/A,FALSE,"YIELDS";"PAGE3",#N/A,FALSE,"YIELDS"}</definedName>
    <definedName name="Table_Summary" hidden="1">{"PAGE1",#N/A,FALSE,"YIELDS";"PAGE2",#N/A,FALSE,"YIELDS";"PAGE3",#N/A,FALSE,"YIELDS"}</definedName>
    <definedName name="Table_Summary_1" localSheetId="10" hidden="1">{"PAGE1",#N/A,FALSE,"YIELDS";"PAGE2",#N/A,FALSE,"YIELDS";"PAGE3",#N/A,FALSE,"YIELDS"}</definedName>
    <definedName name="Table_Summary_1" hidden="1">{"PAGE1",#N/A,FALSE,"YIELDS";"PAGE2",#N/A,FALSE,"YIELDS";"PAGE3",#N/A,FALSE,"YIELDS"}</definedName>
    <definedName name="Table_Summary_1_1" localSheetId="10" hidden="1">{"PAGE1",#N/A,FALSE,"YIELDS";"PAGE2",#N/A,FALSE,"YIELDS";"PAGE3",#N/A,FALSE,"YIELDS"}</definedName>
    <definedName name="Table_Summary_1_1" hidden="1">{"PAGE1",#N/A,FALSE,"YIELDS";"PAGE2",#N/A,FALSE,"YIELDS";"PAGE3",#N/A,FALSE,"YIELDS"}</definedName>
    <definedName name="Table_Summary_2" localSheetId="10" hidden="1">{"PAGE1",#N/A,FALSE,"YIELDS";"PAGE2",#N/A,FALSE,"YIELDS";"PAGE3",#N/A,FALSE,"YIELDS"}</definedName>
    <definedName name="Table_Summary_2" hidden="1">{"PAGE1",#N/A,FALSE,"YIELDS";"PAGE2",#N/A,FALSE,"YIELDS";"PAGE3",#N/A,FALSE,"YIELDS"}</definedName>
    <definedName name="Table_Summary_2_1" localSheetId="10" hidden="1">{"PAGE1",#N/A,FALSE,"YIELDS";"PAGE2",#N/A,FALSE,"YIELDS";"PAGE3",#N/A,FALSE,"YIELDS"}</definedName>
    <definedName name="Table_Summary_2_1" hidden="1">{"PAGE1",#N/A,FALSE,"YIELDS";"PAGE2",#N/A,FALSE,"YIELDS";"PAGE3",#N/A,FALSE,"YIELDS"}</definedName>
    <definedName name="tagggg" hidden="1">#REF!</definedName>
    <definedName name="TAX" localSheetId="10" hidden="1">{"japcurrent1",#N/A,FALSE,"JAPAN PRODUCTS";"japcurrent2",#N/A,FALSE,"JAPAN PRODUCTS"}</definedName>
    <definedName name="TAX" hidden="1">{"japcurrent1",#N/A,FALSE,"JAPAN PRODUCTS";"japcurrent2",#N/A,FALSE,"JAPAN PRODUCTS"}</definedName>
    <definedName name="test" localSheetId="10" hidden="1">{"PAGE1",#N/A,FALSE,"YIELDS";"PAGE2",#N/A,FALSE,"YIELDS";"PAGE3",#N/A,FALSE,"YIELDS"}</definedName>
    <definedName name="test" hidden="1">{"PAGE1",#N/A,FALSE,"YIELDS";"PAGE2",#N/A,FALSE,"YIELDS";"PAGE3",#N/A,FALSE,"YIELDS"}</definedName>
    <definedName name="test.4" localSheetId="10" hidden="1">{"Padd I to III",#N/A,FALSE,"REFINERY";"Padd IV to US",#N/A,FALSE,"REFINERY";"Crude Balance I",#N/A,FALSE,"REFINERY";"Crude Balance II",#N/A,FALSE,"REFINERY"}</definedName>
    <definedName name="test.4" hidden="1">{"Padd I to III",#N/A,FALSE,"REFINERY";"Padd IV to US",#N/A,FALSE,"REFINERY";"Crude Balance I",#N/A,FALSE,"REFINERY";"Crude Balance II",#N/A,FALSE,"REFINERY"}</definedName>
    <definedName name="test.4_1" localSheetId="10" hidden="1">{"Padd I to III",#N/A,FALSE,"REFINERY";"Padd IV to US",#N/A,FALSE,"REFINERY";"Crude Balance I",#N/A,FALSE,"REFINERY";"Crude Balance II",#N/A,FALSE,"REFINERY"}</definedName>
    <definedName name="test.4_1" hidden="1">{"Padd I to III",#N/A,FALSE,"REFINERY";"Padd IV to US",#N/A,FALSE,"REFINERY";"Crude Balance I",#N/A,FALSE,"REFINERY";"Crude Balance II",#N/A,FALSE,"REFINERY"}</definedName>
    <definedName name="test.4_1_1" localSheetId="10" hidden="1">{"Padd I to III",#N/A,FALSE,"REFINERY";"Padd IV to US",#N/A,FALSE,"REFINERY";"Crude Balance I",#N/A,FALSE,"REFINERY";"Crude Balance II",#N/A,FALSE,"REFINERY"}</definedName>
    <definedName name="test.4_1_1" hidden="1">{"Padd I to III",#N/A,FALSE,"REFINERY";"Padd IV to US",#N/A,FALSE,"REFINERY";"Crude Balance I",#N/A,FALSE,"REFINERY";"Crude Balance II",#N/A,FALSE,"REFINERY"}</definedName>
    <definedName name="test.4_2" localSheetId="10" hidden="1">{"Padd I to III",#N/A,FALSE,"REFINERY";"Padd IV to US",#N/A,FALSE,"REFINERY";"Crude Balance I",#N/A,FALSE,"REFINERY";"Crude Balance II",#N/A,FALSE,"REFINERY"}</definedName>
    <definedName name="test.4_2" hidden="1">{"Padd I to III",#N/A,FALSE,"REFINERY";"Padd IV to US",#N/A,FALSE,"REFINERY";"Crude Balance I",#N/A,FALSE,"REFINERY";"Crude Balance II",#N/A,FALSE,"REFINERY"}</definedName>
    <definedName name="test.4_2_1" localSheetId="10" hidden="1">{"Padd I to III",#N/A,FALSE,"REFINERY";"Padd IV to US",#N/A,FALSE,"REFINERY";"Crude Balance I",#N/A,FALSE,"REFINERY";"Crude Balance II",#N/A,FALSE,"REFINERY"}</definedName>
    <definedName name="test.4_2_1" hidden="1">{"Padd I to III",#N/A,FALSE,"REFINERY";"Padd IV to US",#N/A,FALSE,"REFINERY";"Crude Balance I",#N/A,FALSE,"REFINERY";"Crude Balance II",#N/A,FALSE,"REFINERY"}</definedName>
    <definedName name="test.all" localSheetId="10" hidden="1">{"PAGE1",#N/A,FALSE,"YIELDS";"PAGE2",#N/A,FALSE,"YIELDS";"PAGE3",#N/A,FALSE,"YIELDS"}</definedName>
    <definedName name="test.all" hidden="1">{"PAGE1",#N/A,FALSE,"YIELDS";"PAGE2",#N/A,FALSE,"YIELDS";"PAGE3",#N/A,FALSE,"YIELDS"}</definedName>
    <definedName name="test.all_1" localSheetId="10" hidden="1">{"PAGE1",#N/A,FALSE,"YIELDS";"PAGE2",#N/A,FALSE,"YIELDS";"PAGE3",#N/A,FALSE,"YIELDS"}</definedName>
    <definedName name="test.all_1" hidden="1">{"PAGE1",#N/A,FALSE,"YIELDS";"PAGE2",#N/A,FALSE,"YIELDS";"PAGE3",#N/A,FALSE,"YIELDS"}</definedName>
    <definedName name="test.all_1_1" localSheetId="10" hidden="1">{"PAGE1",#N/A,FALSE,"YIELDS";"PAGE2",#N/A,FALSE,"YIELDS";"PAGE3",#N/A,FALSE,"YIELDS"}</definedName>
    <definedName name="test.all_1_1" hidden="1">{"PAGE1",#N/A,FALSE,"YIELDS";"PAGE2",#N/A,FALSE,"YIELDS";"PAGE3",#N/A,FALSE,"YIELDS"}</definedName>
    <definedName name="test.all_2" localSheetId="10" hidden="1">{"PAGE1",#N/A,FALSE,"YIELDS";"PAGE2",#N/A,FALSE,"YIELDS";"PAGE3",#N/A,FALSE,"YIELDS"}</definedName>
    <definedName name="test.all_2" hidden="1">{"PAGE1",#N/A,FALSE,"YIELDS";"PAGE2",#N/A,FALSE,"YIELDS";"PAGE3",#N/A,FALSE,"YIELDS"}</definedName>
    <definedName name="test.all_2_1" localSheetId="10" hidden="1">{"PAGE1",#N/A,FALSE,"YIELDS";"PAGE2",#N/A,FALSE,"YIELDS";"PAGE3",#N/A,FALSE,"YIELDS"}</definedName>
    <definedName name="test.all_2_1" hidden="1">{"PAGE1",#N/A,FALSE,"YIELDS";"PAGE2",#N/A,FALSE,"YIELDS";"PAGE3",#N/A,FALSE,"YIELDS"}</definedName>
    <definedName name="test_1" localSheetId="10" hidden="1">{"PAGE1",#N/A,FALSE,"YIELDS";"PAGE2",#N/A,FALSE,"YIELDS";"PAGE3",#N/A,FALSE,"YIELDS"}</definedName>
    <definedName name="test_1" hidden="1">{"PAGE1",#N/A,FALSE,"YIELDS";"PAGE2",#N/A,FALSE,"YIELDS";"PAGE3",#N/A,FALSE,"YIELDS"}</definedName>
    <definedName name="test_1_1" localSheetId="10" hidden="1">{"PAGE1",#N/A,FALSE,"YIELDS";"PAGE2",#N/A,FALSE,"YIELDS";"PAGE3",#N/A,FALSE,"YIELDS"}</definedName>
    <definedName name="test_1_1" hidden="1">{"PAGE1",#N/A,FALSE,"YIELDS";"PAGE2",#N/A,FALSE,"YIELDS";"PAGE3",#N/A,FALSE,"YIELDS"}</definedName>
    <definedName name="test_2" localSheetId="10" hidden="1">{"PAGE1",#N/A,FALSE,"YIELDS";"PAGE2",#N/A,FALSE,"YIELDS";"PAGE3",#N/A,FALSE,"YIELDS"}</definedName>
    <definedName name="test_2" hidden="1">{"PAGE1",#N/A,FALSE,"YIELDS";"PAGE2",#N/A,FALSE,"YIELDS";"PAGE3",#N/A,FALSE,"YIELDS"}</definedName>
    <definedName name="test_2_1" localSheetId="10" hidden="1">{"PAGE1",#N/A,FALSE,"YIELDS";"PAGE2",#N/A,FALSE,"YIELDS";"PAGE3",#N/A,FALSE,"YIELDS"}</definedName>
    <definedName name="test_2_1" hidden="1">{"PAGE1",#N/A,FALSE,"YIELDS";"PAGE2",#N/A,FALSE,"YIELDS";"PAGE3",#N/A,FALSE,"YIELDS"}</definedName>
    <definedName name="test3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3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test5" localSheetId="10" hidden="1">{"Current",#N/A,FALSE,"Currentcal";"Current B",#N/A,FALSE,"Currentcal";"Constant",#N/A,FALSE,"Constantcal";"Constant B",#N/A,FALSE,"Constantcal"}</definedName>
    <definedName name="test5" hidden="1">{"Current",#N/A,FALSE,"Currentcal";"Current B",#N/A,FALSE,"Currentcal";"Constant",#N/A,FALSE,"Constantcal";"Constant B",#N/A,FALSE,"Constantcal"}</definedName>
    <definedName name="test5_1" localSheetId="10" hidden="1">{"Current",#N/A,FALSE,"Currentcal";"Current B",#N/A,FALSE,"Currentcal";"Constant",#N/A,FALSE,"Constantcal";"Constant B",#N/A,FALSE,"Constantcal"}</definedName>
    <definedName name="test5_1" hidden="1">{"Current",#N/A,FALSE,"Currentcal";"Current B",#N/A,FALSE,"Currentcal";"Constant",#N/A,FALSE,"Constantcal";"Constant B",#N/A,FALSE,"Constantcal"}</definedName>
    <definedName name="test5_1_1" localSheetId="10" hidden="1">{"Current",#N/A,FALSE,"Currentcal";"Current B",#N/A,FALSE,"Currentcal";"Constant",#N/A,FALSE,"Constantcal";"Constant B",#N/A,FALSE,"Constantcal"}</definedName>
    <definedName name="test5_1_1" hidden="1">{"Current",#N/A,FALSE,"Currentcal";"Current B",#N/A,FALSE,"Currentcal";"Constant",#N/A,FALSE,"Constantcal";"Constant B",#N/A,FALSE,"Constantcal"}</definedName>
    <definedName name="test5_2" localSheetId="10" hidden="1">{"Current",#N/A,FALSE,"Currentcal";"Current B",#N/A,FALSE,"Currentcal";"Constant",#N/A,FALSE,"Constantcal";"Constant B",#N/A,FALSE,"Constantcal"}</definedName>
    <definedName name="test5_2" hidden="1">{"Current",#N/A,FALSE,"Currentcal";"Current B",#N/A,FALSE,"Currentcal";"Constant",#N/A,FALSE,"Constantcal";"Constant B",#N/A,FALSE,"Constantcal"}</definedName>
    <definedName name="test5_2_1" localSheetId="10" hidden="1">{"Current",#N/A,FALSE,"Currentcal";"Current B",#N/A,FALSE,"Currentcal";"Constant",#N/A,FALSE,"Constantcal";"Constant B",#N/A,FALSE,"Constantcal"}</definedName>
    <definedName name="test5_2_1" hidden="1">{"Current",#N/A,FALSE,"Currentcal";"Current B",#N/A,FALSE,"Currentcal";"Constant",#N/A,FALSE,"Constantcal";"Constant B",#N/A,FALSE,"Constantcal"}</definedName>
    <definedName name="three" localSheetId="10" hidden="1">{"midlpg1",#N/A,FALSE,"MIDEAST LPG";"midlpg2",#N/A,FALSE,"MIDEAST LPG"}</definedName>
    <definedName name="three" hidden="1">{"midlpg1",#N/A,FALSE,"MIDEAST LPG";"midlpg2",#N/A,FALSE,"MIDEAST LPG"}</definedName>
    <definedName name="three2" localSheetId="10" hidden="1">{"midlpg1",#N/A,FALSE,"MIDEAST LPG";"midlpg2",#N/A,FALSE,"MIDEAST LPG"}</definedName>
    <definedName name="three2" hidden="1">{"midlpg1",#N/A,FALSE,"MIDEAST LPG";"midlpg2",#N/A,FALSE,"MIDEAST LPG"}</definedName>
    <definedName name="time" localSheetId="10" hidden="1">{"japcurrent1",#N/A,FALSE,"JAPAN PRODUCTS";"japcurrent2",#N/A,FALSE,"JAPAN PRODUCTS"}</definedName>
    <definedName name="time" hidden="1">{"japcurrent1",#N/A,FALSE,"JAPAN PRODUCTS";"japcurrent2",#N/A,FALSE,"JAPAN PRODUCTS"}</definedName>
    <definedName name="two" localSheetId="10" hidden="1">{"japlpg1",#N/A,FALSE,"JAPAN LPG ";"japllpg2",#N/A,FALSE,"JAPAN LPG "}</definedName>
    <definedName name="two" hidden="1">{"japlpg1",#N/A,FALSE,"JAPAN LPG ";"japllpg2",#N/A,FALSE,"JAPAN LPG 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wrn.all" localSheetId="10" hidden="1">{"PAGE1",#N/A,FALSE,"YIELDS";"PAGE2",#N/A,FALSE,"YIELDS";"PAGE3",#N/A,FALSE,"YIELDS"}</definedName>
    <definedName name="wrn.all" hidden="1">{"PAGE1",#N/A,FALSE,"YIELDS";"PAGE2",#N/A,FALSE,"YIELDS";"PAGE3",#N/A,FALSE,"YIELDS"}</definedName>
    <definedName name="wrn.ALL." localSheetId="10" hidden="1">{"PAGE1",#N/A,FALSE,"YIELDS";"PAGE2",#N/A,FALSE,"YIELDS";"PAGE3",#N/A,FALSE,"YIELDS"}</definedName>
    <definedName name="wrn.ALL." hidden="1">{"PAGE1",#N/A,FALSE,"YIELDS";"PAGE2",#N/A,FALSE,"YIELDS";"PAGE3",#N/A,FALSE,"YIELDS"}</definedName>
    <definedName name="wrn.ALL._1" localSheetId="10" hidden="1">{"PAGE1",#N/A,FALSE,"YIELDS";"PAGE2",#N/A,FALSE,"YIELDS";"PAGE3",#N/A,FALSE,"YIELDS"}</definedName>
    <definedName name="wrn.ALL._1" hidden="1">{"PAGE1",#N/A,FALSE,"YIELDS";"PAGE2",#N/A,FALSE,"YIELDS";"PAGE3",#N/A,FALSE,"YIELDS"}</definedName>
    <definedName name="wrn.ALL._1_1" localSheetId="10" hidden="1">{"PAGE1",#N/A,FALSE,"YIELDS";"PAGE2",#N/A,FALSE,"YIELDS";"PAGE3",#N/A,FALSE,"YIELDS"}</definedName>
    <definedName name="wrn.ALL._1_1" hidden="1">{"PAGE1",#N/A,FALSE,"YIELDS";"PAGE2",#N/A,FALSE,"YIELDS";"PAGE3",#N/A,FALSE,"YIELDS"}</definedName>
    <definedName name="wrn.ALL._2" localSheetId="10" hidden="1">{"PAGE1",#N/A,FALSE,"YIELDS";"PAGE2",#N/A,FALSE,"YIELDS";"PAGE3",#N/A,FALSE,"YIELDS"}</definedName>
    <definedName name="wrn.ALL._2" hidden="1">{"PAGE1",#N/A,FALSE,"YIELDS";"PAGE2",#N/A,FALSE,"YIELDS";"PAGE3",#N/A,FALSE,"YIELDS"}</definedName>
    <definedName name="wrn.ALL._2_1" localSheetId="10" hidden="1">{"PAGE1",#N/A,FALSE,"YIELDS";"PAGE2",#N/A,FALSE,"YIELDS";"PAGE3",#N/A,FALSE,"YIELDS"}</definedName>
    <definedName name="wrn.ALL._2_1" hidden="1">{"PAGE1",#N/A,FALSE,"YIELDS";"PAGE2",#N/A,FALSE,"YIELDS";"PAGE3",#N/A,FALSE,"YIELDS"}</definedName>
    <definedName name="wrn.C4._.BDE._.Supplement._.Trade." localSheetId="10" hidden="1">{"ExpTonsWE9698",#N/A,FALSE,"U.S. BDE Exp (Tons)WE abv";"ExpTonsWE9598",#N/A,FALSE,"U.S. BDE Exp (Tons)WE abv";"ExpLbsWE9698",#N/A,FALSE,"U.S. BDE Exp (Pounds)WE abv";"ExpLbsWE9598",#N/A,FALSE,"U.S. BDE Exp (Pounds)WE abv";"ImpTonsWE9698",#N/A,FALSE,"U.S. BDE Imp (Tons)WE abv";"ImpTonsWE9598",#N/A,FALSE,"U.S. BDE Imp (Tons)WE abv";"ImpLbsWE9698",#N/A,FALSE,"U.S. BDE Imp (Tons)WE abv";"ImpLbsWE9598",#N/A,FALSE,"U.S. BDE Imp (Tons)WE abv"}</definedName>
    <definedName name="wrn.C4._.BDE._.Supplement._.Trade." hidden="1">{"ExpTonsWE9698",#N/A,FALSE,"U.S. BDE Exp (Tons)WE abv";"ExpTonsWE9598",#N/A,FALSE,"U.S. BDE Exp (Tons)WE abv";"ExpLbsWE9698",#N/A,FALSE,"U.S. BDE Exp (Pounds)WE abv";"ExpLbsWE9598",#N/A,FALSE,"U.S. BDE Exp (Pounds)WE abv";"ImpTonsWE9698",#N/A,FALSE,"U.S. BDE Imp (Tons)WE abv";"ImpTonsWE9598",#N/A,FALSE,"U.S. BDE Imp (Tons)WE abv";"ImpLbsWE9698",#N/A,FALSE,"U.S. BDE Imp (Tons)WE abv";"ImpLbsWE9598",#N/A,FALSE,"U.S. BDE Imp (Tons)WE abv"}</definedName>
    <definedName name="wrn.charts." localSheetId="10" hidden="1">{"newyork",#N/A,FALSE,"Plots-Annually";"florida",#N/A,FALSE,"Plots-Annually"}</definedName>
    <definedName name="wrn.charts." hidden="1">{"newyork",#N/A,FALSE,"Plots-Annually";"florida",#N/A,FALSE,"Plots-Annually"}</definedName>
    <definedName name="wrn.charts._1" localSheetId="10" hidden="1">{"newyork",#N/A,FALSE,"Plots-Annually";"florida",#N/A,FALSE,"Plots-Annually"}</definedName>
    <definedName name="wrn.charts._1" hidden="1">{"newyork",#N/A,FALSE,"Plots-Annually";"florida",#N/A,FALSE,"Plots-Annually"}</definedName>
    <definedName name="wrn.charts._1_1" localSheetId="10" hidden="1">{"newyork",#N/A,FALSE,"Plots-Annually";"florida",#N/A,FALSE,"Plots-Annually"}</definedName>
    <definedName name="wrn.charts._1_1" hidden="1">{"newyork",#N/A,FALSE,"Plots-Annually";"florida",#N/A,FALSE,"Plots-Annually"}</definedName>
    <definedName name="wrn.charts._2" localSheetId="10" hidden="1">{"newyork",#N/A,FALSE,"Plots-Annually";"florida",#N/A,FALSE,"Plots-Annually"}</definedName>
    <definedName name="wrn.charts._2" hidden="1">{"newyork",#N/A,FALSE,"Plots-Annually";"florida",#N/A,FALSE,"Plots-Annually"}</definedName>
    <definedName name="wrn.charts._2_1" localSheetId="10" hidden="1">{"newyork",#N/A,FALSE,"Plots-Annually";"florida",#N/A,FALSE,"Plots-Annually"}</definedName>
    <definedName name="wrn.charts._2_1" hidden="1">{"newyork",#N/A,FALSE,"Plots-Annually";"florida",#N/A,FALSE,"Plots-Annually"}</definedName>
    <definedName name="wrn.condensate." localSheetId="10" hidden="1">{"condensate",#N/A,FALSE,"CNTRYTYPE"}</definedName>
    <definedName name="wrn.condensate." hidden="1">{"condensate",#N/A,FALSE,"CNTRYTYPE"}</definedName>
    <definedName name="wrn.condensate._1" localSheetId="10" hidden="1">{"condensate",#N/A,FALSE,"CNTRYTYPE"}</definedName>
    <definedName name="wrn.condensate._1" hidden="1">{"condensate",#N/A,FALSE,"CNTRYTYPE"}</definedName>
    <definedName name="wrn.condensate._1_1" localSheetId="10" hidden="1">{"condensate",#N/A,FALSE,"CNTRYTYPE"}</definedName>
    <definedName name="wrn.condensate._1_1" hidden="1">{"condensate",#N/A,FALSE,"CNTRYTYPE"}</definedName>
    <definedName name="wrn.condensate._2" localSheetId="10" hidden="1">{"condensate",#N/A,FALSE,"CNTRYTYPE"}</definedName>
    <definedName name="wrn.condensate._2" hidden="1">{"condensate",#N/A,FALSE,"CNTRYTYPE"}</definedName>
    <definedName name="wrn.condensate._2_1" localSheetId="10" hidden="1">{"condensate",#N/A,FALSE,"CNTRYTYPE"}</definedName>
    <definedName name="wrn.condensate._2_1" hidden="1">{"condensate",#N/A,FALSE,"CNTRYTYPE"}</definedName>
    <definedName name="wrn.crude." localSheetId="10" hidden="1">{"current1",#N/A,FALSE,"CRUDE";"current2",#N/A,FALSE,"CRUDE";"CONSTANT",#N/A,FALSE,"CRUDE"}</definedName>
    <definedName name="wrn.crude." hidden="1">{"current1",#N/A,FALSE,"CRUDE";"current2",#N/A,FALSE,"CRUDE";"CONSTANT",#N/A,FALSE,"CRUDE"}</definedName>
    <definedName name="wrn.crude._1" localSheetId="10" hidden="1">{"Padd1crd",#N/A,FALSE,"REFINERY";"padd2crd",#N/A,FALSE,"REFINERY";"padd3crd",#N/A,FALSE,"REFINERY";"padd4crd",#N/A,FALSE,"REFINERY";"padd5crd",#N/A,FALSE,"REFINERY"}</definedName>
    <definedName name="wrn.crude._1" hidden="1">{"Padd1crd",#N/A,FALSE,"REFINERY";"padd2crd",#N/A,FALSE,"REFINERY";"padd3crd",#N/A,FALSE,"REFINERY";"padd4crd",#N/A,FALSE,"REFINERY";"padd5crd",#N/A,FALSE,"REFINERY"}</definedName>
    <definedName name="wrn.crude._1_1" localSheetId="10" hidden="1">{"Padd1crd",#N/A,FALSE,"REFINERY";"padd2crd",#N/A,FALSE,"REFINERY";"padd3crd",#N/A,FALSE,"REFINERY";"padd4crd",#N/A,FALSE,"REFINERY";"padd5crd",#N/A,FALSE,"REFINERY"}</definedName>
    <definedName name="wrn.crude._1_1" hidden="1">{"Padd1crd",#N/A,FALSE,"REFINERY";"padd2crd",#N/A,FALSE,"REFINERY";"padd3crd",#N/A,FALSE,"REFINERY";"padd4crd",#N/A,FALSE,"REFINERY";"padd5crd",#N/A,FALSE,"REFINERY"}</definedName>
    <definedName name="wrn.crude._2" localSheetId="10" hidden="1">{"Padd1crd",#N/A,FALSE,"REFINERY";"padd2crd",#N/A,FALSE,"REFINERY";"padd3crd",#N/A,FALSE,"REFINERY";"padd4crd",#N/A,FALSE,"REFINERY";"padd5crd",#N/A,FALSE,"REFINERY"}</definedName>
    <definedName name="wrn.crude._2" hidden="1">{"Padd1crd",#N/A,FALSE,"REFINERY";"padd2crd",#N/A,FALSE,"REFINERY";"padd3crd",#N/A,FALSE,"REFINERY";"padd4crd",#N/A,FALSE,"REFINERY";"padd5crd",#N/A,FALSE,"REFINERY"}</definedName>
    <definedName name="wrn.crude._2_1" localSheetId="10" hidden="1">{"Padd1crd",#N/A,FALSE,"REFINERY";"padd2crd",#N/A,FALSE,"REFINERY";"padd3crd",#N/A,FALSE,"REFINERY";"padd4crd",#N/A,FALSE,"REFINERY";"padd5crd",#N/A,FALSE,"REFINERY"}</definedName>
    <definedName name="wrn.crude._2_1" hidden="1">{"Padd1crd",#N/A,FALSE,"REFINERY";"padd2crd",#N/A,FALSE,"REFINERY";"padd3crd",#N/A,FALSE,"REFINERY";"padd4crd",#N/A,FALSE,"REFINERY";"padd5crd",#N/A,FALSE,"REFINERY"}</definedName>
    <definedName name="wrn.CRUDE1." localSheetId="10" hidden="1">{"int85",#N/A,FALSE,"CRUDE";"crude2000",#N/A,FALSE,"CRUDE";"int98",#N/A,FALSE,"CRUDE";"usng85",#N/A,FALSE,"u.s. Natural Gas";"usng2000",#N/A,FALSE,"u.s. Natural Gas";"sing85",#N/A,FALSE,"SING MARG";"Sing2000",#N/A,FALSE,"SING MARG";"sing10",#N/A,FALSE,"SING MARG";"west2000",#N/A,FALSE,"europe LPG";"WEST85",#N/A,FALSE,"europe LPG";"Japan2000",#N/A,FALSE,"JAPAN PRODUCTS";"japan85",#N/A,FALSE,"JAPAN PRODUCTS";"jlpg2000",#N/A,FALSE,"JAPAN LPG ";"Jlpg85",#N/A,FALSE,"JAPAN LPG ";"ME85",#N/A,FALSE,"MIDEAST LPG";"me2000",#N/A,FALSE,"MIDEAST LPG";"MD85",#N/A,FALSE,"MED MARGINS";"MD2000",#N/A,FALSE,"MED MARGINS";"md98",#N/A,FALSE,"MED MARGINS";"MD85",#N/A,FALSE,"ARAB GULF PRODUCTS";"MD2000",#N/A,FALSE,"ARAB GULF PRODUCTS";"ngl85",#N/A,FALSE,"u.s. NGL";"ngl2000",#N/A,FALSE,"u.s. NGL";"nw85",#N/A,FALSE,"NWE MARGINS";"nw2000",#N/A,FALSE,"NWE MARGINS";"NW98",#N/A,FALSE,"NWE MARGINS";"US85",#N/A,FALSE,"US PRODUCTS";"US98",#N/A,FALSE,"US PRODUCTS";"us2000",#N/A,FALSE,"US PRODUCTS"}</definedName>
    <definedName name="wrn.CRUDE1." hidden="1">{"int85",#N/A,FALSE,"CRUDE";"crude2000",#N/A,FALSE,"CRUDE";"int98",#N/A,FALSE,"CRUDE";"usng85",#N/A,FALSE,"u.s. Natural Gas";"usng2000",#N/A,FALSE,"u.s. Natural Gas";"sing85",#N/A,FALSE,"SING MARG";"Sing2000",#N/A,FALSE,"SING MARG";"sing10",#N/A,FALSE,"SING MARG";"west2000",#N/A,FALSE,"europe LPG";"WEST85",#N/A,FALSE,"europe LPG";"Japan2000",#N/A,FALSE,"JAPAN PRODUCTS";"japan85",#N/A,FALSE,"JAPAN PRODUCTS";"jlpg2000",#N/A,FALSE,"JAPAN LPG ";"Jlpg85",#N/A,FALSE,"JAPAN LPG ";"ME85",#N/A,FALSE,"MIDEAST LPG";"me2000",#N/A,FALSE,"MIDEAST LPG";"MD85",#N/A,FALSE,"MED MARGINS";"MD2000",#N/A,FALSE,"MED MARGINS";"md98",#N/A,FALSE,"MED MARGINS";"MD85",#N/A,FALSE,"ARAB GULF PRODUCTS";"MD2000",#N/A,FALSE,"ARAB GULF PRODUCTS";"ngl85",#N/A,FALSE,"u.s. NGL";"ngl2000",#N/A,FALSE,"u.s. NGL";"nw85",#N/A,FALSE,"NWE MARGINS";"nw2000",#N/A,FALSE,"NWE MARGINS";"NW98",#N/A,FALSE,"NWE MARGINS";"US85",#N/A,FALSE,"US PRODUCTS";"US98",#N/A,FALSE,"US PRODUCTS";"us2000",#N/A,FALSE,"US PRODUCTS"}</definedName>
    <definedName name="wrn.DELTA." localSheetId="10" hidden="1">{"delta II 1",#N/A,FALSE,"DELTA";"delta II 2",#N/A,FALSE,"DELTA";"delta II 3",#N/A,FALSE,"DELTA"}</definedName>
    <definedName name="wrn.DELTA." hidden="1">{"delta II 1",#N/A,FALSE,"DELTA";"delta II 2",#N/A,FALSE,"DELTA";"delta II 3",#N/A,FALSE,"DELTA"}</definedName>
    <definedName name="wrn.DELTA._1" localSheetId="10" hidden="1">{"table II 1",#N/A,FALSE,"DTables";"table II 2",#N/A,FALSE,"DTables";"table III 3",#N/A,FALSE,"DTables";"table III 4",#N/A,FALSE,"DTables"}</definedName>
    <definedName name="wrn.DELTA._1" hidden="1">{"table II 1",#N/A,FALSE,"DTables";"table II 2",#N/A,FALSE,"DTables";"table III 3",#N/A,FALSE,"DTables";"table III 4",#N/A,FALSE,"DTables"}</definedName>
    <definedName name="wrn.DELTA._1_1" localSheetId="10" hidden="1">{"table II 1",#N/A,FALSE,"DTables";"table II 2",#N/A,FALSE,"DTables";"table III 3",#N/A,FALSE,"DTables";"table III 4",#N/A,FALSE,"DTables"}</definedName>
    <definedName name="wrn.DELTA._1_1" hidden="1">{"table II 1",#N/A,FALSE,"DTables";"table II 2",#N/A,FALSE,"DTables";"table III 3",#N/A,FALSE,"DTables";"table III 4",#N/A,FALSE,"DTables"}</definedName>
    <definedName name="wrn.DELTA._2" localSheetId="10" hidden="1">{"table II 1",#N/A,FALSE,"DTables";"table II 2",#N/A,FALSE,"DTables";"table III 3",#N/A,FALSE,"DTables";"table III 4",#N/A,FALSE,"DTables"}</definedName>
    <definedName name="wrn.DELTA._2" hidden="1">{"table II 1",#N/A,FALSE,"DTables";"table II 2",#N/A,FALSE,"DTables";"table III 3",#N/A,FALSE,"DTables";"table III 4",#N/A,FALSE,"DTables"}</definedName>
    <definedName name="wrn.DELTA._2_1" localSheetId="10" hidden="1">{"table II 1",#N/A,FALSE,"DTables";"table II 2",#N/A,FALSE,"DTables";"table III 3",#N/A,FALSE,"DTables";"table III 4",#N/A,FALSE,"DTables"}</definedName>
    <definedName name="wrn.DELTA._2_1" hidden="1">{"table II 1",#N/A,FALSE,"DTables";"table II 2",#N/A,FALSE,"DTables";"table III 3",#N/A,FALSE,"DTables";"table III 4",#N/A,FALSE,"DTables"}</definedName>
    <definedName name="wrn.DELVTAB.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1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_1" localSheetId="10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LVTAB._2_1" hidden="1">{"TOPOFCIF",#N/A,FALSE,"FREIGHT -DEST. CALCULATIONS";"CIFROUTE",#N/A,FALSE,"FREIGHT -DEST. CALCULATIONS";"TKRCIF",#N/A,FALSE,"FREIGHT -DEST. CALCULATIONS";"TABLEI",#N/A,FALSE,"FREIGHT -DEST. CALCULATIONS";"TABLEII",#N/A,FALSE,"FREIGHT -DEST. CALCULATIONS";"TABLEIII",#N/A,FALSE,"FREIGHT -DEST. CALCULATIONS";"TABLEIV",#N/A,FALSE,"FREIGHT -DEST. CALCULATIONS";"TABLEV",#N/A,FALSE,"FREIGHT -DEST. CALCULATIONS"}</definedName>
    <definedName name="wrn.Demand._.MT." localSheetId="10" hidden="1">{"Demand by Product MT",#N/A,TRUE,"PRDEMPOR";"Demand by Sector MT",#N/A,TRUE,"PRDEMPOR"}</definedName>
    <definedName name="wrn.Demand._.MT." hidden="1">{"Demand by Product MT",#N/A,TRUE,"PRDEMPOR";"Demand by Sector MT",#N/A,TRUE,"PRDEMPOR"}</definedName>
    <definedName name="wrn.Demand._.MT._1" localSheetId="10" hidden="1">{"Demand by Product MT",#N/A,TRUE,"PRDEMPOR";"Demand by Sector MT",#N/A,TRUE,"PRDEMPOR"}</definedName>
    <definedName name="wrn.Demand._.MT._1" hidden="1">{"Demand by Product MT",#N/A,TRUE,"PRDEMPOR";"Demand by Sector MT",#N/A,TRUE,"PRDEMPOR"}</definedName>
    <definedName name="wrn.Demand._.MT._1_1" localSheetId="10" hidden="1">{"Demand by Product MT",#N/A,TRUE,"PRDEMPOR";"Demand by Sector MT",#N/A,TRUE,"PRDEMPOR"}</definedName>
    <definedName name="wrn.Demand._.MT._1_1" hidden="1">{"Demand by Product MT",#N/A,TRUE,"PRDEMPOR";"Demand by Sector MT",#N/A,TRUE,"PRDEMPOR"}</definedName>
    <definedName name="wrn.Demand._.MT._2" localSheetId="10" hidden="1">{"Demand by Product MT",#N/A,TRUE,"PRDEMPOR";"Demand by Sector MT",#N/A,TRUE,"PRDEMPOR"}</definedName>
    <definedName name="wrn.Demand._.MT._2" hidden="1">{"Demand by Product MT",#N/A,TRUE,"PRDEMPOR";"Demand by Sector MT",#N/A,TRUE,"PRDEMPOR"}</definedName>
    <definedName name="wrn.Demand._.MT._2_1" localSheetId="10" hidden="1">{"Demand by Product MT",#N/A,TRUE,"PRDEMPOR";"Demand by Sector MT",#N/A,TRUE,"PRDEMPOR"}</definedName>
    <definedName name="wrn.Demand._.MT._2_1" hidden="1">{"Demand by Product MT",#N/A,TRUE,"PRDEMPOR";"Demand by Sector MT",#N/A,TRUE,"PRDEMPOR"}</definedName>
    <definedName name="wrn.Demand._.MTOE." localSheetId="10" hidden="1">{"Demand by Product MTOE",#N/A,TRUE,"PRDEMPOR";"Demand by Sector MTOE",#N/A,TRUE,"PRDEMPOR"}</definedName>
    <definedName name="wrn.Demand._.MTOE." hidden="1">{"Demand by Product MTOE",#N/A,TRUE,"PRDEMPOR";"Demand by Sector MTOE",#N/A,TRUE,"PRDEMPOR"}</definedName>
    <definedName name="wrn.Demand._.MTOE._1" localSheetId="10" hidden="1">{"Demand by Product MTOE",#N/A,TRUE,"PRDEMPOR";"Demand by Sector MTOE",#N/A,TRUE,"PRDEMPOR"}</definedName>
    <definedName name="wrn.Demand._.MTOE._1" hidden="1">{"Demand by Product MTOE",#N/A,TRUE,"PRDEMPOR";"Demand by Sector MTOE",#N/A,TRUE,"PRDEMPOR"}</definedName>
    <definedName name="wrn.Demand._.MTOE._1_1" localSheetId="10" hidden="1">{"Demand by Product MTOE",#N/A,TRUE,"PRDEMPOR";"Demand by Sector MTOE",#N/A,TRUE,"PRDEMPOR"}</definedName>
    <definedName name="wrn.Demand._.MTOE._1_1" hidden="1">{"Demand by Product MTOE",#N/A,TRUE,"PRDEMPOR";"Demand by Sector MTOE",#N/A,TRUE,"PRDEMPOR"}</definedName>
    <definedName name="wrn.Demand._.MTOE._2" localSheetId="10" hidden="1">{"Demand by Product MTOE",#N/A,TRUE,"PRDEMPOR";"Demand by Sector MTOE",#N/A,TRUE,"PRDEMPOR"}</definedName>
    <definedName name="wrn.Demand._.MTOE._2" hidden="1">{"Demand by Product MTOE",#N/A,TRUE,"PRDEMPOR";"Demand by Sector MTOE",#N/A,TRUE,"PRDEMPOR"}</definedName>
    <definedName name="wrn.Demand._.MTOE._2_1" localSheetId="10" hidden="1">{"Demand by Product MTOE",#N/A,TRUE,"PRDEMPOR";"Demand by Sector MTOE",#N/A,TRUE,"PRDEMPOR"}</definedName>
    <definedName name="wrn.Demand._.MTOE._2_1" hidden="1">{"Demand by Product MTOE",#N/A,TRUE,"PRDEMPOR";"Demand by Sector MTOE",#N/A,TRUE,"PRDEMPOR"}</definedName>
    <definedName name="wrn.FOBCALC.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1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_1" localSheetId="10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BCALC._2_1" hidden="1">{"TOPOFFOB",#N/A,FALSE,"FREIGHT - FOB CALCULATIONS";"TABLEI",#N/A,FALSE,"FREIGHT - FOB CALCULATIONS";"TNKRFOB",#N/A,FALSE,"FREIGHT - FOB CALCULATIONS";"TABLEII",#N/A,FALSE,"FREIGHT - FOB CALCULATIONS";"TABLEIII",#N/A,FALSE,"FREIGHT - FOB CALCULATIONS";"TABLEIV",#N/A,FALSE,"FREIGHT - FOB CALCULATIONS";"TABLEV",#N/A,FALSE,"FREIGHT - FOB CALCULATIONS";"TABLEVI",#N/A,FALSE,"FREIGHT - FOB CALCULATIONS";"TABLEVII",#N/A,FALSE,"FREIGHT - FOB CALCULATIONS";"TABLEIX",#N/A,FALSE,"FREIGHT - FOB CALCULATIONS";"TABLEVIII",#N/A,FALSE,"FREIGHT - FOB CALCULATIONS";"TABLEX",#N/A,FALSE,"FREIGHT - FOB CALCULATIONS";"TABLEXI",#N/A,FALSE,"FREIGHT - FOB CALCULATIONS";"TABLEXII",#N/A,FALSE,"FREIGHT - FOB CALCULATIONS";"TABLEXIII",#N/A,FALSE,"FREIGHT - FOB CALCULATIONS"}</definedName>
    <definedName name="wrn.Folder._.00." localSheetId="10" hidden="1">{#N/A,#N/A,FALSE,"NBRIMX";#N/A,#N/A,FALSE,"PBRIMX";#N/A,#N/A,FALSE,"PCRIMX";#N/A,#N/A,FALSE,"SBRIMX";#N/A,#N/A,FALSE,"SBLIMX";"ExpTonsWe9800",#N/A,FALSE,"SBLIMX";"ExpLbsWe9800",#N/A,FALSE,"SBLIMX";"ImpTonsWe9800",#N/A,FALSE,"SBLIMX";"ImpLbsWe9800",#N/A,FALSE,"SBLIMX";"U.S. Bde Deriv Trd 9900",#N/A,FALSE,"SBLIMX"}</definedName>
    <definedName name="wrn.Folder._.00." hidden="1">{#N/A,#N/A,FALSE,"NBRIMX";#N/A,#N/A,FALSE,"PBRIMX";#N/A,#N/A,FALSE,"PCRIMX";#N/A,#N/A,FALSE,"SBRIMX";#N/A,#N/A,FALSE,"SBLIMX";"ExpTonsWe9800",#N/A,FALSE,"SBLIMX";"ExpLbsWe9800",#N/A,FALSE,"SBLIMX";"ImpTonsWe9800",#N/A,FALSE,"SBLIMX";"ImpLbsWe9800",#N/A,FALSE,"SBLIMX";"U.S. Bde Deriv Trd 9900",#N/A,FALSE,"SBLIMX"}</definedName>
    <definedName name="wrn.Folder._.01." localSheetId="10" hidden="1">{"SynRub9901Print",#N/A,FALSE,"SYNRUBPR";"PrintSBRNET87",#N/A,FALSE,"SYNRUBPR"}</definedName>
    <definedName name="wrn.Folder._.01." hidden="1">{"SynRub9901Print",#N/A,FALSE,"SYNRUBPR";"PrintSBRNET87",#N/A,FALSE,"SYNRUBPR"}</definedName>
    <definedName name="wrn.Folder._.99." localSheetId="10" hidden="1">{"SynRub9799Print",#N/A,FALSE,"SYNRUBPR";"PrintSBRNET87",#N/A,FALSE,"SYNRUBPR"}</definedName>
    <definedName name="wrn.Folder._.99." hidden="1">{"SynRub9799Print",#N/A,FALSE,"SYNRUBPR";"PrintSBRNET87",#N/A,FALSE,"SYNRUBPR"}</definedName>
    <definedName name="wrn.GASCOND." localSheetId="10" hidden="1">{"GASCOND",#N/A,FALSE,"CONDENSATE";"CRUDECOND",#N/A,FALSE,"CONDENSATE";"TOTALCOND",#N/A,FALSE,"CONDENSATE"}</definedName>
    <definedName name="wrn.GASCOND." hidden="1">{"GASCOND",#N/A,FALSE,"CONDENSATE";"CRUDECOND",#N/A,FALSE,"CONDENSATE";"TOTALCOND",#N/A,FALSE,"CONDENSATE"}</definedName>
    <definedName name="wrn.GASCOND._1" localSheetId="10" hidden="1">{"GASCOND",#N/A,FALSE,"CONDENSATE";"CRUDECOND",#N/A,FALSE,"CONDENSATE";"TOTALCOND",#N/A,FALSE,"CONDENSATE"}</definedName>
    <definedName name="wrn.GASCOND._1" hidden="1">{"GASCOND",#N/A,FALSE,"CONDENSATE";"CRUDECOND",#N/A,FALSE,"CONDENSATE";"TOTALCOND",#N/A,FALSE,"CONDENSATE"}</definedName>
    <definedName name="wrn.GASCOND._1_1" localSheetId="10" hidden="1">{"GASCOND",#N/A,FALSE,"CONDENSATE";"CRUDECOND",#N/A,FALSE,"CONDENSATE";"TOTALCOND",#N/A,FALSE,"CONDENSATE"}</definedName>
    <definedName name="wrn.GASCOND._1_1" hidden="1">{"GASCOND",#N/A,FALSE,"CONDENSATE";"CRUDECOND",#N/A,FALSE,"CONDENSATE";"TOTALCOND",#N/A,FALSE,"CONDENSATE"}</definedName>
    <definedName name="wrn.GASCOND._2" localSheetId="10" hidden="1">{"GASCOND",#N/A,FALSE,"CONDENSATE";"CRUDECOND",#N/A,FALSE,"CONDENSATE";"TOTALCOND",#N/A,FALSE,"CONDENSATE"}</definedName>
    <definedName name="wrn.GASCOND._2" hidden="1">{"GASCOND",#N/A,FALSE,"CONDENSATE";"CRUDECOND",#N/A,FALSE,"CONDENSATE";"TOTALCOND",#N/A,FALSE,"CONDENSATE"}</definedName>
    <definedName name="wrn.GASCOND._2_1" localSheetId="10" hidden="1">{"GASCOND",#N/A,FALSE,"CONDENSATE";"CRUDECOND",#N/A,FALSE,"CONDENSATE";"TOTALCOND",#N/A,FALSE,"CONDENSATE"}</definedName>
    <definedName name="wrn.GASCOND._2_1" hidden="1">{"GASCOND",#N/A,FALSE,"CONDENSATE";"CRUDECOND",#N/A,FALSE,"CONDENSATE";"TOTALCOND",#N/A,FALSE,"CONDENSATE"}</definedName>
    <definedName name="wrn.GASODEM." localSheetId="10" hidden="1">{"monthly",#N/A,FALSE,"GASODEM";"qtr to yr",#N/A,FALSE,"GASODEM"}</definedName>
    <definedName name="wrn.GASODEM." hidden="1">{"monthly",#N/A,FALSE,"GASODEM";"qtr to yr",#N/A,FALSE,"GASODEM"}</definedName>
    <definedName name="wrn.GASODEM._1" localSheetId="10" hidden="1">{"monthly",#N/A,FALSE,"GASODEM";"qtr to yr",#N/A,FALSE,"GASODEM"}</definedName>
    <definedName name="wrn.GASODEM._1" hidden="1">{"monthly",#N/A,FALSE,"GASODEM";"qtr to yr",#N/A,FALSE,"GASODEM"}</definedName>
    <definedName name="wrn.GASODEM._1_1" localSheetId="10" hidden="1">{"monthly",#N/A,FALSE,"GASODEM";"qtr to yr",#N/A,FALSE,"GASODEM"}</definedName>
    <definedName name="wrn.GASODEM._1_1" hidden="1">{"monthly",#N/A,FALSE,"GASODEM";"qtr to yr",#N/A,FALSE,"GASODEM"}</definedName>
    <definedName name="wrn.GASODEM._2" localSheetId="10" hidden="1">{"monthly",#N/A,FALSE,"GASODEM";"qtr to yr",#N/A,FALSE,"GASODEM"}</definedName>
    <definedName name="wrn.GASODEM._2" hidden="1">{"monthly",#N/A,FALSE,"GASODEM";"qtr to yr",#N/A,FALSE,"GASODEM"}</definedName>
    <definedName name="wrn.GASODEM._2_1" localSheetId="10" hidden="1">{"monthly",#N/A,FALSE,"GASODEM";"qtr to yr",#N/A,FALSE,"GASODEM"}</definedName>
    <definedName name="wrn.GASODEM._2_1" hidden="1">{"monthly",#N/A,FALSE,"GASODEM";"qtr to yr",#N/A,FALSE,"GASODEM"}</definedName>
    <definedName name="wrn.heavy." localSheetId="10" hidden="1">{"heavy",#N/A,FALSE,"CNTRYTYPE"}</definedName>
    <definedName name="wrn.heavy." hidden="1">{"heavy",#N/A,FALSE,"CNTRYTYPE"}</definedName>
    <definedName name="wrn.heavy._1" localSheetId="10" hidden="1">{"heavy",#N/A,FALSE,"CNTRYTYPE"}</definedName>
    <definedName name="wrn.heavy._1" hidden="1">{"heavy",#N/A,FALSE,"CNTRYTYPE"}</definedName>
    <definedName name="wrn.heavy._1_1" localSheetId="10" hidden="1">{"heavy",#N/A,FALSE,"CNTRYTYPE"}</definedName>
    <definedName name="wrn.heavy._1_1" hidden="1">{"heavy",#N/A,FALSE,"CNTRYTYPE"}</definedName>
    <definedName name="wrn.heavy._2" localSheetId="10" hidden="1">{"heavy",#N/A,FALSE,"CNTRYTYPE"}</definedName>
    <definedName name="wrn.heavy._2" hidden="1">{"heavy",#N/A,FALSE,"CNTRYTYPE"}</definedName>
    <definedName name="wrn.heavy._2_1" localSheetId="10" hidden="1">{"heavy",#N/A,FALSE,"CNTRYTYPE"}</definedName>
    <definedName name="wrn.heavy._2_1" hidden="1">{"heavy",#N/A,FALSE,"CNTRYTYPE"}</definedName>
    <definedName name="wrn.Input._.and._.Growths." localSheetId="10" hidden="1">{"Product Demands Input",#N/A,TRUE,"PRDEMPOR";"Annual Growth Rates",#N/A,TRUE,"PRDEMPOR"}</definedName>
    <definedName name="wrn.Input._.and._.Growths." hidden="1">{"Product Demands Input",#N/A,TRUE,"PRDEMPOR";"Annual Growth Rates",#N/A,TRUE,"PRDEMPOR"}</definedName>
    <definedName name="wrn.Input._.and._.Growths._1" localSheetId="10" hidden="1">{"Product Demands Input",#N/A,TRUE,"PRDEMPOR";"Annual Growth Rates",#N/A,TRUE,"PRDEMPOR"}</definedName>
    <definedName name="wrn.Input._.and._.Growths._1" hidden="1">{"Product Demands Input",#N/A,TRUE,"PRDEMPOR";"Annual Growth Rates",#N/A,TRUE,"PRDEMPOR"}</definedName>
    <definedName name="wrn.Input._.and._.Growths._1_1" localSheetId="10" hidden="1">{"Product Demands Input",#N/A,TRUE,"PRDEMPOR";"Annual Growth Rates",#N/A,TRUE,"PRDEMPOR"}</definedName>
    <definedName name="wrn.Input._.and._.Growths._1_1" hidden="1">{"Product Demands Input",#N/A,TRUE,"PRDEMPOR";"Annual Growth Rates",#N/A,TRUE,"PRDEMPOR"}</definedName>
    <definedName name="wrn.Input._.and._.Growths._2" localSheetId="10" hidden="1">{"Product Demands Input",#N/A,TRUE,"PRDEMPOR";"Annual Growth Rates",#N/A,TRUE,"PRDEMPOR"}</definedName>
    <definedName name="wrn.Input._.and._.Growths._2" hidden="1">{"Product Demands Input",#N/A,TRUE,"PRDEMPOR";"Annual Growth Rates",#N/A,TRUE,"PRDEMPOR"}</definedName>
    <definedName name="wrn.Input._.and._.Growths._2_1" localSheetId="10" hidden="1">{"Product Demands Input",#N/A,TRUE,"PRDEMPOR";"Annual Growth Rates",#N/A,TRUE,"PRDEMPOR"}</definedName>
    <definedName name="wrn.Input._.and._.Growths._2_1" hidden="1">{"Product Demands Input",#N/A,TRUE,"PRDEMPOR";"Annual Growth Rates",#N/A,TRUE,"PRDEMPOR"}</definedName>
    <definedName name="wrn.light._.sour." localSheetId="10" hidden="1">{"light sour",#N/A,FALSE,"CNTRYTYPE"}</definedName>
    <definedName name="wrn.light._.sour." hidden="1">{"light sour",#N/A,FALSE,"CNTRYTYPE"}</definedName>
    <definedName name="wrn.light._.sour._1" localSheetId="10" hidden="1">{"light sour",#N/A,FALSE,"CNTRYTYPE"}</definedName>
    <definedName name="wrn.light._.sour._1" hidden="1">{"light sour",#N/A,FALSE,"CNTRYTYPE"}</definedName>
    <definedName name="wrn.light._.sour._1_1" localSheetId="10" hidden="1">{"light sour",#N/A,FALSE,"CNTRYTYPE"}</definedName>
    <definedName name="wrn.light._.sour._1_1" hidden="1">{"light sour",#N/A,FALSE,"CNTRYTYPE"}</definedName>
    <definedName name="wrn.light._.sour._2" localSheetId="10" hidden="1">{"light sour",#N/A,FALSE,"CNTRYTYPE"}</definedName>
    <definedName name="wrn.light._.sour._2" hidden="1">{"light sour",#N/A,FALSE,"CNTRYTYPE"}</definedName>
    <definedName name="wrn.light._.sour._2_1" localSheetId="10" hidden="1">{"light sour",#N/A,FALSE,"CNTRYTYPE"}</definedName>
    <definedName name="wrn.light._.sour._2_1" hidden="1">{"light sour",#N/A,FALSE,"CNTRYTYPE"}</definedName>
    <definedName name="wrn.natgastab." localSheetId="10" hidden="1">{"natgas1",#N/A,FALSE,"u.s. Natural Gas";"natgas2",#N/A,FALSE,"u.s. Natural Gas"}</definedName>
    <definedName name="wrn.natgastab." hidden="1">{"natgas1",#N/A,FALSE,"u.s. Natural Gas";"natgas2",#N/A,FALSE,"u.s. Natural Gas"}</definedName>
    <definedName name="wrn.New._.York." localSheetId="10" hidden="1">{"NY PRICES",#N/A,FALSE,"CURRENT";"NY PRICES B",#N/A,FALSE,"CURRENT";"NY PRICES",#N/A,FALSE,"CONSTANT";"NY PRICES B",#N/A,FALSE,"CONSTANT"}</definedName>
    <definedName name="wrn.New._.York." hidden="1">{"NY PRICES",#N/A,FALSE,"CURRENT";"NY PRICES B",#N/A,FALSE,"CURRENT";"NY PRICES",#N/A,FALSE,"CONSTANT";"NY PRICES B",#N/A,FALSE,"CONSTANT"}</definedName>
    <definedName name="wrn.New._.York._1" localSheetId="10" hidden="1">{"NY PRICES",#N/A,FALSE,"CURRENT";"NY PRICES B",#N/A,FALSE,"CURRENT";"NY PRICES",#N/A,FALSE,"CONSTANT";"NY PRICES B",#N/A,FALSE,"CONSTANT"}</definedName>
    <definedName name="wrn.New._.York._1" hidden="1">{"NY PRICES",#N/A,FALSE,"CURRENT";"NY PRICES B",#N/A,FALSE,"CURRENT";"NY PRICES",#N/A,FALSE,"CONSTANT";"NY PRICES B",#N/A,FALSE,"CONSTANT"}</definedName>
    <definedName name="wrn.New._.York._1_1" localSheetId="10" hidden="1">{"NY PRICES",#N/A,FALSE,"CURRENT";"NY PRICES B",#N/A,FALSE,"CURRENT";"NY PRICES",#N/A,FALSE,"CONSTANT";"NY PRICES B",#N/A,FALSE,"CONSTANT"}</definedName>
    <definedName name="wrn.New._.York._1_1" hidden="1">{"NY PRICES",#N/A,FALSE,"CURRENT";"NY PRICES B",#N/A,FALSE,"CURRENT";"NY PRICES",#N/A,FALSE,"CONSTANT";"NY PRICES B",#N/A,FALSE,"CONSTANT"}</definedName>
    <definedName name="wrn.New._.York._2" localSheetId="10" hidden="1">{"NY PRICES",#N/A,FALSE,"CURRENT";"NY PRICES B",#N/A,FALSE,"CURRENT";"NY PRICES",#N/A,FALSE,"CONSTANT";"NY PRICES B",#N/A,FALSE,"CONSTANT"}</definedName>
    <definedName name="wrn.New._.York._2" hidden="1">{"NY PRICES",#N/A,FALSE,"CURRENT";"NY PRICES B",#N/A,FALSE,"CURRENT";"NY PRICES",#N/A,FALSE,"CONSTANT";"NY PRICES B",#N/A,FALSE,"CONSTANT"}</definedName>
    <definedName name="wrn.New._.York._2_1" localSheetId="10" hidden="1">{"NY PRICES",#N/A,FALSE,"CURRENT";"NY PRICES B",#N/A,FALSE,"CURRENT";"NY PRICES",#N/A,FALSE,"CONSTANT";"NY PRICES B",#N/A,FALSE,"CONSTANT"}</definedName>
    <definedName name="wrn.New._.York._2_1" hidden="1">{"NY PRICES",#N/A,FALSE,"CURRENT";"NY PRICES B",#N/A,FALSE,"CURRENT";"NY PRICES",#N/A,FALSE,"CONSTANT";"NY PRICES B",#N/A,FALSE,"CONSTANT"}</definedName>
    <definedName name="wrn.NWE._.1995." localSheetId="10" hidden="1">{"input",#N/A,TRUE,"1995 Quality";"basedata",#N/A,TRUE,"1995 Quality";"diff",#N/A,TRUE,"1995 Quality"}</definedName>
    <definedName name="wrn.NWE._.1995." hidden="1">{"input",#N/A,TRUE,"1995 Quality";"basedata",#N/A,TRUE,"1995 Quality";"diff",#N/A,TRUE,"1995 Quality"}</definedName>
    <definedName name="wrn.NWE._.2000." localSheetId="10" hidden="1">{"input",#N/A,FALSE,"Year 2000";"basedata",#N/A,FALSE,"Year 2000";"diff",#N/A,FALSE,"Year 2000"}</definedName>
    <definedName name="wrn.NWE._.2000." hidden="1">{"input",#N/A,FALSE,"Year 2000";"basedata",#N/A,FALSE,"Year 2000";"diff",#N/A,FALSE,"Year 2000"}</definedName>
    <definedName name="wrn.print." localSheetId="10" hidden="1">{"yields",#N/A,TRUE,"Yields";"diff",#N/A,TRUE,"Differentials"}</definedName>
    <definedName name="wrn.print." hidden="1">{"yields",#N/A,TRUE,"Yields";"diff",#N/A,TRUE,"Differentials"}</definedName>
    <definedName name="wrn.Print._.NWE._.Condensates." localSheetId="10" hidden="1">{"NWE Condensate 01",#N/A,FALSE,"Plots Condensates (NWE)";"NWE Condensate 02",#N/A,FALSE,"Plots Condensates (NWE)";"NWE Condensate 03",#N/A,FALSE,"Plots Condensates (NWE)"}</definedName>
    <definedName name="wrn.Print._.NWE._.Condensates." hidden="1">{"NWE Condensate 01",#N/A,FALSE,"Plots Condensates (NWE)";"NWE Condensate 02",#N/A,FALSE,"Plots Condensates (NWE)";"NWE Condensate 03",#N/A,FALSE,"Plots Condensates (NWE)"}</definedName>
    <definedName name="wrn.Print._.NWE._.Condensates._1" localSheetId="10" hidden="1">{"NWE Condensate 01",#N/A,FALSE,"Plots Condensates (NWE)";"NWE Condensate 02",#N/A,FALSE,"Plots Condensates (NWE)";"NWE Condensate 03",#N/A,FALSE,"Plots Condensates (NWE)"}</definedName>
    <definedName name="wrn.Print._.NWE._.Condensates._1" hidden="1">{"NWE Condensate 01",#N/A,FALSE,"Plots Condensates (NWE)";"NWE Condensate 02",#N/A,FALSE,"Plots Condensates (NWE)";"NWE Condensate 03",#N/A,FALSE,"Plots Condensates (NWE)"}</definedName>
    <definedName name="wrn.Print._.NWE._.Condensates._1_1" localSheetId="10" hidden="1">{"NWE Condensate 01",#N/A,FALSE,"Plots Condensates (NWE)";"NWE Condensate 02",#N/A,FALSE,"Plots Condensates (NWE)";"NWE Condensate 03",#N/A,FALSE,"Plots Condensates (NWE)"}</definedName>
    <definedName name="wrn.Print._.NWE._.Condensates._1_1" hidden="1">{"NWE Condensate 01",#N/A,FALSE,"Plots Condensates (NWE)";"NWE Condensate 02",#N/A,FALSE,"Plots Condensates (NWE)";"NWE Condensate 03",#N/A,FALSE,"Plots Condensates (NWE)"}</definedName>
    <definedName name="wrn.Print._.NWE._.Condensates._2" localSheetId="10" hidden="1">{"NWE Condensate 01",#N/A,FALSE,"Plots Condensates (NWE)";"NWE Condensate 02",#N/A,FALSE,"Plots Condensates (NWE)";"NWE Condensate 03",#N/A,FALSE,"Plots Condensates (NWE)"}</definedName>
    <definedName name="wrn.Print._.NWE._.Condensates._2" hidden="1">{"NWE Condensate 01",#N/A,FALSE,"Plots Condensates (NWE)";"NWE Condensate 02",#N/A,FALSE,"Plots Condensates (NWE)";"NWE Condensate 03",#N/A,FALSE,"Plots Condensates (NWE)"}</definedName>
    <definedName name="wrn.Print._.NWE._.Condensates._2_1" localSheetId="10" hidden="1">{"NWE Condensate 01",#N/A,FALSE,"Plots Condensates (NWE)";"NWE Condensate 02",#N/A,FALSE,"Plots Condensates (NWE)";"NWE Condensate 03",#N/A,FALSE,"Plots Condensates (NWE)"}</definedName>
    <definedName name="wrn.Print._.NWE._.Condensates._2_1" hidden="1">{"NWE Condensate 01",#N/A,FALSE,"Plots Condensates (NWE)";"NWE Condensate 02",#N/A,FALSE,"Plots Condensates (NWE)";"NWE Condensate 03",#N/A,FALSE,"Plots Condensates (NWE)"}</definedName>
    <definedName name="wrn.Print._.Plots." localSheetId="10" hidden="1">{"Plot1",#N/A,FALSE,"Plots";"plot2",#N/A,FALSE,"Plots";"plot3",#N/A,FALSE,"Plots";"plot4",#N/A,FALSE,"Plots";"plot5",#N/A,FALSE,"Plots";"plot6",#N/A,FALSE,"Plots"}</definedName>
    <definedName name="wrn.Print._.Plots." hidden="1">{"Plot1",#N/A,FALSE,"Plots";"plot2",#N/A,FALSE,"Plots";"plot3",#N/A,FALSE,"Plots";"plot4",#N/A,FALSE,"Plots";"plot5",#N/A,FALSE,"Plots";"plot6",#N/A,FALSE,"Plots"}</definedName>
    <definedName name="wrn.Print._.Plots._.Summary.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1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_1" localSheetId="10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.Summary._2_1" hidden="1">{"Summary 01",#N/A,FALSE,"Plots Summary";"Summary 02",#N/A,FALSE,"Plots Summary";"Summary 03",#N/A,FALSE,"Plots Summary";"Summary 04",#N/A,FALSE,"Plots Summary";"Summary 05",#N/A,FALSE,"Plots Summary";"Summary 06",#N/A,FALSE,"Plots Summary";"Summary 07",#N/A,FALSE,"Plots Summary"}</definedName>
    <definedName name="wrn.Print._.Plots._1" localSheetId="10" hidden="1">{"Plot1",#N/A,FALSE,"Plots";"plot2",#N/A,FALSE,"Plots";"plot3",#N/A,FALSE,"Plots";"plot4",#N/A,FALSE,"Plots";"plot5",#N/A,FALSE,"Plots";"plot6",#N/A,FALSE,"Plots"}</definedName>
    <definedName name="wrn.Print._.Plots._1" hidden="1">{"Plot1",#N/A,FALSE,"Plots";"plot2",#N/A,FALSE,"Plots";"plot3",#N/A,FALSE,"Plots";"plot4",#N/A,FALSE,"Plots";"plot5",#N/A,FALSE,"Plots";"plot6",#N/A,FALSE,"Plots"}</definedName>
    <definedName name="wrn.Print._.Plots._1_1" localSheetId="10" hidden="1">{"Plot1",#N/A,FALSE,"Plots";"plot2",#N/A,FALSE,"Plots";"plot3",#N/A,FALSE,"Plots";"plot4",#N/A,FALSE,"Plots";"plot5",#N/A,FALSE,"Plots";"plot6",#N/A,FALSE,"Plots"}</definedName>
    <definedName name="wrn.Print._.Plots._1_1" hidden="1">{"Plot1",#N/A,FALSE,"Plots";"plot2",#N/A,FALSE,"Plots";"plot3",#N/A,FALSE,"Plots";"plot4",#N/A,FALSE,"Plots";"plot5",#N/A,FALSE,"Plots";"plot6",#N/A,FALSE,"Plots"}</definedName>
    <definedName name="wrn.Print._.Plots._2" localSheetId="10" hidden="1">{"Plot1",#N/A,FALSE,"Plots";"plot2",#N/A,FALSE,"Plots";"plot3",#N/A,FALSE,"Plots";"plot4",#N/A,FALSE,"Plots";"plot5",#N/A,FALSE,"Plots";"plot6",#N/A,FALSE,"Plots"}</definedName>
    <definedName name="wrn.Print._.Plots._2" hidden="1">{"Plot1",#N/A,FALSE,"Plots";"plot2",#N/A,FALSE,"Plots";"plot3",#N/A,FALSE,"Plots";"plot4",#N/A,FALSE,"Plots";"plot5",#N/A,FALSE,"Plots";"plot6",#N/A,FALSE,"Plots"}</definedName>
    <definedName name="wrn.Print._.Plots._2_1" localSheetId="10" hidden="1">{"Plot1",#N/A,FALSE,"Plots";"plot2",#N/A,FALSE,"Plots";"plot3",#N/A,FALSE,"Plots";"plot4",#N/A,FALSE,"Plots";"plot5",#N/A,FALSE,"Plots";"plot6",#N/A,FALSE,"Plots"}</definedName>
    <definedName name="wrn.Print._.Plots._2_1" hidden="1">{"Plot1",#N/A,FALSE,"Plots";"plot2",#N/A,FALSE,"Plots";"plot3",#N/A,FALSE,"Plots";"plot4",#N/A,FALSE,"Plots";"plot5",#N/A,FALSE,"Plots";"plot6",#N/A,FALSE,"Plots"}</definedName>
    <definedName name="wrn.Print._.Sing._.Condensates.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1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_1" localSheetId="10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Sing._.Condensates._2_1" hidden="1">{"Sing Condensate 01",#N/A,FALSE,"Plots Condensates (Singapore)";"Sing Condensate 02",#N/A,FALSE,"Plots Condensates (Singapore)";"Sing Condensate 03",#N/A,FALSE,"Plots Condensates (Singapore)";"Sing Condensate 04",#N/A,FALSE,"Plots Condensates (Singapore)";"Sing Condensate 05",#N/A,FALSE,"Plots Condensates (Singapore)";"Sing Condensate 06",#N/A,FALSE,"Plots Condensates (Singapore)"}</definedName>
    <definedName name="wrn.Print._.USGC._.Condensates.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1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_1" localSheetId="10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int._.USGC._.Condensates._2_1" hidden="1">{"USGC Condensate 01",#N/A,FALSE,"Plots Condensates (USGC)";"USGC Condensate 02",#N/A,FALSE,"Plots Condensates (USGC)";"USGC Condensate 03",#N/A,FALSE,"Plots Condensates (USGC)";"USGC Condensate 04",#N/A,FALSE,"Plots Condensates (USGC)";"USGC Condensate 05",#N/A,FALSE,"Plots Condensates (USGC)";"USGC Condensate 06",#N/A,FALSE,"Plots Condensates (USGC)";"USGC Condensate 07",#N/A,FALSE,"Plots Condensates (USGC)"}</definedName>
    <definedName name="wrn.PRODTABLES.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1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_1" localSheetId="10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PRODTABLES._2_1" hidden="1">{"GAS1",#N/A,FALSE,"LTSUPDEM";"GAS2",#N/A,FALSE,"LTSUPDEM";"RFG1",#N/A,FALSE,"LTSUPDEM";"RFG2",#N/A,FALSE,"LTSUPDEM";"OXY1",#N/A,FALSE,"LTSUPDEM";"OXY2",#N/A,FALSE,"LTSUPDEM";"OTHERGAS1",#N/A,FALSE,"LTSUPDEM";"OTHERGAS2",#N/A,FALSE,"LTSUPDEM";"JETKERO1",#N/A,FALSE,"LTSUPDEM";"JETKERO2",#N/A,FALSE,"LTSUPDEM";"JETNAPH1",#N/A,FALSE,"LTSUPDEM";"JETNAPH2",#N/A,FALSE,"LTSUPDEM";"DIESEL1",#N/A,FALSE,"LTSUPDEM";"DIESEL2",#N/A,FALSE,"LTSUPDEM";"LSDIESEL1",#N/A,FALSE,"LTSUPDEM";"LSDIESEL2",#N/A,FALSE,"LTSUPDEM";"STDDIESEL1",#N/A,FALSE,"LTSUPDEM";"STDDIESEL2",#N/A,FALSE,"LTSUPDEM";"RESID1",#N/A,FALSE,"LTSUPDEM";"RESID2",#N/A,FALSE,"LTSUPDEM";"AVGAS1",#N/A,FALSE,"LTSUPDEM";"AVGAS2",#N/A,FALSE,"LTSUPDEM";"ASPHALT1",#N/A,FALSE,"LTSUPDEM";"ASPHALT2",#N/A,FALSE,"LTSUPDEM";"COKE1",#N/A,FALSE,"LTSUPDEM";"COKE2",#N/A,FALSE,"LTSUPDEM"}</definedName>
    <definedName name="wrn.REFINERY." localSheetId="10" hidden="1">{"Padd I to III",#N/A,FALSE,"REFINERY";"Padd IV to US",#N/A,FALSE,"REFINERY";"Crude Balance I",#N/A,FALSE,"REFINERY";"Crude Balance II",#N/A,FALSE,"REFINERY"}</definedName>
    <definedName name="wrn.REFINERY." hidden="1">{"Padd I to III",#N/A,FALSE,"REFINERY";"Padd IV to US",#N/A,FALSE,"REFINERY";"Crude Balance I",#N/A,FALSE,"REFINERY";"Crude Balance II",#N/A,FALSE,"REFINERY"}</definedName>
    <definedName name="wrn.REFINERY._1" localSheetId="10" hidden="1">{"Padd I to III",#N/A,FALSE,"REFINERY";"Padd IV to US",#N/A,FALSE,"REFINERY";"Crude Balance I",#N/A,FALSE,"REFINERY";"Crude Balance II",#N/A,FALSE,"REFINERY"}</definedName>
    <definedName name="wrn.REFINERY._1" hidden="1">{"Padd I to III",#N/A,FALSE,"REFINERY";"Padd IV to US",#N/A,FALSE,"REFINERY";"Crude Balance I",#N/A,FALSE,"REFINERY";"Crude Balance II",#N/A,FALSE,"REFINERY"}</definedName>
    <definedName name="wrn.REFINERY._1_1" localSheetId="10" hidden="1">{"Padd I to III",#N/A,FALSE,"REFINERY";"Padd IV to US",#N/A,FALSE,"REFINERY";"Crude Balance I",#N/A,FALSE,"REFINERY";"Crude Balance II",#N/A,FALSE,"REFINERY"}</definedName>
    <definedName name="wrn.REFINERY._1_1" hidden="1">{"Padd I to III",#N/A,FALSE,"REFINERY";"Padd IV to US",#N/A,FALSE,"REFINERY";"Crude Balance I",#N/A,FALSE,"REFINERY";"Crude Balance II",#N/A,FALSE,"REFINERY"}</definedName>
    <definedName name="wrn.REFINERY._2" localSheetId="10" hidden="1">{"Padd I to III",#N/A,FALSE,"REFINERY";"Padd IV to US",#N/A,FALSE,"REFINERY";"Crude Balance I",#N/A,FALSE,"REFINERY";"Crude Balance II",#N/A,FALSE,"REFINERY"}</definedName>
    <definedName name="wrn.REFINERY._2" hidden="1">{"Padd I to III",#N/A,FALSE,"REFINERY";"Padd IV to US",#N/A,FALSE,"REFINERY";"Crude Balance I",#N/A,FALSE,"REFINERY";"Crude Balance II",#N/A,FALSE,"REFINERY"}</definedName>
    <definedName name="wrn.REFINERY._2_1" localSheetId="10" hidden="1">{"Padd I to III",#N/A,FALSE,"REFINERY";"Padd IV to US",#N/A,FALSE,"REFINERY";"Crude Balance I",#N/A,FALSE,"REFINERY";"Crude Balance II",#N/A,FALSE,"REFINERY"}</definedName>
    <definedName name="wrn.REFINERY._2_1" hidden="1">{"Padd I to III",#N/A,FALSE,"REFINERY";"Padd IV to US",#N/A,FALSE,"REFINERY";"Crude Balance I",#N/A,FALSE,"REFINERY";"Crude Balance II",#N/A,FALSE,"REFINERY"}</definedName>
    <definedName name="wrn.region." localSheetId="10" hidden="1">{"Region",#N/A,FALSE,"CNTRYTYPE"}</definedName>
    <definedName name="wrn.region." hidden="1">{"Region",#N/A,FALSE,"CNTRYTYPE"}</definedName>
    <definedName name="wrn.region._1" localSheetId="10" hidden="1">{"Region",#N/A,FALSE,"CNTRYTYPE"}</definedName>
    <definedName name="wrn.region._1" hidden="1">{"Region",#N/A,FALSE,"CNTRYTYPE"}</definedName>
    <definedName name="wrn.region._1_1" localSheetId="10" hidden="1">{"Region",#N/A,FALSE,"CNTRYTYPE"}</definedName>
    <definedName name="wrn.region._1_1" hidden="1">{"Region",#N/A,FALSE,"CNTRYTYPE"}</definedName>
    <definedName name="wrn.region._2" localSheetId="10" hidden="1">{"Region",#N/A,FALSE,"CNTRYTYPE"}</definedName>
    <definedName name="wrn.region._2" hidden="1">{"Region",#N/A,FALSE,"CNTRYTYPE"}</definedName>
    <definedName name="wrn.region._2_1" localSheetId="10" hidden="1">{"Region",#N/A,FALSE,"CNTRYTYPE"}</definedName>
    <definedName name="wrn.region._2_1" hidden="1">{"Region",#N/A,FALSE,"CNTRYTYPE"}</definedName>
    <definedName name="wrn.report." localSheetId="10" hidden="1">{#N/A,#N/A,FALSE,"Summary_netback";#N/A,#N/A,FALSE,"Summary_value"}</definedName>
    <definedName name="wrn.report." hidden="1">{#N/A,#N/A,FALSE,"Summary_netback";#N/A,#N/A,FALSE,"Summary_value"}</definedName>
    <definedName name="wrn.report._1" localSheetId="10" hidden="1">{#N/A,#N/A,FALSE,"Summary_netback";#N/A,#N/A,FALSE,"Summary_value"}</definedName>
    <definedName name="wrn.report._1" hidden="1">{#N/A,#N/A,FALSE,"Summary_netback";#N/A,#N/A,FALSE,"Summary_value"}</definedName>
    <definedName name="wrn.report._1_1" localSheetId="10" hidden="1">{#N/A,#N/A,FALSE,"Summary_netback";#N/A,#N/A,FALSE,"Summary_value"}</definedName>
    <definedName name="wrn.report._1_1" hidden="1">{#N/A,#N/A,FALSE,"Summary_netback";#N/A,#N/A,FALSE,"Summary_value"}</definedName>
    <definedName name="wrn.report._2" localSheetId="10" hidden="1">{#N/A,#N/A,FALSE,"Summary_netback";#N/A,#N/A,FALSE,"Summary_value"}</definedName>
    <definedName name="wrn.report._2" hidden="1">{#N/A,#N/A,FALSE,"Summary_netback";#N/A,#N/A,FALSE,"Summary_value"}</definedName>
    <definedName name="wrn.report._2_1" localSheetId="10" hidden="1">{#N/A,#N/A,FALSE,"Summary_netback";#N/A,#N/A,FALSE,"Summary_value"}</definedName>
    <definedName name="wrn.report._2_1" hidden="1">{#N/A,#N/A,FALSE,"Summary_netback";#N/A,#N/A,FALSE,"Summary_value"}</definedName>
    <definedName name="wrn.REVENUES." localSheetId="10" hidden="1">{"revenue",#N/A,FALSE,"lls hydro";"revenue",#N/A,FALSE,"lls crack";"revenue",#N/A,FALSE,"lls coke"}</definedName>
    <definedName name="wrn.REVENUES." hidden="1">{"revenue",#N/A,FALSE,"lls hydro";"revenue",#N/A,FALSE,"lls crack";"revenue",#N/A,FALSE,"lls coke"}</definedName>
    <definedName name="wrn.RUBIMXYYYY." localSheetId="10" hidden="1">{"NBRIMX_PRINT",#N/A,FALSE,"NBRIMX";"PBRIMX_PRINT",#N/A,FALSE,"PBRIMX";"PCRIMX_PRINT",#N/A,FALSE,"PCRIMX";"SBRIMX_PRINT",#N/A,FALSE,"SBRIMX";"SBLIMX_PRINT",#N/A,FALSE,"SBLIMX"}</definedName>
    <definedName name="wrn.RUBIMXYYYY." hidden="1">{"NBRIMX_PRINT",#N/A,FALSE,"NBRIMX";"PBRIMX_PRINT",#N/A,FALSE,"PBRIMX";"PCRIMX_PRINT",#N/A,FALSE,"PCRIMX";"SBRIMX_PRINT",#N/A,FALSE,"SBRIMX";"SBLIMX_PRINT",#N/A,FALSE,"SBLIMX"}</definedName>
    <definedName name="wrn.SAMPLE." localSheetId="10" hidden="1">{#N/A,#N/A,TRUE,"Crude";#N/A,#N/A,TRUE,"Products"}</definedName>
    <definedName name="wrn.SAMPLE." hidden="1">{#N/A,#N/A,TRUE,"Crude";#N/A,#N/A,TRUE,"Products"}</definedName>
    <definedName name="wrn.SAMPLE._1" localSheetId="10" hidden="1">{#N/A,#N/A,TRUE,"Crude";#N/A,#N/A,TRUE,"Products"}</definedName>
    <definedName name="wrn.SAMPLE._1" hidden="1">{#N/A,#N/A,TRUE,"Crude";#N/A,#N/A,TRUE,"Products"}</definedName>
    <definedName name="wrn.SAMPLE._1_1" localSheetId="10" hidden="1">{#N/A,#N/A,TRUE,"Crude";#N/A,#N/A,TRUE,"Products"}</definedName>
    <definedName name="wrn.SAMPLE._1_1" hidden="1">{#N/A,#N/A,TRUE,"Crude";#N/A,#N/A,TRUE,"Products"}</definedName>
    <definedName name="wrn.SAMPLE._2" localSheetId="10" hidden="1">{#N/A,#N/A,TRUE,"Crude";#N/A,#N/A,TRUE,"Products"}</definedName>
    <definedName name="wrn.SAMPLE._2" hidden="1">{#N/A,#N/A,TRUE,"Crude";#N/A,#N/A,TRUE,"Products"}</definedName>
    <definedName name="wrn.SAMPLE._2_1" localSheetId="10" hidden="1">{#N/A,#N/A,TRUE,"Crude";#N/A,#N/A,TRUE,"Products"}</definedName>
    <definedName name="wrn.SAMPLE._2_1" hidden="1">{#N/A,#N/A,TRUE,"Crude";#N/A,#N/A,TRUE,"Products"}</definedName>
    <definedName name="wrn.SINGPROD." localSheetId="10" hidden="1">{"singcurrent1",#N/A,FALSE,"SING MARG";"SINGCURRENT2",#N/A,FALSE,"SING MARG";"SINGCONSTANT",#N/A,FALSE,"SING MARG"}</definedName>
    <definedName name="wrn.SINGPROD." hidden="1">{"singcurrent1",#N/A,FALSE,"SING MARG";"SINGCURRENT2",#N/A,FALSE,"SING MARG";"SINGCONSTANT",#N/A,FALSE,"SING MARG"}</definedName>
    <definedName name="wrn.SUBREGION." localSheetId="10" hidden="1">{"SUBREGION",#N/A,FALSE,"CNTRYTYPE"}</definedName>
    <definedName name="wrn.SUBREGION." hidden="1">{"SUBREGION",#N/A,FALSE,"CNTRYTYPE"}</definedName>
    <definedName name="wrn.SUBREGION._1" localSheetId="10" hidden="1">{"SUBREGION",#N/A,FALSE,"CNTRYTYPE"}</definedName>
    <definedName name="wrn.SUBREGION._1" hidden="1">{"SUBREGION",#N/A,FALSE,"CNTRYTYPE"}</definedName>
    <definedName name="wrn.SUBREGION._1_1" localSheetId="10" hidden="1">{"SUBREGION",#N/A,FALSE,"CNTRYTYPE"}</definedName>
    <definedName name="wrn.SUBREGION._1_1" hidden="1">{"SUBREGION",#N/A,FALSE,"CNTRYTYPE"}</definedName>
    <definedName name="wrn.SUBREGION._2" localSheetId="10" hidden="1">{"SUBREGION",#N/A,FALSE,"CNTRYTYPE"}</definedName>
    <definedName name="wrn.SUBREGION._2" hidden="1">{"SUBREGION",#N/A,FALSE,"CNTRYTYPE"}</definedName>
    <definedName name="wrn.SUBREGION._2_1" localSheetId="10" hidden="1">{"SUBREGION",#N/A,FALSE,"CNTRYTYPE"}</definedName>
    <definedName name="wrn.SUBREGION._2_1" hidden="1">{"SUBREGION",#N/A,FALSE,"CNTRYTYPE"}</definedName>
    <definedName name="wrn.Summary." localSheetId="10" hidden="1">{"Growth Supply Demand",#N/A,TRUE,"Summary";"Primary Energy Balance",#N/A,TRUE,"Summary"}</definedName>
    <definedName name="wrn.Summary." hidden="1">{"Growth Supply Demand",#N/A,TRUE,"Summary";"Primary Energy Balance",#N/A,TRUE,"Summary"}</definedName>
    <definedName name="wrn.Summary._1" localSheetId="10" hidden="1">{"Growth Supply Demand",#N/A,TRUE,"Summary";"Primary Energy Balance",#N/A,TRUE,"Summary"}</definedName>
    <definedName name="wrn.Summary._1" hidden="1">{"Growth Supply Demand",#N/A,TRUE,"Summary";"Primary Energy Balance",#N/A,TRUE,"Summary"}</definedName>
    <definedName name="wrn.Summary._1_1" localSheetId="10" hidden="1">{"Growth Supply Demand",#N/A,TRUE,"Summary";"Primary Energy Balance",#N/A,TRUE,"Summary"}</definedName>
    <definedName name="wrn.Summary._1_1" hidden="1">{"Growth Supply Demand",#N/A,TRUE,"Summary";"Primary Energy Balance",#N/A,TRUE,"Summary"}</definedName>
    <definedName name="wrn.Summary._2" localSheetId="10" hidden="1">{"Growth Supply Demand",#N/A,TRUE,"Summary";"Primary Energy Balance",#N/A,TRUE,"Summary"}</definedName>
    <definedName name="wrn.Summary._2" hidden="1">{"Growth Supply Demand",#N/A,TRUE,"Summary";"Primary Energy Balance",#N/A,TRUE,"Summary"}</definedName>
    <definedName name="wrn.Summary._2_1" localSheetId="10" hidden="1">{"Growth Supply Demand",#N/A,TRUE,"Summary";"Primary Energy Balance",#N/A,TRUE,"Summary"}</definedName>
    <definedName name="wrn.Summary._2_1" hidden="1">{"Growth Supply Demand",#N/A,TRUE,"Summary";"Primary Energy Balance",#N/A,TRUE,"Summary"}</definedName>
    <definedName name="wrn.Sup._.Folder._.98." localSheetId="10" hidden="1">{"U.S. Bde Deriv Trd",#N/A,FALSE,"US Trade Growth";"ImpTonsWE9698",#N/A,FALSE,"US Trade Growth";"ExpTonsWe9698",#N/A,FALSE,"US Trade Growth";"ImpLbsWE9698",#N/A,FALSE,"US Trade Growth";"ExpLbsWE9698",#N/A,FALSE,"US Trade Growth"}</definedName>
    <definedName name="wrn.Sup._.Folder._.98." hidden="1">{"U.S. Bde Deriv Trd",#N/A,FALSE,"US Trade Growth";"ImpTonsWE9698",#N/A,FALSE,"US Trade Growth";"ExpTonsWe9698",#N/A,FALSE,"US Trade Growth";"ImpLbsWE9698",#N/A,FALSE,"US Trade Growth";"ExpLbsWE9698",#N/A,FALSE,"US Trade Growth"}</definedName>
    <definedName name="wrn.Sup._.Folder._.99." localSheetId="10" hidden="1">{"U.S. Bde Deriv Trd 9899",#N/A,FALSE,"U.S. BDE Exp (Tons)WE abv";"ImpLbsWE9799",#N/A,FALSE,"U.S. BDE Exp (Tons)WE abv";"ImpTonsWE9799",#N/A,FALSE,"U.S. BDE Exp (Tons)WE abv";"ExpLbsWE9799",#N/A,FALSE,"U.S. BDE Exp (Tons)WE abv";"ExpTonsWE9799",#N/A,FALSE,"U.S. BDE Exp (Tons)WE abv"}</definedName>
    <definedName name="wrn.Sup._.Folder._.99." hidden="1">{"U.S. Bde Deriv Trd 9899",#N/A,FALSE,"U.S. BDE Exp (Tons)WE abv";"ImpLbsWE9799",#N/A,FALSE,"U.S. BDE Exp (Tons)WE abv";"ImpTonsWE9799",#N/A,FALSE,"U.S. BDE Exp (Tons)WE abv";"ExpLbsWE9799",#N/A,FALSE,"U.S. BDE Exp (Tons)WE abv";"ExpTonsWE9799",#N/A,FALSE,"U.S. BDE Exp (Tons)WE abv"}</definedName>
    <definedName name="wrn.sweet." localSheetId="10" hidden="1">{"sweet",#N/A,FALSE,"CNTRYTYPE"}</definedName>
    <definedName name="wrn.sweet." hidden="1">{"sweet",#N/A,FALSE,"CNTRYTYPE"}</definedName>
    <definedName name="wrn.sweet._1" localSheetId="10" hidden="1">{"sweet",#N/A,FALSE,"CNTRYTYPE"}</definedName>
    <definedName name="wrn.sweet._1" hidden="1">{"sweet",#N/A,FALSE,"CNTRYTYPE"}</definedName>
    <definedName name="wrn.sweet._1_1" localSheetId="10" hidden="1">{"sweet",#N/A,FALSE,"CNTRYTYPE"}</definedName>
    <definedName name="wrn.sweet._1_1" hidden="1">{"sweet",#N/A,FALSE,"CNTRYTYPE"}</definedName>
    <definedName name="wrn.sweet._2" localSheetId="10" hidden="1">{"sweet",#N/A,FALSE,"CNTRYTYPE"}</definedName>
    <definedName name="wrn.sweet._2" hidden="1">{"sweet",#N/A,FALSE,"CNTRYTYPE"}</definedName>
    <definedName name="wrn.sweet._2_1" localSheetId="10" hidden="1">{"sweet",#N/A,FALSE,"CNTRYTYPE"}</definedName>
    <definedName name="wrn.sweet._2_1" hidden="1">{"sweet",#N/A,FALSE,"CNTRYTYPE"}</definedName>
    <definedName name="wrn.tableeurlpg." localSheetId="10" hidden="1">{"eurlpg1",#N/A,FALSE,"europe LPG";"eurlpg2",#N/A,FALSE,"europe LPG"}</definedName>
    <definedName name="wrn.tableeurlpg." hidden="1">{"eurlpg1",#N/A,FALSE,"europe LPG";"eurlpg2",#N/A,FALSE,"europe LPG"}</definedName>
    <definedName name="wrn.tablejap." localSheetId="10" hidden="1">{"japcurrent1",#N/A,FALSE,"JAPAN PRODUCTS";"japcurrent2",#N/A,FALSE,"JAPAN PRODUCTS"}</definedName>
    <definedName name="wrn.tablejap." hidden="1">{"japcurrent1",#N/A,FALSE,"JAPAN PRODUCTS";"japcurrent2",#N/A,FALSE,"JAPAN PRODUCTS"}</definedName>
    <definedName name="wrn.tablejaplpg." localSheetId="10" hidden="1">{"japlpg1",#N/A,FALSE,"JAPAN LPG ";"japllpg2",#N/A,FALSE,"JAPAN LPG "}</definedName>
    <definedName name="wrn.tablejaplpg." hidden="1">{"japlpg1",#N/A,FALSE,"JAPAN LPG ";"japllpg2",#N/A,FALSE,"JAPAN LPG "}</definedName>
    <definedName name="wrn.tablemeastlpg." localSheetId="10" hidden="1">{"midlpg1",#N/A,FALSE,"MIDEAST LPG";"midlpg2",#N/A,FALSE,"MIDEAST LPG"}</definedName>
    <definedName name="wrn.tablemeastlpg." hidden="1">{"midlpg1",#N/A,FALSE,"MIDEAST LPG";"midlpg2",#N/A,FALSE,"MIDEAST LPG"}</definedName>
    <definedName name="wrn.TABLEMED." localSheetId="10" hidden="1">{"medcurrent1",#N/A,FALSE,"MED MARGINS";"medcurrent2",#N/A,FALSE,"MED MARGINS";"medconstant",#N/A,FALSE,"MED MARGINS"}</definedName>
    <definedName name="wrn.TABLEMED." hidden="1">{"medcurrent1",#N/A,FALSE,"MED MARGINS";"medcurrent2",#N/A,FALSE,"MED MARGINS";"medconstant",#N/A,FALSE,"MED MARGINS"}</definedName>
    <definedName name="wrn.tablemideast." localSheetId="10" hidden="1">{"midcurrent1",#N/A,FALSE,"ARAB GULF PRODUCTS";"midcurrent2",#N/A,FALSE,"ARAB GULF PRODUCTS"}</definedName>
    <definedName name="wrn.tablemideast." hidden="1">{"midcurrent1",#N/A,FALSE,"ARAB GULF PRODUCTS";"midcurrent2",#N/A,FALSE,"ARAB GULF PRODUCTS"}</definedName>
    <definedName name="wrn.tablengl." localSheetId="10" hidden="1">{"ngl1",#N/A,FALSE,"u.s. NGL";"ngl2",#N/A,FALSE,"u.s. NGL"}</definedName>
    <definedName name="wrn.tablengl." hidden="1">{"ngl1",#N/A,FALSE,"u.s. NGL";"ngl2",#N/A,FALSE,"u.s. NGL"}</definedName>
    <definedName name="wrn.TABLENWE." localSheetId="10" hidden="1">{"nwecurrent1",#N/A,FALSE,"NWE MARGINS";"nwecurrent2",#N/A,FALSE,"NWE MARGINS";"nweconstant",#N/A,FALSE,"NWE MARGINS"}</definedName>
    <definedName name="wrn.TABLENWE." hidden="1">{"nwecurrent1",#N/A,FALSE,"NWE MARGINS";"nwecurrent2",#N/A,FALSE,"NWE MARGINS";"nweconstant",#N/A,FALSE,"NWE MARGINS"}</definedName>
    <definedName name="wrn.tableprod." localSheetId="10" hidden="1">{"current1",#N/A,FALSE,"US PRODUCTS";"current2",#N/A,FALSE,"US PRODUCTS";"constant",#N/A,FALSE,"US PRODUCTS"}</definedName>
    <definedName name="wrn.tableprod." hidden="1">{"current1",#N/A,FALSE,"US PRODUCTS";"current2",#N/A,FALSE,"US PRODUCTS";"constant",#N/A,FALSE,"US PRODUCTS"}</definedName>
    <definedName name="wrn.Tables." localSheetId="10" hidden="1">{"Current",#N/A,FALSE,"Currentcal";"Current B",#N/A,FALSE,"Currentcal";"Constant",#N/A,FALSE,"Constantcal";"Constant B",#N/A,FALSE,"Constantcal"}</definedName>
    <definedName name="wrn.Tables." hidden="1">{"Current",#N/A,FALSE,"Currentcal";"Current B",#N/A,FALSE,"Currentcal";"Constant",#N/A,FALSE,"Constantcal";"Constant B",#N/A,FALSE,"Constantcal"}</definedName>
    <definedName name="wrn.Tables._1" localSheetId="10" hidden="1">{"Current",#N/A,FALSE,"Currentcal";"Current B",#N/A,FALSE,"Currentcal";"Constant",#N/A,FALSE,"Constantcal";"Constant B",#N/A,FALSE,"Constantcal"}</definedName>
    <definedName name="wrn.Tables._1" hidden="1">{"Current",#N/A,FALSE,"Currentcal";"Current B",#N/A,FALSE,"Currentcal";"Constant",#N/A,FALSE,"Constantcal";"Constant B",#N/A,FALSE,"Constantcal"}</definedName>
    <definedName name="wrn.Tables._1_1" localSheetId="10" hidden="1">{"Current",#N/A,FALSE,"Currentcal";"Current B",#N/A,FALSE,"Currentcal";"Constant",#N/A,FALSE,"Constantcal";"Constant B",#N/A,FALSE,"Constantcal"}</definedName>
    <definedName name="wrn.Tables._1_1" hidden="1">{"Current",#N/A,FALSE,"Currentcal";"Current B",#N/A,FALSE,"Currentcal";"Constant",#N/A,FALSE,"Constantcal";"Constant B",#N/A,FALSE,"Constantcal"}</definedName>
    <definedName name="wrn.Tables._2" localSheetId="10" hidden="1">{"Current",#N/A,FALSE,"Currentcal";"Current B",#N/A,FALSE,"Currentcal";"Constant",#N/A,FALSE,"Constantcal";"Constant B",#N/A,FALSE,"Constantcal"}</definedName>
    <definedName name="wrn.Tables._2" hidden="1">{"Current",#N/A,FALSE,"Currentcal";"Current B",#N/A,FALSE,"Currentcal";"Constant",#N/A,FALSE,"Constantcal";"Constant B",#N/A,FALSE,"Constantcal"}</definedName>
    <definedName name="wrn.Tables._2_1" localSheetId="10" hidden="1">{"Current",#N/A,FALSE,"Currentcal";"Current B",#N/A,FALSE,"Currentcal";"Constant",#N/A,FALSE,"Constantcal";"Constant B",#N/A,FALSE,"Constantcal"}</definedName>
    <definedName name="wrn.Tables._2_1" hidden="1">{"Current",#N/A,FALSE,"Currentcal";"Current B",#N/A,FALSE,"Currentcal";"Constant",#N/A,FALSE,"Constantcal";"Constant B",#N/A,FALSE,"Constantcal"}</definedName>
    <definedName name="wrn.total." localSheetId="10" hidden="1">{"total",#N/A,FALSE,"CNTRYTYPE"}</definedName>
    <definedName name="wrn.total." hidden="1">{"total",#N/A,FALSE,"CNTRYTYPE"}</definedName>
    <definedName name="wrn.total._1" localSheetId="10" hidden="1">{"total",#N/A,FALSE,"CNTRYTYPE"}</definedName>
    <definedName name="wrn.total._1" hidden="1">{"total",#N/A,FALSE,"CNTRYTYPE"}</definedName>
    <definedName name="wrn.total._1_1" localSheetId="10" hidden="1">{"total",#N/A,FALSE,"CNTRYTYPE"}</definedName>
    <definedName name="wrn.total._1_1" hidden="1">{"total",#N/A,FALSE,"CNTRYTYPE"}</definedName>
    <definedName name="wrn.total._2" localSheetId="10" hidden="1">{"total",#N/A,FALSE,"CNTRYTYPE"}</definedName>
    <definedName name="wrn.total._2" hidden="1">{"total",#N/A,FALSE,"CNTRYTYPE"}</definedName>
    <definedName name="wrn.total._2_1" localSheetId="10" hidden="1">{"total",#N/A,FALSE,"CNTRYTYPE"}</definedName>
    <definedName name="wrn.total._2_1" hidden="1">{"total",#N/A,FALSE,"CNTRYTYPE"}</definedName>
    <definedName name="wrn2.all" localSheetId="10" hidden="1">{"PAGE1",#N/A,FALSE,"YIELDS";"PAGE2",#N/A,FALSE,"YIELDS";"PAGE3",#N/A,FALSE,"YIELDS"}</definedName>
    <definedName name="wrn2.all" hidden="1">{"PAGE1",#N/A,FALSE,"YIELDS";"PAGE2",#N/A,FALSE,"YIELDS";"PAGE3",#N/A,FALSE,"YIELDS"}</definedName>
    <definedName name="wrn2.all." localSheetId="10" hidden="1">{"PAGE1",#N/A,FALSE,"YIELDS";"PAGE2",#N/A,FALSE,"YIELDS";"PAGE3",#N/A,FALSE,"YIELDS"}</definedName>
    <definedName name="wrn2.all." hidden="1">{"PAGE1",#N/A,FALSE,"YIELDS";"PAGE2",#N/A,FALSE,"YIELDS";"PAGE3",#N/A,FALSE,"YIELDS"}</definedName>
    <definedName name="wrn2.all._1" localSheetId="10" hidden="1">{"PAGE1",#N/A,FALSE,"YIELDS";"PAGE2",#N/A,FALSE,"YIELDS";"PAGE3",#N/A,FALSE,"YIELDS"}</definedName>
    <definedName name="wrn2.all._1" hidden="1">{"PAGE1",#N/A,FALSE,"YIELDS";"PAGE2",#N/A,FALSE,"YIELDS";"PAGE3",#N/A,FALSE,"YIELDS"}</definedName>
    <definedName name="wrn2.all._1_1" localSheetId="10" hidden="1">{"PAGE1",#N/A,FALSE,"YIELDS";"PAGE2",#N/A,FALSE,"YIELDS";"PAGE3",#N/A,FALSE,"YIELDS"}</definedName>
    <definedName name="wrn2.all._1_1" hidden="1">{"PAGE1",#N/A,FALSE,"YIELDS";"PAGE2",#N/A,FALSE,"YIELDS";"PAGE3",#N/A,FALSE,"YIELDS"}</definedName>
    <definedName name="wrn2.all._2" localSheetId="10" hidden="1">{"PAGE1",#N/A,FALSE,"YIELDS";"PAGE2",#N/A,FALSE,"YIELDS";"PAGE3",#N/A,FALSE,"YIELDS"}</definedName>
    <definedName name="wrn2.all._2" hidden="1">{"PAGE1",#N/A,FALSE,"YIELDS";"PAGE2",#N/A,FALSE,"YIELDS";"PAGE3",#N/A,FALSE,"YIELDS"}</definedName>
    <definedName name="wrn2.all._2_1" localSheetId="10" hidden="1">{"PAGE1",#N/A,FALSE,"YIELDS";"PAGE2",#N/A,FALSE,"YIELDS";"PAGE3",#N/A,FALSE,"YIELDS"}</definedName>
    <definedName name="wrn2.all._2_1" hidden="1">{"PAGE1",#N/A,FALSE,"YIELDS";"PAGE2",#N/A,FALSE,"YIELDS";"PAGE3",#N/A,FALSE,"YIELDS"}</definedName>
    <definedName name="wrn2.all_1" localSheetId="10" hidden="1">{"PAGE1",#N/A,FALSE,"YIELDS";"PAGE2",#N/A,FALSE,"YIELDS";"PAGE3",#N/A,FALSE,"YIELDS"}</definedName>
    <definedName name="wrn2.all_1" hidden="1">{"PAGE1",#N/A,FALSE,"YIELDS";"PAGE2",#N/A,FALSE,"YIELDS";"PAGE3",#N/A,FALSE,"YIELDS"}</definedName>
    <definedName name="wrn2.all_1_1" localSheetId="10" hidden="1">{"PAGE1",#N/A,FALSE,"YIELDS";"PAGE2",#N/A,FALSE,"YIELDS";"PAGE3",#N/A,FALSE,"YIELDS"}</definedName>
    <definedName name="wrn2.all_1_1" hidden="1">{"PAGE1",#N/A,FALSE,"YIELDS";"PAGE2",#N/A,FALSE,"YIELDS";"PAGE3",#N/A,FALSE,"YIELDS"}</definedName>
    <definedName name="wrn2.all_2" localSheetId="10" hidden="1">{"PAGE1",#N/A,FALSE,"YIELDS";"PAGE2",#N/A,FALSE,"YIELDS";"PAGE3",#N/A,FALSE,"YIELDS"}</definedName>
    <definedName name="wrn2.all_2" hidden="1">{"PAGE1",#N/A,FALSE,"YIELDS";"PAGE2",#N/A,FALSE,"YIELDS";"PAGE3",#N/A,FALSE,"YIELDS"}</definedName>
    <definedName name="wrn2.all_2_1" localSheetId="10" hidden="1">{"PAGE1",#N/A,FALSE,"YIELDS";"PAGE2",#N/A,FALSE,"YIELDS";"PAGE3",#N/A,FALSE,"YIELDS"}</definedName>
    <definedName name="wrn2.all_2_1" hidden="1">{"PAGE1",#N/A,FALSE,"YIELDS";"PAGE2",#N/A,FALSE,"YIELDS";"PAGE3",#N/A,FALSE,"YIELDS"}</definedName>
    <definedName name="wrn2.gasodem." localSheetId="10" hidden="1">{"monthly",#N/A,FALSE,"GASODEM";"qtr to yr",#N/A,FALSE,"GASODEM"}</definedName>
    <definedName name="wrn2.gasodem." hidden="1">{"monthly",#N/A,FALSE,"GASODEM";"qtr to yr",#N/A,FALSE,"GASODEM"}</definedName>
    <definedName name="wrn2.gasodem._1" localSheetId="10" hidden="1">{"monthly",#N/A,FALSE,"GASODEM";"qtr to yr",#N/A,FALSE,"GASODEM"}</definedName>
    <definedName name="wrn2.gasodem._1" hidden="1">{"monthly",#N/A,FALSE,"GASODEM";"qtr to yr",#N/A,FALSE,"GASODEM"}</definedName>
    <definedName name="wrn2.gasodem._1_1" localSheetId="10" hidden="1">{"monthly",#N/A,FALSE,"GASODEM";"qtr to yr",#N/A,FALSE,"GASODEM"}</definedName>
    <definedName name="wrn2.gasodem._1_1" hidden="1">{"monthly",#N/A,FALSE,"GASODEM";"qtr to yr",#N/A,FALSE,"GASODEM"}</definedName>
    <definedName name="wrn2.gasodem._2" localSheetId="10" hidden="1">{"monthly",#N/A,FALSE,"GASODEM";"qtr to yr",#N/A,FALSE,"GASODEM"}</definedName>
    <definedName name="wrn2.gasodem._2" hidden="1">{"monthly",#N/A,FALSE,"GASODEM";"qtr to yr",#N/A,FALSE,"GASODEM"}</definedName>
    <definedName name="wrn2.gasodem._2_1" localSheetId="10" hidden="1">{"monthly",#N/A,FALSE,"GASODEM";"qtr to yr",#N/A,FALSE,"GASODEM"}</definedName>
    <definedName name="wrn2.gasodem._2_1" hidden="1">{"monthly",#N/A,FALSE,"GASODEM";"qtr to yr",#N/A,FALSE,"GASODEM"}</definedName>
    <definedName name="x" localSheetId="10" hidden="1">{"Capacities",#N/A,FALSE,"HOUSTON"}</definedName>
    <definedName name="x" hidden="1">{"Capacities",#N/A,FALSE,"HOUSTON"}</definedName>
    <definedName name="x_1" localSheetId="10" hidden="1">{"Capacities",#N/A,FALSE,"HOUSTON"}</definedName>
    <definedName name="x_1" hidden="1">{"Capacities",#N/A,FALSE,"HOUSTON"}</definedName>
    <definedName name="x_1_1" localSheetId="10" hidden="1">{"Capacities",#N/A,FALSE,"HOUSTON"}</definedName>
    <definedName name="x_1_1" hidden="1">{"Capacities",#N/A,FALSE,"HOUSTON"}</definedName>
    <definedName name="x_2" localSheetId="10" hidden="1">{"Capacities",#N/A,FALSE,"HOUSTON"}</definedName>
    <definedName name="x_2" hidden="1">{"Capacities",#N/A,FALSE,"HOUSTON"}</definedName>
    <definedName name="x_2_1" localSheetId="10" hidden="1">{"Capacities",#N/A,FALSE,"HOUSTON"}</definedName>
    <definedName name="x_2_1" hidden="1">{"Capacities",#N/A,FALSE,"HOUSTON"}</definedName>
    <definedName name="xxxxx" localSheetId="10" hidden="1">{"monthly",#N/A,FALSE,"GASODEM";"qtr to yr",#N/A,FALSE,"GASODEM"}</definedName>
    <definedName name="xxxxx" hidden="1">{"monthly",#N/A,FALSE,"GASODEM";"qtr to yr",#N/A,FALSE,"GASODEM"}</definedName>
    <definedName name="xxxxx_1" localSheetId="10" hidden="1">{"monthly",#N/A,FALSE,"GASODEM";"qtr to yr",#N/A,FALSE,"GASODEM"}</definedName>
    <definedName name="xxxxx_1" hidden="1">{"monthly",#N/A,FALSE,"GASODEM";"qtr to yr",#N/A,FALSE,"GASODEM"}</definedName>
    <definedName name="xxxxx_1_1" localSheetId="10" hidden="1">{"monthly",#N/A,FALSE,"GASODEM";"qtr to yr",#N/A,FALSE,"GASODEM"}</definedName>
    <definedName name="xxxxx_1_1" hidden="1">{"monthly",#N/A,FALSE,"GASODEM";"qtr to yr",#N/A,FALSE,"GASODEM"}</definedName>
    <definedName name="xxxxx_2" localSheetId="10" hidden="1">{"monthly",#N/A,FALSE,"GASODEM";"qtr to yr",#N/A,FALSE,"GASODEM"}</definedName>
    <definedName name="xxxxx_2" hidden="1">{"monthly",#N/A,FALSE,"GASODEM";"qtr to yr",#N/A,FALSE,"GASODEM"}</definedName>
    <definedName name="xxxxx_2_1" localSheetId="10" hidden="1">{"monthly",#N/A,FALSE,"GASODEM";"qtr to yr",#N/A,FALSE,"GASODEM"}</definedName>
    <definedName name="xxxxx_2_1" hidden="1">{"monthly",#N/A,FALSE,"GASODEM";"qtr to yr",#N/A,FALSE,"GASODEM"}</definedName>
    <definedName name="xyz" localSheetId="10" hidden="1">{"midlpg1",#N/A,FALSE,"MIDEAST LPG";"midlpg2",#N/A,FALSE,"MIDEAST LPG"}</definedName>
    <definedName name="xyz" hidden="1">{"midlpg1",#N/A,FALSE,"MIDEAST LPG";"midlpg2",#N/A,FALSE,"MIDEAST LPG"}</definedName>
    <definedName name="y" localSheetId="10" hidden="1">{"Diesel",#N/A,FALSE,"HOUSTON"}</definedName>
    <definedName name="y" hidden="1">{"Diesel",#N/A,FALSE,"HOUSTON"}</definedName>
    <definedName name="y_1" localSheetId="10" hidden="1">{"Diesel",#N/A,FALSE,"HOUSTON"}</definedName>
    <definedName name="y_1" hidden="1">{"Diesel",#N/A,FALSE,"HOUSTON"}</definedName>
    <definedName name="y_1_1" localSheetId="10" hidden="1">{"Diesel",#N/A,FALSE,"HOUSTON"}</definedName>
    <definedName name="y_1_1" hidden="1">{"Diesel",#N/A,FALSE,"HOUSTON"}</definedName>
    <definedName name="y_2" localSheetId="10" hidden="1">{"Diesel",#N/A,FALSE,"HOUSTON"}</definedName>
    <definedName name="y_2" hidden="1">{"Diesel",#N/A,FALSE,"HOUSTON"}</definedName>
    <definedName name="y_2_1" localSheetId="10" hidden="1">{"Diesel",#N/A,FALSE,"HOUSTON"}</definedName>
    <definedName name="y_2_1" hidden="1">{"Diesel",#N/A,FALSE,"HOUSTON"}</definedName>
    <definedName name="z" localSheetId="10" hidden="1">{"Fuel Oil",#N/A,FALSE,"HOUSTON";"Fuel Oil BPD",#N/A,FALSE,"BPD"}</definedName>
    <definedName name="z" hidden="1">{"Fuel Oil",#N/A,FALSE,"HOUSTON";"Fuel Oil BPD",#N/A,FALSE,"BPD"}</definedName>
    <definedName name="z_1" localSheetId="10" hidden="1">{"Fuel Oil",#N/A,FALSE,"HOUSTON";"Fuel Oil BPD",#N/A,FALSE,"BPD"}</definedName>
    <definedName name="z_1" hidden="1">{"Fuel Oil",#N/A,FALSE,"HOUSTON";"Fuel Oil BPD",#N/A,FALSE,"BPD"}</definedName>
    <definedName name="z_1_1" localSheetId="10" hidden="1">{"Fuel Oil",#N/A,FALSE,"HOUSTON";"Fuel Oil BPD",#N/A,FALSE,"BPD"}</definedName>
    <definedName name="z_1_1" hidden="1">{"Fuel Oil",#N/A,FALSE,"HOUSTON";"Fuel Oil BPD",#N/A,FALSE,"BPD"}</definedName>
    <definedName name="z_2" localSheetId="10" hidden="1">{"Fuel Oil",#N/A,FALSE,"HOUSTON";"Fuel Oil BPD",#N/A,FALSE,"BPD"}</definedName>
    <definedName name="z_2" hidden="1">{"Fuel Oil",#N/A,FALSE,"HOUSTON";"Fuel Oil BPD",#N/A,FALSE,"BPD"}</definedName>
    <definedName name="z_2_1" localSheetId="10" hidden="1">{"Fuel Oil",#N/A,FALSE,"HOUSTON";"Fuel Oil BPD",#N/A,FALSE,"BPD"}</definedName>
    <definedName name="z_2_1" hidden="1">{"Fuel Oil",#N/A,FALSE,"HOUSTON";"Fuel Oil BPD",#N/A,FALSE,"BPD"}</definedName>
  </definedNames>
  <calcPr calcId="191029"/>
  <pivotCaches>
    <pivotCache cacheId="0" r:id="rId25"/>
    <pivotCache cacheId="6" r:id="rId2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8" i="8" l="1"/>
  <c r="J288" i="8"/>
  <c r="K288" i="8"/>
  <c r="C287" i="8"/>
  <c r="J287" i="8"/>
  <c r="K287" i="8"/>
  <c r="C286" i="8"/>
  <c r="J286" i="8"/>
  <c r="K286" i="8"/>
  <c r="C284" i="8"/>
  <c r="C285" i="8"/>
  <c r="J284" i="8"/>
  <c r="J285" i="8"/>
  <c r="K284" i="8"/>
  <c r="K285" i="8"/>
  <c r="C283" i="8"/>
  <c r="J283" i="8"/>
  <c r="K283" i="8"/>
  <c r="C282" i="8"/>
  <c r="J282" i="8"/>
  <c r="K282" i="8"/>
  <c r="C281" i="8"/>
  <c r="J281" i="8"/>
  <c r="K281" i="8"/>
  <c r="K2" i="8" l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K21" i="8"/>
  <c r="K22" i="8"/>
  <c r="K23" i="8"/>
  <c r="K24" i="8"/>
  <c r="K25" i="8"/>
  <c r="K26" i="8"/>
  <c r="K27" i="8"/>
  <c r="K28" i="8"/>
  <c r="K29" i="8"/>
  <c r="K30" i="8"/>
  <c r="K31" i="8"/>
  <c r="K32" i="8"/>
  <c r="K33" i="8"/>
  <c r="K34" i="8"/>
  <c r="K35" i="8"/>
  <c r="K36" i="8"/>
  <c r="K37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K92" i="8"/>
  <c r="K93" i="8"/>
  <c r="K94" i="8"/>
  <c r="K95" i="8"/>
  <c r="K96" i="8"/>
  <c r="K97" i="8"/>
  <c r="K98" i="8"/>
  <c r="K99" i="8"/>
  <c r="K100" i="8"/>
  <c r="K101" i="8"/>
  <c r="K102" i="8"/>
  <c r="K103" i="8"/>
  <c r="K104" i="8"/>
  <c r="K105" i="8"/>
  <c r="K106" i="8"/>
  <c r="K107" i="8"/>
  <c r="K108" i="8"/>
  <c r="K109" i="8"/>
  <c r="K110" i="8"/>
  <c r="K111" i="8"/>
  <c r="K112" i="8"/>
  <c r="K113" i="8"/>
  <c r="K114" i="8"/>
  <c r="K115" i="8"/>
  <c r="K116" i="8"/>
  <c r="K117" i="8"/>
  <c r="K118" i="8"/>
  <c r="K119" i="8"/>
  <c r="K120" i="8"/>
  <c r="K121" i="8"/>
  <c r="K122" i="8"/>
  <c r="K123" i="8"/>
  <c r="K124" i="8"/>
  <c r="K125" i="8"/>
  <c r="K126" i="8"/>
  <c r="K127" i="8"/>
  <c r="K128" i="8"/>
  <c r="K129" i="8"/>
  <c r="K130" i="8"/>
  <c r="K131" i="8"/>
  <c r="K132" i="8"/>
  <c r="K133" i="8"/>
  <c r="K134" i="8"/>
  <c r="K135" i="8"/>
  <c r="K136" i="8"/>
  <c r="K137" i="8"/>
  <c r="K138" i="8"/>
  <c r="K139" i="8"/>
  <c r="K140" i="8"/>
  <c r="K141" i="8"/>
  <c r="K142" i="8"/>
  <c r="K143" i="8"/>
  <c r="K144" i="8"/>
  <c r="K145" i="8"/>
  <c r="K146" i="8"/>
  <c r="K147" i="8"/>
  <c r="K148" i="8"/>
  <c r="K149" i="8"/>
  <c r="K150" i="8"/>
  <c r="K151" i="8"/>
  <c r="K152" i="8"/>
  <c r="K153" i="8"/>
  <c r="K154" i="8"/>
  <c r="K155" i="8"/>
  <c r="K156" i="8"/>
  <c r="K157" i="8"/>
  <c r="K158" i="8"/>
  <c r="K159" i="8"/>
  <c r="K160" i="8"/>
  <c r="K161" i="8"/>
  <c r="K162" i="8"/>
  <c r="K163" i="8"/>
  <c r="K164" i="8"/>
  <c r="K165" i="8"/>
  <c r="K166" i="8"/>
  <c r="K167" i="8"/>
  <c r="K168" i="8"/>
  <c r="K169" i="8"/>
  <c r="K170" i="8"/>
  <c r="K171" i="8"/>
  <c r="K172" i="8"/>
  <c r="K173" i="8"/>
  <c r="K174" i="8"/>
  <c r="K175" i="8"/>
  <c r="K176" i="8"/>
  <c r="K177" i="8"/>
  <c r="K178" i="8"/>
  <c r="K179" i="8"/>
  <c r="K180" i="8"/>
  <c r="K181" i="8"/>
  <c r="K182" i="8"/>
  <c r="K183" i="8"/>
  <c r="K184" i="8"/>
  <c r="K185" i="8"/>
  <c r="K186" i="8"/>
  <c r="K187" i="8"/>
  <c r="K188" i="8"/>
  <c r="K189" i="8"/>
  <c r="K190" i="8"/>
  <c r="K191" i="8"/>
  <c r="K192" i="8"/>
  <c r="K193" i="8"/>
  <c r="K194" i="8"/>
  <c r="K195" i="8"/>
  <c r="K196" i="8"/>
  <c r="K197" i="8"/>
  <c r="K198" i="8"/>
  <c r="K199" i="8"/>
  <c r="K200" i="8"/>
  <c r="K201" i="8"/>
  <c r="K202" i="8"/>
  <c r="K203" i="8"/>
  <c r="K204" i="8"/>
  <c r="K205" i="8"/>
  <c r="K206" i="8"/>
  <c r="K207" i="8"/>
  <c r="K208" i="8"/>
  <c r="K209" i="8"/>
  <c r="K210" i="8"/>
  <c r="K211" i="8"/>
  <c r="K212" i="8"/>
  <c r="K213" i="8"/>
  <c r="K214" i="8"/>
  <c r="K215" i="8"/>
  <c r="K216" i="8"/>
  <c r="K217" i="8"/>
  <c r="K218" i="8"/>
  <c r="K219" i="8"/>
  <c r="K220" i="8"/>
  <c r="K221" i="8"/>
  <c r="K222" i="8"/>
  <c r="K223" i="8"/>
  <c r="K224" i="8"/>
  <c r="K225" i="8"/>
  <c r="K226" i="8"/>
  <c r="K227" i="8"/>
  <c r="K228" i="8"/>
  <c r="K229" i="8"/>
  <c r="K230" i="8"/>
  <c r="K231" i="8"/>
  <c r="K232" i="8"/>
  <c r="K233" i="8"/>
  <c r="K234" i="8"/>
  <c r="K235" i="8"/>
  <c r="K236" i="8"/>
  <c r="K237" i="8"/>
  <c r="K238" i="8"/>
  <c r="K239" i="8"/>
  <c r="K240" i="8"/>
  <c r="K241" i="8"/>
  <c r="K242" i="8"/>
  <c r="K243" i="8"/>
  <c r="K244" i="8"/>
  <c r="K245" i="8"/>
  <c r="K246" i="8"/>
  <c r="K247" i="8"/>
  <c r="K248" i="8"/>
  <c r="K249" i="8"/>
  <c r="K250" i="8"/>
  <c r="K251" i="8"/>
  <c r="K252" i="8"/>
  <c r="K253" i="8"/>
  <c r="K254" i="8"/>
  <c r="K255" i="8"/>
  <c r="K256" i="8"/>
  <c r="K257" i="8"/>
  <c r="K258" i="8"/>
  <c r="K259" i="8"/>
  <c r="K260" i="8"/>
  <c r="K261" i="8"/>
  <c r="K262" i="8"/>
  <c r="K263" i="8"/>
  <c r="K264" i="8"/>
  <c r="K265" i="8"/>
  <c r="K266" i="8"/>
  <c r="K267" i="8"/>
  <c r="K268" i="8"/>
  <c r="K269" i="8"/>
  <c r="K270" i="8"/>
  <c r="K271" i="8"/>
  <c r="K272" i="8"/>
  <c r="K273" i="8"/>
  <c r="K274" i="8"/>
  <c r="K275" i="8"/>
  <c r="K276" i="8"/>
  <c r="K277" i="8"/>
  <c r="K278" i="8"/>
  <c r="K279" i="8"/>
  <c r="K280" i="8"/>
  <c r="C280" i="8"/>
  <c r="J280" i="8"/>
  <c r="I109" i="29" l="1"/>
  <c r="J109" i="29" s="1"/>
  <c r="L109" i="29" s="1"/>
  <c r="M109" i="29" s="1"/>
  <c r="A109" i="29"/>
  <c r="J108" i="29"/>
  <c r="L108" i="29" s="1"/>
  <c r="M108" i="29" s="1"/>
  <c r="I108" i="29"/>
  <c r="A108" i="29"/>
  <c r="I107" i="29"/>
  <c r="J107" i="29" s="1"/>
  <c r="L107" i="29" s="1"/>
  <c r="M107" i="29" s="1"/>
  <c r="A107" i="29"/>
  <c r="J106" i="29"/>
  <c r="L106" i="29" s="1"/>
  <c r="M106" i="29" s="1"/>
  <c r="I106" i="29"/>
  <c r="A106" i="29"/>
  <c r="I105" i="29"/>
  <c r="J105" i="29" s="1"/>
  <c r="L105" i="29" s="1"/>
  <c r="M105" i="29" s="1"/>
  <c r="A105" i="29"/>
  <c r="I104" i="29"/>
  <c r="J104" i="29" s="1"/>
  <c r="L104" i="29" s="1"/>
  <c r="M104" i="29" s="1"/>
  <c r="A104" i="29"/>
  <c r="I103" i="29"/>
  <c r="J103" i="29" s="1"/>
  <c r="L103" i="29" s="1"/>
  <c r="M103" i="29" s="1"/>
  <c r="A103" i="29"/>
  <c r="I102" i="29"/>
  <c r="J102" i="29" s="1"/>
  <c r="L102" i="29" s="1"/>
  <c r="M102" i="29" s="1"/>
  <c r="A102" i="29"/>
  <c r="I101" i="29"/>
  <c r="J101" i="29" s="1"/>
  <c r="L101" i="29" s="1"/>
  <c r="M101" i="29" s="1"/>
  <c r="A101" i="29"/>
  <c r="H100" i="30"/>
  <c r="I100" i="30" s="1"/>
  <c r="H101" i="30"/>
  <c r="I101" i="30" s="1"/>
  <c r="H102" i="30"/>
  <c r="I102" i="30" s="1"/>
  <c r="H103" i="30"/>
  <c r="I103" i="30" s="1"/>
  <c r="H104" i="30"/>
  <c r="I104" i="30" s="1"/>
  <c r="H105" i="30"/>
  <c r="I105" i="30" s="1"/>
  <c r="H106" i="30"/>
  <c r="I106" i="30" s="1"/>
  <c r="H107" i="30"/>
  <c r="I107" i="30"/>
  <c r="H108" i="30"/>
  <c r="I108" i="30" s="1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F97" i="31" l="1"/>
  <c r="F98" i="31"/>
  <c r="F99" i="31"/>
  <c r="F100" i="31"/>
  <c r="F101" i="31"/>
  <c r="F102" i="31"/>
  <c r="F103" i="31"/>
  <c r="F104" i="31"/>
  <c r="F105" i="31"/>
  <c r="D97" i="31"/>
  <c r="D98" i="31"/>
  <c r="D99" i="31"/>
  <c r="D100" i="31"/>
  <c r="D101" i="31"/>
  <c r="D102" i="31"/>
  <c r="D103" i="31"/>
  <c r="D104" i="31"/>
  <c r="D105" i="31"/>
  <c r="F3" i="31"/>
  <c r="F4" i="31"/>
  <c r="F5" i="31"/>
  <c r="F6" i="31"/>
  <c r="F7" i="31"/>
  <c r="F9" i="31"/>
  <c r="F10" i="31"/>
  <c r="F8" i="31"/>
  <c r="F11" i="31"/>
  <c r="F12" i="31"/>
  <c r="F13" i="31"/>
  <c r="F14" i="31"/>
  <c r="F15" i="31"/>
  <c r="F16" i="31"/>
  <c r="F17" i="31"/>
  <c r="F18" i="31"/>
  <c r="F19" i="31"/>
  <c r="F20" i="31"/>
  <c r="F21" i="31"/>
  <c r="F22" i="31"/>
  <c r="F23" i="31"/>
  <c r="F24" i="31"/>
  <c r="F25" i="31"/>
  <c r="F26" i="31"/>
  <c r="F27" i="31"/>
  <c r="F28" i="31"/>
  <c r="F29" i="31"/>
  <c r="F30" i="31"/>
  <c r="F31" i="31"/>
  <c r="F32" i="31"/>
  <c r="F33" i="31"/>
  <c r="F34" i="31"/>
  <c r="F35" i="31"/>
  <c r="F36" i="31"/>
  <c r="F37" i="31"/>
  <c r="F38" i="31"/>
  <c r="F39" i="31"/>
  <c r="F40" i="31"/>
  <c r="F41" i="31"/>
  <c r="F42" i="31"/>
  <c r="F43" i="31"/>
  <c r="F44" i="31"/>
  <c r="F45" i="31"/>
  <c r="F46" i="31"/>
  <c r="F47" i="31"/>
  <c r="F48" i="31"/>
  <c r="F49" i="31"/>
  <c r="F50" i="31"/>
  <c r="F51" i="31"/>
  <c r="F52" i="31"/>
  <c r="F53" i="31"/>
  <c r="F54" i="31"/>
  <c r="F55" i="31"/>
  <c r="F56" i="31"/>
  <c r="F57" i="31"/>
  <c r="F58" i="31"/>
  <c r="F59" i="31"/>
  <c r="F60" i="31"/>
  <c r="F61" i="31"/>
  <c r="F62" i="31"/>
  <c r="F63" i="31"/>
  <c r="F64" i="31"/>
  <c r="F65" i="31"/>
  <c r="F66" i="31"/>
  <c r="F67" i="31"/>
  <c r="F68" i="31"/>
  <c r="F69" i="31"/>
  <c r="F70" i="31"/>
  <c r="F71" i="31"/>
  <c r="F72" i="31"/>
  <c r="F73" i="31"/>
  <c r="F74" i="31"/>
  <c r="F75" i="31"/>
  <c r="F76" i="31"/>
  <c r="F77" i="31"/>
  <c r="F78" i="31"/>
  <c r="F79" i="31"/>
  <c r="F80" i="31"/>
  <c r="F81" i="31"/>
  <c r="F82" i="31"/>
  <c r="F83" i="31"/>
  <c r="F84" i="31"/>
  <c r="F85" i="31"/>
  <c r="F86" i="31"/>
  <c r="F87" i="31"/>
  <c r="F88" i="31"/>
  <c r="F89" i="31"/>
  <c r="F90" i="31"/>
  <c r="F91" i="31"/>
  <c r="F92" i="31"/>
  <c r="F93" i="31"/>
  <c r="F94" i="31"/>
  <c r="F95" i="31"/>
  <c r="F96" i="31"/>
  <c r="F2" i="31"/>
  <c r="D3" i="31"/>
  <c r="D4" i="31"/>
  <c r="D5" i="31"/>
  <c r="D6" i="31"/>
  <c r="D7" i="31"/>
  <c r="D9" i="31"/>
  <c r="D10" i="31"/>
  <c r="D8" i="31"/>
  <c r="D11" i="31"/>
  <c r="D12" i="31"/>
  <c r="D13" i="31"/>
  <c r="D14" i="31"/>
  <c r="D15" i="31"/>
  <c r="D16" i="31"/>
  <c r="D17" i="31"/>
  <c r="D18" i="31"/>
  <c r="D19" i="31"/>
  <c r="D20" i="31"/>
  <c r="D21" i="31"/>
  <c r="D22" i="31"/>
  <c r="D23" i="31"/>
  <c r="D24" i="31"/>
  <c r="D25" i="31"/>
  <c r="D26" i="31"/>
  <c r="D27" i="31"/>
  <c r="D28" i="31"/>
  <c r="D29" i="31"/>
  <c r="D30" i="31"/>
  <c r="D31" i="31"/>
  <c r="D32" i="31"/>
  <c r="D33" i="31"/>
  <c r="D34" i="31"/>
  <c r="D35" i="31"/>
  <c r="D36" i="31"/>
  <c r="D37" i="31"/>
  <c r="D38" i="31"/>
  <c r="D39" i="31"/>
  <c r="D40" i="31"/>
  <c r="D41" i="31"/>
  <c r="D42" i="31"/>
  <c r="D43" i="31"/>
  <c r="D44" i="31"/>
  <c r="D45" i="31"/>
  <c r="D46" i="31"/>
  <c r="D47" i="31"/>
  <c r="D48" i="31"/>
  <c r="D49" i="31"/>
  <c r="D50" i="31"/>
  <c r="D51" i="31"/>
  <c r="D52" i="31"/>
  <c r="D53" i="31"/>
  <c r="D54" i="31"/>
  <c r="D55" i="31"/>
  <c r="D56" i="31"/>
  <c r="D57" i="31"/>
  <c r="D58" i="31"/>
  <c r="D59" i="31"/>
  <c r="D60" i="31"/>
  <c r="D61" i="31"/>
  <c r="D62" i="31"/>
  <c r="D63" i="31"/>
  <c r="D64" i="31"/>
  <c r="D65" i="31"/>
  <c r="D66" i="31"/>
  <c r="D67" i="31"/>
  <c r="D68" i="31"/>
  <c r="D69" i="31"/>
  <c r="D70" i="31"/>
  <c r="D71" i="31"/>
  <c r="D72" i="31"/>
  <c r="D73" i="31"/>
  <c r="D74" i="31"/>
  <c r="D75" i="31"/>
  <c r="D76" i="31"/>
  <c r="D77" i="31"/>
  <c r="D78" i="31"/>
  <c r="D79" i="31"/>
  <c r="D80" i="31"/>
  <c r="D81" i="31"/>
  <c r="D82" i="31"/>
  <c r="D83" i="31"/>
  <c r="D84" i="31"/>
  <c r="D85" i="31"/>
  <c r="D86" i="31"/>
  <c r="D87" i="31"/>
  <c r="D88" i="31"/>
  <c r="D89" i="31"/>
  <c r="D90" i="31"/>
  <c r="D91" i="31"/>
  <c r="D92" i="31"/>
  <c r="D93" i="31"/>
  <c r="D94" i="31"/>
  <c r="D95" i="31"/>
  <c r="D96" i="31"/>
  <c r="D2" i="31"/>
  <c r="G105" i="31" l="1"/>
  <c r="H6" i="18" s="1"/>
  <c r="G104" i="31"/>
  <c r="H5" i="18" s="1"/>
  <c r="G103" i="31"/>
  <c r="H104" i="18" s="1"/>
  <c r="G102" i="31"/>
  <c r="H103" i="18" s="1"/>
  <c r="G101" i="31"/>
  <c r="H102" i="18" s="1"/>
  <c r="G99" i="31"/>
  <c r="H13" i="18" s="1"/>
  <c r="G100" i="31"/>
  <c r="H8" i="18" s="1"/>
  <c r="G98" i="31"/>
  <c r="H12" i="18" s="1"/>
  <c r="G97" i="31"/>
  <c r="H11" i="18" s="1"/>
  <c r="H3" i="29"/>
  <c r="G96" i="31"/>
  <c r="G95" i="31"/>
  <c r="G94" i="31"/>
  <c r="H96" i="18" s="1"/>
  <c r="G93" i="31"/>
  <c r="H21" i="18" s="1"/>
  <c r="G92" i="31"/>
  <c r="H19" i="18" s="1"/>
  <c r="G91" i="31"/>
  <c r="H10" i="18" s="1"/>
  <c r="G90" i="31"/>
  <c r="H20" i="18" s="1"/>
  <c r="G89" i="31"/>
  <c r="H67" i="18" s="1"/>
  <c r="G88" i="31"/>
  <c r="G87" i="31"/>
  <c r="H75" i="18" s="1"/>
  <c r="G86" i="31"/>
  <c r="H9" i="18" s="1"/>
  <c r="G85" i="31"/>
  <c r="G84" i="31"/>
  <c r="G83" i="31"/>
  <c r="H81" i="18" s="1"/>
  <c r="G82" i="31"/>
  <c r="H84" i="18" s="1"/>
  <c r="G81" i="31"/>
  <c r="H52" i="18" s="1"/>
  <c r="G80" i="31"/>
  <c r="H83" i="18" s="1"/>
  <c r="G79" i="31"/>
  <c r="H51" i="18" s="1"/>
  <c r="G78" i="31"/>
  <c r="H85" i="18" s="1"/>
  <c r="G77" i="31"/>
  <c r="H34" i="18" s="1"/>
  <c r="G76" i="31"/>
  <c r="G75" i="31"/>
  <c r="G74" i="31"/>
  <c r="H53" i="18" s="1"/>
  <c r="G73" i="31"/>
  <c r="H54" i="18" s="1"/>
  <c r="G72" i="31"/>
  <c r="H47" i="18" s="1"/>
  <c r="G71" i="31"/>
  <c r="H48" i="18" s="1"/>
  <c r="G70" i="31"/>
  <c r="H27" i="18" s="1"/>
  <c r="G69" i="31"/>
  <c r="H26" i="18" s="1"/>
  <c r="G68" i="31"/>
  <c r="H4" i="18" s="1"/>
  <c r="G67" i="31"/>
  <c r="H3" i="18" s="1"/>
  <c r="G66" i="31"/>
  <c r="H68" i="18" s="1"/>
  <c r="G65" i="31"/>
  <c r="G64" i="31"/>
  <c r="G63" i="31"/>
  <c r="H77" i="18" s="1"/>
  <c r="G62" i="31"/>
  <c r="H70" i="18" s="1"/>
  <c r="G61" i="31"/>
  <c r="H25" i="18" s="1"/>
  <c r="G60" i="31"/>
  <c r="H65" i="18" s="1"/>
  <c r="G59" i="31"/>
  <c r="H69" i="18" s="1"/>
  <c r="G58" i="31"/>
  <c r="H76" i="18" s="1"/>
  <c r="G57" i="31"/>
  <c r="H50" i="18" s="1"/>
  <c r="G56" i="31"/>
  <c r="G55" i="31"/>
  <c r="G54" i="31"/>
  <c r="H87" i="18" s="1"/>
  <c r="G53" i="31"/>
  <c r="H89" i="18" s="1"/>
  <c r="G52" i="31"/>
  <c r="H88" i="18" s="1"/>
  <c r="G51" i="31"/>
  <c r="H29" i="18" s="1"/>
  <c r="G50" i="31"/>
  <c r="H30" i="18" s="1"/>
  <c r="G49" i="31"/>
  <c r="H28" i="18" s="1"/>
  <c r="G48" i="31"/>
  <c r="H58" i="18" s="1"/>
  <c r="G47" i="31"/>
  <c r="H7" i="18" s="1"/>
  <c r="G46" i="31"/>
  <c r="H64" i="18" s="1"/>
  <c r="G45" i="31"/>
  <c r="H59" i="18" s="1"/>
  <c r="G44" i="31"/>
  <c r="H41" i="18" s="1"/>
  <c r="G43" i="31"/>
  <c r="G42" i="31"/>
  <c r="G41" i="31"/>
  <c r="H37" i="18" s="1"/>
  <c r="G40" i="31"/>
  <c r="H35" i="18" s="1"/>
  <c r="G39" i="31"/>
  <c r="H36" i="18" s="1"/>
  <c r="G38" i="31"/>
  <c r="H57" i="18" s="1"/>
  <c r="G37" i="31"/>
  <c r="H56" i="18" s="1"/>
  <c r="G36" i="31"/>
  <c r="H98" i="18" s="1"/>
  <c r="G35" i="31"/>
  <c r="H97" i="18" s="1"/>
  <c r="G34" i="31"/>
  <c r="H100" i="18" s="1"/>
  <c r="G33" i="31"/>
  <c r="H99" i="18" s="1"/>
  <c r="G32" i="31"/>
  <c r="H95" i="18" s="1"/>
  <c r="G31" i="31"/>
  <c r="H101" i="18" s="1"/>
  <c r="G30" i="31"/>
  <c r="H43" i="18" s="1"/>
  <c r="G29" i="31"/>
  <c r="H38" i="18" s="1"/>
  <c r="G28" i="31"/>
  <c r="G27" i="31"/>
  <c r="G26" i="31"/>
  <c r="H33" i="18" s="1"/>
  <c r="G25" i="31"/>
  <c r="H32" i="18" s="1"/>
  <c r="G24" i="31"/>
  <c r="H24" i="18" s="1"/>
  <c r="G23" i="31"/>
  <c r="G22" i="31"/>
  <c r="G21" i="31"/>
  <c r="H23" i="18" s="1"/>
  <c r="G20" i="31"/>
  <c r="H2" i="18" s="1"/>
  <c r="G19" i="31"/>
  <c r="H17" i="18" s="1"/>
  <c r="G18" i="31"/>
  <c r="H18" i="18" s="1"/>
  <c r="G17" i="31"/>
  <c r="H15" i="18" s="1"/>
  <c r="G16" i="31"/>
  <c r="H16" i="18" s="1"/>
  <c r="G15" i="31"/>
  <c r="H55" i="18" s="1"/>
  <c r="G14" i="31"/>
  <c r="H72" i="18" s="1"/>
  <c r="G13" i="31"/>
  <c r="H46" i="18" s="1"/>
  <c r="G12" i="31"/>
  <c r="H44" i="18" s="1"/>
  <c r="G11" i="31"/>
  <c r="H45" i="18" s="1"/>
  <c r="G8" i="31"/>
  <c r="H71" i="18" s="1"/>
  <c r="G10" i="31"/>
  <c r="H91" i="18" s="1"/>
  <c r="G9" i="31"/>
  <c r="H90" i="18" s="1"/>
  <c r="G7" i="31"/>
  <c r="H93" i="18" s="1"/>
  <c r="G6" i="31"/>
  <c r="H94" i="18" s="1"/>
  <c r="G5" i="31"/>
  <c r="H92" i="18" s="1"/>
  <c r="G4" i="31"/>
  <c r="H62" i="18" s="1"/>
  <c r="G3" i="31"/>
  <c r="H61" i="18" s="1"/>
  <c r="G2" i="31"/>
  <c r="H60" i="18" s="1"/>
  <c r="H99" i="30"/>
  <c r="H98" i="30"/>
  <c r="H97" i="30"/>
  <c r="H96" i="30"/>
  <c r="H95" i="30"/>
  <c r="H94" i="30"/>
  <c r="H93" i="30"/>
  <c r="H92" i="30"/>
  <c r="H91" i="30"/>
  <c r="H90" i="30"/>
  <c r="H89" i="30"/>
  <c r="H88" i="30"/>
  <c r="H87" i="30"/>
  <c r="H86" i="30"/>
  <c r="H85" i="30"/>
  <c r="H84" i="30"/>
  <c r="H83" i="30"/>
  <c r="H82" i="30"/>
  <c r="H81" i="30"/>
  <c r="H80" i="30"/>
  <c r="H79" i="30"/>
  <c r="H78" i="30"/>
  <c r="H77" i="30"/>
  <c r="H76" i="30"/>
  <c r="H75" i="30"/>
  <c r="H74" i="30"/>
  <c r="H73" i="30"/>
  <c r="H72" i="30"/>
  <c r="H71" i="30"/>
  <c r="H70" i="30"/>
  <c r="H69" i="30"/>
  <c r="H68" i="30"/>
  <c r="H67" i="30"/>
  <c r="H66" i="30"/>
  <c r="H65" i="30"/>
  <c r="H64" i="30"/>
  <c r="H63" i="30"/>
  <c r="H62" i="30"/>
  <c r="H61" i="30"/>
  <c r="H60" i="30"/>
  <c r="H59" i="30"/>
  <c r="H58" i="30"/>
  <c r="H57" i="30"/>
  <c r="H56" i="30"/>
  <c r="H55" i="30"/>
  <c r="H54" i="30"/>
  <c r="H53" i="30"/>
  <c r="H52" i="30"/>
  <c r="H51" i="30"/>
  <c r="H50" i="30"/>
  <c r="H49" i="30"/>
  <c r="H48" i="30"/>
  <c r="H47" i="30"/>
  <c r="H46" i="30"/>
  <c r="H45" i="30"/>
  <c r="H44" i="30"/>
  <c r="H43" i="30"/>
  <c r="H42" i="30"/>
  <c r="H41" i="30"/>
  <c r="H40" i="30"/>
  <c r="H39" i="30"/>
  <c r="H38" i="30"/>
  <c r="H37" i="30"/>
  <c r="H36" i="30"/>
  <c r="H35" i="30"/>
  <c r="H34" i="30"/>
  <c r="H33" i="30"/>
  <c r="H32" i="30"/>
  <c r="H31" i="30"/>
  <c r="H30" i="30"/>
  <c r="H29" i="30"/>
  <c r="H28" i="30"/>
  <c r="H27" i="30"/>
  <c r="H26" i="30"/>
  <c r="H25" i="30"/>
  <c r="H24" i="30"/>
  <c r="H23" i="30"/>
  <c r="H22" i="30"/>
  <c r="H21" i="30"/>
  <c r="H20" i="30"/>
  <c r="H19" i="30"/>
  <c r="H18" i="30"/>
  <c r="H17" i="30"/>
  <c r="H16" i="30"/>
  <c r="H15" i="30"/>
  <c r="H14" i="30"/>
  <c r="H13" i="30"/>
  <c r="H12" i="30"/>
  <c r="H11" i="30"/>
  <c r="H10" i="30"/>
  <c r="H9" i="30"/>
  <c r="H8" i="30"/>
  <c r="H7" i="30"/>
  <c r="H6" i="30"/>
  <c r="H5" i="30"/>
  <c r="I100" i="29"/>
  <c r="J100" i="29" s="1"/>
  <c r="L100" i="29" s="1"/>
  <c r="M100" i="29" s="1"/>
  <c r="I99" i="29"/>
  <c r="J99" i="29" s="1"/>
  <c r="L99" i="29" s="1"/>
  <c r="M99" i="29" s="1"/>
  <c r="I98" i="29"/>
  <c r="J98" i="29" s="1"/>
  <c r="L98" i="29" s="1"/>
  <c r="M98" i="29" s="1"/>
  <c r="J97" i="29"/>
  <c r="L97" i="29" s="1"/>
  <c r="M97" i="29" s="1"/>
  <c r="I97" i="29"/>
  <c r="I96" i="29"/>
  <c r="J96" i="29" s="1"/>
  <c r="L96" i="29" s="1"/>
  <c r="M96" i="29" s="1"/>
  <c r="I95" i="29"/>
  <c r="J95" i="29" s="1"/>
  <c r="L95" i="29" s="1"/>
  <c r="M95" i="29" s="1"/>
  <c r="I94" i="29"/>
  <c r="J94" i="29" s="1"/>
  <c r="L94" i="29" s="1"/>
  <c r="M94" i="29" s="1"/>
  <c r="I93" i="29"/>
  <c r="J93" i="29" s="1"/>
  <c r="L93" i="29" s="1"/>
  <c r="M93" i="29" s="1"/>
  <c r="I92" i="29"/>
  <c r="J92" i="29" s="1"/>
  <c r="L92" i="29" s="1"/>
  <c r="M92" i="29" s="1"/>
  <c r="I91" i="29"/>
  <c r="J91" i="29" s="1"/>
  <c r="L91" i="29" s="1"/>
  <c r="M91" i="29" s="1"/>
  <c r="J90" i="29"/>
  <c r="L90" i="29" s="1"/>
  <c r="M90" i="29" s="1"/>
  <c r="I90" i="29"/>
  <c r="I89" i="29"/>
  <c r="J89" i="29" s="1"/>
  <c r="L89" i="29" s="1"/>
  <c r="M89" i="29" s="1"/>
  <c r="I88" i="29"/>
  <c r="J88" i="29" s="1"/>
  <c r="L88" i="29" s="1"/>
  <c r="M88" i="29" s="1"/>
  <c r="I87" i="29"/>
  <c r="J87" i="29" s="1"/>
  <c r="L87" i="29" s="1"/>
  <c r="M87" i="29" s="1"/>
  <c r="J86" i="29"/>
  <c r="L86" i="29" s="1"/>
  <c r="M86" i="29" s="1"/>
  <c r="I86" i="29"/>
  <c r="I85" i="29"/>
  <c r="J85" i="29" s="1"/>
  <c r="L85" i="29" s="1"/>
  <c r="M85" i="29" s="1"/>
  <c r="I84" i="29"/>
  <c r="J84" i="29" s="1"/>
  <c r="L84" i="29" s="1"/>
  <c r="M84" i="29" s="1"/>
  <c r="I83" i="29"/>
  <c r="J83" i="29" s="1"/>
  <c r="L83" i="29" s="1"/>
  <c r="M83" i="29" s="1"/>
  <c r="I82" i="29"/>
  <c r="J82" i="29" s="1"/>
  <c r="L82" i="29" s="1"/>
  <c r="M82" i="29" s="1"/>
  <c r="I81" i="29"/>
  <c r="J81" i="29" s="1"/>
  <c r="L81" i="29" s="1"/>
  <c r="M81" i="29" s="1"/>
  <c r="I80" i="29"/>
  <c r="J80" i="29" s="1"/>
  <c r="L80" i="29" s="1"/>
  <c r="M80" i="29" s="1"/>
  <c r="J79" i="29"/>
  <c r="L79" i="29" s="1"/>
  <c r="M79" i="29" s="1"/>
  <c r="I79" i="29"/>
  <c r="I78" i="29"/>
  <c r="J78" i="29" s="1"/>
  <c r="L78" i="29" s="1"/>
  <c r="M78" i="29" s="1"/>
  <c r="I77" i="29"/>
  <c r="J77" i="29" s="1"/>
  <c r="L77" i="29" s="1"/>
  <c r="M77" i="29" s="1"/>
  <c r="I76" i="29"/>
  <c r="J76" i="29" s="1"/>
  <c r="L76" i="29" s="1"/>
  <c r="M76" i="29" s="1"/>
  <c r="J75" i="29"/>
  <c r="L75" i="29" s="1"/>
  <c r="M75" i="29" s="1"/>
  <c r="I75" i="29"/>
  <c r="I74" i="29"/>
  <c r="J74" i="29" s="1"/>
  <c r="L74" i="29" s="1"/>
  <c r="M74" i="29" s="1"/>
  <c r="I73" i="29"/>
  <c r="J73" i="29" s="1"/>
  <c r="L73" i="29" s="1"/>
  <c r="M73" i="29" s="1"/>
  <c r="I72" i="29"/>
  <c r="J72" i="29" s="1"/>
  <c r="L72" i="29" s="1"/>
  <c r="M72" i="29" s="1"/>
  <c r="I71" i="29"/>
  <c r="J71" i="29" s="1"/>
  <c r="L71" i="29" s="1"/>
  <c r="M71" i="29" s="1"/>
  <c r="I70" i="29"/>
  <c r="J70" i="29" s="1"/>
  <c r="L70" i="29" s="1"/>
  <c r="M70" i="29" s="1"/>
  <c r="I69" i="29"/>
  <c r="J69" i="29" s="1"/>
  <c r="L69" i="29" s="1"/>
  <c r="M69" i="29" s="1"/>
  <c r="J68" i="29"/>
  <c r="L68" i="29" s="1"/>
  <c r="M68" i="29" s="1"/>
  <c r="I68" i="29"/>
  <c r="I67" i="29"/>
  <c r="J67" i="29" s="1"/>
  <c r="L67" i="29" s="1"/>
  <c r="M67" i="29" s="1"/>
  <c r="I66" i="29"/>
  <c r="J66" i="29" s="1"/>
  <c r="L66" i="29" s="1"/>
  <c r="M66" i="29" s="1"/>
  <c r="I65" i="29"/>
  <c r="J65" i="29" s="1"/>
  <c r="L65" i="29" s="1"/>
  <c r="M65" i="29" s="1"/>
  <c r="J64" i="29"/>
  <c r="L64" i="29" s="1"/>
  <c r="M64" i="29" s="1"/>
  <c r="I64" i="29"/>
  <c r="I63" i="29"/>
  <c r="J63" i="29" s="1"/>
  <c r="L63" i="29" s="1"/>
  <c r="M63" i="29" s="1"/>
  <c r="I62" i="29"/>
  <c r="J62" i="29" s="1"/>
  <c r="L62" i="29" s="1"/>
  <c r="M62" i="29" s="1"/>
  <c r="I61" i="29"/>
  <c r="J61" i="29" s="1"/>
  <c r="L61" i="29" s="1"/>
  <c r="M61" i="29" s="1"/>
  <c r="I60" i="29"/>
  <c r="J60" i="29" s="1"/>
  <c r="L60" i="29" s="1"/>
  <c r="M60" i="29" s="1"/>
  <c r="I59" i="29"/>
  <c r="J59" i="29" s="1"/>
  <c r="L59" i="29" s="1"/>
  <c r="M59" i="29" s="1"/>
  <c r="I58" i="29"/>
  <c r="J58" i="29" s="1"/>
  <c r="L58" i="29" s="1"/>
  <c r="M58" i="29" s="1"/>
  <c r="J57" i="29"/>
  <c r="L57" i="29" s="1"/>
  <c r="M57" i="29" s="1"/>
  <c r="I57" i="29"/>
  <c r="I56" i="29"/>
  <c r="J56" i="29" s="1"/>
  <c r="L56" i="29" s="1"/>
  <c r="M56" i="29" s="1"/>
  <c r="I55" i="29"/>
  <c r="J55" i="29" s="1"/>
  <c r="L55" i="29" s="1"/>
  <c r="M55" i="29" s="1"/>
  <c r="I54" i="29"/>
  <c r="J54" i="29" s="1"/>
  <c r="L54" i="29" s="1"/>
  <c r="M54" i="29" s="1"/>
  <c r="J53" i="29"/>
  <c r="L53" i="29" s="1"/>
  <c r="M53" i="29" s="1"/>
  <c r="I53" i="29"/>
  <c r="I52" i="29"/>
  <c r="J52" i="29" s="1"/>
  <c r="L52" i="29" s="1"/>
  <c r="M52" i="29" s="1"/>
  <c r="I51" i="29"/>
  <c r="J51" i="29" s="1"/>
  <c r="L51" i="29" s="1"/>
  <c r="M51" i="29" s="1"/>
  <c r="I50" i="29"/>
  <c r="J50" i="29" s="1"/>
  <c r="L50" i="29" s="1"/>
  <c r="M50" i="29" s="1"/>
  <c r="I49" i="29"/>
  <c r="J49" i="29" s="1"/>
  <c r="L49" i="29" s="1"/>
  <c r="M49" i="29" s="1"/>
  <c r="I48" i="29"/>
  <c r="J48" i="29" s="1"/>
  <c r="L48" i="29" s="1"/>
  <c r="M48" i="29" s="1"/>
  <c r="I47" i="29"/>
  <c r="J47" i="29" s="1"/>
  <c r="L47" i="29" s="1"/>
  <c r="M47" i="29" s="1"/>
  <c r="J46" i="29"/>
  <c r="L46" i="29" s="1"/>
  <c r="M46" i="29" s="1"/>
  <c r="I46" i="29"/>
  <c r="I45" i="29"/>
  <c r="J45" i="29" s="1"/>
  <c r="L45" i="29" s="1"/>
  <c r="M45" i="29" s="1"/>
  <c r="I44" i="29"/>
  <c r="J44" i="29" s="1"/>
  <c r="L44" i="29" s="1"/>
  <c r="M44" i="29" s="1"/>
  <c r="I43" i="29"/>
  <c r="J43" i="29" s="1"/>
  <c r="L43" i="29" s="1"/>
  <c r="M43" i="29" s="1"/>
  <c r="J42" i="29"/>
  <c r="L42" i="29" s="1"/>
  <c r="M42" i="29" s="1"/>
  <c r="I42" i="29"/>
  <c r="I41" i="29"/>
  <c r="J41" i="29" s="1"/>
  <c r="L41" i="29" s="1"/>
  <c r="M41" i="29" s="1"/>
  <c r="I40" i="29"/>
  <c r="J40" i="29" s="1"/>
  <c r="L40" i="29" s="1"/>
  <c r="M40" i="29" s="1"/>
  <c r="I39" i="29"/>
  <c r="J39" i="29" s="1"/>
  <c r="L39" i="29" s="1"/>
  <c r="M39" i="29" s="1"/>
  <c r="I38" i="29"/>
  <c r="J38" i="29" s="1"/>
  <c r="L38" i="29" s="1"/>
  <c r="M38" i="29" s="1"/>
  <c r="I37" i="29"/>
  <c r="J37" i="29" s="1"/>
  <c r="L37" i="29" s="1"/>
  <c r="M37" i="29" s="1"/>
  <c r="I36" i="29"/>
  <c r="J36" i="29" s="1"/>
  <c r="L36" i="29" s="1"/>
  <c r="M36" i="29" s="1"/>
  <c r="J35" i="29"/>
  <c r="L35" i="29" s="1"/>
  <c r="M35" i="29" s="1"/>
  <c r="I35" i="29"/>
  <c r="I34" i="29"/>
  <c r="J34" i="29" s="1"/>
  <c r="L34" i="29" s="1"/>
  <c r="M34" i="29" s="1"/>
  <c r="I33" i="29"/>
  <c r="J33" i="29" s="1"/>
  <c r="L33" i="29" s="1"/>
  <c r="M33" i="29" s="1"/>
  <c r="I32" i="29"/>
  <c r="J32" i="29" s="1"/>
  <c r="L32" i="29" s="1"/>
  <c r="M32" i="29" s="1"/>
  <c r="J31" i="29"/>
  <c r="L31" i="29" s="1"/>
  <c r="M31" i="29" s="1"/>
  <c r="I31" i="29"/>
  <c r="I30" i="29"/>
  <c r="J30" i="29" s="1"/>
  <c r="L30" i="29" s="1"/>
  <c r="M30" i="29" s="1"/>
  <c r="I29" i="29"/>
  <c r="J29" i="29" s="1"/>
  <c r="L29" i="29" s="1"/>
  <c r="M29" i="29" s="1"/>
  <c r="I28" i="29"/>
  <c r="J28" i="29" s="1"/>
  <c r="L28" i="29" s="1"/>
  <c r="M28" i="29" s="1"/>
  <c r="I27" i="29"/>
  <c r="J27" i="29" s="1"/>
  <c r="L27" i="29" s="1"/>
  <c r="M27" i="29" s="1"/>
  <c r="I26" i="29"/>
  <c r="J26" i="29" s="1"/>
  <c r="L26" i="29" s="1"/>
  <c r="M26" i="29" s="1"/>
  <c r="I25" i="29"/>
  <c r="J25" i="29" s="1"/>
  <c r="L25" i="29" s="1"/>
  <c r="M25" i="29" s="1"/>
  <c r="J24" i="29"/>
  <c r="L24" i="29" s="1"/>
  <c r="M24" i="29" s="1"/>
  <c r="I24" i="29"/>
  <c r="I23" i="29"/>
  <c r="J23" i="29" s="1"/>
  <c r="L23" i="29" s="1"/>
  <c r="M23" i="29" s="1"/>
  <c r="I22" i="29"/>
  <c r="J22" i="29" s="1"/>
  <c r="L22" i="29" s="1"/>
  <c r="M22" i="29" s="1"/>
  <c r="I21" i="29"/>
  <c r="J21" i="29" s="1"/>
  <c r="L21" i="29" s="1"/>
  <c r="M21" i="29" s="1"/>
  <c r="J20" i="29"/>
  <c r="L20" i="29" s="1"/>
  <c r="M20" i="29" s="1"/>
  <c r="I20" i="29"/>
  <c r="I19" i="29"/>
  <c r="J19" i="29" s="1"/>
  <c r="L19" i="29" s="1"/>
  <c r="M19" i="29" s="1"/>
  <c r="I18" i="29"/>
  <c r="J18" i="29" s="1"/>
  <c r="L18" i="29" s="1"/>
  <c r="M18" i="29" s="1"/>
  <c r="I17" i="29"/>
  <c r="J17" i="29" s="1"/>
  <c r="L17" i="29" s="1"/>
  <c r="M17" i="29" s="1"/>
  <c r="I16" i="29"/>
  <c r="J16" i="29" s="1"/>
  <c r="L16" i="29" s="1"/>
  <c r="M16" i="29" s="1"/>
  <c r="I15" i="29"/>
  <c r="J15" i="29" s="1"/>
  <c r="L15" i="29" s="1"/>
  <c r="M15" i="29" s="1"/>
  <c r="I14" i="29"/>
  <c r="J14" i="29" s="1"/>
  <c r="L14" i="29" s="1"/>
  <c r="M14" i="29" s="1"/>
  <c r="J13" i="29"/>
  <c r="L13" i="29" s="1"/>
  <c r="M13" i="29" s="1"/>
  <c r="I13" i="29"/>
  <c r="I12" i="29"/>
  <c r="J12" i="29" s="1"/>
  <c r="L12" i="29" s="1"/>
  <c r="M12" i="29" s="1"/>
  <c r="I11" i="29"/>
  <c r="J11" i="29" s="1"/>
  <c r="L11" i="29" s="1"/>
  <c r="M11" i="29" s="1"/>
  <c r="I10" i="29"/>
  <c r="J10" i="29" s="1"/>
  <c r="L10" i="29" s="1"/>
  <c r="M10" i="29" s="1"/>
  <c r="J9" i="29"/>
  <c r="L9" i="29" s="1"/>
  <c r="M9" i="29" s="1"/>
  <c r="I9" i="29"/>
  <c r="I8" i="29"/>
  <c r="J8" i="29" s="1"/>
  <c r="L8" i="29" s="1"/>
  <c r="M8" i="29" s="1"/>
  <c r="I7" i="29"/>
  <c r="J7" i="29" s="1"/>
  <c r="L7" i="29" s="1"/>
  <c r="M7" i="29" s="1"/>
  <c r="I6" i="29"/>
  <c r="J6" i="29" s="1"/>
  <c r="L6" i="29" s="1"/>
  <c r="M6" i="29" s="1"/>
  <c r="H40" i="18" l="1"/>
  <c r="H63" i="18"/>
  <c r="H78" i="18"/>
  <c r="H86" i="18"/>
  <c r="H22" i="18"/>
  <c r="H79" i="18"/>
  <c r="H14" i="18"/>
  <c r="H80" i="18"/>
  <c r="H73" i="18"/>
  <c r="H82" i="18"/>
  <c r="H42" i="18"/>
  <c r="H39" i="18"/>
  <c r="H66" i="18"/>
  <c r="H31" i="18"/>
  <c r="H74" i="18"/>
  <c r="H49" i="18"/>
  <c r="D3" i="29"/>
  <c r="F3" i="29"/>
  <c r="M101" i="24" l="1"/>
  <c r="A273" i="15"/>
  <c r="A274" i="15"/>
  <c r="A275" i="15"/>
  <c r="B273" i="15"/>
  <c r="B274" i="15"/>
  <c r="B275" i="15"/>
  <c r="C273" i="15"/>
  <c r="C274" i="15"/>
  <c r="C275" i="15"/>
  <c r="D273" i="15"/>
  <c r="D274" i="15"/>
  <c r="D275" i="15"/>
  <c r="A262" i="15"/>
  <c r="A263" i="15"/>
  <c r="A264" i="15"/>
  <c r="A265" i="15"/>
  <c r="A266" i="15"/>
  <c r="A267" i="15"/>
  <c r="A268" i="15"/>
  <c r="A269" i="15"/>
  <c r="A270" i="15"/>
  <c r="A271" i="15"/>
  <c r="A272" i="15"/>
  <c r="B262" i="15"/>
  <c r="B263" i="15"/>
  <c r="B264" i="15"/>
  <c r="B265" i="15"/>
  <c r="B266" i="15"/>
  <c r="B267" i="15"/>
  <c r="B268" i="15"/>
  <c r="B269" i="15"/>
  <c r="B270" i="15"/>
  <c r="B271" i="15"/>
  <c r="B272" i="15"/>
  <c r="C262" i="15"/>
  <c r="C263" i="15"/>
  <c r="C264" i="15"/>
  <c r="C265" i="15"/>
  <c r="C266" i="15"/>
  <c r="C267" i="15"/>
  <c r="C268" i="15"/>
  <c r="C269" i="15"/>
  <c r="C270" i="15"/>
  <c r="C271" i="15"/>
  <c r="C272" i="15"/>
  <c r="D262" i="15"/>
  <c r="D263" i="15"/>
  <c r="D264" i="15"/>
  <c r="D265" i="15"/>
  <c r="D266" i="15"/>
  <c r="D267" i="15"/>
  <c r="D268" i="15"/>
  <c r="D269" i="15"/>
  <c r="D270" i="15"/>
  <c r="D271" i="15"/>
  <c r="D272" i="15"/>
  <c r="M99" i="24"/>
  <c r="M100" i="24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B247" i="15"/>
  <c r="B248" i="15"/>
  <c r="B249" i="15"/>
  <c r="B250" i="15"/>
  <c r="B251" i="15"/>
  <c r="B252" i="15"/>
  <c r="B253" i="15"/>
  <c r="B254" i="15"/>
  <c r="B255" i="15"/>
  <c r="B256" i="15"/>
  <c r="B257" i="15"/>
  <c r="B258" i="15"/>
  <c r="B259" i="15"/>
  <c r="B260" i="15"/>
  <c r="B261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D247" i="15"/>
  <c r="D248" i="15"/>
  <c r="D249" i="15"/>
  <c r="D250" i="15"/>
  <c r="D251" i="15"/>
  <c r="D252" i="15"/>
  <c r="D253" i="15"/>
  <c r="D254" i="15"/>
  <c r="D255" i="15"/>
  <c r="D256" i="15"/>
  <c r="D257" i="15"/>
  <c r="D258" i="15"/>
  <c r="D259" i="15"/>
  <c r="D260" i="15"/>
  <c r="D261" i="15"/>
  <c r="A308" i="15"/>
  <c r="A309" i="15"/>
  <c r="A310" i="15"/>
  <c r="B308" i="15"/>
  <c r="B309" i="15"/>
  <c r="B310" i="15"/>
  <c r="C308" i="15"/>
  <c r="C309" i="15"/>
  <c r="C310" i="15"/>
  <c r="D308" i="15"/>
  <c r="D309" i="15"/>
  <c r="D310" i="15"/>
  <c r="A302" i="15"/>
  <c r="A303" i="15"/>
  <c r="A304" i="15"/>
  <c r="A305" i="15"/>
  <c r="A306" i="15"/>
  <c r="A307" i="15"/>
  <c r="B302" i="15"/>
  <c r="B303" i="15"/>
  <c r="B304" i="15"/>
  <c r="B305" i="15"/>
  <c r="B306" i="15"/>
  <c r="B307" i="15"/>
  <c r="C302" i="15"/>
  <c r="C303" i="15"/>
  <c r="C304" i="15"/>
  <c r="C305" i="15"/>
  <c r="C306" i="15"/>
  <c r="C307" i="15"/>
  <c r="D302" i="15"/>
  <c r="D303" i="15"/>
  <c r="D304" i="15"/>
  <c r="D305" i="15"/>
  <c r="D306" i="15"/>
  <c r="D307" i="15"/>
  <c r="D8" i="18"/>
  <c r="D11" i="18"/>
  <c r="D12" i="18"/>
  <c r="D13" i="18"/>
  <c r="D5" i="18"/>
  <c r="D6" i="18"/>
  <c r="D104" i="18"/>
  <c r="D103" i="18"/>
  <c r="D102" i="18"/>
  <c r="M98" i="24"/>
  <c r="A380" i="15"/>
  <c r="A381" i="15"/>
  <c r="A382" i="15"/>
  <c r="A383" i="15"/>
  <c r="A384" i="15"/>
  <c r="A385" i="15"/>
  <c r="A386" i="15"/>
  <c r="B380" i="15"/>
  <c r="B381" i="15"/>
  <c r="B382" i="15"/>
  <c r="B383" i="15"/>
  <c r="B384" i="15"/>
  <c r="B385" i="15"/>
  <c r="B386" i="15"/>
  <c r="C380" i="15"/>
  <c r="C381" i="15"/>
  <c r="C382" i="15"/>
  <c r="C383" i="15"/>
  <c r="C384" i="15"/>
  <c r="C385" i="15"/>
  <c r="C386" i="15"/>
  <c r="D380" i="15"/>
  <c r="D381" i="15"/>
  <c r="D382" i="15"/>
  <c r="D383" i="15"/>
  <c r="D384" i="15"/>
  <c r="D385" i="15"/>
  <c r="D386" i="15"/>
  <c r="M93" i="24"/>
  <c r="M94" i="24"/>
  <c r="M95" i="24"/>
  <c r="M96" i="24"/>
  <c r="M97" i="24"/>
  <c r="A449" i="15"/>
  <c r="A450" i="15"/>
  <c r="A451" i="15"/>
  <c r="A452" i="15"/>
  <c r="A453" i="15"/>
  <c r="A454" i="15"/>
  <c r="A455" i="15"/>
  <c r="A456" i="15"/>
  <c r="B449" i="15"/>
  <c r="B450" i="15"/>
  <c r="B451" i="15"/>
  <c r="B452" i="15"/>
  <c r="B453" i="15"/>
  <c r="B454" i="15"/>
  <c r="B455" i="15"/>
  <c r="B456" i="15"/>
  <c r="C449" i="15"/>
  <c r="C450" i="15"/>
  <c r="C451" i="15"/>
  <c r="C452" i="15"/>
  <c r="C453" i="15"/>
  <c r="C454" i="15"/>
  <c r="C455" i="15"/>
  <c r="C456" i="15"/>
  <c r="D449" i="15"/>
  <c r="D450" i="15"/>
  <c r="D451" i="15"/>
  <c r="D452" i="15"/>
  <c r="D453" i="15"/>
  <c r="D454" i="15"/>
  <c r="D455" i="15"/>
  <c r="D456" i="15"/>
  <c r="A442" i="15"/>
  <c r="A443" i="15"/>
  <c r="A444" i="15"/>
  <c r="A445" i="15"/>
  <c r="A446" i="15"/>
  <c r="A447" i="15"/>
  <c r="A448" i="15"/>
  <c r="B442" i="15"/>
  <c r="B443" i="15"/>
  <c r="B444" i="15"/>
  <c r="B445" i="15"/>
  <c r="B446" i="15"/>
  <c r="B447" i="15"/>
  <c r="B448" i="15"/>
  <c r="C442" i="15"/>
  <c r="C443" i="15"/>
  <c r="C444" i="15"/>
  <c r="C445" i="15"/>
  <c r="C446" i="15"/>
  <c r="C447" i="15"/>
  <c r="C448" i="15"/>
  <c r="D442" i="15"/>
  <c r="D443" i="15"/>
  <c r="D444" i="15"/>
  <c r="D445" i="15"/>
  <c r="D446" i="15"/>
  <c r="D447" i="15"/>
  <c r="D448" i="15"/>
  <c r="A436" i="15"/>
  <c r="A437" i="15"/>
  <c r="A438" i="15"/>
  <c r="A439" i="15"/>
  <c r="A440" i="15"/>
  <c r="A441" i="15"/>
  <c r="B436" i="15"/>
  <c r="B437" i="15"/>
  <c r="B438" i="15"/>
  <c r="B439" i="15"/>
  <c r="B440" i="15"/>
  <c r="B441" i="15"/>
  <c r="C436" i="15"/>
  <c r="C437" i="15"/>
  <c r="C438" i="15"/>
  <c r="C439" i="15"/>
  <c r="C440" i="15"/>
  <c r="C441" i="15"/>
  <c r="D436" i="15"/>
  <c r="D437" i="15"/>
  <c r="D438" i="15"/>
  <c r="D439" i="15"/>
  <c r="D440" i="15"/>
  <c r="D441" i="15"/>
  <c r="A433" i="15"/>
  <c r="A434" i="15"/>
  <c r="A435" i="15"/>
  <c r="B433" i="15"/>
  <c r="B434" i="15"/>
  <c r="B435" i="15"/>
  <c r="C433" i="15"/>
  <c r="C434" i="15"/>
  <c r="C435" i="15"/>
  <c r="D433" i="15"/>
  <c r="D434" i="15"/>
  <c r="D435" i="15"/>
  <c r="A421" i="15"/>
  <c r="A422" i="15"/>
  <c r="A423" i="15"/>
  <c r="A424" i="15"/>
  <c r="A425" i="15"/>
  <c r="A426" i="15"/>
  <c r="A427" i="15"/>
  <c r="A428" i="15"/>
  <c r="B421" i="15"/>
  <c r="B422" i="15"/>
  <c r="B423" i="15"/>
  <c r="B424" i="15"/>
  <c r="B425" i="15"/>
  <c r="B426" i="15"/>
  <c r="B427" i="15"/>
  <c r="B428" i="15"/>
  <c r="C421" i="15"/>
  <c r="C422" i="15"/>
  <c r="C423" i="15"/>
  <c r="C424" i="15"/>
  <c r="C425" i="15"/>
  <c r="C426" i="15"/>
  <c r="C427" i="15"/>
  <c r="C428" i="15"/>
  <c r="D421" i="15"/>
  <c r="D422" i="15"/>
  <c r="D423" i="15"/>
  <c r="D424" i="15"/>
  <c r="D425" i="15"/>
  <c r="D426" i="15"/>
  <c r="D427" i="15"/>
  <c r="D428" i="15"/>
  <c r="M92" i="24"/>
  <c r="D3" i="14"/>
  <c r="D4" i="14"/>
  <c r="D5" i="14"/>
  <c r="D6" i="14"/>
  <c r="D7" i="14"/>
  <c r="D8" i="14"/>
  <c r="D9" i="14"/>
  <c r="D2" i="14"/>
  <c r="D2" i="21" l="1"/>
  <c r="D3" i="21"/>
  <c r="D4" i="21"/>
  <c r="D5" i="21"/>
  <c r="D6" i="21"/>
  <c r="D7" i="21"/>
  <c r="D8" i="21"/>
  <c r="D9" i="21"/>
  <c r="D10" i="21"/>
  <c r="D11" i="21"/>
  <c r="D12" i="21"/>
  <c r="D13" i="21"/>
  <c r="D14" i="21"/>
  <c r="D15" i="21"/>
  <c r="D16" i="21"/>
  <c r="D17" i="21"/>
  <c r="D18" i="21"/>
  <c r="D19" i="21"/>
  <c r="D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57" i="21"/>
  <c r="D58" i="21"/>
  <c r="D59" i="21"/>
  <c r="D60" i="21"/>
  <c r="D61" i="21"/>
  <c r="D62" i="21"/>
  <c r="D63" i="21"/>
  <c r="D64" i="21"/>
  <c r="D65" i="21"/>
  <c r="D66" i="21"/>
  <c r="D67" i="21"/>
  <c r="D68" i="21"/>
  <c r="D69" i="21"/>
  <c r="D70" i="21"/>
  <c r="D71" i="21"/>
  <c r="D72" i="21"/>
  <c r="D73" i="21"/>
  <c r="G113" i="21" l="1"/>
  <c r="G114" i="21"/>
  <c r="G115" i="21"/>
  <c r="G116" i="21"/>
  <c r="C276" i="8"/>
  <c r="C277" i="8"/>
  <c r="C278" i="8"/>
  <c r="C279" i="8"/>
  <c r="J276" i="8"/>
  <c r="J277" i="8"/>
  <c r="J278" i="8"/>
  <c r="J279" i="8"/>
  <c r="C275" i="8"/>
  <c r="J275" i="8"/>
  <c r="J6" i="8"/>
  <c r="J7" i="8"/>
  <c r="J8" i="8"/>
  <c r="J2" i="8"/>
  <c r="J3" i="8"/>
  <c r="J9" i="8"/>
  <c r="J4" i="8"/>
  <c r="J10" i="8"/>
  <c r="J5" i="8"/>
  <c r="J11" i="8"/>
  <c r="J12" i="8"/>
  <c r="J19" i="8"/>
  <c r="J15" i="8"/>
  <c r="J13" i="8"/>
  <c r="J14" i="8"/>
  <c r="J16" i="8"/>
  <c r="J17" i="8"/>
  <c r="J20" i="8"/>
  <c r="J18" i="8"/>
  <c r="J21" i="8"/>
  <c r="J25" i="8"/>
  <c r="J22" i="8"/>
  <c r="J23" i="8"/>
  <c r="J26" i="8"/>
  <c r="J24" i="8"/>
  <c r="J27" i="8"/>
  <c r="J31" i="8"/>
  <c r="J32" i="8"/>
  <c r="J28" i="8"/>
  <c r="J33" i="8"/>
  <c r="J29" i="8"/>
  <c r="J35" i="8"/>
  <c r="J36" i="8"/>
  <c r="J30" i="8"/>
  <c r="J34" i="8"/>
  <c r="J37" i="8"/>
  <c r="J38" i="8"/>
  <c r="J39" i="8"/>
  <c r="J41" i="8"/>
  <c r="J42" i="8"/>
  <c r="J43" i="8"/>
  <c r="J40" i="8"/>
  <c r="J45" i="8"/>
  <c r="J46" i="8"/>
  <c r="J47" i="8"/>
  <c r="J44" i="8"/>
  <c r="J48" i="8"/>
  <c r="J49" i="8"/>
  <c r="J50" i="8"/>
  <c r="J54" i="8"/>
  <c r="J51" i="8"/>
  <c r="J52" i="8"/>
  <c r="J53" i="8"/>
  <c r="J55" i="8"/>
  <c r="J57" i="8"/>
  <c r="J56" i="8"/>
  <c r="J58" i="8"/>
  <c r="J59" i="8"/>
  <c r="J65" i="8"/>
  <c r="J66" i="8"/>
  <c r="J60" i="8"/>
  <c r="J67" i="8"/>
  <c r="J69" i="8"/>
  <c r="J61" i="8"/>
  <c r="J68" i="8"/>
  <c r="J70" i="8"/>
  <c r="J71" i="8"/>
  <c r="J72" i="8"/>
  <c r="J62" i="8"/>
  <c r="J73" i="8"/>
  <c r="J63" i="8"/>
  <c r="J64" i="8"/>
  <c r="J74" i="8"/>
  <c r="J75" i="8"/>
  <c r="J76" i="8"/>
  <c r="J77" i="8"/>
  <c r="J78" i="8"/>
  <c r="J79" i="8"/>
  <c r="J80" i="8"/>
  <c r="J81" i="8"/>
  <c r="J84" i="8"/>
  <c r="J82" i="8"/>
  <c r="J83" i="8"/>
  <c r="J86" i="8"/>
  <c r="J85" i="8"/>
  <c r="J87" i="8"/>
  <c r="J91" i="8"/>
  <c r="J94" i="8"/>
  <c r="J92" i="8"/>
  <c r="J95" i="8"/>
  <c r="J88" i="8"/>
  <c r="J89" i="8"/>
  <c r="J96" i="8"/>
  <c r="J97" i="8"/>
  <c r="J98" i="8"/>
  <c r="J90" i="8"/>
  <c r="J93" i="8"/>
  <c r="J99" i="8"/>
  <c r="J100" i="8"/>
  <c r="J101" i="8"/>
  <c r="J102" i="8"/>
  <c r="J103" i="8"/>
  <c r="J104" i="8"/>
  <c r="J105" i="8"/>
  <c r="J106" i="8"/>
  <c r="J107" i="8"/>
  <c r="J108" i="8"/>
  <c r="J110" i="8"/>
  <c r="J111" i="8"/>
  <c r="J109" i="8"/>
  <c r="J112" i="8"/>
  <c r="J113" i="8"/>
  <c r="J114" i="8"/>
  <c r="J115" i="8"/>
  <c r="J116" i="8"/>
  <c r="J121" i="8"/>
  <c r="J122" i="8"/>
  <c r="J117" i="8"/>
  <c r="J118" i="8"/>
  <c r="J119" i="8"/>
  <c r="J123" i="8"/>
  <c r="J120" i="8"/>
  <c r="J124" i="8"/>
  <c r="J126" i="8"/>
  <c r="J127" i="8"/>
  <c r="J125" i="8"/>
  <c r="J128" i="8"/>
  <c r="J130" i="8"/>
  <c r="J129" i="8"/>
  <c r="J134" i="8"/>
  <c r="J132" i="8"/>
  <c r="J133" i="8"/>
  <c r="J131" i="8"/>
  <c r="J135" i="8"/>
  <c r="J136" i="8"/>
  <c r="J143" i="8"/>
  <c r="J139" i="8"/>
  <c r="J137" i="8"/>
  <c r="J138" i="8"/>
  <c r="J144" i="8"/>
  <c r="J140" i="8"/>
  <c r="J141" i="8"/>
  <c r="J142" i="8"/>
  <c r="J146" i="8"/>
  <c r="J151" i="8"/>
  <c r="J155" i="8"/>
  <c r="J152" i="8"/>
  <c r="J156" i="8"/>
  <c r="J157" i="8"/>
  <c r="J160" i="8"/>
  <c r="J153" i="8"/>
  <c r="J147" i="8"/>
  <c r="J148" i="8"/>
  <c r="J149" i="8"/>
  <c r="J150" i="8"/>
  <c r="J154" i="8"/>
  <c r="J158" i="8"/>
  <c r="J145" i="8"/>
  <c r="J159" i="8"/>
  <c r="J161" i="8"/>
  <c r="J162" i="8"/>
  <c r="J163" i="8"/>
  <c r="J164" i="8"/>
  <c r="J166" i="8"/>
  <c r="J165" i="8"/>
  <c r="J167" i="8"/>
  <c r="J168" i="8"/>
  <c r="J170" i="8"/>
  <c r="J169" i="8"/>
  <c r="J173" i="8"/>
  <c r="J174" i="8"/>
  <c r="J175" i="8"/>
  <c r="J171" i="8"/>
  <c r="J172" i="8"/>
  <c r="J176" i="8"/>
  <c r="J177" i="8"/>
  <c r="J178" i="8"/>
  <c r="J179" i="8"/>
  <c r="J180" i="8"/>
  <c r="J181" i="8"/>
  <c r="J183" i="8"/>
  <c r="J182" i="8"/>
  <c r="J184" i="8"/>
  <c r="J186" i="8"/>
  <c r="J185" i="8"/>
  <c r="J187" i="8"/>
  <c r="J190" i="8"/>
  <c r="J191" i="8"/>
  <c r="J188" i="8"/>
  <c r="J189" i="8"/>
  <c r="J192" i="8"/>
  <c r="J193" i="8"/>
  <c r="J194" i="8"/>
  <c r="J196" i="8"/>
  <c r="J197" i="8"/>
  <c r="J195" i="8"/>
  <c r="J198" i="8"/>
  <c r="J199" i="8"/>
  <c r="J202" i="8"/>
  <c r="J203" i="8"/>
  <c r="J204" i="8"/>
  <c r="J205" i="8"/>
  <c r="J206" i="8"/>
  <c r="J214" i="8"/>
  <c r="J215" i="8"/>
  <c r="J210" i="8"/>
  <c r="J211" i="8"/>
  <c r="J208" i="8"/>
  <c r="J212" i="8"/>
  <c r="J213" i="8"/>
  <c r="J209" i="8"/>
  <c r="J216" i="8"/>
  <c r="J207" i="8"/>
  <c r="J217" i="8"/>
  <c r="J223" i="8"/>
  <c r="J224" i="8"/>
  <c r="J219" i="8"/>
  <c r="J220" i="8"/>
  <c r="J221" i="8"/>
  <c r="J222" i="8"/>
  <c r="J218" i="8"/>
  <c r="J225" i="8"/>
  <c r="J226" i="8"/>
  <c r="J227" i="8"/>
  <c r="J228" i="8"/>
  <c r="J229" i="8"/>
  <c r="J230" i="8"/>
  <c r="J231" i="8"/>
  <c r="J232" i="8"/>
  <c r="J233" i="8"/>
  <c r="J235" i="8"/>
  <c r="J236" i="8"/>
  <c r="J234" i="8"/>
  <c r="J237" i="8"/>
  <c r="J238" i="8"/>
  <c r="J239" i="8"/>
  <c r="J240" i="8"/>
  <c r="J241" i="8"/>
  <c r="J242" i="8"/>
  <c r="J243" i="8"/>
  <c r="J244" i="8"/>
  <c r="J246" i="8"/>
  <c r="J247" i="8"/>
  <c r="J245" i="8"/>
  <c r="J248" i="8"/>
  <c r="J249" i="8"/>
  <c r="J250" i="8"/>
  <c r="J254" i="8"/>
  <c r="J255" i="8"/>
  <c r="J256" i="8"/>
  <c r="J257" i="8"/>
  <c r="J251" i="8"/>
  <c r="J258" i="8"/>
  <c r="J252" i="8"/>
  <c r="J253" i="8"/>
  <c r="J259" i="8"/>
  <c r="J261" i="8"/>
  <c r="J260" i="8"/>
  <c r="J265" i="8"/>
  <c r="J266" i="8"/>
  <c r="J267" i="8"/>
  <c r="J268" i="8"/>
  <c r="J269" i="8"/>
  <c r="J270" i="8"/>
  <c r="J272" i="8"/>
  <c r="J273" i="8"/>
  <c r="J271" i="8"/>
  <c r="J274" i="8"/>
  <c r="J200" i="8"/>
  <c r="J201" i="8"/>
  <c r="J264" i="8"/>
  <c r="J263" i="8"/>
  <c r="J262" i="8"/>
  <c r="C263" i="8"/>
  <c r="C262" i="8"/>
  <c r="C264" i="8"/>
  <c r="C201" i="8" l="1"/>
  <c r="C200" i="8"/>
  <c r="C165" i="8"/>
  <c r="C162" i="8"/>
  <c r="C163" i="8"/>
  <c r="C164" i="8"/>
  <c r="C166" i="8"/>
  <c r="C161" i="8"/>
  <c r="C135" i="8" l="1"/>
  <c r="A457" i="15" l="1"/>
  <c r="A458" i="15"/>
  <c r="A459" i="15"/>
  <c r="A460" i="15"/>
  <c r="A461" i="15"/>
  <c r="A462" i="15"/>
  <c r="A463" i="15"/>
  <c r="A464" i="15"/>
  <c r="A465" i="15"/>
  <c r="A466" i="15"/>
  <c r="B457" i="15"/>
  <c r="B458" i="15"/>
  <c r="B459" i="15"/>
  <c r="B460" i="15"/>
  <c r="B461" i="15"/>
  <c r="B462" i="15"/>
  <c r="B463" i="15"/>
  <c r="B464" i="15"/>
  <c r="B465" i="15"/>
  <c r="B466" i="15"/>
  <c r="C457" i="15"/>
  <c r="C458" i="15"/>
  <c r="C459" i="15"/>
  <c r="C460" i="15"/>
  <c r="C461" i="15"/>
  <c r="C462" i="15"/>
  <c r="C463" i="15"/>
  <c r="C464" i="15"/>
  <c r="C465" i="15"/>
  <c r="C466" i="15"/>
  <c r="D457" i="15"/>
  <c r="D458" i="15"/>
  <c r="D459" i="15"/>
  <c r="D460" i="15"/>
  <c r="D461" i="15"/>
  <c r="D462" i="15"/>
  <c r="D463" i="15"/>
  <c r="D464" i="15"/>
  <c r="D465" i="15"/>
  <c r="D466" i="15"/>
  <c r="C274" i="8"/>
  <c r="M115" i="1" l="1"/>
  <c r="L115" i="1"/>
  <c r="K115" i="1"/>
  <c r="J115" i="1"/>
  <c r="E88" i="21"/>
  <c r="F88" i="21"/>
  <c r="G88" i="21"/>
  <c r="H88" i="21"/>
  <c r="I88" i="21"/>
  <c r="J88" i="21"/>
  <c r="K88" i="21"/>
  <c r="E89" i="21"/>
  <c r="F89" i="21"/>
  <c r="G89" i="21"/>
  <c r="H89" i="21"/>
  <c r="I89" i="21"/>
  <c r="J89" i="21"/>
  <c r="K89" i="21"/>
  <c r="L89" i="21"/>
  <c r="E90" i="21"/>
  <c r="F90" i="21"/>
  <c r="G90" i="21"/>
  <c r="H90" i="21"/>
  <c r="J90" i="21"/>
  <c r="K90" i="21"/>
  <c r="L90" i="21"/>
  <c r="F91" i="21"/>
  <c r="H91" i="21"/>
  <c r="J91" i="21"/>
  <c r="K91" i="21"/>
  <c r="E92" i="21"/>
  <c r="F92" i="21"/>
  <c r="H92" i="21"/>
  <c r="I92" i="21"/>
  <c r="J92" i="21"/>
  <c r="E93" i="21"/>
  <c r="G93" i="21"/>
  <c r="H93" i="21"/>
  <c r="K93" i="21"/>
  <c r="L93" i="21"/>
  <c r="E94" i="21"/>
  <c r="F94" i="21"/>
  <c r="G94" i="21"/>
  <c r="H94" i="21"/>
  <c r="I94" i="21"/>
  <c r="J94" i="21"/>
  <c r="F95" i="21"/>
  <c r="G95" i="21"/>
  <c r="H95" i="21"/>
  <c r="I95" i="21"/>
  <c r="J95" i="21"/>
  <c r="L95" i="21"/>
  <c r="F96" i="21"/>
  <c r="G96" i="21"/>
  <c r="I96" i="21"/>
  <c r="J96" i="21"/>
  <c r="L96" i="21"/>
  <c r="E97" i="21"/>
  <c r="F97" i="21"/>
  <c r="G97" i="21"/>
  <c r="I97" i="21"/>
  <c r="J97" i="21"/>
  <c r="K97" i="21"/>
  <c r="L97" i="21"/>
  <c r="F98" i="21"/>
  <c r="G98" i="21"/>
  <c r="H98" i="21"/>
  <c r="I98" i="21"/>
  <c r="K98" i="21"/>
  <c r="L98" i="21"/>
  <c r="E99" i="21"/>
  <c r="G99" i="21"/>
  <c r="H99" i="21"/>
  <c r="I99" i="21"/>
  <c r="J99" i="21"/>
  <c r="K99" i="21"/>
  <c r="L99" i="21"/>
  <c r="E100" i="21"/>
  <c r="F100" i="21"/>
  <c r="G100" i="21"/>
  <c r="H100" i="21"/>
  <c r="I100" i="21"/>
  <c r="J100" i="21"/>
  <c r="L100" i="21"/>
  <c r="F101" i="21"/>
  <c r="G101" i="21"/>
  <c r="H101" i="21"/>
  <c r="I101" i="21"/>
  <c r="K101" i="21"/>
  <c r="H102" i="21"/>
  <c r="I102" i="21"/>
  <c r="J102" i="21"/>
  <c r="K102" i="21"/>
  <c r="E103" i="21"/>
  <c r="F103" i="21"/>
  <c r="G103" i="21"/>
  <c r="H103" i="21"/>
  <c r="I103" i="21"/>
  <c r="J103" i="21"/>
  <c r="L103" i="21"/>
  <c r="E104" i="21"/>
  <c r="G104" i="21"/>
  <c r="H104" i="21"/>
  <c r="I104" i="21"/>
  <c r="J104" i="21"/>
  <c r="L104" i="21"/>
  <c r="E105" i="21"/>
  <c r="G105" i="21"/>
  <c r="H105" i="21"/>
  <c r="I105" i="21"/>
  <c r="J105" i="21"/>
  <c r="L105" i="21"/>
  <c r="E106" i="21"/>
  <c r="G106" i="21"/>
  <c r="H106" i="21"/>
  <c r="I106" i="21"/>
  <c r="J106" i="21"/>
  <c r="K106" i="21"/>
  <c r="L106" i="21"/>
  <c r="E107" i="21"/>
  <c r="G107" i="21"/>
  <c r="H107" i="21"/>
  <c r="K107" i="21"/>
  <c r="L107" i="21"/>
  <c r="E108" i="21"/>
  <c r="F108" i="21"/>
  <c r="G108" i="21"/>
  <c r="H108" i="21"/>
  <c r="I108" i="21"/>
  <c r="K108" i="21"/>
  <c r="L108" i="21"/>
  <c r="E109" i="21"/>
  <c r="F109" i="21"/>
  <c r="I109" i="21"/>
  <c r="J109" i="21"/>
  <c r="L109" i="21"/>
  <c r="E110" i="21"/>
  <c r="G110" i="21"/>
  <c r="H110" i="21"/>
  <c r="I110" i="21"/>
  <c r="J110" i="21"/>
  <c r="L110" i="21"/>
  <c r="F111" i="21"/>
  <c r="G111" i="21"/>
  <c r="H111" i="21"/>
  <c r="I111" i="21"/>
  <c r="J111" i="21"/>
  <c r="K111" i="21"/>
  <c r="L111" i="21"/>
  <c r="E112" i="21"/>
  <c r="F112" i="21"/>
  <c r="G112" i="21"/>
  <c r="I112" i="21"/>
  <c r="J112" i="21"/>
  <c r="L112" i="21"/>
  <c r="E113" i="21"/>
  <c r="F113" i="21"/>
  <c r="I113" i="21"/>
  <c r="J113" i="21"/>
  <c r="L113" i="21"/>
  <c r="E114" i="21"/>
  <c r="F114" i="21"/>
  <c r="I114" i="21"/>
  <c r="J114" i="21"/>
  <c r="K114" i="21"/>
  <c r="L114" i="21"/>
  <c r="E115" i="21"/>
  <c r="F115" i="21"/>
  <c r="I115" i="21"/>
  <c r="J115" i="21"/>
  <c r="L115" i="21"/>
  <c r="E116" i="21"/>
  <c r="F116" i="21"/>
  <c r="I116" i="21"/>
  <c r="J116" i="21"/>
  <c r="K116" i="21"/>
  <c r="L116" i="21"/>
  <c r="F87" i="21"/>
  <c r="G87" i="21"/>
  <c r="H87" i="21"/>
  <c r="I87" i="21"/>
  <c r="J87" i="21"/>
  <c r="K87" i="21"/>
  <c r="L87" i="21"/>
  <c r="E87" i="21"/>
  <c r="D88" i="21"/>
  <c r="D89" i="21"/>
  <c r="D90" i="21"/>
  <c r="D91" i="21"/>
  <c r="D92" i="21"/>
  <c r="D93" i="21"/>
  <c r="D94" i="21"/>
  <c r="D95" i="21"/>
  <c r="D96" i="21"/>
  <c r="D97" i="21"/>
  <c r="D98" i="21"/>
  <c r="D99" i="21"/>
  <c r="D100" i="21"/>
  <c r="D101" i="21"/>
  <c r="D102" i="21"/>
  <c r="D103" i="21"/>
  <c r="D104" i="21"/>
  <c r="D105" i="21"/>
  <c r="D106" i="21"/>
  <c r="D107" i="21"/>
  <c r="D108" i="21"/>
  <c r="D109" i="21"/>
  <c r="D110" i="21"/>
  <c r="D111" i="21"/>
  <c r="D112" i="21"/>
  <c r="D113" i="21"/>
  <c r="D114" i="21"/>
  <c r="D115" i="21"/>
  <c r="D116" i="21"/>
  <c r="D87" i="21"/>
  <c r="E111" i="21"/>
  <c r="E96" i="21"/>
  <c r="E95" i="21"/>
  <c r="E102" i="21"/>
  <c r="E98" i="21"/>
  <c r="E101" i="21"/>
  <c r="E91" i="21"/>
  <c r="F93" i="21"/>
  <c r="F99" i="21"/>
  <c r="F105" i="21"/>
  <c r="F106" i="21"/>
  <c r="F107" i="21"/>
  <c r="F102" i="21"/>
  <c r="F110" i="21"/>
  <c r="F104" i="21"/>
  <c r="G91" i="21"/>
  <c r="G92" i="21"/>
  <c r="G109" i="21"/>
  <c r="G102" i="21"/>
  <c r="H97" i="21"/>
  <c r="H114" i="21"/>
  <c r="H115" i="21"/>
  <c r="H116" i="21"/>
  <c r="H96" i="21"/>
  <c r="H109" i="21"/>
  <c r="H113" i="21"/>
  <c r="H112" i="21"/>
  <c r="I90" i="21"/>
  <c r="I107" i="21"/>
  <c r="I93" i="21"/>
  <c r="I91" i="21"/>
  <c r="J108" i="21"/>
  <c r="J93" i="21"/>
  <c r="J101" i="21"/>
  <c r="J98" i="21"/>
  <c r="J107" i="21"/>
  <c r="K94" i="21"/>
  <c r="K95" i="21"/>
  <c r="K96" i="21"/>
  <c r="K100" i="21"/>
  <c r="K109" i="21"/>
  <c r="K113" i="21"/>
  <c r="K112" i="21"/>
  <c r="K115" i="21"/>
  <c r="K92" i="21"/>
  <c r="K103" i="21"/>
  <c r="K104" i="21"/>
  <c r="K105" i="21"/>
  <c r="K110" i="21"/>
  <c r="L88" i="21"/>
  <c r="L91" i="21"/>
  <c r="L92" i="21"/>
  <c r="L101" i="21"/>
  <c r="L102" i="21"/>
  <c r="L94" i="21"/>
  <c r="B76" i="21" a="1"/>
  <c r="B76" i="21" s="1"/>
  <c r="D60" i="18"/>
  <c r="D61" i="18"/>
  <c r="D62" i="18"/>
  <c r="D92" i="18"/>
  <c r="D94" i="18"/>
  <c r="D93" i="18"/>
  <c r="D71" i="18"/>
  <c r="D72" i="18"/>
  <c r="D73" i="18"/>
  <c r="D83" i="18"/>
  <c r="D84" i="18"/>
  <c r="D81" i="18"/>
  <c r="D82" i="18"/>
  <c r="D48" i="18"/>
  <c r="D47" i="18"/>
  <c r="D90" i="18"/>
  <c r="D91" i="18"/>
  <c r="D45" i="18"/>
  <c r="D44" i="18"/>
  <c r="D46" i="18"/>
  <c r="D55" i="18"/>
  <c r="D53" i="18"/>
  <c r="D54" i="18"/>
  <c r="D3" i="18"/>
  <c r="D4" i="18"/>
  <c r="D58" i="18"/>
  <c r="D59" i="18"/>
  <c r="D2" i="18"/>
  <c r="D16" i="18"/>
  <c r="D15" i="18"/>
  <c r="D18" i="18"/>
  <c r="D17" i="18"/>
  <c r="D23" i="18"/>
  <c r="D22" i="18"/>
  <c r="D24" i="18"/>
  <c r="D42" i="18"/>
  <c r="D43" i="18"/>
  <c r="D39" i="18"/>
  <c r="D38" i="18"/>
  <c r="D95" i="18"/>
  <c r="D96" i="18"/>
  <c r="D97" i="18"/>
  <c r="D98" i="18"/>
  <c r="D99" i="18"/>
  <c r="D100" i="18"/>
  <c r="D101" i="18"/>
  <c r="D56" i="18"/>
  <c r="D57" i="18"/>
  <c r="D75" i="18"/>
  <c r="D74" i="18"/>
  <c r="D76" i="18"/>
  <c r="D49" i="18"/>
  <c r="D50" i="18"/>
  <c r="D68" i="18"/>
  <c r="D70" i="18"/>
  <c r="D69" i="18"/>
  <c r="D67" i="18"/>
  <c r="D36" i="18"/>
  <c r="D35" i="18"/>
  <c r="D37" i="18"/>
  <c r="D40" i="18"/>
  <c r="D41" i="18"/>
  <c r="D63" i="18"/>
  <c r="D64" i="18"/>
  <c r="D26" i="18"/>
  <c r="D27" i="18"/>
  <c r="D20" i="18"/>
  <c r="D19" i="18"/>
  <c r="D21" i="18"/>
  <c r="D10" i="18"/>
  <c r="D14" i="18"/>
  <c r="D80" i="18"/>
  <c r="D77" i="18"/>
  <c r="D78" i="18"/>
  <c r="D79" i="18"/>
  <c r="D7" i="18"/>
  <c r="D9" i="18"/>
  <c r="D28" i="18"/>
  <c r="D30" i="18"/>
  <c r="D29" i="18"/>
  <c r="D32" i="18"/>
  <c r="D31" i="18"/>
  <c r="D34" i="18"/>
  <c r="D33" i="18"/>
  <c r="D65" i="18"/>
  <c r="D66" i="18"/>
  <c r="D25" i="18"/>
  <c r="D51" i="18"/>
  <c r="D52" i="18"/>
  <c r="D85" i="18"/>
  <c r="D86" i="18"/>
  <c r="D88" i="18"/>
  <c r="D89" i="18"/>
  <c r="D87" i="18"/>
  <c r="C83" i="21" l="1"/>
  <c r="C79" i="21"/>
  <c r="C77" i="21"/>
  <c r="C76" i="21"/>
  <c r="C82" i="21"/>
  <c r="C81" i="21"/>
  <c r="C78" i="21"/>
  <c r="C80" i="21"/>
  <c r="M6" i="24" l="1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5" i="24"/>
  <c r="A393" i="15"/>
  <c r="A394" i="15"/>
  <c r="A395" i="15"/>
  <c r="A396" i="15"/>
  <c r="A397" i="15"/>
  <c r="A398" i="15"/>
  <c r="A399" i="15"/>
  <c r="A400" i="15"/>
  <c r="B393" i="15"/>
  <c r="B394" i="15"/>
  <c r="B395" i="15"/>
  <c r="B396" i="15"/>
  <c r="B397" i="15"/>
  <c r="B398" i="15"/>
  <c r="B399" i="15"/>
  <c r="B400" i="15"/>
  <c r="C393" i="15"/>
  <c r="C394" i="15"/>
  <c r="C395" i="15"/>
  <c r="C396" i="15"/>
  <c r="C397" i="15"/>
  <c r="C398" i="15"/>
  <c r="C399" i="15"/>
  <c r="C400" i="15"/>
  <c r="D393" i="15"/>
  <c r="D394" i="15"/>
  <c r="D395" i="15"/>
  <c r="D396" i="15"/>
  <c r="D397" i="15"/>
  <c r="D398" i="15"/>
  <c r="D399" i="15"/>
  <c r="D400" i="15"/>
  <c r="D80" i="21" l="1"/>
  <c r="D77" i="21"/>
  <c r="D79" i="21"/>
  <c r="D82" i="21"/>
  <c r="D76" i="21"/>
  <c r="D81" i="21"/>
  <c r="D83" i="21"/>
  <c r="D78" i="21"/>
  <c r="D2" i="15"/>
  <c r="D3" i="15"/>
  <c r="D4" i="15"/>
  <c r="D5" i="15"/>
  <c r="D6" i="15"/>
  <c r="D7" i="15"/>
  <c r="D8" i="15"/>
  <c r="D9" i="15"/>
  <c r="D10" i="15"/>
  <c r="D11" i="15"/>
  <c r="D12" i="15"/>
  <c r="D13" i="15"/>
  <c r="D14" i="15"/>
  <c r="D15" i="15"/>
  <c r="D16" i="15"/>
  <c r="D17" i="15"/>
  <c r="D18" i="15"/>
  <c r="D19" i="15"/>
  <c r="D20" i="15"/>
  <c r="D21" i="15"/>
  <c r="D22" i="15"/>
  <c r="D23" i="15"/>
  <c r="D24" i="15"/>
  <c r="D25" i="15"/>
  <c r="D26" i="15"/>
  <c r="D27" i="15"/>
  <c r="D28" i="15"/>
  <c r="D29" i="15"/>
  <c r="D30" i="15"/>
  <c r="D31" i="15"/>
  <c r="D32" i="15"/>
  <c r="D33" i="15"/>
  <c r="D34" i="15"/>
  <c r="D35" i="15"/>
  <c r="D36" i="15"/>
  <c r="D37" i="15"/>
  <c r="D38" i="15"/>
  <c r="D39" i="15"/>
  <c r="D40" i="15"/>
  <c r="D41" i="15"/>
  <c r="D42" i="15"/>
  <c r="D43" i="15"/>
  <c r="D44" i="15"/>
  <c r="D45" i="15"/>
  <c r="D46" i="15"/>
  <c r="D47" i="15"/>
  <c r="D48" i="15"/>
  <c r="D49" i="15"/>
  <c r="D50" i="15"/>
  <c r="D51" i="15"/>
  <c r="D52" i="15"/>
  <c r="D53" i="15"/>
  <c r="D54" i="15"/>
  <c r="D55" i="15"/>
  <c r="D56" i="15"/>
  <c r="D57" i="15"/>
  <c r="D58" i="15"/>
  <c r="D59" i="15"/>
  <c r="D60" i="15"/>
  <c r="D61" i="15"/>
  <c r="D62" i="15"/>
  <c r="D63" i="15"/>
  <c r="D64" i="15"/>
  <c r="D65" i="15"/>
  <c r="D66" i="15"/>
  <c r="D67" i="15"/>
  <c r="D68" i="15"/>
  <c r="D69" i="15"/>
  <c r="D70" i="15"/>
  <c r="D71" i="15"/>
  <c r="D72" i="15"/>
  <c r="D73" i="15"/>
  <c r="D74" i="15"/>
  <c r="D75" i="15"/>
  <c r="D76" i="15"/>
  <c r="D77" i="15"/>
  <c r="D78" i="15"/>
  <c r="D79" i="15"/>
  <c r="D80" i="15"/>
  <c r="D81" i="15"/>
  <c r="D82" i="15"/>
  <c r="D83" i="15"/>
  <c r="D84" i="15"/>
  <c r="D85" i="15"/>
  <c r="D86" i="15"/>
  <c r="D87" i="15"/>
  <c r="D88" i="15"/>
  <c r="D89" i="15"/>
  <c r="D90" i="15"/>
  <c r="D91" i="15"/>
  <c r="D92" i="15"/>
  <c r="D93" i="15"/>
  <c r="D94" i="15"/>
  <c r="D95" i="15"/>
  <c r="D96" i="15"/>
  <c r="D97" i="15"/>
  <c r="D98" i="15"/>
  <c r="D99" i="15"/>
  <c r="D100" i="15"/>
  <c r="D101" i="15"/>
  <c r="D102" i="15"/>
  <c r="D103" i="15"/>
  <c r="D104" i="15"/>
  <c r="D105" i="15"/>
  <c r="D106" i="15"/>
  <c r="D107" i="15"/>
  <c r="D108" i="15"/>
  <c r="D109" i="15"/>
  <c r="D110" i="15"/>
  <c r="D111" i="15"/>
  <c r="D112" i="15"/>
  <c r="D113" i="15"/>
  <c r="D114" i="15"/>
  <c r="D115" i="15"/>
  <c r="D116" i="15"/>
  <c r="D117" i="15"/>
  <c r="D118" i="15"/>
  <c r="D119" i="15"/>
  <c r="D120" i="15"/>
  <c r="D121" i="15"/>
  <c r="D122" i="15"/>
  <c r="D123" i="15"/>
  <c r="D124" i="15"/>
  <c r="D125" i="15"/>
  <c r="D126" i="15"/>
  <c r="D127" i="15"/>
  <c r="D128" i="15"/>
  <c r="D129" i="15"/>
  <c r="D130" i="15"/>
  <c r="D131" i="15"/>
  <c r="D132" i="15"/>
  <c r="D133" i="15"/>
  <c r="D134" i="15"/>
  <c r="D135" i="15"/>
  <c r="D136" i="15"/>
  <c r="D137" i="15"/>
  <c r="D138" i="15"/>
  <c r="D139" i="15"/>
  <c r="D140" i="15"/>
  <c r="D141" i="15"/>
  <c r="D142" i="15"/>
  <c r="D143" i="15"/>
  <c r="D144" i="15"/>
  <c r="D145" i="15"/>
  <c r="D146" i="15"/>
  <c r="D147" i="15"/>
  <c r="D148" i="15"/>
  <c r="D149" i="15"/>
  <c r="D150" i="15"/>
  <c r="D151" i="15"/>
  <c r="D152" i="15"/>
  <c r="D153" i="15"/>
  <c r="D154" i="15"/>
  <c r="D155" i="15"/>
  <c r="D156" i="15"/>
  <c r="D157" i="15"/>
  <c r="D158" i="15"/>
  <c r="D159" i="15"/>
  <c r="D160" i="15"/>
  <c r="D161" i="15"/>
  <c r="D162" i="15"/>
  <c r="D163" i="15"/>
  <c r="D164" i="15"/>
  <c r="D165" i="15"/>
  <c r="D166" i="15"/>
  <c r="D167" i="15"/>
  <c r="D168" i="15"/>
  <c r="D169" i="15"/>
  <c r="D170" i="15"/>
  <c r="D171" i="15"/>
  <c r="D172" i="15"/>
  <c r="D173" i="15"/>
  <c r="D174" i="15"/>
  <c r="D175" i="15"/>
  <c r="D176" i="15"/>
  <c r="D177" i="15"/>
  <c r="D178" i="15"/>
  <c r="D179" i="15"/>
  <c r="D180" i="15"/>
  <c r="D181" i="15"/>
  <c r="D182" i="15"/>
  <c r="D183" i="15"/>
  <c r="D184" i="15"/>
  <c r="D185" i="15"/>
  <c r="D186" i="15"/>
  <c r="D187" i="15"/>
  <c r="D188" i="15"/>
  <c r="D189" i="15"/>
  <c r="D190" i="15"/>
  <c r="D191" i="15"/>
  <c r="D192" i="15"/>
  <c r="D193" i="15"/>
  <c r="D194" i="15"/>
  <c r="D195" i="15"/>
  <c r="D196" i="15"/>
  <c r="D197" i="15"/>
  <c r="D198" i="15"/>
  <c r="D199" i="15"/>
  <c r="D200" i="15"/>
  <c r="D201" i="15"/>
  <c r="D202" i="15"/>
  <c r="D203" i="15"/>
  <c r="D204" i="15"/>
  <c r="D205" i="15"/>
  <c r="D206" i="15"/>
  <c r="D207" i="15"/>
  <c r="D208" i="15"/>
  <c r="D209" i="15"/>
  <c r="D210" i="15"/>
  <c r="D211" i="15"/>
  <c r="D212" i="15"/>
  <c r="D213" i="15"/>
  <c r="D214" i="15"/>
  <c r="D215" i="15"/>
  <c r="D216" i="15"/>
  <c r="D217" i="15"/>
  <c r="D218" i="15"/>
  <c r="D219" i="15"/>
  <c r="D220" i="15"/>
  <c r="D221" i="15"/>
  <c r="D222" i="15"/>
  <c r="D223" i="15"/>
  <c r="D224" i="15"/>
  <c r="D225" i="15"/>
  <c r="D226" i="15"/>
  <c r="D227" i="15"/>
  <c r="D228" i="15"/>
  <c r="D229" i="15"/>
  <c r="D230" i="15"/>
  <c r="D231" i="15"/>
  <c r="D232" i="15"/>
  <c r="D233" i="15"/>
  <c r="D234" i="15"/>
  <c r="D235" i="15"/>
  <c r="D236" i="15"/>
  <c r="D237" i="15"/>
  <c r="D238" i="15"/>
  <c r="D239" i="15"/>
  <c r="D240" i="15"/>
  <c r="D241" i="15"/>
  <c r="D242" i="15"/>
  <c r="D243" i="15"/>
  <c r="D244" i="15"/>
  <c r="D245" i="15"/>
  <c r="D246" i="15"/>
  <c r="D276" i="15"/>
  <c r="D277" i="15"/>
  <c r="D278" i="15"/>
  <c r="D279" i="15"/>
  <c r="D280" i="15"/>
  <c r="D281" i="15"/>
  <c r="D282" i="15"/>
  <c r="D283" i="15"/>
  <c r="D284" i="15"/>
  <c r="D285" i="15"/>
  <c r="D286" i="15"/>
  <c r="D287" i="15"/>
  <c r="D288" i="15"/>
  <c r="D289" i="15"/>
  <c r="D290" i="15"/>
  <c r="D291" i="15"/>
  <c r="D292" i="15"/>
  <c r="D293" i="15"/>
  <c r="D294" i="15"/>
  <c r="D295" i="15"/>
  <c r="D296" i="15"/>
  <c r="D297" i="15"/>
  <c r="D298" i="15"/>
  <c r="D299" i="15"/>
  <c r="D300" i="15"/>
  <c r="D301" i="15"/>
  <c r="D311" i="15"/>
  <c r="D312" i="15"/>
  <c r="D313" i="15"/>
  <c r="D314" i="15"/>
  <c r="D315" i="15"/>
  <c r="D316" i="15"/>
  <c r="D317" i="15"/>
  <c r="D318" i="15"/>
  <c r="D319" i="15"/>
  <c r="D320" i="15"/>
  <c r="D321" i="15"/>
  <c r="D322" i="15"/>
  <c r="D323" i="15"/>
  <c r="D324" i="15"/>
  <c r="D325" i="15"/>
  <c r="D326" i="15"/>
  <c r="D327" i="15"/>
  <c r="D328" i="15"/>
  <c r="D329" i="15"/>
  <c r="D330" i="15"/>
  <c r="D331" i="15"/>
  <c r="D332" i="15"/>
  <c r="D333" i="15"/>
  <c r="D334" i="15"/>
  <c r="D335" i="15"/>
  <c r="D336" i="15"/>
  <c r="D337" i="15"/>
  <c r="D338" i="15"/>
  <c r="D339" i="15"/>
  <c r="D340" i="15"/>
  <c r="D341" i="15"/>
  <c r="D342" i="15"/>
  <c r="D343" i="15"/>
  <c r="D344" i="15"/>
  <c r="D345" i="15"/>
  <c r="D346" i="15"/>
  <c r="D347" i="15"/>
  <c r="D348" i="15"/>
  <c r="D349" i="15"/>
  <c r="D350" i="15"/>
  <c r="D351" i="15"/>
  <c r="D352" i="15"/>
  <c r="D353" i="15"/>
  <c r="D354" i="15"/>
  <c r="D355" i="15"/>
  <c r="D356" i="15"/>
  <c r="D357" i="15"/>
  <c r="D358" i="15"/>
  <c r="D359" i="15"/>
  <c r="D360" i="15"/>
  <c r="D361" i="15"/>
  <c r="D362" i="15"/>
  <c r="D363" i="15"/>
  <c r="D364" i="15"/>
  <c r="D365" i="15"/>
  <c r="D366" i="15"/>
  <c r="D367" i="15"/>
  <c r="D368" i="15"/>
  <c r="D369" i="15"/>
  <c r="D370" i="15"/>
  <c r="D371" i="15"/>
  <c r="D372" i="15"/>
  <c r="D373" i="15"/>
  <c r="D374" i="15"/>
  <c r="D375" i="15"/>
  <c r="D376" i="15"/>
  <c r="D377" i="15"/>
  <c r="D378" i="15"/>
  <c r="D379" i="15"/>
  <c r="D387" i="15"/>
  <c r="D388" i="15"/>
  <c r="D389" i="15"/>
  <c r="D390" i="15"/>
  <c r="D391" i="15"/>
  <c r="D392" i="15"/>
  <c r="D401" i="15"/>
  <c r="D402" i="15"/>
  <c r="D403" i="15"/>
  <c r="D404" i="15"/>
  <c r="D405" i="15"/>
  <c r="D406" i="15"/>
  <c r="D407" i="15"/>
  <c r="D408" i="15"/>
  <c r="D409" i="15"/>
  <c r="D410" i="15"/>
  <c r="D411" i="15"/>
  <c r="D412" i="15"/>
  <c r="D413" i="15"/>
  <c r="D414" i="15"/>
  <c r="D415" i="15"/>
  <c r="D416" i="15"/>
  <c r="D417" i="15"/>
  <c r="D418" i="15"/>
  <c r="D419" i="15"/>
  <c r="D420" i="15"/>
  <c r="D429" i="15"/>
  <c r="D430" i="15"/>
  <c r="D431" i="15"/>
  <c r="D432" i="15"/>
  <c r="C2" i="15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7" i="15"/>
  <c r="C388" i="15"/>
  <c r="C389" i="15"/>
  <c r="C390" i="15"/>
  <c r="C391" i="15"/>
  <c r="C392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9" i="15"/>
  <c r="C430" i="15"/>
  <c r="C431" i="15"/>
  <c r="C432" i="15"/>
  <c r="B2" i="15"/>
  <c r="B3" i="15"/>
  <c r="B4" i="15"/>
  <c r="B5" i="15"/>
  <c r="B6" i="15"/>
  <c r="B7" i="15"/>
  <c r="B8" i="15"/>
  <c r="B9" i="15"/>
  <c r="B10" i="15"/>
  <c r="B11" i="15"/>
  <c r="B12" i="15"/>
  <c r="B13" i="15"/>
  <c r="B14" i="15"/>
  <c r="B15" i="15"/>
  <c r="B16" i="15"/>
  <c r="B17" i="15"/>
  <c r="B18" i="15"/>
  <c r="B19" i="15"/>
  <c r="B20" i="15"/>
  <c r="B21" i="15"/>
  <c r="B22" i="15"/>
  <c r="B23" i="15"/>
  <c r="B24" i="15"/>
  <c r="B25" i="15"/>
  <c r="B26" i="15"/>
  <c r="B27" i="15"/>
  <c r="B28" i="15"/>
  <c r="B29" i="15"/>
  <c r="B30" i="15"/>
  <c r="B31" i="15"/>
  <c r="B32" i="15"/>
  <c r="B33" i="15"/>
  <c r="B34" i="15"/>
  <c r="B35" i="15"/>
  <c r="B36" i="15"/>
  <c r="B37" i="15"/>
  <c r="B38" i="15"/>
  <c r="B39" i="15"/>
  <c r="B40" i="15"/>
  <c r="B41" i="15"/>
  <c r="B42" i="15"/>
  <c r="B43" i="15"/>
  <c r="B44" i="15"/>
  <c r="B45" i="15"/>
  <c r="B46" i="15"/>
  <c r="B47" i="15"/>
  <c r="B48" i="15"/>
  <c r="B49" i="15"/>
  <c r="B50" i="15"/>
  <c r="B51" i="15"/>
  <c r="B52" i="15"/>
  <c r="B53" i="15"/>
  <c r="B54" i="15"/>
  <c r="B55" i="15"/>
  <c r="B56" i="15"/>
  <c r="B57" i="15"/>
  <c r="B58" i="15"/>
  <c r="B59" i="15"/>
  <c r="B60" i="15"/>
  <c r="B61" i="15"/>
  <c r="B62" i="15"/>
  <c r="B63" i="15"/>
  <c r="B64" i="15"/>
  <c r="B65" i="15"/>
  <c r="B66" i="15"/>
  <c r="B67" i="15"/>
  <c r="B68" i="15"/>
  <c r="B69" i="15"/>
  <c r="B70" i="15"/>
  <c r="B71" i="15"/>
  <c r="B72" i="15"/>
  <c r="B73" i="15"/>
  <c r="B74" i="15"/>
  <c r="B75" i="15"/>
  <c r="B76" i="15"/>
  <c r="B77" i="15"/>
  <c r="B78" i="15"/>
  <c r="B79" i="15"/>
  <c r="B80" i="15"/>
  <c r="B81" i="15"/>
  <c r="B82" i="15"/>
  <c r="B83" i="15"/>
  <c r="B84" i="15"/>
  <c r="B85" i="15"/>
  <c r="B86" i="15"/>
  <c r="B87" i="15"/>
  <c r="B88" i="15"/>
  <c r="B89" i="15"/>
  <c r="B90" i="15"/>
  <c r="B91" i="15"/>
  <c r="B92" i="15"/>
  <c r="B93" i="15"/>
  <c r="B94" i="15"/>
  <c r="B95" i="15"/>
  <c r="B96" i="15"/>
  <c r="B97" i="15"/>
  <c r="B98" i="15"/>
  <c r="B99" i="15"/>
  <c r="B100" i="15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9" i="15"/>
  <c r="B160" i="15"/>
  <c r="B161" i="15"/>
  <c r="B162" i="15"/>
  <c r="B163" i="15"/>
  <c r="B164" i="15"/>
  <c r="B165" i="15"/>
  <c r="B166" i="15"/>
  <c r="B167" i="15"/>
  <c r="B168" i="15"/>
  <c r="B169" i="15"/>
  <c r="B170" i="15"/>
  <c r="B171" i="15"/>
  <c r="B172" i="15"/>
  <c r="B173" i="15"/>
  <c r="B174" i="15"/>
  <c r="B175" i="15"/>
  <c r="B176" i="15"/>
  <c r="B177" i="15"/>
  <c r="B178" i="15"/>
  <c r="B179" i="15"/>
  <c r="B180" i="15"/>
  <c r="B181" i="15"/>
  <c r="B182" i="15"/>
  <c r="B183" i="15"/>
  <c r="B184" i="15"/>
  <c r="B185" i="15"/>
  <c r="B186" i="15"/>
  <c r="B187" i="15"/>
  <c r="B188" i="15"/>
  <c r="B189" i="15"/>
  <c r="B190" i="15"/>
  <c r="B191" i="15"/>
  <c r="B192" i="15"/>
  <c r="B193" i="15"/>
  <c r="B194" i="15"/>
  <c r="B195" i="15"/>
  <c r="B196" i="15"/>
  <c r="B197" i="15"/>
  <c r="B198" i="15"/>
  <c r="B199" i="15"/>
  <c r="B200" i="15"/>
  <c r="B201" i="15"/>
  <c r="B202" i="15"/>
  <c r="B203" i="15"/>
  <c r="B204" i="15"/>
  <c r="B205" i="15"/>
  <c r="B206" i="15"/>
  <c r="B207" i="15"/>
  <c r="B208" i="15"/>
  <c r="B209" i="15"/>
  <c r="B210" i="15"/>
  <c r="B211" i="15"/>
  <c r="B212" i="15"/>
  <c r="B213" i="15"/>
  <c r="B214" i="15"/>
  <c r="B215" i="15"/>
  <c r="B216" i="15"/>
  <c r="B217" i="15"/>
  <c r="B218" i="15"/>
  <c r="B219" i="15"/>
  <c r="B220" i="15"/>
  <c r="B221" i="15"/>
  <c r="B222" i="15"/>
  <c r="B223" i="15"/>
  <c r="B224" i="15"/>
  <c r="B225" i="15"/>
  <c r="B226" i="15"/>
  <c r="B227" i="15"/>
  <c r="B228" i="15"/>
  <c r="B229" i="15"/>
  <c r="B230" i="15"/>
  <c r="B231" i="15"/>
  <c r="B232" i="15"/>
  <c r="B233" i="15"/>
  <c r="B234" i="15"/>
  <c r="B235" i="15"/>
  <c r="B236" i="15"/>
  <c r="B237" i="15"/>
  <c r="B238" i="15"/>
  <c r="B239" i="15"/>
  <c r="B240" i="15"/>
  <c r="B241" i="15"/>
  <c r="B242" i="15"/>
  <c r="B243" i="15"/>
  <c r="B244" i="15"/>
  <c r="B245" i="15"/>
  <c r="B246" i="15"/>
  <c r="B276" i="15"/>
  <c r="B277" i="15"/>
  <c r="B278" i="15"/>
  <c r="B279" i="15"/>
  <c r="B280" i="15"/>
  <c r="B281" i="15"/>
  <c r="B282" i="15"/>
  <c r="B283" i="15"/>
  <c r="B284" i="15"/>
  <c r="B285" i="15"/>
  <c r="B286" i="15"/>
  <c r="B287" i="15"/>
  <c r="B288" i="15"/>
  <c r="B289" i="15"/>
  <c r="B290" i="15"/>
  <c r="B291" i="15"/>
  <c r="B292" i="15"/>
  <c r="B293" i="15"/>
  <c r="B294" i="15"/>
  <c r="B295" i="15"/>
  <c r="B296" i="15"/>
  <c r="B297" i="15"/>
  <c r="B298" i="15"/>
  <c r="B299" i="15"/>
  <c r="B300" i="15"/>
  <c r="B301" i="15"/>
  <c r="B311" i="15"/>
  <c r="B312" i="15"/>
  <c r="B313" i="15"/>
  <c r="B314" i="15"/>
  <c r="B315" i="15"/>
  <c r="B316" i="15"/>
  <c r="B317" i="15"/>
  <c r="B318" i="15"/>
  <c r="B319" i="15"/>
  <c r="B320" i="15"/>
  <c r="B321" i="15"/>
  <c r="B322" i="15"/>
  <c r="B323" i="15"/>
  <c r="B324" i="15"/>
  <c r="B325" i="15"/>
  <c r="B326" i="15"/>
  <c r="B327" i="15"/>
  <c r="B328" i="15"/>
  <c r="B329" i="15"/>
  <c r="B330" i="15"/>
  <c r="B331" i="15"/>
  <c r="B332" i="15"/>
  <c r="B333" i="15"/>
  <c r="B334" i="15"/>
  <c r="B335" i="15"/>
  <c r="B336" i="15"/>
  <c r="B337" i="15"/>
  <c r="B338" i="15"/>
  <c r="B339" i="15"/>
  <c r="B340" i="15"/>
  <c r="B341" i="15"/>
  <c r="B342" i="15"/>
  <c r="B343" i="15"/>
  <c r="B344" i="15"/>
  <c r="B345" i="15"/>
  <c r="B346" i="15"/>
  <c r="B347" i="15"/>
  <c r="B348" i="15"/>
  <c r="B349" i="15"/>
  <c r="B350" i="15"/>
  <c r="B351" i="15"/>
  <c r="B352" i="15"/>
  <c r="B353" i="15"/>
  <c r="B354" i="15"/>
  <c r="B355" i="15"/>
  <c r="B356" i="15"/>
  <c r="B357" i="15"/>
  <c r="B358" i="15"/>
  <c r="B359" i="15"/>
  <c r="B360" i="15"/>
  <c r="B361" i="15"/>
  <c r="B362" i="15"/>
  <c r="B363" i="15"/>
  <c r="B364" i="15"/>
  <c r="B365" i="15"/>
  <c r="B366" i="15"/>
  <c r="B367" i="15"/>
  <c r="B368" i="15"/>
  <c r="B369" i="15"/>
  <c r="B370" i="15"/>
  <c r="B371" i="15"/>
  <c r="B372" i="15"/>
  <c r="B373" i="15"/>
  <c r="B374" i="15"/>
  <c r="B375" i="15"/>
  <c r="B376" i="15"/>
  <c r="B377" i="15"/>
  <c r="B378" i="15"/>
  <c r="B379" i="15"/>
  <c r="B387" i="15"/>
  <c r="B388" i="15"/>
  <c r="B389" i="15"/>
  <c r="B390" i="15"/>
  <c r="B391" i="15"/>
  <c r="B392" i="15"/>
  <c r="B401" i="15"/>
  <c r="B402" i="15"/>
  <c r="B403" i="15"/>
  <c r="B404" i="15"/>
  <c r="B405" i="15"/>
  <c r="B406" i="15"/>
  <c r="B407" i="15"/>
  <c r="B408" i="15"/>
  <c r="B409" i="15"/>
  <c r="B410" i="15"/>
  <c r="B411" i="15"/>
  <c r="B412" i="15"/>
  <c r="B413" i="15"/>
  <c r="B414" i="15"/>
  <c r="B415" i="15"/>
  <c r="B416" i="15"/>
  <c r="B417" i="15"/>
  <c r="B418" i="15"/>
  <c r="B419" i="15"/>
  <c r="B420" i="15"/>
  <c r="B429" i="15"/>
  <c r="B430" i="15"/>
  <c r="B431" i="15"/>
  <c r="B432" i="15"/>
  <c r="A2" i="15"/>
  <c r="A3" i="15"/>
  <c r="A4" i="15"/>
  <c r="A5" i="15"/>
  <c r="A6" i="15"/>
  <c r="A7" i="15"/>
  <c r="A8" i="15"/>
  <c r="A9" i="15"/>
  <c r="A10" i="15"/>
  <c r="A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A241" i="15"/>
  <c r="A242" i="15"/>
  <c r="A243" i="15"/>
  <c r="A244" i="15"/>
  <c r="A245" i="15"/>
  <c r="A246" i="15"/>
  <c r="A276" i="15"/>
  <c r="A277" i="15"/>
  <c r="A278" i="15"/>
  <c r="A279" i="15"/>
  <c r="A280" i="15"/>
  <c r="A281" i="15"/>
  <c r="A282" i="15"/>
  <c r="A283" i="15"/>
  <c r="A284" i="15"/>
  <c r="A285" i="15"/>
  <c r="A286" i="15"/>
  <c r="A287" i="15"/>
  <c r="A288" i="15"/>
  <c r="A289" i="15"/>
  <c r="A290" i="15"/>
  <c r="A291" i="15"/>
  <c r="A292" i="15"/>
  <c r="A293" i="15"/>
  <c r="A294" i="15"/>
  <c r="A295" i="15"/>
  <c r="A296" i="15"/>
  <c r="A297" i="15"/>
  <c r="A298" i="15"/>
  <c r="A299" i="15"/>
  <c r="A300" i="15"/>
  <c r="A301" i="15"/>
  <c r="A311" i="15"/>
  <c r="A312" i="15"/>
  <c r="A313" i="15"/>
  <c r="A314" i="15"/>
  <c r="A315" i="15"/>
  <c r="A316" i="15"/>
  <c r="A317" i="15"/>
  <c r="A318" i="15"/>
  <c r="A319" i="15"/>
  <c r="A320" i="15"/>
  <c r="A321" i="15"/>
  <c r="A322" i="15"/>
  <c r="A323" i="15"/>
  <c r="A324" i="15"/>
  <c r="A325" i="15"/>
  <c r="A326" i="15"/>
  <c r="A327" i="15"/>
  <c r="A328" i="15"/>
  <c r="A329" i="15"/>
  <c r="A330" i="15"/>
  <c r="A331" i="15"/>
  <c r="A332" i="15"/>
  <c r="A333" i="15"/>
  <c r="A334" i="15"/>
  <c r="A335" i="15"/>
  <c r="A336" i="15"/>
  <c r="A337" i="15"/>
  <c r="A338" i="15"/>
  <c r="A339" i="15"/>
  <c r="A340" i="15"/>
  <c r="A341" i="15"/>
  <c r="A342" i="15"/>
  <c r="A343" i="15"/>
  <c r="A344" i="15"/>
  <c r="A345" i="15"/>
  <c r="A346" i="15"/>
  <c r="A347" i="15"/>
  <c r="A348" i="15"/>
  <c r="A349" i="15"/>
  <c r="A350" i="15"/>
  <c r="A351" i="15"/>
  <c r="A352" i="15"/>
  <c r="A353" i="15"/>
  <c r="A354" i="15"/>
  <c r="A355" i="15"/>
  <c r="A356" i="15"/>
  <c r="A357" i="15"/>
  <c r="A358" i="15"/>
  <c r="A359" i="15"/>
  <c r="A360" i="15"/>
  <c r="A361" i="15"/>
  <c r="A362" i="15"/>
  <c r="A363" i="15"/>
  <c r="A364" i="15"/>
  <c r="A365" i="15"/>
  <c r="A366" i="15"/>
  <c r="A367" i="15"/>
  <c r="A368" i="15"/>
  <c r="A369" i="15"/>
  <c r="A370" i="15"/>
  <c r="A371" i="15"/>
  <c r="A372" i="15"/>
  <c r="A373" i="15"/>
  <c r="A374" i="15"/>
  <c r="A375" i="15"/>
  <c r="A376" i="15"/>
  <c r="A377" i="15"/>
  <c r="A378" i="15"/>
  <c r="A379" i="15"/>
  <c r="A387" i="15"/>
  <c r="A388" i="15"/>
  <c r="A389" i="15"/>
  <c r="A390" i="15"/>
  <c r="A391" i="15"/>
  <c r="A392" i="15"/>
  <c r="A401" i="15"/>
  <c r="A402" i="15"/>
  <c r="A403" i="15"/>
  <c r="A404" i="15"/>
  <c r="A405" i="15"/>
  <c r="A406" i="15"/>
  <c r="A407" i="15"/>
  <c r="A408" i="15"/>
  <c r="A409" i="15"/>
  <c r="A410" i="15"/>
  <c r="A411" i="15"/>
  <c r="A412" i="15"/>
  <c r="A413" i="15"/>
  <c r="A414" i="15"/>
  <c r="A415" i="15"/>
  <c r="A416" i="15"/>
  <c r="A417" i="15"/>
  <c r="A418" i="15"/>
  <c r="A419" i="15"/>
  <c r="A420" i="15"/>
  <c r="A429" i="15"/>
  <c r="A430" i="15"/>
  <c r="A431" i="15"/>
  <c r="A432" i="15"/>
  <c r="C268" i="8"/>
  <c r="C267" i="8"/>
  <c r="E83" i="21" l="1"/>
  <c r="E78" i="21"/>
  <c r="E81" i="21"/>
  <c r="E76" i="21"/>
  <c r="E82" i="21"/>
  <c r="E79" i="21"/>
  <c r="E77" i="21"/>
  <c r="E80" i="21"/>
  <c r="C270" i="8"/>
  <c r="C269" i="8"/>
  <c r="G9" i="14" l="1"/>
  <c r="F1" i="24" s="1"/>
  <c r="G7" i="14"/>
  <c r="B1" i="24" s="1"/>
  <c r="G4" i="14"/>
  <c r="C1" i="24" s="1"/>
  <c r="G5" i="14"/>
  <c r="G1" i="24" s="1"/>
  <c r="G8" i="14"/>
  <c r="I1" i="24" s="1"/>
  <c r="G2" i="14"/>
  <c r="D1" i="24" s="1"/>
  <c r="G3" i="14"/>
  <c r="E1" i="24" s="1"/>
  <c r="G6" i="14"/>
  <c r="H1" i="24" s="1"/>
  <c r="C180" i="8"/>
  <c r="C181" i="8"/>
  <c r="C179" i="8"/>
  <c r="C177" i="8"/>
  <c r="C178" i="8"/>
  <c r="J114" i="1"/>
  <c r="K114" i="1"/>
  <c r="L114" i="1"/>
  <c r="M114" i="1"/>
  <c r="J113" i="1"/>
  <c r="K113" i="1"/>
  <c r="L113" i="1"/>
  <c r="M113" i="1"/>
  <c r="J112" i="1"/>
  <c r="K112" i="1"/>
  <c r="L112" i="1"/>
  <c r="M112" i="1"/>
  <c r="J111" i="1"/>
  <c r="K111" i="1"/>
  <c r="L111" i="1"/>
  <c r="M111" i="1"/>
  <c r="J110" i="1"/>
  <c r="K110" i="1"/>
  <c r="L110" i="1"/>
  <c r="M110" i="1"/>
  <c r="J109" i="1"/>
  <c r="K109" i="1"/>
  <c r="L109" i="1"/>
  <c r="M109" i="1"/>
  <c r="N101" i="24" l="1"/>
  <c r="N18" i="24"/>
  <c r="N40" i="24"/>
  <c r="N62" i="24"/>
  <c r="N84" i="24"/>
  <c r="N91" i="24"/>
  <c r="N26" i="24"/>
  <c r="N54" i="24"/>
  <c r="N80" i="24"/>
  <c r="N15" i="24"/>
  <c r="N81" i="24"/>
  <c r="N19" i="24"/>
  <c r="N41" i="24"/>
  <c r="N63" i="24"/>
  <c r="N85" i="24"/>
  <c r="N23" i="24"/>
  <c r="N45" i="24"/>
  <c r="N67" i="24"/>
  <c r="N89" i="24"/>
  <c r="N46" i="24"/>
  <c r="N90" i="24"/>
  <c r="N47" i="24"/>
  <c r="N48" i="24"/>
  <c r="N98" i="24"/>
  <c r="N58" i="24"/>
  <c r="N37" i="24"/>
  <c r="N60" i="24"/>
  <c r="N39" i="24"/>
  <c r="N99" i="24"/>
  <c r="N20" i="24"/>
  <c r="N42" i="24"/>
  <c r="N64" i="24"/>
  <c r="N86" i="24"/>
  <c r="N100" i="24"/>
  <c r="N21" i="24"/>
  <c r="N43" i="24"/>
  <c r="N65" i="24"/>
  <c r="N87" i="24"/>
  <c r="N24" i="24"/>
  <c r="N68" i="24"/>
  <c r="N25" i="24"/>
  <c r="N92" i="24"/>
  <c r="N76" i="24"/>
  <c r="N36" i="24"/>
  <c r="N59" i="24"/>
  <c r="N38" i="24"/>
  <c r="N61" i="24"/>
  <c r="N22" i="24"/>
  <c r="N44" i="24"/>
  <c r="N66" i="24"/>
  <c r="N88" i="24"/>
  <c r="N69" i="24"/>
  <c r="N70" i="24"/>
  <c r="N10" i="24"/>
  <c r="N32" i="24"/>
  <c r="N14" i="24"/>
  <c r="N5" i="24"/>
  <c r="N27" i="24"/>
  <c r="N49" i="24"/>
  <c r="N71" i="24"/>
  <c r="N93" i="24"/>
  <c r="N6" i="24"/>
  <c r="N28" i="24"/>
  <c r="N50" i="24"/>
  <c r="N72" i="24"/>
  <c r="N94" i="24"/>
  <c r="N7" i="24"/>
  <c r="N29" i="24"/>
  <c r="N51" i="24"/>
  <c r="N73" i="24"/>
  <c r="N95" i="24"/>
  <c r="N8" i="24"/>
  <c r="N30" i="24"/>
  <c r="N52" i="24"/>
  <c r="N74" i="24"/>
  <c r="N96" i="24"/>
  <c r="N9" i="24"/>
  <c r="N31" i="24"/>
  <c r="N53" i="24"/>
  <c r="N75" i="24"/>
  <c r="N97" i="24"/>
  <c r="N17" i="24"/>
  <c r="N11" i="24"/>
  <c r="N33" i="24"/>
  <c r="N55" i="24"/>
  <c r="N77" i="24"/>
  <c r="N16" i="24"/>
  <c r="N83" i="24"/>
  <c r="N12" i="24"/>
  <c r="N34" i="24"/>
  <c r="N56" i="24"/>
  <c r="N78" i="24"/>
  <c r="N13" i="24"/>
  <c r="N35" i="24"/>
  <c r="N57" i="24"/>
  <c r="N79" i="24"/>
  <c r="N82" i="24"/>
  <c r="C259" i="8"/>
  <c r="C255" i="8"/>
  <c r="C254" i="8"/>
  <c r="C256" i="8"/>
  <c r="C257" i="8"/>
  <c r="C250" i="8"/>
  <c r="C249" i="8"/>
  <c r="C248" i="8"/>
  <c r="O101" i="24" l="1"/>
  <c r="O91" i="24"/>
  <c r="O71" i="24"/>
  <c r="O27" i="24"/>
  <c r="O15" i="24"/>
  <c r="O59" i="24"/>
  <c r="O94" i="24"/>
  <c r="G11" i="18" s="1"/>
  <c r="I11" i="18" s="1"/>
  <c r="O16" i="24"/>
  <c r="G46" i="18" s="1"/>
  <c r="I46" i="18" s="1"/>
  <c r="O76" i="24"/>
  <c r="O46" i="24"/>
  <c r="G64" i="18" s="1"/>
  <c r="I64" i="18" s="1"/>
  <c r="O55" i="24"/>
  <c r="O28" i="24"/>
  <c r="O25" i="24"/>
  <c r="G79" i="18" s="1"/>
  <c r="I79" i="18" s="1"/>
  <c r="O89" i="24"/>
  <c r="G5" i="18" s="1"/>
  <c r="I5" i="18" s="1"/>
  <c r="O87" i="24"/>
  <c r="G67" i="18" s="1"/>
  <c r="I67" i="18" s="1"/>
  <c r="O43" i="24"/>
  <c r="G40" i="18" s="1"/>
  <c r="I40" i="18" s="1"/>
  <c r="O12" i="24"/>
  <c r="G91" i="18" s="1"/>
  <c r="I91" i="18" s="1"/>
  <c r="O48" i="24"/>
  <c r="G58" i="18" s="1"/>
  <c r="I58" i="18" s="1"/>
  <c r="O36" i="24"/>
  <c r="G97" i="18" s="1"/>
  <c r="I97" i="18" s="1"/>
  <c r="O72" i="24"/>
  <c r="G47" i="18" s="1"/>
  <c r="I47" i="18" s="1"/>
  <c r="O77" i="24"/>
  <c r="G34" i="18" s="1"/>
  <c r="I34" i="18" s="1"/>
  <c r="O92" i="24"/>
  <c r="G21" i="18" s="1"/>
  <c r="I21" i="18" s="1"/>
  <c r="O33" i="24"/>
  <c r="G95" i="18" s="1"/>
  <c r="I95" i="18" s="1"/>
  <c r="O6" i="24"/>
  <c r="G61" i="18" s="1"/>
  <c r="I61" i="18" s="1"/>
  <c r="O68" i="24"/>
  <c r="O67" i="24"/>
  <c r="O97" i="24"/>
  <c r="O53" i="24"/>
  <c r="O7" i="24"/>
  <c r="G62" i="18" s="1"/>
  <c r="I62" i="18" s="1"/>
  <c r="O83" i="24"/>
  <c r="O47" i="24"/>
  <c r="O90" i="24"/>
  <c r="G10" i="18" s="1"/>
  <c r="I10" i="18" s="1"/>
  <c r="O50" i="24"/>
  <c r="G30" i="18" s="1"/>
  <c r="I30" i="18" s="1"/>
  <c r="O11" i="24"/>
  <c r="G90" i="18" s="1"/>
  <c r="I90" i="18" s="1"/>
  <c r="O93" i="24"/>
  <c r="G96" i="18" s="1"/>
  <c r="I96" i="18" s="1"/>
  <c r="O24" i="24"/>
  <c r="G23" i="18" s="1"/>
  <c r="I23" i="18" s="1"/>
  <c r="O45" i="24"/>
  <c r="G59" i="18" s="1"/>
  <c r="I59" i="18" s="1"/>
  <c r="O17" i="24"/>
  <c r="G72" i="18" s="1"/>
  <c r="I72" i="18" s="1"/>
  <c r="O75" i="24"/>
  <c r="G66" i="18" s="1"/>
  <c r="I66" i="18" s="1"/>
  <c r="O5" i="24"/>
  <c r="G60" i="18" s="1"/>
  <c r="I60" i="18" s="1"/>
  <c r="O21" i="24"/>
  <c r="G18" i="18" s="1"/>
  <c r="I18" i="18" s="1"/>
  <c r="O41" i="24"/>
  <c r="G35" i="18" s="1"/>
  <c r="I35" i="18" s="1"/>
  <c r="O31" i="24"/>
  <c r="G43" i="18" s="1"/>
  <c r="I43" i="18" s="1"/>
  <c r="O14" i="24"/>
  <c r="G45" i="18" s="1"/>
  <c r="I45" i="18" s="1"/>
  <c r="O100" i="24"/>
  <c r="O19" i="24"/>
  <c r="G16" i="18" s="1"/>
  <c r="I16" i="18" s="1"/>
  <c r="O9" i="24"/>
  <c r="O32" i="24"/>
  <c r="O86" i="24"/>
  <c r="O81" i="24"/>
  <c r="O23" i="24"/>
  <c r="G2" i="18" s="1"/>
  <c r="I2" i="18" s="1"/>
  <c r="J2" i="18" s="1"/>
  <c r="O63" i="24"/>
  <c r="G102" i="18" s="1"/>
  <c r="I102" i="18" s="1"/>
  <c r="O82" i="24"/>
  <c r="G81" i="18" s="1"/>
  <c r="I81" i="18" s="1"/>
  <c r="O70" i="24"/>
  <c r="G104" i="18" s="1"/>
  <c r="I104" i="18" s="1"/>
  <c r="O52" i="24"/>
  <c r="G88" i="18" s="1"/>
  <c r="I88" i="18" s="1"/>
  <c r="O69" i="24"/>
  <c r="O20" i="24"/>
  <c r="G15" i="18" s="1"/>
  <c r="I15" i="18" s="1"/>
  <c r="O54" i="24"/>
  <c r="G87" i="18" s="1"/>
  <c r="I87" i="18" s="1"/>
  <c r="O57" i="24"/>
  <c r="G76" i="18" s="1"/>
  <c r="I76" i="18" s="1"/>
  <c r="O30" i="24"/>
  <c r="G38" i="18" s="1"/>
  <c r="I38" i="18" s="1"/>
  <c r="O88" i="24"/>
  <c r="G20" i="18" s="1"/>
  <c r="I20" i="18" s="1"/>
  <c r="O99" i="24"/>
  <c r="O26" i="24"/>
  <c r="G24" i="18" s="1"/>
  <c r="I24" i="18" s="1"/>
  <c r="O85" i="24"/>
  <c r="O10" i="24"/>
  <c r="G93" i="18" s="1"/>
  <c r="I93" i="18" s="1"/>
  <c r="O42" i="24"/>
  <c r="G37" i="18" s="1"/>
  <c r="I37" i="18" s="1"/>
  <c r="O35" i="24"/>
  <c r="G100" i="18" s="1"/>
  <c r="I100" i="18" s="1"/>
  <c r="O8" i="24"/>
  <c r="G92" i="18" s="1"/>
  <c r="I92" i="18" s="1"/>
  <c r="O66" i="24"/>
  <c r="G68" i="18" s="1"/>
  <c r="I68" i="18" s="1"/>
  <c r="O39" i="24"/>
  <c r="O13" i="24"/>
  <c r="O95" i="24"/>
  <c r="O44" i="24"/>
  <c r="O60" i="24"/>
  <c r="O84" i="24"/>
  <c r="G73" i="18" s="1"/>
  <c r="I73" i="18" s="1"/>
  <c r="O62" i="24"/>
  <c r="G77" i="18" s="1"/>
  <c r="I77" i="18" s="1"/>
  <c r="O65" i="24"/>
  <c r="O96" i="24"/>
  <c r="G8" i="18" s="1"/>
  <c r="I8" i="18" s="1"/>
  <c r="O80" i="24"/>
  <c r="G52" i="18" s="1"/>
  <c r="I52" i="18" s="1"/>
  <c r="O78" i="24"/>
  <c r="G51" i="18" s="1"/>
  <c r="I51" i="18" s="1"/>
  <c r="O22" i="24"/>
  <c r="O37" i="24"/>
  <c r="G98" i="18" s="1"/>
  <c r="I98" i="18" s="1"/>
  <c r="O56" i="24"/>
  <c r="G50" i="18" s="1"/>
  <c r="I50" i="18" s="1"/>
  <c r="O51" i="24"/>
  <c r="G29" i="18" s="1"/>
  <c r="I29" i="18" s="1"/>
  <c r="O61" i="24"/>
  <c r="G70" i="18" s="1"/>
  <c r="I70" i="18" s="1"/>
  <c r="O58" i="24"/>
  <c r="G69" i="18" s="1"/>
  <c r="I69" i="18" s="1"/>
  <c r="O40" i="24"/>
  <c r="G36" i="18" s="1"/>
  <c r="I36" i="18" s="1"/>
  <c r="O49" i="24"/>
  <c r="G28" i="18" s="1"/>
  <c r="I28" i="18" s="1"/>
  <c r="O64" i="24"/>
  <c r="O74" i="24"/>
  <c r="O79" i="24"/>
  <c r="O73" i="24"/>
  <c r="O34" i="24"/>
  <c r="O29" i="24"/>
  <c r="O38" i="24"/>
  <c r="G56" i="18" s="1"/>
  <c r="I56" i="18" s="1"/>
  <c r="O98" i="24"/>
  <c r="O18" i="24"/>
  <c r="G7" i="18"/>
  <c r="I7" i="18" s="1"/>
  <c r="G55" i="18"/>
  <c r="I55" i="18" s="1"/>
  <c r="G75" i="18"/>
  <c r="I75" i="18" s="1"/>
  <c r="G32" i="18"/>
  <c r="I32" i="18" s="1"/>
  <c r="G71" i="18"/>
  <c r="I71" i="18" s="1"/>
  <c r="G25" i="18"/>
  <c r="I25" i="18" s="1"/>
  <c r="J25" i="18" s="1"/>
  <c r="G17" i="18"/>
  <c r="I17" i="18" s="1"/>
  <c r="G57" i="18"/>
  <c r="I57" i="18" s="1"/>
  <c r="G99" i="18"/>
  <c r="I99" i="18" s="1"/>
  <c r="G54" i="18"/>
  <c r="I54" i="18" s="1"/>
  <c r="G74" i="18"/>
  <c r="I74" i="18" s="1"/>
  <c r="G44" i="18"/>
  <c r="I44" i="18" s="1"/>
  <c r="G4" i="18"/>
  <c r="I4" i="18" s="1"/>
  <c r="G101" i="18"/>
  <c r="I101" i="18" s="1"/>
  <c r="G39" i="18"/>
  <c r="I39" i="18" s="1"/>
  <c r="G3" i="18"/>
  <c r="I3" i="18" s="1"/>
  <c r="G89" i="18"/>
  <c r="I89" i="18" s="1"/>
  <c r="G94" i="18"/>
  <c r="I94" i="18" s="1"/>
  <c r="G41" i="18"/>
  <c r="I41" i="18" s="1"/>
  <c r="G65" i="18"/>
  <c r="I65" i="18" s="1"/>
  <c r="G33" i="18"/>
  <c r="I33" i="18" s="1"/>
  <c r="C110" i="8"/>
  <c r="C111" i="8"/>
  <c r="C109" i="8"/>
  <c r="C272" i="8"/>
  <c r="C273" i="8"/>
  <c r="C271" i="8"/>
  <c r="J108" i="1"/>
  <c r="K108" i="1"/>
  <c r="L108" i="1"/>
  <c r="M108" i="1"/>
  <c r="C107" i="8"/>
  <c r="C82" i="8"/>
  <c r="C83" i="8"/>
  <c r="C84" i="8"/>
  <c r="C53" i="8"/>
  <c r="C52" i="8"/>
  <c r="C54" i="8"/>
  <c r="C51" i="8"/>
  <c r="C50" i="8"/>
  <c r="G27" i="18" l="1"/>
  <c r="I27" i="18" s="1"/>
  <c r="G13" i="18"/>
  <c r="I13" i="18" s="1"/>
  <c r="G48" i="18"/>
  <c r="I48" i="18" s="1"/>
  <c r="G84" i="18"/>
  <c r="I84" i="18" s="1"/>
  <c r="J30" i="18"/>
  <c r="J29" i="18"/>
  <c r="J28" i="18"/>
  <c r="J36" i="18"/>
  <c r="J35" i="18"/>
  <c r="J37" i="18"/>
  <c r="J47" i="18"/>
  <c r="J48" i="18"/>
  <c r="J61" i="18"/>
  <c r="J60" i="18"/>
  <c r="J62" i="18"/>
  <c r="J74" i="18"/>
  <c r="J75" i="18"/>
  <c r="J76" i="18"/>
  <c r="J68" i="18"/>
  <c r="J69" i="18"/>
  <c r="J70" i="18"/>
  <c r="J67" i="18"/>
  <c r="J89" i="18"/>
  <c r="J87" i="18"/>
  <c r="J88" i="18"/>
  <c r="J16" i="18"/>
  <c r="J17" i="18"/>
  <c r="J18" i="18"/>
  <c r="J15" i="18"/>
  <c r="J66" i="18"/>
  <c r="J65" i="18"/>
  <c r="J90" i="18"/>
  <c r="J91" i="18"/>
  <c r="J56" i="18"/>
  <c r="J57" i="18"/>
  <c r="J41" i="18"/>
  <c r="J40" i="18"/>
  <c r="J51" i="18"/>
  <c r="J52" i="18"/>
  <c r="J99" i="18"/>
  <c r="J100" i="18"/>
  <c r="J101" i="18"/>
  <c r="J98" i="18"/>
  <c r="J97" i="18"/>
  <c r="J96" i="18"/>
  <c r="J95" i="18"/>
  <c r="J59" i="18"/>
  <c r="J58" i="18"/>
  <c r="J38" i="18"/>
  <c r="J39" i="18"/>
  <c r="J71" i="18"/>
  <c r="J72" i="18"/>
  <c r="J73" i="18"/>
  <c r="J3" i="18"/>
  <c r="J4" i="18"/>
  <c r="J46" i="18"/>
  <c r="J44" i="18"/>
  <c r="J45" i="18"/>
  <c r="J93" i="18"/>
  <c r="J92" i="18"/>
  <c r="J94" i="18"/>
  <c r="G83" i="18"/>
  <c r="I83" i="18" s="1"/>
  <c r="G6" i="18"/>
  <c r="I6" i="18" s="1"/>
  <c r="J5" i="18" s="1"/>
  <c r="G78" i="18"/>
  <c r="I78" i="18" s="1"/>
  <c r="J77" i="18" s="1"/>
  <c r="G103" i="18"/>
  <c r="I103" i="18" s="1"/>
  <c r="J104" i="18" s="1"/>
  <c r="G85" i="18"/>
  <c r="I85" i="18" s="1"/>
  <c r="G19" i="18"/>
  <c r="I19" i="18" s="1"/>
  <c r="G26" i="18"/>
  <c r="I26" i="18" s="1"/>
  <c r="G9" i="18"/>
  <c r="I9" i="18" s="1"/>
  <c r="J7" i="18" s="1"/>
  <c r="G12" i="18"/>
  <c r="I12" i="18" s="1"/>
  <c r="G53" i="18"/>
  <c r="I53" i="18" s="1"/>
  <c r="G86" i="18"/>
  <c r="I86" i="18" s="1"/>
  <c r="G14" i="18"/>
  <c r="I14" i="18" s="1"/>
  <c r="G82" i="18"/>
  <c r="I82" i="18" s="1"/>
  <c r="G31" i="18"/>
  <c r="I31" i="18" s="1"/>
  <c r="G49" i="18"/>
  <c r="I49" i="18" s="1"/>
  <c r="G22" i="18"/>
  <c r="I22" i="18" s="1"/>
  <c r="G63" i="18"/>
  <c r="I63" i="18" s="1"/>
  <c r="G42" i="18"/>
  <c r="I42" i="18" s="1"/>
  <c r="G80" i="18"/>
  <c r="I80" i="18" s="1"/>
  <c r="J107" i="1"/>
  <c r="K107" i="1"/>
  <c r="L107" i="1"/>
  <c r="M107" i="1"/>
  <c r="J106" i="1"/>
  <c r="K106" i="1"/>
  <c r="L106" i="1"/>
  <c r="M106" i="1"/>
  <c r="J104" i="1"/>
  <c r="J105" i="1"/>
  <c r="K104" i="1"/>
  <c r="K105" i="1"/>
  <c r="L104" i="1"/>
  <c r="L105" i="1"/>
  <c r="M104" i="1"/>
  <c r="M105" i="1"/>
  <c r="J103" i="1"/>
  <c r="K103" i="1"/>
  <c r="L103" i="1"/>
  <c r="M103" i="1"/>
  <c r="C241" i="8"/>
  <c r="C240" i="8"/>
  <c r="C10" i="8"/>
  <c r="C12" i="8"/>
  <c r="C11" i="8"/>
  <c r="C72" i="8"/>
  <c r="C69" i="8"/>
  <c r="C71" i="8"/>
  <c r="C70" i="8"/>
  <c r="C74" i="8"/>
  <c r="C75" i="8"/>
  <c r="C73" i="8"/>
  <c r="C128" i="8"/>
  <c r="C127" i="8"/>
  <c r="C126" i="8"/>
  <c r="C158" i="8"/>
  <c r="C156" i="8"/>
  <c r="C159" i="8"/>
  <c r="C157" i="8"/>
  <c r="C155" i="8"/>
  <c r="C216" i="8"/>
  <c r="C214" i="8"/>
  <c r="C215" i="8"/>
  <c r="C225" i="8"/>
  <c r="C223" i="8"/>
  <c r="C224" i="8"/>
  <c r="C27" i="8"/>
  <c r="C35" i="8"/>
  <c r="C36" i="8"/>
  <c r="C19" i="8"/>
  <c r="C20" i="8"/>
  <c r="C39" i="8"/>
  <c r="C48" i="8"/>
  <c r="C95" i="8"/>
  <c r="C97" i="8"/>
  <c r="C96" i="8"/>
  <c r="C98" i="8"/>
  <c r="C94" i="8"/>
  <c r="C76" i="8"/>
  <c r="C77" i="8"/>
  <c r="C100" i="8"/>
  <c r="C99" i="8"/>
  <c r="C116" i="8"/>
  <c r="C170" i="8"/>
  <c r="C199" i="8"/>
  <c r="C198" i="8"/>
  <c r="C202" i="8"/>
  <c r="C205" i="8"/>
  <c r="C206" i="8"/>
  <c r="C59" i="8"/>
  <c r="C43" i="8"/>
  <c r="C47" i="8"/>
  <c r="C58" i="8"/>
  <c r="C49" i="8"/>
  <c r="C101" i="8"/>
  <c r="C104" i="8"/>
  <c r="C102" i="8"/>
  <c r="C103" i="8"/>
  <c r="C105" i="8"/>
  <c r="C86" i="8"/>
  <c r="C134" i="8"/>
  <c r="C203" i="8"/>
  <c r="C204" i="8"/>
  <c r="C143" i="8"/>
  <c r="C144" i="8"/>
  <c r="C173" i="8"/>
  <c r="C175" i="8"/>
  <c r="C174" i="8"/>
  <c r="C176" i="8"/>
  <c r="C80" i="8"/>
  <c r="C81" i="8"/>
  <c r="C233" i="8"/>
  <c r="C230" i="8"/>
  <c r="C228" i="8"/>
  <c r="C227" i="8"/>
  <c r="C226" i="8"/>
  <c r="C229" i="8"/>
  <c r="C231" i="8"/>
  <c r="C136" i="8"/>
  <c r="C9" i="8"/>
  <c r="C8" i="8"/>
  <c r="C7" i="8"/>
  <c r="C6" i="8"/>
  <c r="C65" i="8"/>
  <c r="C66" i="8"/>
  <c r="C67" i="8"/>
  <c r="C68" i="8"/>
  <c r="C154" i="8"/>
  <c r="C153" i="8"/>
  <c r="C152" i="8"/>
  <c r="C151" i="8"/>
  <c r="C212" i="8"/>
  <c r="C210" i="8"/>
  <c r="C213" i="8"/>
  <c r="C211" i="8"/>
  <c r="C221" i="8"/>
  <c r="C220" i="8"/>
  <c r="C222" i="8"/>
  <c r="C219" i="8"/>
  <c r="C253" i="8"/>
  <c r="C26" i="8"/>
  <c r="C25" i="8"/>
  <c r="C32" i="8"/>
  <c r="C31" i="8"/>
  <c r="C34" i="8"/>
  <c r="C33" i="8"/>
  <c r="C15" i="8"/>
  <c r="C16" i="8"/>
  <c r="C17" i="8"/>
  <c r="C18" i="8"/>
  <c r="C38" i="8"/>
  <c r="C37" i="8"/>
  <c r="C265" i="8"/>
  <c r="C266" i="8"/>
  <c r="C92" i="8"/>
  <c r="C93" i="8"/>
  <c r="C91" i="8"/>
  <c r="C113" i="8"/>
  <c r="C112" i="8"/>
  <c r="C114" i="8"/>
  <c r="C115" i="8"/>
  <c r="C106" i="8"/>
  <c r="C121" i="8"/>
  <c r="C124" i="8"/>
  <c r="C122" i="8"/>
  <c r="C125" i="8"/>
  <c r="C123" i="8"/>
  <c r="C169" i="8"/>
  <c r="C183" i="8"/>
  <c r="C184" i="8"/>
  <c r="C186" i="8"/>
  <c r="C187" i="8"/>
  <c r="C41" i="8"/>
  <c r="C42" i="8"/>
  <c r="C46" i="8"/>
  <c r="C45" i="8"/>
  <c r="C57" i="8"/>
  <c r="C130" i="8"/>
  <c r="C132" i="8"/>
  <c r="C133" i="8"/>
  <c r="C142" i="8"/>
  <c r="C140" i="8"/>
  <c r="C139" i="8"/>
  <c r="C141" i="8"/>
  <c r="C236" i="8"/>
  <c r="C235" i="8"/>
  <c r="C237" i="8"/>
  <c r="C239" i="8"/>
  <c r="C238" i="8"/>
  <c r="C172" i="8"/>
  <c r="C79" i="8"/>
  <c r="C78" i="8"/>
  <c r="C190" i="8"/>
  <c r="C191" i="8"/>
  <c r="C197" i="8"/>
  <c r="C192" i="8"/>
  <c r="C193" i="8"/>
  <c r="C244" i="8"/>
  <c r="C243" i="8"/>
  <c r="C242" i="8"/>
  <c r="C246" i="8"/>
  <c r="C247" i="8"/>
  <c r="C261" i="8"/>
  <c r="C4" i="8"/>
  <c r="C3" i="8"/>
  <c r="C2" i="8"/>
  <c r="C5" i="8"/>
  <c r="C62" i="8"/>
  <c r="C60" i="8"/>
  <c r="C61" i="8"/>
  <c r="C64" i="8"/>
  <c r="C63" i="8"/>
  <c r="C150" i="8"/>
  <c r="C147" i="8"/>
  <c r="C149" i="8"/>
  <c r="C148" i="8"/>
  <c r="C146" i="8"/>
  <c r="C208" i="8"/>
  <c r="C209" i="8"/>
  <c r="C218" i="8"/>
  <c r="C217" i="8"/>
  <c r="C24" i="8"/>
  <c r="C21" i="8"/>
  <c r="C23" i="8"/>
  <c r="C22" i="8"/>
  <c r="C29" i="8"/>
  <c r="C30" i="8"/>
  <c r="C28" i="8"/>
  <c r="C13" i="8"/>
  <c r="C14" i="8"/>
  <c r="C40" i="8"/>
  <c r="C89" i="8"/>
  <c r="C87" i="8"/>
  <c r="C90" i="8"/>
  <c r="C88" i="8"/>
  <c r="C118" i="8"/>
  <c r="C120" i="8"/>
  <c r="C117" i="8"/>
  <c r="C119" i="8"/>
  <c r="C168" i="8"/>
  <c r="C167" i="8"/>
  <c r="C182" i="8"/>
  <c r="C185" i="8"/>
  <c r="C251" i="8"/>
  <c r="C252" i="8"/>
  <c r="C44" i="8"/>
  <c r="C55" i="8"/>
  <c r="C56" i="8"/>
  <c r="C129" i="8"/>
  <c r="C131" i="8"/>
  <c r="C85" i="8"/>
  <c r="C234" i="8"/>
  <c r="C137" i="8"/>
  <c r="C138" i="8"/>
  <c r="C189" i="8"/>
  <c r="C260" i="8"/>
  <c r="C145" i="8"/>
  <c r="C207" i="8"/>
  <c r="C195" i="8"/>
  <c r="C171" i="8"/>
  <c r="C245" i="8"/>
  <c r="C188" i="8"/>
  <c r="C196" i="8"/>
  <c r="C160" i="8"/>
  <c r="C258" i="8"/>
  <c r="C232" i="8"/>
  <c r="C194" i="8"/>
  <c r="C108" i="8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D175" i="8"/>
  <c r="D173" i="8"/>
  <c r="J12" i="18" l="1"/>
  <c r="J81" i="18"/>
  <c r="J82" i="18"/>
  <c r="J84" i="18"/>
  <c r="J83" i="18"/>
  <c r="J78" i="18"/>
  <c r="J14" i="18"/>
  <c r="J11" i="18"/>
  <c r="J85" i="18"/>
  <c r="J86" i="18"/>
  <c r="J10" i="18"/>
  <c r="J80" i="18"/>
  <c r="J13" i="18"/>
  <c r="J9" i="18"/>
  <c r="J79" i="18"/>
  <c r="J8" i="18"/>
  <c r="J6" i="18"/>
  <c r="J54" i="18"/>
  <c r="J55" i="18"/>
  <c r="J53" i="18"/>
  <c r="J49" i="18"/>
  <c r="J50" i="18"/>
  <c r="J31" i="18"/>
  <c r="J33" i="18"/>
  <c r="J34" i="18"/>
  <c r="J32" i="18"/>
  <c r="J27" i="18"/>
  <c r="J26" i="18"/>
  <c r="J19" i="18"/>
  <c r="J20" i="18"/>
  <c r="J21" i="18"/>
  <c r="J42" i="18"/>
  <c r="J43" i="18"/>
  <c r="J64" i="18"/>
  <c r="J63" i="18"/>
  <c r="J22" i="18"/>
  <c r="J24" i="18"/>
  <c r="J23" i="18"/>
  <c r="J103" i="18"/>
  <c r="J102" i="1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tc={F66435ED-0C9E-43FE-890A-A90FBEE07CAB}</author>
    <author>tc={583DACAD-58E4-4A7B-BBE0-F54E7FD002A2}</author>
    <author>tc={527C89FA-3535-45ED-AB16-7B5845EE7CC2}</author>
  </authors>
  <commentList>
    <comment ref="K36" authorId="0" shapeId="0" xr:uid="{F66435ED-0C9E-43FE-890A-A90FBEE07CAB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Oxo chemical의 일부</t>
      </text>
    </comment>
    <comment ref="G73" authorId="1" shapeId="0" xr:uid="{583DACAD-58E4-4A7B-BBE0-F54E7FD002A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Mixed 인지 불명확</t>
      </text>
    </comment>
    <comment ref="G77" authorId="2" shapeId="0" xr:uid="{527C89FA-3535-45ED-AB16-7B5845EE7CC2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1-hexene인지 불분명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tc={E2D63A4D-75CA-4AB4-BFE5-3E605F209520}</author>
  </authors>
  <commentList>
    <comment ref="A71" authorId="0" shapeId="0" xr:uid="{E2D63A4D-75CA-4AB4-BFE5-3E605F209520}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C3: Propionaldehyde
C4: n-Butyraldehyde, isobutyraldehyde
C5: Valeraldehyde, isovaleraldehyde
C7: Heptanoic Acid
C9: Pelargonic Acid
C8~C13 Branched acids: isooctanoic, isononanoic, isodecanoic, isotridecanoic
C9~C28 Neo acids: neopentanoic, neoheptanoic, neooctanoic, neononanoic, neodecanoic
Oxo plasticizer and detergent alcohols (branched C6-C13 and linear oxo C7-C15)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<sst xmlns="http://schemas.openxmlformats.org/spreadsheetml/2006/main" count="13954" uniqueCount="4549">
  <si>
    <t>remarks</t>
    <phoneticPr fontId="5" type="noConversion"/>
  </si>
  <si>
    <t>material_id</t>
    <phoneticPr fontId="5" type="noConversion"/>
  </si>
  <si>
    <t>material_name</t>
    <phoneticPr fontId="5" type="noConversion"/>
  </si>
  <si>
    <t>material_group</t>
    <phoneticPr fontId="5" type="noConversion"/>
  </si>
  <si>
    <t>M001</t>
  </si>
  <si>
    <t>Ethylene</t>
  </si>
  <si>
    <t>Base chemical</t>
  </si>
  <si>
    <t>Propylene</t>
  </si>
  <si>
    <t>M003</t>
  </si>
  <si>
    <t>Benzene</t>
  </si>
  <si>
    <t>M004</t>
  </si>
  <si>
    <t>M005</t>
  </si>
  <si>
    <t>M006</t>
  </si>
  <si>
    <t>C4</t>
  </si>
  <si>
    <t>M007</t>
  </si>
  <si>
    <t>1-Butene</t>
  </si>
  <si>
    <t>Intermediate</t>
  </si>
  <si>
    <t>M008</t>
  </si>
  <si>
    <t>M009</t>
  </si>
  <si>
    <t>Ethylbenzene</t>
  </si>
  <si>
    <t>M010</t>
  </si>
  <si>
    <t>Styrene</t>
  </si>
  <si>
    <t>M011</t>
  </si>
  <si>
    <t>Polystyrene</t>
  </si>
  <si>
    <t>Polymer</t>
  </si>
  <si>
    <t>Butadiene</t>
  </si>
  <si>
    <t>Isobutylene</t>
  </si>
  <si>
    <t>2-Butene</t>
  </si>
  <si>
    <t>Cumene</t>
  </si>
  <si>
    <t>HDPE</t>
  </si>
  <si>
    <t>Monomer</t>
  </si>
  <si>
    <t>LDPE</t>
  </si>
  <si>
    <t>LLDPE</t>
  </si>
  <si>
    <t>Vinyl chloride monomer</t>
  </si>
  <si>
    <t>PVC</t>
  </si>
  <si>
    <t>Vinyl acetate monomer</t>
  </si>
  <si>
    <t>Ethanol</t>
  </si>
  <si>
    <t>Ethylamine</t>
  </si>
  <si>
    <t>Ethylene oxide</t>
  </si>
  <si>
    <t>Ethanolamines</t>
  </si>
  <si>
    <t>MEA</t>
  </si>
  <si>
    <t>DEA</t>
  </si>
  <si>
    <t>TEA</t>
  </si>
  <si>
    <t>VCM</t>
    <phoneticPr fontId="5" type="noConversion"/>
  </si>
  <si>
    <t>VAM</t>
    <phoneticPr fontId="5" type="noConversion"/>
  </si>
  <si>
    <t>M002</t>
    <phoneticPr fontId="5" type="noConversion"/>
  </si>
  <si>
    <t>M012</t>
  </si>
  <si>
    <t>M013</t>
  </si>
  <si>
    <t>M014</t>
  </si>
  <si>
    <t>M015</t>
  </si>
  <si>
    <t>M016</t>
  </si>
  <si>
    <t>M017</t>
  </si>
  <si>
    <t>M018</t>
  </si>
  <si>
    <t>M019</t>
  </si>
  <si>
    <t>M020</t>
  </si>
  <si>
    <t>M021</t>
  </si>
  <si>
    <t>M022</t>
  </si>
  <si>
    <t>M023</t>
  </si>
  <si>
    <t>M024</t>
  </si>
  <si>
    <t>M025</t>
  </si>
  <si>
    <t>M026</t>
  </si>
  <si>
    <t>M027</t>
  </si>
  <si>
    <t>M028</t>
  </si>
  <si>
    <t>M029</t>
  </si>
  <si>
    <t>M030</t>
  </si>
  <si>
    <t>M031</t>
  </si>
  <si>
    <t>M032</t>
  </si>
  <si>
    <t>M033</t>
  </si>
  <si>
    <t>M034</t>
  </si>
  <si>
    <t>M035</t>
  </si>
  <si>
    <t>M036</t>
  </si>
  <si>
    <t>M037</t>
  </si>
  <si>
    <t>M038</t>
  </si>
  <si>
    <t>M039</t>
  </si>
  <si>
    <t>M040</t>
  </si>
  <si>
    <t>M041</t>
  </si>
  <si>
    <t>M042</t>
  </si>
  <si>
    <t>M043</t>
  </si>
  <si>
    <t>M044</t>
  </si>
  <si>
    <t>M045</t>
  </si>
  <si>
    <t>M046</t>
  </si>
  <si>
    <t>M047</t>
  </si>
  <si>
    <t>M048</t>
  </si>
  <si>
    <t>M049</t>
  </si>
  <si>
    <t>M050</t>
  </si>
  <si>
    <t>M051</t>
  </si>
  <si>
    <t>M052</t>
  </si>
  <si>
    <t>M053</t>
  </si>
  <si>
    <t>M054</t>
  </si>
  <si>
    <t>NBR</t>
  </si>
  <si>
    <t>Polypropylene</t>
  </si>
  <si>
    <t>Propylene oxide</t>
  </si>
  <si>
    <t>Propylene glycol</t>
  </si>
  <si>
    <t>Polypropylene glycol</t>
  </si>
  <si>
    <t>Polyols</t>
  </si>
  <si>
    <t>Phenol</t>
  </si>
  <si>
    <t>Acetone</t>
  </si>
  <si>
    <t>AA</t>
    <phoneticPr fontId="5" type="noConversion"/>
  </si>
  <si>
    <t>Polyacrylate</t>
  </si>
  <si>
    <t>SAP</t>
    <phoneticPr fontId="5" type="noConversion"/>
  </si>
  <si>
    <t>Acrylonitrile</t>
  </si>
  <si>
    <t>ABS</t>
  </si>
  <si>
    <t>SAN</t>
  </si>
  <si>
    <t>Super Absorbent Polymer</t>
  </si>
  <si>
    <t>n-Butyl acetate</t>
  </si>
  <si>
    <t>Isobutyl acetate</t>
  </si>
  <si>
    <t>Isopropyl acetate</t>
  </si>
  <si>
    <t>BR</t>
  </si>
  <si>
    <t>SBR</t>
  </si>
  <si>
    <t>Polyisobutylene</t>
  </si>
  <si>
    <t>PIB</t>
    <phoneticPr fontId="5" type="noConversion"/>
  </si>
  <si>
    <t>MTBE</t>
  </si>
  <si>
    <t>n-Butenes</t>
  </si>
  <si>
    <t>Butyl rubber</t>
  </si>
  <si>
    <t>Polybutene-1</t>
    <phoneticPr fontId="5" type="noConversion"/>
  </si>
  <si>
    <t>PB-1</t>
    <phoneticPr fontId="5" type="noConversion"/>
  </si>
  <si>
    <t>M055</t>
  </si>
  <si>
    <t>M056</t>
  </si>
  <si>
    <t>Aniline</t>
  </si>
  <si>
    <t>Cyclohexane</t>
  </si>
  <si>
    <t>Bisphenol A</t>
  </si>
  <si>
    <t>Polycarbonate</t>
  </si>
  <si>
    <t>Epoxy resin</t>
  </si>
  <si>
    <t>M057</t>
  </si>
  <si>
    <t>M058</t>
  </si>
  <si>
    <t>M059</t>
  </si>
  <si>
    <t>M060</t>
  </si>
  <si>
    <t>M061</t>
  </si>
  <si>
    <t>M062</t>
  </si>
  <si>
    <t>M063</t>
  </si>
  <si>
    <t>M064</t>
  </si>
  <si>
    <t>M065</t>
  </si>
  <si>
    <t>M066</t>
  </si>
  <si>
    <t>route_id</t>
  </si>
  <si>
    <t>route_name</t>
  </si>
  <si>
    <t>route_category</t>
  </si>
  <si>
    <t>route_depth</t>
  </si>
  <si>
    <t>remarks</t>
  </si>
  <si>
    <t>R001</t>
  </si>
  <si>
    <t>Ethylene to HDPE</t>
  </si>
  <si>
    <t>Polymerization</t>
  </si>
  <si>
    <t>R002</t>
  </si>
  <si>
    <t>Ethylene to LDPE</t>
  </si>
  <si>
    <t>R003</t>
  </si>
  <si>
    <t>Ethylene to LLDPE</t>
  </si>
  <si>
    <t>comonomer required in practice</t>
  </si>
  <si>
    <t>R004</t>
  </si>
  <si>
    <t>Chlorination</t>
  </si>
  <si>
    <t>R005</t>
  </si>
  <si>
    <t>Cracking</t>
  </si>
  <si>
    <t>R006</t>
  </si>
  <si>
    <t>R007</t>
  </si>
  <si>
    <t>Oxidation</t>
  </si>
  <si>
    <t>R008</t>
  </si>
  <si>
    <t>Hydration</t>
  </si>
  <si>
    <t>R009</t>
  </si>
  <si>
    <t>Amination</t>
  </si>
  <si>
    <t>family-level output</t>
  </si>
  <si>
    <t>R010</t>
  </si>
  <si>
    <t>Ethanolamines to MEA</t>
  </si>
  <si>
    <t>Separation/Refining</t>
  </si>
  <si>
    <t>family-level split</t>
  </si>
  <si>
    <t>R011</t>
  </si>
  <si>
    <t>Ethanolamines to DEA</t>
  </si>
  <si>
    <t>R012</t>
  </si>
  <si>
    <t>Ethanolamines to TEA</t>
  </si>
  <si>
    <t>R013</t>
  </si>
  <si>
    <t>Ethylene to Ethanol</t>
  </si>
  <si>
    <t>R014</t>
  </si>
  <si>
    <t>Ethylene to Acetaldehyde</t>
  </si>
  <si>
    <t>R015</t>
  </si>
  <si>
    <t>Ethylene to Ethylamine</t>
  </si>
  <si>
    <t>simplified</t>
  </si>
  <si>
    <t>R016</t>
  </si>
  <si>
    <t>Acetoxylation</t>
  </si>
  <si>
    <t>R017</t>
  </si>
  <si>
    <t>Ethanol to Ethyl acetate</t>
  </si>
  <si>
    <t>Esterification</t>
  </si>
  <si>
    <t>R018</t>
  </si>
  <si>
    <t>cross-group route</t>
  </si>
  <si>
    <t>R019</t>
  </si>
  <si>
    <t>R020</t>
  </si>
  <si>
    <t>R021</t>
  </si>
  <si>
    <t>R022</t>
  </si>
  <si>
    <t>Polyether formation</t>
  </si>
  <si>
    <t>R023</t>
  </si>
  <si>
    <t>R024</t>
  </si>
  <si>
    <t>R025</t>
  </si>
  <si>
    <t>Ammoxidation</t>
  </si>
  <si>
    <t>R026</t>
  </si>
  <si>
    <t>R027</t>
  </si>
  <si>
    <t>R028</t>
  </si>
  <si>
    <t>R029</t>
  </si>
  <si>
    <t>Propylene to Acrylic acid</t>
  </si>
  <si>
    <t>R030</t>
  </si>
  <si>
    <t>R031</t>
  </si>
  <si>
    <t>R032</t>
  </si>
  <si>
    <t>R033</t>
  </si>
  <si>
    <t>Hydroformylation</t>
  </si>
  <si>
    <t>R034</t>
  </si>
  <si>
    <t>Butyraldehyde to n-Butanol</t>
  </si>
  <si>
    <t>Hydrogenation</t>
  </si>
  <si>
    <t>R035</t>
  </si>
  <si>
    <t>R036</t>
  </si>
  <si>
    <t>Butyraldehyde to 2-Ethylhexanol</t>
  </si>
  <si>
    <t>R037</t>
  </si>
  <si>
    <t>n-Butanol to n-Butyl acetate</t>
  </si>
  <si>
    <t>R038</t>
  </si>
  <si>
    <t>Isobutanol to Isobutyl acetate</t>
  </si>
  <si>
    <t>R039</t>
  </si>
  <si>
    <t>R040</t>
  </si>
  <si>
    <t>R041</t>
  </si>
  <si>
    <t>Butadiene to BR</t>
  </si>
  <si>
    <t>R042</t>
  </si>
  <si>
    <t>Butadiene plus Styrene to SBR</t>
  </si>
  <si>
    <t>R043</t>
  </si>
  <si>
    <t>R044</t>
  </si>
  <si>
    <t>Isobutylene to Butyl rubber</t>
  </si>
  <si>
    <t>R045</t>
  </si>
  <si>
    <t>n-Butenes to 1-Butene</t>
  </si>
  <si>
    <t>Separation</t>
  </si>
  <si>
    <t>R046</t>
  </si>
  <si>
    <t>n-Butenes to 2-Butene</t>
  </si>
  <si>
    <t>R047</t>
  </si>
  <si>
    <t>R048</t>
  </si>
  <si>
    <t>Oligomerization</t>
  </si>
  <si>
    <t>R049</t>
  </si>
  <si>
    <t>Benzene plus Ethylene to Ethylbenzene</t>
  </si>
  <si>
    <t>Alkylation</t>
  </si>
  <si>
    <t>R050</t>
  </si>
  <si>
    <t>Ethylbenzene to Styrene</t>
  </si>
  <si>
    <t>Dehydrogenation</t>
  </si>
  <si>
    <t>R051</t>
  </si>
  <si>
    <t>R052</t>
  </si>
  <si>
    <t>Benzene plus Propylene to Cumene</t>
  </si>
  <si>
    <t>R053</t>
  </si>
  <si>
    <t>Cumene to Phenol plus Acetone</t>
  </si>
  <si>
    <t>Oxidative cleavage</t>
  </si>
  <si>
    <t>coproduct route</t>
  </si>
  <si>
    <t>R054</t>
  </si>
  <si>
    <t>Condensation</t>
  </si>
  <si>
    <t>R055</t>
  </si>
  <si>
    <t>R056</t>
  </si>
  <si>
    <t>Bisphenol A to Epoxy resin</t>
  </si>
  <si>
    <t>Resin synthesis</t>
  </si>
  <si>
    <t>R057</t>
  </si>
  <si>
    <t>Benzene to Cyclohexane</t>
  </si>
  <si>
    <t>R058</t>
  </si>
  <si>
    <t>Benzene to Aniline</t>
  </si>
  <si>
    <t>simplified; nitrobenzene intermediate omitted</t>
  </si>
  <si>
    <t>R059</t>
  </si>
  <si>
    <t>route_id</t>
    <phoneticPr fontId="5" type="noConversion"/>
  </si>
  <si>
    <t>material_id</t>
  </si>
  <si>
    <t>input_role</t>
  </si>
  <si>
    <t>seq_no</t>
  </si>
  <si>
    <t>main</t>
  </si>
  <si>
    <t>family split</t>
  </si>
  <si>
    <t>co-feed</t>
  </si>
  <si>
    <t>cross-group</t>
  </si>
  <si>
    <t>family-level</t>
  </si>
  <si>
    <t>output_role</t>
  </si>
  <si>
    <t>M002</t>
  </si>
  <si>
    <t>main product</t>
  </si>
  <si>
    <t>co-product</t>
  </si>
  <si>
    <t>PG</t>
    <phoneticPr fontId="5" type="noConversion"/>
  </si>
  <si>
    <t>PPG</t>
    <phoneticPr fontId="5" type="noConversion"/>
  </si>
  <si>
    <t>PO</t>
    <phoneticPr fontId="5" type="noConversion"/>
  </si>
  <si>
    <t>PP</t>
    <phoneticPr fontId="5" type="noConversion"/>
  </si>
  <si>
    <t>PU</t>
    <phoneticPr fontId="5" type="noConversion"/>
  </si>
  <si>
    <t>Y</t>
    <phoneticPr fontId="5" type="noConversion"/>
  </si>
  <si>
    <t>visual_exclude</t>
    <phoneticPr fontId="5" type="noConversion"/>
  </si>
  <si>
    <t>licensor_id</t>
    <phoneticPr fontId="5" type="noConversion"/>
  </si>
  <si>
    <t>licensor_name</t>
    <phoneticPr fontId="5" type="noConversion"/>
  </si>
  <si>
    <t>L001</t>
    <phoneticPr fontId="5" type="noConversion"/>
  </si>
  <si>
    <t>Axens</t>
    <phoneticPr fontId="5" type="noConversion"/>
  </si>
  <si>
    <t>L002</t>
    <phoneticPr fontId="5" type="noConversion"/>
  </si>
  <si>
    <t>UOP</t>
    <phoneticPr fontId="5" type="noConversion"/>
  </si>
  <si>
    <t>Lummus</t>
    <phoneticPr fontId="5" type="noConversion"/>
  </si>
  <si>
    <t>Dow Chemical</t>
    <phoneticPr fontId="5" type="noConversion"/>
  </si>
  <si>
    <t>SinopecTech</t>
    <phoneticPr fontId="5" type="noConversion"/>
  </si>
  <si>
    <t>INEOS</t>
    <phoneticPr fontId="5" type="noConversion"/>
  </si>
  <si>
    <t>Nippon Shokubai</t>
    <phoneticPr fontId="5" type="noConversion"/>
  </si>
  <si>
    <t>Mitsubishi Chemical</t>
    <phoneticPr fontId="5" type="noConversion"/>
  </si>
  <si>
    <t>Enichem</t>
    <phoneticPr fontId="5" type="noConversion"/>
  </si>
  <si>
    <t>Styron</t>
    <phoneticPr fontId="5" type="noConversion"/>
  </si>
  <si>
    <t>JSR</t>
    <phoneticPr fontId="5" type="noConversion"/>
  </si>
  <si>
    <t>Goodyear</t>
    <phoneticPr fontId="5" type="noConversion"/>
  </si>
  <si>
    <t>Badger</t>
    <phoneticPr fontId="5" type="noConversion"/>
  </si>
  <si>
    <t>Sumitomo</t>
    <phoneticPr fontId="5" type="noConversion"/>
  </si>
  <si>
    <t>Lucite</t>
    <phoneticPr fontId="5" type="noConversion"/>
  </si>
  <si>
    <t>Unigel</t>
    <phoneticPr fontId="5" type="noConversion"/>
  </si>
  <si>
    <t>Sulzer</t>
    <phoneticPr fontId="5" type="noConversion"/>
  </si>
  <si>
    <t>Shell</t>
    <phoneticPr fontId="5" type="noConversion"/>
  </si>
  <si>
    <t>KBR</t>
    <phoneticPr fontId="5" type="noConversion"/>
  </si>
  <si>
    <t>Union</t>
    <phoneticPr fontId="5" type="noConversion"/>
  </si>
  <si>
    <t>Linde</t>
    <phoneticPr fontId="5" type="noConversion"/>
  </si>
  <si>
    <t>Davy</t>
    <phoneticPr fontId="5" type="noConversion"/>
  </si>
  <si>
    <t>Sasol</t>
    <phoneticPr fontId="5" type="noConversion"/>
  </si>
  <si>
    <t>Eastman</t>
    <phoneticPr fontId="5" type="noConversion"/>
  </si>
  <si>
    <t>Maxigas</t>
    <phoneticPr fontId="5" type="noConversion"/>
  </si>
  <si>
    <t>Kuraray</t>
    <phoneticPr fontId="5" type="noConversion"/>
  </si>
  <si>
    <t>L003</t>
  </si>
  <si>
    <t>L004</t>
  </si>
  <si>
    <t>L005</t>
  </si>
  <si>
    <t>L006</t>
  </si>
  <si>
    <t>L007</t>
  </si>
  <si>
    <t>L008</t>
  </si>
  <si>
    <t>L009</t>
  </si>
  <si>
    <t>L010</t>
  </si>
  <si>
    <t>L011</t>
  </si>
  <si>
    <t>L012</t>
  </si>
  <si>
    <t>L013</t>
  </si>
  <si>
    <t>L014</t>
  </si>
  <si>
    <t>L015</t>
  </si>
  <si>
    <t>L016</t>
  </si>
  <si>
    <t>L017</t>
  </si>
  <si>
    <t>L018</t>
  </si>
  <si>
    <t>L019</t>
  </si>
  <si>
    <t>L020</t>
  </si>
  <si>
    <t>L021</t>
  </si>
  <si>
    <t>L022</t>
  </si>
  <si>
    <t>L023</t>
  </si>
  <si>
    <t>L024</t>
  </si>
  <si>
    <t>L025</t>
  </si>
  <si>
    <t>L026</t>
  </si>
  <si>
    <t>R001</t>
    <phoneticPr fontId="5" type="noConversion"/>
  </si>
  <si>
    <t>L003</t>
    <phoneticPr fontId="5" type="noConversion"/>
  </si>
  <si>
    <t>Hyperlene</t>
    <phoneticPr fontId="5" type="noConversion"/>
  </si>
  <si>
    <t>R002</t>
    <phoneticPr fontId="5" type="noConversion"/>
  </si>
  <si>
    <t>Excene</t>
    <phoneticPr fontId="5" type="noConversion"/>
  </si>
  <si>
    <t>L020</t>
    <phoneticPr fontId="5" type="noConversion"/>
  </si>
  <si>
    <t>Shaheen</t>
    <phoneticPr fontId="5" type="noConversion"/>
  </si>
  <si>
    <t>L006</t>
    <phoneticPr fontId="5" type="noConversion"/>
  </si>
  <si>
    <t>R018</t>
    <phoneticPr fontId="5" type="noConversion"/>
  </si>
  <si>
    <t>L008</t>
    <phoneticPr fontId="5" type="noConversion"/>
  </si>
  <si>
    <t>L007</t>
    <phoneticPr fontId="5" type="noConversion"/>
  </si>
  <si>
    <t>L014</t>
    <phoneticPr fontId="5" type="noConversion"/>
  </si>
  <si>
    <t>ODC</t>
    <phoneticPr fontId="5" type="noConversion"/>
  </si>
  <si>
    <t>R019</t>
    <phoneticPr fontId="5" type="noConversion"/>
  </si>
  <si>
    <t>R020</t>
    <phoneticPr fontId="5" type="noConversion"/>
  </si>
  <si>
    <t>R021</t>
    <phoneticPr fontId="5" type="noConversion"/>
  </si>
  <si>
    <t>L027</t>
    <phoneticPr fontId="5" type="noConversion"/>
  </si>
  <si>
    <t>Senergy Chemical</t>
    <phoneticPr fontId="5" type="noConversion"/>
  </si>
  <si>
    <t>L022</t>
    <phoneticPr fontId="5" type="noConversion"/>
  </si>
  <si>
    <t>R031</t>
    <phoneticPr fontId="5" type="noConversion"/>
  </si>
  <si>
    <t>M033</t>
    <phoneticPr fontId="5" type="noConversion"/>
  </si>
  <si>
    <t>R032</t>
    <phoneticPr fontId="5" type="noConversion"/>
  </si>
  <si>
    <t>Saplene</t>
    <phoneticPr fontId="5" type="noConversion"/>
  </si>
  <si>
    <t>R033</t>
    <phoneticPr fontId="5" type="noConversion"/>
  </si>
  <si>
    <t>L004</t>
    <phoneticPr fontId="5" type="noConversion"/>
  </si>
  <si>
    <t>R034</t>
    <phoneticPr fontId="5" type="noConversion"/>
  </si>
  <si>
    <t>L023</t>
    <phoneticPr fontId="5" type="noConversion"/>
  </si>
  <si>
    <t>R036</t>
    <phoneticPr fontId="5" type="noConversion"/>
  </si>
  <si>
    <t>L024</t>
    <phoneticPr fontId="5" type="noConversion"/>
  </si>
  <si>
    <t>L018</t>
    <phoneticPr fontId="5" type="noConversion"/>
  </si>
  <si>
    <t>R042</t>
    <phoneticPr fontId="5" type="noConversion"/>
  </si>
  <si>
    <t>L009</t>
    <phoneticPr fontId="5" type="noConversion"/>
  </si>
  <si>
    <t>L005</t>
    <phoneticPr fontId="5" type="noConversion"/>
  </si>
  <si>
    <t>L010</t>
    <phoneticPr fontId="5" type="noConversion"/>
  </si>
  <si>
    <t>L011</t>
    <phoneticPr fontId="5" type="noConversion"/>
  </si>
  <si>
    <t>L012</t>
    <phoneticPr fontId="5" type="noConversion"/>
  </si>
  <si>
    <t>R048</t>
    <phoneticPr fontId="5" type="noConversion"/>
  </si>
  <si>
    <t>AlphaButol</t>
    <phoneticPr fontId="5" type="noConversion"/>
  </si>
  <si>
    <t>R049</t>
    <phoneticPr fontId="5" type="noConversion"/>
  </si>
  <si>
    <t>R050</t>
    <phoneticPr fontId="5" type="noConversion"/>
  </si>
  <si>
    <t>R051</t>
    <phoneticPr fontId="5" type="noConversion"/>
  </si>
  <si>
    <t>L028</t>
    <phoneticPr fontId="5" type="noConversion"/>
  </si>
  <si>
    <t>Toyo</t>
    <phoneticPr fontId="5" type="noConversion"/>
  </si>
  <si>
    <t>R052</t>
    <phoneticPr fontId="5" type="noConversion"/>
  </si>
  <si>
    <t>Q-Max</t>
    <phoneticPr fontId="5" type="noConversion"/>
  </si>
  <si>
    <t>R053</t>
    <phoneticPr fontId="5" type="noConversion"/>
  </si>
  <si>
    <t>R054</t>
    <phoneticPr fontId="5" type="noConversion"/>
  </si>
  <si>
    <t>Cyclohexanone</t>
    <phoneticPr fontId="5" type="noConversion"/>
  </si>
  <si>
    <t>R060</t>
    <phoneticPr fontId="5" type="noConversion"/>
  </si>
  <si>
    <t>Phenol to Cyclohexanone</t>
    <phoneticPr fontId="5" type="noConversion"/>
  </si>
  <si>
    <t>Hydration</t>
    <phoneticPr fontId="5" type="noConversion"/>
  </si>
  <si>
    <t>R057</t>
    <phoneticPr fontId="5" type="noConversion"/>
  </si>
  <si>
    <t>R058</t>
    <phoneticPr fontId="5" type="noConversion"/>
  </si>
  <si>
    <t>Kellogg Brown &amp; Root</t>
    <phoneticPr fontId="5" type="noConversion"/>
  </si>
  <si>
    <t>L019</t>
    <phoneticPr fontId="5" type="noConversion"/>
  </si>
  <si>
    <t>R059</t>
    <phoneticPr fontId="5" type="noConversion"/>
  </si>
  <si>
    <t>LAB</t>
    <phoneticPr fontId="5" type="noConversion"/>
  </si>
  <si>
    <t>Benzene to LAB</t>
    <phoneticPr fontId="5" type="noConversion"/>
  </si>
  <si>
    <t>Linear Alkylbenzene</t>
    <phoneticPr fontId="5" type="noConversion"/>
  </si>
  <si>
    <t>M067</t>
    <phoneticPr fontId="5" type="noConversion"/>
  </si>
  <si>
    <t>M059</t>
    <phoneticPr fontId="5" type="noConversion"/>
  </si>
  <si>
    <t>Base chemical</t>
    <phoneticPr fontId="5" type="noConversion"/>
  </si>
  <si>
    <t>supplier_id</t>
    <phoneticPr fontId="5" type="noConversion"/>
  </si>
  <si>
    <t>supplier_name</t>
    <phoneticPr fontId="5" type="noConversion"/>
  </si>
  <si>
    <t>remark</t>
    <phoneticPr fontId="5" type="noConversion"/>
  </si>
  <si>
    <t>S001</t>
  </si>
  <si>
    <t>S001</t>
    <phoneticPr fontId="5" type="noConversion"/>
  </si>
  <si>
    <t>S002</t>
  </si>
  <si>
    <t>S002</t>
    <phoneticPr fontId="5" type="noConversion"/>
  </si>
  <si>
    <t>S003</t>
  </si>
  <si>
    <t>S004</t>
  </si>
  <si>
    <t>S005</t>
  </si>
  <si>
    <t>S006</t>
  </si>
  <si>
    <t>S007</t>
  </si>
  <si>
    <t>S008</t>
  </si>
  <si>
    <t>S009</t>
  </si>
  <si>
    <t>S010</t>
  </si>
  <si>
    <t>S011</t>
  </si>
  <si>
    <t>금호석유화학</t>
    <phoneticPr fontId="5" type="noConversion"/>
  </si>
  <si>
    <t>대한유화</t>
    <phoneticPr fontId="5" type="noConversion"/>
  </si>
  <si>
    <t>동서석유화학</t>
    <phoneticPr fontId="5" type="noConversion"/>
  </si>
  <si>
    <t>롯데케미칼</t>
    <phoneticPr fontId="5" type="noConversion"/>
  </si>
  <si>
    <t>애경케미칼</t>
    <phoneticPr fontId="5" type="noConversion"/>
  </si>
  <si>
    <t>SSNC</t>
    <phoneticPr fontId="5" type="noConversion"/>
  </si>
  <si>
    <t>S-OIL</t>
    <phoneticPr fontId="5" type="noConversion"/>
  </si>
  <si>
    <t>SK어드밴스드</t>
    <phoneticPr fontId="5" type="noConversion"/>
  </si>
  <si>
    <t>SK에너지</t>
    <phoneticPr fontId="5" type="noConversion"/>
  </si>
  <si>
    <t>SK지오센트릭</t>
    <phoneticPr fontId="5" type="noConversion"/>
  </si>
  <si>
    <t>SK케미칼</t>
    <phoneticPr fontId="5" type="noConversion"/>
  </si>
  <si>
    <t>피유코어</t>
    <phoneticPr fontId="5" type="noConversion"/>
  </si>
  <si>
    <t>SK picglobal</t>
    <phoneticPr fontId="5" type="noConversion"/>
  </si>
  <si>
    <t>HDC현대EP</t>
    <phoneticPr fontId="5" type="noConversion"/>
  </si>
  <si>
    <t>용산케미칼</t>
    <phoneticPr fontId="5" type="noConversion"/>
  </si>
  <si>
    <t>울산아로마틱스</t>
    <phoneticPr fontId="5" type="noConversion"/>
  </si>
  <si>
    <t>울산피피</t>
    <phoneticPr fontId="5" type="noConversion"/>
  </si>
  <si>
    <t>이수화학</t>
    <phoneticPr fontId="5" type="noConversion"/>
  </si>
  <si>
    <t>카프로</t>
    <phoneticPr fontId="5" type="noConversion"/>
  </si>
  <si>
    <t>KPX케미칼</t>
    <phoneticPr fontId="5" type="noConversion"/>
  </si>
  <si>
    <t>코리아피티지</t>
    <phoneticPr fontId="5" type="noConversion"/>
  </si>
  <si>
    <t>코오롱인더스트리</t>
    <phoneticPr fontId="5" type="noConversion"/>
  </si>
  <si>
    <t>태광산업</t>
    <phoneticPr fontId="5" type="noConversion"/>
  </si>
  <si>
    <t>한국바스프</t>
    <phoneticPr fontId="5" type="noConversion"/>
  </si>
  <si>
    <t>한국알콜산업</t>
    <phoneticPr fontId="5" type="noConversion"/>
  </si>
  <si>
    <t>한국이네오스스티롤루션</t>
    <phoneticPr fontId="5" type="noConversion"/>
  </si>
  <si>
    <t>한국트린지오</t>
    <phoneticPr fontId="5" type="noConversion"/>
  </si>
  <si>
    <t>한화솔루션</t>
    <phoneticPr fontId="5" type="noConversion"/>
  </si>
  <si>
    <t>한화임팩트</t>
    <phoneticPr fontId="5" type="noConversion"/>
  </si>
  <si>
    <t>효성화학</t>
    <phoneticPr fontId="5" type="noConversion"/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</si>
  <si>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</si>
  <si>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</si>
  <si>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</si>
  <si>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</si>
  <si>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</si>
  <si>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</si>
  <si>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</si>
  <si>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</si>
  <si>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</si>
  <si>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S021</t>
  </si>
  <si>
    <t>S022</t>
  </si>
  <si>
    <t>S023</t>
  </si>
  <si>
    <t>S024</t>
  </si>
  <si>
    <t>S025</t>
  </si>
  <si>
    <t>S026</t>
  </si>
  <si>
    <t>S027</t>
  </si>
  <si>
    <t>S028</t>
  </si>
  <si>
    <t>S029</t>
  </si>
  <si>
    <t>S030</t>
  </si>
  <si>
    <t>S031</t>
  </si>
  <si>
    <t>estimated_capacity</t>
    <phoneticPr fontId="5" type="noConversion"/>
  </si>
  <si>
    <t>source_type</t>
    <phoneticPr fontId="5" type="noConversion"/>
  </si>
  <si>
    <t>Benzene</t>
    <phoneticPr fontId="5" type="noConversion"/>
  </si>
  <si>
    <t>MA</t>
    <phoneticPr fontId="5" type="noConversion"/>
  </si>
  <si>
    <t>Methanol</t>
    <phoneticPr fontId="5" type="noConversion"/>
  </si>
  <si>
    <t>EDC</t>
    <phoneticPr fontId="5" type="noConversion"/>
  </si>
  <si>
    <t>AN</t>
    <phoneticPr fontId="5" type="noConversion"/>
  </si>
  <si>
    <t>IPA</t>
    <phoneticPr fontId="5" type="noConversion"/>
  </si>
  <si>
    <t>Acetic acid</t>
    <phoneticPr fontId="5" type="noConversion"/>
  </si>
  <si>
    <t>M068</t>
  </si>
  <si>
    <t>M068</t>
    <phoneticPr fontId="5" type="noConversion"/>
  </si>
  <si>
    <t>Maleic anhydride</t>
    <phoneticPr fontId="5" type="noConversion"/>
  </si>
  <si>
    <t>EB</t>
    <phoneticPr fontId="5" type="noConversion"/>
  </si>
  <si>
    <t>PS</t>
    <phoneticPr fontId="5" type="noConversion"/>
  </si>
  <si>
    <t>BPA</t>
    <phoneticPr fontId="5" type="noConversion"/>
  </si>
  <si>
    <t>PC</t>
    <phoneticPr fontId="5" type="noConversion"/>
  </si>
  <si>
    <t>C3=</t>
    <phoneticPr fontId="5" type="noConversion"/>
  </si>
  <si>
    <t>EO</t>
    <phoneticPr fontId="5" type="noConversion"/>
  </si>
  <si>
    <t>C2=</t>
    <phoneticPr fontId="5" type="noConversion"/>
  </si>
  <si>
    <t>BD</t>
    <phoneticPr fontId="5" type="noConversion"/>
  </si>
  <si>
    <t>Poly vinyl chloride</t>
    <phoneticPr fontId="5" type="noConversion"/>
  </si>
  <si>
    <t>Monoethanolamine</t>
    <phoneticPr fontId="5" type="noConversion"/>
  </si>
  <si>
    <t>Diethanolamine</t>
    <phoneticPr fontId="5" type="noConversion"/>
  </si>
  <si>
    <t>Triethanolamine</t>
    <phoneticPr fontId="5" type="noConversion"/>
  </si>
  <si>
    <t>Monoethyleneglycol</t>
    <phoneticPr fontId="5" type="noConversion"/>
  </si>
  <si>
    <t>MEG</t>
    <phoneticPr fontId="5" type="noConversion"/>
  </si>
  <si>
    <t>Acrylonitrile Butadiene Stryrene</t>
    <phoneticPr fontId="5" type="noConversion"/>
  </si>
  <si>
    <t>Styrene Acrylonitrile</t>
    <phoneticPr fontId="5" type="noConversion"/>
  </si>
  <si>
    <t>Nitrile Butadiene Rubber</t>
    <phoneticPr fontId="5" type="noConversion"/>
  </si>
  <si>
    <t>M069</t>
    <phoneticPr fontId="5" type="noConversion"/>
  </si>
  <si>
    <t>M070</t>
  </si>
  <si>
    <t>M070</t>
    <phoneticPr fontId="5" type="noConversion"/>
  </si>
  <si>
    <t>M071</t>
    <phoneticPr fontId="5" type="noConversion"/>
  </si>
  <si>
    <t>Toluene</t>
    <phoneticPr fontId="5" type="noConversion"/>
  </si>
  <si>
    <t>M072</t>
    <phoneticPr fontId="5" type="noConversion"/>
  </si>
  <si>
    <t>Xylene</t>
    <phoneticPr fontId="5" type="noConversion"/>
  </si>
  <si>
    <t>M073</t>
    <phoneticPr fontId="5" type="noConversion"/>
  </si>
  <si>
    <t>PA</t>
    <phoneticPr fontId="5" type="noConversion"/>
  </si>
  <si>
    <t>Pthalic Anhydride</t>
    <phoneticPr fontId="5" type="noConversion"/>
  </si>
  <si>
    <t>Intermediate</t>
    <phoneticPr fontId="5" type="noConversion"/>
  </si>
  <si>
    <t>PIA</t>
    <phoneticPr fontId="5" type="noConversion"/>
  </si>
  <si>
    <t>TPA</t>
    <phoneticPr fontId="5" type="noConversion"/>
  </si>
  <si>
    <t>DMT</t>
    <phoneticPr fontId="5" type="noConversion"/>
  </si>
  <si>
    <t>Purified Isophtalic Acid</t>
    <phoneticPr fontId="5" type="noConversion"/>
  </si>
  <si>
    <t>Terephtalic Acid</t>
    <phoneticPr fontId="5" type="noConversion"/>
  </si>
  <si>
    <t>Dimethyl Terephtalate</t>
    <phoneticPr fontId="5" type="noConversion"/>
  </si>
  <si>
    <t>M074</t>
    <phoneticPr fontId="5" type="noConversion"/>
  </si>
  <si>
    <t>Beckmann</t>
    <phoneticPr fontId="5" type="noConversion"/>
  </si>
  <si>
    <t>Cyclohexanone to Carprolactam</t>
    <phoneticPr fontId="5" type="noConversion"/>
  </si>
  <si>
    <t>R061</t>
    <phoneticPr fontId="5" type="noConversion"/>
  </si>
  <si>
    <t>Ethylene to EDC</t>
    <phoneticPr fontId="5" type="noConversion"/>
  </si>
  <si>
    <t>EDC to VCM</t>
    <phoneticPr fontId="5" type="noConversion"/>
  </si>
  <si>
    <t>VCM to PVC</t>
    <phoneticPr fontId="5" type="noConversion"/>
  </si>
  <si>
    <t>Ethylene to EO</t>
    <phoneticPr fontId="5" type="noConversion"/>
  </si>
  <si>
    <t>EO to MEG</t>
    <phoneticPr fontId="5" type="noConversion"/>
  </si>
  <si>
    <t>EO to Ethanolamines</t>
    <phoneticPr fontId="5" type="noConversion"/>
  </si>
  <si>
    <t>Ethylene to VAM</t>
    <phoneticPr fontId="5" type="noConversion"/>
  </si>
  <si>
    <t>AA plus Ethanol to Ethyl acrylate</t>
    <phoneticPr fontId="5" type="noConversion"/>
  </si>
  <si>
    <t>Propylene to PP</t>
    <phoneticPr fontId="5" type="noConversion"/>
  </si>
  <si>
    <t>Propylene to PO</t>
    <phoneticPr fontId="5" type="noConversion"/>
  </si>
  <si>
    <t>PO to PG</t>
    <phoneticPr fontId="5" type="noConversion"/>
  </si>
  <si>
    <t>PO to PPG</t>
    <phoneticPr fontId="5" type="noConversion"/>
  </si>
  <si>
    <t>PO to Polyols</t>
    <phoneticPr fontId="5" type="noConversion"/>
  </si>
  <si>
    <t>Polyols to PU</t>
    <phoneticPr fontId="5" type="noConversion"/>
  </si>
  <si>
    <t>Propylene to AN</t>
    <phoneticPr fontId="5" type="noConversion"/>
  </si>
  <si>
    <t>AN plus Styrene plus Butadiene to ABS</t>
    <phoneticPr fontId="5" type="noConversion"/>
  </si>
  <si>
    <t>AN plus Styrene to SAN</t>
    <phoneticPr fontId="5" type="noConversion"/>
  </si>
  <si>
    <t>AN plus Butadiene to NBR</t>
    <phoneticPr fontId="5" type="noConversion"/>
  </si>
  <si>
    <t>Propylene to IPA</t>
    <phoneticPr fontId="5" type="noConversion"/>
  </si>
  <si>
    <t>M020</t>
    <phoneticPr fontId="5" type="noConversion"/>
  </si>
  <si>
    <t>R030</t>
    <phoneticPr fontId="5" type="noConversion"/>
  </si>
  <si>
    <t>Acrylic acid to SAP</t>
    <phoneticPr fontId="5" type="noConversion"/>
  </si>
  <si>
    <t>Isobutylene to PIB</t>
    <phoneticPr fontId="5" type="noConversion"/>
  </si>
  <si>
    <t>1-Butene to PB-1</t>
    <phoneticPr fontId="5" type="noConversion"/>
  </si>
  <si>
    <t>Styrene to PS</t>
    <phoneticPr fontId="5" type="noConversion"/>
  </si>
  <si>
    <t>Bisphenol A to PC</t>
    <phoneticPr fontId="5" type="noConversion"/>
  </si>
  <si>
    <t>롯데이네오스화학</t>
    <phoneticPr fontId="5" type="noConversion"/>
  </si>
  <si>
    <t>EPS(85)</t>
    <phoneticPr fontId="5" type="noConversion"/>
  </si>
  <si>
    <t>EPS(80)</t>
    <phoneticPr fontId="5" type="noConversion"/>
  </si>
  <si>
    <t>capacity_unit</t>
    <phoneticPr fontId="5" type="noConversion"/>
  </si>
  <si>
    <t>KTA</t>
    <phoneticPr fontId="5" type="noConversion"/>
  </si>
  <si>
    <t>location</t>
    <phoneticPr fontId="5" type="noConversion"/>
  </si>
  <si>
    <t>울산</t>
    <phoneticPr fontId="5" type="noConversion"/>
  </si>
  <si>
    <t>source_year</t>
    <phoneticPr fontId="5" type="noConversion"/>
  </si>
  <si>
    <t>화학편람</t>
    <phoneticPr fontId="5" type="noConversion"/>
  </si>
  <si>
    <t>S032</t>
    <phoneticPr fontId="5" type="noConversion"/>
  </si>
  <si>
    <t>TKG일렘</t>
    <phoneticPr fontId="5" type="noConversion"/>
  </si>
  <si>
    <t>홈페이지</t>
    <phoneticPr fontId="5" type="noConversion"/>
  </si>
  <si>
    <t>vertical_order</t>
    <phoneticPr fontId="5" type="noConversion"/>
  </si>
  <si>
    <t>Isopropanol to Isopropyl acetate</t>
    <phoneticPr fontId="5" type="noConversion"/>
  </si>
  <si>
    <t>M041</t>
    <phoneticPr fontId="5" type="noConversion"/>
  </si>
  <si>
    <t>Caprolactam</t>
    <phoneticPr fontId="5" type="noConversion"/>
  </si>
  <si>
    <t>M075</t>
    <phoneticPr fontId="5" type="noConversion"/>
  </si>
  <si>
    <t>M076</t>
    <phoneticPr fontId="5" type="noConversion"/>
  </si>
  <si>
    <t>M077</t>
    <phoneticPr fontId="5" type="noConversion"/>
  </si>
  <si>
    <t>LAO</t>
    <phoneticPr fontId="5" type="noConversion"/>
  </si>
  <si>
    <t>1-Hexene</t>
    <phoneticPr fontId="5" type="noConversion"/>
  </si>
  <si>
    <t>Ethylene</t>
    <phoneticPr fontId="5" type="noConversion"/>
  </si>
  <si>
    <t>Ethylene to 1-Butene (On-purpose)</t>
    <phoneticPr fontId="5" type="noConversion"/>
  </si>
  <si>
    <t>R062</t>
    <phoneticPr fontId="5" type="noConversion"/>
  </si>
  <si>
    <t>R063</t>
    <phoneticPr fontId="5" type="noConversion"/>
  </si>
  <si>
    <t>R064</t>
    <phoneticPr fontId="5" type="noConversion"/>
  </si>
  <si>
    <t>1-Butene plus Ethylene to 1-Hexene</t>
    <phoneticPr fontId="5" type="noConversion"/>
  </si>
  <si>
    <t>Ethylene to LAO</t>
    <phoneticPr fontId="5" type="noConversion"/>
  </si>
  <si>
    <t>R065</t>
    <phoneticPr fontId="5" type="noConversion"/>
  </si>
  <si>
    <t>Oligomerization</t>
    <phoneticPr fontId="5" type="noConversion"/>
  </si>
  <si>
    <t>range LAO production</t>
    <phoneticPr fontId="5" type="noConversion"/>
  </si>
  <si>
    <t>M052</t>
    <phoneticPr fontId="5" type="noConversion"/>
  </si>
  <si>
    <t>M001</t>
    <phoneticPr fontId="5" type="noConversion"/>
  </si>
  <si>
    <t>co-feed</t>
    <phoneticPr fontId="5" type="noConversion"/>
  </si>
  <si>
    <t>Phenol plus Acetone to BPA</t>
    <phoneticPr fontId="5" type="noConversion"/>
  </si>
  <si>
    <t>Simplified route; ethylene co-feed omitted for visualization</t>
    <phoneticPr fontId="5" type="noConversion"/>
  </si>
  <si>
    <t>LAO to PAO</t>
    <phoneticPr fontId="5" type="noConversion"/>
  </si>
  <si>
    <t>Polymerization</t>
    <phoneticPr fontId="5" type="noConversion"/>
  </si>
  <si>
    <t>PAO</t>
    <phoneticPr fontId="5" type="noConversion"/>
  </si>
  <si>
    <t>Linear alpha olefins mixture (typically C4–C12+ range)</t>
    <phoneticPr fontId="5" type="noConversion"/>
  </si>
  <si>
    <t>Methanol to Acetic Acid</t>
    <phoneticPr fontId="5" type="noConversion"/>
  </si>
  <si>
    <t>Carbonylation</t>
    <phoneticPr fontId="5" type="noConversion"/>
  </si>
  <si>
    <t>R067</t>
    <phoneticPr fontId="5" type="noConversion"/>
  </si>
  <si>
    <t>Isobutylene to MTBE</t>
    <phoneticPr fontId="5" type="noConversion"/>
  </si>
  <si>
    <t>Esterification</t>
    <phoneticPr fontId="5" type="noConversion"/>
  </si>
  <si>
    <t>Simplified; methanol co-feed</t>
    <phoneticPr fontId="5" type="noConversion"/>
  </si>
  <si>
    <t>R066</t>
    <phoneticPr fontId="5" type="noConversion"/>
  </si>
  <si>
    <t>M046</t>
    <phoneticPr fontId="5" type="noConversion"/>
  </si>
  <si>
    <t>M049</t>
    <phoneticPr fontId="5" type="noConversion"/>
  </si>
  <si>
    <t>M078</t>
    <phoneticPr fontId="5" type="noConversion"/>
  </si>
  <si>
    <t>M079</t>
    <phoneticPr fontId="5" type="noConversion"/>
  </si>
  <si>
    <t>MMA</t>
    <phoneticPr fontId="5" type="noConversion"/>
  </si>
  <si>
    <t>PMMA</t>
    <phoneticPr fontId="5" type="noConversion"/>
  </si>
  <si>
    <t>Polymethyl methacrylate</t>
    <phoneticPr fontId="5" type="noConversion"/>
  </si>
  <si>
    <t>Methyl methacrylate monomer</t>
    <phoneticPr fontId="5" type="noConversion"/>
  </si>
  <si>
    <t>R068</t>
    <phoneticPr fontId="5" type="noConversion"/>
  </si>
  <si>
    <t>R069</t>
    <phoneticPr fontId="5" type="noConversion"/>
  </si>
  <si>
    <t>Methanol to MMA</t>
    <phoneticPr fontId="5" type="noConversion"/>
  </si>
  <si>
    <t>MMA to PMMA</t>
    <phoneticPr fontId="5" type="noConversion"/>
  </si>
  <si>
    <t>Methanol-based route</t>
    <phoneticPr fontId="5" type="noConversion"/>
  </si>
  <si>
    <t>main</t>
    <phoneticPr fontId="5" type="noConversion"/>
  </si>
  <si>
    <t>R047</t>
    <phoneticPr fontId="5" type="noConversion"/>
  </si>
  <si>
    <t>Adol condensation</t>
    <phoneticPr fontId="5" type="noConversion"/>
  </si>
  <si>
    <t>M080</t>
    <phoneticPr fontId="5" type="noConversion"/>
  </si>
  <si>
    <t>Formaldehyde</t>
    <phoneticPr fontId="5" type="noConversion"/>
  </si>
  <si>
    <t>Methanol to Formaldehyde</t>
    <phoneticPr fontId="5" type="noConversion"/>
  </si>
  <si>
    <t>Oxidation</t>
    <phoneticPr fontId="5" type="noConversion"/>
  </si>
  <si>
    <t>M081</t>
    <phoneticPr fontId="5" type="noConversion"/>
  </si>
  <si>
    <t>M082</t>
    <phoneticPr fontId="5" type="noConversion"/>
  </si>
  <si>
    <t>EC</t>
    <phoneticPr fontId="5" type="noConversion"/>
  </si>
  <si>
    <t>Ethylene Carbonate</t>
    <phoneticPr fontId="5" type="noConversion"/>
  </si>
  <si>
    <t>DMC</t>
    <phoneticPr fontId="5" type="noConversion"/>
  </si>
  <si>
    <t>Diemethyl Carbonate</t>
    <phoneticPr fontId="5" type="noConversion"/>
  </si>
  <si>
    <t>R070</t>
    <phoneticPr fontId="5" type="noConversion"/>
  </si>
  <si>
    <t>EO to EC</t>
    <phoneticPr fontId="5" type="noConversion"/>
  </si>
  <si>
    <t>Carbonation</t>
    <phoneticPr fontId="5" type="noConversion"/>
  </si>
  <si>
    <t>R071</t>
    <phoneticPr fontId="5" type="noConversion"/>
  </si>
  <si>
    <t>EC to DMC</t>
    <phoneticPr fontId="5" type="noConversion"/>
  </si>
  <si>
    <t>Carbonate conversion</t>
    <phoneticPr fontId="5" type="noConversion"/>
  </si>
  <si>
    <t>methanol-related</t>
    <phoneticPr fontId="5" type="noConversion"/>
  </si>
  <si>
    <t>M012</t>
    <phoneticPr fontId="5" type="noConversion"/>
  </si>
  <si>
    <t>M083</t>
    <phoneticPr fontId="5" type="noConversion"/>
  </si>
  <si>
    <t>M084</t>
    <phoneticPr fontId="5" type="noConversion"/>
  </si>
  <si>
    <t>EVA</t>
    <phoneticPr fontId="5" type="noConversion"/>
  </si>
  <si>
    <t>Polyvinyl alcohol</t>
    <phoneticPr fontId="5" type="noConversion"/>
  </si>
  <si>
    <t>Ethylene-vinyl acetate copolymer</t>
    <phoneticPr fontId="5" type="noConversion"/>
  </si>
  <si>
    <t>R072</t>
    <phoneticPr fontId="5" type="noConversion"/>
  </si>
  <si>
    <t>R073</t>
    <phoneticPr fontId="5" type="noConversion"/>
  </si>
  <si>
    <t>Polymerization/Hydrolysis</t>
    <phoneticPr fontId="5" type="noConversion"/>
  </si>
  <si>
    <t>ethylene co-feed omitted</t>
    <phoneticPr fontId="5" type="noConversion"/>
  </si>
  <si>
    <t>Copolymerization</t>
    <phoneticPr fontId="5" type="noConversion"/>
  </si>
  <si>
    <t>VAM to EVA</t>
    <phoneticPr fontId="5" type="noConversion"/>
  </si>
  <si>
    <t>R074</t>
    <phoneticPr fontId="5" type="noConversion"/>
  </si>
  <si>
    <t>Isobutylene to MMA</t>
    <phoneticPr fontId="5" type="noConversion"/>
  </si>
  <si>
    <t>C4-based route</t>
    <phoneticPr fontId="5" type="noConversion"/>
  </si>
  <si>
    <t>via MAA(Methacrylci acid)</t>
    <phoneticPr fontId="5" type="noConversion"/>
  </si>
  <si>
    <t>M085</t>
    <phoneticPr fontId="5" type="noConversion"/>
  </si>
  <si>
    <t>M086</t>
    <phoneticPr fontId="5" type="noConversion"/>
  </si>
  <si>
    <t>MDI</t>
    <phoneticPr fontId="5" type="noConversion"/>
  </si>
  <si>
    <t>TDI</t>
    <phoneticPr fontId="5" type="noConversion"/>
  </si>
  <si>
    <t>Methylene Diphenyl Disocyanate</t>
    <phoneticPr fontId="5" type="noConversion"/>
  </si>
  <si>
    <t>Toluene Diisocyanate</t>
    <phoneticPr fontId="5" type="noConversion"/>
  </si>
  <si>
    <t>R075</t>
    <phoneticPr fontId="5" type="noConversion"/>
  </si>
  <si>
    <t>Aniline to MDI</t>
    <phoneticPr fontId="5" type="noConversion"/>
  </si>
  <si>
    <t>R076</t>
    <phoneticPr fontId="5" type="noConversion"/>
  </si>
  <si>
    <t>R077</t>
    <phoneticPr fontId="5" type="noConversion"/>
  </si>
  <si>
    <t>R078</t>
    <phoneticPr fontId="5" type="noConversion"/>
  </si>
  <si>
    <t>Toluene to TDI</t>
    <phoneticPr fontId="5" type="noConversion"/>
  </si>
  <si>
    <t>Isocyanate formation</t>
    <phoneticPr fontId="5" type="noConversion"/>
  </si>
  <si>
    <t>via MDA</t>
    <phoneticPr fontId="5" type="noConversion"/>
  </si>
  <si>
    <t>via DNT</t>
    <phoneticPr fontId="5" type="noConversion"/>
  </si>
  <si>
    <t>M065</t>
    <phoneticPr fontId="5" type="noConversion"/>
  </si>
  <si>
    <t>M030</t>
    <phoneticPr fontId="5" type="noConversion"/>
  </si>
  <si>
    <t>M087</t>
    <phoneticPr fontId="5" type="noConversion"/>
  </si>
  <si>
    <t>M088</t>
    <phoneticPr fontId="5" type="noConversion"/>
  </si>
  <si>
    <t>M089</t>
    <phoneticPr fontId="5" type="noConversion"/>
  </si>
  <si>
    <t>o-Xylene</t>
    <phoneticPr fontId="5" type="noConversion"/>
  </si>
  <si>
    <t>m-Xylene</t>
    <phoneticPr fontId="5" type="noConversion"/>
  </si>
  <si>
    <t>p-Xylene</t>
    <phoneticPr fontId="5" type="noConversion"/>
  </si>
  <si>
    <t>R079</t>
    <phoneticPr fontId="5" type="noConversion"/>
  </si>
  <si>
    <t>R080</t>
    <phoneticPr fontId="5" type="noConversion"/>
  </si>
  <si>
    <t>Xylene to o-Xylene</t>
    <phoneticPr fontId="5" type="noConversion"/>
  </si>
  <si>
    <t>Xylene to m-Xylene</t>
    <phoneticPr fontId="5" type="noConversion"/>
  </si>
  <si>
    <t>Xylene to p-Xylene</t>
    <phoneticPr fontId="5" type="noConversion"/>
  </si>
  <si>
    <t>Seperation</t>
    <phoneticPr fontId="5" type="noConversion"/>
  </si>
  <si>
    <t>R081</t>
    <phoneticPr fontId="5" type="noConversion"/>
  </si>
  <si>
    <t>R082</t>
  </si>
  <si>
    <t>R083</t>
  </si>
  <si>
    <t>R084</t>
  </si>
  <si>
    <t>R085</t>
  </si>
  <si>
    <t>o-Xylene to PA</t>
    <phoneticPr fontId="5" type="noConversion"/>
  </si>
  <si>
    <t>m-Xylene to PIA</t>
    <phoneticPr fontId="5" type="noConversion"/>
  </si>
  <si>
    <t>p-Xylene to TPA</t>
    <phoneticPr fontId="5" type="noConversion"/>
  </si>
  <si>
    <t>p-Xylene to DMT</t>
    <phoneticPr fontId="5" type="noConversion"/>
  </si>
  <si>
    <t>M090</t>
  </si>
  <si>
    <t>M091</t>
  </si>
  <si>
    <t>M092</t>
  </si>
  <si>
    <t>M093</t>
    <phoneticPr fontId="5" type="noConversion"/>
  </si>
  <si>
    <t>PET</t>
    <phoneticPr fontId="5" type="noConversion"/>
  </si>
  <si>
    <t>Polyethylene terephthalate</t>
    <phoneticPr fontId="5" type="noConversion"/>
  </si>
  <si>
    <t>TPA plus MEG to PET</t>
    <phoneticPr fontId="5" type="noConversion"/>
  </si>
  <si>
    <t>cross-group route</t>
    <phoneticPr fontId="5" type="noConversion"/>
  </si>
  <si>
    <t>R086</t>
    <phoneticPr fontId="5" type="noConversion"/>
  </si>
  <si>
    <t>Polycondensation</t>
  </si>
  <si>
    <t>TDI to PU(Flexible)</t>
    <phoneticPr fontId="5" type="noConversion"/>
  </si>
  <si>
    <t>MDI to PU(Rigid)</t>
    <phoneticPr fontId="5" type="noConversion"/>
  </si>
  <si>
    <t>Polyurethane(Rigid)</t>
    <phoneticPr fontId="5" type="noConversion"/>
  </si>
  <si>
    <t>Polyurethane(Flexible)</t>
    <phoneticPr fontId="5" type="noConversion"/>
  </si>
  <si>
    <t>M094</t>
    <phoneticPr fontId="5" type="noConversion"/>
  </si>
  <si>
    <t>금호미쓰이화학</t>
    <phoneticPr fontId="5" type="noConversion"/>
  </si>
  <si>
    <t>금호폴리켐</t>
    <phoneticPr fontId="5" type="noConversion"/>
  </si>
  <si>
    <t>금호피앤비화학</t>
    <phoneticPr fontId="5" type="noConversion"/>
  </si>
  <si>
    <t>DL케미칼</t>
    <phoneticPr fontId="5" type="noConversion"/>
  </si>
  <si>
    <t>롯데베르살리스엘라스토머스</t>
    <phoneticPr fontId="5" type="noConversion"/>
  </si>
  <si>
    <t>롯데엠시시</t>
    <phoneticPr fontId="5" type="noConversion"/>
  </si>
  <si>
    <t>삼남석유화학</t>
    <phoneticPr fontId="5" type="noConversion"/>
  </si>
  <si>
    <t>LX MMA</t>
    <phoneticPr fontId="5" type="noConversion"/>
  </si>
  <si>
    <t>LG화학</t>
    <phoneticPr fontId="5" type="noConversion"/>
  </si>
  <si>
    <t>여천NCC</t>
    <phoneticPr fontId="5" type="noConversion"/>
  </si>
  <si>
    <t>GS칼텍스</t>
    <phoneticPr fontId="5" type="noConversion"/>
  </si>
  <si>
    <t>폴리미래</t>
    <phoneticPr fontId="5" type="noConversion"/>
  </si>
  <si>
    <t>S033</t>
  </si>
  <si>
    <t>S034</t>
  </si>
  <si>
    <t>S035</t>
  </si>
  <si>
    <t>S036</t>
  </si>
  <si>
    <t>S037</t>
  </si>
  <si>
    <t>S038</t>
  </si>
  <si>
    <t>S039</t>
  </si>
  <si>
    <t>S040</t>
  </si>
  <si>
    <t>S041</t>
  </si>
  <si>
    <t>S042</t>
  </si>
  <si>
    <t>S043</t>
  </si>
  <si>
    <t>S044</t>
  </si>
  <si>
    <t>S045</t>
  </si>
  <si>
    <t>S046</t>
  </si>
  <si>
    <t>여수</t>
    <phoneticPr fontId="5" type="noConversion"/>
  </si>
  <si>
    <t>R087</t>
    <phoneticPr fontId="5" type="noConversion"/>
  </si>
  <si>
    <t>Ethylene to 1-Hexene</t>
    <phoneticPr fontId="5" type="noConversion"/>
  </si>
  <si>
    <t>R088</t>
    <phoneticPr fontId="5" type="noConversion"/>
  </si>
  <si>
    <t>1-Butene to 1-Octene</t>
    <phoneticPr fontId="5" type="noConversion"/>
  </si>
  <si>
    <t>1-Octene</t>
    <phoneticPr fontId="5" type="noConversion"/>
  </si>
  <si>
    <t>M095</t>
    <phoneticPr fontId="5" type="noConversion"/>
  </si>
  <si>
    <t>M089</t>
  </si>
  <si>
    <t>M071</t>
  </si>
  <si>
    <t>M072</t>
  </si>
  <si>
    <t>M078</t>
  </si>
  <si>
    <t>M079</t>
  </si>
  <si>
    <t>M085</t>
  </si>
  <si>
    <t>M086</t>
  </si>
  <si>
    <t>hsk10</t>
    <phoneticPr fontId="5" type="noConversion"/>
  </si>
  <si>
    <t xml:space="preserve"> </t>
    <phoneticPr fontId="5" type="noConversion"/>
  </si>
  <si>
    <t>EPDM</t>
    <phoneticPr fontId="5" type="noConversion"/>
  </si>
  <si>
    <t>롯데GS화학</t>
    <phoneticPr fontId="5" type="noConversion"/>
  </si>
  <si>
    <t>구다우케미칼</t>
    <phoneticPr fontId="5" type="noConversion"/>
  </si>
  <si>
    <t>S047</t>
  </si>
  <si>
    <t>S048</t>
  </si>
  <si>
    <t>M096</t>
    <phoneticPr fontId="5" type="noConversion"/>
  </si>
  <si>
    <t>n-Butanol</t>
    <phoneticPr fontId="5" type="noConversion"/>
  </si>
  <si>
    <t>SSBR(123)</t>
  </si>
  <si>
    <t>SSBR(100)</t>
  </si>
  <si>
    <t>EPS(50)</t>
  </si>
  <si>
    <t>한화토탈에너지스</t>
    <phoneticPr fontId="5" type="noConversion"/>
  </si>
  <si>
    <t>HD현대케미칼</t>
    <phoneticPr fontId="5" type="noConversion"/>
  </si>
  <si>
    <t>HD현대오일뱅크</t>
    <phoneticPr fontId="5" type="noConversion"/>
  </si>
  <si>
    <t>SSBR(80)</t>
    <phoneticPr fontId="5" type="noConversion"/>
  </si>
  <si>
    <t>S049</t>
  </si>
  <si>
    <t>대산</t>
    <phoneticPr fontId="5" type="noConversion"/>
  </si>
  <si>
    <t>OCI</t>
    <phoneticPr fontId="5" type="noConversion"/>
  </si>
  <si>
    <t>광양</t>
    <phoneticPr fontId="5" type="noConversion"/>
  </si>
  <si>
    <t>김천</t>
    <phoneticPr fontId="5" type="noConversion"/>
  </si>
  <si>
    <t>군산</t>
    <phoneticPr fontId="5" type="noConversion"/>
  </si>
  <si>
    <t>SH에너지화학</t>
    <phoneticPr fontId="5" type="noConversion"/>
  </si>
  <si>
    <t>삼양이노켐</t>
    <phoneticPr fontId="5" type="noConversion"/>
  </si>
  <si>
    <t>부산</t>
    <phoneticPr fontId="5" type="noConversion"/>
  </si>
  <si>
    <t>국도화학</t>
    <phoneticPr fontId="5" type="noConversion"/>
  </si>
  <si>
    <t>인천</t>
    <phoneticPr fontId="5" type="noConversion"/>
  </si>
  <si>
    <t>SK인천석유화학</t>
    <phoneticPr fontId="5" type="noConversion"/>
  </si>
  <si>
    <t>포항</t>
    <phoneticPr fontId="5" type="noConversion"/>
  </si>
  <si>
    <t>삼양화성</t>
    <phoneticPr fontId="5" type="noConversion"/>
  </si>
  <si>
    <t>S050</t>
  </si>
  <si>
    <t>S051</t>
  </si>
  <si>
    <t>S052</t>
  </si>
  <si>
    <t>S053</t>
  </si>
  <si>
    <t>S054</t>
  </si>
  <si>
    <t>S055</t>
  </si>
  <si>
    <t>EPS(100)</t>
    <phoneticPr fontId="5" type="noConversion"/>
  </si>
  <si>
    <t>M073</t>
  </si>
  <si>
    <t>C4</t>
    <phoneticPr fontId="5" type="noConversion"/>
  </si>
  <si>
    <t>(Ethylene base)</t>
    <phoneticPr fontId="5" type="noConversion"/>
  </si>
  <si>
    <t>(1-butene base)</t>
    <phoneticPr fontId="5" type="noConversion"/>
  </si>
  <si>
    <t>M097</t>
    <phoneticPr fontId="5" type="noConversion"/>
  </si>
  <si>
    <t>R089</t>
    <phoneticPr fontId="5" type="noConversion"/>
  </si>
  <si>
    <t>Ethylene plus proplyene to EPDM</t>
    <phoneticPr fontId="5" type="noConversion"/>
  </si>
  <si>
    <t>(ethylene base)</t>
    <phoneticPr fontId="5" type="noConversion"/>
  </si>
  <si>
    <t>R090</t>
    <phoneticPr fontId="5" type="noConversion"/>
  </si>
  <si>
    <t>Propylene to ECH</t>
    <phoneticPr fontId="5" type="noConversion"/>
  </si>
  <si>
    <t>Chlorohydrination</t>
    <phoneticPr fontId="5" type="noConversion"/>
  </si>
  <si>
    <t>simplified</t>
    <phoneticPr fontId="5" type="noConversion"/>
  </si>
  <si>
    <t>M098</t>
    <phoneticPr fontId="5" type="noConversion"/>
  </si>
  <si>
    <t>ECH</t>
    <phoneticPr fontId="5" type="noConversion"/>
  </si>
  <si>
    <t>Propylene</t>
    <phoneticPr fontId="5" type="noConversion"/>
  </si>
  <si>
    <t>Epichlorohydrin</t>
    <phoneticPr fontId="5" type="noConversion"/>
  </si>
  <si>
    <t>M099</t>
    <phoneticPr fontId="5" type="noConversion"/>
  </si>
  <si>
    <t>Ethoxylate</t>
    <phoneticPr fontId="5" type="noConversion"/>
  </si>
  <si>
    <t>R091</t>
    <phoneticPr fontId="5" type="noConversion"/>
  </si>
  <si>
    <t>EO to Ethoxylate</t>
    <phoneticPr fontId="5" type="noConversion"/>
  </si>
  <si>
    <t>Etoxylation</t>
    <phoneticPr fontId="5" type="noConversion"/>
  </si>
  <si>
    <t>material_type</t>
  </si>
  <si>
    <t>material_subtype</t>
  </si>
  <si>
    <t>Olefin</t>
  </si>
  <si>
    <t>Polyolefin</t>
  </si>
  <si>
    <t>Chlorinated Intermediate</t>
  </si>
  <si>
    <t>Vinyl Monomer</t>
  </si>
  <si>
    <t>Vinyl Polymer</t>
  </si>
  <si>
    <t>Alcohol</t>
  </si>
  <si>
    <t>Amine</t>
  </si>
  <si>
    <t>Acetate Ester</t>
  </si>
  <si>
    <t>Acrylate Ester</t>
  </si>
  <si>
    <t>Epoxide</t>
  </si>
  <si>
    <t>Functional Material</t>
  </si>
  <si>
    <t>Amine Derivatives</t>
  </si>
  <si>
    <t>Ethanolamine</t>
  </si>
  <si>
    <t>Glycol</t>
  </si>
  <si>
    <t>Aldehyde</t>
  </si>
  <si>
    <t>Acetate Monomer</t>
  </si>
  <si>
    <t>Nitrile Monomer</t>
  </si>
  <si>
    <t>Styrenic Resin</t>
  </si>
  <si>
    <t>Synthetic Rubber</t>
  </si>
  <si>
    <t>Polyether Polyol</t>
  </si>
  <si>
    <t>Polyol</t>
  </si>
  <si>
    <t>Polyurethane System</t>
  </si>
  <si>
    <t>Organic Acid</t>
  </si>
  <si>
    <t>Acrylic Polymer</t>
  </si>
  <si>
    <t>Acrylate Derivative</t>
  </si>
  <si>
    <t>Superabsorbent Polymer</t>
  </si>
  <si>
    <t>Oxo Alcohol</t>
  </si>
  <si>
    <t>Diolefin</t>
  </si>
  <si>
    <t>Polyolefin Derivative</t>
  </si>
  <si>
    <t>Fuel Additive</t>
  </si>
  <si>
    <t>C4 Olefin</t>
  </si>
  <si>
    <t>Alpha Olefin</t>
  </si>
  <si>
    <t>Aromatic</t>
  </si>
  <si>
    <t>Alkyl Aromatic</t>
  </si>
  <si>
    <t>Styrenic Monomer</t>
  </si>
  <si>
    <t>Phenolic Intermediate</t>
  </si>
  <si>
    <t>Ketone</t>
  </si>
  <si>
    <t>Engineering Plastic</t>
  </si>
  <si>
    <t>Thermoset Resin</t>
  </si>
  <si>
    <t>Cycloaliphatic Intermediate</t>
  </si>
  <si>
    <t>Aromatic Amine</t>
  </si>
  <si>
    <t>Anhydride</t>
  </si>
  <si>
    <t>Lactam Monomer</t>
  </si>
  <si>
    <t>Alpha Olefin Mixture</t>
  </si>
  <si>
    <t>Synthetic Base Oil</t>
  </si>
  <si>
    <t>Acrylic Monomer</t>
  </si>
  <si>
    <t>Carbonate</t>
  </si>
  <si>
    <t>Functional Polymer</t>
  </si>
  <si>
    <t>Polyolefin Copolymer</t>
  </si>
  <si>
    <t>Isocyanate</t>
  </si>
  <si>
    <t>Aromatic Isomer</t>
  </si>
  <si>
    <t>Aromatic Acid Monomer</t>
  </si>
  <si>
    <t>Aromatic Ester Monomer</t>
  </si>
  <si>
    <t>Polyester</t>
  </si>
  <si>
    <t>Epoxide Intermediate</t>
  </si>
  <si>
    <t>Surfactant</t>
  </si>
  <si>
    <t>Adipic Acid</t>
    <phoneticPr fontId="5" type="noConversion"/>
  </si>
  <si>
    <t>M100</t>
    <phoneticPr fontId="5" type="noConversion"/>
  </si>
  <si>
    <t>Dicarboxylic Acid</t>
    <phoneticPr fontId="5" type="noConversion"/>
  </si>
  <si>
    <t>R092</t>
    <phoneticPr fontId="5" type="noConversion"/>
  </si>
  <si>
    <t>Cyclohexanone to Adipic Acid</t>
    <phoneticPr fontId="5" type="noConversion"/>
  </si>
  <si>
    <t>2-Ethylhexanol</t>
    <phoneticPr fontId="5" type="noConversion"/>
  </si>
  <si>
    <t>M101</t>
    <phoneticPr fontId="5" type="noConversion"/>
  </si>
  <si>
    <t>n-Butane</t>
    <phoneticPr fontId="5" type="noConversion"/>
  </si>
  <si>
    <t>Paraffin</t>
    <phoneticPr fontId="5" type="noConversion"/>
  </si>
  <si>
    <t>R093</t>
    <phoneticPr fontId="5" type="noConversion"/>
  </si>
  <si>
    <t>n-Butane to MA</t>
    <phoneticPr fontId="5" type="noConversion"/>
  </si>
  <si>
    <t>Quarterly</t>
  </si>
  <si>
    <t>04/23/2026 10:00:00 UTC</t>
  </si>
  <si>
    <t>04/01/2026 10:00:00 UTC</t>
  </si>
  <si>
    <t>ABS Resins</t>
  </si>
  <si>
    <t>03/10/2026 10:00:00 UTC</t>
  </si>
  <si>
    <t>Polyvinyl Chloride</t>
  </si>
  <si>
    <t>03/07/2026 00:15:55 UTC</t>
  </si>
  <si>
    <t>Methanol</t>
  </si>
  <si>
    <t>03/06/2026 22:30:25 UTC</t>
  </si>
  <si>
    <t>03/07/2026 00:15:45 UTC</t>
  </si>
  <si>
    <t>Mixed Xylenes</t>
  </si>
  <si>
    <t>03/06/2026 23:40:29 UTC</t>
  </si>
  <si>
    <t>Vinyl Chloride Monomer</t>
  </si>
  <si>
    <t>03/06/2026 10:00:00 UTC</t>
  </si>
  <si>
    <t>03/07/2026 00:10:51 UTC</t>
  </si>
  <si>
    <t>Polybutadiene Rubber</t>
  </si>
  <si>
    <t>Chlor-Alkali</t>
  </si>
  <si>
    <t>03/06/2026 22:10:16 UTC</t>
  </si>
  <si>
    <t>High Purity Ethylene Oxide</t>
  </si>
  <si>
    <t>03/06/2026 22:30:19 UTC</t>
  </si>
  <si>
    <t>Polyethylene</t>
  </si>
  <si>
    <t>03/07/2026 00:15:32 UTC</t>
  </si>
  <si>
    <t>Styrene Butadiene Rubber</t>
  </si>
  <si>
    <t>Terephthalic Acid</t>
  </si>
  <si>
    <t>03/06/2026 22:20:18 UTC</t>
  </si>
  <si>
    <t>Vinyl Acetate Monomer</t>
  </si>
  <si>
    <t>03/07/2026 01:15:21 UTC</t>
  </si>
  <si>
    <t>Expandable Polystyrene</t>
  </si>
  <si>
    <t>Propylene Oxide</t>
  </si>
  <si>
    <t>03/07/2026 00:16:06 UTC</t>
  </si>
  <si>
    <t>03/07/2026 00:15:50 UTC</t>
  </si>
  <si>
    <t>Ethylene Dichloride</t>
  </si>
  <si>
    <t>03/06/2026 22:20:25 UTC</t>
  </si>
  <si>
    <t>03/06/2026 22:15:35 UTC</t>
  </si>
  <si>
    <t>Monoethylene Glycol</t>
  </si>
  <si>
    <t>Methyl Methacrylate</t>
  </si>
  <si>
    <t>03/06/2026 22:35:19 UTC</t>
  </si>
  <si>
    <t>Acetic Acid</t>
  </si>
  <si>
    <t>Paraxylene</t>
  </si>
  <si>
    <t>Polyethylene Terephthalate</t>
  </si>
  <si>
    <t>03/07/2026 00:15:41 UTC</t>
  </si>
  <si>
    <t>Formaldehyde</t>
  </si>
  <si>
    <t>Toluene</t>
  </si>
  <si>
    <t>03/07/2026 01:10:15 UTC</t>
  </si>
  <si>
    <t>03/06/2026 22:15:30 UTC</t>
  </si>
  <si>
    <t>04/02/2025 10:00:00 UTC</t>
  </si>
  <si>
    <t>ccma_snp</t>
    <phoneticPr fontId="5" type="noConversion"/>
  </si>
  <si>
    <t>EDC</t>
  </si>
  <si>
    <t>VCM</t>
  </si>
  <si>
    <t>EO</t>
  </si>
  <si>
    <t>MEG</t>
  </si>
  <si>
    <t>VAM</t>
  </si>
  <si>
    <t>AN</t>
  </si>
  <si>
    <t>PP</t>
  </si>
  <si>
    <t>PO</t>
  </si>
  <si>
    <t>PS</t>
  </si>
  <si>
    <t>BPA</t>
  </si>
  <si>
    <t>PC</t>
  </si>
  <si>
    <t>Acetic acid</t>
  </si>
  <si>
    <t>Xylene</t>
  </si>
  <si>
    <t>MMA</t>
  </si>
  <si>
    <t>p-Xylene</t>
  </si>
  <si>
    <t>TPA</t>
  </si>
  <si>
    <t>PET</t>
  </si>
  <si>
    <t>Polybutadiene Rubber</t>
    <phoneticPr fontId="5" type="noConversion"/>
  </si>
  <si>
    <t>Published Date</t>
    <phoneticPr fontId="5" type="noConversion"/>
  </si>
  <si>
    <t>Cover Date</t>
    <phoneticPr fontId="5" type="noConversion"/>
  </si>
  <si>
    <t>Frequency</t>
    <phoneticPr fontId="5" type="noConversion"/>
  </si>
  <si>
    <t>O</t>
    <phoneticPr fontId="8" type="noConversion"/>
  </si>
  <si>
    <t>Acrylonitrile-Butadiene-Styrene (ABS) Resins</t>
  </si>
  <si>
    <t>Adipic Acid</t>
  </si>
  <si>
    <t>Butyl Elastomers</t>
  </si>
  <si>
    <t>Caprolactam</t>
  </si>
  <si>
    <t>Carbon Fibers</t>
  </si>
  <si>
    <t>Cyclohexanol and Cyclohexanone</t>
  </si>
  <si>
    <t>Detergent Alcohols</t>
  </si>
  <si>
    <t>Dimethyl Terephthalate (DMT) and Terephthalic Acid (TPA)</t>
  </si>
  <si>
    <t>Elastomers, Synthetic Overview</t>
  </si>
  <si>
    <t>Energy</t>
  </si>
  <si>
    <t>Epichlorohydrin</t>
  </si>
  <si>
    <t>Epoxy Resins</t>
  </si>
  <si>
    <t>Epoxy Surface Coatings</t>
  </si>
  <si>
    <t>Ethyl Ether</t>
  </si>
  <si>
    <t>Ethylene Glycols</t>
  </si>
  <si>
    <t>Ethylene Oxide</t>
  </si>
  <si>
    <t>Ethylene-Vinyl Acetate (EVA)</t>
  </si>
  <si>
    <t>Expandable Polystyrene (EPS)</t>
  </si>
  <si>
    <t>Isophthalic Acid and meta-Xylene</t>
  </si>
  <si>
    <t>Isopropyl Alcohol (IPA)</t>
  </si>
  <si>
    <t>Maleic Anhydride</t>
  </si>
  <si>
    <t>Methyl tertiary-Butyl Ether (MTBE)</t>
  </si>
  <si>
    <t>Nitrobenzene and Aniline</t>
  </si>
  <si>
    <t>ortho-Xylene</t>
  </si>
  <si>
    <t>Oxo Chemicals</t>
  </si>
  <si>
    <t>para-Xylene</t>
  </si>
  <si>
    <t>Petrochemical Feedstocks</t>
  </si>
  <si>
    <t>Petrochemical Industry Overview</t>
  </si>
  <si>
    <t>Phenolic Resins</t>
  </si>
  <si>
    <t>Phthalic Anhydride</t>
  </si>
  <si>
    <t>Polybutadiene Elastomers</t>
  </si>
  <si>
    <t>Polycarbonate Resins</t>
  </si>
  <si>
    <t>Polyester Fibers</t>
  </si>
  <si>
    <t>Polyester Film</t>
  </si>
  <si>
    <t>Polyethylene Resins, High-Density (HDPE)</t>
  </si>
  <si>
    <t>Polyethylene Resins, Linear Low-Density (LLDPE)</t>
  </si>
  <si>
    <t>Polyethylene Resins, Low-Density (LDPE)</t>
  </si>
  <si>
    <t>Polyethylene Terephthalate (PET) Bottle-Grade Resins</t>
  </si>
  <si>
    <t>Polypropylene Resins (PP)</t>
  </si>
  <si>
    <t>Polystyrene (PS)</t>
  </si>
  <si>
    <t>Polytetramethylene Ether Glycol (PTMEG)</t>
  </si>
  <si>
    <t>Polyvinyl Chloride (PVC)</t>
  </si>
  <si>
    <t>Styrene-Butadiene Latexes (SBL)</t>
  </si>
  <si>
    <t>Styrenic Copolymers</t>
  </si>
  <si>
    <t>Thermoplastic Copolyester Elastomers (formerly Copolyester-Ether Elastomers)</t>
  </si>
  <si>
    <t>Vinyl Acetate</t>
  </si>
  <si>
    <t>Vinyl Chloride Monomer (VCM)</t>
  </si>
  <si>
    <t>Publication Year2</t>
  </si>
  <si>
    <r>
      <t>Alkyl Acetates (C</t>
    </r>
    <r>
      <rPr>
        <vertAlign val="subscript"/>
        <sz val="11"/>
        <color rgb="FF000000"/>
        <rFont val="맑은 고딕"/>
        <family val="3"/>
        <charset val="129"/>
        <scheme val="major"/>
      </rPr>
      <t>1</t>
    </r>
    <r>
      <rPr>
        <sz val="11"/>
        <color rgb="FF000000"/>
        <rFont val="맑은 고딕"/>
        <family val="3"/>
        <charset val="129"/>
        <scheme val="major"/>
      </rPr>
      <t>-C</t>
    </r>
    <r>
      <rPr>
        <vertAlign val="subscript"/>
        <sz val="11"/>
        <color rgb="FF000000"/>
        <rFont val="맑은 고딕"/>
        <family val="3"/>
        <charset val="129"/>
        <scheme val="major"/>
      </rPr>
      <t>4</t>
    </r>
    <r>
      <rPr>
        <sz val="11"/>
        <color rgb="FF000000"/>
        <rFont val="맑은 고딕"/>
        <family val="3"/>
        <charset val="129"/>
        <scheme val="major"/>
      </rPr>
      <t>)</t>
    </r>
  </si>
  <si>
    <r>
      <t>Alkylamines (C</t>
    </r>
    <r>
      <rPr>
        <vertAlign val="subscript"/>
        <sz val="11"/>
        <color rgb="FF000000"/>
        <rFont val="맑은 고딕"/>
        <family val="3"/>
        <charset val="129"/>
        <scheme val="major"/>
      </rPr>
      <t>1</t>
    </r>
    <r>
      <rPr>
        <sz val="11"/>
        <color rgb="FF000000"/>
        <rFont val="맑은 고딕"/>
        <family val="3"/>
        <charset val="129"/>
        <scheme val="major"/>
      </rPr>
      <t>-C</t>
    </r>
    <r>
      <rPr>
        <vertAlign val="subscript"/>
        <sz val="11"/>
        <color rgb="FF000000"/>
        <rFont val="맑은 고딕"/>
        <family val="3"/>
        <charset val="129"/>
        <scheme val="major"/>
      </rPr>
      <t>6</t>
    </r>
    <r>
      <rPr>
        <sz val="11"/>
        <color rgb="FF000000"/>
        <rFont val="맑은 고딕"/>
        <family val="3"/>
        <charset val="129"/>
        <scheme val="major"/>
      </rPr>
      <t>)</t>
    </r>
  </si>
  <si>
    <t>CEH Report name</t>
    <phoneticPr fontId="5" type="noConversion"/>
  </si>
  <si>
    <t>Downstream 대상</t>
    <phoneticPr fontId="8" type="noConversion"/>
  </si>
  <si>
    <t>LAB</t>
  </si>
  <si>
    <t>Cyclohexanone</t>
  </si>
  <si>
    <t>EVA</t>
  </si>
  <si>
    <t>m-Xylene</t>
  </si>
  <si>
    <t>IPA</t>
  </si>
  <si>
    <t>MA</t>
  </si>
  <si>
    <t>o-Xylene</t>
  </si>
  <si>
    <t>PU</t>
  </si>
  <si>
    <t>Δ</t>
  </si>
  <si>
    <t>ceh_ceh</t>
    <phoneticPr fontId="5" type="noConversion"/>
  </si>
  <si>
    <t>CCMA Report Name</t>
    <phoneticPr fontId="5" type="noConversion"/>
  </si>
  <si>
    <t>HDPE</t>
    <phoneticPr fontId="5" type="noConversion"/>
  </si>
  <si>
    <t>Superabsorbent Polymers</t>
    <phoneticPr fontId="5" type="noConversion"/>
  </si>
  <si>
    <t>O</t>
    <phoneticPr fontId="5" type="noConversion"/>
  </si>
  <si>
    <t>has_supplier</t>
    <phoneticPr fontId="5" type="noConversion"/>
  </si>
  <si>
    <t>is_ulsan</t>
    <phoneticPr fontId="5" type="noConversion"/>
  </si>
  <si>
    <t>Styrene-Butadiene Elastomers (SBR)</t>
    <phoneticPr fontId="5" type="noConversion"/>
  </si>
  <si>
    <t>Dimethyl Terephthalate (DMT) and Terephthalic Acid (TPA)</t>
    <phoneticPr fontId="5" type="noConversion"/>
  </si>
  <si>
    <t>Polyurethane Foams</t>
    <phoneticPr fontId="5" type="noConversion"/>
  </si>
  <si>
    <t>Alkylbenzenes, Linear and Branched</t>
    <phoneticPr fontId="5" type="noConversion"/>
  </si>
  <si>
    <t>Ethylene dichloride</t>
    <phoneticPr fontId="5" type="noConversion"/>
  </si>
  <si>
    <t>Alkylamines (C1-C6)</t>
  </si>
  <si>
    <t>C2 derivative로 보기어려움</t>
    <phoneticPr fontId="5" type="noConversion"/>
  </si>
  <si>
    <t>Ethyl acetate</t>
    <phoneticPr fontId="5" type="noConversion"/>
  </si>
  <si>
    <t>S029</t>
    <phoneticPr fontId="5" type="noConversion"/>
  </si>
  <si>
    <t>S&amp;P CEH</t>
    <phoneticPr fontId="5" type="noConversion"/>
  </si>
  <si>
    <t>Acetaldehyde</t>
    <phoneticPr fontId="5" type="noConversion"/>
  </si>
  <si>
    <t>Ethylene Propylene Diene Monomer, Ethylene Propylene Terpolymer(EPT)</t>
    <phoneticPr fontId="5" type="noConversion"/>
  </si>
  <si>
    <t>M102</t>
    <phoneticPr fontId="5" type="noConversion"/>
  </si>
  <si>
    <t>M103</t>
    <phoneticPr fontId="5" type="noConversion"/>
  </si>
  <si>
    <t>M104</t>
    <phoneticPr fontId="5" type="noConversion"/>
  </si>
  <si>
    <t>C5</t>
    <phoneticPr fontId="5" type="noConversion"/>
  </si>
  <si>
    <t>Hydrocarbon Resin</t>
  </si>
  <si>
    <t>Diene Monomer</t>
  </si>
  <si>
    <t>Cyclic Olefin Polymer</t>
  </si>
  <si>
    <t>Isoprene</t>
    <phoneticPr fontId="5" type="noConversion"/>
  </si>
  <si>
    <t>Piperylene</t>
    <phoneticPr fontId="5" type="noConversion"/>
  </si>
  <si>
    <t>Diolefin</t>
    <phoneticPr fontId="5" type="noConversion"/>
  </si>
  <si>
    <t>Cyclic Diolefin</t>
    <phoneticPr fontId="5" type="noConversion"/>
  </si>
  <si>
    <t>DCPD</t>
    <phoneticPr fontId="5" type="noConversion"/>
  </si>
  <si>
    <t>Dicyclopentadiene</t>
    <phoneticPr fontId="5" type="noConversion"/>
  </si>
  <si>
    <t>IR</t>
    <phoneticPr fontId="5" type="noConversion"/>
  </si>
  <si>
    <t>Polymer</t>
    <phoneticPr fontId="5" type="noConversion"/>
  </si>
  <si>
    <t>Synthetic Rubber</t>
    <phoneticPr fontId="5" type="noConversion"/>
  </si>
  <si>
    <t>SIS</t>
    <phoneticPr fontId="5" type="noConversion"/>
  </si>
  <si>
    <t>Isoprene Rubber</t>
    <phoneticPr fontId="5" type="noConversion"/>
  </si>
  <si>
    <t>Styrene-Isoprene-Styrene</t>
    <phoneticPr fontId="5" type="noConversion"/>
  </si>
  <si>
    <t>IIR(Isobutylene Isoprene Rubber)</t>
    <phoneticPr fontId="5" type="noConversion"/>
  </si>
  <si>
    <t>M105</t>
    <phoneticPr fontId="5" type="noConversion"/>
  </si>
  <si>
    <t>M106</t>
    <phoneticPr fontId="5" type="noConversion"/>
  </si>
  <si>
    <t>MTBE</t>
    <phoneticPr fontId="5" type="noConversion"/>
  </si>
  <si>
    <t>Ethylbenzene</t>
    <phoneticPr fontId="5" type="noConversion"/>
  </si>
  <si>
    <t>Styrene</t>
    <phoneticPr fontId="5" type="noConversion"/>
  </si>
  <si>
    <t>Phenol</t>
    <phoneticPr fontId="5" type="noConversion"/>
  </si>
  <si>
    <t>Acetone</t>
    <phoneticPr fontId="5" type="noConversion"/>
  </si>
  <si>
    <t>Epoxy resin</t>
    <phoneticPr fontId="5" type="noConversion"/>
  </si>
  <si>
    <t>Cyclohexane</t>
    <phoneticPr fontId="5" type="noConversion"/>
  </si>
  <si>
    <t>S041</t>
    <phoneticPr fontId="5" type="noConversion"/>
  </si>
  <si>
    <t>S047</t>
    <phoneticPr fontId="5" type="noConversion"/>
  </si>
  <si>
    <t>S005</t>
    <phoneticPr fontId="5" type="noConversion"/>
  </si>
  <si>
    <t>M023</t>
    <phoneticPr fontId="5" type="noConversion"/>
  </si>
  <si>
    <t>Acrylate, SAP과 영역 겹침</t>
    <phoneticPr fontId="5" type="noConversion"/>
  </si>
  <si>
    <t>Acrylate ester</t>
    <phoneticPr fontId="5" type="noConversion"/>
  </si>
  <si>
    <t>Acrylic acid and esters</t>
    <phoneticPr fontId="5" type="noConversion"/>
  </si>
  <si>
    <t>Acrylic Acid</t>
    <phoneticPr fontId="5" type="noConversion"/>
  </si>
  <si>
    <t>Acrylic acid</t>
    <phoneticPr fontId="5" type="noConversion"/>
  </si>
  <si>
    <t>Acrylate Ester</t>
    <phoneticPr fontId="5" type="noConversion"/>
  </si>
  <si>
    <t>Oxo chemical</t>
    <phoneticPr fontId="5" type="noConversion"/>
  </si>
  <si>
    <t>n-Butyraldehyde</t>
    <phoneticPr fontId="5" type="noConversion"/>
  </si>
  <si>
    <t>M107</t>
    <phoneticPr fontId="5" type="noConversion"/>
  </si>
  <si>
    <t>i-Butyraldehyde</t>
    <phoneticPr fontId="5" type="noConversion"/>
  </si>
  <si>
    <t>R094</t>
    <phoneticPr fontId="5" type="noConversion"/>
  </si>
  <si>
    <t>i-Butyraldehyde to Isobutanol</t>
    <phoneticPr fontId="5" type="noConversion"/>
  </si>
  <si>
    <t>Propylene to n-Butyraldehyde</t>
    <phoneticPr fontId="5" type="noConversion"/>
  </si>
  <si>
    <t>Hydroformylation</t>
    <phoneticPr fontId="5" type="noConversion"/>
  </si>
  <si>
    <t>Propylene to i-Butyraldehyde</t>
    <phoneticPr fontId="5" type="noConversion"/>
  </si>
  <si>
    <t>R095</t>
    <phoneticPr fontId="5" type="noConversion"/>
  </si>
  <si>
    <t>M035</t>
    <phoneticPr fontId="5" type="noConversion"/>
  </si>
  <si>
    <t>2-EH(Octanol)</t>
    <phoneticPr fontId="5" type="noConversion"/>
  </si>
  <si>
    <t>나주</t>
    <phoneticPr fontId="5" type="noConversion"/>
  </si>
  <si>
    <t>Isopropanol (propan-2-ol)</t>
    <phoneticPr fontId="5" type="noConversion"/>
  </si>
  <si>
    <t>S011</t>
    <phoneticPr fontId="5" type="noConversion"/>
  </si>
  <si>
    <t>S008</t>
    <phoneticPr fontId="5" type="noConversion"/>
  </si>
  <si>
    <t>S017</t>
    <phoneticPr fontId="5" type="noConversion"/>
  </si>
  <si>
    <t>M090</t>
    <phoneticPr fontId="5" type="noConversion"/>
  </si>
  <si>
    <t>Isoprene to IR</t>
    <phoneticPr fontId="5" type="noConversion"/>
  </si>
  <si>
    <t>R096</t>
    <phoneticPr fontId="5" type="noConversion"/>
  </si>
  <si>
    <t>Isoprene to SIS</t>
    <phoneticPr fontId="5" type="noConversion"/>
  </si>
  <si>
    <t>DCPD Resin</t>
    <phoneticPr fontId="5" type="noConversion"/>
  </si>
  <si>
    <t>UPR</t>
    <phoneticPr fontId="5" type="noConversion"/>
  </si>
  <si>
    <t>ENB</t>
    <phoneticPr fontId="5" type="noConversion"/>
  </si>
  <si>
    <t>PolyDCPD</t>
    <phoneticPr fontId="5" type="noConversion"/>
  </si>
  <si>
    <t>COP</t>
    <phoneticPr fontId="5" type="noConversion"/>
  </si>
  <si>
    <t>Cyclo Olefin Polymer (Nobornene)</t>
    <phoneticPr fontId="5" type="noConversion"/>
  </si>
  <si>
    <t>M108</t>
  </si>
  <si>
    <t>M109</t>
  </si>
  <si>
    <t>M110</t>
  </si>
  <si>
    <t>M111</t>
  </si>
  <si>
    <t>M112</t>
  </si>
  <si>
    <t>Unsaturated Polyester Resin</t>
    <phoneticPr fontId="5" type="noConversion"/>
  </si>
  <si>
    <t>Ethylidene Norbornene</t>
    <phoneticPr fontId="5" type="noConversion"/>
  </si>
  <si>
    <t>M113</t>
    <phoneticPr fontId="5" type="noConversion"/>
  </si>
  <si>
    <t>R097</t>
    <phoneticPr fontId="5" type="noConversion"/>
  </si>
  <si>
    <t>R098</t>
    <phoneticPr fontId="5" type="noConversion"/>
  </si>
  <si>
    <t>R099</t>
    <phoneticPr fontId="5" type="noConversion"/>
  </si>
  <si>
    <t>R100</t>
    <phoneticPr fontId="5" type="noConversion"/>
  </si>
  <si>
    <t>R101</t>
    <phoneticPr fontId="5" type="noConversion"/>
  </si>
  <si>
    <t>DCPD to DCPD resin</t>
    <phoneticPr fontId="5" type="noConversion"/>
  </si>
  <si>
    <t>DCPD to UPR</t>
    <phoneticPr fontId="5" type="noConversion"/>
  </si>
  <si>
    <t>Polycondensation</t>
    <phoneticPr fontId="5" type="noConversion"/>
  </si>
  <si>
    <t>DCPD+MA+glycol</t>
    <phoneticPr fontId="5" type="noConversion"/>
  </si>
  <si>
    <t>DCPD to ENB</t>
    <phoneticPr fontId="5" type="noConversion"/>
  </si>
  <si>
    <t>Synthesis (Diels-Alder)</t>
    <phoneticPr fontId="5" type="noConversion"/>
  </si>
  <si>
    <t>DCPD to PolyDCPD</t>
    <phoneticPr fontId="5" type="noConversion"/>
  </si>
  <si>
    <t>typically via RIM</t>
    <phoneticPr fontId="5" type="noConversion"/>
  </si>
  <si>
    <t>DCPD to COP</t>
    <phoneticPr fontId="5" type="noConversion"/>
  </si>
  <si>
    <t>M110</t>
    <phoneticPr fontId="5" type="noConversion"/>
  </si>
  <si>
    <t>C5 Resin</t>
    <phoneticPr fontId="5" type="noConversion"/>
  </si>
  <si>
    <t>Functional Material</t>
    <phoneticPr fontId="5" type="noConversion"/>
  </si>
  <si>
    <t>Hydrocarbon Resin</t>
    <phoneticPr fontId="5" type="noConversion"/>
  </si>
  <si>
    <t>R102</t>
    <phoneticPr fontId="5" type="noConversion"/>
  </si>
  <si>
    <t>Piperylene to C5 resin</t>
    <phoneticPr fontId="5" type="noConversion"/>
  </si>
  <si>
    <t>AA derivative이며 Acrylate ester 중 하나</t>
    <phoneticPr fontId="5" type="noConversion"/>
  </si>
  <si>
    <t>Ethyl acrylate</t>
    <phoneticPr fontId="5" type="noConversion"/>
  </si>
  <si>
    <t>Acrylic acid to Acrylate ester</t>
    <phoneticPr fontId="5" type="noConversion"/>
  </si>
  <si>
    <t>simplified, (BA/EA/2-EHA/MA 등)</t>
    <phoneticPr fontId="5" type="noConversion"/>
  </si>
  <si>
    <t>M058</t>
    <phoneticPr fontId="5" type="noConversion"/>
  </si>
  <si>
    <t>Cumene</t>
    <phoneticPr fontId="5" type="noConversion"/>
  </si>
  <si>
    <t>n-Butyraldehyde</t>
  </si>
  <si>
    <t>2-Ethylhexanol</t>
  </si>
  <si>
    <t>n-Butyl acetate</t>
    <phoneticPr fontId="5" type="noConversion"/>
  </si>
  <si>
    <t>Isobutanol</t>
    <phoneticPr fontId="5" type="noConversion"/>
  </si>
  <si>
    <t>Isobutyl acetate</t>
    <phoneticPr fontId="5" type="noConversion"/>
  </si>
  <si>
    <t>Butylenes</t>
    <phoneticPr fontId="5" type="noConversion"/>
  </si>
  <si>
    <t>Isobutylene</t>
    <phoneticPr fontId="5" type="noConversion"/>
  </si>
  <si>
    <t>Butyl rubber</t>
    <phoneticPr fontId="5" type="noConversion"/>
  </si>
  <si>
    <t>n-Butenes</t>
    <phoneticPr fontId="5" type="noConversion"/>
  </si>
  <si>
    <t>1-Butene</t>
    <phoneticPr fontId="5" type="noConversion"/>
  </si>
  <si>
    <t>2-Butene</t>
    <phoneticPr fontId="5" type="noConversion"/>
  </si>
  <si>
    <t>1-Butene 영역과 겹침</t>
    <phoneticPr fontId="5" type="noConversion"/>
  </si>
  <si>
    <t>S042</t>
    <phoneticPr fontId="5" type="noConversion"/>
  </si>
  <si>
    <t>MEA</t>
    <phoneticPr fontId="5" type="noConversion"/>
  </si>
  <si>
    <t>DEA</t>
    <phoneticPr fontId="5" type="noConversion"/>
  </si>
  <si>
    <t>TEA</t>
    <phoneticPr fontId="5" type="noConversion"/>
  </si>
  <si>
    <t>PVOH</t>
    <phoneticPr fontId="5" type="noConversion"/>
  </si>
  <si>
    <t>VAM to PVOH</t>
    <phoneticPr fontId="5" type="noConversion"/>
  </si>
  <si>
    <t>Polyvinyl Alcohol</t>
    <phoneticPr fontId="5" type="noConversion"/>
  </si>
  <si>
    <t>SAN</t>
    <phoneticPr fontId="5" type="noConversion"/>
  </si>
  <si>
    <t>Styrene-Acrylonitrile</t>
  </si>
  <si>
    <t>NBR</t>
    <phoneticPr fontId="5" type="noConversion"/>
  </si>
  <si>
    <t>Nitrile Elastomers</t>
    <phoneticPr fontId="5" type="noConversion"/>
  </si>
  <si>
    <t>Propylene Glycols</t>
    <phoneticPr fontId="5" type="noConversion"/>
  </si>
  <si>
    <t>Polyester Polyols</t>
    <phoneticPr fontId="5" type="noConversion"/>
  </si>
  <si>
    <t>Polyols</t>
    <phoneticPr fontId="5" type="noConversion"/>
  </si>
  <si>
    <t>Polyether Polyols</t>
    <phoneticPr fontId="5" type="noConversion"/>
  </si>
  <si>
    <t>S056</t>
    <phoneticPr fontId="5" type="noConversion"/>
  </si>
  <si>
    <t>롯데정밀화학</t>
    <phoneticPr fontId="5" type="noConversion"/>
  </si>
  <si>
    <t>Diisocyanates and Polyisocyanates</t>
    <phoneticPr fontId="5" type="noConversion"/>
  </si>
  <si>
    <t>Polyester Resins, Unsaturated</t>
    <phoneticPr fontId="5" type="noConversion"/>
  </si>
  <si>
    <t>Cyclopentadiene, Dicyclopentadiene</t>
    <phoneticPr fontId="5" type="noConversion"/>
  </si>
  <si>
    <t>Ethylene-Propylene_Elastomers</t>
  </si>
  <si>
    <t>Fuel or fuel additive</t>
  </si>
  <si>
    <t>Fuel / fuel additive</t>
    <phoneticPr fontId="5" type="noConversion"/>
  </si>
  <si>
    <t>A43</t>
  </si>
  <si>
    <t>Composite and performance resins</t>
  </si>
  <si>
    <t>Composite &amp; performance resins</t>
    <phoneticPr fontId="5" type="noConversion"/>
  </si>
  <si>
    <t>A42</t>
  </si>
  <si>
    <t>Optical and display materials</t>
  </si>
  <si>
    <t>Display &amp; optical materials</t>
    <phoneticPr fontId="5" type="noConversion"/>
  </si>
  <si>
    <t>A41</t>
  </si>
  <si>
    <t>Semiconductor and electronic materials</t>
  </si>
  <si>
    <t>Electronic chemicals &amp; materials</t>
    <phoneticPr fontId="5" type="noConversion"/>
  </si>
  <si>
    <t>A40</t>
  </si>
  <si>
    <t>Flame retardancy</t>
  </si>
  <si>
    <t>Flame retardancy &amp; fire protection</t>
    <phoneticPr fontId="5" type="noConversion"/>
  </si>
  <si>
    <t>A39</t>
  </si>
  <si>
    <t>Polymer modifiers and additives</t>
  </si>
  <si>
    <t>Polymer modification &amp; additives</t>
    <phoneticPr fontId="5" type="noConversion"/>
  </si>
  <si>
    <t>A38</t>
  </si>
  <si>
    <t>Cement and concrete chemistry</t>
  </si>
  <si>
    <t>Cement &amp; concrete additives</t>
    <phoneticPr fontId="5" type="noConversion"/>
  </si>
  <si>
    <t>A37</t>
  </si>
  <si>
    <t>Food additive and preservation</t>
  </si>
  <si>
    <t>Food additives &amp; preservation</t>
    <phoneticPr fontId="5" type="noConversion"/>
  </si>
  <si>
    <t>A36</t>
  </si>
  <si>
    <t>Agrochemical chain</t>
  </si>
  <si>
    <t>Crop protection &amp; agrochemical intermediates</t>
    <phoneticPr fontId="5" type="noConversion"/>
  </si>
  <si>
    <t>A35</t>
  </si>
  <si>
    <t>Agricultural productivity applications</t>
  </si>
  <si>
    <t>Agricultural productivity materials</t>
    <phoneticPr fontId="5" type="noConversion"/>
  </si>
  <si>
    <t>A34</t>
  </si>
  <si>
    <t>Medical applications</t>
  </si>
  <si>
    <t>Medical &amp; healthcare materials</t>
    <phoneticPr fontId="5" type="noConversion"/>
  </si>
  <si>
    <t>A33</t>
  </si>
  <si>
    <t>Hygiene and absorbent materials</t>
  </si>
  <si>
    <t>Hygiene &amp; absorbency</t>
    <phoneticPr fontId="5" type="noConversion"/>
  </si>
  <si>
    <t>A32</t>
  </si>
  <si>
    <t>Cosmetic and personal care formulation</t>
  </si>
  <si>
    <t>Personal care formulation</t>
    <phoneticPr fontId="5" type="noConversion"/>
  </si>
  <si>
    <t>A31</t>
  </si>
  <si>
    <t>Surface activity and emulsification</t>
  </si>
  <si>
    <t>Surfactant &amp; emulsification</t>
    <phoneticPr fontId="5" type="noConversion"/>
  </si>
  <si>
    <t>A30</t>
  </si>
  <si>
    <t>Corrosion and metalworking</t>
  </si>
  <si>
    <t>Corrosion inhibition &amp; metalworking</t>
    <phoneticPr fontId="5" type="noConversion"/>
  </si>
  <si>
    <t>A29</t>
  </si>
  <si>
    <t>Lubricants and additives</t>
  </si>
  <si>
    <t>Lubrication &amp; friction control</t>
    <phoneticPr fontId="5" type="noConversion"/>
  </si>
  <si>
    <t>A28</t>
  </si>
  <si>
    <t>Water treatment and dispersants</t>
  </si>
  <si>
    <t>Water treatment &amp; dispersants</t>
    <phoneticPr fontId="5" type="noConversion"/>
  </si>
  <si>
    <t>A27</t>
  </si>
  <si>
    <t>Gas purification and treating</t>
  </si>
  <si>
    <t>Gas treatment &amp; purification</t>
    <phoneticPr fontId="5" type="noConversion"/>
  </si>
  <si>
    <t>A26</t>
  </si>
  <si>
    <t>Industrial cleaning and degreasing</t>
  </si>
  <si>
    <t>Industrial cleaning &amp; degreasing</t>
    <phoneticPr fontId="5" type="noConversion"/>
  </si>
  <si>
    <t>A25</t>
  </si>
  <si>
    <t>Solvents and extraction</t>
  </si>
  <si>
    <t>Solvent &amp; extraction</t>
    <phoneticPr fontId="5" type="noConversion"/>
  </si>
  <si>
    <t>A24</t>
  </si>
  <si>
    <t>Printing and graphic materials</t>
  </si>
  <si>
    <t>Printing inks &amp; graphic materials</t>
    <phoneticPr fontId="5" type="noConversion"/>
  </si>
  <si>
    <t>A23</t>
  </si>
  <si>
    <t>Paints and coatings</t>
  </si>
  <si>
    <t>Surface coating</t>
    <phoneticPr fontId="5" type="noConversion"/>
  </si>
  <si>
    <t>A22</t>
  </si>
  <si>
    <t>Sealing and joint protection</t>
  </si>
  <si>
    <t>Sealants &amp; joint protection</t>
    <phoneticPr fontId="5" type="noConversion"/>
  </si>
  <si>
    <t>A21</t>
  </si>
  <si>
    <t>Adhesives and bonding</t>
  </si>
  <si>
    <t>Adhesive bonding</t>
    <phoneticPr fontId="5" type="noConversion"/>
  </si>
  <si>
    <t>A20</t>
  </si>
  <si>
    <t>Tire and rubber goods</t>
  </si>
  <si>
    <t>Tire &amp; rubber applications</t>
    <phoneticPr fontId="5" type="noConversion"/>
  </si>
  <si>
    <t>A19</t>
  </si>
  <si>
    <t>Rubber and elastomer performance</t>
  </si>
  <si>
    <t>Elastomeric performance materials</t>
    <phoneticPr fontId="5" type="noConversion"/>
  </si>
  <si>
    <t>A18</t>
  </si>
  <si>
    <t>Foam and comfort applications</t>
  </si>
  <si>
    <t>Cushioning &amp; comfort materials</t>
    <phoneticPr fontId="5" type="noConversion"/>
  </si>
  <si>
    <t>A17</t>
  </si>
  <si>
    <t>Automotive structural or lightweight materials</t>
  </si>
  <si>
    <t>Automotive components &amp; lightweighting</t>
    <phoneticPr fontId="5" type="noConversion"/>
  </si>
  <si>
    <t>A16</t>
  </si>
  <si>
    <t>Battery and thermal management</t>
  </si>
  <si>
    <t>Battery &amp; thermal-management materials</t>
    <phoneticPr fontId="5" type="noConversion"/>
  </si>
  <si>
    <t>A15</t>
  </si>
  <si>
    <t>Solar, wind, renewable energy materials</t>
  </si>
  <si>
    <t>Renewable energy materials</t>
    <phoneticPr fontId="5" type="noConversion"/>
  </si>
  <si>
    <t>A14</t>
  </si>
  <si>
    <t>Electrical insulation and cable materials</t>
  </si>
  <si>
    <t>Electrical insulation</t>
    <phoneticPr fontId="5" type="noConversion"/>
  </si>
  <si>
    <t>A13</t>
  </si>
  <si>
    <t>Heat insulation materials</t>
  </si>
  <si>
    <t>Thermal insulation</t>
    <phoneticPr fontId="5" type="noConversion"/>
  </si>
  <si>
    <t>A12</t>
  </si>
  <si>
    <t>Flooring and interior surfaces</t>
  </si>
  <si>
    <t>Flooring &amp; interior materials</t>
    <phoneticPr fontId="5" type="noConversion"/>
  </si>
  <si>
    <t>A11</t>
  </si>
  <si>
    <t>Building profiles and construction materials</t>
  </si>
  <si>
    <t>Building materials &amp; profiles</t>
    <phoneticPr fontId="5" type="noConversion"/>
  </si>
  <si>
    <t>A10</t>
  </si>
  <si>
    <t>Pipe, tubing, fluid transfer</t>
  </si>
  <si>
    <t>Pipe &amp; fluid conveyance</t>
    <phoneticPr fontId="5" type="noConversion"/>
  </si>
  <si>
    <t>A09</t>
  </si>
  <si>
    <t>Cushioning and protective packaging</t>
  </si>
  <si>
    <t>Protective packaging</t>
    <phoneticPr fontId="5" type="noConversion"/>
  </si>
  <si>
    <t>A08</t>
  </si>
  <si>
    <t>Moisture/oxygen/aroma barrier</t>
  </si>
  <si>
    <t>Barrier packaging</t>
    <phoneticPr fontId="5" type="noConversion"/>
  </si>
  <si>
    <t>A07</t>
  </si>
  <si>
    <t>Bottle, container, rigid packaging</t>
  </si>
  <si>
    <t>Rigid packaging</t>
    <phoneticPr fontId="5" type="noConversion"/>
  </si>
  <si>
    <t>A06</t>
  </si>
  <si>
    <t>Flexible film or pouch packaging</t>
  </si>
  <si>
    <t>Flexible packaging</t>
    <phoneticPr fontId="5" type="noConversion"/>
  </si>
  <si>
    <t>A05</t>
  </si>
  <si>
    <t>Resin used for molding or shaping</t>
  </si>
  <si>
    <t>Polymer resin / molding material</t>
    <phoneticPr fontId="5" type="noConversion"/>
  </si>
  <si>
    <t>A04</t>
  </si>
  <si>
    <t>Reactive polymer or resin feedstock</t>
  </si>
  <si>
    <t>Reactive monomer / comonomer</t>
    <phoneticPr fontId="5" type="noConversion"/>
  </si>
  <si>
    <t>A03</t>
  </si>
  <si>
    <t>Intermediate feeding multiple specialty chains</t>
  </si>
  <si>
    <t>Specialty chemical intermediate</t>
    <phoneticPr fontId="5" type="noConversion"/>
  </si>
  <si>
    <t>A02</t>
    <phoneticPr fontId="5" type="noConversion"/>
  </si>
  <si>
    <t>Dominant intermediate to major downstream chain</t>
  </si>
  <si>
    <t>Major chemical intermediate</t>
    <phoneticPr fontId="5" type="noConversion"/>
  </si>
  <si>
    <t>A01</t>
    <phoneticPr fontId="5" type="noConversion"/>
  </si>
  <si>
    <t>Definition</t>
    <phoneticPr fontId="5" type="noConversion"/>
  </si>
  <si>
    <t>application_taxonomy</t>
    <phoneticPr fontId="5" type="noConversion"/>
  </si>
  <si>
    <t>app_id</t>
    <phoneticPr fontId="5" type="noConversion"/>
  </si>
  <si>
    <t>Semiconductor chemicals, electronic materials, display films</t>
  </si>
  <si>
    <t>Electronics, Semiconductors &amp; Digital Infrastructure</t>
  </si>
  <si>
    <t>E08</t>
  </si>
  <si>
    <t>Coatings, solvents, lubricants, industrial chemicals</t>
  </si>
  <si>
    <t>Industrial Goods &amp; Advanced Manufacturing</t>
  </si>
  <si>
    <t>E07</t>
  </si>
  <si>
    <t>Agricultural film, irrigation, crop protection</t>
  </si>
  <si>
    <t>Agriculture</t>
  </si>
  <si>
    <t>E06</t>
  </si>
  <si>
    <t>Medical tubing, blood bags, healthcare materials</t>
  </si>
  <si>
    <t>Healthcare &amp; Life Sciences</t>
  </si>
  <si>
    <t>E05</t>
  </si>
  <si>
    <t>Wire &amp; cable, electrical insulation, solar, refinery, gas treatment</t>
  </si>
  <si>
    <t>Energy, Power &amp; Utilities</t>
  </si>
  <si>
    <t>E04</t>
  </si>
  <si>
    <t>Automotive plastics, elastomers, lightweighting, thermal materials</t>
  </si>
  <si>
    <t>Automotive &amp; Future Mobility</t>
  </si>
  <si>
    <t>E03</t>
  </si>
  <si>
    <t>Packaging, hygiene, personal care, household products</t>
  </si>
  <si>
    <t>Consumer Products &amp; Packaging</t>
  </si>
  <si>
    <t>E02</t>
    <phoneticPr fontId="5" type="noConversion"/>
  </si>
  <si>
    <t>PVC pipe, flooring, insulation, coatings, construction chemicals</t>
  </si>
  <si>
    <t>Construction &amp; Infrastructure</t>
  </si>
  <si>
    <t>E01</t>
    <phoneticPr fontId="5" type="noConversion"/>
  </si>
  <si>
    <t>Chemical Related Demand</t>
  </si>
  <si>
    <t>end_use_id</t>
    <phoneticPr fontId="5" type="noConversion"/>
  </si>
  <si>
    <t>Existing</t>
  </si>
  <si>
    <t>비보강 UPR의 건축·인테리어 재료 application.</t>
  </si>
  <si>
    <t>Secondary</t>
  </si>
  <si>
    <t>Building materials &amp; profiles</t>
  </si>
  <si>
    <t>Cultured marble / solid-surface countertops / polymer concrete</t>
  </si>
  <si>
    <t>UPR</t>
  </si>
  <si>
    <t>gel coat, wood coating, top coat 등 coating 계열 수요.</t>
  </si>
  <si>
    <t>Surface coating</t>
  </si>
  <si>
    <t>Gel coats, coatings and top coats</t>
  </si>
  <si>
    <t>금속 대체 경량 부품, SMC/BMC 자동차·트럭 부품에 사용.</t>
  </si>
  <si>
    <t>Automotive components &amp; lightweighting</t>
  </si>
  <si>
    <t>Land transportation components</t>
  </si>
  <si>
    <t>UPR의 대표 용도이며 건설, 욕실부품, 패널, 탱크·파이프에 대량 사용.</t>
  </si>
  <si>
    <t>Primary</t>
  </si>
  <si>
    <t>Composite &amp; performance resins</t>
  </si>
  <si>
    <t>Fiberglass-reinforced plastics / FRP</t>
  </si>
  <si>
    <t>2024년 미국 소비의 약 1%로 소량 specialty solvent 경로</t>
  </si>
  <si>
    <t>Niche / Emerging</t>
  </si>
  <si>
    <t>Solvent &amp; extraction</t>
  </si>
  <si>
    <t>Methyl isoamyl ketone</t>
  </si>
  <si>
    <t>i-butyraldehyde</t>
    <phoneticPr fontId="5" type="noConversion"/>
  </si>
  <si>
    <t>직접 생산 기준 2024년 미국 소비의 6%이며 coatings solvent 체인에 연결</t>
  </si>
  <si>
    <t>2024년 미국 소비의 12%로 TMCD, TXIB 등 specialty derivative로 사용</t>
  </si>
  <si>
    <t>Specialty chemical intermediate</t>
  </si>
  <si>
    <t>Isobutyric acid</t>
  </si>
  <si>
    <t>NPG 전환이 2024년 미국 소비의 20%로 coatings resin 및 UPR 체인에 연결</t>
  </si>
  <si>
    <t>Neopentyl glycol</t>
  </si>
  <si>
    <t>isobutanol 전환이 2024년 미국 소비의 21%로 주요 경로</t>
  </si>
  <si>
    <t>Major chemical intermediate</t>
  </si>
  <si>
    <t>Isobutanol</t>
  </si>
  <si>
    <t>2024년 미국 isobutyraldehyde 소비의 39%로 최대 경로이며 TMPD, Texanol, TXIB, IBIB 등을 포함</t>
  </si>
  <si>
    <t>Condensation/esterification products</t>
  </si>
  <si>
    <t>GPT</t>
    <phoneticPr fontId="5" type="noConversion"/>
  </si>
  <si>
    <t>플라스틱 개질용으로 사용되나 adhesive 수요 대비 부차적임.</t>
  </si>
  <si>
    <t>Polymer resin / molding material</t>
  </si>
  <si>
    <t>Plastic modification</t>
  </si>
  <si>
    <t>elastic film용 styrenic block copolymer로 사용됨.</t>
  </si>
  <si>
    <t>Flexible packaging</t>
  </si>
  <si>
    <t>Elastic films</t>
  </si>
  <si>
    <t>roofing application이 명시되어 있으나 hygiene/tape/label adhesive 대비 보조적 용도.</t>
  </si>
  <si>
    <t>Sealants &amp; joint protection</t>
  </si>
  <si>
    <t>Roofing</t>
  </si>
  <si>
    <t>SIS의 우수한 adhesion, cohesion, sprayability를 활용하는 대표 adhesive application.</t>
  </si>
  <si>
    <t>Adhesive bonding</t>
  </si>
  <si>
    <t>Tape and label adhesives</t>
  </si>
  <si>
    <t>baby diaper, adult incontinence, feminine hygiene 제품용 adhesive가 성장 시장으로 제시됨.</t>
  </si>
  <si>
    <t>Hygiene adhesives</t>
  </si>
  <si>
    <t>의료·위생 인증이 필요한 specialty application이나 타이어 대비 규모는 제한적임.</t>
  </si>
  <si>
    <t>Medical &amp; healthcare materials</t>
  </si>
  <si>
    <t>Condoms</t>
  </si>
  <si>
    <t>Cariflex IR 용도로 adhesives와 tackifiers가 명시됨.</t>
  </si>
  <si>
    <t>Adhesives and tackifiers</t>
  </si>
  <si>
    <t>고순도·비알레르기 특성으로 의료용 장갑 및 medical products에 사용됨.</t>
  </si>
  <si>
    <t>Gloves and medical products</t>
  </si>
  <si>
    <t>IR 최대 용도이며, 미국 기준 2023년 polyisoprene rubber 소비의 59%가 타이어·타이어 제품용으로 언급됨.</t>
  </si>
  <si>
    <t>Tire &amp; rubber applications</t>
  </si>
  <si>
    <t>Tires and tire products</t>
  </si>
  <si>
    <t>고순도 DCPD 기반 specialty polymer route로 제한적이지만 고기능 소재.</t>
  </si>
  <si>
    <t>Display &amp; optical materials</t>
  </si>
  <si>
    <t>COC/COP</t>
  </si>
  <si>
    <t>DCPD</t>
  </si>
  <si>
    <t>특수 molding resin 수요로 전체 DCPD 대비 소규모.</t>
  </si>
  <si>
    <t>Polydicyclopentadiene</t>
  </si>
  <si>
    <t>ENB 및 EPDM termonomer 경로로 자동차 weather stripping, hose 등에 연결.</t>
  </si>
  <si>
    <t>EPDM elastomers / ENB</t>
  </si>
  <si>
    <t>UPR 제조용 주요 반응성 feedstock; marine, bathroom, electrical 시장으로 연결.</t>
  </si>
  <si>
    <t>Unsaturated polyester resins</t>
  </si>
  <si>
    <t>DCPD 최대 수요처이며 hot-melt adhesive, PSA label, diaper adhesive와 연결.</t>
  </si>
  <si>
    <t>Hydrocarbon resins</t>
  </si>
  <si>
    <t>epoxy hardener 원료로 언급되지만 기타 소량 application에 해당.</t>
  </si>
  <si>
    <t>Epoxy hardeners</t>
  </si>
  <si>
    <t>Isoprene</t>
  </si>
  <si>
    <t>geraniol, vitamin A/E, medicinal chemicals 등 specialty intermediate 용도이나 규모는 제한적.</t>
  </si>
  <si>
    <t>Flavors and fragrances / vitamins / medicinal chemicals / agrochemicals</t>
  </si>
  <si>
    <t>윤활유 VI improver 원료로 사용되나 주요 elastomer route 대비 소량.</t>
  </si>
  <si>
    <t>Lubrication &amp; friction control</t>
  </si>
  <si>
    <t>Viscosity index improvers</t>
  </si>
  <si>
    <t>butyl rubber 생산용 comonomer로 사용되며 2023년 글로벌 소비의 약 5% 수준.</t>
  </si>
  <si>
    <t>Butyl elastomers / butyl rubber</t>
  </si>
  <si>
    <t>2023년 소비의 30%로 두 번째 핵심 용도이며, hygiene adhesive, tape, label adhesive 등에 사용됨.</t>
  </si>
  <si>
    <t>Styrene-isoprene-styrene block copolymers / SIS</t>
  </si>
  <si>
    <t>2023년 isoprene 소비의 56%로 최대 용도이며, 타이어·고무제품과 직접 연결됨.</t>
  </si>
  <si>
    <t>Polyisoprene rubber</t>
  </si>
  <si>
    <t>다양한 specialty downstream이나 규모는 제한적</t>
  </si>
  <si>
    <t>Pharmaceuticals, cosmetics, detergent tablets</t>
  </si>
  <si>
    <t>기타 resin chain의 소량 중간체</t>
  </si>
  <si>
    <t>Unsaturated polyester resins / PAE resins</t>
    <phoneticPr fontId="5" type="noConversion"/>
  </si>
  <si>
    <t>산미 및 gelatin set 조절용 소량 식품첨가 용도</t>
  </si>
  <si>
    <t>Consumer Products &amp; Packaging</t>
    <phoneticPr fontId="5" type="noConversion"/>
  </si>
  <si>
    <t>Food additives</t>
  </si>
  <si>
    <t>PVC plasticizer용 ester 원료</t>
  </si>
  <si>
    <t>Plasticizers for PVC</t>
  </si>
  <si>
    <t>PU foam, coatings, adhesives로 연결되는 비-PA 용도</t>
  </si>
  <si>
    <t>Polyols for polyurethanes</t>
  </si>
  <si>
    <t>2024년 adipic acid 수요의 42%, PA66 체인의 핵심 중간체</t>
  </si>
  <si>
    <t>Reactive monomer / comonomer</t>
  </si>
  <si>
    <t>Polyamide 66 production</t>
  </si>
  <si>
    <t>reactive diluent, UV-curable coatings, adhesives, inks용 specialty monomer 경로</t>
  </si>
  <si>
    <t>Glycidyl ethers / glycidyl methacrylate / glycidyl acrylate</t>
  </si>
  <si>
    <t>ECH</t>
  </si>
  <si>
    <t>천연 glycerin 공급 증가로 현재는 제한적·특수 고순도 시장 중심</t>
  </si>
  <si>
    <t>Synthetic glycerin</t>
  </si>
  <si>
    <t>자동차 fuel hose, gasket, seal 등 특수 elastomer 소재로 사용되나 규모는 제한적</t>
  </si>
  <si>
    <t>Elastomeric performance materials</t>
  </si>
  <si>
    <t>Epichlorohydrin elastomers</t>
  </si>
  <si>
    <t>dimethylamine과 반응해 수처리용 coagulant/flocculant polyamine 제조에 사용</t>
  </si>
  <si>
    <t>Water treatment &amp; dispersants</t>
  </si>
  <si>
    <t>Water treatment chemicals / polyamines</t>
  </si>
  <si>
    <t>PAE resin은 종이 wet-strength resin용으로 사용되는 주요 부가 경로</t>
  </si>
  <si>
    <t>Polyamide-epichlorohydrin resins</t>
  </si>
  <si>
    <t>ECH 글로벌 수요의 약 90%를 차지하는 압도적 주력 application</t>
  </si>
  <si>
    <t>Epoxy resins</t>
  </si>
  <si>
    <t>스포츠 트랙·인조잔디 충진 및 cushioning 용도로 사용되나 자동차·건설 대비 비중은 제한적임.</t>
  </si>
  <si>
    <t>Cushioning &amp; comfort materials</t>
  </si>
  <si>
    <t>Sports fields, artificial turf and playgrounds</t>
  </si>
  <si>
    <t>EPDM</t>
  </si>
  <si>
    <t>물·증기·압축공기 hose에 사용되며 내열성과 내후성이 핵심 성능임. 자동차 hose는 automotive route에 포함됨.</t>
  </si>
  <si>
    <t>Pipe &amp; fluid conveyance</t>
  </si>
  <si>
    <t>Water/steam hoses and industrial hoses</t>
  </si>
  <si>
    <t>세탁기·식기세척기 등 가전 sealing 부품에 사용되며 내열·내수성이 요구되는 application임.</t>
  </si>
  <si>
    <t>Appliance gaskets and seals</t>
  </si>
  <si>
    <t>윤활유 점도지수 향상(VI improver)용 OCP 계열로 엔진오일 및 윤활유 formulation에 사용됨.</t>
  </si>
  <si>
    <t>Oil additives (viscosity index improvers)</t>
  </si>
  <si>
    <t>우수한 전기특성, ozone/corona resistance 및 장기 내구성으로 wire &amp; cable insulation 및 jacketing에 사용됨.</t>
  </si>
  <si>
    <t>Electrical insulation</t>
  </si>
  <si>
    <t>Wire and cable insulation / sheathing</t>
  </si>
  <si>
    <t>EPDM roofing membrane는 단일층 지붕 및 waterproofing의 대표 소재로 내후성·내오존성이 핵심 가치임.</t>
  </si>
  <si>
    <t>Single-ply roofing and waterproofing construction</t>
  </si>
  <si>
    <t>TPO/TPV 및 polyolefin modification용 주요 elastomer modifier로 사용됨. PP 및 기타 thermoplastic의 충격강도·내후성 개선에 기여.</t>
  </si>
  <si>
    <t>Polymer modification and blending (TPO/TPV, thermoplastic modification)</t>
  </si>
  <si>
    <t>자동차용 weatherstripping, hose, seal, gasket, tire sidewall 등이 EPDM 최대 수요처이며 글로벌 수요의 60% 이상이 자동차 관련으로 연결됨.</t>
  </si>
  <si>
    <t>Automotive parts (weather strips, seals, hoses, gaskets, sidewalls, antivibration parts)</t>
  </si>
  <si>
    <t>PET value chain의 대형 섬유·의류 용도</t>
  </si>
  <si>
    <t>Fiber/filament</t>
  </si>
  <si>
    <t>포장용 필름 및 산업용 필름 chain으로 연결</t>
  </si>
  <si>
    <t>Barrier packaging</t>
  </si>
  <si>
    <t>Film</t>
  </si>
  <si>
    <t>2025년 수요의 15%로 주요 포장재 용도</t>
  </si>
  <si>
    <t>Rigid packaging</t>
  </si>
  <si>
    <t>Thermoform sheets/trays</t>
  </si>
  <si>
    <t>2025년 bottle-grade PET 수요의 78%</t>
  </si>
  <si>
    <t>Preforms/bottles</t>
  </si>
  <si>
    <t>DMT의 비-PET 주요 잔여 용도 중 하나</t>
  </si>
  <si>
    <t>Niche / Emerging</t>
    <phoneticPr fontId="5" type="noConversion"/>
  </si>
  <si>
    <t>Polybutylene terephthalate (PBT)</t>
  </si>
  <si>
    <t>DMT</t>
  </si>
  <si>
    <t>DMT 수요의 약 85%가 PET/polyester 생산용이나 TPA로 대체되어 감소 중</t>
  </si>
  <si>
    <t>Polyethylene terephthalate (PET) polymer</t>
    <phoneticPr fontId="5" type="noConversion"/>
  </si>
  <si>
    <t>비-PET 용도의 plasticizer route로 언급됨</t>
  </si>
  <si>
    <t>Polymer modification &amp; additives</t>
  </si>
  <si>
    <t>Dioctyl terephthalate (DOTP)</t>
  </si>
  <si>
    <t>TPA의 잔여 비-PET 용도 중 하나로 engineering resin에 사용</t>
  </si>
  <si>
    <t>2024년 TPA 소비의 약 97%가 PET/polyester melt 생산용</t>
  </si>
  <si>
    <t>hot-melt polyester adhesive 등 소량 용도</t>
  </si>
  <si>
    <t>Adhesives</t>
  </si>
  <si>
    <t>PIA</t>
  </si>
  <si>
    <t>hygiene·furniture·automotive interiors 등에 쓰이는 LMF 원료로 언급</t>
  </si>
  <si>
    <t>Low-melt polyester fiber</t>
  </si>
  <si>
    <t>IPC 및 meta-aramid fiber 원료로 사용되는 specialty route</t>
  </si>
  <si>
    <t>Isophthaloyl chloride (IPC) / meta-aramid fiber</t>
  </si>
  <si>
    <t>2025년 PIA 수요의 약 16%로 coating resin의 내수성·내후성 개선</t>
  </si>
  <si>
    <t>Polyester/alkyd surface coating resins</t>
  </si>
  <si>
    <t>2025년 PIA 수요의 약 22%로 FRP용 premium polyester resin에 사용</t>
  </si>
  <si>
    <t>2025년 PIA 수요의 약 46%로 PET bottle resin의 clarity·생산성 개선용</t>
  </si>
  <si>
    <t>Copolyester resins for PET bottles and fibers</t>
  </si>
  <si>
    <t>DMT route도 존재하나 PTA 대비 지속 감소 중</t>
  </si>
  <si>
    <t>Dimethyl terephthalate (DMT)</t>
  </si>
  <si>
    <t>PX 수요의 약 99%가 PTA 생산용으로 사용되는 지배적 route</t>
  </si>
  <si>
    <t>Purified terephthalic acid (PTA)</t>
  </si>
  <si>
    <t>소량 specialty resin 중간체 용도</t>
  </si>
  <si>
    <t>Xylene-formaldehyde resin</t>
  </si>
  <si>
    <t>PIA 외 주요 성장 용도로 MXDA가 언급됨</t>
  </si>
  <si>
    <t>meta-Xylenediamine (MXDA)</t>
  </si>
  <si>
    <t>m-Xylene의 거의 전량이 PIA 생산용으로 소비되는 핵심 route</t>
  </si>
  <si>
    <t>Purified isophthalic acid (PIA)</t>
  </si>
  <si>
    <t>PA 외 약 4%의 소량 용도로 agrochemical 중간체가 언급됨</t>
  </si>
  <si>
    <t>Other chemical intermediates, including bactericides and herbicides</t>
  </si>
  <si>
    <t>OX 소비의 약 96%가 PA 생산용으로 사용되는 지배적 route</t>
  </si>
  <si>
    <t>Phthalic anhydride (PA)</t>
  </si>
  <si>
    <t>2024년 TDI 소비의 약 4%로 제한적이나 상업적 용도 존재</t>
  </si>
  <si>
    <t>Polyurethane elastomers</t>
  </si>
  <si>
    <t>TDI</t>
  </si>
  <si>
    <t>2024년 TDI 소비의 약 6%를 차지하는 기능성 PU 용도</t>
  </si>
  <si>
    <t>Adhesives and sealants</t>
  </si>
  <si>
    <t>2024년 TDI 소비의 약 9%로 비-foam 주요 용도</t>
  </si>
  <si>
    <t>Surface coatings</t>
  </si>
  <si>
    <t>TDI flexible foam의 대표 downstream으로 cushioning 제품에 사용</t>
  </si>
  <si>
    <t>Mattresses, furniture and automotive seats</t>
  </si>
  <si>
    <t>2024년 TDI 소비의 79%를 차지하는 압도적 핵심 용도</t>
  </si>
  <si>
    <t>Flexible polyurethane foams</t>
  </si>
  <si>
    <t>MDI 기반 PU coating 용도이나 foam·elastomer 대비 비중은 작음</t>
  </si>
  <si>
    <t>MDI</t>
  </si>
  <si>
    <t>PU adhesive·sealant 용도로 사용되며 2024년 약 7% 비중</t>
  </si>
  <si>
    <t>MDI 소비의 약 14%를 차지하는 주요 비-foam 용도</t>
  </si>
  <si>
    <t>MDI 소비의 약 8%로 bedding·seating 등 cushioning에 사용</t>
  </si>
  <si>
    <t>2024년 MDI 소비의 53%를 차지하는 최대 용도이며 건축 insulation 수요가 핵심</t>
  </si>
  <si>
    <t>Rigid polyurethane foams</t>
  </si>
  <si>
    <t>VAM이 열봉합성·clarity·cling을 개선해 필름에 사용</t>
  </si>
  <si>
    <t>Packaging films / heat-seal films</t>
  </si>
  <si>
    <t>고 VAM grade의 대표 접착 application</t>
  </si>
  <si>
    <t>Hot-melt adhesives</t>
  </si>
  <si>
    <t>2025년 EVA 수요의 13%로 의미 있는 절연 용도</t>
  </si>
  <si>
    <t>Wire and cable</t>
  </si>
  <si>
    <t>footwear·fitness foam 등 소비재 용도</t>
  </si>
  <si>
    <t>Consumer goods / foams</t>
  </si>
  <si>
    <t>2025년 EVA 수요의 41%로 최대·고성장 용도</t>
  </si>
  <si>
    <t>Renewable energy materials</t>
  </si>
  <si>
    <t>Solar photovoltaic modules / encapsulation sheets</t>
  </si>
  <si>
    <t>수용성·특수 필름 용도이나 전체 비중은 작음</t>
  </si>
  <si>
    <t>PVOH films</t>
  </si>
  <si>
    <t>PVOH</t>
  </si>
  <si>
    <t>종이 sizing 및 coating binder 용도</t>
  </si>
  <si>
    <t>Paper sizings and coatings</t>
  </si>
  <si>
    <t>섬유 sizing은 표면 처리·coating 성격의 용도</t>
  </si>
  <si>
    <t>Textile warp sizing</t>
  </si>
  <si>
    <t>2023년 주요 용도 12.8%</t>
  </si>
  <si>
    <t>PVB는 안전유리 interlayer로 연결되는 주요 PVOH downstream</t>
  </si>
  <si>
    <t>Polyvinyl butyral (PVB)</t>
  </si>
  <si>
    <t>2023년 글로벌 PVOH 최대 용도 27.1%</t>
  </si>
  <si>
    <t>Polymerization aids</t>
  </si>
  <si>
    <t>친환경 solvent 및 process solvent로 사용</t>
  </si>
  <si>
    <t>Solvents</t>
  </si>
  <si>
    <t>EV battery electrolyte solvent로 빠르게 성장하는 application</t>
  </si>
  <si>
    <t>Battery &amp; thermal-management materials</t>
  </si>
  <si>
    <t>Battery electrolyte</t>
  </si>
  <si>
    <t>DMC의 대표 대량 수요처이며 non-phosgene PC route와 연결</t>
  </si>
  <si>
    <t>Polycarbonate synthesis</t>
  </si>
  <si>
    <t>polymer electrolyte 및 수지 formulation에서 plasticizer 역할</t>
  </si>
  <si>
    <t>Plasticizer</t>
  </si>
  <si>
    <t>고극성 solvent로 polymer/resin 공정에 사용</t>
  </si>
  <si>
    <t>Polar solvent for polymers/resins</t>
  </si>
  <si>
    <t>EV/ESS용 Li-ion battery electrolyte의 핵심 carbonate solvent</t>
  </si>
  <si>
    <t>Lithium-ion battery electrolyte solvent</t>
  </si>
  <si>
    <t>semiconductor research/process용 resist로 제한적 사용</t>
  </si>
  <si>
    <t>Electronic chemicals &amp; materials</t>
  </si>
  <si>
    <t>Electron-beam lithography resist</t>
  </si>
  <si>
    <t>PMMA</t>
  </si>
  <si>
    <t>광고판, display panel, 투명 장식재로 사용</t>
  </si>
  <si>
    <t>Signage and displays</t>
  </si>
  <si>
    <t>bone cement, dental/medical component 등 의료용 사용</t>
  </si>
  <si>
    <t>Medical and dental applications</t>
  </si>
  <si>
    <t>display 및 light-guide용 투명 소재</t>
  </si>
  <si>
    <t>LCD screens / light guide panels</t>
  </si>
  <si>
    <t>rear light, lamp lens 등 투명 optical component</t>
  </si>
  <si>
    <t>Automotive lighting lenses</t>
  </si>
  <si>
    <t>투명성·내후성 기반 sheet, window, signage에 사용</t>
  </si>
  <si>
    <t>Acrylic sheets / glass substitute</t>
  </si>
  <si>
    <t>artificial marble 등 composite binder chain으로 사용</t>
  </si>
  <si>
    <t>Mineral surface composites</t>
  </si>
  <si>
    <t>reactive adhesive formulation에 사용</t>
  </si>
  <si>
    <t>MMA의 대표 대량 수요처는 PMMA 생산용 monomer</t>
  </si>
  <si>
    <t>PMMA molding and extruded resins / sheet</t>
  </si>
  <si>
    <t>gear, bearing, compressor, hydraulic oil 등에 광범위 사용</t>
  </si>
  <si>
    <t>Industrial gear oils</t>
  </si>
  <si>
    <t>PAO</t>
  </si>
  <si>
    <t>PAO의 대표 application은 고성능 synthetic lubricant base oil</t>
  </si>
  <si>
    <t>Synthetic motor oils</t>
  </si>
  <si>
    <t>plasticizer alcohol 및 additive chain으로 연결</t>
  </si>
  <si>
    <t>Plasticizers</t>
  </si>
  <si>
    <t>세제 및 계면활성제 chain으로 사용</t>
  </si>
  <si>
    <t>Surfactant &amp; emulsification</t>
  </si>
  <si>
    <t>Detergent alcohols / surfactants</t>
  </si>
  <si>
    <t>PAO 합성기유로 연결되는 주요 downstream route</t>
  </si>
  <si>
    <t>Polyalphaolefins for lubricants</t>
  </si>
  <si>
    <t>LLDPE/HDPE용 comonomer가 LAO의 핵심 대량 수요처</t>
  </si>
  <si>
    <t>Polyethylene comonomers</t>
  </si>
  <si>
    <t>고강도 polyamide yarn의 주요 산업용 수요</t>
  </si>
  <si>
    <t>Tire cord and industrial yarn</t>
  </si>
  <si>
    <t>PVC primary insulation 위 보호층으로 사용</t>
  </si>
  <si>
    <t>Wire and cable protective layer</t>
  </si>
  <si>
    <t>grease resistance와 낮은 gas transmission을 활용한 필름 용도</t>
  </si>
  <si>
    <t>Polyamide film for food and medical packaging</t>
  </si>
  <si>
    <t>PA6 engineering resin은 자동차·전기부품 등 핵심 수요</t>
  </si>
  <si>
    <t>Polyamide 6 plastics / resins</t>
  </si>
  <si>
    <t>caprolactam은 거의 전량 PA6 섬유·수지로 사용</t>
  </si>
  <si>
    <t>Polyamide 6 fibers</t>
  </si>
  <si>
    <t>소규모 기타 용도 중 하나로 언급됨</t>
  </si>
  <si>
    <t>Flame retardancy &amp; fire protection</t>
  </si>
  <si>
    <t>Flame retardants</t>
  </si>
  <si>
    <t>PA</t>
  </si>
  <si>
    <t>소량 용도이며 색재료 chain으로 연결</t>
  </si>
  <si>
    <t>Printing inks &amp; graphic materials</t>
  </si>
  <si>
    <t>Pigments and dyes</t>
  </si>
  <si>
    <t>UPR 및 fiberglass-reinforced plastics용으로 사용되는 주요 비-plasticizer 용도</t>
  </si>
  <si>
    <t>Unsaturated polyester resins (UPR) / FRP</t>
  </si>
  <si>
    <t>PA의 주요 시장 중 하나이나 환경규제로 성장 제약</t>
  </si>
  <si>
    <t>Alkyd resins for surface coatings</t>
  </si>
  <si>
    <t>phthalate plasticizer의 주요 downstream으로 PVC 건설재·전선·필름 등에 연결</t>
  </si>
  <si>
    <t>Flexible PVC</t>
  </si>
  <si>
    <t>PA 소비의 약 절반이 flexible PVC용 phthalate plasticizer 생산에 사용</t>
  </si>
  <si>
    <t>Phthalate plasticizers</t>
  </si>
  <si>
    <t>maleic hydrazide, captan 등 agrochemical chain에 제한적 사용</t>
  </si>
  <si>
    <t>Crop protection &amp; agrochemical intermediates</t>
  </si>
  <si>
    <t>Agricultural chemicals</t>
  </si>
  <si>
    <t>alkyd resin 및 coating resin 중간체로 사용</t>
  </si>
  <si>
    <t>Surface coatings / alkyd resins</t>
  </si>
  <si>
    <t>malic acid는 주로 food &amp; beverage의 산미료·flavor enhancer로 사용</t>
  </si>
  <si>
    <t>Food additives &amp; preservation</t>
  </si>
  <si>
    <t>Malic acid</t>
  </si>
  <si>
    <t>ASA는 paper sizing, detergents, dispersant 등에 사용</t>
  </si>
  <si>
    <t>Alkenyl succinic anhydrides</t>
  </si>
  <si>
    <t>SMA, PVM/MA, grafted polyolefin 등 compatibilizer·dispersant 용도</t>
  </si>
  <si>
    <t>Copolymers</t>
  </si>
  <si>
    <t>dispersant 및 corrosion inhibitor용 lube additive 중간체</t>
  </si>
  <si>
    <t>Lubricating oil additives</t>
  </si>
  <si>
    <t>2024년 9% 수요처이며 식품, UPR, paper sizing 등으로 연결</t>
  </si>
  <si>
    <t>Fumaric acid</t>
  </si>
  <si>
    <t>2024년 MAN 소비의 58%로 최대 수요처이며 건설·자동차·해양 FRP와 연계</t>
  </si>
  <si>
    <t>농약 중간체로 언급되나 규모는 작음</t>
  </si>
  <si>
    <t>Agriculture</t>
    <phoneticPr fontId="5" type="noConversion"/>
  </si>
  <si>
    <t>Herbicides and pesticides intermediate</t>
  </si>
  <si>
    <t>caprolactam 외 소량 용도</t>
  </si>
  <si>
    <t>Solvent in coatings, paints and adhesives</t>
  </si>
  <si>
    <t>2024년 cyclohexanone 수요의 95%가 caprolactam 생산</t>
  </si>
  <si>
    <t>Caprolactam production</t>
  </si>
  <si>
    <t>bottoms cut의 특수 윤활유 용도로 언급되나 본 LAB 시장에는 포함되지 않는 주변 용도</t>
  </si>
  <si>
    <t>Refrigerator oils</t>
  </si>
  <si>
    <t>LAS는 household detergent와 cleaning product의 주요 synthetic surfactant</t>
  </si>
  <si>
    <t>Household detergents</t>
  </si>
  <si>
    <t>LAB의 거의 전량이 sulfonation을 통해 LAS로 전환되는 핵심 downstream route</t>
  </si>
  <si>
    <t>Linear alkylbenzene sulfonate (LAS)</t>
  </si>
  <si>
    <t>작물보호제 중간체로 사용되나 비-MDI 내 세부 niche 용도</t>
  </si>
  <si>
    <t>Herbicides / insecticides / fungicides</t>
  </si>
  <si>
    <t>의약품 중간체로 언급되나 전체 수요 내 비중은 제한적</t>
  </si>
  <si>
    <t>Pharmaceuticals</t>
  </si>
  <si>
    <t>염료·안료용 aniline계 중간체로 사용되나 MDI 대비 소량</t>
  </si>
  <si>
    <t>Dyes and pigments</t>
  </si>
  <si>
    <t>비-MDI 주요 용도이며 rubber additives 원료로 사용</t>
  </si>
  <si>
    <t>Rubber-processing chemicals</t>
  </si>
  <si>
    <t>2023년 전세계 aniline 수요의 약 85%가 MDI용으로 소비된 핵심 route</t>
  </si>
  <si>
    <t>MDI production</t>
  </si>
  <si>
    <t>기타 용도가 11%로 존재하나 주력은 intermediate</t>
  </si>
  <si>
    <t>Solvent and other applications</t>
  </si>
  <si>
    <t>2024년 cyclohexane 수요의 23%로 핵심 downstream</t>
  </si>
  <si>
    <t>Adipic acid production</t>
  </si>
  <si>
    <t>2024년 cyclohexane 수요의 64%로 최대 downstream</t>
  </si>
  <si>
    <t>Cyclohexanone production</t>
  </si>
  <si>
    <t>2024년 7%, 자동차·항공의 이종재 접합 수요 성장</t>
  </si>
  <si>
    <t>2024년 11%, 풍력 블레이드·항공·자동차 경량화에 사용</t>
  </si>
  <si>
    <t>Composites</t>
  </si>
  <si>
    <t>2024년 14%, 건설·바닥재·토목용</t>
  </si>
  <si>
    <t>Flooring &amp; interior materials</t>
  </si>
  <si>
    <t>Civil engineering, flooring, paving and construction</t>
  </si>
  <si>
    <t>2024년 19%, PCB/laminate 등 주요 수요</t>
  </si>
  <si>
    <t>Electrical and electronics</t>
  </si>
  <si>
    <t>2024년 epoxy 수요의 44%로 최대 application</t>
  </si>
  <si>
    <t>Coatings</t>
  </si>
  <si>
    <t>의료기기·렌즈용 고성능 specialty application</t>
  </si>
  <si>
    <t>Medical devices / ophthalmic lenses</t>
  </si>
  <si>
    <t>내충격성 성형재로 가전·소비재에 사용</t>
  </si>
  <si>
    <t>Consumer goods and appliances</t>
  </si>
  <si>
    <t>투명성·내구성을 활용한 sheet/glazing 용도</t>
  </si>
  <si>
    <t>Windows, construction glazing, greenhouses</t>
  </si>
  <si>
    <t>자동차 조명, glazing, 경량화 용도로 중요</t>
  </si>
  <si>
    <t>Transportation and automotive glazing / lighting</t>
  </si>
  <si>
    <t>PC의 내충격성·내열성·전기저항 특성을 활용하는 핵심 수요</t>
  </si>
  <si>
    <t>Electronics/electrical components</t>
  </si>
  <si>
    <t>PC/epoxy 외 소량 specialty resin chain</t>
  </si>
  <si>
    <t>Flame retardants, unsaturated polyester resins, polysulfone, PEI, polyarylate resins</t>
  </si>
  <si>
    <t>2024년 BPA 수요의 약 32%로 두 번째 핵심 용도</t>
  </si>
  <si>
    <t>2024년 BPA 수요의 약 68%로 최대 용도</t>
  </si>
  <si>
    <t>Polycarbonate resin</t>
  </si>
  <si>
    <t>기타 소량 chemical intermediate 용도</t>
  </si>
  <si>
    <t>MIBK / aldol chemicals</t>
  </si>
  <si>
    <t>2024년 약 20%, PMMA chain으로 연결</t>
  </si>
  <si>
    <t>Methyl methacrylate (MMA)</t>
  </si>
  <si>
    <t>2024년 약 28%로 두 번째 대형 수요처</t>
  </si>
  <si>
    <t>Bisphenol A (BPA)</t>
  </si>
  <si>
    <t>2024년 약 43%로 acetone 최대 수요처</t>
  </si>
  <si>
    <t>Direct solvent applications</t>
  </si>
  <si>
    <t>기타 소량 specialty derivative</t>
  </si>
  <si>
    <t>Alkylphenols and other specialty chemicals</t>
  </si>
  <si>
    <t>polyamide chain으로 연결되는 의미 있는 중간체 용도</t>
  </si>
  <si>
    <t>Cyclohexanone / cyclohexanol / adipic acid</t>
  </si>
  <si>
    <t>2024년 26%로 두 번째 대형 수요처, 목재·건설용 resin chain</t>
  </si>
  <si>
    <t>Phenol-formaldehyde (PF) resins</t>
  </si>
  <si>
    <t>2024년 phenol 수요의 54%로 최대 downstream</t>
  </si>
  <si>
    <t>1% 내외의 소량 용도</t>
  </si>
  <si>
    <t>Thinners for paints, lacquers and enamels / solvents in coatings</t>
  </si>
  <si>
    <t>전 세계 cumene의 약 99%가 phenol/acetone 생산에 사용됨</t>
  </si>
  <si>
    <t>Phenol and acetone production</t>
  </si>
  <si>
    <t>건축 단열재로 사용되는 PS foam 용도</t>
  </si>
  <si>
    <t>Thermal insulation</t>
  </si>
  <si>
    <t>Foam board stock, insulation</t>
  </si>
  <si>
    <t>GPPS 성형품의 의료·진단용 labware 용도</t>
  </si>
  <si>
    <t>Medical and diagnostic labware</t>
  </si>
  <si>
    <t>XPS/건축재 등 건설 관련 수요</t>
  </si>
  <si>
    <t>Building/construction</t>
  </si>
  <si>
    <t>생활용품·가전 부품 등 성형재 용도</t>
  </si>
  <si>
    <t>Consumer goods</t>
  </si>
  <si>
    <t>2024년 PS 수요의 약 31%로 두 번째 대형 수요처</t>
  </si>
  <si>
    <t>Electrical/electronic</t>
  </si>
  <si>
    <t>2024년 PS 수요의 최대 application, 약 34%</t>
  </si>
  <si>
    <t>Packaging applications</t>
  </si>
  <si>
    <t>SBR은 타이어·고무 체인으로 연결되는 수요</t>
  </si>
  <si>
    <t>Styrene-butadiene rubber</t>
  </si>
  <si>
    <t>latex 및 coating/바인더 계열의 상업적 수요</t>
  </si>
  <si>
    <t>Styrene-butadiene latex</t>
  </si>
  <si>
    <t>UPR은 의미 있는 downstream resin 경로이나 PS/EPS/ABS보다 작음</t>
  </si>
  <si>
    <t>ABS는 주요 styrene derivative이며 성장 기여도가 큼</t>
  </si>
  <si>
    <t>Acrylonitrile-butadiene-styrene resins</t>
  </si>
  <si>
    <t>EPS는 styrene 주요 derivative이며 단열·보호포장 수요와 연결</t>
  </si>
  <si>
    <t>Expandable polystyrene</t>
  </si>
  <si>
    <t>PS가 2024년 styrene 최대 수요처</t>
  </si>
  <si>
    <t>styrene 외 용도는 1% 미만의 소량 용도</t>
  </si>
  <si>
    <t>Solvent</t>
  </si>
  <si>
    <t>EB의 99.7%가 styrene 생산에 사용되는 지배적 경로</t>
  </si>
  <si>
    <t>Styrene production</t>
  </si>
  <si>
    <t>고순도 butene-1은 PB-1 생산에 필요</t>
  </si>
  <si>
    <t>Polybutene-1</t>
  </si>
  <si>
    <t>butene-1의 주용도는 PE 생산용 comonomer</t>
  </si>
  <si>
    <t>Polyethylene comonomer</t>
  </si>
  <si>
    <t>내열·내노화·진동감쇠 특성을 활용한 자동차 고무부품.</t>
  </si>
  <si>
    <t>Automotive hoses, gaskets and engine mounts</t>
  </si>
  <si>
    <t>접착제, sealant tape, caulk 등에 사용됨.</t>
  </si>
  <si>
    <t>청정성, 내화학성, 낮은 기체·수분 투과성이 요구되는 의료용 application.</t>
  </si>
  <si>
    <t>Pharmaceutical stoppers and plunger seals</t>
  </si>
  <si>
    <t>타이어 inner liner와 inner tube가 핵심 수요처로 제시됨.</t>
  </si>
  <si>
    <t>Tubeless tire inner liners / tire inner tubes</t>
  </si>
  <si>
    <t>pharma/fine chemical solvent로 제한적 사용</t>
  </si>
  <si>
    <t>Reaction, extraction and crystallization solvent</t>
  </si>
  <si>
    <t>미국 등에서는 HPIB 생산용 intermediate로 사용</t>
  </si>
  <si>
    <t>Production of HPIB</t>
  </si>
  <si>
    <t>2024년 MTBE 소비의 약 94%가 gasoline application</t>
  </si>
  <si>
    <t>Fuel / fuel additive</t>
  </si>
  <si>
    <t>Gasoline applications</t>
  </si>
  <si>
    <t>packaging 및 hygiene용 HMA formulation에 사용</t>
  </si>
  <si>
    <t>Hot melt adhesives</t>
  </si>
  <si>
    <t>packaging film 및 easy-peel 구조에 사용</t>
  </si>
  <si>
    <t>Easy-open packaging / film modification</t>
  </si>
  <si>
    <t>PB-1의 대표 application은 온수·냉수 배관 및 fittings</t>
  </si>
  <si>
    <t>Hot and cold water piping systems</t>
  </si>
  <si>
    <t>케이블·전기 절연 소재로 사용 가능</t>
  </si>
  <si>
    <t>Electrical insulation materials</t>
  </si>
  <si>
    <t>tackiness와 방수성 기반 adhesive/sealant formulation에 사용</t>
  </si>
  <si>
    <t>PIB의 대표적 고부가 수요로 윤활유·연료 첨가제에 사용</t>
  </si>
  <si>
    <t>Lubricants and fuel additives</t>
  </si>
  <si>
    <t>gasoline blendstock 및 octane enhancer route</t>
  </si>
  <si>
    <t>ETBE / isooctane</t>
  </si>
  <si>
    <t>HPIB는 butyl rubber와 PIB 합성용 원료</t>
  </si>
  <si>
    <t>High-purity isobutylene for butyl rubber and polyisobutylene</t>
  </si>
  <si>
    <t>MTBE는 butylenes의 주요 outlet이며 isobutylene과 methanol 반응으로 생산</t>
  </si>
  <si>
    <t>hot E-SBR의 잔존 specialty application</t>
  </si>
  <si>
    <t>Adhesives, chewing gum base, coated fabrics, molded goods</t>
  </si>
  <si>
    <t>hoses, seals, mats 등 nontire automotive rubber parts</t>
  </si>
  <si>
    <t>Automotive parts</t>
  </si>
  <si>
    <t>nontire mechanical rubber goods용 상업 수요</t>
  </si>
  <si>
    <t>Belts, hoses, mechanical parts and gaskets</t>
  </si>
  <si>
    <t>SBR의 핵심 용도이며 최대 synthetic rubber application</t>
  </si>
  <si>
    <t>Tire production</t>
  </si>
  <si>
    <t>타이어 외 rubber goods용 의미 있는 수요</t>
  </si>
  <si>
    <t>V-belts, conveyor belt coverings and hoses</t>
  </si>
  <si>
    <t>BR</t>
    <phoneticPr fontId="5" type="noConversion"/>
  </si>
  <si>
    <t>HIPS/ABS toughness 개선용 impact modifier</t>
  </si>
  <si>
    <t>ABS/HIPS impact modification</t>
  </si>
  <si>
    <t>PBR 소비의 약 75%가 tires이며 최대 end use</t>
  </si>
  <si>
    <t>Tires</t>
  </si>
  <si>
    <t>nylon chain으로 연결되는 화학 중간체 수요</t>
  </si>
  <si>
    <t>Adiponitrile</t>
  </si>
  <si>
    <t>SBL 생산용 downstream route</t>
  </si>
  <si>
    <t>NBL/NBR 생산에 사용되는 specialty elastomer 원료</t>
  </si>
  <si>
    <t>Nitrile latex / Nitrile rubber</t>
  </si>
  <si>
    <t>ABS resin용 주요 butadiene 파생 수요</t>
  </si>
  <si>
    <t>ABS resins</t>
  </si>
  <si>
    <t>PBR과 SBR 합산이 2024년 butadiene 시장의 약 54%</t>
  </si>
  <si>
    <t>SBR, emulsion / SBR, solution</t>
  </si>
  <si>
    <t>2024년 butadiene 최대 수요처이며, PBR 생산용 직접 원료</t>
  </si>
  <si>
    <t>Polybutadiene rubber</t>
  </si>
  <si>
    <t>perfume 성분으로 사용되나 IPA derivative 내 비중은 제한적</t>
  </si>
  <si>
    <t>Personal care formulation</t>
  </si>
  <si>
    <t>Perfumes</t>
  </si>
  <si>
    <t>일부 printing inks의 구성 성분으로 사용됨</t>
  </si>
  <si>
    <t>Printing inks</t>
  </si>
  <si>
    <t>cellulose 및 plastics 제조용 solvent로 사용됨</t>
  </si>
  <si>
    <t>Solvent in cellulose and plastics manufacture</t>
  </si>
  <si>
    <t>pharma grade는 의약 제조용 solvent, medical wipes, 일부 formulation에 사용됨</t>
  </si>
  <si>
    <t>Processing solvent during drug manufacture / medical wipes</t>
  </si>
  <si>
    <t>cosmetic grade는 personal care, rubbing alcohol, hand sanitizer에 사용됨</t>
  </si>
  <si>
    <t>Cosmetic and personal care products / rubbing alcohol / hand sanitizer</t>
  </si>
  <si>
    <t>IPA 유도체 중 최대 품목이며 미국 기준 2023년 22천 톤 소비</t>
  </si>
  <si>
    <t>electronic-grade IPA는 PCB, FPD 등 전자부품 세정에 사용되며 주요 지역 소비의 8% 차지</t>
  </si>
  <si>
    <t>Cleaning printed circuit boards, flat-panel displays and electronic devices</t>
  </si>
  <si>
    <t>2023년 주요 지역 IPA 소비의 최대 용도이며 direct solvent가 약 55% 차지</t>
  </si>
  <si>
    <t>Direct solvent: surface coatings, inks, pesticide formulations, resins, household cleaners</t>
  </si>
  <si>
    <t>거의 전량이 surface coatings 용제로 사용되며 2024년 미국 기준 89%</t>
  </si>
  <si>
    <t>isobutyl acetate</t>
  </si>
  <si>
    <t>coatings 및 adhesives용 latent/direct solvent로 사용</t>
  </si>
  <si>
    <t>Direct solvent in surface coatings and adhesives</t>
  </si>
  <si>
    <t>isobutanol</t>
  </si>
  <si>
    <t>ZDDP계 윤활유 첨가제 제조에 사용되는 주요 application</t>
  </si>
  <si>
    <t>Lube oil additives / isobutyl ZDDP</t>
  </si>
  <si>
    <t>isobutanol의 최대 소비처이며 isobutyl acetate는 coatings 용제로 사용</t>
  </si>
  <si>
    <t>coating resin용 효과적 용제로 사용됨</t>
  </si>
  <si>
    <t>Surface coatings solvent</t>
  </si>
  <si>
    <t>n-butyl acetate</t>
  </si>
  <si>
    <t>직접 용제 및 acetate/glycol ether 유도체로 coatings 용제에 사용</t>
  </si>
  <si>
    <t>Surface coatings solvent / n-butyl acetate / glycol ethers</t>
  </si>
  <si>
    <t>n-butanol</t>
  </si>
  <si>
    <t>n-butanol의 최대 end use이며 coatings, sealants, adhesives용 acrylate 생산에 사용</t>
  </si>
  <si>
    <t>n-Butyl acrylate / methacrylate esters</t>
  </si>
  <si>
    <t>2-EH의 대형 수요처로 2-ethylhexyl acrylate 등 생산에 사용</t>
  </si>
  <si>
    <t>Acrylate/methacrylate esters</t>
  </si>
  <si>
    <t>2-ethylhexanol</t>
  </si>
  <si>
    <t>2-EH 소비의 절반 이상이 DOTP, DEHP 등 plasticizer 생산에 사용</t>
  </si>
  <si>
    <t>isobutanol, neopentyl glycol, isobutyric acid 등으로 전환되는 중간체</t>
  </si>
  <si>
    <t>TMPD, Texanol, TXIB, IBIB 등 용제·수지·가소제 계열로 전환되는 주요 경로</t>
  </si>
  <si>
    <t>PVB 등 특수 유도체로 전환되나 2-EH/n-butanol 대비 비중은 작음</t>
  </si>
  <si>
    <t>Polyvinyl butyral</t>
  </si>
  <si>
    <t>n-butanol과 2-EH가 n-butyraldehyde 소비의 대부분을 차지</t>
  </si>
  <si>
    <t>n-Butanol</t>
  </si>
  <si>
    <t>n-butyraldehyde의 최대 전환 경로 중 하나이며 plasticizer alcohol 체인의 핵심 중간체</t>
  </si>
  <si>
    <t>토양 수분 조절용 산업·농업 application이나 전체 SAP 내 비중은 작음</t>
  </si>
  <si>
    <t>Agricultural productivity materials</t>
  </si>
  <si>
    <t>Agriculture water release / soil moisture control</t>
  </si>
  <si>
    <t>SAP</t>
  </si>
  <si>
    <t>여성 위생용 흡수재로 사용되나 diapers 대비 규모는 작음</t>
  </si>
  <si>
    <t>Hygiene &amp; absorbency</t>
  </si>
  <si>
    <t>Feminine hygiene</t>
  </si>
  <si>
    <t>고령화로 성장성이 높은 위생·헬스케어 흡수재 application</t>
  </si>
  <si>
    <t>Adult incontinence</t>
  </si>
  <si>
    <t>SAP 소비의 최대 application으로, 글로벌 소비의 약 70% 이상을 차지</t>
  </si>
  <si>
    <t>Baby diapers / training pants</t>
  </si>
  <si>
    <t>플라스틱 개질 및 copolymer 용도로 상업적 수요가 존재함</t>
  </si>
  <si>
    <t>Plastic additives / copolymers</t>
  </si>
  <si>
    <t>Acrylate ester</t>
  </si>
  <si>
    <t>textile backing 및 처리용 latex/polymer application으로 사용됨</t>
  </si>
  <si>
    <t>Textiles</t>
  </si>
  <si>
    <t>coatings 다음의 대형 수요처로 adhesives 및 sealants용 polymer에 사용됨</t>
  </si>
  <si>
    <t>Commodity acrylate esters의 최대 용도이며 coatings용 polymer 생산에 사용됨</t>
  </si>
  <si>
    <t>PAA 및 공중합체가 수처리, 분산제, detergent cobuilder에 사용됨</t>
  </si>
  <si>
    <t>Detergent cobuilders / water treatment</t>
  </si>
  <si>
    <t>Acrylic acid</t>
  </si>
  <si>
    <t>GAA 기반 SAP가 위생재의 핵심 흡수 소재로 사용됨</t>
  </si>
  <si>
    <t>Superabsorbent polymers</t>
  </si>
  <si>
    <t>CAA의 약 50%가 acrylate esters로 전환되는 핵심 다운스트림 경로</t>
  </si>
  <si>
    <t>Acrylate esters</t>
  </si>
  <si>
    <t>TPU medical tubing 및 biomedical products 용도</t>
  </si>
  <si>
    <t>Medical hose/tubing, catheters, wound dressings</t>
  </si>
  <si>
    <t>TPU가 wire, cable, fiber optics 보호 피복에 사용</t>
  </si>
  <si>
    <t>Wire and cable / electrical covering</t>
  </si>
  <si>
    <t>내마모·고하중 산업부품용 cast elastomer</t>
  </si>
  <si>
    <t>Machinery: rollers, belts, pulleys, seals</t>
  </si>
  <si>
    <t>forklift solid tires, rollerblade wheels 등</t>
  </si>
  <si>
    <t>Wheels and tires</t>
  </si>
  <si>
    <t>자동차용 elastomer 부품 및 comfort 소재</t>
  </si>
  <si>
    <t>Automotive &amp; Future Mobility</t>
    <phoneticPr fontId="5" type="noConversion"/>
  </si>
  <si>
    <t>Transportation parts: gaskets, seals, O-rings, shock absorbers</t>
  </si>
  <si>
    <t>PU elastomer 최대 end-use, 약 38%</t>
  </si>
  <si>
    <t>Footwear / shoe soles</t>
  </si>
  <si>
    <t>rigid foam의 핵심은 construction 및 industrial insulation</t>
  </si>
  <si>
    <t>Rigid PU/PIR foams: construction and industrial insulation</t>
  </si>
  <si>
    <t>flexible PU foam은 cushioning 소재로 대량 사용</t>
  </si>
  <si>
    <t>Flexible foams: bedding, furniture, transportation</t>
  </si>
  <si>
    <t>textile laminates, bedding 등 specialty flexible foam</t>
  </si>
  <si>
    <t>Flexible foams</t>
  </si>
  <si>
    <t>PU hot-melt adhesive 및 sealant 원료</t>
  </si>
  <si>
    <t>aircraft, bridge, automotive coating 등에 사용</t>
  </si>
  <si>
    <t>nonfoam application 중 elastomer가 주요 수요처</t>
  </si>
  <si>
    <t>PU elastomers / TPU</t>
  </si>
  <si>
    <t>polyester polyol 최대 성장·핵심 용도, building insulation 중심</t>
  </si>
  <si>
    <t>Rigid PU/PIR foam</t>
  </si>
  <si>
    <t>PU surface coating application 포함</t>
  </si>
  <si>
    <t>PPG</t>
  </si>
  <si>
    <t>PU adhesive/sealant chain으로 연결</t>
  </si>
  <si>
    <t>cast elastomers, tubing, hoses, fascias, shoe soles 등</t>
  </si>
  <si>
    <t>Nonfoam PU applications</t>
  </si>
  <si>
    <t>건축·냉장·배관 insulation용 PU foam 원료</t>
  </si>
  <si>
    <t>Rigid PU foams</t>
  </si>
  <si>
    <t>bedding, furniture, transportation cushioning으로 연결되는 핵심 polyol route</t>
  </si>
  <si>
    <t>Flexible PU foams</t>
  </si>
  <si>
    <t>polyurethane chain으로 연결되는 산업용 PG 수요</t>
  </si>
  <si>
    <t>Polyurethanes</t>
  </si>
  <si>
    <t>PG</t>
  </si>
  <si>
    <t>household detergent formulation용</t>
  </si>
  <si>
    <t>Liquid detergents</t>
  </si>
  <si>
    <t>USP/EP grade가 식품·의약·생활용품에 사용</t>
  </si>
  <si>
    <t>Food/pharmaceutical grades</t>
  </si>
  <si>
    <t>보습, 점도 조절, emolliency 기능</t>
  </si>
  <si>
    <t>Cosmetics and personal care products</t>
  </si>
  <si>
    <t>동결점 저하 및 functional fluid 용도</t>
  </si>
  <si>
    <t>Corrosion inhibition &amp; metalworking</t>
  </si>
  <si>
    <t>Functional fluids and antifreezes</t>
  </si>
  <si>
    <t>2023년 PG 최대 용도, 약 36%</t>
  </si>
  <si>
    <t>PO 기반 BDO route는 약 1%로 제한적</t>
  </si>
  <si>
    <t>1,4-Butanediol</t>
  </si>
  <si>
    <t>EV battery solvent/DMC 중간체 수요로 성장</t>
  </si>
  <si>
    <t>Propylene carbonate</t>
  </si>
  <si>
    <t>PO의 2대 수요처, 2024년 약 11%</t>
  </si>
  <si>
    <t>Propylene glycols</t>
  </si>
  <si>
    <t>PO 수요의 72%로 최대 downstream route</t>
  </si>
  <si>
    <t>Polyether polyols</t>
  </si>
  <si>
    <t>film 중 소량 specialty market로 언급됨</t>
  </si>
  <si>
    <t>Capacitor and electronic industry films</t>
  </si>
  <si>
    <t>household 및 furniture 성형품용</t>
  </si>
  <si>
    <t>Furniture / housewares</t>
  </si>
  <si>
    <t>appliance parts 성형용 application</t>
  </si>
  <si>
    <t>Appliances</t>
  </si>
  <si>
    <t>의료제품 및 syringe 성형용으로 사용</t>
  </si>
  <si>
    <t>Medical products / disposable syringes</t>
  </si>
  <si>
    <t>전선·케이블용 extrusion application</t>
  </si>
  <si>
    <t>pipe extrusion-grade PP가 별도 소비 category로 제시됨</t>
  </si>
  <si>
    <t>Pipe and extrusion</t>
  </si>
  <si>
    <t>hot-fill 및 내화학성이 필요한 용기용</t>
  </si>
  <si>
    <t>Containers / blow molding</t>
  </si>
  <si>
    <t>nonwovens 및 의료 wearable 수요와 연결</t>
  </si>
  <si>
    <t>Fibers and filaments / nonwovens</t>
  </si>
  <si>
    <t>건설자재, 비료, 농산물 포장용 woven sack 수요가 큼</t>
  </si>
  <si>
    <t>Raffia / woven sacks / jumbo bags</t>
  </si>
  <si>
    <t>저밀도와 기계적 물성으로 자동차 경량 부품에 적합</t>
  </si>
  <si>
    <t>Transportation</t>
  </si>
  <si>
    <t>caps, closures, containers, housewares 등 대량 성형용</t>
  </si>
  <si>
    <t>Injection molding</t>
  </si>
  <si>
    <t>세계 PP 소비의 핵심 end use이며 packaging 중심 수요</t>
  </si>
  <si>
    <t>Film and sheet</t>
  </si>
  <si>
    <t>blow out preventors, packers, stators 등 oilfield sealing 용도</t>
    <phoneticPr fontId="5" type="noConversion"/>
  </si>
  <si>
    <t>Energy, Power &amp; Utilities</t>
    <phoneticPr fontId="5" type="noConversion"/>
  </si>
  <si>
    <t>Oil and gas field products</t>
  </si>
  <si>
    <t>PVC/ABS impact modifier 및 flexibility 개선용</t>
  </si>
  <si>
    <t>PVC and ABS modification</t>
  </si>
  <si>
    <t>고강도·내유성이 필요한 adhesive 용도</t>
  </si>
  <si>
    <t>NBR/PVC blend가 cable jacket 등에 사용</t>
  </si>
  <si>
    <t>Wire and cable jacketing</t>
  </si>
  <si>
    <t>conveyor belts, tank linings, rolls, molded parts 등</t>
  </si>
  <si>
    <t>Technical rubber goods</t>
  </si>
  <si>
    <t>solid NBR의 최대 시장, 내유·내열 rubber goods</t>
  </si>
  <si>
    <t>Automotive hoses, belts, gaskets, O-rings, seals</t>
  </si>
  <si>
    <t>NBR latex 최대 성장 동인, 의료·보호장갑용</t>
  </si>
  <si>
    <t>Nitrile gloves</t>
  </si>
  <si>
    <t>자동차 계기판 lens/cover용 투명 소재</t>
  </si>
  <si>
    <t>Instrument panel lenses or covers</t>
  </si>
  <si>
    <t>hemodialyzer housings, connectors, labware 등 niche medical use</t>
  </si>
  <si>
    <t>Medical instruments and utensils</t>
  </si>
  <si>
    <t>refrigerator liners, panels, blender jars 등 투명 성형부품</t>
  </si>
  <si>
    <t>cosmetics packaging, caps, nozzles, containers 등</t>
  </si>
  <si>
    <t>Packaging</t>
  </si>
  <si>
    <t>PVC stiffening, ABS compounding, additive carrier 등</t>
  </si>
  <si>
    <t>Compounding</t>
  </si>
  <si>
    <t>투명성, 내화학성, 내열성이 필요한 생활용품 주요 용도</t>
  </si>
  <si>
    <t>Housewares</t>
  </si>
  <si>
    <t>다른 engineering plastics와 blend되어 물성 보완</t>
  </si>
  <si>
    <t>PC/ABS, PBT/ABS, polyamide/ABS blends</t>
  </si>
  <si>
    <t>건축·건설용 성형 소재 수요</t>
  </si>
  <si>
    <t>Building and construction</t>
  </si>
  <si>
    <t>경량화와 내충격성이 요구되는 자동차 부품용</t>
  </si>
  <si>
    <t>2025년 약 21%로 주요 소비처</t>
  </si>
  <si>
    <t>Electrical/electronic applications</t>
  </si>
  <si>
    <t>2025년 ABS 최대 end use, 약 42%</t>
  </si>
  <si>
    <t>carbon fiber 성장성이 있으나 현재 비중은 작음</t>
  </si>
  <si>
    <t>PAN-based carbon fiber</t>
  </si>
  <si>
    <t>SAN 및 ABS/ASA/AES chain으로 연결</t>
  </si>
  <si>
    <t>SAN resins</t>
  </si>
  <si>
    <t>역사적 핵심 수요처이나 polyester와 경쟁으로 성장 둔화</t>
  </si>
  <si>
    <t>Acrylic fibers</t>
  </si>
  <si>
    <t>PAM 및 wastewater treatment로 연결되는 주요 수요처</t>
  </si>
  <si>
    <t>Acrylamide</t>
  </si>
  <si>
    <t>AN 최대 수요처로 2024년 약 35% 차지</t>
  </si>
  <si>
    <t>EVOH barrier resin으로 연결되는 comonomer 용도</t>
  </si>
  <si>
    <t>Ethylene-vinyl alcohol (EVOH)</t>
  </si>
  <si>
    <t>EVA/VAE 수요가 빠르게 성장하는 VAM downstream</t>
  </si>
  <si>
    <t>Ethylene-vinyl acetate (EVA)</t>
  </si>
  <si>
    <t>2024년 VAM 소비의 28%로 주요 polymer 원료</t>
  </si>
  <si>
    <t>Polyvinyl acetate (PVA)</t>
  </si>
  <si>
    <t>2024년 VAM 소비의 33%로 최대 downstream</t>
  </si>
  <si>
    <t>Polyvinyl alcohol (PVOH)</t>
  </si>
  <si>
    <t>냉각·부동액 용도이나 PET 대비 규모는 작음</t>
  </si>
  <si>
    <t>Antifreeze</t>
  </si>
  <si>
    <t>MEG 소비의 92% 이상이 polyester/PET 용도</t>
  </si>
  <si>
    <t>Polyester / PET fibers</t>
  </si>
  <si>
    <t>금속가공유에서 가장 널리 쓰이는 ethanolamine</t>
  </si>
  <si>
    <t>Metalworking fluids / corrosion inhibitors</t>
  </si>
  <si>
    <t>personal care 및 비누류 formulation에 사용</t>
  </si>
  <si>
    <t>Personal care products / shaving foams / soaps</t>
  </si>
  <si>
    <t>세제 formulation 및 ester quat 계면활성제 합성에 사용</t>
  </si>
  <si>
    <t>Heavy-duty liquid laundry detergents</t>
  </si>
  <si>
    <t>TEA는 cement grinding 및 concrete formulation의 대표 용도</t>
  </si>
  <si>
    <t>Cement grinding / concrete formulations</t>
  </si>
  <si>
    <t>금속가공유 용도는 환경 이슈로 축소됨</t>
  </si>
  <si>
    <t>Metalworking fluids</t>
  </si>
  <si>
    <t>계면활성제 원료이나 nitrosamine 우려로 일부 대체 진행</t>
  </si>
  <si>
    <t>Fatty alkanolamides / surfactants</t>
  </si>
  <si>
    <t>DEIPA가 cement grinding 효율 개선용으로 빠르게 성장</t>
  </si>
  <si>
    <t>DEIPA for cement grinding aid</t>
  </si>
  <si>
    <t>DEA의 주요 용도는 glyphosate herbicide 합성 중간체</t>
  </si>
  <si>
    <t>Glyphosate herbicides</t>
  </si>
  <si>
    <t>ACQ 목재 방부제 제조에 사용되나 성장성은 제한적</t>
  </si>
  <si>
    <t>Wood preservatives</t>
  </si>
  <si>
    <t>세제·personal care 계면활성제 및 비누 형성에 사용</t>
  </si>
  <si>
    <t>Surfactants / soaps</t>
  </si>
  <si>
    <t>산성가스 제거 및 H2S scavenger용 triazine 생산에 사용</t>
  </si>
  <si>
    <t>Gas treatment &amp; purification</t>
  </si>
  <si>
    <t>Gas purification/treatment / triazine</t>
  </si>
  <si>
    <t>MEA 수요는 ethyleneamines, 특히 EDA 생산이 핵심 동인</t>
  </si>
  <si>
    <t>Ethyleneamines</t>
  </si>
  <si>
    <t>PU foam 등 polyol chain으로 연결</t>
  </si>
  <si>
    <t>용제계 downstream 원료</t>
  </si>
  <si>
    <t>Glycol ethers</t>
  </si>
  <si>
    <t>MEA/DEA/TEA 생산 원료</t>
  </si>
  <si>
    <t>세제·계면활성제 downstream으로 연결</t>
  </si>
  <si>
    <t>Ethoxylates</t>
  </si>
  <si>
    <t>EO의 약 74%가 EG 생산에 사용</t>
  </si>
  <si>
    <t>Ethylene glycols</t>
  </si>
  <si>
    <t>접착제 formulation의 용제 성격 application</t>
  </si>
  <si>
    <t>Ethyl acetate</t>
  </si>
  <si>
    <t>공정용·추출용 solvent로 사용</t>
  </si>
  <si>
    <t>Process/extraction solvents</t>
  </si>
  <si>
    <t>포장·출판용 ink solvent로 사용</t>
  </si>
  <si>
    <t>ethyl acetate의 최대 수요처는 surface coating 계열</t>
  </si>
  <si>
    <t>ethanol-to-jet SAF는 성장 중인 신규 연료 application</t>
  </si>
  <si>
    <t>Sustainable aviation fuel</t>
  </si>
  <si>
    <t>ETBE, ethyl acetate, acetaldehyde 등 화학 원료로 사용</t>
  </si>
  <si>
    <t>Chemical raw materials</t>
  </si>
  <si>
    <t>소독제, 산업용 용제 등 주요 industrial alcohol 용도</t>
  </si>
  <si>
    <t>Solvent applications</t>
  </si>
  <si>
    <t>전체 ethanol 소비의 80–90%를 차지하는 최대 용도</t>
    <phoneticPr fontId="5" type="noConversion"/>
  </si>
  <si>
    <t>Motor fuel</t>
  </si>
  <si>
    <t>healthcare 산업 노출은 있으나 전체 PVC 내 비중은 제한적</t>
  </si>
  <si>
    <t>Medical tubing / healthcare materials</t>
  </si>
  <si>
    <t>PVC copolymer 및 plastisol 기반 coating 용도</t>
  </si>
  <si>
    <t>film/sheet 및 비식품 포장재 용도 존재</t>
  </si>
  <si>
    <t>바닥재 및 interior surface 용도</t>
  </si>
  <si>
    <t>Flooring</t>
  </si>
  <si>
    <t>flexible PVC의 대표 전기 절연 용도</t>
  </si>
  <si>
    <t>Wire and cable insulation</t>
  </si>
  <si>
    <t>창호, 문, siding 등 rigid profile 주요 용도</t>
  </si>
  <si>
    <t>Rigid profiles</t>
  </si>
  <si>
    <t>PVC의 최대·대표 용도이며 건설·인프라 수요와 직결</t>
  </si>
  <si>
    <t>Pipe and fittings</t>
    <phoneticPr fontId="5" type="noConversion"/>
  </si>
  <si>
    <t>VDC/PVDC계 copolymer 용도는 부수적 application</t>
  </si>
  <si>
    <t>Polyvinylidene chloride copolymers</t>
  </si>
  <si>
    <t>VCM은 거의 전량 PVC resin 생산에 사용</t>
  </si>
  <si>
    <t>Polyvinyl chloride resins</t>
  </si>
  <si>
    <t>암모니아와 반응해 ethyleneamines 생산</t>
  </si>
  <si>
    <t>PCE/TCE 등으로 연결되나 비중은 매우 작음</t>
  </si>
  <si>
    <t>C2 chlorinated solvents</t>
  </si>
  <si>
    <t>EDC 소비의 99% 이상이 VCM 생산용</t>
  </si>
  <si>
    <t>수요 비중은 작지만 전선·케이블 용도 존재</t>
  </si>
  <si>
    <t>전체 대비 8% 수준의 의미 있는 성형 용도</t>
  </si>
  <si>
    <t>mulch film, greenhouse covering 등 농업필름 수요가 성장 동인</t>
    <phoneticPr fontId="5" type="noConversion"/>
  </si>
  <si>
    <t>Agricultural films</t>
  </si>
  <si>
    <t>2023년 수요의 78%로 압도적 핵심 용도</t>
  </si>
  <si>
    <t>EVA계 hot-melt adhesive 등 특수 용도</t>
  </si>
  <si>
    <t>관·튜빙 용도는 2024년 약 2%로 제한적</t>
  </si>
  <si>
    <t>캡, 완구, 생활용품 등 성형품 용도</t>
  </si>
  <si>
    <t>절연·재킷용으로 사용되나 비중은 제한적</t>
  </si>
  <si>
    <t>포장재 코팅 및 배리어 용도에서 중요한 2차 application</t>
  </si>
  <si>
    <t>Extrusion coating</t>
  </si>
  <si>
    <t>2024년 수요의 69%로 최대 용도</t>
  </si>
  <si>
    <t>자동차 연료탱크·저장용기 적용</t>
  </si>
  <si>
    <t>Automotive fuel tanks and reservoirs</t>
  </si>
  <si>
    <t>물 공급·저장용 내구재로 사용</t>
  </si>
  <si>
    <t>Water supply and durable storage containers</t>
  </si>
  <si>
    <t>2024년 17%로 주요 성형 application</t>
  </si>
  <si>
    <t>2024년 20%, 인프라·배관 수요와 직접 연결</t>
  </si>
  <si>
    <t>2024년 24%로 blow molding과 함께 핵심 수요</t>
  </si>
  <si>
    <t>2024년 27%로 최대 용도, 병·용기 중심</t>
  </si>
  <si>
    <t>Blow molding</t>
  </si>
  <si>
    <t>source</t>
    <phoneticPr fontId="5" type="noConversion"/>
  </si>
  <si>
    <t>taxonomy_action</t>
    <phoneticPr fontId="5" type="noConversion"/>
  </si>
  <si>
    <t>reasoning</t>
    <phoneticPr fontId="5" type="noConversion"/>
  </si>
  <si>
    <t>importance</t>
    <phoneticPr fontId="5" type="noConversion"/>
  </si>
  <si>
    <t>end_use_industry</t>
    <phoneticPr fontId="5" type="noConversion"/>
  </si>
  <si>
    <t>raw application</t>
    <phoneticPr fontId="5" type="noConversion"/>
  </si>
  <si>
    <t>rating</t>
    <phoneticPr fontId="5" type="noConversion"/>
  </si>
  <si>
    <t>group_id</t>
    <phoneticPr fontId="5" type="noConversion"/>
  </si>
  <si>
    <t>group_name</t>
    <phoneticPr fontId="5" type="noConversion"/>
  </si>
  <si>
    <t>G01</t>
    <phoneticPr fontId="5" type="noConversion"/>
  </si>
  <si>
    <t>G02</t>
    <phoneticPr fontId="5" type="noConversion"/>
  </si>
  <si>
    <t>material</t>
    <phoneticPr fontId="5" type="noConversion"/>
  </si>
  <si>
    <t>LDPE</t>
    <phoneticPr fontId="5" type="noConversion"/>
  </si>
  <si>
    <t>LLDPE</t>
    <phoneticPr fontId="5" type="noConversion"/>
  </si>
  <si>
    <t>PVC</t>
    <phoneticPr fontId="5" type="noConversion"/>
  </si>
  <si>
    <t>G03</t>
    <phoneticPr fontId="5" type="noConversion"/>
  </si>
  <si>
    <t>Ethanol</t>
    <phoneticPr fontId="5" type="noConversion"/>
  </si>
  <si>
    <t>ABS</t>
    <phoneticPr fontId="5" type="noConversion"/>
  </si>
  <si>
    <t>Epoxy</t>
  </si>
  <si>
    <t>IR</t>
  </si>
  <si>
    <t>SIS</t>
  </si>
  <si>
    <t>Piperylene</t>
  </si>
  <si>
    <t>G04</t>
    <phoneticPr fontId="5" type="noConversion"/>
  </si>
  <si>
    <t>G05</t>
    <phoneticPr fontId="5" type="noConversion"/>
  </si>
  <si>
    <t>G06</t>
    <phoneticPr fontId="5" type="noConversion"/>
  </si>
  <si>
    <t>G07</t>
    <phoneticPr fontId="5" type="noConversion"/>
  </si>
  <si>
    <t>G08</t>
    <phoneticPr fontId="5" type="noConversion"/>
  </si>
  <si>
    <t>G09</t>
    <phoneticPr fontId="5" type="noConversion"/>
  </si>
  <si>
    <t>G10</t>
    <phoneticPr fontId="5" type="noConversion"/>
  </si>
  <si>
    <t>G11</t>
    <phoneticPr fontId="5" type="noConversion"/>
  </si>
  <si>
    <t>G12</t>
    <phoneticPr fontId="5" type="noConversion"/>
  </si>
  <si>
    <t>G13</t>
    <phoneticPr fontId="5" type="noConversion"/>
  </si>
  <si>
    <t>G14</t>
    <phoneticPr fontId="5" type="noConversion"/>
  </si>
  <si>
    <t>G15</t>
    <phoneticPr fontId="5" type="noConversion"/>
  </si>
  <si>
    <t>G16</t>
    <phoneticPr fontId="5" type="noConversion"/>
  </si>
  <si>
    <t>G17</t>
    <phoneticPr fontId="5" type="noConversion"/>
  </si>
  <si>
    <t>G18</t>
    <phoneticPr fontId="5" type="noConversion"/>
  </si>
  <si>
    <t>G14</t>
  </si>
  <si>
    <t>G02</t>
  </si>
  <si>
    <t>PIB</t>
  </si>
  <si>
    <t>Fuel Additive</t>
    <phoneticPr fontId="5" type="noConversion"/>
  </si>
  <si>
    <t>DCPD-UPR</t>
  </si>
  <si>
    <t>UPR Platform</t>
  </si>
  <si>
    <t>UPR Platform</t>
    <phoneticPr fontId="5" type="noConversion"/>
  </si>
  <si>
    <t>Aniline</t>
    <phoneticPr fontId="5" type="noConversion"/>
  </si>
  <si>
    <t>G03</t>
  </si>
  <si>
    <t>G04</t>
  </si>
  <si>
    <t>G05</t>
  </si>
  <si>
    <t>G06</t>
  </si>
  <si>
    <t>G07</t>
  </si>
  <si>
    <t>G08</t>
  </si>
  <si>
    <t>G09</t>
  </si>
  <si>
    <t>G10</t>
  </si>
  <si>
    <t>G12</t>
  </si>
  <si>
    <t>G13</t>
  </si>
  <si>
    <t>G15</t>
  </si>
  <si>
    <t>G16</t>
  </si>
  <si>
    <t>G17</t>
  </si>
  <si>
    <t>G18</t>
  </si>
  <si>
    <t>G19</t>
  </si>
  <si>
    <t>G19</t>
    <phoneticPr fontId="5" type="noConversion"/>
  </si>
  <si>
    <t>G20</t>
  </si>
  <si>
    <t>G20</t>
    <phoneticPr fontId="5" type="noConversion"/>
  </si>
  <si>
    <t>G21</t>
  </si>
  <si>
    <t>G21</t>
    <phoneticPr fontId="5" type="noConversion"/>
  </si>
  <si>
    <t>G22</t>
  </si>
  <si>
    <t>G22</t>
    <phoneticPr fontId="5" type="noConversion"/>
  </si>
  <si>
    <t>G23</t>
  </si>
  <si>
    <t>G23</t>
    <phoneticPr fontId="5" type="noConversion"/>
  </si>
  <si>
    <t>G24</t>
  </si>
  <si>
    <t>G24</t>
    <phoneticPr fontId="5" type="noConversion"/>
  </si>
  <si>
    <t>G25</t>
  </si>
  <si>
    <t>G25</t>
    <phoneticPr fontId="5" type="noConversion"/>
  </si>
  <si>
    <t>G26</t>
  </si>
  <si>
    <t>G26</t>
    <phoneticPr fontId="5" type="noConversion"/>
  </si>
  <si>
    <t>G27</t>
  </si>
  <si>
    <t>G27</t>
    <phoneticPr fontId="5" type="noConversion"/>
  </si>
  <si>
    <t>G28</t>
  </si>
  <si>
    <t>G28</t>
    <phoneticPr fontId="5" type="noConversion"/>
  </si>
  <si>
    <t>G29</t>
  </si>
  <si>
    <t>G29</t>
    <phoneticPr fontId="5" type="noConversion"/>
  </si>
  <si>
    <t>G30</t>
  </si>
  <si>
    <t>G30</t>
    <phoneticPr fontId="5" type="noConversion"/>
  </si>
  <si>
    <t>G31</t>
  </si>
  <si>
    <t>G31</t>
    <phoneticPr fontId="5" type="noConversion"/>
  </si>
  <si>
    <t>G32</t>
    <phoneticPr fontId="5" type="noConversion"/>
  </si>
  <si>
    <t>G33</t>
  </si>
  <si>
    <t>G33</t>
    <phoneticPr fontId="5" type="noConversion"/>
  </si>
  <si>
    <t>G34</t>
  </si>
  <si>
    <t>G34</t>
    <phoneticPr fontId="5" type="noConversion"/>
  </si>
  <si>
    <t>G35</t>
  </si>
  <si>
    <t>G35</t>
    <phoneticPr fontId="5" type="noConversion"/>
  </si>
  <si>
    <t>G01</t>
  </si>
  <si>
    <t>Petroleum resin feedstock</t>
  </si>
  <si>
    <t>C5 petroleum resin 제조의 핵심 반응성 원료로 가장 대표적인 수요처</t>
  </si>
  <si>
    <t>Hot-melt adhesive resin</t>
  </si>
  <si>
    <t>Piperylene 기반 hydrocarbon resin이 핫멜트 접착제의 점착성 부여에 광범위하게 사용</t>
  </si>
  <si>
    <t>Pressure-sensitive adhesive (PSA) resin</t>
  </si>
  <si>
    <t>라벨·테이프용 PSA resin의 tackifier 원료로 사용</t>
  </si>
  <si>
    <t>Tire rubber compounding resin</t>
  </si>
  <si>
    <t>타이어 및 고무 컴파운드의 성능 향상용 resin 원료</t>
  </si>
  <si>
    <t>Synthetic rubber intermediate</t>
  </si>
  <si>
    <t>공중합체 및 특수 고무 제조에 사용되는 반응성 디엔 원료</t>
  </si>
  <si>
    <t>Sealant and caulking formulations</t>
  </si>
  <si>
    <t>hydrocarbon resin 형태로 실란트의 점착 및 성능 개선에 사용</t>
  </si>
  <si>
    <t>Printing ink resin</t>
  </si>
  <si>
    <t>인쇄잉크용 resin 조성에 제한적으로 사용</t>
  </si>
  <si>
    <t>Coating resin modifier</t>
  </si>
  <si>
    <t>특수 코팅용 hydrocarbon resin 원료로 사용</t>
  </si>
  <si>
    <t>main petrochemical chain</t>
    <phoneticPr fontId="8" type="noConversion"/>
  </si>
  <si>
    <t>Quartz/Silica → Metallurgical silicon → Polysilicon → Silicon ingot → Silicon wafer</t>
    <phoneticPr fontId="8" type="noConversion"/>
  </si>
  <si>
    <t>Silica + Carbon source → SiC crystal → SiC wafer</t>
    <phoneticPr fontId="8" type="noConversion"/>
  </si>
  <si>
    <t>Bauxite → Alumina → Sapphire crystal → Sapphire wafer</t>
    <phoneticPr fontId="8" type="noConversion"/>
  </si>
  <si>
    <t>Specialty metals → Compound semiconductor crystal → Wafer</t>
    <phoneticPr fontId="8" type="noConversion"/>
  </si>
  <si>
    <t>Air separation → Electronic-grade atmospheric gas</t>
    <phoneticPr fontId="8" type="noConversion"/>
  </si>
  <si>
    <t>Inorganic/silicon/fluorine chemistry → Specialty electronic gas</t>
    <phoneticPr fontId="8" type="noConversion"/>
  </si>
  <si>
    <t>Metal refining → Ultra-high-purity target → Thin-film deposition</t>
    <phoneticPr fontId="8" type="noConversion"/>
  </si>
  <si>
    <t>Silicon/metal-organic chemistry → Dielectric precursor → Thin-film dielectric</t>
    <phoneticPr fontId="8" type="noConversion"/>
  </si>
  <si>
    <t>Propylene/acrylate + fluorochemical chain → ArF photoresist</t>
    <phoneticPr fontId="8" type="noConversion"/>
  </si>
  <si>
    <t>Olefin/alcohol/ketone chain → Electronic-grade solvent</t>
    <phoneticPr fontId="8" type="noConversion"/>
  </si>
  <si>
    <t>Copper/inorganic acid + organic additive → Cu plating formulation</t>
    <phoneticPr fontId="8" type="noConversion"/>
  </si>
  <si>
    <t>Amine/solvent chemistry → Lithography ancillary formulation</t>
    <phoneticPr fontId="8" type="noConversion"/>
  </si>
  <si>
    <t>Inorganic abrasive + PU/surfactant chemistry → CMP consumable</t>
    <phoneticPr fontId="8" type="noConversion"/>
  </si>
  <si>
    <t>Inorganic minerals → Specialty glass → LCD substrate</t>
  </si>
  <si>
    <t>Inorganic glass or Aromatics → PI film → OLED substrate</t>
  </si>
  <si>
    <t>Propylene/Methanol → MMA/PMMA or BTX/propylene → PC → LGP</t>
  </si>
  <si>
    <t>PX/Ethylene → PET film → Reflective film</t>
  </si>
  <si>
    <t>PET/PC base film + Acrylic/PS particles → Diffusion film</t>
  </si>
  <si>
    <t>PET film + Acrylate coating → BEF prism film</t>
  </si>
  <si>
    <t>Ethylene → VAM → PVA + Cellulose → TAC → Polarizer</t>
  </si>
  <si>
    <t>Aromatics → PI precursor → Alignment film</t>
  </si>
  <si>
    <t>BTX/propylene → Adhesive resin + Metal particles → ACF</t>
  </si>
  <si>
    <t>PVA/TAC/COP film chain → Circular polarizer</t>
  </si>
  <si>
    <t>BTX/fluorochemical chain → Mesogenic intermediates → LC mixture</t>
  </si>
  <si>
    <t>Aromatics → Organic semiconductor intermediate → OLED host</t>
  </si>
  <si>
    <t>Aromatics + Precious metal complex → OLED dopant</t>
  </si>
  <si>
    <t>Specialty aromatics/metal precursor → OLED functional layer material</t>
  </si>
  <si>
    <t>High-purity metals → Sputtering target → Display electrode</t>
  </si>
  <si>
    <t>BTX/propylene → Acrylic resist resin + Pigments → Color filter resist</t>
  </si>
  <si>
    <t>BTX/propylene → Photoresist resin/formulation → Display PR</t>
  </si>
  <si>
    <t>Air separation / Inorganic chemistry → Electronic-grade gases</t>
  </si>
  <si>
    <t>Inorganic acid/base + Solvent chain → Wet-process chemical</t>
  </si>
  <si>
    <t>BTX/propylene → Epoxy/BT resin + Glass/Cu → PCB laminate</t>
  </si>
  <si>
    <t>Propylene/acrylate + BTX → Photoimageable resist</t>
  </si>
  <si>
    <t>Inorganic acid/base + Solvent chain → PCB wet chemical</t>
  </si>
  <si>
    <t>Copper/inorganic acid + Organic additive → PCB plating chemical</t>
  </si>
  <si>
    <t>Metal powder + Organic binder → Thin-film paste</t>
  </si>
  <si>
    <t>Epoxy/BT resin + Cu/Si → IC substrate/interposer</t>
  </si>
  <si>
    <t>BTX/propylene → Epoxy resin + Silica filler → EMC</t>
  </si>
  <si>
    <t>Epoxy/acrylic/silicone chemistry → Semiconductor adhesive</t>
  </si>
  <si>
    <t>High-purity metals → Solder alloy → Solder bump</t>
  </si>
  <si>
    <t>High-purity metal + Polymer formulation → Packaging auxiliary material</t>
  </si>
  <si>
    <t>Biomass/sugar → Fermentation or hydrolysis → Amino acid/protein ingredient</t>
  </si>
  <si>
    <t>Isoprene/natural extraction → Carotenoid active → Nutraceutical formulation</t>
  </si>
  <si>
    <t>Mineral refining → Food-grade mineral salt → Supplement ingredient</t>
  </si>
  <si>
    <t>Plant extraction → Purification → Functional polyphenol ingredient</t>
  </si>
  <si>
    <t>Sugar/biomass → Fermentation → Probiotic culture</t>
  </si>
  <si>
    <t>Biomass/starch → Hydrolysis/modification → Functional fiber</t>
  </si>
  <si>
    <t>Natural oil/algae fermentation → Fatty acid concentration → Nutraceutical oil</t>
  </si>
  <si>
    <t>Oleochemical/tall oil → Sterol extraction → Esterified sterol ingredient</t>
  </si>
  <si>
    <t>Petrochemical/biomass route → Vitamin intermediate → Vitamin active</t>
  </si>
  <si>
    <t>Fermentation/extraction/synthesis → Functional nutraceutical active</t>
  </si>
  <si>
    <t>BTX/C4 → Nylon intermediates → Specialty polyamide</t>
    <phoneticPr fontId="8" type="noConversion"/>
  </si>
  <si>
    <t>Aromatics → Specialty aromatic monomer → LCP</t>
    <phoneticPr fontId="8" type="noConversion"/>
  </si>
  <si>
    <t>BTX → Aromatic ketone intermediate → PEEK/PEKK</t>
    <phoneticPr fontId="8" type="noConversion"/>
  </si>
  <si>
    <t>PX/ethylene → PTA + CHDM → PCT</t>
    <phoneticPr fontId="8" type="noConversion"/>
  </si>
  <si>
    <t>BTX → BPA/aromatic acid chloride → PAR</t>
    <phoneticPr fontId="8" type="noConversion"/>
  </si>
  <si>
    <t>BTX/propylene → BPA + sulfone intermediate → Sulfone polymer</t>
    <phoneticPr fontId="8" type="noConversion"/>
  </si>
  <si>
    <t>Aromatics → PI monomer → Polyimide</t>
    <phoneticPr fontId="8" type="noConversion"/>
  </si>
  <si>
    <t>BTX/C4 → Nylon resin → Compound</t>
    <phoneticPr fontId="8" type="noConversion"/>
  </si>
  <si>
    <t>PX/C4 → PTA + BDO → PBT</t>
    <phoneticPr fontId="8" type="noConversion"/>
  </si>
  <si>
    <t>BTX/propylene → BPA → PC resin → Compound</t>
    <phoneticPr fontId="8" type="noConversion"/>
  </si>
  <si>
    <t>BTX/propylene → Phenolic intermediate → PPE</t>
    <phoneticPr fontId="8" type="noConversion"/>
  </si>
  <si>
    <t>Fluorspar → Fluorochemicals → Fluoromonomer → Fluoropolymer Resin</t>
    <phoneticPr fontId="8" type="noConversion"/>
  </si>
  <si>
    <t xml:space="preserve">Aromatics → PI monomer → PI film </t>
    <phoneticPr fontId="8" type="noConversion"/>
  </si>
  <si>
    <t>PX / Naphthalene → NDC/NDA → PEN Resin → Film</t>
    <phoneticPr fontId="8" type="noConversion"/>
  </si>
  <si>
    <t>Olefin/C5 → Cyclic olefin → COC/COP</t>
    <phoneticPr fontId="8" type="noConversion"/>
  </si>
  <si>
    <t>Olefin → Specialty monomer → Advanced COC/COP film</t>
    <phoneticPr fontId="8" type="noConversion"/>
  </si>
  <si>
    <t>BTX/propylene → BPA epoxy → Epoxy acrylate</t>
    <phoneticPr fontId="8" type="noConversion"/>
  </si>
  <si>
    <t>PX/ethylene/PO → Polyester/polyether polyol → Acrylate oligomer</t>
    <phoneticPr fontId="8" type="noConversion"/>
  </si>
  <si>
    <t>Propylene → Acrylic acid/acrylate → Acrylic oligomer</t>
    <phoneticPr fontId="8" type="noConversion"/>
  </si>
  <si>
    <t>Silicon chemistry → Siloxane → Silicone acrylate</t>
    <phoneticPr fontId="8" type="noConversion"/>
  </si>
  <si>
    <t>Benzene/C4 + glycol chain → UPR</t>
    <phoneticPr fontId="8" type="noConversion"/>
  </si>
  <si>
    <t>BTX/propylene → Epoxy/oxetane chemistry</t>
    <phoneticPr fontId="8" type="noConversion"/>
  </si>
  <si>
    <t>Olefin/acetylene chemistry → Vinyl ether</t>
    <phoneticPr fontId="8" type="noConversion"/>
  </si>
  <si>
    <t>C5 terpene/olefin → Alcohol → Acrylate monomer</t>
    <phoneticPr fontId="8" type="noConversion"/>
  </si>
  <si>
    <t>BTX/propylene → BPA → Epoxy resin</t>
    <phoneticPr fontId="8" type="noConversion"/>
  </si>
  <si>
    <t>PX + glycol chain → Polyester resin</t>
    <phoneticPr fontId="8" type="noConversion"/>
  </si>
  <si>
    <t>Epichlorohydrin chain → TGIC</t>
    <phoneticPr fontId="8" type="noConversion"/>
  </si>
  <si>
    <t>Olefin/ammonia → Amide chemistry</t>
    <phoneticPr fontId="8" type="noConversion"/>
  </si>
  <si>
    <t>Ethylene → Ethyleneamine</t>
    <phoneticPr fontId="8" type="noConversion"/>
  </si>
  <si>
    <t>C4/paraffin oxidation → Specialty amine</t>
    <phoneticPr fontId="8" type="noConversion"/>
  </si>
  <si>
    <t>Petrochemical intermediate → Hardener</t>
    <phoneticPr fontId="8" type="noConversion"/>
  </si>
  <si>
    <t>BTX/PO → Epoxy/PU coating</t>
    <phoneticPr fontId="8" type="noConversion"/>
  </si>
  <si>
    <t>Aromatics/PU chain → Offshore coating</t>
    <phoneticPr fontId="8" type="noConversion"/>
  </si>
  <si>
    <t>BPA epoxy + PU chain</t>
    <phoneticPr fontId="8" type="noConversion"/>
  </si>
  <si>
    <t>Aromatics/silicone → Marine coating</t>
    <phoneticPr fontId="8" type="noConversion"/>
  </si>
  <si>
    <t>BPA epoxy chain</t>
    <phoneticPr fontId="8" type="noConversion"/>
  </si>
  <si>
    <t>Acrylic/PU chain → High-gloss marine coating</t>
    <phoneticPr fontId="8" type="noConversion"/>
  </si>
  <si>
    <t>Silica → Metallurgical silicon → Polysilicon → Ingot/Wafer → Solar cell</t>
  </si>
  <si>
    <t>Specialty metals/halides → Thin-film absorber → PV module</t>
  </si>
  <si>
    <t>Silver + Glass frit + Solvent/resin vehicle → Silver paste</t>
  </si>
  <si>
    <t>High-purity metals → Oxide target/coating → Transparent conductive layer</t>
  </si>
  <si>
    <t>Metal refining + Organic binder → Conductive interconnect material</t>
  </si>
  <si>
    <t>Inorganic acid/base chain → Wet-processing chemical</t>
  </si>
  <si>
    <t>Inorganic specialty chemistry → Solar cell process chemical</t>
  </si>
  <si>
    <t>Ethylene → VAM → EVA resin → Encapsulant film</t>
  </si>
  <si>
    <t>Ethylene + Alpha-olefin → POE/TPO → Encapsulant film</t>
  </si>
  <si>
    <t>Ethylene/VAM + Alpha-olefin → EVA/POE → EPE film</t>
  </si>
  <si>
    <t>Olefin/silicone chemistry → Specialty encapsulant</t>
  </si>
  <si>
    <t>Inorganic minerals → Low-iron glass → PV module glass</t>
  </si>
  <si>
    <t>PX/Ethylene → PTA/EG → PET film → PV backsheet</t>
  </si>
  <si>
    <t>Fluorspar → Fluorochemical → Fluoropolymer → Backsheet film</t>
  </si>
  <si>
    <t>Olefin/BTX chain → Specialty polymer film/coating → Backsheet</t>
  </si>
  <si>
    <t>Olefin/ammonia/aromatics → Curing agent → Epoxy composite</t>
  </si>
  <si>
    <t>Propylene/acrylate or fluorochemical chain → Weatherable coating</t>
  </si>
  <si>
    <t>Rare earth mining/refining → Magnet alloy → Wind generator magnet</t>
  </si>
  <si>
    <t>BTX/propylene → Epoxy/PU resin → Structural adhesive</t>
  </si>
  <si>
    <t>EO/propylene/aromatics → Concrete admixture → Wind foundation</t>
  </si>
  <si>
    <t>BTX/fluorochemical → Membrane polymer → Water treatment membrane</t>
  </si>
  <si>
    <t>Inorganic/Petrochemical intermediates → Corrosion inhibitor formulation</t>
  </si>
  <si>
    <t>Acrylic/phosphonate chemistry → Scale inhibitor</t>
  </si>
  <si>
    <t>Chlorine/C1/specialty intermediate → Biocide formulation</t>
  </si>
  <si>
    <t>Silicon/PO chain → Silicone/polyether defoamer</t>
  </si>
  <si>
    <t>Oleochemical/propylene/silicone chain → Emollient ingredient</t>
  </si>
  <si>
    <t>Olefin/fatty alcohol/LAB → Surfactant → Personal care formulation</t>
  </si>
  <si>
    <t>Mineral/BTX → Pigment/colorant → Color cosmetics</t>
  </si>
  <si>
    <t>Petrochemical/mineral → Carrier/powder → Cosmetic formulation</t>
  </si>
  <si>
    <t>BTX/C1/C2 → Preservative/chelating intermediate → Protection agent</t>
  </si>
  <si>
    <t>Acrylic/cellulose/silicone chain → Hair conditioning polymer</t>
  </si>
  <si>
    <t>Ethylene/propylene → Vinyl/acrylic polymer → Hair setting resin</t>
  </si>
  <si>
    <t>BTX/oxo alcohol → UV absorber → Sunscreen active</t>
  </si>
  <si>
    <t>Alumina/chlorine chemistry → Antiperspirant active</t>
  </si>
  <si>
    <t>Inorganic/aroma chemical → Deodorant active</t>
  </si>
  <si>
    <t>Inorganic/sulfur/aromatic chemistry → Antidandruff active</t>
  </si>
  <si>
    <t>Fermentation/extraction/synthesis → Cosmetic active</t>
  </si>
  <si>
    <t>LAB/EO/chlorine/alcohol → Cleaner formulation</t>
  </si>
  <si>
    <t>Chlor-alkali/inorganic acid/surfactant → Food plant cleaning chemical</t>
  </si>
  <si>
    <t>LAB/EO/alkali → Kitchen detergent formulation</t>
  </si>
  <si>
    <t>Petrochemical solvent + surfactant → Industrial cleaner</t>
  </si>
  <si>
    <t>LAB/EO/solvent → Vehicle cleaning formulation</t>
  </si>
  <si>
    <t>LAB/EO + specialty additives → Laundry detergent</t>
  </si>
  <si>
    <t>Petrochemical/inorganic feed → Specialty I&amp;I cleaner</t>
  </si>
  <si>
    <t>BTX/propylene → Phenol/phosphite chemistry → Antioxidant</t>
    <phoneticPr fontId="8" type="noConversion"/>
  </si>
  <si>
    <t>EO/amine chemistry → Antistatic additive</t>
    <phoneticPr fontId="8" type="noConversion"/>
  </si>
  <si>
    <t>Natural gas/ammonia → Urea derivative → Blowing agent</t>
    <phoneticPr fontId="8" type="noConversion"/>
  </si>
  <si>
    <t>BTX/chlor-alkali/phosphorus → Flame retardant</t>
    <phoneticPr fontId="8" type="noConversion"/>
  </si>
  <si>
    <t>Chlor-alkali/metal chemistry → Heat stabilizer</t>
    <phoneticPr fontId="8" type="noConversion"/>
  </si>
  <si>
    <t>Olefin/C4 → Rubber/acrylic intermediate → Impact modifier</t>
    <phoneticPr fontId="8" type="noConversion"/>
  </si>
  <si>
    <t>BTX/amine chemistry → UV stabilizer</t>
    <phoneticPr fontId="8" type="noConversion"/>
  </si>
  <si>
    <t>Olefin/paraffin/oleochemical → Lubricant additive</t>
    <phoneticPr fontId="8" type="noConversion"/>
  </si>
  <si>
    <t>PO/EO → Polyol + Aromatics → Isocyanate → PU adhesive</t>
    <phoneticPr fontId="8" type="noConversion"/>
  </si>
  <si>
    <t>Benzene/Propylene → Phenol/Acetone → BPA → Epoxy resin → Epoxy adhesive</t>
    <phoneticPr fontId="8" type="noConversion"/>
  </si>
  <si>
    <t>Propylene → Acrylic acid/acrylates + BTX → Photoinitiator → UV adhesive</t>
    <phoneticPr fontId="8" type="noConversion"/>
  </si>
  <si>
    <t>Olefin/Methanol → Acrylic/Methacrylic intermediates → Specialty adhesive</t>
    <phoneticPr fontId="8" type="noConversion"/>
  </si>
  <si>
    <t>Silicon metal + Methanol → Chlorosilane → Siloxane → Silicone sealant</t>
    <phoneticPr fontId="8" type="noConversion"/>
  </si>
  <si>
    <t>PO/EO → Polyol + Aromatics → Isocyanate → PU sealant</t>
    <phoneticPr fontId="8" type="noConversion"/>
  </si>
  <si>
    <t>PO/EO → Polyether + Silicon chemistry → Silyl-modified polymer sealant</t>
    <phoneticPr fontId="8" type="noConversion"/>
  </si>
  <si>
    <t>Ethylene/chlorine + Sulfur → Polysulfide polymer → Fuel-resistant sealant</t>
    <phoneticPr fontId="8" type="noConversion"/>
  </si>
  <si>
    <t>Benzene → Nitrobenzene/Aniline → PPD → Amine antidegradant</t>
  </si>
  <si>
    <t>Benzene/Propylene → Phenol/Alkylphenol → Phenolic antioxidant</t>
  </si>
  <si>
    <t>Phenol/aromatics + Phosphorus chemistry → Phosphite antioxidant</t>
  </si>
  <si>
    <t>Refinery wax/olefin chain → Rubber protective additive</t>
  </si>
  <si>
    <t>Benzene/aniline + Sulfur chemistry → MBT → Sulfenamide accelerator</t>
  </si>
  <si>
    <t>Aromatic amine + Sulfur chemistry → Thiazole accelerator</t>
  </si>
  <si>
    <t>CS₂/amine/aromatics → Accelerator intermediate → Rubber accelerator</t>
  </si>
  <si>
    <t>Olefin/aromatics → Polymerization control additive</t>
  </si>
  <si>
    <t>Natural gas/ammonia → Urea derivative → Blowing agent</t>
  </si>
  <si>
    <t>Aromatics/C5 chemistry → Retarder → Rubber processing aid</t>
  </si>
  <si>
    <t>Aromatics/inorganic chemistry → Shortstop additive</t>
  </si>
  <si>
    <t>Aromatics + Sulfur chemistry → Peptizer</t>
  </si>
  <si>
    <t>Oleochemical/EO/PO/mineral oil → Textile lubricant</t>
  </si>
  <si>
    <t>Biomass/ethylene/propylene → Warp size polymer</t>
  </si>
  <si>
    <t>LAB/fatty alcohol/EO → Textile surfactant</t>
  </si>
  <si>
    <t>Inorganic/C2 chemistry → Bleaching auxiliary</t>
  </si>
  <si>
    <t>BTX → Stilbene derivative → Fluorescent whitening agent</t>
  </si>
  <si>
    <t>Biomass/sugar → Fermentation → Textile enzyme</t>
  </si>
  <si>
    <t>Propylene/biomass → Printing auxiliary</t>
  </si>
  <si>
    <t>BTX/naphthalene → Dye intermediate → Textile dye</t>
  </si>
  <si>
    <t>Silicone/oleochemical/phosphorus/fluorochemical → Textile finish</t>
  </si>
  <si>
    <t>Propylene/PO/BTX/silicone → Textile coating</t>
  </si>
  <si>
    <t>BTX/oleochemical → Ink resin/vehicle → Lithographic ink</t>
  </si>
  <si>
    <t>Solvent/acrylic/PU chain → Flexographic ink</t>
  </si>
  <si>
    <t>Aromatic/ester solvent + resin → Gravure ink</t>
  </si>
  <si>
    <t>Acrylic/solvent chain → Inkjet ink formulation</t>
  </si>
  <si>
    <t>Acrylic/BTX → UV ink formulation</t>
  </si>
  <si>
    <t>Extraction/fermentation/synthesis → Flavor composition</t>
  </si>
  <si>
    <t>Aroma chemical + natural extract → Fragrance formulation</t>
  </si>
  <si>
    <t>Plant extraction/distillation → Natural extract</t>
  </si>
  <si>
    <t>BTX/isoprene/turpentine → Aroma chemical</t>
  </si>
  <si>
    <t>Biomass starch → Chemical/enzymatic modification → Food starch</t>
  </si>
  <si>
    <t>Biomass/fermentation → Hydrocolloid → Food stabilizer</t>
  </si>
  <si>
    <t>Fermentation/sugar chemistry/extraction → High-intensity sweetener</t>
  </si>
  <si>
    <t>Biomass sugar → Hydrogenation/fermentation → Specialty sweetener</t>
  </si>
  <si>
    <t>Oleochemical/glycerol/EO → Food emulsifier</t>
  </si>
  <si>
    <t>Extraction/mineral/BTX → Food colorant</t>
  </si>
  <si>
    <t>Biomass/sugar → Fermentation → Food enzyme</t>
  </si>
  <si>
    <t>BTX/olefin/fermentation → Preservative</t>
  </si>
  <si>
    <t>BTX/natural oil → Antioxidant → Food additive</t>
  </si>
  <si>
    <t>Isoprene/natural route → Carotenoid feed additive</t>
  </si>
  <si>
    <t>Petrochemical/fermentation → Vitamin active</t>
  </si>
  <si>
    <t>Phosphate rock → Phosphoric acid → Feed phosphate</t>
  </si>
  <si>
    <t>Fermentation/petrochemical sulfur chemistry → Feed amino acid</t>
  </si>
  <si>
    <t>Natural gas → Ammonia → Urea → Feed NPN</t>
  </si>
  <si>
    <t>Biomass/sugar → Fermentation → Feed enzyme</t>
  </si>
  <si>
    <t>Ethylene → LAO/Decene → PAO → Synthetic lubricant</t>
  </si>
  <si>
    <t>Propylene → Polyol + Fatty acid → Polyol ester</t>
  </si>
  <si>
    <t>Ethylene/Propylene → EO/PO → PAG → Synthetic lubricant</t>
  </si>
  <si>
    <t>Olefin/paraffin oxidation + Alcohol → Di-/triester lubricant</t>
  </si>
  <si>
    <t>C4 stream → Isobutylene → Polybutene</t>
  </si>
  <si>
    <t>Benzene → Phenol + Phosphorus chemistry → Phosphate ester</t>
  </si>
  <si>
    <t>Aromatics + Olefin → Alkylated aromatic base oil</t>
  </si>
  <si>
    <t>Silicon/fluorochemical/aromatics → Specialty lubricant</t>
  </si>
  <si>
    <t>Inorganic/C2 chemistry → Bleaching specialty</t>
  </si>
  <si>
    <t>Oleochemical/EO/PO → Deinking formulation</t>
  </si>
  <si>
    <t>Biomass/sugar → Fermentation → Paper enzyme</t>
  </si>
  <si>
    <t>Chlorine/C1/specialty intermediate → Paper biocide</t>
  </si>
  <si>
    <t>Silicone/mineral oil/oleochemical → Defoamer</t>
  </si>
  <si>
    <t>Mineral/polymer/surfactant → Pitch control additive</t>
  </si>
  <si>
    <t>Propylene → Acrylamide → Retention aid polymer</t>
  </si>
  <si>
    <t>Biomass/propylene → Strength polymer</t>
  </si>
  <si>
    <t>Propylene/chlorine + amine → Wet-strength resin</t>
  </si>
  <si>
    <t>Oleochemical/olefin/styrene → Sizing agent</t>
  </si>
  <si>
    <t>Aromatics/mineral → Paper colorant/brightener</t>
  </si>
  <si>
    <t>BTX/C4/acrylic chain → Coating binder</t>
  </si>
  <si>
    <t>Acrylic/oleochemical/biopolymer → Specialty paper coating</t>
  </si>
  <si>
    <t>EO/propylene/aromatics → Concrete admixture</t>
  </si>
  <si>
    <t>C4/BTX → Styrenic elastomer/additive → Asphalt modifier</t>
  </si>
  <si>
    <t>BTX/PO/silicone/acrylic chain → Construction A&amp;S</t>
  </si>
  <si>
    <t>Acrylic/epoxy/PU/silicone chain → Construction coating</t>
  </si>
  <si>
    <t>PO/EO → Polyol + Aromatics → Isocyanate → Insulation foam</t>
  </si>
  <si>
    <t>Olefin/ketone/alcohol chain → Frother</t>
  </si>
  <si>
    <t>Alcohol + CS₂/phosphorus chemistry → Sulfide collector</t>
  </si>
  <si>
    <t>Oleochemical/amine/phosphate → Collector</t>
  </si>
  <si>
    <t>Propylene → Acrylonitrile/Acrylamide → Flocculant</t>
  </si>
  <si>
    <t>BTX/oxo alcohol/phosphorus → Solvent extractant</t>
  </si>
  <si>
    <t>Ethylene/propylene → EO/PO/amine → Grinding aid</t>
  </si>
  <si>
    <t>Propylene/EO/PO → Dispersant → Wet grinding aid</t>
  </si>
  <si>
    <t>Acrylic/biopolymer → Rheology modifier</t>
  </si>
  <si>
    <t>C4 → PIB → PIBSA + Amine → Dispersant</t>
  </si>
  <si>
    <t>Aromatics/olefin + metal base → Detergent additive</t>
  </si>
  <si>
    <t>Alcohol + P/S/Zn chemistry → Anti-wear additive</t>
  </si>
  <si>
    <t>BTX/propylene → Antioxidant intermediate → LOA antioxidant</t>
  </si>
  <si>
    <t>Oleochemical/BTX/N chemistry → Corrosion inhibitor</t>
  </si>
  <si>
    <t>Olefin/acrylate/styrenic chain → VI improver</t>
  </si>
  <si>
    <t>Acrylic/oleochemical/silicone chain → Specialty LOA</t>
  </si>
  <si>
    <t>Biomass/acrylic chain → Water-based drilling additive</t>
  </si>
  <si>
    <t>Base oil/oleochemical/amine → OBM additive</t>
  </si>
  <si>
    <t>Ethylene/olefin/ester → Synthetic drilling fluid</t>
  </si>
  <si>
    <t>Aromatics/EO/PO/cellulose → Cementing additive</t>
  </si>
  <si>
    <t>Inorganic salt + amine/solvent → Completion fluid chemical</t>
  </si>
  <si>
    <t>Inorganic acid + amine/surfactant → Acidizing chemical</t>
  </si>
  <si>
    <t>Acrylic/biopolymer/inorganic → Fracturing additive</t>
  </si>
  <si>
    <t>Amine/phosphonate/biocide chain → Asset integrity chemical</t>
  </si>
  <si>
    <t>EO/PO/C1/aromatics → Flow assurance chemical</t>
  </si>
  <si>
    <t>LAB/acrylamide/alkali → EOR chemical</t>
  </si>
  <si>
    <t>Inorganic minerals/rare earth → Zeolite catalyst → FCC</t>
  </si>
  <si>
    <t>Metal salts + Alumina → Hydrotreating catalyst</t>
  </si>
  <si>
    <t>Zeolite/alumina + metals → Hydrocracking catalyst</t>
  </si>
  <si>
    <t>Precious metal + Alumina → Reforming catalyst</t>
  </si>
  <si>
    <t>Precious metal/inorganic support → Isomerization catalyst</t>
  </si>
  <si>
    <t>Inorganic/zeolite/acid chemistry → Refining catalyst</t>
  </si>
  <si>
    <t>PGM + Rare earth oxide + Ceramic substrate → TWC</t>
  </si>
  <si>
    <t>PGM/ceramic → Small engine catalyst</t>
  </si>
  <si>
    <t>PGM/oxide washcoat → Small engine catalyst</t>
  </si>
  <si>
    <t>PGM/zeolite/oxide → Diesel emission catalyst</t>
  </si>
  <si>
    <t>Zeolite/metal oxide/PGM → Heavy-duty emission catalyst</t>
  </si>
  <si>
    <t>Ti/V/W oxide or Zeolite → Stationary SCR catalyst</t>
  </si>
  <si>
    <t>PGM/zeolite/metal oxide → Industrial emission catalyst</t>
  </si>
  <si>
    <t>PGM/zeolite/ceramic → Non-road emission catalyst</t>
  </si>
  <si>
    <t>Specialty Category</t>
    <phoneticPr fontId="5" type="noConversion"/>
  </si>
  <si>
    <t>Linkage 사유</t>
    <phoneticPr fontId="8" type="noConversion"/>
  </si>
  <si>
    <t>Construction chemicals</t>
    <phoneticPr fontId="8" type="noConversion"/>
  </si>
  <si>
    <t>콘크리트 혼화제, 방수재, 보수재 등 건설용 기능성 화학소재</t>
  </si>
  <si>
    <t>Coatings, high-performance anticorrosion</t>
    <phoneticPr fontId="8" type="noConversion"/>
  </si>
  <si>
    <t>철강, 콘크리트, 교량, 플랜트, 해양구조물 부식 방지</t>
  </si>
  <si>
    <t>Coatings, thermosetting powder</t>
    <phoneticPr fontId="8" type="noConversion"/>
  </si>
  <si>
    <t>건축자재, 금속 구조물, 창호, 외장재 코팅</t>
  </si>
  <si>
    <t>Specialty adhesives and sealants</t>
    <phoneticPr fontId="8" type="noConversion"/>
  </si>
  <si>
    <t>건축용 실란트, 접착제, 방수·기밀 소재</t>
  </si>
  <si>
    <t>Water management chemicals</t>
    <phoneticPr fontId="8" type="noConversion"/>
  </si>
  <si>
    <t>상하수, 정수, 폐수처리 등 인프라 운영용 화학소재</t>
  </si>
  <si>
    <t>Plastics additives</t>
    <phoneticPr fontId="8" type="noConversion"/>
  </si>
  <si>
    <t>PVC pipe, insulation, flooring, 건축용 플라스틱 소재 성능 개선</t>
  </si>
  <si>
    <t>High-performance thermoplastics</t>
    <phoneticPr fontId="8" type="noConversion"/>
  </si>
  <si>
    <t>고내열·고강도 건축 부품, 특수 배관, 절연재 등에 일부 적용</t>
  </si>
  <si>
    <t>Specialty films</t>
  </si>
  <si>
    <t>식품·생활용품 포장필름, 보호필름, 기능성 포장재</t>
  </si>
  <si>
    <t>Plastics additives</t>
  </si>
  <si>
    <t>포장재, 생활용 플라스틱 제품의 내구성·가공성·색상·안정성 개선</t>
  </si>
  <si>
    <t>Cosmetic/personal care chemicals</t>
  </si>
  <si>
    <t>화장품, 퍼스널케어 제품용 기능성 원료</t>
  </si>
  <si>
    <t>포장재, 라벨, 상업 인쇄물용 잉크</t>
  </si>
  <si>
    <t>Flavors and fragrances</t>
  </si>
  <si>
    <t>식품, 생활용품, 화장품 향료·향미 소재</t>
  </si>
  <si>
    <t>식품 보존, 물성, 맛, 색, 기능성 개선 첨가제</t>
  </si>
  <si>
    <t>Specialty adhesives and sealants</t>
  </si>
  <si>
    <t>포장재 라미네이션, 라벨, 생활용 접착제</t>
  </si>
  <si>
    <t>Paper chemicals</t>
  </si>
  <si>
    <t>포장지, 기능성 종이, 위생지, 코팅지 제조용 화학소재</t>
  </si>
  <si>
    <t>Textile chemicals</t>
  </si>
  <si>
    <t>의류·생활섬유의 염색, 가공, 기능성 부여</t>
  </si>
  <si>
    <t>Cleaners, industrial and institutional</t>
  </si>
  <si>
    <t>일부 생활·상업용 세정제와 연결</t>
  </si>
  <si>
    <t>Coatings, radiation curable</t>
  </si>
  <si>
    <t>포장재, 라벨, 인쇄물용 UV 경화 코팅</t>
  </si>
  <si>
    <t>High-performance thermoplastics</t>
  </si>
  <si>
    <t>자동차 경량화, 내열 부품, 전장 부품, 구조용 플라스틱</t>
  </si>
  <si>
    <t>Compounded engineering thermoplastics</t>
  </si>
  <si>
    <t>자동차용 엔지니어링 플라스틱 컴파운드, 맞춤형 물성 구현</t>
  </si>
  <si>
    <t>타이어, 씰, 호스, 방진고무 등 고무부품 제조 보조제</t>
  </si>
  <si>
    <t>Lubricants, synthetic</t>
  </si>
  <si>
    <t>자동차 엔진오일, EV 감속기유, 열관리 유체 등</t>
  </si>
  <si>
    <t>윤활유 성능 개선, 마모 방지, 산화 안정성, 청정성 부여</t>
  </si>
  <si>
    <t>Emission control</t>
  </si>
  <si>
    <t>배출가스 저감 촉매, 자동차 배기가스 처리 소재</t>
  </si>
  <si>
    <t>차체 접착, 구조용 접착, 배터리팩 실링</t>
  </si>
  <si>
    <t>Coatings, thermosetting powder</t>
  </si>
  <si>
    <t>자동차 부품, 휠, 금속부품 코팅</t>
  </si>
  <si>
    <t>자동차 내외장재, 전장부품용 플라스틱 물성 개선</t>
  </si>
  <si>
    <t>Green power materials</t>
  </si>
  <si>
    <t>태양광, 배터리, 전력저장, 전력 인프라 관련 소재</t>
  </si>
  <si>
    <t>Oil field chemicals</t>
  </si>
  <si>
    <t>원유·가스전 생산, 회수율 향상, 부식·스케일 방지</t>
  </si>
  <si>
    <t>Petroleum refining/chemical process</t>
  </si>
  <si>
    <t>정유·석화 공정 촉매, 공정 효율 개선 소재</t>
  </si>
  <si>
    <t>발전소, 정유·석화 플랜트, 산업설비 배출가스 저감</t>
  </si>
  <si>
    <t>Water management chemicals</t>
  </si>
  <si>
    <t>발전소, 정유·석화, 가스처리 설비의 공정수·폐수처리</t>
  </si>
  <si>
    <t>Coatings, high-performance anticorrosion</t>
  </si>
  <si>
    <t>에너지 설비, 저장탱크, 배관, 해양플랜트 부식 방지</t>
  </si>
  <si>
    <t>터빈, 압축기, 발전설비, 에너지 인프라 윤활</t>
  </si>
  <si>
    <t>산업·에너지 설비용 윤활유 성능 개선</t>
  </si>
  <si>
    <t>Mining chemicals</t>
  </si>
  <si>
    <t>에너지·자원 채굴과 연결되는 광물 처리 화학소재</t>
  </si>
  <si>
    <t>Nutraceutical ingredients</t>
  </si>
  <si>
    <t>건강기능식품, 기능성 식품 원료</t>
  </si>
  <si>
    <t>건강·기능성 식품, 식품 안정화 소재</t>
  </si>
  <si>
    <t>의료용 필름, 보호필름, 포장필름, 멸균 포장재</t>
  </si>
  <si>
    <t>의료기기, 진단장비, 고내열·고청정 플라스틱 부품</t>
  </si>
  <si>
    <t>의약외품, 건강식품, 퍼스널케어 제품 향미·향료 소재</t>
  </si>
  <si>
    <t>피부·위생·개인관리 제품과 일부 헬스케어 접점</t>
  </si>
  <si>
    <t>Feed additives</t>
  </si>
  <si>
    <t>축산·사료용 기능성 첨가제</t>
  </si>
  <si>
    <t>농업용 필름, 하우스 필름, 멀칭 필름</t>
  </si>
  <si>
    <t>농업용 필름의 내후성, 자외선 안정성, 수명 개선</t>
  </si>
  <si>
    <t>농업용수 처리, 관개 시스템, 수질 관리와 일부 연결</t>
  </si>
  <si>
    <t>농산물 가공·식품화 단계에서 간접 연결 가능</t>
  </si>
  <si>
    <t>산업재 표면처리, UV 경화 코팅, 고속 생산라인 적용</t>
  </si>
  <si>
    <t>산업기계, 금속부품, 가전, 설비 코팅</t>
  </si>
  <si>
    <t>플랜트, 선박, 중장비, 산업설비 부식 방지</t>
  </si>
  <si>
    <t>산업·상업용 세정제, 설비 세정, 표면처리 전처리</t>
  </si>
  <si>
    <t>산업기계, 압축기, 터빈, 고성능 윤활 수요</t>
  </si>
  <si>
    <t>산업용 윤활유 성능 개선</t>
  </si>
  <si>
    <t>광물 채굴·선광·정제 공정용 화학소재</t>
  </si>
  <si>
    <t>산업공정 촉매, 정유·석화 공정 효율화</t>
  </si>
  <si>
    <t>산업용 부품, 기계부품, 내열·내마모 소재</t>
  </si>
  <si>
    <t>산업용 고무부품, 벨트, 씰, 호스</t>
  </si>
  <si>
    <t>산업용 섬유, 코팅 섬유, 기능성 섬유 가공</t>
  </si>
  <si>
    <t>산업용 마킹, 패키징 인쇄, 기능성 인쇄</t>
  </si>
  <si>
    <t>산업용지, 포장지, 특수지 제조</t>
  </si>
  <si>
    <t>산업재 조립, 접합, 실링</t>
  </si>
  <si>
    <t>산업공정 수처리, 폐수처리</t>
  </si>
  <si>
    <t>고성능 산업부품, 내열·내화학 부품</t>
  </si>
  <si>
    <t>Semiconductors, silicon and IC process chemicals</t>
  </si>
  <si>
    <t>반도체 제조공정용 초고순도 전자화학 소재</t>
  </si>
  <si>
    <t>Display materials</t>
  </si>
  <si>
    <t>LCD/OLED 등 디스플레이 소재</t>
  </si>
  <si>
    <t>Printed circuit boards and packaging</t>
  </si>
  <si>
    <t>PCB, 반도체 패키징, 전자부품 기판 소재</t>
  </si>
  <si>
    <t>디스플레이 필름, 보호필름, 광학필름, 전자재료용 필름</t>
  </si>
  <si>
    <t>전자부품, 커넥터, 절연재, 고내열 플라스틱</t>
  </si>
  <si>
    <t>전기전자 부품용 엔지니어링 플라스틱 컴파운드</t>
  </si>
  <si>
    <t>난연제, 안정제, 대전방지제 등 전자재료용 플라스틱 성능 개선</t>
  </si>
  <si>
    <t>전자부품 접착, 디스플레이 접합, 반도체 패키징 보조소재</t>
  </si>
  <si>
    <t>전자부품 보호코팅, 디스플레이·필름 코팅</t>
  </si>
  <si>
    <t>E03</t>
    <phoneticPr fontId="5" type="noConversion"/>
  </si>
  <si>
    <t>E04</t>
    <phoneticPr fontId="5" type="noConversion"/>
  </si>
  <si>
    <t>E05</t>
    <phoneticPr fontId="5" type="noConversion"/>
  </si>
  <si>
    <t>E06</t>
    <phoneticPr fontId="5" type="noConversion"/>
  </si>
  <si>
    <t>E07</t>
    <phoneticPr fontId="5" type="noConversion"/>
  </si>
  <si>
    <t>E08</t>
    <phoneticPr fontId="5" type="noConversion"/>
  </si>
  <si>
    <t>CAGR</t>
    <phoneticPr fontId="5" type="noConversion"/>
  </si>
  <si>
    <t>end_use_category</t>
    <phoneticPr fontId="5" type="noConversion"/>
  </si>
  <si>
    <t>specialty_category</t>
    <phoneticPr fontId="8" type="noConversion"/>
  </si>
  <si>
    <t>specialty_cagr</t>
    <phoneticPr fontId="5" type="noConversion"/>
  </si>
  <si>
    <t>No</t>
    <phoneticPr fontId="8" type="noConversion"/>
  </si>
  <si>
    <t>Category</t>
    <phoneticPr fontId="8" type="noConversion"/>
  </si>
  <si>
    <t>Category2</t>
    <phoneticPr fontId="8" type="noConversion"/>
  </si>
  <si>
    <t>Category3</t>
    <phoneticPr fontId="8" type="noConversion"/>
  </si>
  <si>
    <t>Category4</t>
    <phoneticPr fontId="8" type="noConversion"/>
  </si>
  <si>
    <t>Main product</t>
    <phoneticPr fontId="8" type="noConversion"/>
  </si>
  <si>
    <t>Starting Material</t>
    <phoneticPr fontId="8" type="noConversion"/>
  </si>
  <si>
    <t>Petrochemical 연관성</t>
    <phoneticPr fontId="8" type="noConversion"/>
  </si>
  <si>
    <t>Intermediate</t>
    <phoneticPr fontId="8" type="noConversion"/>
  </si>
  <si>
    <t>Compound annual growth rate. 2025-30(percent)</t>
    <phoneticPr fontId="8" type="noConversion"/>
  </si>
  <si>
    <t>Selected</t>
    <phoneticPr fontId="8" type="noConversion"/>
  </si>
  <si>
    <t>Electronic chemicals</t>
  </si>
  <si>
    <t>Semiconductors, silicon and IC process chemicals</t>
    <phoneticPr fontId="8" type="noConversion"/>
  </si>
  <si>
    <t>Wafer substrates</t>
  </si>
  <si>
    <t>Silicon wafers</t>
  </si>
  <si>
    <r>
      <t>Logic/Memory</t>
    </r>
    <r>
      <rPr>
        <sz val="8"/>
        <rFont val="맑은 고딕"/>
        <family val="2"/>
        <charset val="129"/>
      </rPr>
      <t>용</t>
    </r>
    <r>
      <rPr>
        <sz val="8"/>
        <rFont val="Arial"/>
        <family val="2"/>
        <charset val="238"/>
      </rPr>
      <t xml:space="preserve"> 300 mm silicon wafer</t>
    </r>
    <phoneticPr fontId="8" type="noConversion"/>
  </si>
  <si>
    <t>Quartz/Silica</t>
    <phoneticPr fontId="8" type="noConversion"/>
  </si>
  <si>
    <t>-</t>
    <phoneticPr fontId="8" type="noConversion"/>
  </si>
  <si>
    <t>Polysilicon, Single-crystal silicon ingot</t>
    <phoneticPr fontId="8" type="noConversion"/>
  </si>
  <si>
    <t>Δ</t>
    <phoneticPr fontId="8" type="noConversion"/>
  </si>
  <si>
    <t>Silicon carbide (SiC) wafers</t>
  </si>
  <si>
    <r>
      <t>EV power semiconductor</t>
    </r>
    <r>
      <rPr>
        <sz val="8"/>
        <rFont val="맑은 고딕"/>
        <family val="2"/>
        <charset val="129"/>
      </rPr>
      <t>용</t>
    </r>
    <r>
      <rPr>
        <sz val="8"/>
        <rFont val="Arial"/>
        <family val="2"/>
        <charset val="238"/>
      </rPr>
      <t xml:space="preserve"> SiC wafer</t>
    </r>
    <phoneticPr fontId="8" type="noConversion"/>
  </si>
  <si>
    <t>Quartz/Silica, Petroleum coke</t>
    <phoneticPr fontId="8" type="noConversion"/>
  </si>
  <si>
    <t>SiC powder/crystal boule</t>
    <phoneticPr fontId="8" type="noConversion"/>
  </si>
  <si>
    <t>Sapphire wafers</t>
  </si>
  <si>
    <t>LED/RF/compound semiconductor substrate</t>
    <phoneticPr fontId="8" type="noConversion"/>
  </si>
  <si>
    <t>Alumina/Bauxite</t>
    <phoneticPr fontId="8" type="noConversion"/>
  </si>
  <si>
    <t>High-purity alumina, Sapphire ingot</t>
    <phoneticPr fontId="8" type="noConversion"/>
  </si>
  <si>
    <t>Other semiconductor wafers</t>
    <phoneticPr fontId="8" type="noConversion"/>
  </si>
  <si>
    <t>GaAs/InP compound semiconductor wafer</t>
    <phoneticPr fontId="8" type="noConversion"/>
  </si>
  <si>
    <t>Gallium, Arsenic, Indium, Phosphorus</t>
    <phoneticPr fontId="8" type="noConversion"/>
  </si>
  <si>
    <t>GaAs/InP crystal ingot</t>
    <phoneticPr fontId="8" type="noConversion"/>
  </si>
  <si>
    <t>Electronic gases</t>
  </si>
  <si>
    <t>Atmospheric gases</t>
  </si>
  <si>
    <t>High-purity N2/O2/Ar for purge, oxidation and process atmosphere</t>
    <phoneticPr fontId="8" type="noConversion"/>
  </si>
  <si>
    <t>Air</t>
    <phoneticPr fontId="8" type="noConversion"/>
  </si>
  <si>
    <t>High-purity nitrogen, oxygen, argon</t>
    <phoneticPr fontId="8" type="noConversion"/>
  </si>
  <si>
    <t>Specialty gases</t>
  </si>
  <si>
    <t>Deposition/etching/cleaning gases for CVD/etch process</t>
    <phoneticPr fontId="8" type="noConversion"/>
  </si>
  <si>
    <t>Silicon, Fluorine, Chlorine, Ammonia</t>
    <phoneticPr fontId="8" type="noConversion"/>
  </si>
  <si>
    <t>△</t>
    <phoneticPr fontId="8" type="noConversion"/>
  </si>
  <si>
    <t>Silane, NF3, WF6, HCl, NH3, TEOS-type precursors</t>
    <phoneticPr fontId="8" type="noConversion"/>
  </si>
  <si>
    <t>Metal and dielectric materials</t>
  </si>
  <si>
    <t>Thin-film metals (sputtering targets)</t>
  </si>
  <si>
    <t>Cu/Al/Ta/Ti/W sputtering target for interconnect/barrier layer</t>
    <phoneticPr fontId="8" type="noConversion"/>
  </si>
  <si>
    <t>Copper, Aluminum, Titanium, Tantalum, Tungsten</t>
    <phoneticPr fontId="8" type="noConversion"/>
  </si>
  <si>
    <t>High-purity metal target</t>
    <phoneticPr fontId="8" type="noConversion"/>
  </si>
  <si>
    <t>Dielectric materialsc</t>
  </si>
  <si>
    <t>Low-k / High-k dielectric precursor for insulating layer</t>
    <phoneticPr fontId="8" type="noConversion"/>
  </si>
  <si>
    <t>Silicon, Hafnium/Zirconium, Organosilicon</t>
    <phoneticPr fontId="8" type="noConversion"/>
  </si>
  <si>
    <t>TEOS, silane precursor, Hf/Zr precursor</t>
    <phoneticPr fontId="8" type="noConversion"/>
  </si>
  <si>
    <t>Photoresists</t>
  </si>
  <si>
    <t>g-/i-line (436/365 nm)</t>
  </si>
  <si>
    <t>Mature-node photoresist for display/legacy semiconductor process</t>
    <phoneticPr fontId="8" type="noConversion"/>
  </si>
  <si>
    <t>Benzene, Phenol, Naphthalene</t>
    <phoneticPr fontId="8" type="noConversion"/>
  </si>
  <si>
    <t>○</t>
    <phoneticPr fontId="8" type="noConversion"/>
  </si>
  <si>
    <t>Novolac resin, DNQ sensitizer</t>
    <phoneticPr fontId="8" type="noConversion"/>
  </si>
  <si>
    <t>KrF (248 nm)</t>
  </si>
  <si>
    <t>DUV photoresist for semiconductor lithography</t>
    <phoneticPr fontId="8" type="noConversion"/>
  </si>
  <si>
    <t>Benzene, Styrene</t>
    <phoneticPr fontId="8" type="noConversion"/>
  </si>
  <si>
    <t>Hydroxystyrene polymer, Photoacid generator</t>
    <phoneticPr fontId="8" type="noConversion"/>
  </si>
  <si>
    <t>ArF (193 nm)</t>
  </si>
  <si>
    <t>Advanced DUV photoresist for fine patterning</t>
    <phoneticPr fontId="8" type="noConversion"/>
  </si>
  <si>
    <t>Propylene, Fluorochemical feed</t>
    <phoneticPr fontId="8" type="noConversion"/>
  </si>
  <si>
    <t>Acrylate/methacrylate polymer, PAG</t>
    <phoneticPr fontId="8" type="noConversion"/>
  </si>
  <si>
    <t>EUV (13.5 nm)</t>
  </si>
  <si>
    <t>Leading-edge EUV photoresist for advanced logic/memory</t>
    <phoneticPr fontId="8" type="noConversion"/>
  </si>
  <si>
    <t>Aromatics, Fluorochemicals, Metal precursors</t>
    <phoneticPr fontId="8" type="noConversion"/>
  </si>
  <si>
    <t>Chemically amplified resist, PAG, Metal-oxide resist precursor</t>
    <phoneticPr fontId="8" type="noConversion"/>
  </si>
  <si>
    <r>
      <t>Specialty organic/fluorine/metal precursor → EUV re</t>
    </r>
    <r>
      <rPr>
        <sz val="8"/>
        <rFont val="맑은 고딕"/>
        <family val="2"/>
        <charset val="129"/>
      </rPr>
      <t>sist</t>
    </r>
    <phoneticPr fontId="8" type="noConversion"/>
  </si>
  <si>
    <t>Wet-processing chemicals</t>
  </si>
  <si>
    <t>Standard electronic grade - Acids and bases</t>
    <phoneticPr fontId="8" type="noConversion"/>
  </si>
  <si>
    <t>Cleaning/etching acids and bases for mature process</t>
    <phoneticPr fontId="8" type="noConversion"/>
  </si>
  <si>
    <t>Sulfur, Chlorine, Fluorspar, Ammonia</t>
    <phoneticPr fontId="8" type="noConversion"/>
  </si>
  <si>
    <t>H2SO4, HCl, HF, NH4OH</t>
    <phoneticPr fontId="8" type="noConversion"/>
  </si>
  <si>
    <r>
      <t>Inorganic acid/base chain → Electronic-grade wet chemica</t>
    </r>
    <r>
      <rPr>
        <sz val="8"/>
        <rFont val="맑은 고딕"/>
        <family val="2"/>
        <charset val="129"/>
      </rPr>
      <t>l</t>
    </r>
    <phoneticPr fontId="8" type="noConversion"/>
  </si>
  <si>
    <t>Standard electronic grade - Solvents</t>
    <phoneticPr fontId="8" type="noConversion"/>
  </si>
  <si>
    <t>Cleaning and resist process solvent</t>
    <phoneticPr fontId="8" type="noConversion"/>
  </si>
  <si>
    <t>Propylene, Methanol, Acetone</t>
    <phoneticPr fontId="8" type="noConversion"/>
  </si>
  <si>
    <t>IPA, Acetone, PGME/PGMEA</t>
    <phoneticPr fontId="8" type="noConversion"/>
  </si>
  <si>
    <t>Ultra-high purity - Acids and bases</t>
    <phoneticPr fontId="8" type="noConversion"/>
  </si>
  <si>
    <t>Advanced-node UHP cleaning/etch chemical</t>
    <phoneticPr fontId="8" type="noConversion"/>
  </si>
  <si>
    <t>UHP H2SO4, HF, HCl, NH4OH, H2O2</t>
    <phoneticPr fontId="8" type="noConversion"/>
  </si>
  <si>
    <r>
      <t>Inorganic chain → Ultra-high-purity purification → UHP wet chem</t>
    </r>
    <r>
      <rPr>
        <sz val="8"/>
        <rFont val="맑은 고딕"/>
        <family val="2"/>
        <charset val="129"/>
      </rPr>
      <t>ical</t>
    </r>
    <phoneticPr fontId="8" type="noConversion"/>
  </si>
  <si>
    <t>Ultra-high purity - Solvents</t>
    <phoneticPr fontId="8" type="noConversion"/>
  </si>
  <si>
    <t>Advanced-node UHP solvent for lithography/cleaning</t>
    <phoneticPr fontId="8" type="noConversion"/>
  </si>
  <si>
    <t>Propylene, EO/PO, Methanol</t>
    <phoneticPr fontId="8" type="noConversion"/>
  </si>
  <si>
    <t>UHP IPA, PGMEA, NMP-type solvent</t>
    <phoneticPr fontId="8" type="noConversion"/>
  </si>
  <si>
    <r>
      <t>Petrochemical solvent chain → Ultra-high-purity purification → UHP solve</t>
    </r>
    <r>
      <rPr>
        <sz val="8"/>
        <rFont val="맑은 고딕"/>
        <family val="2"/>
        <charset val="129"/>
      </rPr>
      <t>nt</t>
    </r>
    <phoneticPr fontId="8" type="noConversion"/>
  </si>
  <si>
    <t>Formulated products</t>
  </si>
  <si>
    <t>Copper-plating chemicals</t>
  </si>
  <si>
    <t>Cu electroplating bath for interconnect formation</t>
    <phoneticPr fontId="8" type="noConversion"/>
  </si>
  <si>
    <t>Copper, Sulfuric acid, Organic additives</t>
    <phoneticPr fontId="8" type="noConversion"/>
  </si>
  <si>
    <t>Copper sulfate, Leveler, Suppressor, Brightener</t>
    <phoneticPr fontId="8" type="noConversion"/>
  </si>
  <si>
    <t>Photoresist ancillaries</t>
  </si>
  <si>
    <t>Developer/stripper/edge-bead remover for lithography process</t>
    <phoneticPr fontId="8" type="noConversion"/>
  </si>
  <si>
    <t>TMA, Solvents, Amines</t>
    <phoneticPr fontId="8" type="noConversion"/>
  </si>
  <si>
    <t>TMAH developer, Stripper, Rinse/EBR solvent</t>
    <phoneticPr fontId="8" type="noConversion"/>
  </si>
  <si>
    <t>CMP products</t>
  </si>
  <si>
    <t>CMP slurry/pad/post-CMP cleaner for planarization</t>
    <phoneticPr fontId="8" type="noConversion"/>
  </si>
  <si>
    <t>Silica/Ceria/Alumina, PU, Surfactant</t>
    <phoneticPr fontId="8" type="noConversion"/>
  </si>
  <si>
    <t>CMP slurry, Polyurethane pad, Post-CMP cleaner</t>
    <phoneticPr fontId="8" type="noConversion"/>
  </si>
  <si>
    <t>Display materials</t>
    <phoneticPr fontId="8" type="noConversion"/>
  </si>
  <si>
    <t>Substrates</t>
  </si>
  <si>
    <t>Substrates for LCD</t>
  </si>
  <si>
    <t>TFT-LCD glass substrate</t>
  </si>
  <si>
    <t>Silica, Soda ash, Alumina</t>
  </si>
  <si>
    <t>High-purity display glass</t>
  </si>
  <si>
    <t>Substrates for OLED</t>
  </si>
  <si>
    <t>OLED glass / flexible PI substrate</t>
  </si>
  <si>
    <t>Silica, Benzene, PX</t>
  </si>
  <si>
    <t>Display glass, Polyimide substrate</t>
  </si>
  <si>
    <t xml:space="preserve">Optical and functional films </t>
  </si>
  <si>
    <t>LCD - Light guide plate (LGP)</t>
    <phoneticPr fontId="8" type="noConversion"/>
  </si>
  <si>
    <t>PMMA/PC light guide plate</t>
  </si>
  <si>
    <t>Propylene, Methanol, Benzene</t>
  </si>
  <si>
    <t>MMA/PMMA resin, PC resin</t>
  </si>
  <si>
    <t>LCD - Light guide plate (LGP) Reflective film</t>
    <phoneticPr fontId="8" type="noConversion"/>
  </si>
  <si>
    <t>White PET reflective film</t>
  </si>
  <si>
    <t>PX, Ethylene, TiO₂</t>
  </si>
  <si>
    <t>PET film, White masterbatch</t>
  </si>
  <si>
    <t>LCD - Light guide plate (LGP) Diffusion film</t>
    <phoneticPr fontId="8" type="noConversion"/>
  </si>
  <si>
    <t>PET/PC diffusion film</t>
  </si>
  <si>
    <t>PX, Ethylene, Propylene, Styrene</t>
  </si>
  <si>
    <t>PET film, Acrylic/PS diffusion beads</t>
  </si>
  <si>
    <t>LCD - Brightness enhancement film (BEF)</t>
    <phoneticPr fontId="8" type="noConversion"/>
  </si>
  <si>
    <t>Prism optical film</t>
  </si>
  <si>
    <t>PX, Ethylene, Propylene</t>
  </si>
  <si>
    <t>PET base film, UV acrylate resin</t>
  </si>
  <si>
    <t>LCD - Linear polarizers (LPL)</t>
    <phoneticPr fontId="8" type="noConversion"/>
  </si>
  <si>
    <t>PVA/TAC polarizer film</t>
  </si>
  <si>
    <t>Ethylene, Acetic acid, Cellulose</t>
  </si>
  <si>
    <t>PVA film, TAC film, Iodine</t>
  </si>
  <si>
    <t xml:space="preserve">LCD - Linear polarizers (LPL) Alignment film </t>
    <phoneticPr fontId="8" type="noConversion"/>
  </si>
  <si>
    <t>LCD polyimide alignment film</t>
  </si>
  <si>
    <t>Benzene, PX</t>
  </si>
  <si>
    <t>Dianhydride, Diamine, PI varnish</t>
  </si>
  <si>
    <t>LCD - Anisotropic conductive film (ACF)</t>
    <phoneticPr fontId="8" type="noConversion"/>
  </si>
  <si>
    <t>Conductive adhesive film for panel bonding</t>
  </si>
  <si>
    <t>Benzene, Propylene, Metal particles</t>
  </si>
  <si>
    <t>Epoxy/acrylic adhesive, Conductive particles</t>
  </si>
  <si>
    <t>OLED - Circular polarizers (CPL)</t>
    <phoneticPr fontId="8" type="noConversion"/>
  </si>
  <si>
    <t>OLED anti-reflection circular polarizer</t>
  </si>
  <si>
    <t>Ethylene, Cellulose, C5/Cyclic olefin</t>
  </si>
  <si>
    <t>PVA, TAC, COP/retardation film</t>
  </si>
  <si>
    <t>OLED - Anisotropic conductive film (ACF)</t>
    <phoneticPr fontId="8" type="noConversion"/>
  </si>
  <si>
    <t>Conductive bonding film for OLED module</t>
  </si>
  <si>
    <t>Liquid crystals</t>
  </si>
  <si>
    <t>LCD liquid crystal mixture</t>
  </si>
  <si>
    <t>Benzene, Toluene, Fluorochemicals</t>
  </si>
  <si>
    <t>Fluorinated biphenyl/cyclohexane LC intermediates</t>
  </si>
  <si>
    <t>Organic materials for OLED</t>
  </si>
  <si>
    <t>EML host material</t>
    <phoneticPr fontId="8" type="noConversion"/>
  </si>
  <si>
    <t>OLED emission-layer host</t>
  </si>
  <si>
    <t>Benzene, Toluene, Naphthalene</t>
  </si>
  <si>
    <t>Carbazole, Anthracene, Triazine, Phosphine oxide derivatives</t>
  </si>
  <si>
    <t>EML host material - EML dopant</t>
    <phoneticPr fontId="8" type="noConversion"/>
  </si>
  <si>
    <t>OLED emitter/dopant</t>
  </si>
  <si>
    <t>Aromatics, Iridium/Platinum</t>
  </si>
  <si>
    <t>Phosphorescent/fluorescent dopant complex</t>
  </si>
  <si>
    <t>EML host material - Other layers</t>
    <phoneticPr fontId="8" type="noConversion"/>
  </si>
  <si>
    <t>HTL/ETL/HIL/EIL materials</t>
  </si>
  <si>
    <t>Aromatics, Fluorochemicals, Metal precursors</t>
  </si>
  <si>
    <t>Amine, Spiro, Oxadiazole, Metal oxide/complex materials</t>
  </si>
  <si>
    <t xml:space="preserve">Electrode materials </t>
  </si>
  <si>
    <t>ITO/Ag/Al/Cu electrode material</t>
  </si>
  <si>
    <t>Indium, Tin, Silver, Aluminum, Copper</t>
  </si>
  <si>
    <t>ITO target, Metal sputtering target</t>
  </si>
  <si>
    <t>Color filter resists</t>
  </si>
  <si>
    <t>RGB color filter photoresist</t>
  </si>
  <si>
    <t>Benzene, Propylene, Pigments</t>
  </si>
  <si>
    <t>Acrylic resin, Pigment dispersion, Photoinitiator</t>
  </si>
  <si>
    <t xml:space="preserve">Processing chemicals </t>
  </si>
  <si>
    <t xml:space="preserve">Photoresists </t>
    <phoneticPr fontId="8" type="noConversion"/>
  </si>
  <si>
    <t>Display photoresist</t>
  </si>
  <si>
    <t>Benzene, Propylene</t>
  </si>
  <si>
    <t>Novolac/acrylic resin, PAG, Solvent</t>
  </si>
  <si>
    <t xml:space="preserve">Electronic gases </t>
    <phoneticPr fontId="8" type="noConversion"/>
  </si>
  <si>
    <t>Process gas for display panel manufacturing</t>
  </si>
  <si>
    <t>Air, Silicon, Fluorine, Chlorine</t>
  </si>
  <si>
    <t>N₂/O₂/Ar, Silane, NF₃, HCl, NH₃</t>
  </si>
  <si>
    <t>Wet-processing chemicals</t>
    <phoneticPr fontId="8" type="noConversion"/>
  </si>
  <si>
    <t>Cleaning/etching chemicals for display process</t>
  </si>
  <si>
    <t>Sulfur, Chlorine, Fluorspar, Propylene</t>
  </si>
  <si>
    <t>H₂SO₄, HCl, HF, IPA, PGMEA</t>
  </si>
  <si>
    <t>PCB chemicals</t>
  </si>
  <si>
    <t>PCB base materials</t>
    <phoneticPr fontId="8" type="noConversion"/>
  </si>
  <si>
    <t>Copper-clad laminate / build-up substrate base</t>
  </si>
  <si>
    <t>Benzene, Propylene, Glass fiber, Copper</t>
  </si>
  <si>
    <t>Epoxy resin, BT resin, Glass cloth, Copper foil</t>
  </si>
  <si>
    <t>PCB resists</t>
    <phoneticPr fontId="8" type="noConversion"/>
  </si>
  <si>
    <t>Dry film resist / solder mask</t>
  </si>
  <si>
    <t>Propylene, Benzene</t>
  </si>
  <si>
    <t>Acrylate oligomer, Epoxy acrylate, Photoinitiator</t>
  </si>
  <si>
    <t>Etchant, cleaner and desmear chemical</t>
  </si>
  <si>
    <t>Chlorine, Sulfur, Fluorspar, Solvent feed</t>
  </si>
  <si>
    <t>Cu etchant, H₂SO₄, HCl, HF, Solvent cleaner</t>
  </si>
  <si>
    <t>Plating chemicals</t>
  </si>
  <si>
    <t>Copper/electroless plating bath</t>
  </si>
  <si>
    <t>Copper, Sulfur, Formaldehyde, Organic additives</t>
  </si>
  <si>
    <t>Copper sulfate, Chelant, Leveler, Suppressor</t>
  </si>
  <si>
    <t>Thick-film pastes</t>
  </si>
  <si>
    <t>Conductive/dielectric paste</t>
  </si>
  <si>
    <t>Silver, Copper, Nickel, Epoxy/Acrylic resin</t>
  </si>
  <si>
    <t>Metal powder, Binder resin, Solvent</t>
  </si>
  <si>
    <t>Semiconductor packaging materials</t>
  </si>
  <si>
    <t>Substrates and interposer materials</t>
    <phoneticPr fontId="8" type="noConversion"/>
  </si>
  <si>
    <t>IC substrate / ABF substrate / silicon interposer</t>
  </si>
  <si>
    <t>Benzene, Propylene, Silica, Copper</t>
  </si>
  <si>
    <t>ABF resin, BT resin, Cu foil, Silicon wafer</t>
  </si>
  <si>
    <t>Encapsulants</t>
  </si>
  <si>
    <t>Epoxy molding compound for semiconductor package</t>
  </si>
  <si>
    <t>Benzene, Propylene, Silica</t>
  </si>
  <si>
    <t>Epoxy resin, Phenolic hardener, Silica filler</t>
  </si>
  <si>
    <t>Adhesives</t>
    <phoneticPr fontId="8" type="noConversion"/>
  </si>
  <si>
    <t>Die attach adhesive / underfill</t>
  </si>
  <si>
    <t>Benzene, Propylene, Silicon</t>
  </si>
  <si>
    <t>Epoxy resin, Acrylic resin, Silicone resin</t>
  </si>
  <si>
    <t>Solder bump materials</t>
    <phoneticPr fontId="8" type="noConversion"/>
  </si>
  <si>
    <t>Solder ball / bumping material</t>
  </si>
  <si>
    <t>Tin, Silver, Copper</t>
  </si>
  <si>
    <t>Sn-Ag-Cu alloy, Solder powder/ball</t>
  </si>
  <si>
    <t>Other materials</t>
    <phoneticPr fontId="8" type="noConversion"/>
  </si>
  <si>
    <t>Bonding wire, leadframe, TIM, release film</t>
  </si>
  <si>
    <t>Copper, Gold, Silver, Silicon, Benzene</t>
  </si>
  <si>
    <t>Bonding wire, Leadframe, Thermal interface material</t>
  </si>
  <si>
    <t>Amino acids, peptidesand proteins</t>
  </si>
  <si>
    <t>Health supplement amino acid/protein ingredient</t>
  </si>
  <si>
    <t>Glucose, Ammonia, Natural protein</t>
  </si>
  <si>
    <t>Amino acids, Peptides, Protein hydrolysate</t>
  </si>
  <si>
    <t>Carotenoids</t>
  </si>
  <si>
    <t>Eye-health / antioxidant nutraceutical ingredient</t>
  </si>
  <si>
    <t>C5 isoprene, Natural extracts</t>
  </si>
  <si>
    <t>Beta-carotene, Lutein, Astaxanthin</t>
  </si>
  <si>
    <t>Mineralsand traceelements</t>
  </si>
  <si>
    <t>Mineral supplement ingredient</t>
  </si>
  <si>
    <t>Inorganic minerals</t>
  </si>
  <si>
    <t>Calcium, Magnesium, Zinc, Iron salts</t>
  </si>
  <si>
    <t>Polyphenols andflavonoids</t>
  </si>
  <si>
    <t>Antioxidant botanical extract</t>
  </si>
  <si>
    <t>Botanical feedstock</t>
  </si>
  <si>
    <t>Tea catechin, Grape polyphenol, Isoflavone</t>
  </si>
  <si>
    <t>Probiotics</t>
  </si>
  <si>
    <t>Digestive/immune health probiotic culture</t>
  </si>
  <si>
    <t>Sugar, Fermentation medium</t>
  </si>
  <si>
    <t>Lactobacillus, Bifidobacterium strain</t>
  </si>
  <si>
    <t>Specialty carbohydratesand fibers</t>
  </si>
  <si>
    <t>Prebiotic fiber / dietary fiber ingredient</t>
  </si>
  <si>
    <t>Starch, Sugar, Cellulose</t>
  </si>
  <si>
    <t>Inulin, Resistant dextrin, Polydextrose</t>
  </si>
  <si>
    <t>Specialtyfattyacids</t>
  </si>
  <si>
    <t>Omega-3 / functional lipid ingredient</t>
  </si>
  <si>
    <t>Fish oil, Algae oil, Oleochemical</t>
  </si>
  <si>
    <t>EPA, DHA, CLA</t>
  </si>
  <si>
    <t>Sterolsandstanols</t>
  </si>
  <si>
    <t>Cholesterol-lowering plant sterol ingredient</t>
  </si>
  <si>
    <t>Vegetable oil, Tall oil</t>
  </si>
  <si>
    <t>Phytosterol, Stanol ester</t>
  </si>
  <si>
    <t>Vitamins</t>
  </si>
  <si>
    <t>Vitamin supplement active ingredient</t>
  </si>
  <si>
    <t>Glucose, Acetone, Isoprene, Fermentation feedstock</t>
  </si>
  <si>
    <t>Vitamin C, E, B-group intermediates</t>
  </si>
  <si>
    <t>Other</t>
  </si>
  <si>
    <t>Specialty functional health ingredient</t>
  </si>
  <si>
    <t>Biomass, Petrochemical intermediates</t>
  </si>
  <si>
    <t>CoQ10, Glucosamine, Specialty actives</t>
  </si>
  <si>
    <t>Specialty polymers</t>
    <phoneticPr fontId="8" type="noConversion"/>
  </si>
  <si>
    <t>Semicrystalline</t>
  </si>
  <si>
    <t>High-performance polyamides</t>
  </si>
  <si>
    <t>Automotive under-the-hood engineering plastic</t>
    <phoneticPr fontId="8" type="noConversion"/>
  </si>
  <si>
    <t>Benzene, C4</t>
    <phoneticPr fontId="8" type="noConversion"/>
  </si>
  <si>
    <t>Diamine, Diacid, Lactam</t>
    <phoneticPr fontId="8" type="noConversion"/>
  </si>
  <si>
    <t>Polyphenylene sulfide</t>
  </si>
  <si>
    <t>High-temperature electrical/electronic component resin</t>
    <phoneticPr fontId="8" type="noConversion"/>
  </si>
  <si>
    <t>Benzene, Sulfur</t>
    <phoneticPr fontId="8" type="noConversion"/>
  </si>
  <si>
    <t>p-Dichlorobenzene, Sodium sulfide</t>
    <phoneticPr fontId="8" type="noConversion"/>
  </si>
  <si>
    <r>
      <t>Benzene/chlor-alkali/sulfur → PPS monomer → PPS</t>
    </r>
    <r>
      <rPr>
        <sz val="8"/>
        <color theme="1"/>
        <rFont val="맑은 고딕"/>
        <family val="2"/>
        <charset val="129"/>
      </rPr>
      <t xml:space="preserve"> resin</t>
    </r>
    <phoneticPr fontId="8" type="noConversion"/>
  </si>
  <si>
    <t>Liquid crystal polymers</t>
  </si>
  <si>
    <t>SMT connector &amp; miniaturized electronic component resin</t>
    <phoneticPr fontId="8" type="noConversion"/>
  </si>
  <si>
    <t>PX, Benzene</t>
    <phoneticPr fontId="8" type="noConversion"/>
  </si>
  <si>
    <t>Aromatic hydroxy acid, Aromatic polyester monomer</t>
    <phoneticPr fontId="8" type="noConversion"/>
  </si>
  <si>
    <t>Aromatic ketone polymers</t>
  </si>
  <si>
    <t>Aerospace &amp; semiconductor ultra-performance resin</t>
    <phoneticPr fontId="8" type="noConversion"/>
  </si>
  <si>
    <t>Benzene</t>
    <phoneticPr fontId="8" type="noConversion"/>
  </si>
  <si>
    <t>Bisphenol, Aromatic ketone monomer</t>
    <phoneticPr fontId="8" type="noConversion"/>
  </si>
  <si>
    <t>Polycyclohexylenedimethylene 
terephthalate (PCT)</t>
  </si>
  <si>
    <t>LED reflector &amp; high-heat electrical polyester</t>
    <phoneticPr fontId="8" type="noConversion"/>
  </si>
  <si>
    <t>PX, Ethylene</t>
    <phoneticPr fontId="8" type="noConversion"/>
  </si>
  <si>
    <t>PTA, CHDM</t>
    <phoneticPr fontId="8" type="noConversion"/>
  </si>
  <si>
    <t xml:space="preserve">Amorphous </t>
  </si>
  <si>
    <t>Polyarylate resin (PAR)</t>
  </si>
  <si>
    <t>Transparent heat-resistant engineering plastic</t>
    <phoneticPr fontId="8" type="noConversion"/>
  </si>
  <si>
    <t>Benzene, PX</t>
    <phoneticPr fontId="8" type="noConversion"/>
  </si>
  <si>
    <t>BPA, Terephthaloyl chloride</t>
    <phoneticPr fontId="8" type="noConversion"/>
  </si>
  <si>
    <t>Sulfone polymers</t>
  </si>
  <si>
    <t>Medical, membrane &amp; aerospace engineering plastic</t>
    <phoneticPr fontId="8" type="noConversion"/>
  </si>
  <si>
    <t>Benzene, Propylene</t>
    <phoneticPr fontId="8" type="noConversion"/>
  </si>
  <si>
    <t>BPA, Dichlorodiphenyl sulfone</t>
    <phoneticPr fontId="8" type="noConversion"/>
  </si>
  <si>
    <t>Polyimide resins</t>
  </si>
  <si>
    <t>Semiconductor &amp; FPCB heat-resistant material</t>
    <phoneticPr fontId="8" type="noConversion"/>
  </si>
  <si>
    <t>Dianhydride, Diamine</t>
    <phoneticPr fontId="8" type="noConversion"/>
  </si>
  <si>
    <t>Compounded engineering thermoplastics</t>
    <phoneticPr fontId="8" type="noConversion"/>
  </si>
  <si>
    <t>Polyamide (Nylon)</t>
    <phoneticPr fontId="8" type="noConversion"/>
  </si>
  <si>
    <t>Glass-fiber reinforced automotive engineering compound</t>
    <phoneticPr fontId="8" type="noConversion"/>
  </si>
  <si>
    <t>Caprolactam, Nylon resin</t>
    <phoneticPr fontId="8" type="noConversion"/>
  </si>
  <si>
    <t>Polybutylene terephthalate (PBT)</t>
    <phoneticPr fontId="8" type="noConversion"/>
  </si>
  <si>
    <t>Electrical connector &amp; automotive sensor compound</t>
    <phoneticPr fontId="8" type="noConversion"/>
  </si>
  <si>
    <t>PX, C4</t>
    <phoneticPr fontId="8" type="noConversion"/>
  </si>
  <si>
    <t>PTA, BDO</t>
    <phoneticPr fontId="8" type="noConversion"/>
  </si>
  <si>
    <t>Flame-retardant electronics housing material</t>
    <phoneticPr fontId="8" type="noConversion"/>
  </si>
  <si>
    <t>BPA, PC resin</t>
    <phoneticPr fontId="8" type="noConversion"/>
  </si>
  <si>
    <t>PPE</t>
    <phoneticPr fontId="8" type="noConversion"/>
  </si>
  <si>
    <t>Dimensional-stability electrical component material</t>
    <phoneticPr fontId="8" type="noConversion"/>
  </si>
  <si>
    <t>Phenolic intermediate</t>
    <phoneticPr fontId="8" type="noConversion"/>
  </si>
  <si>
    <t>POM(Polyacetal)</t>
    <phoneticPr fontId="8" type="noConversion"/>
  </si>
  <si>
    <t>Precision gear &amp; bearing engineering plastic</t>
    <phoneticPr fontId="8" type="noConversion"/>
  </si>
  <si>
    <t>Natural gas, Methanol</t>
    <phoneticPr fontId="8" type="noConversion"/>
  </si>
  <si>
    <t>Formaldehyde</t>
    <phoneticPr fontId="8" type="noConversion"/>
  </si>
  <si>
    <r>
      <t>Natural gas → Methanol → Formaldehyde → PO</t>
    </r>
    <r>
      <rPr>
        <sz val="8"/>
        <color theme="1"/>
        <rFont val="맑은 고딕"/>
        <family val="2"/>
        <charset val="129"/>
      </rPr>
      <t>M</t>
    </r>
    <phoneticPr fontId="8" type="noConversion"/>
  </si>
  <si>
    <t>PPS</t>
  </si>
  <si>
    <t>High-temperature automotive/electrical compound</t>
    <phoneticPr fontId="8" type="noConversion"/>
  </si>
  <si>
    <t>PPS resin</t>
    <phoneticPr fontId="8" type="noConversion"/>
  </si>
  <si>
    <t>Specialty films</t>
    <phoneticPr fontId="8" type="noConversion"/>
  </si>
  <si>
    <t>Engineering films</t>
  </si>
  <si>
    <t>Polyester</t>
    <phoneticPr fontId="8" type="noConversion"/>
  </si>
  <si>
    <t>Packaging &amp; electrical insulation film</t>
    <phoneticPr fontId="8" type="noConversion"/>
  </si>
  <si>
    <t>PTA, EG, PET resin</t>
    <phoneticPr fontId="8" type="noConversion"/>
  </si>
  <si>
    <t>Nylon</t>
    <phoneticPr fontId="8" type="noConversion"/>
  </si>
  <si>
    <t>Industrial packaging &amp; barrier film</t>
    <phoneticPr fontId="8" type="noConversion"/>
  </si>
  <si>
    <t>Polycarbonate</t>
    <phoneticPr fontId="8" type="noConversion"/>
  </si>
  <si>
    <t>Optical display &amp; protection film</t>
    <phoneticPr fontId="8" type="noConversion"/>
  </si>
  <si>
    <t>High-performance films</t>
  </si>
  <si>
    <t>Fluoropolymer</t>
  </si>
  <si>
    <t>Chemical-resistant &amp; battery separator film</t>
    <phoneticPr fontId="8" type="noConversion"/>
  </si>
  <si>
    <t>Fluorspar</t>
    <phoneticPr fontId="8" type="noConversion"/>
  </si>
  <si>
    <t>Fluoromonomer</t>
    <phoneticPr fontId="8" type="noConversion"/>
  </si>
  <si>
    <t>Polyimide</t>
  </si>
  <si>
    <t>FPCB &amp; semiconductor process film</t>
    <phoneticPr fontId="8" type="noConversion"/>
  </si>
  <si>
    <t>Polyethylene naphthalate</t>
  </si>
  <si>
    <t>High-barrier electronic &amp; insulation film</t>
    <phoneticPr fontId="8" type="noConversion"/>
  </si>
  <si>
    <t>NDC/NDA, EG</t>
    <phoneticPr fontId="8" type="noConversion"/>
  </si>
  <si>
    <t>Cyclo-olefin copolymer</t>
    <phoneticPr fontId="8" type="noConversion"/>
  </si>
  <si>
    <t>Optical lens &amp; medical display film</t>
    <phoneticPr fontId="8" type="noConversion"/>
  </si>
  <si>
    <t>Ethylene, C5</t>
    <phoneticPr fontId="8" type="noConversion"/>
  </si>
  <si>
    <t>Norbornene, Cyclic olefin monomer</t>
    <phoneticPr fontId="8" type="noConversion"/>
  </si>
  <si>
    <t>Developmental</t>
    <phoneticPr fontId="8" type="noConversion"/>
  </si>
  <si>
    <t>AR/VR optical &amp; next-generation display film</t>
    <phoneticPr fontId="8" type="noConversion"/>
  </si>
  <si>
    <t>Ethylene, Specialty olefin</t>
    <phoneticPr fontId="8" type="noConversion"/>
  </si>
  <si>
    <t>Advanced cyclic olefin monomer</t>
    <phoneticPr fontId="8" type="noConversion"/>
  </si>
  <si>
    <t>Specialty coatings</t>
  </si>
  <si>
    <t>Oligomers</t>
  </si>
  <si>
    <t>Epoxy acrylates</t>
  </si>
  <si>
    <t>UV coating oligomer</t>
    <phoneticPr fontId="8" type="noConversion"/>
  </si>
  <si>
    <t>Benzene + Propylene</t>
    <phoneticPr fontId="8" type="noConversion"/>
  </si>
  <si>
    <t>BPA epoxy resin, Acrylic acid</t>
    <phoneticPr fontId="8" type="noConversion"/>
  </si>
  <si>
    <t>Urethane acrylates</t>
  </si>
  <si>
    <t>UV urethane oligomer</t>
    <phoneticPr fontId="8" type="noConversion"/>
  </si>
  <si>
    <t>PO + Benzene</t>
    <phoneticPr fontId="8" type="noConversion"/>
  </si>
  <si>
    <t>Poyol, Isocynate, Hydroxy acylate</t>
    <phoneticPr fontId="8" type="noConversion"/>
  </si>
  <si>
    <t>Polyester/polyether acrylates</t>
  </si>
  <si>
    <t>UV polyester acrylate resin</t>
    <phoneticPr fontId="8" type="noConversion"/>
  </si>
  <si>
    <t>PX + Ethylene / PO</t>
    <phoneticPr fontId="8" type="noConversion"/>
  </si>
  <si>
    <t>PTA, EG, Polyether polyol, Acrylic acid</t>
    <phoneticPr fontId="8" type="noConversion"/>
  </si>
  <si>
    <t>Acrylic acrylates</t>
  </si>
  <si>
    <t>Acrylic UV oligomer</t>
    <phoneticPr fontId="8" type="noConversion"/>
  </si>
  <si>
    <t>Propylene</t>
    <phoneticPr fontId="8" type="noConversion"/>
  </si>
  <si>
    <t>Acrylic acid, Acrylate ester</t>
    <phoneticPr fontId="8" type="noConversion"/>
  </si>
  <si>
    <t>Silicone acrylates</t>
  </si>
  <si>
    <t>Silicone-modified UV resin</t>
    <phoneticPr fontId="8" type="noConversion"/>
  </si>
  <si>
    <t>Silicon metal + Methanol</t>
    <phoneticPr fontId="8" type="noConversion"/>
  </si>
  <si>
    <t>Siloxane intermediate</t>
    <phoneticPr fontId="8" type="noConversion"/>
  </si>
  <si>
    <t>Other (acrylated amines, acrylated oils, methacrylates)</t>
  </si>
  <si>
    <t>Specialty UV oligomer</t>
    <phoneticPr fontId="8" type="noConversion"/>
  </si>
  <si>
    <t>Olefin + Natural oil</t>
    <phoneticPr fontId="8" type="noConversion"/>
  </si>
  <si>
    <r>
      <t>Olefin/oleochemical → Functional intermediate → UV oligom</t>
    </r>
    <r>
      <rPr>
        <sz val="8"/>
        <color theme="1"/>
        <rFont val="맑은 고딕"/>
        <family val="2"/>
        <charset val="129"/>
      </rPr>
      <t>er</t>
    </r>
    <phoneticPr fontId="8" type="noConversion"/>
  </si>
  <si>
    <t>Unsaturated polyesters</t>
  </si>
  <si>
    <t>UPR resin</t>
    <phoneticPr fontId="8" type="noConversion"/>
  </si>
  <si>
    <t>Benzene/C4 + Ethylene</t>
    <phoneticPr fontId="8" type="noConversion"/>
  </si>
  <si>
    <t>Maleic anhydride, Glycol</t>
    <phoneticPr fontId="8" type="noConversion"/>
  </si>
  <si>
    <t>Epoxies and oxetanes</t>
  </si>
  <si>
    <t>Cationic UV resin</t>
    <phoneticPr fontId="8" type="noConversion"/>
  </si>
  <si>
    <t>Epoxy resin, Oxetane intermediate</t>
    <phoneticPr fontId="8" type="noConversion"/>
  </si>
  <si>
    <t>Vinyl ethers</t>
  </si>
  <si>
    <t>Reactive UV resin</t>
    <phoneticPr fontId="8" type="noConversion"/>
  </si>
  <si>
    <t>Ethylene/Acetylene</t>
    <phoneticPr fontId="8" type="noConversion"/>
  </si>
  <si>
    <t>Vinyl ether monomer</t>
    <phoneticPr fontId="8" type="noConversion"/>
  </si>
  <si>
    <t>Monomers/reactive diluents</t>
  </si>
  <si>
    <t>Monofunctional monomers (IBOA, etc.)</t>
  </si>
  <si>
    <t>Reactive diluent</t>
    <phoneticPr fontId="8" type="noConversion"/>
  </si>
  <si>
    <t>C5/C10 olefin</t>
    <phoneticPr fontId="8" type="noConversion"/>
  </si>
  <si>
    <t>Isobornyl alcohol, Acrylic acid</t>
    <phoneticPr fontId="8" type="noConversion"/>
  </si>
  <si>
    <t>Difunctional monomers (TPGDA, HDDA, GPDA, DPGDA, etc.)</t>
  </si>
  <si>
    <t>Multifunctional acrylate monomer</t>
    <phoneticPr fontId="8" type="noConversion"/>
  </si>
  <si>
    <t>PO + Propylene</t>
    <phoneticPr fontId="8" type="noConversion"/>
  </si>
  <si>
    <t>Glycol, Acrylic acid</t>
    <phoneticPr fontId="8" type="noConversion"/>
  </si>
  <si>
    <r>
      <t>PO/glycol chain → Acrylate este</t>
    </r>
    <r>
      <rPr>
        <sz val="8"/>
        <color theme="1"/>
        <rFont val="맑은 고딕"/>
        <family val="2"/>
        <charset val="129"/>
      </rPr>
      <t>r</t>
    </r>
    <phoneticPr fontId="8" type="noConversion"/>
  </si>
  <si>
    <t>Trifunctional monomers (TMPTA, GPTA, etc.)</t>
  </si>
  <si>
    <t>Crosslinking monomer</t>
    <phoneticPr fontId="8" type="noConversion"/>
  </si>
  <si>
    <t>TMP/Glycerol, Acrylic acid</t>
    <phoneticPr fontId="8" type="noConversion"/>
  </si>
  <si>
    <r>
      <t>Propylene → Oxo alcohol/polyol → Acrylate monome</t>
    </r>
    <r>
      <rPr>
        <sz val="8"/>
        <color theme="1"/>
        <rFont val="맑은 고딕"/>
        <family val="2"/>
        <charset val="129"/>
      </rPr>
      <t>r</t>
    </r>
    <phoneticPr fontId="8" type="noConversion"/>
  </si>
  <si>
    <t>Polyfunctional monomers (PPTTA, DPHA, etc.)</t>
  </si>
  <si>
    <t>High-crosslink UV monomer</t>
    <phoneticPr fontId="8" type="noConversion"/>
  </si>
  <si>
    <t>Olefin</t>
    <phoneticPr fontId="8" type="noConversion"/>
  </si>
  <si>
    <t>Polyol intermediate, Acrylic acid</t>
    <phoneticPr fontId="8" type="noConversion"/>
  </si>
  <si>
    <r>
      <t>Olefin → Polyol → Multifunctional</t>
    </r>
    <r>
      <rPr>
        <sz val="8"/>
        <color theme="1"/>
        <rFont val="맑은 고딕"/>
        <family val="2"/>
        <charset val="129"/>
      </rPr>
      <t xml:space="preserve"> acrylate</t>
    </r>
    <phoneticPr fontId="8" type="noConversion"/>
  </si>
  <si>
    <t>Photoinitiators</t>
  </si>
  <si>
    <t>UV photoinitiator</t>
    <phoneticPr fontId="8" type="noConversion"/>
  </si>
  <si>
    <t>Benzene/Toluene</t>
    <phoneticPr fontId="8" type="noConversion"/>
  </si>
  <si>
    <t>Benzophenone, Acetophenone derivative</t>
    <phoneticPr fontId="8" type="noConversion"/>
  </si>
  <si>
    <r>
      <t>BTX → Aromatic ketone → Photoinitiato</t>
    </r>
    <r>
      <rPr>
        <sz val="8"/>
        <color theme="1"/>
        <rFont val="맑은 고딕"/>
        <family val="2"/>
        <charset val="129"/>
      </rPr>
      <t>r</t>
    </r>
    <phoneticPr fontId="8" type="noConversion"/>
  </si>
  <si>
    <t>Resins</t>
  </si>
  <si>
    <t>Powder coating resin</t>
    <phoneticPr fontId="8" type="noConversion"/>
  </si>
  <si>
    <t>BPA, Epichlorohydrin</t>
    <phoneticPr fontId="8" type="noConversion"/>
  </si>
  <si>
    <t>Polyester resin (carboxyl functional)</t>
  </si>
  <si>
    <t>Powder polyester resin</t>
    <phoneticPr fontId="8" type="noConversion"/>
  </si>
  <si>
    <t>PX + Ethylene</t>
    <phoneticPr fontId="8" type="noConversion"/>
  </si>
  <si>
    <t>PTA, IPA, EG, NPG</t>
    <phoneticPr fontId="8" type="noConversion"/>
  </si>
  <si>
    <t>Polyester resin (hydroxyl functional)</t>
  </si>
  <si>
    <t>Hydroxyl polyester resin</t>
    <phoneticPr fontId="8" type="noConversion"/>
  </si>
  <si>
    <t>PX + PO/Ethylene</t>
    <phoneticPr fontId="8" type="noConversion"/>
  </si>
  <si>
    <t>Dibasic acid, Polyol</t>
    <phoneticPr fontId="8" type="noConversion"/>
  </si>
  <si>
    <r>
      <t>Aromatics + polyol chain → Polyeste</t>
    </r>
    <r>
      <rPr>
        <sz val="8"/>
        <color theme="1"/>
        <rFont val="맑은 고딕"/>
        <family val="2"/>
        <charset val="129"/>
      </rPr>
      <t>r resin</t>
    </r>
    <phoneticPr fontId="8" type="noConversion"/>
  </si>
  <si>
    <t>Acrylic resin</t>
  </si>
  <si>
    <t>Thermoset acrylic resin</t>
    <phoneticPr fontId="8" type="noConversion"/>
  </si>
  <si>
    <t>Propylene/C4</t>
    <phoneticPr fontId="8" type="noConversion"/>
  </si>
  <si>
    <t>Curing agents</t>
  </si>
  <si>
    <t>TGIC</t>
  </si>
  <si>
    <t>Epoxy curing agent</t>
    <phoneticPr fontId="8" type="noConversion"/>
  </si>
  <si>
    <t>Propylene + Chlor-alkali</t>
    <phoneticPr fontId="8" type="noConversion"/>
  </si>
  <si>
    <t>Cyanuric chloride, Glycidol</t>
    <phoneticPr fontId="8" type="noConversion"/>
  </si>
  <si>
    <t>HAA</t>
  </si>
  <si>
    <t>Polyester curing agent</t>
    <phoneticPr fontId="8" type="noConversion"/>
  </si>
  <si>
    <t>Ethylene/Ammonia</t>
    <phoneticPr fontId="8" type="noConversion"/>
  </si>
  <si>
    <t>Hydroxyalkyl amide</t>
    <phoneticPr fontId="8" type="noConversion"/>
  </si>
  <si>
    <t>IPDI</t>
    <phoneticPr fontId="8" type="noConversion"/>
  </si>
  <si>
    <t>PU curing agent</t>
    <phoneticPr fontId="8" type="noConversion"/>
  </si>
  <si>
    <t>Acetone/Propylene</t>
    <phoneticPr fontId="8" type="noConversion"/>
  </si>
  <si>
    <t>Isophorone intermediate</t>
    <phoneticPr fontId="8" type="noConversion"/>
  </si>
  <si>
    <t>Amines</t>
  </si>
  <si>
    <t>Epoxy hardener</t>
    <phoneticPr fontId="8" type="noConversion"/>
  </si>
  <si>
    <t>Ethylene</t>
    <phoneticPr fontId="8" type="noConversion"/>
  </si>
  <si>
    <t>Ethyleneamines</t>
    <phoneticPr fontId="8" type="noConversion"/>
  </si>
  <si>
    <t>Dodecanoic amine</t>
  </si>
  <si>
    <t>Specialty curing agent</t>
    <phoneticPr fontId="8" type="noConversion"/>
  </si>
  <si>
    <t>C4/paraffin</t>
    <phoneticPr fontId="8" type="noConversion"/>
  </si>
  <si>
    <t>Dodecanedioic intermediate</t>
    <phoneticPr fontId="8" type="noConversion"/>
  </si>
  <si>
    <t>Other</t>
    <phoneticPr fontId="8" type="noConversion"/>
  </si>
  <si>
    <t>Specialty hardener</t>
    <phoneticPr fontId="8" type="noConversion"/>
  </si>
  <si>
    <t>Olefin/BTX</t>
    <phoneticPr fontId="8" type="noConversion"/>
  </si>
  <si>
    <t>Specialty intermediates</t>
    <phoneticPr fontId="8" type="noConversion"/>
  </si>
  <si>
    <t>Protective/industrial maintenance coatings</t>
    <phoneticPr fontId="8" type="noConversion"/>
  </si>
  <si>
    <t>Onshore structural applications</t>
    <phoneticPr fontId="8" type="noConversion"/>
  </si>
  <si>
    <t>Heavy-duty protective coating</t>
    <phoneticPr fontId="8" type="noConversion"/>
  </si>
  <si>
    <t>Benzene + PO</t>
    <phoneticPr fontId="8" type="noConversion"/>
  </si>
  <si>
    <t>Epoxy resin, PU resin</t>
    <phoneticPr fontId="8" type="noConversion"/>
  </si>
  <si>
    <t>Offshore applications</t>
    <phoneticPr fontId="8" type="noConversion"/>
  </si>
  <si>
    <t>Offshore anticorrosion coating</t>
    <phoneticPr fontId="8" type="noConversion"/>
  </si>
  <si>
    <t>Epoxy novolac, Fluoropolymer</t>
    <phoneticPr fontId="8" type="noConversion"/>
  </si>
  <si>
    <t>Cargo container coatings</t>
    <phoneticPr fontId="8" type="noConversion"/>
  </si>
  <si>
    <t>Container coating</t>
    <phoneticPr fontId="8" type="noConversion"/>
  </si>
  <si>
    <t>Epoxy resin, Isocyanate</t>
    <phoneticPr fontId="8" type="noConversion"/>
  </si>
  <si>
    <t>Marine coatings</t>
  </si>
  <si>
    <t>Industrial ship - New ship building</t>
    <phoneticPr fontId="8" type="noConversion"/>
  </si>
  <si>
    <t>Marine coating</t>
    <phoneticPr fontId="8" type="noConversion"/>
  </si>
  <si>
    <t>Benzene + Silicon</t>
    <phoneticPr fontId="8" type="noConversion"/>
  </si>
  <si>
    <t>Epoxy resin, Silicone additive</t>
    <phoneticPr fontId="8" type="noConversion"/>
  </si>
  <si>
    <t>Industrial ship - Ship repair</t>
    <phoneticPr fontId="8" type="noConversion"/>
  </si>
  <si>
    <t>Maintenance marine coating</t>
    <phoneticPr fontId="8" type="noConversion"/>
  </si>
  <si>
    <t>Epoxy maintenance resin</t>
    <phoneticPr fontId="8" type="noConversion"/>
  </si>
  <si>
    <t>Yachts/pleasure boats</t>
  </si>
  <si>
    <t>Premium marine coating</t>
    <phoneticPr fontId="8" type="noConversion"/>
  </si>
  <si>
    <t>Propylene + PO</t>
    <phoneticPr fontId="8" type="noConversion"/>
  </si>
  <si>
    <t>Acrylic urethane resin</t>
    <phoneticPr fontId="8" type="noConversion"/>
  </si>
  <si>
    <t>Green power materials</t>
    <phoneticPr fontId="8" type="noConversion"/>
  </si>
  <si>
    <t>(Solar)Wafer and thin-film materials</t>
    <phoneticPr fontId="8" type="noConversion"/>
  </si>
  <si>
    <t>Silicon wafers</t>
    <phoneticPr fontId="8" type="noConversion"/>
  </si>
  <si>
    <t>Crystalline silicon wafer for PV cells</t>
  </si>
  <si>
    <t>Quartz/Silica</t>
  </si>
  <si>
    <t>Polysilicon, Silicon ingot</t>
  </si>
  <si>
    <t>Thin-film materials</t>
    <phoneticPr fontId="8" type="noConversion"/>
  </si>
  <si>
    <t>CdTe/CIGS/Perovskite thin-film absorber material</t>
  </si>
  <si>
    <t>Tellurium, Cadmium, Indium, Gallium, Lead, Halides</t>
  </si>
  <si>
    <t>CdTe, CIGS, Perovskite precursor</t>
  </si>
  <si>
    <t>Solar cell processing chemicals</t>
  </si>
  <si>
    <t>Silver paste</t>
    <phoneticPr fontId="8" type="noConversion"/>
  </si>
  <si>
    <t>Conductive silver paste for solar cell electrode</t>
  </si>
  <si>
    <t>Silver, Organic solvent</t>
  </si>
  <si>
    <t>Silver powder, Glass frit, Organic vehicle</t>
  </si>
  <si>
    <t>TCO/ITO</t>
  </si>
  <si>
    <t>Transparent conductive oxide coating</t>
  </si>
  <si>
    <t>Indium, Tin, Zinc</t>
  </si>
  <si>
    <t>ITO, FTO, AZO target/coating</t>
  </si>
  <si>
    <t>Other conductive materials</t>
  </si>
  <si>
    <t>Busbar/ribbon/conductive adhesive materials</t>
  </si>
  <si>
    <t>Copper, Silver, Tin</t>
  </si>
  <si>
    <t>Cu ribbon, Conductive adhesive, Solder alloy</t>
  </si>
  <si>
    <t>Texturing/etching/cleaning chemicals for solar cell</t>
  </si>
  <si>
    <t>Fluorspar, Chlorine, Sulfur, Ammonia</t>
  </si>
  <si>
    <t>HF, HCl, H₂SO₄, NH₄OH, H₂O₂</t>
  </si>
  <si>
    <t>Other processing chemicals</t>
  </si>
  <si>
    <t>Dopant/cleaning/edge isolation process chemicals</t>
  </si>
  <si>
    <t>Phosphorus, Boron, Chlorine</t>
  </si>
  <si>
    <t>POCl₃, BBr₃, Specialty etchants</t>
  </si>
  <si>
    <t>Solar cell encapsulants</t>
  </si>
  <si>
    <t>EVA film</t>
  </si>
  <si>
    <t>PV module encapsulant film</t>
  </si>
  <si>
    <t>Ethylene, Acetic acid</t>
  </si>
  <si>
    <t>VAM, EVA resin</t>
  </si>
  <si>
    <t>POE/TPO film</t>
  </si>
  <si>
    <t>High-reliability encapsulant for bifacial/N-type modules</t>
  </si>
  <si>
    <t>Ethylene, Alpha-olefin</t>
  </si>
  <si>
    <t>POE/TPO resin</t>
  </si>
  <si>
    <t>EPE film</t>
  </si>
  <si>
    <t>EVA/POE/EVA composite encapsulant</t>
  </si>
  <si>
    <t>Ethylene, Acetic acid, Alpha-olefin</t>
  </si>
  <si>
    <t>EVA resin, POE resin</t>
  </si>
  <si>
    <t>Others</t>
  </si>
  <si>
    <t>Specialty encapsulant for high-durability PV module</t>
  </si>
  <si>
    <t>Ethylene, Silicone, Specialty olefin</t>
  </si>
  <si>
    <t>Ionoplastic resin, Silicone encapsulant</t>
  </si>
  <si>
    <t>(Solar)Front- and backsheet materials</t>
    <phoneticPr fontId="8" type="noConversion"/>
  </si>
  <si>
    <t>Photovoltaic glass</t>
    <phoneticPr fontId="8" type="noConversion"/>
  </si>
  <si>
    <t>Front glass / glass-glass module material</t>
  </si>
  <si>
    <t>Silica, Soda ash, Limestone</t>
  </si>
  <si>
    <t>Low-iron solar glass</t>
  </si>
  <si>
    <t>Backsheet polymers - Polyethylene terephthalate (PET)</t>
    <phoneticPr fontId="8" type="noConversion"/>
  </si>
  <si>
    <t>PET backsheet core film</t>
  </si>
  <si>
    <t>PX, Ethylene</t>
  </si>
  <si>
    <t>PTA, EG, PET film</t>
  </si>
  <si>
    <t>Backsheet polymers - Fluoropolymers</t>
    <phoneticPr fontId="8" type="noConversion"/>
  </si>
  <si>
    <t>PVDF/PVF fluoropolymer protective backsheet</t>
  </si>
  <si>
    <t>Fluorspar</t>
  </si>
  <si>
    <t>VDF/PVF fluoromonomer, PVDF/PVF resin</t>
  </si>
  <si>
    <t>Backsheet polymers - Others</t>
    <phoneticPr fontId="8" type="noConversion"/>
  </si>
  <si>
    <t>Polyamide/polyolefin/acrylic backsheet layer</t>
  </si>
  <si>
    <t>Ethylene, Propylene, Benzene</t>
  </si>
  <si>
    <t>Polyolefin film, Acrylic coating, PA film</t>
  </si>
  <si>
    <t>(Wind)Blade composite materials</t>
    <phoneticPr fontId="8" type="noConversion"/>
  </si>
  <si>
    <t>Epoxy resin</t>
    <phoneticPr fontId="8" type="noConversion"/>
  </si>
  <si>
    <t>Wind blade matrix resin</t>
  </si>
  <si>
    <t>BPA epoxy resin, Epichlorohydrin</t>
  </si>
  <si>
    <t>Curing agents</t>
    <phoneticPr fontId="8" type="noConversion"/>
  </si>
  <si>
    <t>Epoxy hardener for wind blade composite</t>
  </si>
  <si>
    <t>Ethylene, Ammonia, Benzene</t>
  </si>
  <si>
    <t>Amines, Anhydrides</t>
  </si>
  <si>
    <t>Reinforcement fibers</t>
    <phoneticPr fontId="8" type="noConversion"/>
  </si>
  <si>
    <t>Glass/carbon fiber for wind blade reinforcement</t>
  </si>
  <si>
    <t>Silica, PAN, Propylene</t>
  </si>
  <si>
    <t>Glass fiber, PAN-based carbon fiber</t>
  </si>
  <si>
    <t>(Wind)Specialty coatings</t>
    <phoneticPr fontId="8" type="noConversion"/>
  </si>
  <si>
    <t>Epoxy coatings</t>
    <phoneticPr fontId="8" type="noConversion"/>
  </si>
  <si>
    <t>Erosion/corrosion protective coating for blade/tower</t>
  </si>
  <si>
    <t>Epoxy resin, Amine hardener</t>
  </si>
  <si>
    <t>Polyurethane (PU) coatings</t>
    <phoneticPr fontId="8" type="noConversion"/>
  </si>
  <si>
    <t>Leading-edge protection coating for wind blade</t>
  </si>
  <si>
    <t>Propylene, Benzene/Toluene</t>
  </si>
  <si>
    <t>Polyol, Isocyanate, PU coating resin</t>
  </si>
  <si>
    <t>Other coatings</t>
    <phoneticPr fontId="8" type="noConversion"/>
  </si>
  <si>
    <t>Acrylic/fluoropolymer weathering coating</t>
  </si>
  <si>
    <t>Propylene, Fluorspar</t>
  </si>
  <si>
    <t>(Wind)Specialty lubricants</t>
    <phoneticPr fontId="8" type="noConversion"/>
  </si>
  <si>
    <t>Gearbox/bearing lubricant for wind turbine</t>
  </si>
  <si>
    <t>Ethylene, Alpha-olefin, Fatty acid</t>
  </si>
  <si>
    <t>PAO, Ester, Additive package</t>
  </si>
  <si>
    <t>(Wind)Magnet materials</t>
    <phoneticPr fontId="8" type="noConversion"/>
  </si>
  <si>
    <t>NdFeB permanent magnet for direct-drive generator</t>
  </si>
  <si>
    <t>Rare earths, Iron, Boron</t>
  </si>
  <si>
    <t>Neodymium-praseodymium alloy, NdFeB magnet</t>
  </si>
  <si>
    <t>(Wind)Structural adhesives</t>
    <phoneticPr fontId="8" type="noConversion"/>
  </si>
  <si>
    <t>Epoxy/PU blade bonding adhesive</t>
  </si>
  <si>
    <t>Epoxy resin, PU prepolymer, Curing agent</t>
  </si>
  <si>
    <t>(Wind)Concrete admixtures</t>
    <phoneticPr fontId="8" type="noConversion"/>
  </si>
  <si>
    <t>Superplasticizer/admixture for wind turbine foundation</t>
  </si>
  <si>
    <t>Ethylene, Propylene, Naphthalene</t>
  </si>
  <si>
    <t>PCE, SNF, Lignosulfonate</t>
  </si>
  <si>
    <t>Membranes</t>
    <phoneticPr fontId="8" type="noConversion"/>
  </si>
  <si>
    <t>RO/UF/NF water treatment membrane</t>
  </si>
  <si>
    <t>Benzene, Propylene, Fluoropolymer feed</t>
  </si>
  <si>
    <t>Membranes</t>
  </si>
  <si>
    <t>Ion exchange resins</t>
  </si>
  <si>
    <t>Demineralization / ultrapure water ion exchange resin</t>
  </si>
  <si>
    <t>Benzene, Ethylene</t>
  </si>
  <si>
    <t>Styrene, DVB, Functional resin bead</t>
  </si>
  <si>
    <t>Organic polymers</t>
  </si>
  <si>
    <t>Coagulant/flocculant for water clarification</t>
  </si>
  <si>
    <t>Propylene, Acrylonitrile</t>
  </si>
  <si>
    <t>Corrosion inhibitors</t>
  </si>
  <si>
    <t>Cooling/boiler water corrosion inhibitor</t>
  </si>
  <si>
    <t>Phosphorus, Nitrogen, Benzene</t>
  </si>
  <si>
    <t>Phosphonate, Azole, Amine inhibitor</t>
  </si>
  <si>
    <t>Scale inhibitors</t>
  </si>
  <si>
    <t>Scale control chemical for cooling/desalination</t>
  </si>
  <si>
    <t>Propylene, Phosphorus</t>
  </si>
  <si>
    <t>Polyacrylate, Phosphonate</t>
  </si>
  <si>
    <t>Specialty biocides</t>
  </si>
  <si>
    <t>Microbial control chemical for industrial water</t>
  </si>
  <si>
    <t>Chlorine, Methanol, Isothiazolinone intermediates</t>
  </si>
  <si>
    <t>DBNPA, Isothiazolinone, Glutaraldehyde</t>
  </si>
  <si>
    <t>Foam control agents</t>
  </si>
  <si>
    <t>Defoamer for wastewater/process water</t>
  </si>
  <si>
    <t>Silicon, Propylene</t>
  </si>
  <si>
    <t>Silicone oil, Polyether, Hydrophobic silica</t>
  </si>
  <si>
    <t>Emollients and moisturizers</t>
  </si>
  <si>
    <t>Skin-feel emollient / moisturizer ingredient</t>
  </si>
  <si>
    <t>Oleochemical, Propylene, Silicon</t>
  </si>
  <si>
    <t>Fatty ester, Polyol, Silicone fluid</t>
  </si>
  <si>
    <t>Surfactants</t>
  </si>
  <si>
    <t>Ethylene, Fatty alcohol, LAB</t>
  </si>
  <si>
    <t>EO, Fatty alcohol ethoxylate, Sulfate surfactant</t>
  </si>
  <si>
    <t>Thickening agents</t>
  </si>
  <si>
    <t>Rheology modifier for creams/gels</t>
  </si>
  <si>
    <t>Cellulose, Acrylic acid, Natural gum</t>
  </si>
  <si>
    <t>Carbomer, Cellulose ether, Xanthan gum</t>
  </si>
  <si>
    <t>Colorants</t>
  </si>
  <si>
    <t>Cosmetic pigment/colorant</t>
  </si>
  <si>
    <t>Mineral, Aromatics</t>
  </si>
  <si>
    <t>Iron oxide, Organic pigment, Lake color</t>
  </si>
  <si>
    <t>Carriers and powders</t>
  </si>
  <si>
    <t>Solvent/carrier/powder base for cosmetics</t>
  </si>
  <si>
    <t>Propylene, Silica, Talc</t>
  </si>
  <si>
    <t>PG, Ethanol, Silica, Talc powder</t>
  </si>
  <si>
    <t>Product protection agentsa</t>
  </si>
  <si>
    <t>Preservative/antioxidant/chelating agent</t>
  </si>
  <si>
    <t>Benzene, Chlorine, C1/C2 feed</t>
  </si>
  <si>
    <t>Paraben, Phenoxyethanol, EDTA</t>
  </si>
  <si>
    <t>Hair conditioning polymers</t>
  </si>
  <si>
    <t>Cationic conditioning polymer</t>
  </si>
  <si>
    <t>Acrylamide, Cellulose, Silicon</t>
  </si>
  <si>
    <t>Polyquaternium, Cationic cellulose, Silicone polymer</t>
  </si>
  <si>
    <t>Hair setting resins</t>
  </si>
  <si>
    <t>Styling resin for hair gel/spray</t>
  </si>
  <si>
    <t>Vinyl acetate, Acrylate, PVP feed</t>
  </si>
  <si>
    <t>PVP, Acrylate copolymer, VA copolymer</t>
  </si>
  <si>
    <t>Sunscreen chemicals</t>
  </si>
  <si>
    <t>UV absorber / sun care active</t>
  </si>
  <si>
    <t>Benzene, Toluene, Ethylhexanol</t>
  </si>
  <si>
    <t>Avobenzone, Octocrylene, Ethylhexyl methoxycinnamate</t>
  </si>
  <si>
    <t>Antiperspirants chemicals</t>
  </si>
  <si>
    <t>Aluminum salt antiperspirant active</t>
  </si>
  <si>
    <t>Alumina, Chlorine</t>
  </si>
  <si>
    <t>Aluminum chlorohydrate</t>
  </si>
  <si>
    <t>Deodorant chemicals</t>
  </si>
  <si>
    <t>Odor-control / antimicrobial deodorant ingredient</t>
  </si>
  <si>
    <t>Zinc, Aromatics, Ethanol</t>
  </si>
  <si>
    <t>Zinc ricinoleate, Fragrance, Antimicrobial</t>
  </si>
  <si>
    <t>Antidandruff chemicals</t>
  </si>
  <si>
    <t>Anti-dandruff active ingredient</t>
  </si>
  <si>
    <t>Zinc, Sulfur, Aromatics</t>
  </si>
  <si>
    <t>Zinc pyrithione, Piroctone olamine</t>
  </si>
  <si>
    <t>Active ingredients</t>
  </si>
  <si>
    <t>Anti-aging / skin-functional active</t>
  </si>
  <si>
    <t>Biomass, Fermentation feedstock, Aromatics</t>
  </si>
  <si>
    <t>Peptide, Niacinamide, Retinol derivative</t>
  </si>
  <si>
    <t>Janitorial</t>
    <phoneticPr fontId="8" type="noConversion"/>
  </si>
  <si>
    <t>Institutional surface cleaner/disinfectant</t>
  </si>
  <si>
    <t>LAB, Ethylene, Chlorine, Alcohol</t>
  </si>
  <si>
    <t>Surfactant, Solvent, Quat disinfectant</t>
  </si>
  <si>
    <t>Agricultural, food and drink</t>
    <phoneticPr fontId="8" type="noConversion"/>
  </si>
  <si>
    <t>CIP/food plant cleaner and sanitizer</t>
  </si>
  <si>
    <t>Caustic soda, Acid, Chlorine, Surfactant feed</t>
  </si>
  <si>
    <t>Alkaline cleaner, Acid cleaner, Peracetic sanitizer</t>
  </si>
  <si>
    <t>Kitchen and catering</t>
    <phoneticPr fontId="8" type="noConversion"/>
  </si>
  <si>
    <t>Warewashing detergent/degreaser</t>
  </si>
  <si>
    <t>LAB, EO, Caustic soda</t>
  </si>
  <si>
    <t>Anionic/nonionic surfactant, Builder</t>
  </si>
  <si>
    <t>Technical, industrial</t>
    <phoneticPr fontId="8" type="noConversion"/>
  </si>
  <si>
    <t>Metal/industrial equipment cleaner</t>
  </si>
  <si>
    <t>Solvent, EO/PO, Acid/alkali</t>
  </si>
  <si>
    <t>Degreasing solvent, Surfactant, Inhibitor</t>
  </si>
  <si>
    <t>Transportation</t>
    <phoneticPr fontId="8" type="noConversion"/>
  </si>
  <si>
    <t>Vehicle wash / transport cleaner</t>
  </si>
  <si>
    <t>LAB, EO, Solvent</t>
  </si>
  <si>
    <t>Surfactant blend, Solvent cleaner</t>
  </si>
  <si>
    <t>Laundry</t>
    <phoneticPr fontId="8" type="noConversion"/>
  </si>
  <si>
    <t>Institutional laundry detergent</t>
  </si>
  <si>
    <t>LAB, EO, Enzyme feed, Builder</t>
  </si>
  <si>
    <t>Surfactant, Enzyme, Bleach activator</t>
  </si>
  <si>
    <t>Specialty sanitation/maintenance cleaner</t>
  </si>
  <si>
    <t>Solvent, Surfactant, Biocide feed</t>
  </si>
  <si>
    <t>Specialty cleaner formulation</t>
  </si>
  <si>
    <t>Antioxidants</t>
  </si>
  <si>
    <t>Polyolefin oxidation inhibitor for PE/PP</t>
  </si>
  <si>
    <t>Phenolic antioxidant, Phosphite intermediate</t>
    <phoneticPr fontId="8" type="noConversion"/>
  </si>
  <si>
    <t>Anti-static agents</t>
    <phoneticPr fontId="8" type="noConversion"/>
  </si>
  <si>
    <t>Permanent/temporary anti-static additive for packaging &amp; electronics</t>
  </si>
  <si>
    <t>Ethylene, PO</t>
    <phoneticPr fontId="8" type="noConversion"/>
  </si>
  <si>
    <t>Ethoxylate, Amine derivative</t>
    <phoneticPr fontId="8" type="noConversion"/>
  </si>
  <si>
    <t>Chemical blowing agents</t>
    <phoneticPr fontId="8" type="noConversion"/>
  </si>
  <si>
    <t>Foaming additive for insulation &amp; lightweight plastics</t>
  </si>
  <si>
    <t>Urea, Natural gas</t>
    <phoneticPr fontId="8" type="noConversion"/>
  </si>
  <si>
    <t>Azodicarbonamide, Hydrazide intermediate</t>
    <phoneticPr fontId="8" type="noConversion"/>
  </si>
  <si>
    <t>Flame retardants</t>
    <phoneticPr fontId="8" type="noConversion"/>
  </si>
  <si>
    <t>Halogen-free &amp; brominated flame retardant</t>
  </si>
  <si>
    <t>Benzene, Propylene, Chlor-alkali</t>
    <phoneticPr fontId="8" type="noConversion"/>
  </si>
  <si>
    <t>Brominated aromatic, Phosphorus intermediate</t>
    <phoneticPr fontId="8" type="noConversion"/>
  </si>
  <si>
    <t>Heat stabilizers</t>
    <phoneticPr fontId="8" type="noConversion"/>
  </si>
  <si>
    <t>PVC thermal stabilizer</t>
  </si>
  <si>
    <t>Salt, Benzene</t>
    <phoneticPr fontId="8" type="noConversion"/>
  </si>
  <si>
    <t>Metal soap, Organotin intermediate</t>
    <phoneticPr fontId="8" type="noConversion"/>
  </si>
  <si>
    <t>Impact modifiers</t>
    <phoneticPr fontId="8" type="noConversion"/>
  </si>
  <si>
    <t>PVC &amp; engineering plastic impact modifier</t>
  </si>
  <si>
    <t>Ethylene, Propylene, C4</t>
    <phoneticPr fontId="8" type="noConversion"/>
  </si>
  <si>
    <t>ABS/MBS/Acrylic intermediate</t>
    <phoneticPr fontId="8" type="noConversion"/>
  </si>
  <si>
    <t>Light stabilizers</t>
    <phoneticPr fontId="8" type="noConversion"/>
  </si>
  <si>
    <t>UV/weather resistance additive for outdoor plastics</t>
  </si>
  <si>
    <t>HALS, Benzotriazole intermediate</t>
    <phoneticPr fontId="8" type="noConversion"/>
  </si>
  <si>
    <t>Lubricants</t>
    <phoneticPr fontId="8" type="noConversion"/>
  </si>
  <si>
    <t>Processing lubricant for PVC &amp; polyolefin</t>
  </si>
  <si>
    <t>Ethylene, Natural oil, Paraffin</t>
    <phoneticPr fontId="8" type="noConversion"/>
  </si>
  <si>
    <t>Fatty acid, Wax, Metal stearate</t>
    <phoneticPr fontId="8" type="noConversion"/>
  </si>
  <si>
    <t>Reactive specialty adhesives</t>
    <phoneticPr fontId="8" type="noConversion"/>
  </si>
  <si>
    <t>Polyurethane</t>
  </si>
  <si>
    <t>Automotive, construction &amp; flexible packaging adhesive</t>
    <phoneticPr fontId="8" type="noConversion"/>
  </si>
  <si>
    <t>Propylene, Benzene/Toluene</t>
    <phoneticPr fontId="8" type="noConversion"/>
  </si>
  <si>
    <t>Polyol, MDI/TDI/HDI, PU prepolymer</t>
    <phoneticPr fontId="8" type="noConversion"/>
  </si>
  <si>
    <t>Structural adhesive for electronics, aircraft, EV battery and industrial assembly</t>
    <phoneticPr fontId="8" type="noConversion"/>
  </si>
  <si>
    <t>BPA, Epichlorohydrin, Epoxy resin, Amine hardener</t>
    <phoneticPr fontId="8" type="noConversion"/>
  </si>
  <si>
    <t>Radiation-curable</t>
  </si>
  <si>
    <t>UV-curable adhesive for electronics, optical media and precision assembly</t>
    <phoneticPr fontId="8" type="noConversion"/>
  </si>
  <si>
    <t>Propylene, Benzene</t>
    <phoneticPr fontId="8" type="noConversion"/>
  </si>
  <si>
    <t>Acrylate monomer, Oligomer, Photoinitiator</t>
    <phoneticPr fontId="8" type="noConversion"/>
  </si>
  <si>
    <t>Instant/anaerobic/modified acrylic adhesive for industrial and consumer bonding</t>
    <phoneticPr fontId="8" type="noConversion"/>
  </si>
  <si>
    <t>Propylene, Methanol, C4</t>
    <phoneticPr fontId="8" type="noConversion"/>
  </si>
  <si>
    <t>Cyanoacrylate, Methacrylate, Anaerobic acrylic monomer</t>
    <phoneticPr fontId="8" type="noConversion"/>
  </si>
  <si>
    <t>Specialty sealant</t>
    <phoneticPr fontId="8" type="noConversion"/>
  </si>
  <si>
    <t>Silicone</t>
  </si>
  <si>
    <t>Building, glazing, electronics and high-weatherability sealant</t>
    <phoneticPr fontId="8" type="noConversion"/>
  </si>
  <si>
    <t>Silicon metal, Methanol</t>
    <phoneticPr fontId="8" type="noConversion"/>
  </si>
  <si>
    <t>Chlorosilane, Siloxane, Silicone polymer</t>
    <phoneticPr fontId="8" type="noConversion"/>
  </si>
  <si>
    <t>Construction joint, automotive and industrial elastic sealant</t>
    <phoneticPr fontId="8" type="noConversion"/>
  </si>
  <si>
    <t>Polyol, Isocyanate, PU prepolymer</t>
    <phoneticPr fontId="8" type="noConversion"/>
  </si>
  <si>
    <t>Silyl-modified polymers</t>
    <phoneticPr fontId="8" type="noConversion"/>
  </si>
  <si>
    <t>Low-VOC construction and elastic adhesive/sealant</t>
    <phoneticPr fontId="8" type="noConversion"/>
  </si>
  <si>
    <t>Propylene, Silicon metal, Methanol</t>
    <phoneticPr fontId="8" type="noConversion"/>
  </si>
  <si>
    <t>Polyether polyol, Silane-terminated polymer</t>
    <phoneticPr fontId="8" type="noConversion"/>
  </si>
  <si>
    <t>Polysulfides</t>
  </si>
  <si>
    <t>Aerospace, insulated glass and fuel-resistant sealant</t>
    <phoneticPr fontId="8" type="noConversion"/>
  </si>
  <si>
    <t>Ethylene, Sulfur, Chlor-alkali</t>
    <phoneticPr fontId="8" type="noConversion"/>
  </si>
  <si>
    <t>Dichloroethyl formal, Sodium polysulfide, Polysulfide polymer</t>
    <phoneticPr fontId="8" type="noConversion"/>
  </si>
  <si>
    <t>Rubber-processing chemicals</t>
    <phoneticPr fontId="8" type="noConversion"/>
  </si>
  <si>
    <t>Antidegradants</t>
  </si>
  <si>
    <t>Amino compounds</t>
  </si>
  <si>
    <t>Amine antidegradant for tire/rubber aging resistance</t>
  </si>
  <si>
    <t>Benzene, Nitrobenzene</t>
  </si>
  <si>
    <t>Aniline, PPD derivatives</t>
  </si>
  <si>
    <t>Phenolics</t>
  </si>
  <si>
    <t>Phenolic antioxidant for rubber stabilization</t>
  </si>
  <si>
    <t>Phenol, Alkylphenol, Hindered phenol</t>
  </si>
  <si>
    <t>Phosphites</t>
  </si>
  <si>
    <t>Secondary antioxidant for rubber/plastics</t>
  </si>
  <si>
    <t>Benzene, Phosphorus</t>
  </si>
  <si>
    <t>Alkylphenol, Phosphite ester</t>
  </si>
  <si>
    <t>Other antidegradants</t>
  </si>
  <si>
    <t>Wax/secondary stabilizer for ozone and aging resistance</t>
  </si>
  <si>
    <t>Paraffin, Olefin</t>
  </si>
  <si>
    <t>Protective wax, Specialty stabilizer</t>
  </si>
  <si>
    <t>Accelerators</t>
  </si>
  <si>
    <t>Sulfenamides</t>
  </si>
  <si>
    <t>Delayed-action vulcanization accelerator</t>
  </si>
  <si>
    <t>Benzene, Sulfur, Ammonia</t>
  </si>
  <si>
    <t>Aniline, MBT, Sulfenamide</t>
  </si>
  <si>
    <t>Other thiazole derivatives</t>
  </si>
  <si>
    <t>Vulcanization accelerator for tires/rubber goods</t>
  </si>
  <si>
    <t>Benzene, Sulfur</t>
  </si>
  <si>
    <t>MBT, MBTS</t>
  </si>
  <si>
    <t>Other accelerators</t>
  </si>
  <si>
    <t>Thiuram/dithiocarbamate/guanidine accelerator</t>
  </si>
  <si>
    <t>Carbon disulfide, Amine, Benzene</t>
  </si>
  <si>
    <t>Dithiocarbamate, Thiuram, DPG</t>
  </si>
  <si>
    <t>Polymerization regulators</t>
  </si>
  <si>
    <t>Synthetic rubber polymerization control chemical</t>
  </si>
  <si>
    <t>C4, Styrene, Sulfur</t>
  </si>
  <si>
    <t>Chain transfer agent, Shortstop-type intermediate</t>
  </si>
  <si>
    <t>Blowing agents</t>
  </si>
  <si>
    <t>Foaming agent for sponge rubber</t>
  </si>
  <si>
    <t>Natural gas, Ammonia</t>
  </si>
  <si>
    <t>Urea derivative, Azodicarbonamide</t>
  </si>
  <si>
    <t>Vulcanization retarders</t>
  </si>
  <si>
    <t>Scorch retarder for rubber processing</t>
  </si>
  <si>
    <t>Benzene, C5</t>
  </si>
  <si>
    <t>Phthalimide, Cyclohexylthio intermediate</t>
  </si>
  <si>
    <t>Shortstops</t>
  </si>
  <si>
    <t>Polymerization shortstop for synthetic rubber</t>
  </si>
  <si>
    <t>Hydroxylamine/phenolic shortstop</t>
  </si>
  <si>
    <t>Peptizers</t>
  </si>
  <si>
    <t>Rubber mastication aid</t>
  </si>
  <si>
    <t>Disulfide/thiophenol derivative</t>
  </si>
  <si>
    <t>Textile chemicals</t>
    <phoneticPr fontId="8" type="noConversion"/>
  </si>
  <si>
    <t>Yarn treatment chemicals</t>
  </si>
  <si>
    <t>Specialty textile lubricants</t>
  </si>
  <si>
    <t>Spin finish / yarn lubricant</t>
  </si>
  <si>
    <t>EO/PO, Fatty acid, Mineral oil</t>
  </si>
  <si>
    <t>Ethoxylated lubricant, Ester lubricant</t>
  </si>
  <si>
    <t>Synthetic warp sizes</t>
    <phoneticPr fontId="8" type="noConversion"/>
  </si>
  <si>
    <t>Warp sizing agent</t>
  </si>
  <si>
    <t>Starch, Vinyl acetate, Acrylic acid</t>
  </si>
  <si>
    <t>Modified starch, PVA, Acrylic size</t>
  </si>
  <si>
    <t>Processing chemicals</t>
  </si>
  <si>
    <t>Surfactants</t>
    <phoneticPr fontId="8" type="noConversion"/>
  </si>
  <si>
    <t>Scouring/wetting/dyeing surfactant</t>
  </si>
  <si>
    <t>LAB, Fatty alcohol, EO</t>
  </si>
  <si>
    <t>Ethoxylate, Sulfate, Sulfonate</t>
  </si>
  <si>
    <t>Bleaching auxiliaries</t>
    <phoneticPr fontId="8" type="noConversion"/>
  </si>
  <si>
    <t>Stabilizer/auxiliary for textile bleaching</t>
  </si>
  <si>
    <t>Phosphorus, Chelant feed</t>
  </si>
  <si>
    <t>Phosphonate, EDTA-type chelant</t>
  </si>
  <si>
    <t>Fluorescent whitening agents</t>
  </si>
  <si>
    <t>Optical brightener for textile</t>
  </si>
  <si>
    <t>Benzene, Stilbene intermediates</t>
  </si>
  <si>
    <t>Stilbene-based FWA</t>
  </si>
  <si>
    <t>Enzymes</t>
  </si>
  <si>
    <t>Bio-processing enzyme for textile</t>
  </si>
  <si>
    <t>Amylase, Cellulase, Catalase</t>
  </si>
  <si>
    <t>Functional chemicals</t>
  </si>
  <si>
    <t>Printing auxiliaries</t>
    <phoneticPr fontId="8" type="noConversion"/>
  </si>
  <si>
    <t>Printing thickener/binder/auxiliary</t>
  </si>
  <si>
    <t>Acrylic acid, Starch, Solvent</t>
  </si>
  <si>
    <t>Acrylic binder, Thickener, Fixing agent</t>
  </si>
  <si>
    <t>Textile dye/pigment</t>
  </si>
  <si>
    <t>Azo dye, Anthraquinone dye, Pigment</t>
  </si>
  <si>
    <t>Finishing agents</t>
    <phoneticPr fontId="8" type="noConversion"/>
  </si>
  <si>
    <t>Softener/repellent/flame-retardant finish</t>
  </si>
  <si>
    <t>Silicon, Fatty acid, Phosphorus, Fluorspar</t>
  </si>
  <si>
    <t>Silicone softener, FR additive, Repellent</t>
  </si>
  <si>
    <t>Coatings</t>
    <phoneticPr fontId="8" type="noConversion"/>
  </si>
  <si>
    <t>Functional textile coating</t>
  </si>
  <si>
    <t>Acrylic acid, PU feed, Silicone</t>
  </si>
  <si>
    <t>Acrylic latex, PU dispersion, Silicone coating</t>
  </si>
  <si>
    <t>Printing inks</t>
    <phoneticPr fontId="8" type="noConversion"/>
  </si>
  <si>
    <t>Lithography</t>
  </si>
  <si>
    <t>Offset printing ink for packaging/commercial print</t>
  </si>
  <si>
    <t>Benzene, Vegetable oil, Solvent</t>
  </si>
  <si>
    <t>Alkyd resin, Rosin ester, Pigment</t>
  </si>
  <si>
    <t>Flexography</t>
  </si>
  <si>
    <t>Flexible packaging ink</t>
  </si>
  <si>
    <t>Ethanol, Ethyl acetate, Acrylic resin feed</t>
  </si>
  <si>
    <t>Nitrocellulose/acrylic/PU binder, Pigment</t>
  </si>
  <si>
    <t>Rotogravure</t>
  </si>
  <si>
    <t>High-speed packaging gravure ink</t>
  </si>
  <si>
    <t>Toluene, Ethyl acetate, PU feed</t>
  </si>
  <si>
    <t>PU resin, Nitrocellulose, Pigment</t>
  </si>
  <si>
    <t>Digital Printing</t>
  </si>
  <si>
    <t>Inkjet ink for packaging/textile/display</t>
  </si>
  <si>
    <t>Propylene, Solvent, Pigment</t>
  </si>
  <si>
    <t>Acrylic resin, Dispersant, Pigment dispersion</t>
  </si>
  <si>
    <t>Screen/energy-curable/specialty ink</t>
  </si>
  <si>
    <t>Acrylate oligomer, Photoinitiator, Pigment</t>
  </si>
  <si>
    <t>Flavor compositions</t>
  </si>
  <si>
    <t>Food/beverage flavor formulation</t>
  </si>
  <si>
    <t>Natural extracts, Aroma chemicals</t>
  </si>
  <si>
    <t>Flavor blend, Essential oil, Aroma molecule</t>
  </si>
  <si>
    <t>Fragrance compositions</t>
  </si>
  <si>
    <t>Fine fragrance / household fragrance formulation</t>
  </si>
  <si>
    <t>BTX, Terpenes, Natural extracts</t>
  </si>
  <si>
    <t>Fragrance compound, Musk, Terpenoid</t>
  </si>
  <si>
    <t>Essential oils/ natural extracts</t>
    <phoneticPr fontId="8" type="noConversion"/>
  </si>
  <si>
    <t>Natural flavor/fragrance oil</t>
  </si>
  <si>
    <t>Essential oil, Oleoresin, Extract</t>
  </si>
  <si>
    <t>Aroma chemicals</t>
  </si>
  <si>
    <t>Synthetic aroma chemical</t>
  </si>
  <si>
    <t>Benzene, Toluene, Isoprene, Turpentine</t>
  </si>
  <si>
    <t>Benzenoid, Terpenoid, Musk intermediate</t>
  </si>
  <si>
    <t>Modified starchese</t>
  </si>
  <si>
    <t>Texture/thickening modified starch</t>
  </si>
  <si>
    <t>Corn, Tapioca, Potato starch</t>
  </si>
  <si>
    <t>Modified starch</t>
  </si>
  <si>
    <t>Thickeners and stabilizers (excluding starches)</t>
    <phoneticPr fontId="8" type="noConversion"/>
  </si>
  <si>
    <t>Hydrocolloid stabilizer</t>
  </si>
  <si>
    <t>Seaweed, Cellulose, Fermentation feed</t>
  </si>
  <si>
    <t>Carrageenan, CMC, Xanthan gum</t>
  </si>
  <si>
    <t>High-intensity sweeteners</t>
  </si>
  <si>
    <t>Low-calorie sweetener</t>
  </si>
  <si>
    <t>Aspartic acid, Phenylalanine, Chlorinated sugar, Stevia leaf</t>
  </si>
  <si>
    <t>Aspartame, Sucralose, Stevia extract</t>
  </si>
  <si>
    <t>Other specialty sweeteners</t>
    <phoneticPr fontId="8" type="noConversion"/>
  </si>
  <si>
    <t>Polyol/rare sugar sweetener</t>
  </si>
  <si>
    <t>Glucose, Starch, Hydrogen</t>
  </si>
  <si>
    <t>Sorbitol, Xylitol, Erythritol, Allulose</t>
  </si>
  <si>
    <t>Emulsifiers</t>
  </si>
  <si>
    <t>Food emulsifier</t>
  </si>
  <si>
    <t>Vegetable oil, Glycerol, Sorbitol</t>
  </si>
  <si>
    <t>Mono-/diglyceride, Polysorbate, Lecithin</t>
  </si>
  <si>
    <t>Colorants</t>
    <phoneticPr fontId="8" type="noConversion"/>
  </si>
  <si>
    <t>Food color</t>
  </si>
  <si>
    <t>Botanical extract, Minerals, Aromatics</t>
  </si>
  <si>
    <t>Natural color, Synthetic dye, Lake pigment</t>
  </si>
  <si>
    <t>Baking/brewing/dairy enzyme</t>
  </si>
  <si>
    <t>Amylase, Protease, Lipase</t>
  </si>
  <si>
    <t>Preservatives</t>
  </si>
  <si>
    <t>Shelf-life extender / antimicrobial additive</t>
  </si>
  <si>
    <t>Toluene, Propylene, Fermentation feed</t>
  </si>
  <si>
    <t>Benzoate, Sorbate, Propionate</t>
  </si>
  <si>
    <t>Food oxidation inhibitor</t>
  </si>
  <si>
    <t>Benzene, Natural tocopherol source</t>
  </si>
  <si>
    <t>BHT/BHA/TBHQ, Tocopherol</t>
  </si>
  <si>
    <t>Poultry/aquaculture pigmentation additive</t>
  </si>
  <si>
    <t>C5 isoprene, Natural extract</t>
  </si>
  <si>
    <t>Astaxanthin, Canthaxanthin</t>
  </si>
  <si>
    <t>Animal nutrition vitamin premix active</t>
  </si>
  <si>
    <t>Glucose, Acetone, Isoprene</t>
  </si>
  <si>
    <t>Vitamins A/E/B/C intermediates</t>
  </si>
  <si>
    <t>Phosphate</t>
  </si>
  <si>
    <t>Feed-grade phosphate mineral</t>
  </si>
  <si>
    <t>Phosphate rock, Sulfuric acid</t>
  </si>
  <si>
    <t>MCP, DCP, MDCP</t>
  </si>
  <si>
    <t>Amino acids</t>
  </si>
  <si>
    <t>Feed amino acid for poultry/swine</t>
  </si>
  <si>
    <t>Sugar, Ammonia</t>
  </si>
  <si>
    <t>Lysine, Methionine, Threonine, Tryptophan</t>
  </si>
  <si>
    <t>Nonprotein nitrogen</t>
  </si>
  <si>
    <t>Ruminant nitrogen source</t>
  </si>
  <si>
    <t>Urea</t>
  </si>
  <si>
    <t>Feed enzyme for digestibility improvement</t>
  </si>
  <si>
    <t>Phytase, NSP enzyme, Protease</t>
  </si>
  <si>
    <t>Polyalphaolefins</t>
  </si>
  <si>
    <t>PAO synthetic base oil for premium automotive/industrial lubricant</t>
  </si>
  <si>
    <t>LAO, Decene</t>
  </si>
  <si>
    <t>Polyol esters</t>
  </si>
  <si>
    <t>High-temperature ester base oil for aviation/industrial lubricant</t>
  </si>
  <si>
    <t>Propylene, Oleochemical</t>
  </si>
  <si>
    <t>Polyol, Fatty acid</t>
  </si>
  <si>
    <t>Polyalkylene glycols</t>
  </si>
  <si>
    <t>PAG base oil for compressor, gear and EV fluids</t>
  </si>
  <si>
    <t>Ethylene, Propylene</t>
  </si>
  <si>
    <t>EO, PO, PAG</t>
  </si>
  <si>
    <t>Di-/tribasic esters</t>
  </si>
  <si>
    <t>Diester/triester base oil for low-temperature lubricant</t>
  </si>
  <si>
    <t>C4, C6/C8 acids, Alcohols</t>
  </si>
  <si>
    <t>Dibasic acid, Monoalcohol</t>
  </si>
  <si>
    <t>Polybutenes</t>
  </si>
  <si>
    <t>Polybutene base oil/tackifier for lubricants and greases</t>
  </si>
  <si>
    <t>Isobutylene, Polybutene</t>
  </si>
  <si>
    <t>Phosphate esters</t>
  </si>
  <si>
    <t>Fire-resistant hydraulic fluid base stock</t>
  </si>
  <si>
    <t>Phenol, Phosphate ester</t>
  </si>
  <si>
    <t>Alkylated aromatics</t>
  </si>
  <si>
    <t>Alkylbenzene/alkylnaphthalene synthetic base oil</t>
  </si>
  <si>
    <t>Benzene, Naphthalene, LAO</t>
  </si>
  <si>
    <t>Alkylbenzene, Alkylnaphthalene</t>
  </si>
  <si>
    <t>Other specialties</t>
  </si>
  <si>
    <t>Silicone/fluorinated/PPE specialty lubricant for extreme conditions</t>
  </si>
  <si>
    <t>Silicon, Fluorspar, Benzene</t>
  </si>
  <si>
    <t>Silicone fluid, PFPE, Polyphenyl ether</t>
  </si>
  <si>
    <t>Pulp and fiber treatment</t>
  </si>
  <si>
    <t>Bleaching specialties</t>
  </si>
  <si>
    <t>Bleaching specialty for pulp brightness</t>
  </si>
  <si>
    <t>Sulfur, Chlorine, Phosphorus</t>
  </si>
  <si>
    <t>Chelant, Reducing agent, Peroxide stabilizer</t>
  </si>
  <si>
    <t>Deinking agents</t>
  </si>
  <si>
    <t>Wastepaper recycling deinking chemical</t>
  </si>
  <si>
    <t>EO/PO, Fatty acid</t>
  </si>
  <si>
    <t>Surfactant, Collector, Dispersant</t>
  </si>
  <si>
    <t>Pulp modification enzyme</t>
  </si>
  <si>
    <t>Cellulase, Xylanase</t>
  </si>
  <si>
    <t>Processing aids</t>
  </si>
  <si>
    <t>Specialty biocidesa</t>
  </si>
  <si>
    <t>Microbial control for paper mill process</t>
  </si>
  <si>
    <t>Chlorine, Isothiazolinone feed</t>
  </si>
  <si>
    <t>Isothiazolinone, DBNPA, Glutaraldehyde</t>
  </si>
  <si>
    <t>Defoamers</t>
  </si>
  <si>
    <t>Foam control agent for papermaking</t>
  </si>
  <si>
    <t>Silicon, Mineral oil, Fatty acid</t>
  </si>
  <si>
    <t>Silicone defoamer, Oil-based defoamer</t>
  </si>
  <si>
    <t>Pitch-control agents</t>
  </si>
  <si>
    <t>Deposit/pitch control chemical</t>
  </si>
  <si>
    <t>Talc, Surfactant, Polymer feed</t>
  </si>
  <si>
    <t>Dispersant, Fixing agent, Talc</t>
  </si>
  <si>
    <t>Retention/drainage aids</t>
  </si>
  <si>
    <t>Retention and drainage polymer</t>
  </si>
  <si>
    <t>Acrylamide, Polyacrylamide, Cationic polymer</t>
  </si>
  <si>
    <t>Functional chemicalsb</t>
  </si>
  <si>
    <t>Dry-strength additives</t>
  </si>
  <si>
    <t>Paper strength resin</t>
  </si>
  <si>
    <t>Starch, Acrylamide</t>
  </si>
  <si>
    <t>Cationic starch, Polyacrylamide</t>
  </si>
  <si>
    <t>Wet-strength resins</t>
  </si>
  <si>
    <t>Tissue/packaging wet-strength resin</t>
  </si>
  <si>
    <t>Epichlorohydrin, Amine</t>
  </si>
  <si>
    <t>PAE resin</t>
  </si>
  <si>
    <t>Specialty paper sizes</t>
  </si>
  <si>
    <t>Water resistance sizing agent</t>
  </si>
  <si>
    <t>Rosin, C16/C18 olefin, Styrene</t>
  </si>
  <si>
    <t>AKD, ASA, Rosin size</t>
  </si>
  <si>
    <t>Dyes, pigments and fluorescent whitening agents</t>
  </si>
  <si>
    <t>Paper colorant/brightener</t>
  </si>
  <si>
    <t>BTX, Minerals</t>
  </si>
  <si>
    <t>Direct dye, Pigment, FWA</t>
  </si>
  <si>
    <t>Coating binders and additives</t>
  </si>
  <si>
    <t>Coated paper binder/additive</t>
  </si>
  <si>
    <t>Styrene, Butadiene, Acrylic acid</t>
  </si>
  <si>
    <t>SBR latex, Acrylic latex, Starch binder</t>
  </si>
  <si>
    <t>Barrier/coated packaging chemical</t>
  </si>
  <si>
    <t>Acrylic acid, Wax, Fluorine alternative, Bio-polymer</t>
  </si>
  <si>
    <t>Barrier coating, Release coating</t>
  </si>
  <si>
    <t>Construction chemicals</t>
  </si>
  <si>
    <t>Concrete admixtures</t>
  </si>
  <si>
    <t>Superplasticizer/accelerator/retarder</t>
  </si>
  <si>
    <t>EO, Propylene, Naphthalene</t>
  </si>
  <si>
    <t>PCE, SNF, Lignosulfonate, Accelerator</t>
  </si>
  <si>
    <t>Asphalt additives</t>
  </si>
  <si>
    <t>Polymer-modified asphalt additive</t>
  </si>
  <si>
    <t>SBS, SBR, Adhesion promoter</t>
  </si>
  <si>
    <t>Construction adhesive/sealant</t>
  </si>
  <si>
    <t>Epoxy, PU, Silicone, Acrylic resin</t>
  </si>
  <si>
    <t>Specialty coatings</t>
    <phoneticPr fontId="8" type="noConversion"/>
  </si>
  <si>
    <t>Floor/roof/waterproofing coating</t>
  </si>
  <si>
    <t>Propylene, Benzene, PO, Silicon</t>
  </si>
  <si>
    <t>Acrylic, Epoxy, PU, Silicone coating resin</t>
  </si>
  <si>
    <t>Insulation</t>
    <phoneticPr fontId="8" type="noConversion"/>
  </si>
  <si>
    <t>PU spray foam / insulation chemical</t>
  </si>
  <si>
    <t>Polyol, MDI/TDI</t>
  </si>
  <si>
    <t>Flotation reagents</t>
  </si>
  <si>
    <t>Frothers</t>
  </si>
  <si>
    <t>Mineral flotation frother</t>
  </si>
  <si>
    <t>Propylene, C4, MIBC feed</t>
  </si>
  <si>
    <t>MIBC, Glycol ether, Alcohol frother</t>
  </si>
  <si>
    <t>Mining chemicals</t>
    <phoneticPr fontId="8" type="noConversion"/>
  </si>
  <si>
    <t>Sulfide collectors</t>
  </si>
  <si>
    <t>Sulfide ore collector</t>
  </si>
  <si>
    <t>Alcohol, CS₂, Phosphorus</t>
  </si>
  <si>
    <t>Xanthate, Dithiophosphate</t>
  </si>
  <si>
    <t>Other collectors</t>
  </si>
  <si>
    <t>Oxide/nonmetallic ore collector</t>
  </si>
  <si>
    <t>Fatty acid, Amine, Phosphate ester</t>
  </si>
  <si>
    <t>Fatty amine, Fatty acid collector</t>
  </si>
  <si>
    <t>Flocculants</t>
  </si>
  <si>
    <t>Tailings thickening/dewatering flocculant</t>
  </si>
  <si>
    <t>Acrylamide, Polyacrylamide</t>
  </si>
  <si>
    <t>Solvent extractants</t>
  </si>
  <si>
    <t>Copper/nickel/uranium solvent extractant</t>
  </si>
  <si>
    <t>Benzene, Oxo alcohol, Phosphorus</t>
  </si>
  <si>
    <t>Oxime, Phosphoric extractant</t>
  </si>
  <si>
    <t>Dry grinding aids</t>
  </si>
  <si>
    <t>Cement/mineral dry grinding aid</t>
  </si>
  <si>
    <t>EO/PO, Amine</t>
  </si>
  <si>
    <t>Glycol, Triethanolamine</t>
  </si>
  <si>
    <t>Wet grinding aids</t>
  </si>
  <si>
    <t>Mineral slurry wet grinding aid</t>
  </si>
  <si>
    <t>Acrylic acid, EO/PO</t>
  </si>
  <si>
    <t>Polyacrylate, Dispersant</t>
  </si>
  <si>
    <t>Rheology modifiers</t>
  </si>
  <si>
    <t>Slurry rheology modifier</t>
  </si>
  <si>
    <t>Acrylic acid, Natural gum</t>
  </si>
  <si>
    <t>Polyacrylate, Cellulose ether, Xanthan</t>
  </si>
  <si>
    <t>Dispersants</t>
  </si>
  <si>
    <t>Ashless dispersant for engine oil</t>
  </si>
  <si>
    <t>C4, Polybutene, Amine</t>
  </si>
  <si>
    <t>PIBSA, Succinimide dispersant</t>
  </si>
  <si>
    <t>Detergents</t>
  </si>
  <si>
    <t>Metal detergent for engine oil</t>
  </si>
  <si>
    <t>Benzene, Olefin, Calcium</t>
  </si>
  <si>
    <t>Alkylbenzene sulfonate, Phenate, Salicylate</t>
  </si>
  <si>
    <t>EP/antiwear agents</t>
  </si>
  <si>
    <t>ZDDP / EP antiwear additive</t>
  </si>
  <si>
    <t>Alcohol, Phosphorus, Sulfur, Zinc</t>
  </si>
  <si>
    <t>ZDDP, Phosphate/sulfurized additive</t>
  </si>
  <si>
    <t>Amine/phenolic antioxidant for lubricants</t>
  </si>
  <si>
    <t>Alkylated diphenylamine, Hindered phenol</t>
  </si>
  <si>
    <t>Rust/corrosion inhibitor</t>
  </si>
  <si>
    <t>Fatty acid, Benzene, Nitrogen</t>
  </si>
  <si>
    <t>Sulfonate, Amine, Azole derivative</t>
  </si>
  <si>
    <t>VI improvers</t>
    <phoneticPr fontId="8" type="noConversion"/>
  </si>
  <si>
    <t>Viscosity index improver polymer</t>
  </si>
  <si>
    <t>Ethylene, Propylene, Methacrylate</t>
  </si>
  <si>
    <t>OCP, PMA, Hydrogenated styrene-diene polymer</t>
  </si>
  <si>
    <t>Other additives</t>
    <phoneticPr fontId="8" type="noConversion"/>
  </si>
  <si>
    <t>Pour point depressant/friction modifier/defoamer</t>
  </si>
  <si>
    <t>Acrylate, Fatty acid, Silicon</t>
  </si>
  <si>
    <t>PPD, Friction modifier, Silicone defoamer</t>
  </si>
  <si>
    <t>Drilling fluid additives</t>
  </si>
  <si>
    <t>Water-based fluids</t>
  </si>
  <si>
    <t>Water-based mud additive</t>
  </si>
  <si>
    <t>Propylene, Cellulose, Starch</t>
  </si>
  <si>
    <t>PAC, CMC, Polyacrylamide, Xanthan</t>
  </si>
  <si>
    <t>Oil-based fluids</t>
  </si>
  <si>
    <t>Oil-based mud emulsifier/wetting agent</t>
  </si>
  <si>
    <t>Base oil, Fatty acid, Amine</t>
  </si>
  <si>
    <t>Organophilic clay, Emulsifier, Wetting agent</t>
  </si>
  <si>
    <t>Synthetic-based fluidsa</t>
  </si>
  <si>
    <t>Synthetic drilling fluid additive</t>
  </si>
  <si>
    <t>LAO, Ester, Internal olefin</t>
  </si>
  <si>
    <t>Synthetic base fluid, Emulsifier</t>
  </si>
  <si>
    <t>Cementing additives</t>
  </si>
  <si>
    <t>Cement dispersant/retarder/fluid loss additive</t>
  </si>
  <si>
    <t>EO/PO, Naphthalene, Cellulose</t>
  </si>
  <si>
    <t>Lignosulfonate, PCE, Cellulose ether</t>
  </si>
  <si>
    <t>Workover and completion fluid additives</t>
  </si>
  <si>
    <t>Completion brine additive / corrosion inhibitor</t>
  </si>
  <si>
    <t>Inorganic salts, Amine, Solvent</t>
  </si>
  <si>
    <t>Brine additive, Corrosion inhibitor</t>
  </si>
  <si>
    <t>Stimulation chemicals</t>
  </si>
  <si>
    <t>Acidizing additives</t>
  </si>
  <si>
    <t>Acidizing corrosion inhibitor/diverter</t>
  </si>
  <si>
    <t>HCl, Amine, Surfactant feed</t>
  </si>
  <si>
    <t>Acid corrosion inhibitor, Surfactant, Diverter</t>
  </si>
  <si>
    <t>Fracturing additives</t>
  </si>
  <si>
    <t>Friction reducer / gelling agent / breaker</t>
  </si>
  <si>
    <t>Propylene, Guar, Persulfate</t>
  </si>
  <si>
    <t>Polyacrylamide, Guar gum, Breaker</t>
  </si>
  <si>
    <t>Oil production chemicals</t>
  </si>
  <si>
    <t>Asset integrity</t>
  </si>
  <si>
    <t>Corrosion/scale/biocide production chemical</t>
  </si>
  <si>
    <t>Amine, Phosphorus, Chlorine</t>
  </si>
  <si>
    <t>Corrosion inhibitor, Scale inhibitor, Biocide</t>
  </si>
  <si>
    <t>Flow assurance</t>
  </si>
  <si>
    <t>Demulsifier/wax/asphaltene/hydrate inhibitor</t>
  </si>
  <si>
    <t>EO/PO, Methanol, Aromatics</t>
  </si>
  <si>
    <t>Demulsifier, MEG/Methanol, Pour point additive</t>
  </si>
  <si>
    <t>Production maximization</t>
  </si>
  <si>
    <t>EOR surfactant/polymer</t>
  </si>
  <si>
    <t>Propylene, LAB, Acrylamide</t>
  </si>
  <si>
    <t>Surfactant, Polyacrylamide, Alkali</t>
  </si>
  <si>
    <t>Catalysts</t>
  </si>
  <si>
    <t>Fluid catalytic cracking (FCC)</t>
  </si>
  <si>
    <t>FCC catalyst/additive</t>
  </si>
  <si>
    <t>Silica, Alumina, Rare earths</t>
  </si>
  <si>
    <t>Zeolite Y, Matrix, ZSM-5 additive</t>
  </si>
  <si>
    <t>Hydrotreating</t>
  </si>
  <si>
    <t>HDS/HDN hydrotreating catalyst</t>
  </si>
  <si>
    <t>Molybdenum, Nickel, Cobalt, Alumina</t>
  </si>
  <si>
    <t>CoMo/NiMo on alumina</t>
  </si>
  <si>
    <t>Hydrocracking</t>
  </si>
  <si>
    <t>Hydrocracking catalyst</t>
  </si>
  <si>
    <t>Zeolite, Nickel, Tungsten, Alumina</t>
  </si>
  <si>
    <t>NiW/Zeolite bifunctional catalyst</t>
  </si>
  <si>
    <t>Catalytic reforming</t>
  </si>
  <si>
    <t>Reforming catalyst for aromatics/octane</t>
  </si>
  <si>
    <t>Platinum, Rhenium, Alumina, Chlorine</t>
  </si>
  <si>
    <t>Pt-Re/Alumina catalyst</t>
  </si>
  <si>
    <t>Isomerization</t>
  </si>
  <si>
    <t>C5/C6 isomerization catalyst</t>
  </si>
  <si>
    <t>Platinum, Chlorinated alumina, Zeolite</t>
  </si>
  <si>
    <t>Pt/Alumina or Zeolite catalyst</t>
  </si>
  <si>
    <t>Other refining catalysts</t>
  </si>
  <si>
    <t>Alkylation, oligomerization, sulfur recovery catalyst</t>
  </si>
  <si>
    <t>Zeolite, Acid, Alumina, Titanium</t>
  </si>
  <si>
    <t>Solid acid catalyst, Claus catalyst</t>
  </si>
  <si>
    <t>Gasoline engines</t>
  </si>
  <si>
    <t>Gasoline vehicles</t>
  </si>
  <si>
    <t>Three-way catalyst for passenger cars</t>
  </si>
  <si>
    <t>Platinum, Palladium, Rhodium, Ceria</t>
  </si>
  <si>
    <t>PGM washcoat, Ceramic substrate</t>
  </si>
  <si>
    <t>Motorcycles and mopeds</t>
  </si>
  <si>
    <t>Small engine oxidation/TWC catalyst</t>
  </si>
  <si>
    <t>PGM, Ceramic substrate</t>
  </si>
  <si>
    <t>PGM washcoat</t>
  </si>
  <si>
    <t>Small utility engines</t>
    <phoneticPr fontId="8" type="noConversion"/>
  </si>
  <si>
    <t>Small utility engine emission catalyst</t>
  </si>
  <si>
    <t>PGM, Alumina, Ceria</t>
  </si>
  <si>
    <t>Oxidation catalyst</t>
  </si>
  <si>
    <t>Diesel engines</t>
  </si>
  <si>
    <t>Diesel light-duty vehicles</t>
  </si>
  <si>
    <t>DOC/DPF/SCR system catalyst</t>
  </si>
  <si>
    <t>Platinum, Palladium, Zeolite, Vanadium</t>
  </si>
  <si>
    <t>DOC, DPF, SCR catalyst</t>
  </si>
  <si>
    <t>Medium and heavy-duty diesel vehicles</t>
  </si>
  <si>
    <t>Heavy-duty SCR/DOC/DPF catalyst</t>
  </si>
  <si>
    <t>Zeolite, Vanadium, Titanium, PGM</t>
  </si>
  <si>
    <t>Cu/Fe-zeolite SCR, V₂O₅/TiO₂ SCR</t>
  </si>
  <si>
    <t>Fossil fuel power plants</t>
  </si>
  <si>
    <t>Stationary SCR catalyst for NOx control</t>
  </si>
  <si>
    <t>Titanium, Vanadium, Tungsten, Zeolite</t>
  </si>
  <si>
    <t>V₂O₅-WO₃/TiO₂ catalyst, Zeolite SCR</t>
  </si>
  <si>
    <t>Chemical and industrial processes</t>
    <phoneticPr fontId="8" type="noConversion"/>
  </si>
  <si>
    <t>VOC/NOx/CO oxidation catalyst</t>
  </si>
  <si>
    <t>Platinum, Palladium, Zeolite, Metal oxides</t>
  </si>
  <si>
    <t>Oxidation catalyst, SCR catalyst</t>
  </si>
  <si>
    <t>Other applications</t>
    <phoneticPr fontId="8" type="noConversion"/>
  </si>
  <si>
    <t>Marine/locomotive/off-road emission catalyst</t>
  </si>
  <si>
    <t>PGM, Zeolite, Ceramic substrate</t>
  </si>
  <si>
    <t>SCR/DOC catalyst</t>
  </si>
  <si>
    <t>norm_count</t>
  </si>
  <si>
    <t>norm_avg</t>
  </si>
  <si>
    <t>norm_max</t>
  </si>
  <si>
    <t>stategy_12</t>
    <phoneticPr fontId="5" type="noConversion"/>
  </si>
  <si>
    <t>stategy_50</t>
    <phoneticPr fontId="5" type="noConversion"/>
  </si>
  <si>
    <t>행 레이블</t>
  </si>
  <si>
    <t>DMC</t>
  </si>
  <si>
    <t>EC</t>
  </si>
  <si>
    <t>LAO</t>
  </si>
  <si>
    <t>PB-1</t>
  </si>
  <si>
    <t>총합계</t>
  </si>
  <si>
    <t>M067</t>
  </si>
  <si>
    <t>M074</t>
  </si>
  <si>
    <t>M075</t>
  </si>
  <si>
    <t>M077</t>
  </si>
  <si>
    <t>M081</t>
  </si>
  <si>
    <t>M082</t>
  </si>
  <si>
    <t>M083</t>
  </si>
  <si>
    <t>M084</t>
  </si>
  <si>
    <t>M087</t>
  </si>
  <si>
    <t>M088</t>
  </si>
  <si>
    <t>M093</t>
  </si>
  <si>
    <t>M097</t>
  </si>
  <si>
    <t>M098</t>
  </si>
  <si>
    <t>M100</t>
  </si>
  <si>
    <t>M102</t>
  </si>
  <si>
    <t>M103</t>
  </si>
  <si>
    <t>M104</t>
  </si>
  <si>
    <t>M105</t>
  </si>
  <si>
    <t>M106</t>
  </si>
  <si>
    <t>M107</t>
  </si>
  <si>
    <t>열 레이블</t>
  </si>
  <si>
    <t>최대 : rating</t>
  </si>
  <si>
    <t>end_use_att</t>
    <phoneticPr fontId="5" type="noConversion"/>
  </si>
  <si>
    <t>PE Chain</t>
  </si>
  <si>
    <t>PVC Chain</t>
  </si>
  <si>
    <t>EO-PET Chain</t>
  </si>
  <si>
    <t>PX-PET Chain</t>
  </si>
  <si>
    <t>EC/DMC Chain</t>
  </si>
  <si>
    <t>Ethanol Chain</t>
  </si>
  <si>
    <t>Ethanolamine Chain</t>
  </si>
  <si>
    <t>VAM Chain</t>
  </si>
  <si>
    <t>LAO/PAO Chain</t>
  </si>
  <si>
    <t>1-Butene Chain</t>
  </si>
  <si>
    <t>PP Chain</t>
  </si>
  <si>
    <t>AN Chain</t>
  </si>
  <si>
    <t>PO/PG Chain</t>
  </si>
  <si>
    <t>AA-SAP Chain</t>
  </si>
  <si>
    <t>Acrylic Ester Chain</t>
  </si>
  <si>
    <t>Oxo Alcohol Chain</t>
  </si>
  <si>
    <t>IPA Chain</t>
  </si>
  <si>
    <t>Epoxy Chain</t>
  </si>
  <si>
    <t>PC Chain</t>
  </si>
  <si>
    <t>Nylon/PA Chain</t>
  </si>
  <si>
    <t>BD Rubber Chain</t>
  </si>
  <si>
    <t>MMA/PMMA Chain</t>
  </si>
  <si>
    <t>Isoprene Chain</t>
  </si>
  <si>
    <t>C4 Elastomer Chain</t>
  </si>
  <si>
    <t>PS Chain</t>
  </si>
  <si>
    <t>PU Chain</t>
  </si>
  <si>
    <t>Aniline-MDI Chain</t>
  </si>
  <si>
    <t>LAB Chain</t>
  </si>
  <si>
    <t>MX-PIA Chain</t>
  </si>
  <si>
    <t>OX-PA Chain</t>
  </si>
  <si>
    <t>Phenol/Acetone Chain</t>
  </si>
  <si>
    <t>specialty_counts</t>
    <phoneticPr fontId="5" type="noConversion"/>
  </si>
  <si>
    <t>speacialty_avg_cagr</t>
    <phoneticPr fontId="5" type="noConversion"/>
  </si>
  <si>
    <t>반도체(Chip) 제조 공정에 사용되는 초고순도 전자재료 및 공정용 화학 산업</t>
    <phoneticPr fontId="8" type="noConversion"/>
  </si>
  <si>
    <t>LCD/OLED 등 평판디스플레이(FPD) 제조에 사용되는 소재·화학 산업</t>
    <phoneticPr fontId="8" type="noConversion"/>
  </si>
  <si>
    <t>PCB 및 반도체 패키징 제조에 사용되는 전자화학 소재 산업</t>
    <phoneticPr fontId="8" type="noConversion"/>
  </si>
  <si>
    <t>건강기능식품·기능성 식품에 사용되는 기능성 원료 산업</t>
    <phoneticPr fontId="8" type="noConversion"/>
  </si>
  <si>
    <t>고온·고내열·고강도 특성을 가진 고성능 엔지니어링 플라스틱 산업</t>
    <phoneticPr fontId="8" type="noConversion"/>
  </si>
  <si>
    <t>엔지니어링 플라스틱에 첨가제·보강재를 넣어 성능을 맞춤화하는 컴파운딩 산업</t>
    <phoneticPr fontId="8" type="noConversion"/>
  </si>
  <si>
    <t>기능성·고성능 플라스틱 필름 산업</t>
    <phoneticPr fontId="8" type="noConversion"/>
  </si>
  <si>
    <t>UV/전자빔(EB)으로 순간 경화되는 특수 코팅·잉크·접착제 산업</t>
  </si>
  <si>
    <t>용제 없이 분말 형태로 도장 후 열경화되는 친환경 코팅 산업</t>
  </si>
  <si>
    <t>태양광·풍력 설비 제조에 사용되는 친환경 에너지 소재 산업</t>
    <phoneticPr fontId="8" type="noConversion"/>
  </si>
  <si>
    <t>정수·폐수·재이용 공정에 사용되는 수처리 특수화학 산업</t>
  </si>
  <si>
    <t>화장품·퍼스널케어 제품에 사용되는 기능성 화학 원료 산업</t>
  </si>
  <si>
    <t>산업·상업·공공시설용 전문 세정제 산업</t>
  </si>
  <si>
    <t>플라스틱 성능 향상을 위한 첨가제 산업</t>
  </si>
  <si>
    <t>고성능 접착·실링 소재 산업</t>
  </si>
  <si>
    <t>고무 가공 및 가황 보조 화학 산업</t>
  </si>
  <si>
    <t>섬유 생산·염색·가공용 기능성 화학 산업</t>
  </si>
  <si>
    <t>인쇄 및 패키징용 기능성 잉크 산업</t>
  </si>
  <si>
    <t>향료·향수 및 식품 풍미 소재 산업</t>
  </si>
  <si>
    <t>식품 기능성 첨가제 산업</t>
  </si>
  <si>
    <t>동물사료 기능성 첨가제 산업</t>
  </si>
  <si>
    <t>합성 윤활유 산업</t>
  </si>
  <si>
    <t>제지 공정 및 기능성 종이 화학 산업</t>
  </si>
  <si>
    <t>건설용 기능성 화학소재 산업</t>
  </si>
  <si>
    <t>광물 채굴·선광용 화학소재 산업</t>
    <phoneticPr fontId="8" type="noConversion"/>
  </si>
  <si>
    <t>윤활유 성능 강화 첨가제 산업</t>
    <phoneticPr fontId="8" type="noConversion"/>
  </si>
  <si>
    <t>유전·가스전 생산용 화학소재 산업</t>
    <phoneticPr fontId="8" type="noConversion"/>
  </si>
  <si>
    <t>정유·석화 공정용 촉매 산업</t>
    <phoneticPr fontId="8" type="noConversion"/>
  </si>
  <si>
    <t>배출가스 저감 촉매 산업</t>
    <phoneticPr fontId="8" type="noConversion"/>
  </si>
  <si>
    <t>철강·콘크리트·선박을 부식 환경으로부터 보호하는 코팅 산업</t>
    <phoneticPr fontId="8" type="noConversion"/>
  </si>
  <si>
    <t>Description</t>
    <phoneticPr fontId="5" type="noConversion"/>
  </si>
  <si>
    <t>Construction &amp; Infrastructure</t>
    <phoneticPr fontId="5" type="noConversion"/>
  </si>
  <si>
    <t>Healthcare &amp; Life Sciences</t>
    <phoneticPr fontId="5" type="noConversion"/>
  </si>
  <si>
    <t>Industrial Goods &amp; Advanced Manufacturing</t>
    <phoneticPr fontId="5" type="noConversion"/>
  </si>
  <si>
    <t>Electronics, Semiconductors &amp; Digital Infrastructure</t>
    <phoneticPr fontId="5" type="noConversion"/>
  </si>
  <si>
    <t>평균 : Compound annual growth rate. 2025-30(percent)</t>
  </si>
  <si>
    <t>PU, PU</t>
  </si>
  <si>
    <t>COP</t>
  </si>
  <si>
    <t>Propylene, Acrylic acid</t>
  </si>
  <si>
    <t>EO, PO, PU, PU</t>
  </si>
  <si>
    <t>EO, Propylene</t>
  </si>
  <si>
    <t>EO, LAB</t>
  </si>
  <si>
    <t>Propylene, Phenol</t>
  </si>
  <si>
    <t>Propylene, Benzene, Phenol, Acetone, BPA, Epoxy resin</t>
  </si>
  <si>
    <t>EO, PO</t>
  </si>
  <si>
    <t>Benzene, Aniline</t>
  </si>
  <si>
    <t>Propylene, Benzene, Phenol</t>
  </si>
  <si>
    <t>Propylene, PO</t>
  </si>
  <si>
    <t>Ethylene, LAO, PAO</t>
  </si>
  <si>
    <t>Ethylene, EO, Propylene, PO</t>
  </si>
  <si>
    <t>Benzene, Phenol</t>
  </si>
  <si>
    <t>EO, Propylene, PO</t>
  </si>
  <si>
    <t>X</t>
    <phoneticPr fontId="5" type="noConversion"/>
  </si>
  <si>
    <t>related_chemical</t>
    <phoneticPr fontId="5" type="noConversion"/>
  </si>
  <si>
    <r>
      <t xml:space="preserve">BTX → </t>
    </r>
    <r>
      <rPr>
        <sz val="8"/>
        <color rgb="FFFF0000"/>
        <rFont val="Arial"/>
        <family val="2"/>
      </rPr>
      <t>Phenolic resin</t>
    </r>
    <r>
      <rPr>
        <sz val="8"/>
        <rFont val="Arial"/>
        <family val="2"/>
        <charset val="238"/>
      </rPr>
      <t>/DNQ chemistry → g-/i-line photores</t>
    </r>
    <r>
      <rPr>
        <sz val="8"/>
        <rFont val="맑은 고딕"/>
        <family val="2"/>
        <charset val="129"/>
      </rPr>
      <t>ist</t>
    </r>
    <phoneticPr fontId="8" type="noConversion"/>
  </si>
  <si>
    <r>
      <t xml:space="preserve">BTX → </t>
    </r>
    <r>
      <rPr>
        <sz val="8"/>
        <color rgb="FFFF0000"/>
        <rFont val="Arial"/>
        <family val="2"/>
      </rPr>
      <t>Styrenic polymer/PAG</t>
    </r>
    <r>
      <rPr>
        <sz val="8"/>
        <rFont val="Arial"/>
        <family val="2"/>
        <charset val="238"/>
      </rPr>
      <t xml:space="preserve"> → KrF photoresist</t>
    </r>
    <phoneticPr fontId="8" type="noConversion"/>
  </si>
  <si>
    <t>x</t>
    <phoneticPr fontId="5" type="noConversion"/>
  </si>
  <si>
    <t>IPA, Acetone</t>
    <phoneticPr fontId="5" type="noConversion"/>
  </si>
  <si>
    <t>PMMA, PC</t>
    <phoneticPr fontId="5" type="noConversion"/>
  </si>
  <si>
    <t>PVOH, COP</t>
    <phoneticPr fontId="5" type="noConversion"/>
  </si>
  <si>
    <t>M114</t>
    <phoneticPr fontId="5" type="noConversion"/>
  </si>
  <si>
    <t>Chlorinated Intermediate</t>
    <phoneticPr fontId="5" type="noConversion"/>
  </si>
  <si>
    <t>Chlorobenzene</t>
  </si>
  <si>
    <t>Chlorobenzene</t>
    <phoneticPr fontId="5" type="noConversion"/>
  </si>
  <si>
    <t>R103</t>
    <phoneticPr fontId="5" type="noConversion"/>
  </si>
  <si>
    <t>Benzene to Chlorobenzene</t>
    <phoneticPr fontId="5" type="noConversion"/>
  </si>
  <si>
    <t>Chlorination</t>
    <phoneticPr fontId="5" type="noConversion"/>
  </si>
  <si>
    <t>M054</t>
    <phoneticPr fontId="5" type="noConversion"/>
  </si>
  <si>
    <t>main product</t>
    <phoneticPr fontId="5" type="noConversion"/>
  </si>
  <si>
    <t>MCB(Mono Chlorobenzene)</t>
    <phoneticPr fontId="5" type="noConversion"/>
  </si>
  <si>
    <t>S057</t>
    <phoneticPr fontId="5" type="noConversion"/>
  </si>
  <si>
    <t>도레이첨단소재</t>
    <phoneticPr fontId="5" type="noConversion"/>
  </si>
  <si>
    <t>p-dichlorobenzene(14)</t>
    <phoneticPr fontId="5" type="noConversion"/>
  </si>
  <si>
    <t>i-butyraldehyde</t>
  </si>
  <si>
    <t>Nitrochlorobenzenes</t>
  </si>
  <si>
    <t>monochlorobenzene 최대 용도이며 염료·안료·고무약품·농약·의약 중간체로 사용</t>
  </si>
  <si>
    <t>고내열 sulfone polymer 원료로 전기전자·의료·산업부품에 사용</t>
  </si>
  <si>
    <t>Solvent use</t>
  </si>
  <si>
    <t>MDI/TDI 등 isocyanate 생산 및 공정 solvent 용도</t>
  </si>
  <si>
    <t>Diphenyl ether / phenyl compounds</t>
  </si>
  <si>
    <t>phenyl ether 및 기타 유기합성 중간체 용도</t>
  </si>
  <si>
    <t>Organic synthesis from o-dichlorobenzene</t>
  </si>
  <si>
    <t>o-DCB는 농약·의약·고무보조제·안료 중간체 생산에 사용</t>
  </si>
  <si>
    <t>o-Dichlorobenzene solvent uses</t>
  </si>
  <si>
    <t>TDI process solvent 및 기타 solvent 용도</t>
  </si>
  <si>
    <t>Polyphenylene sulfide resin</t>
  </si>
  <si>
    <t>p-DCB 최대 용도이며 PPS resin 생산이 2024년 p-DCB 수요의 약 62%</t>
  </si>
  <si>
    <t>Moth control</t>
  </si>
  <si>
    <t>p-DCB의 방충제 용도이나 PPS보다 작음</t>
  </si>
  <si>
    <t>Deodorant blocks</t>
  </si>
  <si>
    <t>p-DCB의 실내 deodorant block 용도</t>
  </si>
  <si>
    <t>Herbicide intermediates / dicamba</t>
  </si>
  <si>
    <t>규제 영향이 있는 소량 농약 중간체 용도</t>
  </si>
  <si>
    <t>Epoxy resin, Acrylic Acid</t>
    <phoneticPr fontId="5" type="noConversion"/>
  </si>
  <si>
    <r>
      <rPr>
        <sz val="8"/>
        <color rgb="FFFF0000"/>
        <rFont val="Arial"/>
        <family val="2"/>
      </rPr>
      <t>Benzene/sulfur chemistry</t>
    </r>
    <r>
      <rPr>
        <sz val="8"/>
        <color theme="1"/>
        <rFont val="Arial"/>
        <family val="2"/>
      </rPr>
      <t xml:space="preserve"> → PPS → Compound</t>
    </r>
    <phoneticPr fontId="8" type="noConversion"/>
  </si>
  <si>
    <r>
      <t xml:space="preserve">PX/ethylene → PTA/EG → </t>
    </r>
    <r>
      <rPr>
        <sz val="8"/>
        <color rgb="FFFF0000"/>
        <rFont val="Arial"/>
        <family val="2"/>
      </rPr>
      <t>PET</t>
    </r>
    <r>
      <rPr>
        <sz val="8"/>
        <color theme="1"/>
        <rFont val="Arial"/>
        <family val="2"/>
      </rPr>
      <t xml:space="preserve"> → Film</t>
    </r>
    <phoneticPr fontId="8" type="noConversion"/>
  </si>
  <si>
    <r>
      <t xml:space="preserve">Benzene → Cyclohexane → </t>
    </r>
    <r>
      <rPr>
        <sz val="8"/>
        <color rgb="FFFF0000"/>
        <rFont val="Arial"/>
        <family val="2"/>
      </rPr>
      <t>Caprolactam</t>
    </r>
    <r>
      <rPr>
        <sz val="8"/>
        <color theme="1"/>
        <rFont val="Arial"/>
        <family val="2"/>
      </rPr>
      <t>/Nylon Salt → Nylon Resin</t>
    </r>
    <phoneticPr fontId="8" type="noConversion"/>
  </si>
  <si>
    <r>
      <t xml:space="preserve">BTX/propylene → BPA → </t>
    </r>
    <r>
      <rPr>
        <sz val="8"/>
        <color rgb="FFFF0000"/>
        <rFont val="Arial"/>
        <family val="2"/>
      </rPr>
      <t>PC</t>
    </r>
    <r>
      <rPr>
        <sz val="8"/>
        <color theme="1"/>
        <rFont val="Arial"/>
        <family val="2"/>
      </rPr>
      <t xml:space="preserve"> → Optical</t>
    </r>
    <r>
      <rPr>
        <sz val="8"/>
        <color theme="1"/>
        <rFont val="맑은 고딕"/>
        <family val="2"/>
        <charset val="129"/>
      </rPr>
      <t xml:space="preserve"> film</t>
    </r>
    <phoneticPr fontId="8" type="noConversion"/>
  </si>
  <si>
    <r>
      <t xml:space="preserve">Olefin → PO/polyol + Benzene → Isocyanate → </t>
    </r>
    <r>
      <rPr>
        <sz val="8"/>
        <color rgb="FFFF0000"/>
        <rFont val="Arial"/>
        <family val="2"/>
      </rPr>
      <t>Urethane acryl</t>
    </r>
    <r>
      <rPr>
        <sz val="8"/>
        <color rgb="FFFF0000"/>
        <rFont val="맑은 고딕"/>
        <family val="2"/>
        <charset val="129"/>
      </rPr>
      <t>ate</t>
    </r>
    <phoneticPr fontId="8" type="noConversion"/>
  </si>
  <si>
    <t>TPA, Polyol, Acrylic Acid</t>
    <phoneticPr fontId="5" type="noConversion"/>
  </si>
  <si>
    <t>Acrylic Acid, Acrylate Ester</t>
    <phoneticPr fontId="5" type="noConversion"/>
  </si>
  <si>
    <r>
      <t>Amines,</t>
    </r>
    <r>
      <rPr>
        <sz val="8"/>
        <color rgb="FFFF0000"/>
        <rFont val="Arial"/>
        <family val="2"/>
      </rPr>
      <t xml:space="preserve"> Methacrylates,</t>
    </r>
    <r>
      <rPr>
        <sz val="8"/>
        <color theme="1"/>
        <rFont val="Arial"/>
        <family val="2"/>
      </rPr>
      <t xml:space="preserve"> Functional oils</t>
    </r>
    <phoneticPr fontId="8" type="noConversion"/>
  </si>
  <si>
    <t>DCPD, Acrylic Acid, Acrylate Ester</t>
    <phoneticPr fontId="5" type="noConversion"/>
  </si>
  <si>
    <t>Acrylic Acid, 2-Ethylhexanol</t>
    <phoneticPr fontId="5" type="noConversion"/>
  </si>
  <si>
    <t>TPA, PIA</t>
    <phoneticPr fontId="5" type="noConversion"/>
  </si>
  <si>
    <t>TPA, Polyol</t>
    <phoneticPr fontId="5" type="noConversion"/>
  </si>
  <si>
    <t>MMA, Acrylate Ester</t>
    <phoneticPr fontId="5" type="noConversion"/>
  </si>
  <si>
    <r>
      <t xml:space="preserve">Propylene → </t>
    </r>
    <r>
      <rPr>
        <sz val="8"/>
        <color rgb="FFFF0000"/>
        <rFont val="Arial"/>
        <family val="2"/>
      </rPr>
      <t>Acetone</t>
    </r>
    <r>
      <rPr>
        <sz val="8"/>
        <color theme="1"/>
        <rFont val="Arial"/>
        <family val="2"/>
      </rPr>
      <t xml:space="preserve"> → Isophorone →</t>
    </r>
    <r>
      <rPr>
        <sz val="8"/>
        <color theme="1"/>
        <rFont val="맑은 고딕"/>
        <family val="2"/>
        <charset val="129"/>
      </rPr>
      <t xml:space="preserve"> IPDI</t>
    </r>
    <phoneticPr fontId="8" type="noConversion"/>
  </si>
  <si>
    <r>
      <rPr>
        <sz val="8"/>
        <color rgb="FFFF0000"/>
        <rFont val="Arial"/>
        <family val="2"/>
      </rPr>
      <t>MMA</t>
    </r>
    <r>
      <rPr>
        <sz val="8"/>
        <color theme="1"/>
        <rFont val="Arial"/>
        <family val="2"/>
      </rPr>
      <t>, Butyl acrylate</t>
    </r>
    <phoneticPr fontId="8" type="noConversion"/>
  </si>
  <si>
    <r>
      <t xml:space="preserve">Propylene/C4 → Acrylic monomer → </t>
    </r>
    <r>
      <rPr>
        <sz val="8"/>
        <color rgb="FFFF0000"/>
        <rFont val="Arial"/>
        <family val="2"/>
      </rPr>
      <t>Acrylic resin</t>
    </r>
    <phoneticPr fontId="8" type="noConversion"/>
  </si>
  <si>
    <t>Epoxy resin, PU</t>
    <phoneticPr fontId="5" type="noConversion"/>
  </si>
  <si>
    <t>Acrylic Acid, Acrylate Ester, PU</t>
    <phoneticPr fontId="5" type="noConversion"/>
  </si>
  <si>
    <t>EVA, LAO</t>
    <phoneticPr fontId="5" type="noConversion"/>
  </si>
  <si>
    <r>
      <t xml:space="preserve">BTX/propylene → </t>
    </r>
    <r>
      <rPr>
        <sz val="8"/>
        <color rgb="FFFF0000"/>
        <rFont val="Arial"/>
        <family val="2"/>
      </rPr>
      <t>Epoxy resin</t>
    </r>
    <r>
      <rPr>
        <sz val="8"/>
        <color theme="1"/>
        <rFont val="Arial"/>
        <family val="2"/>
      </rPr>
      <t xml:space="preserve"> → Wind protective coating</t>
    </r>
    <phoneticPr fontId="5" type="noConversion"/>
  </si>
  <si>
    <r>
      <t xml:space="preserve">PO/EO → Polyol + Aromatics → Isocyanate → </t>
    </r>
    <r>
      <rPr>
        <sz val="8"/>
        <color rgb="FFFF0000"/>
        <rFont val="Arial"/>
        <family val="2"/>
      </rPr>
      <t>PU</t>
    </r>
    <r>
      <rPr>
        <sz val="8"/>
        <color theme="1"/>
        <rFont val="Arial"/>
        <family val="2"/>
      </rPr>
      <t xml:space="preserve"> coating</t>
    </r>
    <phoneticPr fontId="5" type="noConversion"/>
  </si>
  <si>
    <r>
      <t xml:space="preserve">Silica → Glass fiber / Propylene → </t>
    </r>
    <r>
      <rPr>
        <sz val="8"/>
        <color rgb="FFFF0000"/>
        <rFont val="Arial"/>
        <family val="2"/>
      </rPr>
      <t>Acrylonitrile</t>
    </r>
    <r>
      <rPr>
        <sz val="8"/>
        <color theme="1"/>
        <rFont val="Arial"/>
        <family val="2"/>
      </rPr>
      <t xml:space="preserve"> → PAN → Carbon fiber</t>
    </r>
    <phoneticPr fontId="5" type="noConversion"/>
  </si>
  <si>
    <r>
      <t>Benzene/Propylene → BPA + ECH →</t>
    </r>
    <r>
      <rPr>
        <sz val="8"/>
        <color rgb="FFFF0000"/>
        <rFont val="Arial"/>
        <family val="2"/>
      </rPr>
      <t xml:space="preserve"> Epoxy resin</t>
    </r>
    <r>
      <rPr>
        <sz val="8"/>
        <color theme="1"/>
        <rFont val="Arial"/>
        <family val="2"/>
      </rPr>
      <t xml:space="preserve"> → Blade composite</t>
    </r>
    <phoneticPr fontId="5" type="noConversion"/>
  </si>
  <si>
    <r>
      <rPr>
        <sz val="8"/>
        <color rgb="FFFF0000"/>
        <rFont val="Arial"/>
        <family val="2"/>
      </rPr>
      <t>Acrylic resin</t>
    </r>
    <r>
      <rPr>
        <sz val="8"/>
        <color theme="1"/>
        <rFont val="Arial"/>
        <family val="2"/>
      </rPr>
      <t>, Fluoropolymer resin</t>
    </r>
    <phoneticPr fontId="5" type="noConversion"/>
  </si>
  <si>
    <t>Acrylic Acid, Acrylate ester</t>
    <phoneticPr fontId="5" type="noConversion"/>
  </si>
  <si>
    <r>
      <t xml:space="preserve">Olefin/ester chemistry → </t>
    </r>
    <r>
      <rPr>
        <sz val="8"/>
        <color rgb="FFFF0000"/>
        <rFont val="Arial"/>
        <family val="2"/>
      </rPr>
      <t xml:space="preserve">Synthetic lubricant </t>
    </r>
    <r>
      <rPr>
        <sz val="8"/>
        <color theme="1"/>
        <rFont val="Arial"/>
        <family val="2"/>
      </rPr>
      <t>→ Wind turbine lubricant</t>
    </r>
    <phoneticPr fontId="5" type="noConversion"/>
  </si>
  <si>
    <t>Epoxy Resin, PU</t>
    <phoneticPr fontId="5" type="noConversion"/>
  </si>
  <si>
    <r>
      <rPr>
        <sz val="8"/>
        <color rgb="FFFF0000"/>
        <rFont val="Arial"/>
        <family val="2"/>
      </rPr>
      <t>Polysulfone, PES</t>
    </r>
    <r>
      <rPr>
        <sz val="8"/>
        <color theme="1"/>
        <rFont val="Arial"/>
        <family val="2"/>
      </rPr>
      <t>, PVDF membrane polymer</t>
    </r>
    <phoneticPr fontId="5" type="noConversion"/>
  </si>
  <si>
    <r>
      <t xml:space="preserve">Propylene → </t>
    </r>
    <r>
      <rPr>
        <sz val="8"/>
        <color rgb="FFFF0000"/>
        <rFont val="Arial"/>
        <family val="2"/>
      </rPr>
      <t>Acrylonitrile</t>
    </r>
    <r>
      <rPr>
        <sz val="8"/>
        <color theme="1"/>
        <rFont val="Arial"/>
        <family val="2"/>
      </rPr>
      <t>/Acrylamide → Water treatment polymer</t>
    </r>
    <phoneticPr fontId="5" type="noConversion"/>
  </si>
  <si>
    <r>
      <t xml:space="preserve">Benzene/ethylene → </t>
    </r>
    <r>
      <rPr>
        <sz val="8"/>
        <color rgb="FFFF0000"/>
        <rFont val="Arial"/>
        <family val="2"/>
      </rPr>
      <t>Styrene</t>
    </r>
    <r>
      <rPr>
        <sz val="8"/>
        <color theme="1"/>
        <rFont val="Arial"/>
        <family val="2"/>
      </rPr>
      <t>/DVB → Ion exchange resin</t>
    </r>
    <phoneticPr fontId="5" type="noConversion"/>
  </si>
  <si>
    <t>Acrylamide, Polyacrylamide(PAM), Polyamine</t>
    <phoneticPr fontId="5" type="noConversion"/>
  </si>
  <si>
    <t>Polyol</t>
    <phoneticPr fontId="5" type="noConversion"/>
  </si>
  <si>
    <t>PG, Polyol</t>
    <phoneticPr fontId="5" type="noConversion"/>
  </si>
  <si>
    <r>
      <t>Biomass/</t>
    </r>
    <r>
      <rPr>
        <sz val="8"/>
        <color rgb="FFFF0000"/>
        <rFont val="Arial"/>
        <family val="2"/>
      </rPr>
      <t>acrylic chain</t>
    </r>
    <r>
      <rPr>
        <sz val="8"/>
        <color theme="1"/>
        <rFont val="Arial"/>
        <family val="2"/>
      </rPr>
      <t xml:space="preserve"> → Thickener → Cosmetic formulation</t>
    </r>
    <phoneticPr fontId="5" type="noConversion"/>
  </si>
  <si>
    <t>Shampoo/body wash cleansing surfactant</t>
    <phoneticPr fontId="5" type="noConversion"/>
  </si>
  <si>
    <t>기사</t>
    <phoneticPr fontId="5" type="noConversion"/>
  </si>
  <si>
    <t>회사명</t>
    <phoneticPr fontId="5" type="noConversion"/>
  </si>
  <si>
    <t>S014</t>
    <phoneticPr fontId="5" type="noConversion"/>
  </si>
  <si>
    <t>S025</t>
    <phoneticPr fontId="5" type="noConversion"/>
  </si>
  <si>
    <t>S033</t>
    <phoneticPr fontId="5" type="noConversion"/>
  </si>
  <si>
    <t>S058</t>
    <phoneticPr fontId="5" type="noConversion"/>
  </si>
  <si>
    <t>티케이케미칼</t>
    <phoneticPr fontId="5" type="noConversion"/>
  </si>
  <si>
    <t>수원</t>
    <phoneticPr fontId="5" type="noConversion"/>
  </si>
  <si>
    <t>구미</t>
    <phoneticPr fontId="5" type="noConversion"/>
  </si>
  <si>
    <t>group_score</t>
    <phoneticPr fontId="5" type="noConversion"/>
  </si>
  <si>
    <t>MMA/PMMA Chain</t>
    <phoneticPr fontId="5" type="noConversion"/>
  </si>
  <si>
    <t>여수</t>
  </si>
  <si>
    <t>대산</t>
  </si>
  <si>
    <t>울산</t>
  </si>
  <si>
    <t>군산</t>
  </si>
  <si>
    <t>구미</t>
  </si>
  <si>
    <t>광양</t>
  </si>
  <si>
    <t>포항</t>
  </si>
  <si>
    <t>인천</t>
  </si>
  <si>
    <t>김천</t>
  </si>
  <si>
    <t>나주</t>
  </si>
  <si>
    <t>수원</t>
  </si>
  <si>
    <t>lat</t>
    <phoneticPr fontId="5" type="noConversion"/>
  </si>
  <si>
    <t>lon</t>
    <phoneticPr fontId="5" type="noConversion"/>
  </si>
  <si>
    <t>Remark</t>
    <phoneticPr fontId="5" type="noConversion"/>
  </si>
  <si>
    <t>티케이케미칼 구미</t>
    <phoneticPr fontId="5" type="noConversion"/>
  </si>
  <si>
    <t>OCI 광양</t>
    <phoneticPr fontId="5" type="noConversion"/>
  </si>
  <si>
    <t>LG화학 서산</t>
    <phoneticPr fontId="5" type="noConversion"/>
  </si>
  <si>
    <t>LG화학 여수</t>
    <phoneticPr fontId="5" type="noConversion"/>
  </si>
  <si>
    <t>OCI 군산</t>
    <phoneticPr fontId="5" type="noConversion"/>
  </si>
  <si>
    <t>코오롱 김천</t>
    <phoneticPr fontId="5" type="noConversion"/>
  </si>
  <si>
    <t>LG화학 나주</t>
    <phoneticPr fontId="5" type="noConversion"/>
  </si>
  <si>
    <t>국도화학 부산</t>
    <phoneticPr fontId="5" type="noConversion"/>
  </si>
  <si>
    <t>S059</t>
    <phoneticPr fontId="5" type="noConversion"/>
  </si>
  <si>
    <t>SK마이크로웍스</t>
    <phoneticPr fontId="5" type="noConversion"/>
  </si>
  <si>
    <t>M063</t>
    <phoneticPr fontId="5" type="noConversion"/>
  </si>
  <si>
    <t>SK인천석유화학</t>
  </si>
  <si>
    <t>OCI 포항</t>
    <phoneticPr fontId="5" type="noConversion"/>
  </si>
  <si>
    <t>o</t>
  </si>
  <si>
    <t>Linear Alpha Olefins</t>
    <phoneticPr fontId="5" type="noConversion"/>
  </si>
  <si>
    <t>1-Butene 루트 불필요, LAO에 포함</t>
    <phoneticPr fontId="5" type="noConversion"/>
  </si>
  <si>
    <t>a, b, c</t>
    <phoneticPr fontId="5" type="noConversion"/>
  </si>
  <si>
    <t xml:space="preserve">블룸버그 터미널&gt; </t>
    <phoneticPr fontId="5" type="noConversion"/>
  </si>
  <si>
    <t>Phenol/Acetone Chain</t>
    <phoneticPr fontId="5" type="noConversion"/>
  </si>
  <si>
    <t>starting_material</t>
    <phoneticPr fontId="5" type="noConversion"/>
  </si>
  <si>
    <t>root_material</t>
    <phoneticPr fontId="5" type="noConversion"/>
  </si>
  <si>
    <t>BPA; ECH</t>
    <phoneticPr fontId="5" type="noConversion"/>
  </si>
  <si>
    <t>Benzene; Propylene</t>
    <phoneticPr fontId="5" type="noConversion"/>
  </si>
  <si>
    <t>Butadiene</t>
    <phoneticPr fontId="5" type="noConversion"/>
  </si>
  <si>
    <t>PG; MA; PA</t>
    <phoneticPr fontId="5" type="noConversion"/>
  </si>
  <si>
    <t>Propylene; Xylene</t>
    <phoneticPr fontId="5" type="noConversion"/>
  </si>
  <si>
    <t>Polyols; MDI; TDI</t>
    <phoneticPr fontId="5" type="noConversion"/>
  </si>
  <si>
    <t>Propylene; Benzene; Toluene</t>
    <phoneticPr fontId="5" type="noConversion"/>
  </si>
  <si>
    <t>Specialty 연관도를 ‘Specialty 수요의 폭(50점)’과 ‘평균 성장성(50점)’으로 평가함.</t>
    <phoneticPr fontId="5" type="noConversion"/>
  </si>
  <si>
    <t>national_tech_score</t>
    <phoneticPr fontId="5" type="noConversion"/>
  </si>
  <si>
    <t>specialty_linkage_score</t>
    <phoneticPr fontId="5" type="noConversion"/>
  </si>
  <si>
    <t>※ 산업 성장성은 현 단계에서 객관적·일관된 산업별 성장지표 확보 전까지의 잠정 지표로, 성장성이 높다고 판단한 4개 산업을 High-growth industry로 분류하여 반영</t>
    <phoneticPr fontId="5" type="noConversion"/>
  </si>
  <si>
    <t>ind_growth_score</t>
    <phoneticPr fontId="5" type="noConversion"/>
  </si>
  <si>
    <t>M114</t>
  </si>
  <si>
    <t>end_use</t>
    <phoneticPr fontId="5" type="noConversion"/>
  </si>
  <si>
    <t>M108</t>
    <phoneticPr fontId="5" type="noConversion"/>
  </si>
  <si>
    <t>DCPD Resin</t>
  </si>
  <si>
    <t>Hydrocarbon tackifier for hot-melt adhesives</t>
  </si>
  <si>
    <t>DCPD 기반 석유수지는 가장 대표적으로 핫멜트 접착제의 점착부여제(tackifier)로 사용됨.</t>
  </si>
  <si>
    <t>Pressure-sensitive adhesives (PSA)</t>
  </si>
  <si>
    <t>포장용 테이프, 라벨 등 PSA의 점착 성능 향상을 위한 주요 용도임.</t>
  </si>
  <si>
    <t>Road-marking paint</t>
  </si>
  <si>
    <t>노면표시 도료의 내마모성 및 접착력 향상을 위해 사용됨.</t>
  </si>
  <si>
    <t>Protective coatings</t>
  </si>
  <si>
    <t>산업용 및 방청 코팅의 수지 성분 또는 성능개선용으로 활용됨.</t>
  </si>
  <si>
    <t>인쇄잉크의 안료 분산성과 접착 특성 개선에 사용됨.</t>
  </si>
  <si>
    <t>Rubber compounding</t>
  </si>
  <si>
    <t>고무 배합 시 tackifier로 사용되어 점착성과 가공성을 향상시킴.</t>
  </si>
  <si>
    <t>Sealants</t>
  </si>
  <si>
    <t>건축 및 산업용 실란트의 점착 및 내구성 향상에 기여함.</t>
  </si>
  <si>
    <t>Composite resin modifier</t>
  </si>
  <si>
    <t>복합재 및 특수수지의 성능 향상을 위한 개질제로 일부 적용됨.</t>
  </si>
  <si>
    <t>EPDM terpolymer monomer</t>
  </si>
  <si>
    <t>ENB는 EPDM 제조에 사용되는 대표적인 diene comonomer이며 대부분의 상업적 수요가 이에 집중됨.</t>
  </si>
  <si>
    <t>High-performance elastomer intermediate</t>
  </si>
  <si>
    <t>일부 특수 엘라스토머 및 기능성 고분자 합성의 중간체로 활용됨.</t>
  </si>
  <si>
    <t>Specialty resin intermediate</t>
  </si>
  <si>
    <t>일부 고기능 수지 및 유기합성 원료로 제한적으로 사용됨.</t>
  </si>
  <si>
    <t>PolyDCPD</t>
  </si>
  <si>
    <t>Large structural molded parts</t>
  </si>
  <si>
    <t>PolyDCPD의 대표 용도로 대형 구조용 성형품 제작에 가장 많이 사용됨.</t>
  </si>
  <si>
    <t>Automotive body panels</t>
  </si>
  <si>
    <t>트럭, 버스, 농기계 등의 외장 패널에 적용되어 경량화와 높은 충격강도를 제공함.</t>
  </si>
  <si>
    <t>Agricultural and construction equipment body panels</t>
  </si>
  <si>
    <t>농기계 및 건설장비의 후드, 펜더, 커버 등에 널리 적용됨.</t>
  </si>
  <si>
    <t>Chemical storage tanks and process equipment</t>
  </si>
  <si>
    <t>우수한 내화학성을 활용한 산업용 탱크 및 공정장비 제작에 사용됨.</t>
  </si>
  <si>
    <t>Corrosion-resistant housings and enclosures</t>
  </si>
  <si>
    <t>산업설비 외함 및 부식 환경용 구조물에 적용됨.</t>
  </si>
  <si>
    <t>Marine components</t>
  </si>
  <si>
    <t>내수성 및 내식성을 활용한 선박·해양 부품에 제한적으로 사용됨.</t>
  </si>
  <si>
    <t>Optical lenses</t>
  </si>
  <si>
    <t>높은 투명성, 낮은 복굴절 및 우수한 치수안정성으로 광학렌즈의 대표 소재임.</t>
  </si>
  <si>
    <t>Optical films</t>
  </si>
  <si>
    <t>디스플레이 및 광학 필름에서 높은 광학 특성과 낮은 수분흡수율을 활용함.</t>
  </si>
  <si>
    <t>Medical syringes and diagnostic cartridges</t>
  </si>
  <si>
    <t>높은 생체적합성, 투명성 및 낮은 용출 특성으로 의료기기 및 진단용 소모품에 널리 사용됨.</t>
  </si>
  <si>
    <t>Pharmaceutical packaging</t>
  </si>
  <si>
    <t>수분 차단성과 화학적 안정성을 활용한 의약품 용기 및 포장재에 적용됨.</t>
  </si>
  <si>
    <t>Microfluidic chips</t>
  </si>
  <si>
    <t>Lab-on-a-chip 및 체외진단(IVD)용 마이크로플루이딕 디바이스 소재로 활용됨.</t>
  </si>
  <si>
    <t>Optical data storage components</t>
  </si>
  <si>
    <t>광디스크 및 정밀 광학 부품에 적용되는 고투명 엔지니어링 플라스틱임.</t>
  </si>
  <si>
    <t>Precision optical components</t>
  </si>
  <si>
    <t>카메라 모듈, 센서, 광학 부품 등 정밀 성형이 필요한 분야에 사용됨.</t>
  </si>
  <si>
    <t>C5 Resin</t>
  </si>
  <si>
    <t>C5 Resin의 최대 수요처로 포장 및 산업용 HMA의 대표 tackifier임.</t>
  </si>
  <si>
    <t>테이프, 라벨, 위생용 PSA의 점착력 향상을 위한 핵심 소재임.</t>
  </si>
  <si>
    <t>기저귀, 생리대 등 위생용 접착제의 주요 tackifier로 사용됨.</t>
  </si>
  <si>
    <t>고무 배합 시 tackifier 및 가공성 향상 목적으로 사용됨.</t>
  </si>
  <si>
    <t>Road-marking paints</t>
  </si>
  <si>
    <t>노면표시 도료의 접착성 및 내마모성 향상에 활용됨.</t>
  </si>
  <si>
    <t>Industrial coatings</t>
  </si>
  <si>
    <t>산업용 도료의 접착력과 내구성 향상에 사용됨.</t>
  </si>
  <si>
    <t>건축 및 산업용 실란트의 점착성과 내구성을 향상시킴.</t>
  </si>
  <si>
    <t>M113</t>
  </si>
  <si>
    <t>Ethoxylate는 너무 광범위함</t>
    <phoneticPr fontId="5" type="noConversion"/>
  </si>
  <si>
    <t>n-Butane</t>
  </si>
  <si>
    <t>Steam cracking feedstock (ethylene, propylene production)</t>
  </si>
  <si>
    <t>n-Butane의 가장 중요한 석유화학 용도로 에틸렌·프로필렌 생산의 원료로 사용됨.</t>
  </si>
  <si>
    <t>Butadiene production</t>
  </si>
  <si>
    <t>탈수소 공정 또는 크래킹 부산물을 통해 부타디엔 생산 원료로 활용됨.</t>
  </si>
  <si>
    <t>Maleic anhydride production</t>
  </si>
  <si>
    <t>n-Butane 산화 공정의 대표적인 화학 중간체 생산 용도임.</t>
  </si>
  <si>
    <t>LPG fuel</t>
  </si>
  <si>
    <t>LPG의 주요 성분으로 난방, 취사 및 산업용 연료로 사용됨.</t>
  </si>
  <si>
    <t>Gasoline blending</t>
  </si>
  <si>
    <t>휘발유 증기압 조절 및 블렌딩 성분으로 활용됨.</t>
  </si>
  <si>
    <t>Aerosol propellant</t>
  </si>
  <si>
    <t>에어로졸 제품의 분사 추진제로 사용되나 전체 n-Butane 수요에서는 제한적임.</t>
  </si>
  <si>
    <t>Refrigerant feedstock (isobutane, refrigerant blends)</t>
  </si>
  <si>
    <t>냉매 및 관련 화학제품 생산의 원료로 일부 사용됨.</t>
  </si>
  <si>
    <t>M101</t>
  </si>
  <si>
    <t>G36</t>
    <phoneticPr fontId="5" type="noConversion"/>
  </si>
  <si>
    <t>Methanol Platform</t>
    <phoneticPr fontId="5" type="noConversion"/>
  </si>
  <si>
    <t>Acetic Acid</t>
    <phoneticPr fontId="5" type="noConversion"/>
  </si>
  <si>
    <t>G37</t>
    <phoneticPr fontId="5" type="noConversion"/>
  </si>
  <si>
    <t>DCPD Platform</t>
    <phoneticPr fontId="5" type="noConversion"/>
  </si>
  <si>
    <t>C5 Resin Chain</t>
    <phoneticPr fontId="5" type="noConversion"/>
  </si>
  <si>
    <t>Isobutylene; DCPD</t>
    <phoneticPr fontId="5" type="noConversion"/>
  </si>
  <si>
    <t>Formaldehyde resins (UF/MF/PF)</t>
  </si>
  <si>
    <t>Polyacetal resins</t>
  </si>
  <si>
    <t>Pentaerythritol</t>
  </si>
  <si>
    <t>Paraformaldehyde</t>
  </si>
  <si>
    <t>UF, MF, PF 수지는 전체 formaldehyde 소비의 약 63%를 차지하는 최대 수요처로, 목재 패널(MDF, PB, Plywood, OSB), 라미네이트 및 건축용 접착 시스템의 핵심 결합 기능을 수행함. 수지 종류는 다르지만 기능적으로는 모두 접착용 thermosetting resin으로 분류 가능</t>
  </si>
  <si>
    <t>엔지니어링 플라스틱(POM) 제조용 핵심 원료로 사용되며 자동차, 전기전자 및 산업부품 수요에 의해 시장이 형성됨</t>
  </si>
  <si>
    <t>Methylene diphenyl diisocyanate (MDI)</t>
  </si>
  <si>
    <t>폴리우레탄 생산을 위한 핵심 중간체 제조용으로 사용되며, 건축 단열재와 자동차용 폼 등 다양한 다운스트림 시장으로 연결됨</t>
  </si>
  <si>
    <t>1,4-Butanediol (BDO)</t>
  </si>
  <si>
    <t>BDO 제조의 주요 원료이며 이후 PBT, TPU, 용제 등 다양한 화학 가치사슬로 이어지는 중간체 역할을 수행함</t>
  </si>
  <si>
    <t>알키드수지, 코팅 및 윤활유 첨가제 등의 특수화학 제품 제조를 위한 중간체로 사용됨</t>
  </si>
  <si>
    <t>고체 formaldehyde 공급원으로 특수수지, 코팅 및 정밀화학 분야에서 사용되며 향후 가장 높은 성장률이 예상되는 응용 분야 중 하나임</t>
  </si>
  <si>
    <t>HMTA, TMP, Neopentyl glycol</t>
  </si>
  <si>
    <t>다양한 특수화학제품 및 수지 제조를 위한 중간체로 사용되며 개별 시장 규모는 제한적임</t>
  </si>
  <si>
    <t>Slow-release fertilizers (SRF)</t>
  </si>
  <si>
    <t>완효성 비료 제조를 통해 비료의 지속 방출 기능을 제공하는 농업용 application</t>
  </si>
  <si>
    <t>Herbicides / pesticides</t>
  </si>
  <si>
    <t>제초제 및 농약 제조를 위한 중간체로 사용되며 농화학 가치사슬에 기여함</t>
  </si>
  <si>
    <t>전체 methanol 소비의 약 25%를 차지하는 최대 용도이며, formaldehyde를 거쳐 UF/PF 수지 등 다양한 화학제품으로 이어지는 핵심 중간체임</t>
  </si>
  <si>
    <t>Methanol-to-Olefins (MTO)</t>
  </si>
  <si>
    <t>에틸렌·프로필렌 생산을 위한 직접 원료로 사용되며, 중국 중심의 주요 methanol 소비처임</t>
  </si>
  <si>
    <t>Acetic acid 제조의 핵심 원료로 사용되며 VAM, PTA 등 다양한 화학 가치사슬로 연결됨</t>
  </si>
  <si>
    <t>MTBE/TAME</t>
  </si>
  <si>
    <t>가솔린 옥탄가 향상용 연료첨가제 제조의 주요 원료로 사용됨</t>
  </si>
  <si>
    <t>Biodiesel</t>
  </si>
  <si>
    <t>지방산 메틸에스터(FAME) 기반 바이오디젤 생산의 핵심 반응물임</t>
  </si>
  <si>
    <t>Direct gasoline blending</t>
  </si>
  <si>
    <t>메탄올을 연료에 직접 혼합하여 사용하는 application</t>
  </si>
  <si>
    <t>Dimethyl ether (DME)</t>
  </si>
  <si>
    <t>LPG 대체 및 연료용 DME 제조의 원료로 사용됨</t>
  </si>
  <si>
    <t>Bunker fuel</t>
  </si>
  <si>
    <t>해운 탈탄소화에 따라 직접 선박연료로 빠르게 성장하는 application</t>
  </si>
  <si>
    <t>MMA 제조의 원료이며 PMMA, 코팅 및 접착제 가치사슬로 연결됨</t>
  </si>
  <si>
    <t>Methylamines</t>
  </si>
  <si>
    <t>Methylamine 제조를 통해 NMP, 계면활성제, 의약 및 농약 등 특수화학으로 연결됨</t>
  </si>
  <si>
    <t>Chloromethanes</t>
  </si>
  <si>
    <t>실리콘, 냉매 및 기타 특수화학제품 제조용 중간체 생산에 사용됨</t>
  </si>
  <si>
    <t>공정용 용제 및 세정·추출용 용매로 직접 사용됨</t>
  </si>
  <si>
    <t>DMT 제조 원료로 사용되며 현재 시장 비중은 제한적임</t>
  </si>
  <si>
    <t>천연가스 배관 hydrate inhibitor 및 제빙·부동액 용도로 직접 사용됨</t>
  </si>
  <si>
    <t>Glycol methyl ethers</t>
  </si>
  <si>
    <t>다양한 glycol ether 계열 특수용제 제조 원료로 사용됨</t>
  </si>
  <si>
    <t>M069</t>
  </si>
  <si>
    <t>M080</t>
  </si>
  <si>
    <t>Vinyl acetate monomer (VAM)</t>
  </si>
  <si>
    <t>Acetic acid 최대 수요처(약 28%)이며 PVA, PVOH, EVA 등 다양한 폴리머 가치사슬의 핵심 중간체</t>
  </si>
  <si>
    <t>PTA 제조 시 용매로 사용되며 PET resin, polyester fiber, film 가치사슬의 핵심 원료</t>
  </si>
  <si>
    <t>Acetic anhydride</t>
  </si>
  <si>
    <t>Cellulose acetate, pharmaceuticals, TAED 생산의 핵심 중간체</t>
  </si>
  <si>
    <t>가장 큰 acetate ester이며 잉크·도료·코팅용 용제 제조</t>
  </si>
  <si>
    <t>Surface coating 및 산업용 coating solvent의 주요 원료</t>
  </si>
  <si>
    <t>sec-Butyl acetate</t>
  </si>
  <si>
    <t>Coatings 및 specialty solvent 시장에 사용</t>
  </si>
  <si>
    <t>Glycol ether acetates</t>
  </si>
  <si>
    <t>PMA, EBA, EEA 등 coating 및 전자용 solvent 제조</t>
  </si>
  <si>
    <t>Monochloroacetic acid (MCAA)</t>
  </si>
  <si>
    <t>CMC, glyphosate, surfactant, thioglycolic acid 등 특수화학 중간체</t>
  </si>
  <si>
    <t>Ketene / Diketene derivatives</t>
  </si>
  <si>
    <t>Fine chemicals, pigments, pharmaceuticals, agrochemicals용 중간체</t>
  </si>
  <si>
    <t>Dimethylacetamide (DMAC)</t>
  </si>
  <si>
    <t>고성능 섬유 및 resin 공정용 solvent 제조</t>
  </si>
  <si>
    <t>Acetate salts</t>
  </si>
  <si>
    <t>Sodium acetate, potassium acetate 등 산업용 화학제품 제조</t>
  </si>
  <si>
    <t>Textile processing</t>
  </si>
  <si>
    <t>Food vinegar</t>
  </si>
  <si>
    <t>섬유 염색·가공에서 pH 조절 및 공정 보조제로 사용되지만, 현 taxonomy에는 textile processing 항목이 없어 직접 기능보다는 specialty chemical use로 보수적으로 분류</t>
  </si>
  <si>
    <t>식초 및 식품 산미료로 사용되는 직접 소비 application이며, 기존 taxonomy의 식품첨가·보존 기능에 해당</t>
  </si>
  <si>
    <t>의약품 합성 및 공정용 시약으로 사용되며, 별도 pharmaceutical taxonomy가 없으므로 specialty intermediate로 분류</t>
  </si>
  <si>
    <t>95개 Material Existing Value Chain 연계성 재평가</t>
  </si>
  <si>
    <t>평가 기준: S-OIL 현재 자산 + 2026년 Shaheen 완공 예정 자산 | ②는 PO·MTBE 등 기존 비(非)기초유분 intermediate의 직접 활용만 인정하며, 기초 Olefin/Aromatics 연계는 ①에서 평가</t>
  </si>
  <si>
    <t>총 Material</t>
  </si>
  <si>
    <t>상향</t>
  </si>
  <si>
    <t>유지</t>
  </si>
  <si>
    <t>하향</t>
  </si>
  <si>
    <t>No.</t>
  </si>
  <si>
    <t>group_name</t>
  </si>
  <si>
    <t>material</t>
  </si>
  <si>
    <t>① 기존 Olefin/
Aromatics Chain 기반</t>
  </si>
  <si>
    <t>② 기존 Intermediate
활용 가능</t>
  </si>
  <si>
    <t>③ 기존 부산물
활용 가능</t>
  </si>
  <si>
    <t>④ 기존 Downstream
확장 가능</t>
  </si>
  <si>
    <t>⑤ 기존 사업 Portfolio와
전략적 연계성</t>
  </si>
  <si>
    <t>O 개수</t>
  </si>
  <si>
    <t>재평가
점수</t>
  </si>
  <si>
    <t>기존
점수</t>
  </si>
  <si>
    <t>증감</t>
  </si>
  <si>
    <t>비교</t>
  </si>
  <si>
    <t>평가 메모</t>
  </si>
  <si>
    <t>Source ID</t>
  </si>
  <si>
    <t>O</t>
  </si>
  <si>
    <t>X</t>
  </si>
  <si>
    <t>Shaheen HDPE는 에틸렌 기반 핵심 polyolefin으로 기존·예정 portfolio 및 downstream 확장과 직접 연계</t>
  </si>
  <si>
    <t>S2,S3,S10</t>
  </si>
  <si>
    <t>에틸렌·polyolefin 연계성은 있으나 현재/예정 LDPE 생산자산이 없어 직접 downstream 확장성은 상대적으로 낮음</t>
  </si>
  <si>
    <t>Shaheen LLDPE는 에틸렌 기반 핵심 polyolefin으로 기존·예정 portfolio 및 downstream 확장과 직접 연계</t>
  </si>
  <si>
    <t>에틸렌을 직접 원료로 하는 PVC chain 진입점이나 chlorine 계열 신규 기반 필요</t>
  </si>
  <si>
    <t>S1,S2,S8</t>
  </si>
  <si>
    <t>에틸렌 기반 PVC intermediate로 chain 확장 가능하나 기존 intermediate·portfolio 직접 연계는 제한</t>
  </si>
  <si>
    <t>에틸렌 기반 downstream이나 EDC/VCM 및 chlorine chain 신규 구축 필요</t>
  </si>
  <si>
    <t>에틸렌 수화 route 기준 olefin 연계 및 downstream 확장 가능</t>
  </si>
  <si>
    <t>Ethanol 후속 ester 제품으로 기존 core feedstock와 직접 연결은 약하나 downstream 확장성은 존재</t>
  </si>
  <si>
    <t>에틸렌 직접 downstream이자 MEG·ethanolamine·EC 등 다수 chain의 strategic platform</t>
  </si>
  <si>
    <t>EO/ethylene chain downstream으로 확장 가능하나 기존 intermediate 직접 활용은 아직 제한</t>
  </si>
  <si>
    <t>에틸렌 대규모 monetization 및 PET chain 연계가 가능한 대표 downstream</t>
  </si>
  <si>
    <t>에틸렌 기반 VAM chain 진입 가능하나 acetic acid 및 신규 공정 기반 필요</t>
  </si>
  <si>
    <t>프로필렌 직접 downstream으로 ABS·SAN·NBR 확장 가능</t>
  </si>
  <si>
    <t>AN·styrene·butadiene 기반 olefin/aromatics downstream이나 신규 intermediates 다수 필요</t>
  </si>
  <si>
    <t>AN·styrene 기반 olefin/aromatics downstream이나 신규 intermediate 구축 필요</t>
  </si>
  <si>
    <t>AN과 C4계 butadiene을 활용 가능하나 기존 rubber downstream 기반은 제한</t>
  </si>
  <si>
    <t>S3,S6,S8</t>
  </si>
  <si>
    <t>현재 보유한 propylene downstream 핵심 제품으로 portfolio·고객·TS&amp;D 연계가 가장 직접적</t>
  </si>
  <si>
    <t>S1,S4,S5</t>
  </si>
  <si>
    <t>현재 보유한 propylene downstream intermediate로 PG·PPG·polyol·PU 확장 platform</t>
  </si>
  <si>
    <t>기존 PO를 직접 활용하고 PU·UPR·용제 chain으로 확장 가능</t>
  </si>
  <si>
    <t>기존 PO를 직접 활용하는 핵심 polyol intermediate로 PU chain과 전략적 연계</t>
  </si>
  <si>
    <t>기존 PO를 직접 활용하며 PU downstream 및 기존 PO 사업 고도화와 연결</t>
  </si>
  <si>
    <t>기존 PO 기반 polyol 활용과 PU value chain 확장으로 strategic adjacency가 높음</t>
  </si>
  <si>
    <t>프로필렌 직접 downstream 및 acrylate/SAP 확장성은 높으나 기존 intermediate·portfolio 직접 연계는 제한</t>
  </si>
  <si>
    <t>프로필렌-아크릴산 downstream으로 확장 가능하나 신규 AA 및 alcohol chain 필요</t>
  </si>
  <si>
    <t>프로필렌-AA chain downstream이나 기존 portfolio와 직접적인 생산·고객 연계는 제한</t>
  </si>
  <si>
    <t>프로필렌 oxo chain의 1차 intermediate로 alcohol·acetate downstream 확장 가능</t>
  </si>
  <si>
    <t>프로필렌 oxo chain downstream으로 가소제·acrylate chain 확장 가능</t>
  </si>
  <si>
    <t>프로필렌 oxo chain downstream으로 acetate·acrylate 등 확장 가능</t>
  </si>
  <si>
    <t>oxo alcohol 기반 용제 downstream으로 propylene chain 연계 가능</t>
  </si>
  <si>
    <t>propylene oxo chain의 iso-product로 acetate 등 downstream 확장 가능</t>
  </si>
  <si>
    <t>isobutanol downstream ester로 propylene chain 연계 가능</t>
  </si>
  <si>
    <t>프로필렌 또는 acetone 기반 직접 downstream으로 용제·전자재료 확장 가능</t>
  </si>
  <si>
    <t>IPA 후속 ester 제품으로 propylene chain downstream 확장 가능</t>
  </si>
  <si>
    <t>Shaheen C4 제품이자 cracker 부산물 고도화의 핵심 anchor로 rubber chain 확장 기반</t>
  </si>
  <si>
    <t>Shaheen butadiene 및 C4 stream을 활용해 합성고무 downstream으로 확장 가능</t>
  </si>
  <si>
    <t>butadiene과 aromatics 기반 styrene을 활용하는 합성고무 downstream</t>
  </si>
  <si>
    <t>기존 MTBE와 C4 stream을 활용해 고순도 isobutylene 및 PIB·butyl rubber로 확장 가능</t>
  </si>
  <si>
    <t>기존 MTBE/C4 기반 고순도 isobutylene을 활용 가능한 C4 specialty downstream</t>
  </si>
  <si>
    <t>C4 부산물 1-butene 활용성은 있으나 별도 정제·중합 및 신규 downstream 기반 필요</t>
  </si>
  <si>
    <t>현재 보유한 C4 기반 fuel additive 사업으로 refinery·gasoline portfolio와 직접 연계</t>
  </si>
  <si>
    <t>C4/isoprene stream 활용성은 있으나 고순도 monomer와 rubber 사업 기반이 추가로 필요</t>
  </si>
  <si>
    <t>C4 부산물 고도화와 Shaheen PE comonomer 내재화가 동시에 가능한 strategic product</t>
  </si>
  <si>
    <t>기존 benzene과 ethylene을 활용하는 styrene chain의 직접 intermediate</t>
  </si>
  <si>
    <t>S1,S7,S8,S9</t>
  </si>
  <si>
    <t>benzene/ethylene 기반 aromatics downstream으로 PS·ABS·SBR 확장 가능</t>
  </si>
  <si>
    <t>styrene downstream으로 aromatics chain 확장 가능하나 신규 styrene 기반 필요</t>
  </si>
  <si>
    <t>기존 benzene과 propylene을 직접 활용하는 phenol/acetone chain intermediate</t>
  </si>
  <si>
    <t>benzene/propylene 기반 cumene downstream으로 BPA·epoxy·PC 확장 가능</t>
  </si>
  <si>
    <t>cumene co-product로 MMA·IPA·BPA chain 확장 가능</t>
  </si>
  <si>
    <t>benzene/propylene 기반 phenol·acetone downstream으로 PC·epoxy 확장 가능</t>
  </si>
  <si>
    <t>BPA 이후 추가 downstream으로 기존 aromatics와의 직접 연결은 약하나 확장성은 존재</t>
  </si>
  <si>
    <t>BPA/ECH 기반 downstream으로 aromatics·propylene chain과 간접 연계</t>
  </si>
  <si>
    <t>기존 benzene 직접 downstream으로 nylon chain 확장 가능</t>
  </si>
  <si>
    <t>기존 benzene 직접 downstream으로 MDI·rubber chemical chain 확장 가능</t>
  </si>
  <si>
    <t>기존 benzene과 refinery paraffin 계열을 활용하는 detergent intermediate</t>
  </si>
  <si>
    <t>benzene-cyclohexane downstream으로 caprolactam·adipic chain 확장 가능</t>
  </si>
  <si>
    <t>refinery C4/n-butane 또는 aromatics 기반 downstream으로 UPR·BDO 등 확장 가능</t>
  </si>
  <si>
    <t>o-xylene/naphthalene 기반 aromatics downstream으로 UPR·plasticizer chain 확장 가능</t>
  </si>
  <si>
    <t>benzene/cyclohexanone downstream으로 nylon-6 chain 확장 가능</t>
  </si>
  <si>
    <t>Shaheen ethylene 활용과 PE comonomer·PAO·detergent chain 연계가 가능한 strategic platform</t>
  </si>
  <si>
    <t>ethylene-LAO 기반이며 기존 lube base oil 사업과 고객·기술 측면의 strategic adjacency가 높음</t>
  </si>
  <si>
    <t>기존 MTBE를 chemical feedstock로 활용 가능한 C4 downstream이며 PMMA 확장 가능</t>
  </si>
  <si>
    <t>MMA 후속 polymer로 C4/acetone chain과 간접 연계</t>
  </si>
  <si>
    <t>CO2 활용 가능성은 있으나 기존 olefin/intermediate 및 downstream과 직접 연계는 제한</t>
  </si>
  <si>
    <t>CO2·methanol 활용 가능성은 있으나 기존 core chain과 직접 연결은 제한</t>
  </si>
  <si>
    <t>VAM 이후 downstream으로 확장성은 있으나 기존 feedstock·intermediate 직접 연계는 약함</t>
  </si>
  <si>
    <t>Shaheen ethylene·polyolefin 생산기반과 specialty copolymer portfolio로 직접 연계</t>
  </si>
  <si>
    <t>benzene-aniline downstream 및 PO/polyol 기반 PU chain과 상호 연계</t>
  </si>
  <si>
    <t>toluene 기반 aromatics downstream 및 PU chain 확장 가능</t>
  </si>
  <si>
    <t>기존 mixed xylene/aromatics 기반 분리 및 PA downstream 확장 가능</t>
  </si>
  <si>
    <t>기존 mixed xylene/aromatics 기반 분리 및 PIA downstream 확장 가능</t>
  </si>
  <si>
    <t>현재 핵심 aromatics 제품으로 기존 설비·고객·TPA/PET chain과 직접 연계</t>
  </si>
  <si>
    <t>m-xylene 기반 aromatics downstream으로 specialty polyester 확장 가능</t>
  </si>
  <si>
    <t>기존 p-xylene 직접 downstream으로 aromatics monetization과 polyester chain strategic linkage가 높음</t>
  </si>
  <si>
    <t>p-xylene 기반 polyester intermediate이나 TPA 대비 기존 portfolio 전략 연계는 낮음</t>
  </si>
  <si>
    <t>p-xylene/MEG 이후 추가 downstream으로 직접 feedstock 연계는 약하나 polyester 확장성은 존재</t>
  </si>
  <si>
    <t>Shaheen ethylene·propylene과 diene/C4 stream을 활용하는 elastomer downstream</t>
  </si>
  <si>
    <t>propylene 기반 route 가능하나 chlorine chain과 신규 intermediate 구축이 필요</t>
  </si>
  <si>
    <t>benzene-nylon chain 연계는 있으나 cyclohexane/one 등 다단계 신규 intermediate가 필요</t>
  </si>
  <si>
    <t>cracker C5 부산물 고도화가 가능하나 별도 분리 및 downstream 기반 필요</t>
  </si>
  <si>
    <t>cracker C5 부산물 고도화가 가능하나 별도 분리·정제 기반 필요</t>
  </si>
  <si>
    <t>C5/isoprene 부산물 활용 가능성은 있으나 monomer 분리와 rubber 사업 기반이 모두 필요</t>
  </si>
  <si>
    <t>C5/isoprene 부산물 활용 가능성은 있으나 styrene block polymer 역량이 추가로 필요</t>
  </si>
  <si>
    <t>propylene oxo chain intermediate로 isobutanol·specialty downstream 확장 가능</t>
  </si>
  <si>
    <t>PG·MA/PA·styrene 등 복수 chain의 후속 수요처이나 기존 feedstock와 직접 연결은 약함</t>
  </si>
  <si>
    <t>95개 Material 산업 수급 구조 1차 평가</t>
  </si>
  <si>
    <t>기준일: 2026-06-22 | 글로벌·아시아의 2026~2030년 구조적 수급 + 국내(한국) 수입의존 기준 | 단기 전쟁·물류 차질에 따른 일시적 타이트닝은 제외</t>
  </si>
  <si>
    <t>① 공급 부족 또는
타이트한 시장</t>
  </si>
  <si>
    <t>② 신규 증설
계획 없음</t>
  </si>
  <si>
    <t>③ 중국 저가 경쟁
대상 아님</t>
  </si>
  <si>
    <t>④ 국내 수입
의존도 높음</t>
  </si>
  <si>
    <t>산업 수급
구조 점수</t>
  </si>
  <si>
    <t>확신도</t>
  </si>
  <si>
    <t>글로벌·아시아 PE 공급과잉 및 중국 증설 지속, 국내 생산기반 충분</t>
  </si>
  <si>
    <t>높음</t>
  </si>
  <si>
    <t>S1,S2,S3</t>
  </si>
  <si>
    <t>x</t>
  </si>
  <si>
    <t>고압설비 진입장벽은 있으나 중국 포함 증설과 PE 계열 공급과잉 지속, 국내 생산</t>
  </si>
  <si>
    <t>중간</t>
  </si>
  <si>
    <t>중국·중동 중심 대규모 증설과 범용 Grade 가격경쟁, 국내 생산</t>
  </si>
  <si>
    <t>PVC 일관계열의 공급과잉 영향, 중국·아시아 신규 chlor-alkali/VCM 프로젝트, 국내 생산</t>
  </si>
  <si>
    <t>S1,S3</t>
  </si>
  <si>
    <t>PVC 체인 공급과잉과 중국 증설, 국내 일관 생산기반 존재</t>
  </si>
  <si>
    <t>중국의 대규모 생산능력 및 저가 수출 경쟁, 국내 생산기반 충분</t>
  </si>
  <si>
    <t>미국·브라질 중심 공급이 충분하고 증설도 존재하나 중국 저가품보다는 원료·정책 경쟁, 국내 대규모 석유화학급 생산 제한</t>
  </si>
  <si>
    <t>S1,S11</t>
  </si>
  <si>
    <t>?</t>
  </si>
  <si>
    <t>중국 중심 범용 용제 공급 및 증설, 국내 생산·조달 가능</t>
  </si>
  <si>
    <t>대부분 captive 소비이며 중국 EO/EG 계열 증설 지속, 국내 생산</t>
  </si>
  <si>
    <t>EO계열 범용 제품으로 아시아 공급 충분, 중국 경쟁 및 국내 생산 가능</t>
  </si>
  <si>
    <t>에탄올아민 병산 구조로 공급 유연성 존재, 중국 경쟁 및 국내 생산 가능</t>
  </si>
  <si>
    <t>에탄올아민 병산 구조와 중국 공급 경쟁, 국내 생산 가능</t>
  </si>
  <si>
    <t>중국 석탄·에틸렌계 MEG 증설로 구조적 공급과잉, 국내 생산</t>
  </si>
  <si>
    <t>중국 신규 VAM 및 다운스트림 일관화 확대, 국내 생산기반 존재</t>
  </si>
  <si>
    <t>중국 자급화·증설과 ABS/섬유 수요 부진으로 공급 부담, 국내 생산</t>
  </si>
  <si>
    <t>중국 ABS 대규모 증설과 저가 경쟁, 국내 대형 생산기반</t>
  </si>
  <si>
    <t>ABS 연계 범용 수지로 중국 공급 확대, 국내 생산</t>
  </si>
  <si>
    <t>중국 NBR/NB latex 증설과 가격경쟁, 국내 생산기반 존재</t>
  </si>
  <si>
    <t>중국·중동 신규 PP 증설과 아시아 공급과잉, 국내 생산</t>
  </si>
  <si>
    <t>중국 HPPO/PO-SM 계열 증설로 아시아 공급 증가, 국내 생산</t>
  </si>
  <si>
    <t>PO 연계 범용 제품으로 중국 공급 증가, 국내 생산·조달 가능</t>
  </si>
  <si>
    <t>중국 polyether polyol 증설과 가격경쟁, 국내 생산기반 존재</t>
  </si>
  <si>
    <t>중국 범용 polyol 공급 확대, 국내 다수 생산자 및 배합업체</t>
  </si>
  <si>
    <t>범용 PU는 중국 저가 경쟁 및 다수 지역 생산자로 공급 충분, 국내 생산</t>
  </si>
  <si>
    <t>중국 acrylic acid/SAP 일관계열 증설과 공급과잉, 국내 생산</t>
  </si>
  <si>
    <t>중국 BA/2-EHA 등 증설 및 범용 용도 가격경쟁, 국내 생산</t>
  </si>
  <si>
    <t>범용 SAP 공급은 충분하나 위생·고성능 Grade는 품질 인증 장벽 존재, 국내 생산</t>
  </si>
  <si>
    <t>대부분 oxo alcohol captive 중간체이며 중국 oxo 증설, 국내 일관 생산 가능</t>
  </si>
  <si>
    <t>중국 oxo alcohol 증설과 가소제 수요 둔화, 국내 생산</t>
  </si>
  <si>
    <t>중국 oxo 설비 증설과 범용 용제 경쟁, 국내 생산</t>
  </si>
  <si>
    <t>중국 범용 용제 공급 및 가격경쟁, 국내 생산·수입 다변화</t>
  </si>
  <si>
    <t>oxo 병산품으로 공급 충분, 중국 경쟁 및 국내 생산 가능</t>
  </si>
  <si>
    <t>범용 용제로 중국 공급 경쟁, 국내 조달 가능</t>
  </si>
  <si>
    <t>아시아 신규 IPA 설비와 acetone 기반 공급, 중국 경쟁 및 국내 생산</t>
  </si>
  <si>
    <t>소규모 niche solvent로 대형 신규 프로젝트는 제한적이나 중국 공급 가능, 국내는 수입 비중이 높은 편</t>
  </si>
  <si>
    <t>낮음</t>
  </si>
  <si>
    <t>시황 변동성은 크지만 중국 on-purpose/추출 증설과 국내 cracker 공급 존재</t>
  </si>
  <si>
    <t>중국 합성고무 증설과 타이어 수요 둔화, 국내 생산</t>
  </si>
  <si>
    <t>글로벌·중국 공급 여력과 범용 타이어 Grade 가격경쟁, 국내 생산</t>
  </si>
  <si>
    <t>고순도 제품은 지역적으로 타이트할 수 있으나 중국 C4 고도화·증설 및 국내 공급 가능</t>
  </si>
  <si>
    <t>소수 업체 중심의 기술·품질 시장이며 대형 신규 증설은 제한적, 국내 DL Chemical 생산</t>
  </si>
  <si>
    <t>S7</t>
  </si>
  <si>
    <t>글로벌 소수 생산자 중심의 niche polymer, 신규 증설 제한 및 품질 장벽, 국내 YLEM 생산</t>
  </si>
  <si>
    <t>S8</t>
  </si>
  <si>
    <t>가솔린 첨가제 수요 성숙과 중국·중동 공급, 국내 정유·석화 생산</t>
  </si>
  <si>
    <t>기본 Grade 증설은 있으나 halobutyl·고사양은 기술 장벽, 국내 생산기반 제한</t>
  </si>
  <si>
    <t>PE comonomer 수요 증가 시 지역적 타이트 가능하나 중국·중동 증설과 국내 공급 존재</t>
  </si>
  <si>
    <t>대부분 styrene captive 원료이며 styrenics 공급과잉, 국내 생산</t>
  </si>
  <si>
    <t>중국 대규모 styrene 증설과 아시아 공급과잉, 국내 생산</t>
  </si>
  <si>
    <t>성숙시장·중국 저가 경쟁 및 국내 생산</t>
  </si>
  <si>
    <t>phenol/acetone captive 원료이며 중국 일관계열 증설, 국내 생산</t>
  </si>
  <si>
    <t>중국 phenol/acetone 신규설비와 아시아 공급 부담, 국내 생산</t>
  </si>
  <si>
    <t>phenol 병산품으로 공급 변동은 있으나 구조적 부족 아님, 중국 경쟁·국내 생산</t>
  </si>
  <si>
    <t>중국 BPA 대규모 증설과 PC/epoxy 수요 둔화, 국내 생산</t>
  </si>
  <si>
    <t>중국 자급화·증설 및 범용 Grade 가격경쟁, 국내 생산</t>
  </si>
  <si>
    <t>중국 액상·고상 epoxy 공급과 가격경쟁, 국내 생산기반 존재</t>
  </si>
  <si>
    <t>nylon 체인 수요와 연동되며 중국 신규 nylon 일관계열 존재, 국내 merchant 공급은 제한적</t>
  </si>
  <si>
    <t>중국 MDI 일관계열의 aniline 증설과 가격경쟁, 국내 수요 대비 merchant 생산 제한</t>
  </si>
  <si>
    <t>세제용 성숙시장으로 대형 신규 프로젝트는 제한적이나 중동·중국 경쟁, 국내 생산</t>
  </si>
  <si>
    <t>중국 caprolactam 일관계열 증설, 국내 Capro 계열 생산기반</t>
  </si>
  <si>
    <t>S9</t>
  </si>
  <si>
    <t>중국 maleic anhydride 대규모 공급과 신규 n-butane route 증설, 국내 수입 비중 높음</t>
  </si>
  <si>
    <t>중국 공급과잉 및 성숙시장, 국내 생산기반 존재</t>
  </si>
  <si>
    <t>중국 자급화·과잉과 PA6 일관계열 경쟁, 국내 유일 생산기반 존재</t>
  </si>
  <si>
    <t>C6-C10 고급 comonomer는 소수 기술사 중심이나 미국·중동·중국 증설 존재, 국내 수입 의존</t>
  </si>
  <si>
    <t>고성능 윤활기유로 공급자 집중·기술 장벽이 높지만 2025년 이후 증설 진행, 국내 수입 의존</t>
  </si>
  <si>
    <t>S6,S11</t>
  </si>
  <si>
    <t>중국 신규 MMA 및 C2 route 확대로 공급 부담, 국내 생산</t>
  </si>
  <si>
    <t>중국 PMMA 증설과 범용 sheet/molding Grade 경쟁, 국내 생산</t>
  </si>
  <si>
    <t>배터리용 고순도 수요는 성장하나 중국 용제 생산능력 과잉·증설, 국내 일부 수입 의존</t>
  </si>
  <si>
    <t>중국 coal/PO route DMC 대규모 증설과 저가 경쟁, 국내 고순도 일부 수입 의존</t>
  </si>
  <si>
    <t>중국·일본 공급자 기반과 중국 증설, 국내 대규모 생산 제한</t>
  </si>
  <si>
    <t>중국 태양광용 EVA 증설 급증과 가격경쟁, 국내 생산</t>
  </si>
  <si>
    <t>중국 Wanhua 및 국내 KMCI 증설 진행, 국내 대형 생산기반</t>
  </si>
  <si>
    <t>S5</t>
  </si>
  <si>
    <t>중국 TDI 공급과잉과 저가 경쟁, 국내 생산</t>
  </si>
  <si>
    <t>PA 수요 성숙으로 대형 전용 증설은 제한적이나 중국 aromatics 공급 경쟁, 국내 생산</t>
  </si>
  <si>
    <t>분리·정제 가능한 공급자가 제한적인 niche isomer이며 신규 전용 증설 제한, 국내 수입 의존</t>
  </si>
  <si>
    <t>중국 대규모 PX 증설과 자급화, 국내 대형 생산기반</t>
  </si>
  <si>
    <t>소수 글로벌 생산자 중심의 specialty aromatic acid, 신규 증설 제한·품질 장벽, 국내 Lotte 생산</t>
  </si>
  <si>
    <t>S10</t>
  </si>
  <si>
    <t>중국 PTA 대규모 과잉과 신규 일관계열 경쟁, 국내 생산</t>
  </si>
  <si>
    <t>S4</t>
  </si>
  <si>
    <t>PTA 대체로 생산자가 감소한 niche feedstock, 신규 증설 제한 및 국내 공급기반 제한</t>
  </si>
  <si>
    <t>중국 bottle/textile PET 과잉과 지속 증설, 국내 생산</t>
  </si>
  <si>
    <t>중국·중동 합성고무 증설과 국내 Kumho Polychem 생산</t>
  </si>
  <si>
    <t>중국 glycerin/propylene route 증설과 저가 경쟁, 국내 Lotte Fine Chemical 생산</t>
  </si>
  <si>
    <t>중국 adipic acid 공급과잉·증설, 국내 대규모 생산기반 제한</t>
  </si>
  <si>
    <t>cracker C5 부산물 기반으로 공급 탄력성이 낮고 고순도 분리 장벽, 국내 C5 분리 공급 가능</t>
  </si>
  <si>
    <t>여천NCC, 롯데케미칼 생산 (C5 유분 활용)</t>
    <phoneticPr fontId="39" type="noConversion"/>
  </si>
  <si>
    <t>C5 부산물·고순도 정제 기반의 제한된 공급과 niche 수요, 국내 C5 계열 공급 가능</t>
  </si>
  <si>
    <t>생산자와 설비가 제한된 specialty synthetic rubber, 의료·고성능 Grade 장벽 및 국내 수입 의존</t>
  </si>
  <si>
    <t>접착제용 niche SBC로 생산자 집중·Grade 인증 장벽, 국내 수입 의존</t>
  </si>
  <si>
    <t>oxo alcohol captive 중간체이며 중국 oxo 증설, 국내 일관 생산 가능</t>
  </si>
  <si>
    <t>성숙·분산 시장으로 대형 신규 프로젝트는 제한적이나 중국 저가 경쟁 및 국내 생산</t>
  </si>
  <si>
    <t>no</t>
    <phoneticPr fontId="8" type="noConversion"/>
  </si>
  <si>
    <t>exsting_value</t>
  </si>
  <si>
    <t>market_growth_stage</t>
  </si>
  <si>
    <t>supply/demand</t>
    <phoneticPr fontId="8" type="noConversion"/>
  </si>
  <si>
    <t>Total</t>
    <phoneticPr fontId="8" type="noConversion"/>
  </si>
  <si>
    <t>existing value &amp; market growth Rating 사유</t>
    <phoneticPr fontId="8" type="noConversion"/>
  </si>
  <si>
    <t>Supply/Demand Rating 사유</t>
    <phoneticPr fontId="8" type="noConversion"/>
  </si>
  <si>
    <t>NCC와 함께 HDPE 공장 예정으로 직접 연계되나 범용 PE 시장은 성숙 단계</t>
    <phoneticPr fontId="8" type="noConversion"/>
  </si>
  <si>
    <t>에탄올아민 병산 구조로 공급 유연성 존재, 중국 경쟁 및 국내 생산 가능</t>
    <phoneticPr fontId="8" type="noConversion"/>
  </si>
  <si>
    <t>Ethylene 기반 PE 계열로 연계 가능하나 현재 계획 제품은 아니며 성숙시장</t>
    <phoneticPr fontId="8" type="noConversion"/>
  </si>
  <si>
    <t>중국 oxo 설비 증설과 범용 용제 경쟁, 국내 생산</t>
    <phoneticPr fontId="8" type="noConversion"/>
  </si>
  <si>
    <t>NCC와 함께 LLDPE 공장 예정으로 직접 연계되나 범용 PE 시장은 성숙 단계</t>
    <phoneticPr fontId="8" type="noConversion"/>
  </si>
  <si>
    <t>에탄올아민 병산 구조와 중국 공급 경쟁, 국내 생산 가능</t>
    <phoneticPr fontId="8" type="noConversion"/>
  </si>
  <si>
    <t>EDC</t>
    <phoneticPr fontId="8" type="noConversion"/>
  </si>
  <si>
    <t>Ethylene 기반 PVC chain 중간체이나 Chlorine 확보 필요, 시장은 성숙 단계</t>
    <phoneticPr fontId="8" type="noConversion"/>
  </si>
  <si>
    <t>중국 BA/2-EHA 등 증설 및 범용 용도 가격경쟁, 국내 생산</t>
    <phoneticPr fontId="8" type="noConversion"/>
  </si>
  <si>
    <t>Ethylene downstream이나 PVC chain은 당사 직접 사업과 거리가 있고 성숙시장</t>
    <phoneticPr fontId="8" type="noConversion"/>
  </si>
  <si>
    <t>범용 SAP 공급은 충분하나 위생·고성능 Grade는 품질 인증 장벽 존재, 국내 생산</t>
    <phoneticPr fontId="8" type="noConversion"/>
  </si>
  <si>
    <t>Ethylene downstream 확장 가능성은 있으나 범용 PVC 시장은 성숙 단계</t>
    <phoneticPr fontId="8" type="noConversion"/>
  </si>
  <si>
    <t>중국 태양광용 EVA 증설 급증과 가격경쟁, 국내 생산</t>
    <phoneticPr fontId="8" type="noConversion"/>
  </si>
  <si>
    <t>Ethylene route 가능성은 있으나 당사 기존 사업과 직접성은 제한적</t>
    <phoneticPr fontId="8" type="noConversion"/>
  </si>
  <si>
    <t>대부분 styrene captive 원료이며 styrenics 공급과잉, 국내 생산</t>
    <phoneticPr fontId="8" type="noConversion"/>
  </si>
  <si>
    <t>Ethanol downstream solvent로 직접 value chain 연계성은 낮고 성숙시장</t>
    <phoneticPr fontId="8" type="noConversion"/>
  </si>
  <si>
    <t>중국 대규모 styrene 증설과 아시아 공급과잉, 국내 생산</t>
    <phoneticPr fontId="8" type="noConversion"/>
  </si>
  <si>
    <t>Ethylene 직접 downstream으로 NCC 연계성이 높으나 EO chain은 성숙시장</t>
    <phoneticPr fontId="8" type="noConversion"/>
  </si>
  <si>
    <t>phenol 병산품으로 공급 변동은 있으나 구조적 부족 아님, 중국 경쟁·국내 생산</t>
    <phoneticPr fontId="8" type="noConversion"/>
  </si>
  <si>
    <t>EO downstream으로 연계 가능하나 범용 ethanolamine 시장은 성숙 단계</t>
    <phoneticPr fontId="8" type="noConversion"/>
  </si>
  <si>
    <t>중국 합성고무 증설과 타이어 수요 둔화, 국내 생산</t>
    <phoneticPr fontId="8" type="noConversion"/>
  </si>
  <si>
    <t>EO downstream으로 연계 가능하나 시장은 성숙 단계</t>
    <phoneticPr fontId="8" type="noConversion"/>
  </si>
  <si>
    <t>글로벌·중국 공급 여력과 범용 타이어 Grade 가격경쟁, 국내 생산</t>
    <phoneticPr fontId="8" type="noConversion"/>
  </si>
  <si>
    <t>EO downstream으로 연계 가능하나 수요는 안정적 성숙시장</t>
    <phoneticPr fontId="8" type="noConversion"/>
  </si>
  <si>
    <t>가솔린 첨가제 수요 성숙과 중국·중동 공급, 국내 정유·석화 생산</t>
    <phoneticPr fontId="8" type="noConversion"/>
  </si>
  <si>
    <t>EO downstream 및 PET chain 핵심 원료이나 시장은 성숙 단계</t>
    <phoneticPr fontId="8" type="noConversion"/>
  </si>
  <si>
    <t>중국 BPA 대규모 증설과 PC/epoxy 수요 둔화, 국내 생산</t>
    <phoneticPr fontId="8" type="noConversion"/>
  </si>
  <si>
    <t>Ethylene/acetic acid route 가능하나 당사 직접 사업 연계는 제한적</t>
    <phoneticPr fontId="8" type="noConversion"/>
  </si>
  <si>
    <t>고성능 윤활기유로 공급자 집중·기술 장벽이 높지만 2025년 이후 증설 진행, 국내 수입 의존</t>
    <phoneticPr fontId="8" type="noConversion"/>
  </si>
  <si>
    <t>Propylene downstream으로 C3 연계 가능하나 AN 시장은 성숙 단계</t>
    <phoneticPr fontId="8" type="noConversion"/>
  </si>
  <si>
    <t>중국·일본 공급자 기반과 중국 증설, 국내 대규모 생산 제한</t>
    <phoneticPr fontId="8" type="noConversion"/>
  </si>
  <si>
    <t>AN/Styrene/BD 계열로 NCC 및 aromatics 연계 가능하나 성숙시장</t>
    <phoneticPr fontId="8" type="noConversion"/>
  </si>
  <si>
    <t>중국 adipic acid 공급과잉·증설, 국내 대규모 생산기반 제한</t>
    <phoneticPr fontId="8" type="noConversion"/>
  </si>
  <si>
    <t>AN/Styrene downstream으로 연계 가능하나 범용 수지 성격</t>
    <phoneticPr fontId="8" type="noConversion"/>
  </si>
  <si>
    <t>성숙·분산 시장으로 대형 신규 프로젝트는 제한적이나 중국 저가 경쟁 및 국내 생산</t>
    <phoneticPr fontId="8" type="noConversion"/>
  </si>
  <si>
    <t>AN/BD downstream으로 NCC C3/C4 연계 가능하나 성숙시장</t>
    <phoneticPr fontId="8" type="noConversion"/>
  </si>
  <si>
    <t>현재 PP 사업 직접 연계, 범용 PP는 성숙시장</t>
    <phoneticPr fontId="8" type="noConversion"/>
  </si>
  <si>
    <t>중국·중동 신규 PP 증설과 아시아 공급과잉, 국내 생산</t>
    <phoneticPr fontId="8" type="noConversion"/>
  </si>
  <si>
    <t>현재 PO 사업 직접 연계, 시장은 성숙 단계</t>
    <phoneticPr fontId="8" type="noConversion"/>
  </si>
  <si>
    <t>PO 연계 범용 제품으로 중국 공급 증가, 국내 생산·조달 가능</t>
    <phoneticPr fontId="8" type="noConversion"/>
  </si>
  <si>
    <t>PO direct downstream 원료로 직접 연계되며 UPR 원료이나 시장은 성숙 단계</t>
    <phoneticPr fontId="8" type="noConversion"/>
  </si>
  <si>
    <t>소수 글로벌 생산자 중심의 specialty aromatic acid, 신규 증설 제한·품질 장벽, 국내 Lotte 생산</t>
    <phoneticPr fontId="8" type="noConversion"/>
  </si>
  <si>
    <t>PO downstream으로 당사 PO 사업과 직접 연결되나 PG 시장은 성숙 단계</t>
    <phoneticPr fontId="8" type="noConversion"/>
  </si>
  <si>
    <t>PO direct downstream polyol 계열로 PU 등 성장 application과 연결</t>
    <phoneticPr fontId="8" type="noConversion"/>
  </si>
  <si>
    <t>중국 HPPO/PO-SM 계열 증설로 아시아 공급 증가, 국내 생산</t>
    <phoneticPr fontId="8" type="noConversion"/>
  </si>
  <si>
    <t>PO direct downstream으로 당사 PO와 직접 연결되고 PU 수요 성장성 존재</t>
    <phoneticPr fontId="8" type="noConversion"/>
  </si>
  <si>
    <t>소수 업체 중심의 기술·품질 시장이며 대형 신규 증설은 제한적, 국내 DL Chemical 생산</t>
    <phoneticPr fontId="8" type="noConversion"/>
  </si>
  <si>
    <t>PO/Polyol downstream으로 insulation·automotive 등 성장 application 존재</t>
    <phoneticPr fontId="8" type="noConversion"/>
  </si>
  <si>
    <t>기본 Grade 증설은 있으나 halobutyl·고사양은 기술 장벽, 국내 생산기반 제한</t>
    <phoneticPr fontId="8" type="noConversion"/>
  </si>
  <si>
    <t>Propylene downstream 핵심 중간체로 acrylic ester 등 확장성 존재</t>
    <phoneticPr fontId="8" type="noConversion"/>
  </si>
  <si>
    <t>중국 중심 범용 용제 공급 및 증설, 국내 생산·조달 가능</t>
    <phoneticPr fontId="8" type="noConversion"/>
  </si>
  <si>
    <t>Propylene downstream으로 C3 연계성이 높고 SAP/coating 등 성장 application 존재</t>
    <phoneticPr fontId="8" type="noConversion"/>
  </si>
  <si>
    <t>중국 bottle/textile PET 과잉과 지속 증설, 국내 생산</t>
    <phoneticPr fontId="8" type="noConversion"/>
  </si>
  <si>
    <t>Acrylic acid downstream으로 coating·adhesive 등 성장 application 연계</t>
    <phoneticPr fontId="8" type="noConversion"/>
  </si>
  <si>
    <t>중국 자급화·증설 및 범용 Grade 가격경쟁, 국내 생산</t>
    <phoneticPr fontId="8" type="noConversion"/>
  </si>
  <si>
    <t>Acrylic acid downstream이나 위생재 중심의 안정적 성숙시장</t>
    <phoneticPr fontId="8" type="noConversion"/>
  </si>
  <si>
    <t>Propylene oxo chain 중간체로 C3 연계 가능하나 성숙시장</t>
    <phoneticPr fontId="8" type="noConversion"/>
  </si>
  <si>
    <t>세제용 성숙시장으로 대형 신규 프로젝트는 제한적이나 중동·중국 경쟁, 국내 생산</t>
    <phoneticPr fontId="8" type="noConversion"/>
  </si>
  <si>
    <t>Propylene oxo chain 제품으로 plasticizer 원료이나 성숙시장</t>
    <phoneticPr fontId="8" type="noConversion"/>
  </si>
  <si>
    <t>중국 maleic anhydride 대규모 공급과 신규 n-butane route 증설, 국내 수입 비중 높음</t>
    <phoneticPr fontId="8" type="noConversion"/>
  </si>
  <si>
    <t>Propylene oxo alcohol chain으로 연계 가능하나 범용 성숙시장</t>
    <phoneticPr fontId="8" type="noConversion"/>
  </si>
  <si>
    <t>중국 MDI 일관계열의 aniline 증설과 가격경쟁, 국내 수요 대비 merchant 생산 제한</t>
    <phoneticPr fontId="8" type="noConversion"/>
  </si>
  <si>
    <t>n-Butanol downstream solvent로 연계 가능하나 성숙시장</t>
    <phoneticPr fontId="8" type="noConversion"/>
  </si>
  <si>
    <t>PA 수요 성숙으로 대형 전용 증설은 제한적이나 중국 aromatics 공급 경쟁, 국내 생산</t>
    <phoneticPr fontId="8" type="noConversion"/>
  </si>
  <si>
    <t>Propylene oxo chain 제품으로 연계 가능하나 범용 alcohol 성격</t>
    <phoneticPr fontId="8" type="noConversion"/>
  </si>
  <si>
    <t>글로벌 소수 생산자 중심의 niche polymer, 신규 증설 제한 및 품질 장벽, 국내 YLEM 생산</t>
    <phoneticPr fontId="8" type="noConversion"/>
  </si>
  <si>
    <t>Isobutanol downstream solvent로 연계 가능하나 성숙시장</t>
    <phoneticPr fontId="8" type="noConversion"/>
  </si>
  <si>
    <t>cracker C5 부산물 기반으로 공급 탄력성이 낮고 고순도 분리 장벽, 국내 C5 분리 공급 가능</t>
    <phoneticPr fontId="8" type="noConversion"/>
  </si>
  <si>
    <t>Propylene downstream solvent로 C3 연계 가능하나 범용 성숙시장</t>
    <phoneticPr fontId="8" type="noConversion"/>
  </si>
  <si>
    <t>범용 용제로 중국 공급 경쟁, 국내 조달 가능</t>
    <phoneticPr fontId="8" type="noConversion"/>
  </si>
  <si>
    <t>IPA downstream solvent로 C3 연계 가능하나 성숙시장</t>
    <phoneticPr fontId="8" type="noConversion"/>
  </si>
  <si>
    <t>oxo 병산품으로 공급 충분, 중국 경쟁 및 국내 생산 가능</t>
    <phoneticPr fontId="8" type="noConversion"/>
  </si>
  <si>
    <t>NCC C4 stream 연계 가능성이 있으나 rubber chain은 성숙시장</t>
    <phoneticPr fontId="8" type="noConversion"/>
  </si>
  <si>
    <t>중국 PMMA 증설과 범용 sheet/molding Grade 경쟁, 국내 생산</t>
    <phoneticPr fontId="8" type="noConversion"/>
  </si>
  <si>
    <t>Butadiene downstream으로 C4 연계 가능하나 타이어 중심 성숙시장</t>
    <phoneticPr fontId="8" type="noConversion"/>
  </si>
  <si>
    <t>중국 TDI 공급과잉과 저가 경쟁, 국내 생산</t>
    <phoneticPr fontId="8" type="noConversion"/>
  </si>
  <si>
    <t>Butadiene/Styrene downstream으로 NCC·aromatics 연계 가능하나 성숙시장</t>
    <phoneticPr fontId="8" type="noConversion"/>
  </si>
  <si>
    <t>중국 PTA 대규모 과잉과 신규 일관계열 경쟁, 국내 생산</t>
    <phoneticPr fontId="8" type="noConversion"/>
  </si>
  <si>
    <t>C4 chain 연계 가능성이 있으나 시장은 성숙 단계</t>
    <phoneticPr fontId="8" type="noConversion"/>
  </si>
  <si>
    <t>중국 범용 용제 공급 및 가격경쟁, 국내 생산·수입 다변화</t>
    <phoneticPr fontId="8" type="noConversion"/>
  </si>
  <si>
    <t>C4 유분 기반 fuel additive chain 연계 가능하나 성장성은 제한적</t>
    <phoneticPr fontId="8" type="noConversion"/>
  </si>
  <si>
    <t>아시아 신규 IPA 설비와 acetone 기반 공급, 중국 경쟁 및 국내 생산</t>
    <phoneticPr fontId="8" type="noConversion"/>
  </si>
  <si>
    <t>Isobutylene downstream으로 C4 연계 가능하나 시장은 성숙 단계</t>
    <phoneticPr fontId="8" type="noConversion"/>
  </si>
  <si>
    <t>중국 oxo alcohol 증설과 가소제 수요 둔화, 국내 생산</t>
    <phoneticPr fontId="8" type="noConversion"/>
  </si>
  <si>
    <t>Niche polymer end-product 성격</t>
    <phoneticPr fontId="8" type="noConversion"/>
  </si>
  <si>
    <t>중국 glycerin/propylene route 증설과 저가 경쟁, 국내 Lotte Fine Chemical 생산</t>
    <phoneticPr fontId="8" type="noConversion"/>
  </si>
  <si>
    <t>C4/refinery 연계 가능하나 연료첨가제 중심으로 성장성 제한</t>
    <phoneticPr fontId="8" type="noConversion"/>
  </si>
  <si>
    <t>시황 변동성은 크지만 중국 on-purpose/추출 증설과 국내 cracker 공급 존재</t>
    <phoneticPr fontId="8" type="noConversion"/>
  </si>
  <si>
    <t>Isobutylene downstream으로 C4 연계 가능하나 tire/industrial 중심 성숙시장</t>
    <phoneticPr fontId="8" type="noConversion"/>
  </si>
  <si>
    <t>중국 자급화·과잉과 PA6 일관계열 경쟁, 국내 유일 생산기반 존재</t>
    <phoneticPr fontId="8" type="noConversion"/>
  </si>
  <si>
    <t>C4 stream 및 LLDPE comonomer 연계 가능하나 성숙시장</t>
    <phoneticPr fontId="8" type="noConversion"/>
  </si>
  <si>
    <t>Benzene+ethylene chain으로 NCC/aromatics 연계 가능하나 성숙시장</t>
    <phoneticPr fontId="8" type="noConversion"/>
  </si>
  <si>
    <t>중국·중동 중심 대규모 증설과 범용 Grade 가격경쟁, 국내 생산</t>
    <phoneticPr fontId="8" type="noConversion"/>
  </si>
  <si>
    <t>Ethylbenzene downstream으로 PS/ABS 연계 가능하나 styrenics는 성숙시장</t>
    <phoneticPr fontId="8" type="noConversion"/>
  </si>
  <si>
    <t>대부분 captive 소비이며 중국 EO/EG 계열 증설 지속, 국내 생산</t>
    <phoneticPr fontId="8" type="noConversion"/>
  </si>
  <si>
    <t>Styrene downstream으로 aromatics/C2 연계 가능하나 범용 성숙시장</t>
    <phoneticPr fontId="8" type="noConversion"/>
  </si>
  <si>
    <t>중국 석탄·에틸렌계 MEG 증설로 구조적 공급과잉, 국내 생산</t>
    <phoneticPr fontId="8" type="noConversion"/>
  </si>
  <si>
    <t>Benzene+propylene chain으로 연계 가능하나 phenol chain은 성숙시장</t>
    <phoneticPr fontId="8" type="noConversion"/>
  </si>
  <si>
    <t>중국 대규모 PX 증설과 자급화, 국내 대형 생산기반</t>
    <phoneticPr fontId="8" type="noConversion"/>
  </si>
  <si>
    <t>Cumene downstream으로 aromatics/C3 연계 가능하나 성숙시장</t>
    <phoneticPr fontId="8" type="noConversion"/>
  </si>
  <si>
    <t>미국·브라질 중심 공급이 충분하고 증설도 존재하나 중국 저가품보다는 원료·정책 경쟁, 국내 대규모 석유화학급 생산 제한</t>
    <phoneticPr fontId="8" type="noConversion"/>
  </si>
  <si>
    <t>Cumene-phenol chain 부산물로 연계 가능하나 성숙시장</t>
    <phoneticPr fontId="8" type="noConversion"/>
  </si>
  <si>
    <t>EO계열 범용 제품으로 아시아 공급 충분, 중국 경쟁 및 국내 생산 가능</t>
    <phoneticPr fontId="8" type="noConversion"/>
  </si>
  <si>
    <t>Phenol/acetone downstream으로 PC 원료이나 시장은 성숙 단계</t>
    <phoneticPr fontId="8" type="noConversion"/>
  </si>
  <si>
    <t>고순도 제품은 지역적으로 타이트할 수 있으나 중국 C4 고도화·증설 및 국내 공급 가능</t>
    <phoneticPr fontId="8" type="noConversion"/>
  </si>
  <si>
    <t>Phenol/acetone downstream으로 epoxy 연계 가능하나 시장은 성숙 단계</t>
    <phoneticPr fontId="8" type="noConversion"/>
  </si>
  <si>
    <t>성숙시장·중국 저가 경쟁 및 국내 생산</t>
    <phoneticPr fontId="8" type="noConversion"/>
  </si>
  <si>
    <t>BPA downstream으로 engineering plastic end-product 성격, 전체 시장은 성숙 단계</t>
    <phoneticPr fontId="8" type="noConversion"/>
  </si>
  <si>
    <t>BPA downstream으로 전기전자 수요는 있으나 전체적으로 성숙시장</t>
    <phoneticPr fontId="8" type="noConversion"/>
  </si>
  <si>
    <t>phenol/acetone captive 원료이며 중국 일관계열 증설, 국내 생산</t>
    <phoneticPr fontId="8" type="noConversion"/>
  </si>
  <si>
    <t>Benzene downstream으로 aromatics 연계 가능하나 성숙시장</t>
    <phoneticPr fontId="8" type="noConversion"/>
  </si>
  <si>
    <t>접착제용 niche SBC로 생산자 집중·Grade 인증 장벽, 국내 수입 의존</t>
    <phoneticPr fontId="8" type="noConversion"/>
  </si>
  <si>
    <t>Benzene downstream으로 MDI chain 연계 가능하나 성숙시장</t>
    <phoneticPr fontId="8" type="noConversion"/>
  </si>
  <si>
    <t>중국·중동 합성고무 증설과 국내 Kumho Polychem 생산</t>
    <phoneticPr fontId="8" type="noConversion"/>
  </si>
  <si>
    <t>Aromatics/paraffin chain으로 정유·aromatics 연계 가능하나 detergent 중심 성숙시장</t>
    <phoneticPr fontId="8" type="noConversion"/>
  </si>
  <si>
    <t>중국 ABS 대규모 증설과 저가 경쟁, 국내 대형 생산기반</t>
    <phoneticPr fontId="8" type="noConversion"/>
  </si>
  <si>
    <t>Cyclohexane downstream으로 nylon chain 연계 가능하나 성숙시장</t>
    <phoneticPr fontId="8" type="noConversion"/>
  </si>
  <si>
    <t>중국 Wanhua 및 국내 KMCI 증설 진행, 국내 대형 생산기반</t>
    <phoneticPr fontId="8" type="noConversion"/>
  </si>
  <si>
    <t>Butane/benzene 계열 및 UPR 원료로 연계 가능하나 성숙시장</t>
    <phoneticPr fontId="8" type="noConversion"/>
  </si>
  <si>
    <t>PTA 대체로 생산자가 감소한 niche feedstock, 신규 증설 제한 및 국내 공급기반 제한</t>
    <phoneticPr fontId="8" type="noConversion"/>
  </si>
  <si>
    <t>o-Xylene downstream 및 UPR 원료로 연계 가능하나 성숙시장</t>
    <phoneticPr fontId="8" type="noConversion"/>
  </si>
  <si>
    <t>C5 부산물·고순도 정제 기반의 제한된 공급과 niche 수요, 국내 C5 계열 공급 가능</t>
    <phoneticPr fontId="8" type="noConversion"/>
  </si>
  <si>
    <t>o-Xylene downstream으로 aromatics 연계 가능하나 phthalic anhydride 시장은 성숙 단계</t>
    <phoneticPr fontId="8" type="noConversion"/>
  </si>
  <si>
    <t>nylon 체인 수요와 연동되며 중국 신규 nylon 일관계열 존재, 국내 merchant 공급은 제한적</t>
    <phoneticPr fontId="8" type="noConversion"/>
  </si>
  <si>
    <t>Benzene/cyclohexane chain으로 aromatics 연계 가능하나 nylon 6 시장은 성숙 단계</t>
    <phoneticPr fontId="8" type="noConversion"/>
  </si>
  <si>
    <t>Ethylene oligomerization 기반으로 ethylene surplus와 직접 연계(Ethylene direct oligomerization)되고 comonomer/PAO 수요 성장성 존재</t>
    <phoneticPr fontId="8" type="noConversion"/>
  </si>
  <si>
    <t>중국 신규 VAM 및 다운스트림 일관화 확대, 국내 생산기반 존재</t>
    <phoneticPr fontId="8" type="noConversion"/>
  </si>
  <si>
    <t>LAO downstream 고급 윤활기유로 성장성은 있으나 당사 직접 연계는 LAO 확보 여부에 좌우</t>
    <phoneticPr fontId="8" type="noConversion"/>
  </si>
  <si>
    <t>중국 자급화·증설과 ABS/섬유 수요 부진으로 공급 부담, 국내 생산</t>
    <phoneticPr fontId="8" type="noConversion"/>
  </si>
  <si>
    <t>C3/acetone route 가능성과 PMMA downstream 있으나 시장은 성숙 단계</t>
    <phoneticPr fontId="8" type="noConversion"/>
  </si>
  <si>
    <t>PVC 체인 공급과잉과 중국 증설, 국내 일관 생산기반 존재</t>
    <phoneticPr fontId="8" type="noConversion"/>
  </si>
  <si>
    <t>MMA downstream으로 일부 고기능 용도 있으나 전체 시장은 성숙 단계</t>
    <phoneticPr fontId="8" type="noConversion"/>
  </si>
  <si>
    <t>중국의 대규모 생산능력 및 저가 수출 경쟁, 국내 생산기반 충분</t>
    <phoneticPr fontId="8" type="noConversion"/>
  </si>
  <si>
    <t>Battery electrolyte solvent 성장성은 높으나 당사 직접 value chain 연계는 약함</t>
    <phoneticPr fontId="8" type="noConversion"/>
  </si>
  <si>
    <t>중국 액상·고상 epoxy 공급과 가격경쟁, 국내 생산기반 존재</t>
    <phoneticPr fontId="8" type="noConversion"/>
  </si>
  <si>
    <t>Battery electrolyte solvent 등 성장 application 있으나 당사 직접 원료 연계는 약함</t>
    <phoneticPr fontId="8" type="noConversion"/>
  </si>
  <si>
    <t>중국 caprolactam 일관계열 증설, 국내 Capro 계열 생산기반</t>
    <phoneticPr fontId="8" type="noConversion"/>
  </si>
  <si>
    <t>VAM downstream이나 당사 직접 value chain 연계성은 제한적</t>
    <phoneticPr fontId="8" type="noConversion"/>
  </si>
  <si>
    <t>분리·정제 가능한 공급자가 제한적인 niche isomer이며 신규 전용 증설 제한, 국내 수입 의존</t>
    <phoneticPr fontId="8" type="noConversion"/>
  </si>
  <si>
    <t>Ethylene/VAM copolymer로 C2 연계 가능하고 solar encapsulant 등 성장성 존재, Ethylene direct downstream copolymer</t>
    <phoneticPr fontId="8" type="noConversion"/>
  </si>
  <si>
    <t>C6-C10 고급 comonomer는 소수 기술사 중심이나 미국·중동·중국 증설 존재, 국내 수입 의존</t>
    <phoneticPr fontId="8" type="noConversion"/>
  </si>
  <si>
    <t>PU 원료로 insulation·automotive 수요 성장성 존재</t>
    <phoneticPr fontId="8" type="noConversion"/>
  </si>
  <si>
    <t>글로벌·아시아 PE 공급과잉 및 중국 증설 지속, 국내 생산기반 충분</t>
    <phoneticPr fontId="8" type="noConversion"/>
  </si>
  <si>
    <t>Aniline downstream 및 PU chain 핵심 원료로 성장 application 존재</t>
    <phoneticPr fontId="8" type="noConversion"/>
  </si>
  <si>
    <t>oxo alcohol captive 중간체이며 중국 oxo 증설, 국내 일관 생산 가능</t>
    <phoneticPr fontId="8" type="noConversion"/>
  </si>
  <si>
    <t>Toluene downstream 및 PU 원료이나 시장은 성숙 단계</t>
    <phoneticPr fontId="8" type="noConversion"/>
  </si>
  <si>
    <t>고압설비 진입장벽은 있으나 중국 포함 증설과 PE 계열 공급과잉 지속, 국내 생산</t>
    <phoneticPr fontId="8" type="noConversion"/>
  </si>
  <si>
    <t>Aromatics chain 및 PA 원료로 연계 가능하나 성숙시장</t>
    <phoneticPr fontId="8" type="noConversion"/>
  </si>
  <si>
    <t>PE comonomer 수요 증가 시 지역적 타이트 가능하나 중국·중동 증설과 국내 공급 존재</t>
    <phoneticPr fontId="8" type="noConversion"/>
  </si>
  <si>
    <t>Aromatics chain 및 PIA 원료로 연계 가능하나 성숙시장</t>
    <phoneticPr fontId="8" type="noConversion"/>
  </si>
  <si>
    <t>중국 coal/PO route DMC 대규모 증설과 저가 경쟁, 국내 고순도 일부 수입 의존</t>
    <phoneticPr fontId="8" type="noConversion"/>
  </si>
  <si>
    <t>Aromatics chain 핵심 제품이나 PTA/PET 중심 성숙시장</t>
    <phoneticPr fontId="8" type="noConversion"/>
  </si>
  <si>
    <t>범용 PU는 중국 저가 경쟁 및 다수 지역 생산자로 공급 충분, 국내 생산</t>
    <phoneticPr fontId="8" type="noConversion"/>
  </si>
  <si>
    <t>m-Xylene downstream으로 PET modifier 용도이나 성숙시장</t>
    <phoneticPr fontId="8" type="noConversion"/>
  </si>
  <si>
    <t>PVC 일관계열의 공급과잉 영향, 중국·아시아 신규 chlor-alkali/VCM 프로젝트, 국내 생산</t>
    <phoneticPr fontId="8" type="noConversion"/>
  </si>
  <si>
    <t>p-Xylene downstream으로 polyester chain 연계 가능하나 성숙시장</t>
    <phoneticPr fontId="8" type="noConversion"/>
  </si>
  <si>
    <t>중국 acrylic acid/SAP 일관계열 증설과 공급과잉, 국내 생산</t>
    <phoneticPr fontId="8" type="noConversion"/>
  </si>
  <si>
    <t>p-Xylene downstream polyester 원료이나 TPA 대비 성장성 제한적</t>
    <phoneticPr fontId="8" type="noConversion"/>
  </si>
  <si>
    <t>중국 범용 polyol 공급 확대, 국내 다수 생산자 및 배합업체</t>
    <phoneticPr fontId="8" type="noConversion"/>
  </si>
  <si>
    <t>TPA/MEG downstream으로 aromatics/EO chain 연계 가능하나 성숙시장, Polyester end-product 영역</t>
    <phoneticPr fontId="8" type="noConversion"/>
  </si>
  <si>
    <t>MEG downstream으로 EO chain과 연계되나 PET 시장은 성숙 단계, Polyester end-product 영역</t>
    <phoneticPr fontId="8" type="noConversion"/>
  </si>
  <si>
    <t>Ethylene/propylene/diene 기반으로 olefin 연계 가능하나 자동차·산업재 중심 성숙시장</t>
    <phoneticPr fontId="8" type="noConversion"/>
  </si>
  <si>
    <t>중국 신규 MMA 및 C2 route 확대로 공급 부담, 국내 생산</t>
    <phoneticPr fontId="8" type="noConversion"/>
  </si>
  <si>
    <t>Chlorine/propylene 계열 연계 가능하나 PVC chain 직접성은 제한적</t>
    <phoneticPr fontId="8" type="noConversion"/>
  </si>
  <si>
    <t>소규모 niche solvent로 대형 신규 프로젝트는 제한적이나 중국 공급 가능, 국내는 수입 비중이 높은 편</t>
    <phoneticPr fontId="8" type="noConversion"/>
  </si>
  <si>
    <t>Epoxy resin 핵심 원료로 propylene/chlorine 계열 연계 가능하나 성숙시장</t>
    <phoneticPr fontId="8" type="noConversion"/>
  </si>
  <si>
    <t>중국 phenol/acetone 신규설비와 아시아 공급 부담, 국내 생산</t>
    <phoneticPr fontId="8" type="noConversion"/>
  </si>
  <si>
    <t>Cyclohexane/nylon 66 chain 연계 가능하나 시장은 성숙 단계</t>
    <phoneticPr fontId="8" type="noConversion"/>
  </si>
  <si>
    <t>배터리용 고순도 수요는 성장하나 중국 용제 생산능력 과잉·증설, 국내 일부 수입 의존</t>
    <phoneticPr fontId="8" type="noConversion"/>
  </si>
  <si>
    <t>NCC C5/diene 계열 연계 가능하나 rubber chain은 성숙시장</t>
    <phoneticPr fontId="8" type="noConversion"/>
  </si>
  <si>
    <t>ABS 연계 범용 수지로 중국 공급 확대, 국내 생산</t>
    <phoneticPr fontId="8" type="noConversion"/>
  </si>
  <si>
    <t>NCC C5 by-product 연계 가능하나 resin 용도는 성숙시장</t>
    <phoneticPr fontId="8" type="noConversion"/>
  </si>
  <si>
    <t>중국 공급과잉 및 성숙시장, 국내 생산기반 존재</t>
    <phoneticPr fontId="8" type="noConversion"/>
  </si>
  <si>
    <t>Isoprene downstream rubber로 C5 연계 가능하나 성숙시장</t>
    <phoneticPr fontId="8" type="noConversion"/>
  </si>
  <si>
    <t>중국 NBR/NB latex 증설과 가격경쟁, 국내 생산기반 존재</t>
    <phoneticPr fontId="8" type="noConversion"/>
  </si>
  <si>
    <t>Styrene/isoprene block copolymer로 C5/aromatics 연계 가능하나 시장은 성숙 단계</t>
    <phoneticPr fontId="8" type="noConversion"/>
  </si>
  <si>
    <t>대부분 oxo alcohol captive 중간체이며 중국 oxo 증설, 국내 일관 생산 가능</t>
    <phoneticPr fontId="8" type="noConversion"/>
  </si>
  <si>
    <t>i-butyraldehyde</t>
    <phoneticPr fontId="8" type="noConversion"/>
  </si>
  <si>
    <t>생산자와 설비가 제한된 specialty synthetic rubber, 의료·고성능 Grade 장벽 및 국내 수입 의존</t>
    <phoneticPr fontId="8" type="noConversion"/>
  </si>
  <si>
    <t>PG/MA/PA 등과 연결되는 resin platform이나 전체 시장은 성숙 단계</t>
    <phoneticPr fontId="8" type="noConversion"/>
  </si>
  <si>
    <t>중국 polyether polyol 증설과 가격경쟁, 국내 생산기반 존재</t>
    <phoneticPr fontId="8" type="noConversion"/>
  </si>
  <si>
    <t>DCPD/anhydride/styrene 계열로 일부 연계 가능하나 건설·복합재 중심 성숙시장</t>
    <phoneticPr fontId="8" type="noConversion"/>
  </si>
  <si>
    <t>supply_value_overall_score</t>
    <phoneticPr fontId="5" type="noConversion"/>
  </si>
  <si>
    <t>total_score</t>
    <phoneticPr fontId="5" type="noConversion"/>
  </si>
  <si>
    <t>C5 fraction에서 분리한 DCPD를 직접 고도화하는 hydrocarbon resin으로 C5 부산물 활용 및 인접 downstream 확장성이 높음</t>
  </si>
  <si>
    <t>S2,S3,S8,S12</t>
  </si>
  <si>
    <t>DCPD/C5 부산물 연계는 직접적이나 전용 ROMP·RIM 기술과 별도 성형·고객 기반이 필요</t>
  </si>
  <si>
    <t>S2,S3,S8,S11</t>
  </si>
  <si>
    <t>C5/DCPD 유래 cyclic monomer 활용 가능성은 있으나 norbornene 제조·중합·수첨 등 다단계 신규 intermediate와 specialty polymer 기반이 필요</t>
  </si>
  <si>
    <t>S2,S3,S8,S13</t>
  </si>
  <si>
    <t>C4 butadiene과 C5 cyclopentadiene 계열을 활용하며 Shaheen ethylene·propylene 기반 EPDM chain의 핵심 diene comonomer로 확장 가능</t>
  </si>
  <si>
    <t>S2,S3,S6,S8</t>
  </si>
  <si>
    <t>CO2·refinery off-gas 활용 가능성은 있으나 기존 olefin/aromatics 및 보유 intermediate와 직접 연결되는 value chain은 제한</t>
  </si>
  <si>
    <t>Methanol·CO 기반 신규 carbonylation chain이 필요하며 현재/예정 자산과의 직접 원료·downstream 연계가 낮음</t>
  </si>
  <si>
    <t>Methanol 산화 downstream이나 현재 Methanol 생산기반이 없어 기존 value chain의 직접 연장으로 보기 어려움</t>
  </si>
  <si>
    <t>cracker C5 fraction에서 회수 가능한 핵심 monomer이나 별도 분리·정제와 후속 resin 사업 기반이 필요</t>
  </si>
  <si>
    <t>C5 fraction의 piperylene을 직접 polymerization하는 부산물 고도화 제품으로 resin downstream 확장성이 높음</t>
  </si>
  <si>
    <t>RIM/ROMP 기반 proprietary resin system으로 공급자·Grade·가공기술이 제한적이며 국내 상업 생산기반이 확인되지 않음</t>
  </si>
  <si>
    <t>광학·의료용 고순도 polymer로 소수 공급자와 품질·인증 장벽이 존재하고 국내 생산기반이 없으나 일본·중국의 증설·국산화 가능성은 반영</t>
  </si>
  <si>
    <t>EPDM용 특수 diene으로 공급자가 제한되고 고순도·고객 승인 장벽이 존재하며 국내 상업 생산기반은 확인되지 않음</t>
  </si>
  <si>
    <t>글로벌 대형 생산기반과 신규 프로젝트가 지속되는 범용 commodity이며 중국 석탄계 생산의 가격 영향이 크나 국내 대규모 생산기반 부재로 수입의존</t>
  </si>
  <si>
    <t>중국 중심의 대규모 생산능력·증설과 범용 가격경쟁이 존재하고 국내 acetyls 생산기반이 있어 수입의존도가 높다고 보기 어려움</t>
  </si>
  <si>
    <t>수용액 formalin 중심의 지역형·captive 시장으로 대형 merchant 증설과 장거리 중국 저가품 경쟁은 제한적이나 국내 다수 생산기반으로 수입의존도는 낮음</t>
  </si>
  <si>
    <t>NCC C5 부산물 기반으로 공급 탄력성이 낮고 고순도 분리·조성 관리가 필요하며 전용 대형 증설은 제한적이나 국내 C5 계열 공급은 가능</t>
  </si>
  <si>
    <t>범용 C5 tackifier는 중국·아시아 다수 생산자와 저가 경쟁이 존재하고 국내 hydrocarbon resin 생산기반도 있어 구조적 타이트·수입의존성이 낮음</t>
  </si>
  <si>
    <r>
      <rPr>
        <sz val="10"/>
        <rFont val="맑은 고딕"/>
        <family val="3"/>
        <charset val="129"/>
      </rPr>
      <t>범용</t>
    </r>
    <r>
      <rPr>
        <sz val="10"/>
        <rFont val="Arial"/>
        <family val="2"/>
      </rPr>
      <t xml:space="preserve"> DCPD</t>
    </r>
    <r>
      <rPr>
        <sz val="10"/>
        <rFont val="맑은 고딕"/>
        <family val="3"/>
        <charset val="129"/>
      </rPr>
      <t>계</t>
    </r>
    <r>
      <rPr>
        <sz val="10"/>
        <rFont val="Arial"/>
        <family val="2"/>
      </rPr>
      <t xml:space="preserve"> hydrocarbon resin </t>
    </r>
    <r>
      <rPr>
        <sz val="10"/>
        <rFont val="맑은 고딕"/>
        <family val="3"/>
        <charset val="129"/>
      </rPr>
      <t>기준으로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아시아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공급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다변화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중국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가격경쟁이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존재하고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국내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생산기반도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있어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구조적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타이트</t>
    </r>
    <r>
      <rPr>
        <sz val="10"/>
        <rFont val="Arial"/>
        <family val="2"/>
      </rPr>
      <t>·</t>
    </r>
    <r>
      <rPr>
        <sz val="10"/>
        <rFont val="맑은 고딕"/>
        <family val="3"/>
        <charset val="129"/>
      </rPr>
      <t>수입의존으로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보기</t>
    </r>
    <r>
      <rPr>
        <sz val="10"/>
        <rFont val="Arial"/>
        <family val="2"/>
      </rPr>
      <t xml:space="preserve"> </t>
    </r>
    <r>
      <rPr>
        <sz val="10"/>
        <rFont val="맑은 고딕"/>
        <family val="3"/>
        <charset val="129"/>
      </rPr>
      <t>어려움</t>
    </r>
    <phoneticPr fontId="8" type="noConversion"/>
  </si>
  <si>
    <t>범용 DCPD계 hydrocarbon resin 기준으로 아시아 공급 다변화·중국 가격경쟁이 존재하고 국내 생산기반도 있어 구조적 타이트·수입의존으로 보기 어려움</t>
  </si>
  <si>
    <t>Methyl Methacrylate</t>
    <phoneticPr fontId="5" type="noConversion"/>
  </si>
  <si>
    <t>Polymethyl_Methacrylate (PMMA)</t>
    <phoneticPr fontId="5" type="noConversion"/>
  </si>
  <si>
    <t>해인기업</t>
    <phoneticPr fontId="5" type="noConversion"/>
  </si>
  <si>
    <t>S060</t>
    <phoneticPr fontId="5" type="noConversion"/>
  </si>
  <si>
    <t>Styrenic Block Copolymers</t>
    <phoneticPr fontId="5" type="noConversion"/>
  </si>
  <si>
    <t>Polyisoprene Elastomers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</si>
</sst>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0.0%"/>
    <numFmt numFmtId="177" formatCode="0.0_);[Red]\(0.0\)"/>
  </numFmts>
  <fonts count="48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0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1"/>
      <color rgb="FF000000"/>
      <name val="맑은 고딕"/>
      <family val="3"/>
      <charset val="129"/>
      <scheme val="major"/>
    </font>
    <font>
      <vertAlign val="subscript"/>
      <sz val="11"/>
      <color rgb="FF000000"/>
      <name val="맑은 고딕"/>
      <family val="3"/>
      <charset val="129"/>
      <scheme val="major"/>
    </font>
    <font>
      <strike/>
      <sz val="11"/>
      <color rgb="FFFF0000"/>
      <name val="맑은 고딕"/>
      <family val="3"/>
      <charset val="129"/>
      <scheme val="minor"/>
    </font>
    <font>
      <sz val="11"/>
      <color rgb="FFFF0000"/>
      <name val="맑은 고딕"/>
      <family val="2"/>
      <scheme val="minor"/>
    </font>
    <font>
      <sz val="8"/>
      <name val="Arial"/>
      <family val="2"/>
      <charset val="238"/>
    </font>
    <font>
      <sz val="7"/>
      <color theme="1"/>
      <name val="Arial"/>
      <family val="2"/>
    </font>
    <font>
      <sz val="8"/>
      <name val="Arial"/>
      <family val="2"/>
    </font>
    <font>
      <sz val="11"/>
      <color theme="1"/>
      <name val="맑은 고딕"/>
      <family val="2"/>
      <scheme val="minor"/>
    </font>
    <font>
      <b/>
      <sz val="11"/>
      <color theme="1"/>
      <name val="맑은 고딕"/>
      <family val="3"/>
      <charset val="129"/>
      <scheme val="minor"/>
    </font>
    <font>
      <b/>
      <sz val="7"/>
      <color rgb="FF000000"/>
      <name val="Arial"/>
      <family val="2"/>
    </font>
    <font>
      <b/>
      <sz val="7"/>
      <color rgb="FF000000"/>
      <name val="맑은 고딕"/>
      <family val="2"/>
      <charset val="129"/>
    </font>
    <font>
      <sz val="8"/>
      <color theme="1"/>
      <name val="Arial"/>
      <family val="2"/>
    </font>
    <font>
      <sz val="8"/>
      <name val="맑은 고딕"/>
      <family val="2"/>
      <charset val="129"/>
    </font>
    <font>
      <b/>
      <sz val="8"/>
      <name val="Arial"/>
      <family val="2"/>
      <charset val="238"/>
    </font>
    <font>
      <sz val="8"/>
      <color theme="1"/>
      <name val="Arial"/>
      <family val="3"/>
      <charset val="161"/>
    </font>
    <font>
      <sz val="8"/>
      <name val="Segoe UI Symbol"/>
      <family val="2"/>
    </font>
    <font>
      <sz val="8"/>
      <color theme="1"/>
      <name val="맑은 고딕"/>
      <family val="2"/>
      <charset val="129"/>
    </font>
    <font>
      <sz val="8"/>
      <color theme="1"/>
      <name val="Segoe UI Symbol"/>
      <family val="2"/>
    </font>
    <font>
      <sz val="8"/>
      <color rgb="FFFF0000"/>
      <name val="Arial"/>
      <family val="2"/>
    </font>
    <font>
      <sz val="8"/>
      <color rgb="FFFF0000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</font>
    <font>
      <sz val="11"/>
      <color rgb="FF0000FF"/>
      <name val="맑은 고딕"/>
      <family val="2"/>
    </font>
    <font>
      <sz val="11"/>
      <name val="맑은 고딕"/>
      <family val="2"/>
    </font>
    <font>
      <sz val="11"/>
      <name val="Carlito"/>
    </font>
    <font>
      <b/>
      <sz val="16"/>
      <color rgb="FFFFFFFF"/>
      <name val="Carlito"/>
    </font>
    <font>
      <i/>
      <sz val="10"/>
      <color rgb="FF244B2A"/>
      <name val="Carlito"/>
    </font>
    <font>
      <b/>
      <sz val="11"/>
      <name val="Carlito"/>
    </font>
    <font>
      <b/>
      <sz val="11"/>
      <color rgb="FF1F1F1F"/>
      <name val="Carlito"/>
    </font>
    <font>
      <sz val="8"/>
      <name val="돋움"/>
      <family val="3"/>
      <charset val="129"/>
    </font>
    <font>
      <b/>
      <sz val="11"/>
      <color rgb="FFFFFFFF"/>
      <name val="맑은 고딕"/>
      <family val="2"/>
    </font>
    <font>
      <b/>
      <sz val="11"/>
      <color rgb="FFFFFFFF"/>
      <name val="맑은 고딕"/>
      <family val="3"/>
      <charset val="129"/>
    </font>
    <font>
      <b/>
      <sz val="11"/>
      <name val="맑은 고딕"/>
      <family val="3"/>
      <charset val="129"/>
    </font>
    <font>
      <sz val="11"/>
      <color rgb="FF274E13"/>
      <name val="Carlito"/>
    </font>
    <font>
      <sz val="11"/>
      <color rgb="FF990000"/>
      <name val="Carlito"/>
    </font>
    <font>
      <sz val="10"/>
      <name val="Carlito"/>
    </font>
    <font>
      <sz val="10"/>
      <name val="맑은 고딕"/>
      <family val="3"/>
      <charset val="129"/>
    </font>
    <font>
      <sz val="1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theme="1"/>
      </patternFill>
    </fill>
    <fill>
      <patternFill patternType="solid">
        <fgColor rgb="FFD9D9D9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2F6B3A"/>
      </patternFill>
    </fill>
    <fill>
      <patternFill patternType="solid">
        <fgColor rgb="FFDCEFD8"/>
      </patternFill>
    </fill>
    <fill>
      <patternFill patternType="solid">
        <fgColor rgb="FFF3F7F1"/>
      </patternFill>
    </fill>
    <fill>
      <patternFill patternType="solid">
        <fgColor rgb="FFB7D7A8"/>
      </patternFill>
    </fill>
    <fill>
      <patternFill patternType="solid">
        <fgColor rgb="FFFF0000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FFFFFF"/>
      </patternFill>
    </fill>
    <fill>
      <patternFill patternType="solid">
        <fgColor rgb="FFB7E1F2"/>
      </patternFill>
    </fill>
    <fill>
      <patternFill patternType="solid">
        <fgColor rgb="FFBFE3F2"/>
      </patternFill>
    </fill>
  </fills>
  <borders count="36">
    <border>
      <left/>
      <right/>
      <top/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A8B6A2"/>
      </left>
      <right/>
      <top style="thin">
        <color rgb="FFA8B6A2"/>
      </top>
      <bottom style="thin">
        <color rgb="FFA8B6A2"/>
      </bottom>
      <diagonal/>
    </border>
    <border>
      <left/>
      <right/>
      <top style="thin">
        <color rgb="FFA8B6A2"/>
      </top>
      <bottom style="thin">
        <color rgb="FFA8B6A2"/>
      </bottom>
      <diagonal/>
    </border>
    <border>
      <left/>
      <right style="thin">
        <color rgb="FFA8B6A2"/>
      </right>
      <top style="thin">
        <color rgb="FFA8B6A2"/>
      </top>
      <bottom style="thin">
        <color rgb="FFA8B6A2"/>
      </bottom>
      <diagonal/>
    </border>
    <border>
      <left style="thin">
        <color rgb="FF6B7C63"/>
      </left>
      <right/>
      <top style="thin">
        <color rgb="FF6B7C63"/>
      </top>
      <bottom style="thin">
        <color rgb="FF6B7C63"/>
      </bottom>
      <diagonal/>
    </border>
    <border>
      <left/>
      <right/>
      <top style="thin">
        <color rgb="FF6B7C63"/>
      </top>
      <bottom style="thin">
        <color rgb="FF6B7C63"/>
      </bottom>
      <diagonal/>
    </border>
    <border>
      <left/>
      <right style="thin">
        <color rgb="FF6B7C63"/>
      </right>
      <top style="thin">
        <color rgb="FF6B7C63"/>
      </top>
      <bottom style="thin">
        <color rgb="FF6B7C63"/>
      </bottom>
      <diagonal/>
    </border>
    <border>
      <left style="hair">
        <color rgb="FFD9D9D9"/>
      </left>
      <right/>
      <top style="hair">
        <color rgb="FFD9D9D9"/>
      </top>
      <bottom/>
      <diagonal/>
    </border>
    <border>
      <left/>
      <right/>
      <top style="hair">
        <color rgb="FFD9D9D9"/>
      </top>
      <bottom/>
      <diagonal/>
    </border>
    <border>
      <left/>
      <right style="hair">
        <color rgb="FFD9D9D9"/>
      </right>
      <top style="hair">
        <color rgb="FFD9D9D9"/>
      </top>
      <bottom/>
      <diagonal/>
    </border>
    <border>
      <left style="hair">
        <color rgb="FFD9D9D9"/>
      </left>
      <right/>
      <top/>
      <bottom/>
      <diagonal/>
    </border>
    <border>
      <left/>
      <right style="hair">
        <color rgb="FFD9D9D9"/>
      </right>
      <top/>
      <bottom/>
      <diagonal/>
    </border>
    <border>
      <left style="hair">
        <color rgb="FFD9D9D9"/>
      </left>
      <right/>
      <top/>
      <bottom style="hair">
        <color rgb="FFD9D9D9"/>
      </bottom>
      <diagonal/>
    </border>
    <border>
      <left/>
      <right/>
      <top/>
      <bottom style="hair">
        <color rgb="FFD9D9D9"/>
      </bottom>
      <diagonal/>
    </border>
    <border>
      <left/>
      <right style="hair">
        <color rgb="FFD9D9D9"/>
      </right>
      <top/>
      <bottom style="hair">
        <color rgb="FFD9D9D9"/>
      </bottom>
      <diagonal/>
    </border>
    <border>
      <left/>
      <right/>
      <top/>
      <bottom style="thin">
        <color rgb="FF00B0F0"/>
      </bottom>
      <diagonal/>
    </border>
    <border>
      <left/>
      <right/>
      <top style="thin">
        <color rgb="FF00A6D6"/>
      </top>
      <bottom/>
      <diagonal/>
    </border>
    <border>
      <left/>
      <right/>
      <top/>
      <bottom style="thin">
        <color rgb="FF00A6D6"/>
      </bottom>
      <diagonal/>
    </border>
  </borders>
  <cellStyleXfs count="14">
    <xf numFmtId="0" fontId="0" fillId="0" borderId="0"/>
    <xf numFmtId="0" fontId="14" fillId="0" borderId="0" applyNumberFormat="0" applyFill="0" applyBorder="0">
      <alignment horizontal="left" vertical="top" indent="1"/>
    </xf>
    <xf numFmtId="0" fontId="15" fillId="0" borderId="0">
      <alignment horizontal="left" vertical="center" wrapText="1"/>
    </xf>
    <xf numFmtId="0" fontId="16" fillId="7" borderId="0" applyNumberFormat="0" applyFont="0" applyBorder="0" applyAlignment="0">
      <alignment horizontal="left" vertical="center"/>
    </xf>
    <xf numFmtId="9" fontId="17" fillId="0" borderId="0" applyFont="0" applyFill="0" applyBorder="0" applyAlignment="0" applyProtection="0">
      <alignment vertical="center"/>
    </xf>
    <xf numFmtId="0" fontId="4" fillId="0" borderId="0">
      <alignment vertical="center"/>
    </xf>
    <xf numFmtId="0" fontId="17" fillId="0" borderId="0"/>
    <xf numFmtId="0" fontId="23" fillId="0" borderId="12" applyNumberFormat="0" applyAlignment="0">
      <alignment horizontal="left" vertical="center"/>
    </xf>
    <xf numFmtId="0" fontId="30" fillId="0" borderId="0" applyNumberFormat="0" applyFill="0" applyBorder="0" applyAlignment="0" applyProtection="0"/>
    <xf numFmtId="0" fontId="2" fillId="0" borderId="0">
      <alignment vertical="center"/>
    </xf>
    <xf numFmtId="41" fontId="17" fillId="0" borderId="0" applyFont="0" applyFill="0" applyBorder="0" applyAlignment="0" applyProtection="0">
      <alignment vertical="center"/>
    </xf>
    <xf numFmtId="0" fontId="34" fillId="0" borderId="0"/>
    <xf numFmtId="0" fontId="34" fillId="0" borderId="0"/>
    <xf numFmtId="0" fontId="1" fillId="0" borderId="0">
      <alignment vertical="center"/>
    </xf>
  </cellStyleXfs>
  <cellXfs count="182">
    <xf numFmtId="0" fontId="0" fillId="0" borderId="0" xfId="0"/>
    <xf numFmtId="0" fontId="0" fillId="0" borderId="0" xfId="0" applyAlignment="1">
      <alignment vertical="center" wrapText="1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6" fillId="2" borderId="4" xfId="0" applyFont="1" applyFill="1" applyBorder="1"/>
    <xf numFmtId="0" fontId="6" fillId="2" borderId="0" xfId="0" applyFont="1" applyFill="1"/>
    <xf numFmtId="0" fontId="6" fillId="2" borderId="5" xfId="0" applyFont="1" applyFill="1" applyBorder="1"/>
    <xf numFmtId="0" fontId="7" fillId="0" borderId="0" xfId="0" applyFont="1"/>
    <xf numFmtId="0" fontId="0" fillId="0" borderId="5" xfId="0" applyBorder="1"/>
    <xf numFmtId="0" fontId="7" fillId="0" borderId="2" xfId="0" applyFont="1" applyBorder="1"/>
    <xf numFmtId="0" fontId="0" fillId="0" borderId="0" xfId="0" applyAlignment="1">
      <alignment vertical="center"/>
    </xf>
    <xf numFmtId="15" fontId="0" fillId="0" borderId="0" xfId="0" applyNumberFormat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vertical="center"/>
    </xf>
    <xf numFmtId="0" fontId="12" fillId="0" borderId="0" xfId="0" applyFont="1"/>
    <xf numFmtId="0" fontId="0" fillId="3" borderId="0" xfId="0" applyFill="1"/>
    <xf numFmtId="0" fontId="0" fillId="3" borderId="0" xfId="0" applyFill="1" applyAlignment="1">
      <alignment vertical="center" wrapText="1"/>
    </xf>
    <xf numFmtId="0" fontId="12" fillId="3" borderId="0" xfId="0" applyFont="1" applyFill="1"/>
    <xf numFmtId="0" fontId="12" fillId="0" borderId="0" xfId="0" applyFont="1" applyAlignment="1">
      <alignment vertical="center" wrapText="1"/>
    </xf>
    <xf numFmtId="0" fontId="0" fillId="4" borderId="0" xfId="0" applyFill="1"/>
    <xf numFmtId="0" fontId="0" fillId="4" borderId="0" xfId="0" applyFill="1" applyAlignment="1">
      <alignment vertical="center" wrapText="1"/>
    </xf>
    <xf numFmtId="0" fontId="13" fillId="0" borderId="0" xfId="0" applyFont="1" applyAlignment="1">
      <alignment vertical="center" wrapText="1"/>
    </xf>
    <xf numFmtId="0" fontId="6" fillId="6" borderId="0" xfId="0" applyFont="1" applyFill="1"/>
    <xf numFmtId="0" fontId="6" fillId="6" borderId="4" xfId="0" applyFont="1" applyFill="1" applyBorder="1"/>
    <xf numFmtId="0" fontId="6" fillId="2" borderId="4" xfId="0" applyFont="1" applyFill="1" applyBorder="1" applyAlignment="1">
      <alignment vertical="center"/>
    </xf>
    <xf numFmtId="0" fontId="6" fillId="2" borderId="0" xfId="0" applyFont="1" applyFill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0" xfId="0" applyAlignment="1">
      <alignment horizontal="left"/>
    </xf>
    <xf numFmtId="0" fontId="4" fillId="0" borderId="0" xfId="5">
      <alignment vertical="center"/>
    </xf>
    <xf numFmtId="0" fontId="6" fillId="2" borderId="1" xfId="0" applyFont="1" applyFill="1" applyBorder="1"/>
    <xf numFmtId="0" fontId="6" fillId="2" borderId="2" xfId="0" applyFont="1" applyFill="1" applyBorder="1"/>
    <xf numFmtId="0" fontId="4" fillId="0" borderId="8" xfId="5" applyBorder="1">
      <alignment vertical="center"/>
    </xf>
    <xf numFmtId="0" fontId="17" fillId="0" borderId="8" xfId="6" applyBorder="1" applyAlignment="1">
      <alignment vertical="center"/>
    </xf>
    <xf numFmtId="0" fontId="18" fillId="0" borderId="10" xfId="5" applyFont="1" applyBorder="1" applyAlignment="1">
      <alignment horizontal="center" vertical="center"/>
    </xf>
    <xf numFmtId="0" fontId="4" fillId="0" borderId="10" xfId="5" applyBorder="1">
      <alignment vertical="center"/>
    </xf>
    <xf numFmtId="0" fontId="18" fillId="0" borderId="10" xfId="6" applyFont="1" applyBorder="1" applyAlignment="1">
      <alignment horizontal="center"/>
    </xf>
    <xf numFmtId="0" fontId="21" fillId="0" borderId="6" xfId="5" applyFont="1" applyBorder="1" applyAlignment="1">
      <alignment horizontal="left" vertical="center" wrapText="1"/>
    </xf>
    <xf numFmtId="0" fontId="14" fillId="0" borderId="6" xfId="1" applyFill="1" applyBorder="1" applyAlignment="1">
      <alignment horizontal="left" vertical="center"/>
    </xf>
    <xf numFmtId="0" fontId="14" fillId="0" borderId="7" xfId="1" applyFill="1" applyBorder="1" applyAlignment="1">
      <alignment horizontal="left" vertical="center"/>
    </xf>
    <xf numFmtId="0" fontId="22" fillId="0" borderId="7" xfId="1" applyFont="1" applyFill="1" applyBorder="1" applyAlignment="1">
      <alignment horizontal="center" vertical="center"/>
    </xf>
    <xf numFmtId="176" fontId="21" fillId="0" borderId="7" xfId="7" applyNumberFormat="1" applyFont="1" applyBorder="1" applyAlignment="1">
      <alignment horizontal="right"/>
    </xf>
    <xf numFmtId="0" fontId="14" fillId="0" borderId="7" xfId="1" applyFill="1" applyBorder="1" applyAlignment="1">
      <alignment horizontal="center" vertical="center"/>
    </xf>
    <xf numFmtId="0" fontId="25" fillId="0" borderId="7" xfId="1" applyFont="1" applyFill="1" applyBorder="1" applyAlignment="1">
      <alignment horizontal="center" vertical="center"/>
    </xf>
    <xf numFmtId="0" fontId="21" fillId="0" borderId="7" xfId="5" applyFont="1" applyBorder="1" applyAlignment="1">
      <alignment horizontal="left" vertical="center" wrapText="1"/>
    </xf>
    <xf numFmtId="0" fontId="21" fillId="0" borderId="7" xfId="5" applyFont="1" applyBorder="1" applyAlignment="1">
      <alignment horizontal="center" vertical="center" wrapText="1"/>
    </xf>
    <xf numFmtId="0" fontId="21" fillId="0" borderId="6" xfId="1" applyFont="1" applyFill="1" applyBorder="1" applyAlignment="1">
      <alignment horizontal="left" vertical="center"/>
    </xf>
    <xf numFmtId="0" fontId="21" fillId="0" borderId="7" xfId="1" applyFont="1" applyFill="1" applyBorder="1" applyAlignment="1">
      <alignment horizontal="left" vertical="center"/>
    </xf>
    <xf numFmtId="176" fontId="21" fillId="0" borderId="7" xfId="7" applyNumberFormat="1" applyFont="1" applyBorder="1" applyAlignment="1">
      <alignment horizontal="center"/>
    </xf>
    <xf numFmtId="0" fontId="21" fillId="0" borderId="7" xfId="1" applyFont="1" applyFill="1" applyBorder="1" applyAlignment="1">
      <alignment horizontal="center" vertical="center"/>
    </xf>
    <xf numFmtId="0" fontId="21" fillId="0" borderId="0" xfId="2" applyFont="1">
      <alignment horizontal="left" vertical="center" wrapText="1"/>
    </xf>
    <xf numFmtId="0" fontId="21" fillId="0" borderId="6" xfId="2" applyFont="1" applyBorder="1">
      <alignment horizontal="left" vertical="center" wrapText="1"/>
    </xf>
    <xf numFmtId="0" fontId="21" fillId="0" borderId="7" xfId="2" applyFont="1" applyBorder="1">
      <alignment horizontal="left" vertical="center" wrapText="1"/>
    </xf>
    <xf numFmtId="0" fontId="21" fillId="0" borderId="6" xfId="1" applyFont="1" applyFill="1" applyBorder="1" applyAlignment="1">
      <alignment horizontal="left" vertical="center" wrapText="1"/>
    </xf>
    <xf numFmtId="0" fontId="21" fillId="0" borderId="7" xfId="1" applyFont="1" applyFill="1" applyBorder="1" applyAlignment="1">
      <alignment horizontal="left" vertical="center" wrapText="1"/>
    </xf>
    <xf numFmtId="0" fontId="27" fillId="0" borderId="7" xfId="5" applyFont="1" applyBorder="1" applyAlignment="1">
      <alignment horizontal="center" vertical="center" wrapText="1"/>
    </xf>
    <xf numFmtId="0" fontId="21" fillId="0" borderId="6" xfId="5" applyFont="1" applyBorder="1" applyAlignment="1">
      <alignment horizontal="left" vertical="center"/>
    </xf>
    <xf numFmtId="0" fontId="21" fillId="0" borderId="7" xfId="5" applyFont="1" applyBorder="1" applyAlignment="1">
      <alignment horizontal="left" vertical="center"/>
    </xf>
    <xf numFmtId="0" fontId="21" fillId="0" borderId="7" xfId="5" applyFont="1" applyBorder="1" applyAlignment="1">
      <alignment horizontal="center" vertical="center"/>
    </xf>
    <xf numFmtId="0" fontId="21" fillId="0" borderId="7" xfId="5" quotePrefix="1" applyFont="1" applyBorder="1" applyAlignment="1">
      <alignment horizontal="left" vertical="center" wrapText="1"/>
    </xf>
    <xf numFmtId="0" fontId="26" fillId="0" borderId="7" xfId="5" applyFont="1" applyBorder="1" applyAlignment="1">
      <alignment horizontal="center" vertical="center"/>
    </xf>
    <xf numFmtId="0" fontId="21" fillId="0" borderId="7" xfId="1" applyFont="1" applyFill="1" applyBorder="1" applyAlignment="1">
      <alignment horizontal="center" vertical="center" wrapText="1"/>
    </xf>
    <xf numFmtId="0" fontId="4" fillId="0" borderId="0" xfId="5" applyAlignment="1">
      <alignment horizontal="center" vertical="center"/>
    </xf>
    <xf numFmtId="176" fontId="24" fillId="0" borderId="12" xfId="7" applyNumberFormat="1" applyFont="1" applyAlignment="1">
      <alignment horizontal="center"/>
    </xf>
    <xf numFmtId="176" fontId="21" fillId="0" borderId="12" xfId="7" applyNumberFormat="1" applyFont="1" applyAlignment="1">
      <alignment horizontal="right"/>
    </xf>
    <xf numFmtId="176" fontId="21" fillId="0" borderId="12" xfId="7" applyNumberFormat="1" applyFont="1" applyAlignment="1">
      <alignment horizontal="center"/>
    </xf>
    <xf numFmtId="0" fontId="19" fillId="3" borderId="13" xfId="3" applyFont="1" applyFill="1" applyBorder="1" applyAlignment="1">
      <alignment horizontal="center" vertical="center"/>
    </xf>
    <xf numFmtId="0" fontId="19" fillId="3" borderId="9" xfId="3" applyFont="1" applyFill="1" applyBorder="1" applyAlignment="1">
      <alignment horizontal="center" vertical="center"/>
    </xf>
    <xf numFmtId="0" fontId="20" fillId="3" borderId="9" xfId="3" applyFont="1" applyFill="1" applyBorder="1" applyAlignment="1">
      <alignment horizontal="center" vertical="center"/>
    </xf>
    <xf numFmtId="0" fontId="19" fillId="3" borderId="14" xfId="3" applyFont="1" applyFill="1" applyBorder="1" applyAlignment="1">
      <alignment horizontal="center" vertical="center"/>
    </xf>
    <xf numFmtId="0" fontId="21" fillId="0" borderId="15" xfId="5" applyFont="1" applyBorder="1" applyAlignment="1">
      <alignment horizontal="center" vertical="center" wrapText="1"/>
    </xf>
    <xf numFmtId="0" fontId="21" fillId="0" borderId="8" xfId="5" applyFont="1" applyBorder="1" applyAlignment="1">
      <alignment horizontal="left" vertical="center" wrapText="1"/>
    </xf>
    <xf numFmtId="0" fontId="21" fillId="0" borderId="8" xfId="1" applyFont="1" applyFill="1" applyBorder="1" applyAlignment="1">
      <alignment horizontal="left" vertical="center"/>
    </xf>
    <xf numFmtId="0" fontId="21" fillId="0" borderId="15" xfId="1" applyFont="1" applyFill="1" applyBorder="1" applyAlignment="1">
      <alignment horizontal="left" vertical="center"/>
    </xf>
    <xf numFmtId="0" fontId="21" fillId="0" borderId="15" xfId="1" applyFont="1" applyFill="1" applyBorder="1" applyAlignment="1">
      <alignment horizontal="center" vertical="center"/>
    </xf>
    <xf numFmtId="176" fontId="21" fillId="0" borderId="15" xfId="7" applyNumberFormat="1" applyFont="1" applyBorder="1" applyAlignment="1">
      <alignment horizontal="right"/>
    </xf>
    <xf numFmtId="176" fontId="21" fillId="0" borderId="16" xfId="7" applyNumberFormat="1" applyFont="1" applyBorder="1" applyAlignment="1">
      <alignment horizontal="right"/>
    </xf>
    <xf numFmtId="10" fontId="17" fillId="0" borderId="10" xfId="4" applyNumberFormat="1" applyBorder="1" applyAlignment="1"/>
    <xf numFmtId="0" fontId="7" fillId="0" borderId="2" xfId="0" applyFont="1" applyBorder="1" applyAlignment="1">
      <alignment vertical="center" wrapText="1"/>
    </xf>
    <xf numFmtId="177" fontId="0" fillId="5" borderId="0" xfId="4" applyNumberFormat="1" applyFont="1" applyFill="1" applyAlignment="1"/>
    <xf numFmtId="0" fontId="0" fillId="0" borderId="0" xfId="0" pivotButton="1"/>
    <xf numFmtId="177" fontId="0" fillId="8" borderId="0" xfId="4" applyNumberFormat="1" applyFont="1" applyFill="1" applyAlignment="1"/>
    <xf numFmtId="0" fontId="0" fillId="0" borderId="6" xfId="6" applyFont="1" applyBorder="1"/>
    <xf numFmtId="0" fontId="9" fillId="0" borderId="11" xfId="6" applyFont="1" applyBorder="1" applyAlignment="1">
      <alignment vertical="center"/>
    </xf>
    <xf numFmtId="0" fontId="6" fillId="2" borderId="2" xfId="0" applyFont="1" applyFill="1" applyBorder="1" applyAlignment="1">
      <alignment wrapText="1"/>
    </xf>
    <xf numFmtId="0" fontId="18" fillId="0" borderId="6" xfId="6" applyFont="1" applyBorder="1" applyAlignment="1">
      <alignment horizontal="center" wrapText="1"/>
    </xf>
    <xf numFmtId="0" fontId="17" fillId="0" borderId="6" xfId="6" applyBorder="1" applyAlignment="1">
      <alignment wrapText="1"/>
    </xf>
    <xf numFmtId="0" fontId="0" fillId="0" borderId="6" xfId="6" applyFont="1" applyBorder="1" applyAlignment="1">
      <alignment wrapText="1"/>
    </xf>
    <xf numFmtId="0" fontId="9" fillId="0" borderId="11" xfId="6" applyFont="1" applyBorder="1" applyAlignment="1">
      <alignment vertical="center" wrapText="1"/>
    </xf>
    <xf numFmtId="0" fontId="0" fillId="0" borderId="0" xfId="0" applyAlignment="1">
      <alignment wrapText="1"/>
    </xf>
    <xf numFmtId="0" fontId="4" fillId="0" borderId="0" xfId="5" applyAlignment="1">
      <alignment vertical="center" wrapText="1"/>
    </xf>
    <xf numFmtId="0" fontId="6" fillId="2" borderId="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176" fontId="0" fillId="0" borderId="0" xfId="0" applyNumberFormat="1"/>
    <xf numFmtId="176" fontId="0" fillId="0" borderId="10" xfId="4" applyNumberFormat="1" applyFont="1" applyBorder="1" applyAlignment="1">
      <alignment horizontal="center" vertical="center"/>
    </xf>
    <xf numFmtId="176" fontId="9" fillId="0" borderId="11" xfId="4" applyNumberFormat="1" applyFont="1" applyBorder="1" applyAlignment="1">
      <alignment horizontal="center" vertical="center"/>
    </xf>
    <xf numFmtId="176" fontId="9" fillId="8" borderId="11" xfId="4" applyNumberFormat="1" applyFont="1" applyFill="1" applyBorder="1" applyAlignment="1">
      <alignment horizontal="center" vertical="center"/>
    </xf>
    <xf numFmtId="0" fontId="3" fillId="0" borderId="0" xfId="5" applyFont="1">
      <alignment vertical="center"/>
    </xf>
    <xf numFmtId="0" fontId="3" fillId="3" borderId="0" xfId="5" applyFont="1" applyFill="1">
      <alignment vertical="center"/>
    </xf>
    <xf numFmtId="0" fontId="4" fillId="3" borderId="0" xfId="5" applyFill="1">
      <alignment vertical="center"/>
    </xf>
    <xf numFmtId="0" fontId="30" fillId="0" borderId="0" xfId="8"/>
    <xf numFmtId="0" fontId="7" fillId="0" borderId="5" xfId="0" applyFont="1" applyBorder="1"/>
    <xf numFmtId="0" fontId="7" fillId="0" borderId="3" xfId="0" applyFont="1" applyBorder="1"/>
    <xf numFmtId="0" fontId="0" fillId="0" borderId="0" xfId="0" applyAlignment="1">
      <alignment horizontal="center" vertical="center" wrapText="1"/>
    </xf>
    <xf numFmtId="0" fontId="6" fillId="2" borderId="17" xfId="0" applyFont="1" applyFill="1" applyBorder="1"/>
    <xf numFmtId="0" fontId="0" fillId="0" borderId="2" xfId="0" applyBorder="1" applyAlignment="1">
      <alignment horizontal="center" vertical="center" wrapText="1"/>
    </xf>
    <xf numFmtId="0" fontId="32" fillId="0" borderId="0" xfId="9" applyFont="1" applyAlignment="1">
      <alignment horizontal="center"/>
    </xf>
    <xf numFmtId="0" fontId="31" fillId="0" borderId="0" xfId="9" applyFont="1" applyAlignment="1">
      <alignment horizontal="center"/>
    </xf>
    <xf numFmtId="0" fontId="0" fillId="5" borderId="6" xfId="6" applyFont="1" applyFill="1" applyBorder="1"/>
    <xf numFmtId="0" fontId="4" fillId="0" borderId="18" xfId="5" applyBorder="1">
      <alignment vertical="center"/>
    </xf>
    <xf numFmtId="0" fontId="17" fillId="0" borderId="18" xfId="6" applyBorder="1" applyAlignment="1">
      <alignment vertical="center"/>
    </xf>
    <xf numFmtId="176" fontId="0" fillId="0" borderId="10" xfId="4" applyNumberFormat="1" applyFont="1" applyBorder="1" applyAlignment="1"/>
    <xf numFmtId="176" fontId="4" fillId="0" borderId="0" xfId="5" applyNumberFormat="1">
      <alignment vertical="center"/>
    </xf>
    <xf numFmtId="0" fontId="18" fillId="0" borderId="0" xfId="5" applyFont="1">
      <alignment vertical="center"/>
    </xf>
    <xf numFmtId="41" fontId="0" fillId="0" borderId="6" xfId="10" applyFont="1" applyBorder="1" applyAlignment="1">
      <alignment wrapText="1"/>
    </xf>
    <xf numFmtId="2" fontId="0" fillId="9" borderId="0" xfId="0" applyNumberFormat="1" applyFill="1"/>
    <xf numFmtId="0" fontId="34" fillId="0" borderId="0" xfId="12"/>
    <xf numFmtId="0" fontId="37" fillId="12" borderId="19" xfId="11" applyFont="1" applyFill="1" applyBorder="1" applyAlignment="1">
      <alignment horizontal="center" vertical="center"/>
    </xf>
    <xf numFmtId="0" fontId="37" fillId="12" borderId="20" xfId="11" applyFont="1" applyFill="1" applyBorder="1" applyAlignment="1">
      <alignment horizontal="center" vertical="center"/>
    </xf>
    <xf numFmtId="0" fontId="38" fillId="13" borderId="22" xfId="11" applyFont="1" applyFill="1" applyBorder="1" applyAlignment="1">
      <alignment horizontal="center" vertical="center" wrapText="1"/>
    </xf>
    <xf numFmtId="0" fontId="38" fillId="13" borderId="23" xfId="11" applyFont="1" applyFill="1" applyBorder="1" applyAlignment="1">
      <alignment horizontal="center" vertical="center" wrapText="1"/>
    </xf>
    <xf numFmtId="0" fontId="38" fillId="13" borderId="24" xfId="11" applyFont="1" applyFill="1" applyBorder="1" applyAlignment="1">
      <alignment horizontal="center" vertical="center" wrapText="1"/>
    </xf>
    <xf numFmtId="0" fontId="0" fillId="0" borderId="25" xfId="11" applyFont="1" applyBorder="1" applyAlignment="1">
      <alignment horizontal="center" vertical="center"/>
    </xf>
    <xf numFmtId="0" fontId="0" fillId="0" borderId="26" xfId="11" applyFont="1" applyBorder="1" applyAlignment="1">
      <alignment vertical="center"/>
    </xf>
    <xf numFmtId="0" fontId="0" fillId="0" borderId="26" xfId="11" applyFont="1" applyBorder="1" applyAlignment="1">
      <alignment horizontal="center" vertical="center"/>
    </xf>
    <xf numFmtId="0" fontId="0" fillId="0" borderId="26" xfId="11" applyFont="1" applyBorder="1" applyAlignment="1">
      <alignment vertical="center" wrapText="1"/>
    </xf>
    <xf numFmtId="0" fontId="0" fillId="0" borderId="27" xfId="11" applyFont="1" applyBorder="1" applyAlignment="1">
      <alignment horizontal="center" vertical="center"/>
    </xf>
    <xf numFmtId="0" fontId="0" fillId="0" borderId="28" xfId="11" applyFont="1" applyBorder="1" applyAlignment="1">
      <alignment horizontal="center" vertical="center"/>
    </xf>
    <xf numFmtId="0" fontId="0" fillId="0" borderId="0" xfId="11" applyFont="1" applyAlignment="1">
      <alignment vertical="center"/>
    </xf>
    <xf numFmtId="0" fontId="0" fillId="0" borderId="0" xfId="11" applyFont="1" applyAlignment="1">
      <alignment horizontal="center" vertical="center"/>
    </xf>
    <xf numFmtId="0" fontId="0" fillId="0" borderId="0" xfId="11" applyFont="1" applyAlignment="1">
      <alignment vertical="center" wrapText="1"/>
    </xf>
    <xf numFmtId="0" fontId="0" fillId="0" borderId="29" xfId="11" applyFont="1" applyBorder="1" applyAlignment="1">
      <alignment horizontal="center" vertical="center"/>
    </xf>
    <xf numFmtId="0" fontId="0" fillId="0" borderId="30" xfId="11" applyFont="1" applyBorder="1" applyAlignment="1">
      <alignment horizontal="center" vertical="center"/>
    </xf>
    <xf numFmtId="0" fontId="0" fillId="0" borderId="31" xfId="11" applyFont="1" applyBorder="1" applyAlignment="1">
      <alignment vertical="center"/>
    </xf>
    <xf numFmtId="0" fontId="0" fillId="0" borderId="31" xfId="11" applyFont="1" applyBorder="1" applyAlignment="1">
      <alignment horizontal="center" vertical="center"/>
    </xf>
    <xf numFmtId="0" fontId="0" fillId="0" borderId="31" xfId="11" applyFont="1" applyBorder="1" applyAlignment="1">
      <alignment vertical="center" wrapText="1"/>
    </xf>
    <xf numFmtId="0" fontId="0" fillId="0" borderId="32" xfId="11" applyFont="1" applyBorder="1" applyAlignment="1">
      <alignment horizontal="center" vertical="center"/>
    </xf>
    <xf numFmtId="0" fontId="34" fillId="0" borderId="0" xfId="12" applyAlignment="1">
      <alignment vertical="center"/>
    </xf>
    <xf numFmtId="0" fontId="31" fillId="5" borderId="6" xfId="13" applyFont="1" applyFill="1" applyBorder="1">
      <alignment vertical="center"/>
    </xf>
    <xf numFmtId="0" fontId="33" fillId="14" borderId="6" xfId="13" applyFont="1" applyFill="1" applyBorder="1">
      <alignment vertical="center"/>
    </xf>
    <xf numFmtId="0" fontId="31" fillId="14" borderId="6" xfId="13" applyFont="1" applyFill="1" applyBorder="1">
      <alignment vertical="center"/>
    </xf>
    <xf numFmtId="0" fontId="1" fillId="0" borderId="0" xfId="13">
      <alignment vertical="center"/>
    </xf>
    <xf numFmtId="0" fontId="31" fillId="0" borderId="6" xfId="13" applyFont="1" applyBorder="1" applyAlignment="1">
      <alignment horizontal="center" vertical="center" wrapText="1"/>
    </xf>
    <xf numFmtId="0" fontId="31" fillId="0" borderId="6" xfId="13" applyFont="1" applyBorder="1" applyAlignment="1">
      <alignment horizontal="center" vertical="center"/>
    </xf>
    <xf numFmtId="0" fontId="32" fillId="0" borderId="6" xfId="13" applyFont="1" applyBorder="1" applyAlignment="1">
      <alignment horizontal="center" vertical="center"/>
    </xf>
    <xf numFmtId="0" fontId="33" fillId="0" borderId="6" xfId="13" applyFont="1" applyBorder="1" applyAlignment="1">
      <alignment horizontal="center" vertical="center"/>
    </xf>
    <xf numFmtId="0" fontId="42" fillId="0" borderId="6" xfId="13" applyFont="1" applyBorder="1" applyAlignment="1">
      <alignment horizontal="center" vertical="center"/>
    </xf>
    <xf numFmtId="0" fontId="33" fillId="0" borderId="6" xfId="13" applyFont="1" applyBorder="1" applyAlignment="1">
      <alignment horizontal="left" vertical="center" wrapText="1"/>
    </xf>
    <xf numFmtId="0" fontId="1" fillId="0" borderId="0" xfId="13" applyAlignment="1">
      <alignment horizontal="center" vertical="center"/>
    </xf>
    <xf numFmtId="0" fontId="7" fillId="0" borderId="0" xfId="13" applyFont="1" applyAlignment="1">
      <alignment horizontal="center" vertical="center"/>
    </xf>
    <xf numFmtId="0" fontId="1" fillId="0" borderId="0" xfId="13" applyAlignment="1">
      <alignment horizontal="left" vertical="center"/>
    </xf>
    <xf numFmtId="0" fontId="0" fillId="12" borderId="21" xfId="11" applyFont="1" applyFill="1" applyBorder="1" applyAlignment="1">
      <alignment horizontal="center" vertical="center"/>
    </xf>
    <xf numFmtId="0" fontId="0" fillId="12" borderId="20" xfId="11" applyFont="1" applyFill="1" applyBorder="1" applyAlignment="1">
      <alignment horizontal="center" vertical="center"/>
    </xf>
    <xf numFmtId="0" fontId="40" fillId="15" borderId="9" xfId="13" applyFont="1" applyFill="1" applyBorder="1" applyAlignment="1">
      <alignment horizontal="center" vertical="center"/>
    </xf>
    <xf numFmtId="0" fontId="41" fillId="15" borderId="9" xfId="13" applyFont="1" applyFill="1" applyBorder="1" applyAlignment="1">
      <alignment horizontal="center" vertical="center"/>
    </xf>
    <xf numFmtId="0" fontId="40" fillId="15" borderId="9" xfId="13" applyFont="1" applyFill="1" applyBorder="1" applyAlignment="1">
      <alignment horizontal="left" vertical="center"/>
    </xf>
    <xf numFmtId="41" fontId="0" fillId="0" borderId="0" xfId="10" applyFont="1" applyAlignment="1"/>
    <xf numFmtId="41" fontId="0" fillId="0" borderId="0" xfId="0" applyNumberFormat="1"/>
    <xf numFmtId="0" fontId="43" fillId="16" borderId="33" xfId="11" applyFont="1" applyFill="1" applyBorder="1" applyAlignment="1">
      <alignment horizontal="center" vertical="center"/>
    </xf>
    <xf numFmtId="0" fontId="44" fillId="17" borderId="33" xfId="11" applyFont="1" applyFill="1" applyBorder="1" applyAlignment="1">
      <alignment horizontal="center" vertical="center"/>
    </xf>
    <xf numFmtId="0" fontId="34" fillId="18" borderId="33" xfId="11" applyFill="1" applyBorder="1" applyAlignment="1">
      <alignment horizontal="left" vertical="center" wrapText="1"/>
    </xf>
    <xf numFmtId="0" fontId="34" fillId="18" borderId="33" xfId="11" applyFill="1" applyBorder="1" applyAlignment="1">
      <alignment horizontal="center" vertical="center"/>
    </xf>
    <xf numFmtId="0" fontId="34" fillId="19" borderId="33" xfId="11" applyFill="1" applyBorder="1" applyAlignment="1">
      <alignment horizontal="left" vertical="center" wrapText="1"/>
    </xf>
    <xf numFmtId="0" fontId="34" fillId="19" borderId="33" xfId="11" applyFill="1" applyBorder="1" applyAlignment="1">
      <alignment horizontal="center" vertical="center"/>
    </xf>
    <xf numFmtId="0" fontId="45" fillId="18" borderId="34" xfId="11" applyFont="1" applyFill="1" applyBorder="1" applyAlignment="1">
      <alignment horizontal="center" vertical="center"/>
    </xf>
    <xf numFmtId="0" fontId="45" fillId="20" borderId="0" xfId="11" applyFont="1" applyFill="1" applyAlignment="1">
      <alignment horizontal="center" vertical="center"/>
    </xf>
    <xf numFmtId="0" fontId="45" fillId="18" borderId="0" xfId="11" applyFont="1" applyFill="1" applyAlignment="1">
      <alignment horizontal="center" vertical="center"/>
    </xf>
    <xf numFmtId="0" fontId="45" fillId="18" borderId="35" xfId="11" applyFont="1" applyFill="1" applyBorder="1" applyAlignment="1">
      <alignment horizontal="center" vertical="center"/>
    </xf>
    <xf numFmtId="0" fontId="31" fillId="0" borderId="6" xfId="0" applyFont="1" applyBorder="1" applyAlignment="1">
      <alignment horizontal="center" vertical="center"/>
    </xf>
    <xf numFmtId="0" fontId="33" fillId="0" borderId="6" xfId="0" applyFont="1" applyBorder="1" applyAlignment="1">
      <alignment horizontal="left" vertical="center" wrapText="1"/>
    </xf>
    <xf numFmtId="0" fontId="31" fillId="0" borderId="6" xfId="0" applyFont="1" applyBorder="1" applyAlignment="1">
      <alignment horizontal="center" vertical="center" wrapText="1"/>
    </xf>
    <xf numFmtId="0" fontId="35" fillId="10" borderId="0" xfId="11" applyFont="1" applyFill="1" applyAlignment="1">
      <alignment horizontal="center" vertical="center"/>
    </xf>
    <xf numFmtId="0" fontId="36" fillId="11" borderId="0" xfId="11" applyFont="1" applyFill="1" applyAlignment="1">
      <alignment horizontal="left" vertical="center"/>
    </xf>
    <xf numFmtId="0" fontId="0" fillId="0" borderId="2" xfId="0" applyFont="1" applyBorder="1"/>
    <xf numFmtId="0" fontId="0" fillId="0" borderId="3" xfId="0" applyFont="1" applyBorder="1"/>
    <xf numFmtId="0" fontId="0" fillId="0" borderId="0" xfId="0" applyNumberFormat="1"/>
    <xf numFmtId="0" fontId="0" fillId="0" borderId="2" xfId="0" applyNumberFormat="1" applyFont="1" applyBorder="1"/>
    <xf numFmtId="0" fontId="7" fillId="0" borderId="0" xfId="0" applyNumberFormat="1" applyFont="1"/>
    <xf numFmtId="0" fontId="0" fillId="0" borderId="0" xfId="0" applyFont="1"/>
    <xf numFmtId="0" fontId="7" fillId="0" borderId="0" xfId="0" applyFont="1" applyBorder="1"/>
    <xf numFmtId="0" fontId="0" fillId="0" borderId="5" xfId="0" applyFont="1" applyBorder="1"/>
  </cellXfs>
  <cellStyles count="14">
    <cellStyle name="Normal" xfId="11" xr:uid="{598B3218-C278-4A13-9D3B-7B3785DF4D3A}"/>
    <cellStyle name="Normal 2 2" xfId="2" xr:uid="{B1A08C57-459E-490C-8E46-79615E20189E}"/>
    <cellStyle name="phx-HL-cell" xfId="3" xr:uid="{9D400A91-D5C2-4711-84A2-FBDC046F1E0D}"/>
    <cellStyle name="phx-HL-row" xfId="7" xr:uid="{F2D0D4C9-66FC-4865-8E90-DBFA5831F2B4}"/>
    <cellStyle name="phx-level1" xfId="1" xr:uid="{40A51D26-C4FA-4ADE-93C5-9AA82AAF5DD9}"/>
    <cellStyle name="백분율" xfId="4" builtinId="5"/>
    <cellStyle name="쉼표 [0]" xfId="10" builtinId="6"/>
    <cellStyle name="표준" xfId="0" builtinId="0"/>
    <cellStyle name="표준 2" xfId="5" xr:uid="{D4CEB66E-E1E6-4FB4-84E9-2C6974C0067C}"/>
    <cellStyle name="표준 2 2" xfId="12" xr:uid="{803AEF3E-0236-4A27-AAC1-191A9D3AB70A}"/>
    <cellStyle name="표준 3" xfId="9" xr:uid="{91A30FFF-25BB-4A76-B941-AC8870B38260}"/>
    <cellStyle name="표준 3 2" xfId="13" xr:uid="{91073DBF-3036-4D5D-B429-BBD9DA7C58AE}"/>
    <cellStyle name="표준 4" xfId="6" xr:uid="{6C1B52FD-451F-4AC1-BBF7-36F85576C7F6}"/>
    <cellStyle name="하이퍼링크" xfId="8" builtinId="8"/>
  </cellStyles>
  <dxfs count="137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 style="thin">
          <color theme="1"/>
        </right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0" formatCode="General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color rgb="FF006100"/>
      </font>
      <fill>
        <patternFill>
          <bgColor rgb="FFC6EFCE"/>
        </patternFill>
      </fill>
    </dxf>
    <dxf>
      <font>
        <color rgb="FF555555"/>
      </font>
      <fill>
        <patternFill patternType="solid">
          <bgColor rgb="FFEDEDED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b/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783F04"/>
      </font>
      <fill>
        <patternFill patternType="solid">
          <bgColor rgb="FFFCE5CD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color rgb="FF274E13"/>
      </font>
      <fill>
        <patternFill patternType="solid">
          <bgColor rgb="FFD9EAD3"/>
        </patternFill>
      </fill>
    </dxf>
    <dxf>
      <font>
        <color rgb="FF990000"/>
      </font>
      <fill>
        <patternFill patternType="solid">
          <bgColor rgb="FFF4CCCC"/>
        </patternFill>
      </fill>
    </dxf>
    <dxf>
      <font>
        <b/>
        <color rgb="FF274E13"/>
      </font>
      <fill>
        <patternFill patternType="solid">
          <bgColor rgb="FFD9EAD3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sz val="11"/>
        <name val="맑은 고딕"/>
        <family val="3"/>
        <charset val="129"/>
        <scheme val="maj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sz val="11"/>
        <color rgb="FF000000"/>
        <name val="맑은 고딕"/>
        <family val="3"/>
        <charset val="129"/>
        <scheme val="maj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sz val="11"/>
        <name val="맑은 고딕"/>
        <family val="3"/>
        <charset val="129"/>
        <scheme val="maj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sz val="11"/>
        <name val="맑은 고딕"/>
        <family val="3"/>
        <charset val="129"/>
        <scheme val="major"/>
      </font>
      <alignment horizontal="general" vertical="center" textRotation="0" wrapText="0" indent="0" justifyLastLine="0" shrinkToFit="0" readingOrder="0"/>
    </dxf>
    <dxf>
      <border outline="0">
        <top style="thin">
          <color rgb="FF000000"/>
        </top>
      </border>
    </dxf>
    <dxf>
      <font>
        <strike val="0"/>
        <outline val="0"/>
        <shadow val="0"/>
        <u val="none"/>
        <sz val="11"/>
        <name val="맑은 고딕"/>
        <family val="3"/>
        <charset val="129"/>
        <scheme val="major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20" formatCode="dd/mmm/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border outline="0">
        <top style="thin">
          <color theme="1"/>
        </top>
      </border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0" formatCode="General"/>
      <alignment horizontal="center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 outline="0">
        <left/>
        <right/>
        <top style="thin">
          <color theme="1"/>
        </top>
        <bottom/>
      </border>
    </dxf>
    <dxf>
      <border outline="0">
        <left style="thin">
          <color rgb="FF000000"/>
        </left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border diagonalUp="0" diagonalDown="0">
        <left style="thin">
          <color theme="1"/>
        </left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0.0%"/>
      <alignment horizontal="right" vertical="bottom" textRotation="0" wrapText="0" indent="0" justifyLastLine="0" shrinkToFit="0" readingOrder="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numFmt numFmtId="176" formatCode="0.0%"/>
      <alignment horizontal="right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left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auto="1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auto="1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7"/>
        <color rgb="FF000000"/>
        <name val="Arial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2" formatCode="0.00"/>
      <fill>
        <patternFill patternType="solid">
          <fgColor indexed="64"/>
          <bgColor theme="9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center" textRotation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numFmt numFmtId="0" formatCode="General"/>
      <alignment horizontal="general" vertical="center" textRotation="0" indent="0" justifyLastLine="0" shrinkToFit="0" readingOrder="0"/>
    </dxf>
    <dxf>
      <border outline="0">
        <top style="thin">
          <color theme="1"/>
        </top>
      </border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</dxf>
    <dxf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numFmt numFmtId="14" formatCode="0.0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numFmt numFmtId="177" formatCode="0.0_);[Red]\(0.0\)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177" formatCode="0.0_);[Red]\(0.0\)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numFmt numFmtId="177" formatCode="0.0_);[Red]\(0.0\)"/>
      <fill>
        <patternFill patternType="solid">
          <fgColor indexed="64"/>
          <bgColor rgb="FF92D050"/>
        </patternFill>
      </fill>
      <alignment horizontal="general" vertical="bottom" textRotation="0" wrapText="0" indent="0" justifyLastLine="0" shrinkToFit="0" readingOrder="0"/>
    </dxf>
    <dxf>
      <numFmt numFmtId="177" formatCode="0.0_);[Red]\(0.0\)"/>
      <fill>
        <patternFill patternType="solid">
          <fgColor indexed="64"/>
          <bgColor rgb="FF92D050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alignment horizontal="general" vertical="center" textRotation="0" wrapText="1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alignment horizontal="general" vertical="center" textRotation="0" wrapText="1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minor"/>
      </font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맑은 고딕"/>
        <family val="2"/>
        <scheme val="minor"/>
      </font>
      <fill>
        <patternFill patternType="solid">
          <fgColor theme="1"/>
          <bgColor theme="1"/>
        </patternFill>
      </fill>
      <alignment horizontal="general" vertical="center" textRotation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맑은 고딕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numFmt numFmtId="0" formatCode="General"/>
    </dxf>
    <dxf>
      <numFmt numFmtId="33" formatCode="_-* #,##0_-;\-* #,##0_-;_-* &quot;-&quot;_-;_-@_-"/>
      <alignment horizontal="center" vertical="bottom" textRotation="0" wrapText="0" indent="0" justifyLastLine="0" shrinkToFit="0" readingOrder="0"/>
    </dxf>
    <dxf>
      <numFmt numFmtId="0" formatCode="General"/>
    </dxf>
    <dxf>
      <numFmt numFmtId="33" formatCode="_-* #,##0_-;\-* #,##0_-;_-* &quot;-&quot;_-;_-@_-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2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X:\MMR\Poly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-OIL\Downloads\260702_%20&#52488;&#44592;%20&#54637;&#47785;%20rating%20(9&#44060;%20&#52628;&#44032;).xlsx" TargetMode="External"/><Relationship Id="rId1" Type="http://schemas.openxmlformats.org/officeDocument/2006/relationships/externalLinkPath" Target="file:///C:\Users\S-OIL\Downloads\260702_%20&#52488;&#44592;%20&#54637;&#47785;%20rating%20(9&#44060;%20&#52628;&#4403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D Price Chg"/>
      <sheetName val="LL Price Chg"/>
      <sheetName val="HD Price Chg"/>
      <sheetName val="PP FS Margin"/>
      <sheetName val="HDPE FS Margin"/>
      <sheetName val="LLDPE FS Margin"/>
      <sheetName val="LDPE FS Margin"/>
      <sheetName val="POLYOLEFINS"/>
      <sheetName val="POLYOLEFINS_Q"/>
      <sheetName val="POLYOLEFINS_Y"/>
      <sheetName val="Poly_Grades_M"/>
      <sheetName val="Poly_Grades_Q"/>
      <sheetName val="Poly_Grades_Y"/>
      <sheetName val="ASPprcM"/>
      <sheetName val="ASPprcQ"/>
      <sheetName val="ASPprcY"/>
      <sheetName val="Asia PE Prices"/>
      <sheetName val="Asia PE Prices (2)"/>
      <sheetName val="Asia LDPE Prices QTR"/>
      <sheetName val="Asia HDPE Prices QTR"/>
      <sheetName val="Asia LLDPE Prices QTR"/>
      <sheetName val="Volume Weighted PEE"/>
      <sheetName val="LDPE25yrs"/>
      <sheetName val="HDPE25yrs"/>
      <sheetName val="WEP HDPE BM_Y"/>
      <sheetName val="LDPECON_ANN (Non Int)"/>
      <sheetName val="LDPECON_ANN (Int)"/>
      <sheetName val="LLDECON_ANN (Non Int)"/>
      <sheetName val="LLDECON_ANN (Int)"/>
      <sheetName val="HDPECON_ANN (Non Int)"/>
      <sheetName val="HDPECON_ANN (Int)"/>
      <sheetName val="Graph Data"/>
      <sheetName val="US vs SEA PPE Prc"/>
      <sheetName val="HDPETH"/>
      <sheetName val="HDPETH_QTR"/>
      <sheetName val="HDPETH_QTR (2)"/>
      <sheetName val="LLDPETH"/>
      <sheetName val="hdprvdsoCPP"/>
      <sheetName val="hdprvdsoMT"/>
      <sheetName val="hdprvdsCPPQtr"/>
      <sheetName val="HD prc v pi Q91-9↸"/>
      <sheetName val="llprvdsoCPP"/>
      <sheetName val="llprvdsoMT"/>
      <sheetName val="qllprvds"/>
      <sheetName val="LLD prc v pi Q91-98"/>
      <sheetName val="ldprvdsoCPP"/>
      <sheetName val="ldprvdsoMT"/>
      <sheetName val="qldprvds"/>
      <sheetName val="LD prc v pi Q91-98 "/>
      <sheetName val="ppucpvdsCPPm_Proj"/>
      <sheetName val="Eth vs PE"/>
      <sheetName val="Eth vs PE (2)"/>
      <sheetName val="POPRCEethoprateQ"/>
      <sheetName val="POPRCEethoprateQ (3)"/>
      <sheetName val="POPRCEethoprateQ (2)"/>
      <sheetName val="C2vsPE"/>
      <sheetName val="POPRCE_ANN99"/>
      <sheetName val="HDPECON_Y"/>
      <sheetName val="Polyole_Prices (4)"/>
      <sheetName val="Polyole_Prices (5)"/>
      <sheetName val="Chase"/>
      <sheetName val="C3PPCM00_Q"/>
      <sheetName val="C3PPcombCM02"/>
      <sheetName val="C3PPcombCM01"/>
      <sheetName val="LLDCM"/>
      <sheetName val="C2LLCM88"/>
      <sheetName val="C2LLCM02"/>
      <sheetName val="C2LLCM01"/>
      <sheetName val="C2LDCM88"/>
      <sheetName val="C2LDCM02"/>
      <sheetName val="C2LDCM01"/>
      <sheetName val="C2HDCM88"/>
      <sheetName val="C2HDCM02"/>
      <sheetName val="C2HDCM01"/>
      <sheetName val="DO_HUB"/>
      <sheetName val="DI_HUB"/>
      <sheetName val="INFO"/>
      <sheetName val="DI_NAM"/>
      <sheetName val="WorkSpace"/>
      <sheetName val="DataIn_M"/>
      <sheetName val="USPP prc v oprate"/>
      <sheetName val="PPE Contr. vs. Exp."/>
      <sheetName val="hdprvdso"/>
      <sheetName val="hdprvdso (3)"/>
      <sheetName val="hdprvdso (2)"/>
      <sheetName val="qhdprvds"/>
      <sheetName val="HD prc v pi Q91-98"/>
      <sheetName val="llprvdso"/>
      <sheetName val="llprvdso (2)"/>
      <sheetName val="ldprvdso"/>
      <sheetName val="ldprvdso (3)"/>
      <sheetName val="ldprvdso (2)"/>
      <sheetName val="PP prc v pi Q91-98"/>
      <sheetName val="ppucpvds"/>
      <sheetName val="ppucpvds (3)"/>
      <sheetName val="ppucpvds (2ⶔ"/>
      <sheetName val="ppdso"/>
      <sheetName val="Pro vs PPE (5)"/>
      <sheetName val="Pro vs PPE (6)"/>
      <sheetName val="Pro vs PPE (7)"/>
      <sheetName val="Pro vs PPE (3)"/>
      <sheetName val="Pro vs PPE (4)"/>
      <sheetName val="qppprvds"/>
      <sheetName val="ppprvdso"/>
      <sheetName val="HDNPRAQ97(2)"/>
      <sheetName val="Pro vs PPE"/>
      <sheetName val="Pro vs PPE (2)"/>
      <sheetName val="PPECON_ANN"/>
      <sheetName val="PPECON_ANN 03"/>
      <sheetName val="PPECON_ANN (Color)"/>
      <sheetName val="PPECON_ANN 03 (Color)"/>
      <sheetName val="PPECON_ANN 01 (Color)"/>
      <sheetName val="LDPECON_ANN (91-06)"/>
      <sheetName val="LDPECON_ANN (87-05) (Color)"/>
      <sheetName val="LDPECON_ANN 03"/>
      <sheetName val="LLDECON_ANN"/>
      <sheetName val="LLD_ANN (87-05) (Color)"/>
      <sheetName val="LLDECON_ANN 03"/>
      <sheetName val="HDPECON_ANN"/>
      <sheetName val="HDPECON_ANN (87-05) (Color)"/>
      <sheetName val="HDPECON_ANN 03"/>
      <sheetName val="Polyole_Prices (3)"/>
      <sheetName val="Polyole_Prices (2)"/>
      <sheetName val="Polyole_Prices"/>
      <sheetName val="PPNPRAQT7"/>
      <sheetName val="PPNPRAQT9 (2)"/>
      <sheetName val="PPNPRAQT9 (color)"/>
      <sheetName val="PPNPRAQT8"/>
      <sheetName val="PPNPRAQT8 (2)"/>
      <sheetName val="PPNPRAQT8 (Color)"/>
      <sheetName val="LLNPRAQ97"/>
      <sheetName val="LLNPRAQ99"/>
      <sheetName val="LLNPRAQ98"/>
      <sheetName val="LDNPRAQ97"/>
      <sheetName val="LDNPRAQ99"/>
      <sheetName val="LDNPRAQ98"/>
      <sheetName val="HDNPRAQ99"/>
      <sheetName val="HDNPRAQ98"/>
      <sheetName val="Chart2"/>
      <sheetName val="C3PPCM88"/>
      <sheetName val="C3PPCM99"/>
      <sheetName val="C3PPCM99 (2)"/>
      <sheetName val="C3PPCM88 (2)"/>
      <sheetName val="C3PPCM88 (3)"/>
      <sheetName val="C2LLCM"/>
      <sheetName val="C2LLCM99"/>
      <sheetName val="C2LLCM99 (2)"/>
      <sheetName val="C2LDCM"/>
      <sheetName val="C2LDCM99"/>
      <sheetName val="C2LDCM99 (2)"/>
      <sheetName val="C2HDCM"/>
      <sheetName val="C2HDCM99"/>
      <sheetName val="C2HDCM99 (2)"/>
      <sheetName val="C2HDCM88 (Mnthly)"/>
      <sheetName val="DataIn_Y"/>
      <sheetName val="Module2"/>
      <sheetName val="Module1"/>
      <sheetName val="DataOut_Y"/>
      <sheetName val="DataOut_M"/>
      <sheetName val="ppucpvdsCPPm"/>
      <sheetName val="ppucpvdsMT"/>
      <sheetName val="PP prc v pi Q91-98 (2)"/>
      <sheetName val="POPRCE_ANN 04ppt"/>
      <sheetName val="POPRCE_ANN 04"/>
      <sheetName val="PPECON_Y04"/>
      <sheetName val="LDPECON_ANN 04"/>
      <sheetName val="LDPECON_ANN 04ppt"/>
      <sheetName val="LLDECON_ANN 04"/>
      <sheetName val="LLDECON_ANN 04ppt"/>
      <sheetName val="HDPECON_Y04"/>
      <sheetName val="HDPECON_ANN 04ppt"/>
      <sheetName val="PPPRCE_ANN 04"/>
      <sheetName val="PPPRCE_ANN99"/>
      <sheetName val="PPNPRAQT8ppt"/>
      <sheetName val="LLNPRAQ98 (2)"/>
      <sheetName val="LDNPRAQ98 (2)"/>
      <sheetName val="HDNPRAQ98 (2)"/>
      <sheetName val="HDNPRAQppt"/>
      <sheetName val="C3PPCM8899q"/>
      <sheetName val="PPCMq"/>
      <sheetName val="LLNPRAQppt"/>
      <sheetName val="LDNPRAQppt"/>
      <sheetName val="PPECON_ANN 04ppt"/>
      <sheetName val="C3PPcombCM00_Q"/>
      <sheetName val="C2LLCM00"/>
      <sheetName val="C2LDCM00"/>
      <sheetName val="C2HDCM00"/>
      <sheetName val="PPNPRAQT8 (3)"/>
      <sheetName val="LDPE27yrs"/>
      <sheetName val="C3PPCM99ppt"/>
      <sheetName val="POPRCE_ANN 03"/>
      <sheetName val="PPECON_ANN 03ppt"/>
      <sheetName val="LDPECON_ANN 03ppt"/>
      <sheetName val="LLDECON_ANN 03ppt"/>
      <sheetName val="HDPECON_ANN 03ppt"/>
      <sheetName val="PPECON_ANN 04"/>
      <sheetName val="Chart3"/>
      <sheetName val="hdprcvrpi qtr91-98"/>
      <sheetName val="ldprcvrpi qtr91-98 "/>
      <sheetName val="PPprcvpi qtr91-98"/>
      <sheetName val="C3PPCM99 (3)"/>
      <sheetName val="C2LLCM99 (3)"/>
      <sheetName val="ppucpvds (2)"/>
      <sheetName val="C3PPCM88 (4)"/>
      <sheetName val="C2HDCM88 (2)"/>
      <sheetName val="C2LDCM99 (3)"/>
      <sheetName val="POLY"/>
      <sheetName val="PPECON_ANN 02"/>
      <sheetName val="LDPECON_ANN 02"/>
      <sheetName val="LLDECON_ANN 02"/>
      <sheetName val="HDPECON_ANN 02"/>
      <sheetName val="PPNPRAQT9"/>
      <sheetName val="Char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"/>
      <sheetName val="Summary"/>
      <sheetName val="Sheet1 (2)"/>
      <sheetName val="ValueChain_BD"/>
      <sheetName val="산업수급_BD"/>
      <sheetName val="260702_ 초기 항목 rating (9개 추가)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이원일(W.I. Lee)" id="{8347A911-FB60-4CDD-95F5-37932B9B2DD3}" userId="S::wonil.lee90@S-OIL.COM::75f69710-ceca-4457-b198-7daa6e80130a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-OIL" refreshedDate="46182.593819675923" createdVersion="8" refreshedVersion="8" minRefreshableVersion="3" recordCount="290" xr:uid="{CE433686-0F20-4BEE-A548-1A5DB411A88C}">
  <cacheSource type="worksheet">
    <worksheetSource name="표17"/>
  </cacheSource>
  <cacheFields count="12">
    <cacheField name="No" numFmtId="0">
      <sharedItems containsSemiMixedTypes="0" containsString="0" containsNumber="1" containsInteger="1" minValue="1" maxValue="280"/>
    </cacheField>
    <cacheField name="Category" numFmtId="0">
      <sharedItems/>
    </cacheField>
    <cacheField name="Category2" numFmtId="0">
      <sharedItems count="30">
        <s v="Semiconductors, silicon and IC process chemicals"/>
        <s v="Display materials"/>
        <s v="Printed circuit boards and packaging"/>
        <s v="Nutraceutical ingredients"/>
        <s v="High-performance thermoplastics"/>
        <s v="Compounded engineering thermoplastics"/>
        <s v="Specialty films"/>
        <s v="Coatings, radiation curable"/>
        <s v="Coatings, thermosetting powder"/>
        <s v="Coatings, high-performance anticorrosion"/>
        <s v="Green power materials"/>
        <s v="Water management chemicals"/>
        <s v="Cosmetic/personal care chemicals"/>
        <s v="Cleaners, industrial and institutional"/>
        <s v="Plastics additives"/>
        <s v="Specialty adhesives and sealants"/>
        <s v="Rubber-processing chemicals"/>
        <s v="Textile chemicals"/>
        <s v="Printing inks"/>
        <s v="Flavors and fragrances"/>
        <s v="Food additives"/>
        <s v="Feed additives"/>
        <s v="Lubricants, synthetic"/>
        <s v="Paper chemicals"/>
        <s v="Construction chemicals"/>
        <s v="Mining chemicals"/>
        <s v="Lubricating oil additives"/>
        <s v="Oil field chemicals"/>
        <s v="Petroleum refining/chemical process"/>
        <s v="Emission control"/>
      </sharedItems>
    </cacheField>
    <cacheField name="Category3" numFmtId="0">
      <sharedItems/>
    </cacheField>
    <cacheField name="Category4" numFmtId="0">
      <sharedItems containsBlank="1"/>
    </cacheField>
    <cacheField name="Main product" numFmtId="0">
      <sharedItems/>
    </cacheField>
    <cacheField name="Starting Material" numFmtId="0">
      <sharedItems/>
    </cacheField>
    <cacheField name="Petrochemical 연관성" numFmtId="0">
      <sharedItems/>
    </cacheField>
    <cacheField name="Intermediate" numFmtId="0">
      <sharedItems/>
    </cacheField>
    <cacheField name="main petrochemical chain" numFmtId="0">
      <sharedItems/>
    </cacheField>
    <cacheField name="Compound annual growth rate. 2025-30(percent)" numFmtId="176">
      <sharedItems containsSemiMixedTypes="0" containsString="0" containsNumber="1" minValue="-4.0973241488456498E-2" maxValue="0.34047761089008999"/>
    </cacheField>
    <cacheField name="Selected" numFmtId="176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-OIL" refreshedDate="46209.392179745373" createdVersion="8" refreshedVersion="8" minRefreshableVersion="3" recordCount="465" xr:uid="{6DF22BE5-9AB9-4B2D-9945-12FF137EE58C}">
  <cacheSource type="worksheet">
    <worksheetSource name="표14"/>
  </cacheSource>
  <cacheFields count="12">
    <cacheField name="material_id" numFmtId="0">
      <sharedItems count="98">
        <s v="M002"/>
        <s v="M003"/>
        <s v="M004"/>
        <s v="M005"/>
        <s v="M006"/>
        <s v="M007"/>
        <s v="M008"/>
        <s v="M010"/>
        <s v="M012"/>
        <s v="M014"/>
        <s v="M015"/>
        <s v="M016"/>
        <s v="M017"/>
        <s v="M019"/>
        <s v="M021"/>
        <s v="M022"/>
        <s v="M023"/>
        <s v="M024"/>
        <s v="M025"/>
        <s v="M026"/>
        <s v="M027"/>
        <s v="M028"/>
        <s v="M029"/>
        <s v="M030"/>
        <s v="M031"/>
        <s v="M033"/>
        <s v="M034"/>
        <s v="M035"/>
        <s v="M036"/>
        <s v="M037"/>
        <s v="M038"/>
        <s v="M039"/>
        <s v="M040"/>
        <s v="M041"/>
        <s v="M042"/>
        <s v="M043"/>
        <s v="M044"/>
        <s v="M045"/>
        <s v="M046"/>
        <s v="M047"/>
        <s v="M048"/>
        <s v="M049"/>
        <s v="M050"/>
        <s v="M052"/>
        <s v="M055"/>
        <s v="M056"/>
        <s v="M057"/>
        <s v="M058"/>
        <s v="M059"/>
        <s v="M060"/>
        <s v="M061"/>
        <s v="M062"/>
        <s v="M063"/>
        <s v="M064"/>
        <s v="M065"/>
        <s v="M066"/>
        <s v="M067"/>
        <s v="M068"/>
        <s v="M069"/>
        <s v="M070"/>
        <s v="M073"/>
        <s v="M074"/>
        <s v="M075"/>
        <s v="M077"/>
        <s v="M078"/>
        <s v="M079"/>
        <s v="M080"/>
        <s v="M081"/>
        <s v="M082"/>
        <s v="M083"/>
        <s v="M084"/>
        <s v="M085"/>
        <s v="M086"/>
        <s v="M087"/>
        <s v="M088"/>
        <s v="M089"/>
        <s v="M090"/>
        <s v="M091"/>
        <s v="M092"/>
        <s v="M093"/>
        <s v="M097"/>
        <s v="M098"/>
        <s v="M100"/>
        <s v="M101"/>
        <s v="M102"/>
        <s v="M103"/>
        <s v="M104"/>
        <s v="M105"/>
        <s v="M106"/>
        <s v="M107"/>
        <s v="M108"/>
        <s v="M109"/>
        <s v="M110"/>
        <s v="M111"/>
        <s v="M112"/>
        <s v="M113"/>
        <s v="M114"/>
        <e v="#N/A" u="1"/>
      </sharedItems>
    </cacheField>
    <cacheField name="app_id" numFmtId="0">
      <sharedItems/>
    </cacheField>
    <cacheField name="end_use_id" numFmtId="0">
      <sharedItems/>
    </cacheField>
    <cacheField name="rating" numFmtId="0">
      <sharedItems containsSemiMixedTypes="0" containsString="0" containsNumber="1" minValue="0.1" maxValue="0.6"/>
    </cacheField>
    <cacheField name="material_name" numFmtId="0">
      <sharedItems/>
    </cacheField>
    <cacheField name="raw application" numFmtId="0">
      <sharedItems/>
    </cacheField>
    <cacheField name="application_taxonomy" numFmtId="0">
      <sharedItems/>
    </cacheField>
    <cacheField name="end_use_industry" numFmtId="0">
      <sharedItems count="8">
        <s v="Consumer Products &amp; Packaging"/>
        <s v="Construction &amp; Infrastructure"/>
        <s v="Automotive &amp; Future Mobility"/>
        <s v="Energy, Power &amp; Utilities"/>
        <s v="Industrial Goods &amp; Advanced Manufacturing"/>
        <s v="Agriculture"/>
        <s v="Healthcare &amp; Life Sciences"/>
        <s v="Electronics, Semiconductors &amp; Digital Infrastructure"/>
      </sharedItems>
    </cacheField>
    <cacheField name="importance" numFmtId="0">
      <sharedItems/>
    </cacheField>
    <cacheField name="reasoning" numFmtId="0">
      <sharedItems/>
    </cacheField>
    <cacheField name="taxonomy_action" numFmtId="0">
      <sharedItems/>
    </cacheField>
    <cacheField name="sourc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0">
  <r>
    <n v="1"/>
    <s v="Electronic chemicals"/>
    <x v="0"/>
    <s v="Wafer substrates"/>
    <s v="Silicon wafers"/>
    <s v="Logic/Memory용 300 mm silicon wafer"/>
    <s v="Quartz/Silica"/>
    <s v="-"/>
    <s v="Polysilicon, Single-crystal silicon ingot"/>
    <s v="Quartz/Silica → Metallurgical silicon → Polysilicon → Silicon ingot → Silicon wafer"/>
    <n v="5.9391140093720998E-2"/>
    <s v="Δ"/>
  </r>
  <r>
    <n v="2"/>
    <s v="Electronic chemicals"/>
    <x v="0"/>
    <s v="Wafer substrates"/>
    <s v="Silicon carbide (SiC) wafers"/>
    <s v="EV power semiconductor용 SiC wafer"/>
    <s v="Quartz/Silica, Petroleum coke"/>
    <s v="-"/>
    <s v="SiC powder/crystal boule"/>
    <s v="Silica + Carbon source → SiC crystal → SiC wafer"/>
    <n v="0.14004834546525399"/>
    <s v="Δ"/>
  </r>
  <r>
    <n v="3"/>
    <s v="Electronic chemicals"/>
    <x v="0"/>
    <s v="Wafer substrates"/>
    <s v="Sapphire wafers"/>
    <s v="LED/RF/compound semiconductor substrate"/>
    <s v="Alumina/Bauxite"/>
    <s v="-"/>
    <s v="High-purity alumina, Sapphire ingot"/>
    <s v="Bauxite → Alumina → Sapphire crystal → Sapphire wafer"/>
    <n v="-3.0534879842904999E-3"/>
    <s v="Δ"/>
  </r>
  <r>
    <n v="4"/>
    <s v="Electronic chemicals"/>
    <x v="0"/>
    <s v="Wafer substrates"/>
    <s v="Other semiconductor wafers"/>
    <s v="GaAs/InP compound semiconductor wafer"/>
    <s v="Gallium, Arsenic, Indium, Phosphorus"/>
    <s v="-"/>
    <s v="GaAs/InP crystal ingot"/>
    <s v="Specialty metals → Compound semiconductor crystal → Wafer"/>
    <n v="6.1178645568894303E-2"/>
    <s v="Δ"/>
  </r>
  <r>
    <n v="5"/>
    <s v="Electronic chemicals"/>
    <x v="0"/>
    <s v="Electronic gases"/>
    <s v="Atmospheric gases"/>
    <s v="High-purity N2/O2/Ar for purge, oxidation and process atmosphere"/>
    <s v="Air"/>
    <s v="-"/>
    <s v="High-purity nitrogen, oxygen, argon"/>
    <s v="Air separation → Electronic-grade atmospheric gas"/>
    <n v="6.08745677764162E-2"/>
    <s v="Δ"/>
  </r>
  <r>
    <n v="6"/>
    <s v="Electronic chemicals"/>
    <x v="0"/>
    <s v="Electronic gases"/>
    <s v="Specialty gases"/>
    <s v="Deposition/etching/cleaning gases for CVD/etch process"/>
    <s v="Silicon, Fluorine, Chlorine, Ammonia"/>
    <s v="△"/>
    <s v="Silane, NF3, WF6, HCl, NH3, TEOS-type precursors"/>
    <s v="Inorganic/silicon/fluorine chemistry → Specialty electronic gas"/>
    <n v="5.27681134021383E-2"/>
    <s v="Δ"/>
  </r>
  <r>
    <n v="7"/>
    <s v="Electronic chemicals"/>
    <x v="0"/>
    <s v="Metal and dielectric materials"/>
    <s v="Thin-film metals (sputtering targets)"/>
    <s v="Cu/Al/Ta/Ti/W sputtering target for interconnect/barrier layer"/>
    <s v="Copper, Aluminum, Titanium, Tantalum, Tungsten"/>
    <s v="-"/>
    <s v="High-purity metal target"/>
    <s v="Metal refining → Ultra-high-purity target → Thin-film deposition"/>
    <n v="6.4860400445376595E-2"/>
    <s v="Δ"/>
  </r>
  <r>
    <n v="8"/>
    <s v="Electronic chemicals"/>
    <x v="0"/>
    <s v="Metal and dielectric materials"/>
    <s v="Dielectric materialsc"/>
    <s v="Low-k / High-k dielectric precursor for insulating layer"/>
    <s v="Silicon, Hafnium/Zirconium, Organosilicon"/>
    <s v="-"/>
    <s v="TEOS, silane precursor, Hf/Zr precursor"/>
    <s v="Silicon/metal-organic chemistry → Dielectric precursor → Thin-film dielectric"/>
    <n v="6.7418390774678399E-2"/>
    <s v="Δ"/>
  </r>
  <r>
    <n v="9"/>
    <s v="Electronic chemicals"/>
    <x v="0"/>
    <s v="Photoresists"/>
    <s v="g-/i-line (436/365 nm)"/>
    <s v="Mature-node photoresist for display/legacy semiconductor process"/>
    <s v="Benzene, Phenol, Naphthalene"/>
    <s v="○"/>
    <s v="Novolac resin, DNQ sensitizer"/>
    <s v="BTX → Phenolic resin/DNQ chemistry → g-/i-line photoresist"/>
    <n v="5.3194208153123999E-2"/>
    <s v="Δ"/>
  </r>
  <r>
    <n v="10"/>
    <s v="Electronic chemicals"/>
    <x v="0"/>
    <s v="Photoresists"/>
    <s v="KrF (248 nm)"/>
    <s v="DUV photoresist for semiconductor lithography"/>
    <s v="Benzene, Styrene"/>
    <s v="○"/>
    <s v="Hydroxystyrene polymer, Photoacid generator"/>
    <s v="BTX → Styrenic polymer/PAG → KrF photoresist"/>
    <n v="6.7762556033610102E-2"/>
    <s v="Δ"/>
  </r>
  <r>
    <n v="11"/>
    <s v="Electronic chemicals"/>
    <x v="0"/>
    <s v="Photoresists"/>
    <s v="ArF (193 nm)"/>
    <s v="Advanced DUV photoresist for fine patterning"/>
    <s v="Propylene, Fluorochemical feed"/>
    <s v="△"/>
    <s v="Acrylate/methacrylate polymer, PAG"/>
    <s v="Propylene/acrylate + fluorochemical chain → ArF photoresist"/>
    <n v="8.3092444695634704E-2"/>
    <s v="Δ"/>
  </r>
  <r>
    <n v="12"/>
    <s v="Electronic chemicals"/>
    <x v="0"/>
    <s v="Photoresists"/>
    <s v="EUV (13.5 nm)"/>
    <s v="Leading-edge EUV photoresist for advanced logic/memory"/>
    <s v="Aromatics, Fluorochemicals, Metal precursors"/>
    <s v="△"/>
    <s v="Chemically amplified resist, PAG, Metal-oxide resist precursor"/>
    <s v="Specialty organic/fluorine/metal precursor → EUV resist"/>
    <n v="0.17105379421102401"/>
    <s v="Δ"/>
  </r>
  <r>
    <n v="13"/>
    <s v="Electronic chemicals"/>
    <x v="0"/>
    <s v="Wet-processing chemicals"/>
    <s v="Standard electronic grade - Acids and bases"/>
    <s v="Cleaning/etching acids and bases for mature process"/>
    <s v="Sulfur, Chlorine, Fluorspar, Ammonia"/>
    <s v="△"/>
    <s v="H2SO4, HCl, HF, NH4OH"/>
    <s v="Inorganic acid/base chain → Electronic-grade wet chemical"/>
    <n v="3.4904309243446001E-2"/>
    <s v="Δ"/>
  </r>
  <r>
    <n v="14"/>
    <s v="Electronic chemicals"/>
    <x v="0"/>
    <s v="Wet-processing chemicals"/>
    <s v="Standard electronic grade - Solvents"/>
    <s v="Cleaning and resist process solvent"/>
    <s v="Propylene, Methanol, Acetone"/>
    <s v="○"/>
    <s v="IPA, Acetone, PGME/PGMEA"/>
    <s v="Olefin/alcohol/ketone chain → Electronic-grade solvent"/>
    <n v="4.1749160975483403E-2"/>
    <s v="Δ"/>
  </r>
  <r>
    <n v="15"/>
    <s v="Electronic chemicals"/>
    <x v="0"/>
    <s v="Wet-processing chemicals"/>
    <s v="Ultra-high purity - Acids and bases"/>
    <s v="Advanced-node UHP cleaning/etch chemical"/>
    <s v="Sulfur, Chlorine, Fluorspar, Ammonia"/>
    <s v="△"/>
    <s v="UHP H2SO4, HF, HCl, NH4OH, H2O2"/>
    <s v="Inorganic chain → Ultra-high-purity purification → UHP wet chemical"/>
    <n v="7.7731387779255104E-2"/>
    <s v="Δ"/>
  </r>
  <r>
    <n v="16"/>
    <s v="Electronic chemicals"/>
    <x v="0"/>
    <s v="Wet-processing chemicals"/>
    <s v="Ultra-high purity - Solvents"/>
    <s v="Advanced-node UHP solvent for lithography/cleaning"/>
    <s v="Propylene, EO/PO, Methanol"/>
    <s v="○"/>
    <s v="UHP IPA, PGMEA, NMP-type solvent"/>
    <s v="Petrochemical solvent chain → Ultra-high-purity purification → UHP solvent"/>
    <n v="8.8317401593957595E-2"/>
    <s v="Δ"/>
  </r>
  <r>
    <n v="17"/>
    <s v="Electronic chemicals"/>
    <x v="0"/>
    <s v="Formulated products"/>
    <s v="Copper-plating chemicals"/>
    <s v="Cu electroplating bath for interconnect formation"/>
    <s v="Copper, Sulfuric acid, Organic additives"/>
    <s v="-"/>
    <s v="Copper sulfate, Leveler, Suppressor, Brightener"/>
    <s v="Copper/inorganic acid + organic additive → Cu plating formulation"/>
    <n v="5.8705318455750402E-2"/>
    <s v="Δ"/>
  </r>
  <r>
    <n v="18"/>
    <s v="Electronic chemicals"/>
    <x v="0"/>
    <s v="Formulated products"/>
    <s v="Photoresist ancillaries"/>
    <s v="Developer/stripper/edge-bead remover for lithography process"/>
    <s v="TMA, Solvents, Amines"/>
    <s v="△"/>
    <s v="TMAH developer, Stripper, Rinse/EBR solvent"/>
    <s v="Amine/solvent chemistry → Lithography ancillary formulation"/>
    <n v="7.2889934245105703E-2"/>
    <s v="Δ"/>
  </r>
  <r>
    <n v="19"/>
    <s v="Electronic chemicals"/>
    <x v="0"/>
    <s v="Formulated products"/>
    <s v="CMP products"/>
    <s v="CMP slurry/pad/post-CMP cleaner for planarization"/>
    <s v="Silica/Ceria/Alumina, PU, Surfactant"/>
    <s v="△"/>
    <s v="CMP slurry, Polyurethane pad, Post-CMP cleaner"/>
    <s v="Inorganic abrasive + PU/surfactant chemistry → CMP consumable"/>
    <n v="9.3043991698218198E-2"/>
    <s v="Δ"/>
  </r>
  <r>
    <n v="20"/>
    <s v="Electronic chemicals"/>
    <x v="1"/>
    <s v="Substrates"/>
    <s v="Substrates for LCD"/>
    <s v="TFT-LCD glass substrate"/>
    <s v="Silica, Soda ash, Alumina"/>
    <s v="-"/>
    <s v="High-purity display glass"/>
    <s v="Inorganic minerals → Specialty glass → LCD substrate"/>
    <n v="9.0686205408088104E-3"/>
    <s v="Δ"/>
  </r>
  <r>
    <n v="21"/>
    <s v="Electronic chemicals"/>
    <x v="1"/>
    <s v="Substrates"/>
    <s v="Substrates for OLED"/>
    <s v="OLED glass / flexible PI substrate"/>
    <s v="Silica, Benzene, PX"/>
    <s v="△"/>
    <s v="Display glass, Polyimide substrate"/>
    <s v="Inorganic glass or Aromatics → PI film → OLED substrate"/>
    <n v="7.4662202759102805E-2"/>
    <s v="Δ"/>
  </r>
  <r>
    <n v="22"/>
    <s v="Electronic chemicals"/>
    <x v="1"/>
    <s v="Optical and functional films "/>
    <s v="LCD - Light guide plate (LGP)"/>
    <s v="PMMA/PC light guide plate"/>
    <s v="Propylene, Methanol, Benzene"/>
    <s v="△"/>
    <s v="MMA/PMMA resin, PC resin"/>
    <s v="Propylene/Methanol → MMA/PMMA or BTX/propylene → PC → LGP"/>
    <n v="4.5236302358995202E-3"/>
    <s v="Δ"/>
  </r>
  <r>
    <n v="23"/>
    <s v="Electronic chemicals"/>
    <x v="1"/>
    <s v="Optical and functional films "/>
    <s v="LCD - Light guide plate (LGP) Reflective film"/>
    <s v="White PET reflective film"/>
    <s v="PX, Ethylene, TiO₂"/>
    <s v="△"/>
    <s v="PET film, White masterbatch"/>
    <s v="PX/Ethylene → PET film → Reflective film"/>
    <n v="1.04139153277554E-2"/>
    <s v="Δ"/>
  </r>
  <r>
    <n v="24"/>
    <s v="Electronic chemicals"/>
    <x v="1"/>
    <s v="Optical and functional films "/>
    <s v="LCD - Light guide plate (LGP) Diffusion film"/>
    <s v="PET/PC diffusion film"/>
    <s v="PX, Ethylene, Propylene, Styrene"/>
    <s v="○"/>
    <s v="PET film, Acrylic/PS diffusion beads"/>
    <s v="PET/PC base film + Acrylic/PS particles → Diffusion film"/>
    <n v="1.4256416572187E-2"/>
    <s v="Δ"/>
  </r>
  <r>
    <n v="25"/>
    <s v="Electronic chemicals"/>
    <x v="1"/>
    <s v="Optical and functional films "/>
    <s v="LCD - Brightness enhancement film (BEF)"/>
    <s v="Prism optical film"/>
    <s v="PX, Ethylene, Propylene"/>
    <s v="○"/>
    <s v="PET base film, UV acrylate resin"/>
    <s v="PET film + Acrylate coating → BEF prism film"/>
    <n v="1.2372178657660901E-2"/>
    <s v="Δ"/>
  </r>
  <r>
    <n v="26"/>
    <s v="Electronic chemicals"/>
    <x v="1"/>
    <s v="Optical and functional films "/>
    <s v="LCD - Linear polarizers (LPL)"/>
    <s v="PVA/TAC polarizer film"/>
    <s v="Ethylene, Acetic acid, Cellulose"/>
    <s v="△"/>
    <s v="PVA film, TAC film, Iodine"/>
    <s v="Ethylene → VAM → PVA + Cellulose → TAC → Polarizer"/>
    <n v="8.3803438244016704E-3"/>
    <s v="Δ"/>
  </r>
  <r>
    <n v="27"/>
    <s v="Electronic chemicals"/>
    <x v="1"/>
    <s v="Optical and functional films "/>
    <s v="LCD - Linear polarizers (LPL) Alignment film "/>
    <s v="LCD polyimide alignment film"/>
    <s v="Benzene, PX"/>
    <s v="○"/>
    <s v="Dianhydride, Diamine, PI varnish"/>
    <s v="Aromatics → PI precursor → Alignment film"/>
    <n v="4.7340304084866301E-3"/>
    <s v="Δ"/>
  </r>
  <r>
    <n v="28"/>
    <s v="Electronic chemicals"/>
    <x v="1"/>
    <s v="Optical and functional films "/>
    <s v="LCD - Anisotropic conductive film (ACF)"/>
    <s v="Conductive adhesive film for panel bonding"/>
    <s v="Benzene, Propylene, Metal particles"/>
    <s v="△"/>
    <s v="Epoxy/acrylic adhesive, Conductive particles"/>
    <s v="BTX/propylene → Adhesive resin + Metal particles → ACF"/>
    <n v="1.07295659162325E-2"/>
    <s v="Δ"/>
  </r>
  <r>
    <n v="29"/>
    <s v="Electronic chemicals"/>
    <x v="1"/>
    <s v="Optical and functional films "/>
    <s v="OLED - Circular polarizers (CPL)"/>
    <s v="OLED anti-reflection circular polarizer"/>
    <s v="Ethylene, Cellulose, C5/Cyclic olefin"/>
    <s v="△"/>
    <s v="PVA, TAC, COP/retardation film"/>
    <s v="PVA/TAC/COP film chain → Circular polarizer"/>
    <n v="5.47313200216362E-2"/>
    <s v="Δ"/>
  </r>
  <r>
    <n v="30"/>
    <s v="Electronic chemicals"/>
    <x v="1"/>
    <s v="Optical and functional films "/>
    <s v="OLED - Anisotropic conductive film (ACF)"/>
    <s v="Conductive bonding film for OLED module"/>
    <s v="Benzene, Propylene, Metal particles"/>
    <s v="△"/>
    <s v="Epoxy/acrylic adhesive, Conductive particles"/>
    <s v="BTX/propylene → Adhesive resin + Metal particles → ACF"/>
    <n v="7.1726208107651707E-2"/>
    <s v="Δ"/>
  </r>
  <r>
    <n v="31"/>
    <s v="Electronic chemicals"/>
    <x v="1"/>
    <s v="Liquid crystals"/>
    <m/>
    <s v="LCD liquid crystal mixture"/>
    <s v="Benzene, Toluene, Fluorochemicals"/>
    <s v="△"/>
    <s v="Fluorinated biphenyl/cyclohexane LC intermediates"/>
    <s v="BTX/fluorochemical chain → Mesogenic intermediates → LC mixture"/>
    <n v="8.9999999999999993E-3"/>
    <s v="Δ"/>
  </r>
  <r>
    <n v="32"/>
    <s v="Electronic chemicals"/>
    <x v="1"/>
    <s v="Organic materials for OLED"/>
    <s v="EML host material"/>
    <s v="OLED emission-layer host"/>
    <s v="Benzene, Toluene, Naphthalene"/>
    <s v="○"/>
    <s v="Carbazole, Anthracene, Triazine, Phosphine oxide derivatives"/>
    <s v="Aromatics → Organic semiconductor intermediate → OLED host"/>
    <n v="7.2451960850292901E-2"/>
    <s v="Δ"/>
  </r>
  <r>
    <n v="33"/>
    <s v="Electronic chemicals"/>
    <x v="1"/>
    <s v="Organic materials for OLED"/>
    <s v="EML host material - EML dopant"/>
    <s v="OLED emitter/dopant"/>
    <s v="Aromatics, Iridium/Platinum"/>
    <s v="△"/>
    <s v="Phosphorescent/fluorescent dopant complex"/>
    <s v="Aromatics + Precious metal complex → OLED dopant"/>
    <n v="7.2451960850292901E-2"/>
    <s v="Δ"/>
  </r>
  <r>
    <n v="34"/>
    <s v="Electronic chemicals"/>
    <x v="1"/>
    <s v="Organic materials for OLED"/>
    <s v="EML host material - Other layers"/>
    <s v="HTL/ETL/HIL/EIL materials"/>
    <s v="Aromatics, Fluorochemicals, Metal precursors"/>
    <s v="△"/>
    <s v="Amine, Spiro, Oxadiazole, Metal oxide/complex materials"/>
    <s v="Specialty aromatics/metal precursor → OLED functional layer material"/>
    <n v="7.3008989352050899E-2"/>
    <s v="Δ"/>
  </r>
  <r>
    <n v="35"/>
    <s v="Electronic chemicals"/>
    <x v="1"/>
    <s v="Electrode materials "/>
    <m/>
    <s v="ITO/Ag/Al/Cu electrode material"/>
    <s v="Indium, Tin, Silver, Aluminum, Copper"/>
    <s v="-"/>
    <s v="ITO target, Metal sputtering target"/>
    <s v="High-purity metals → Sputtering target → Display electrode"/>
    <n v="1.3274271314734199E-2"/>
    <s v="Δ"/>
  </r>
  <r>
    <n v="36"/>
    <s v="Electronic chemicals"/>
    <x v="1"/>
    <s v="Color filter resists"/>
    <m/>
    <s v="RGB color filter photoresist"/>
    <s v="Benzene, Propylene, Pigments"/>
    <s v="△"/>
    <s v="Acrylic resin, Pigment dispersion, Photoinitiator"/>
    <s v="BTX/propylene → Acrylic resist resin + Pigments → Color filter resist"/>
    <n v="8.5042473253971202E-3"/>
    <s v="Δ"/>
  </r>
  <r>
    <n v="37"/>
    <s v="Electronic chemicals"/>
    <x v="1"/>
    <s v="Processing chemicals "/>
    <s v="Photoresists "/>
    <s v="Display photoresist"/>
    <s v="Benzene, Propylene"/>
    <s v="○"/>
    <s v="Novolac/acrylic resin, PAG, Solvent"/>
    <s v="BTX/propylene → Photoresist resin/formulation → Display PR"/>
    <n v="1.6440771966088799E-2"/>
    <s v="Δ"/>
  </r>
  <r>
    <n v="38"/>
    <s v="Electronic chemicals"/>
    <x v="1"/>
    <s v="Processing chemicals "/>
    <s v="Electronic gases "/>
    <s v="Process gas for display panel manufacturing"/>
    <s v="Air, Silicon, Fluorine, Chlorine"/>
    <s v="-"/>
    <s v="N₂/O₂/Ar, Silane, NF₃, HCl, NH₃"/>
    <s v="Air separation / Inorganic chemistry → Electronic-grade gases"/>
    <n v="1.30786126864046E-2"/>
    <s v="Δ"/>
  </r>
  <r>
    <n v="39"/>
    <s v="Electronic chemicals"/>
    <x v="1"/>
    <s v="Processing chemicals "/>
    <s v="Wet-processing chemicals"/>
    <s v="Cleaning/etching chemicals for display process"/>
    <s v="Sulfur, Chlorine, Fluorspar, Propylene"/>
    <s v="△"/>
    <s v="H₂SO₄, HCl, HF, IPA, PGMEA"/>
    <s v="Inorganic acid/base + Solvent chain → Wet-process chemical"/>
    <n v="3.4005274192098901E-2"/>
    <s v="Δ"/>
  </r>
  <r>
    <n v="40"/>
    <s v="Electronic chemicals"/>
    <x v="2"/>
    <s v="PCB chemicals"/>
    <s v="PCB base materials"/>
    <s v="Copper-clad laminate / build-up substrate base"/>
    <s v="Benzene, Propylene, Glass fiber, Copper"/>
    <s v="△"/>
    <s v="Epoxy resin, BT resin, Glass cloth, Copper foil"/>
    <s v="BTX/propylene → Epoxy/BT resin + Glass/Cu → PCB laminate"/>
    <n v="5.0624522566614899E-2"/>
    <s v="Δ"/>
  </r>
  <r>
    <n v="41"/>
    <s v="Electronic chemicals"/>
    <x v="2"/>
    <s v="PCB chemicals"/>
    <s v="PCB resists"/>
    <s v="Dry film resist / solder mask"/>
    <s v="Propylene, Benzene"/>
    <s v="○"/>
    <s v="Acrylate oligomer, Epoxy acrylate, Photoinitiator"/>
    <s v="Propylene/acrylate + BTX → Photoimageable resist"/>
    <n v="4.8774223819232798E-2"/>
    <s v="Δ"/>
  </r>
  <r>
    <n v="42"/>
    <s v="Electronic chemicals"/>
    <x v="2"/>
    <s v="PCB chemicals"/>
    <s v="Wet-processing chemicals"/>
    <s v="Etchant, cleaner and desmear chemical"/>
    <s v="Chlorine, Sulfur, Fluorspar, Solvent feed"/>
    <s v="△"/>
    <s v="Cu etchant, H₂SO₄, HCl, HF, Solvent cleaner"/>
    <s v="Inorganic acid/base + Solvent chain → PCB wet chemical"/>
    <n v="5.7513874156465798E-2"/>
    <s v="Δ"/>
  </r>
  <r>
    <n v="43"/>
    <s v="Electronic chemicals"/>
    <x v="2"/>
    <s v="PCB chemicals"/>
    <s v="Plating chemicals"/>
    <s v="Copper/electroless plating bath"/>
    <s v="Copper, Sulfur, Formaldehyde, Organic additives"/>
    <s v="-"/>
    <s v="Copper sulfate, Chelant, Leveler, Suppressor"/>
    <s v="Copper/inorganic acid + Organic additive → PCB plating chemical"/>
    <n v="5.12152033412605E-2"/>
    <s v="Δ"/>
  </r>
  <r>
    <n v="44"/>
    <s v="Electronic chemicals"/>
    <x v="2"/>
    <s v="PCB chemicals"/>
    <s v="Thick-film pastes"/>
    <s v="Conductive/dielectric paste"/>
    <s v="Silver, Copper, Nickel, Epoxy/Acrylic resin"/>
    <s v="-"/>
    <s v="Metal powder, Binder resin, Solvent"/>
    <s v="Metal powder + Organic binder → Thin-film paste"/>
    <n v="4.4629320696498102E-2"/>
    <s v="Δ"/>
  </r>
  <r>
    <n v="45"/>
    <s v="Electronic chemicals"/>
    <x v="2"/>
    <s v="Semiconductor packaging materials"/>
    <s v="Substrates and interposer materials"/>
    <s v="IC substrate / ABF substrate / silicon interposer"/>
    <s v="Benzene, Propylene, Silica, Copper"/>
    <s v="△"/>
    <s v="ABF resin, BT resin, Cu foil, Silicon wafer"/>
    <s v="Epoxy/BT resin + Cu/Si → IC substrate/interposer"/>
    <n v="6.9449861594213E-2"/>
    <s v="Δ"/>
  </r>
  <r>
    <n v="46"/>
    <s v="Electronic chemicals"/>
    <x v="2"/>
    <s v="Semiconductor packaging materials"/>
    <s v="Encapsulants"/>
    <s v="Epoxy molding compound for semiconductor package"/>
    <s v="Benzene, Propylene, Silica"/>
    <s v="△"/>
    <s v="Epoxy resin, Phenolic hardener, Silica filler"/>
    <s v="BTX/propylene → Epoxy resin + Silica filler → EMC"/>
    <n v="6.8722789622549102E-2"/>
    <s v="Δ"/>
  </r>
  <r>
    <n v="47"/>
    <s v="Electronic chemicals"/>
    <x v="2"/>
    <s v="Semiconductor packaging materials"/>
    <s v="Adhesives"/>
    <s v="Die attach adhesive / underfill"/>
    <s v="Benzene, Propylene, Silicon"/>
    <s v="△"/>
    <s v="Epoxy resin, Acrylic resin, Silicone resin"/>
    <s v="Epoxy/acrylic/silicone chemistry → Semiconductor adhesive"/>
    <n v="6.0223864699100703E-2"/>
    <s v="Δ"/>
  </r>
  <r>
    <n v="48"/>
    <s v="Electronic chemicals"/>
    <x v="2"/>
    <s v="Semiconductor packaging materials"/>
    <s v="Solder bump materials"/>
    <s v="Solder ball / bumping material"/>
    <s v="Tin, Silver, Copper"/>
    <s v="-"/>
    <s v="Sn-Ag-Cu alloy, Solder powder/ball"/>
    <s v="High-purity metals → Solder alloy → Solder bump"/>
    <n v="7.2637597583553801E-2"/>
    <s v="Δ"/>
  </r>
  <r>
    <n v="49"/>
    <s v="Electronic chemicals"/>
    <x v="2"/>
    <s v="Semiconductor packaging materials"/>
    <s v="Other materials"/>
    <s v="Bonding wire, leadframe, TIM, release film"/>
    <s v="Copper, Gold, Silver, Silicon, Benzene"/>
    <s v="△"/>
    <s v="Bonding wire, Leadframe, Thermal interface material"/>
    <s v="High-purity metal + Polymer formulation → Packaging auxiliary material"/>
    <n v="6.71582070669203E-2"/>
    <s v="Δ"/>
  </r>
  <r>
    <n v="50"/>
    <s v="Nutraceutical ingredients"/>
    <x v="3"/>
    <s v="Amino acids, peptidesand proteins"/>
    <m/>
    <s v="Health supplement amino acid/protein ingredient"/>
    <s v="Glucose, Ammonia, Natural protein"/>
    <s v="-"/>
    <s v="Amino acids, Peptides, Protein hydrolysate"/>
    <s v="Biomass/sugar → Fermentation or hydrolysis → Amino acid/protein ingredient"/>
    <n v="4.0228776644225098E-2"/>
    <m/>
  </r>
  <r>
    <n v="51"/>
    <s v="Nutraceutical ingredients"/>
    <x v="3"/>
    <s v="Carotenoids"/>
    <m/>
    <s v="Eye-health / antioxidant nutraceutical ingredient"/>
    <s v="C5 isoprene, Natural extracts"/>
    <s v="-"/>
    <s v="Beta-carotene, Lutein, Astaxanthin"/>
    <s v="Isoprene/natural extraction → Carotenoid active → Nutraceutical formulation"/>
    <n v="4.0228776644225098E-2"/>
    <m/>
  </r>
  <r>
    <n v="52"/>
    <s v="Nutraceutical ingredients"/>
    <x v="3"/>
    <s v="Mineralsand traceelements"/>
    <m/>
    <s v="Mineral supplement ingredient"/>
    <s v="Inorganic minerals"/>
    <s v="-"/>
    <s v="Calcium, Magnesium, Zinc, Iron salts"/>
    <s v="Mineral refining → Food-grade mineral salt → Supplement ingredient"/>
    <n v="4.0228776644225098E-2"/>
    <m/>
  </r>
  <r>
    <n v="53"/>
    <s v="Nutraceutical ingredients"/>
    <x v="3"/>
    <s v="Polyphenols andflavonoids"/>
    <m/>
    <s v="Antioxidant botanical extract"/>
    <s v="Botanical feedstock"/>
    <s v="-"/>
    <s v="Tea catechin, Grape polyphenol, Isoflavone"/>
    <s v="Plant extraction → Purification → Functional polyphenol ingredient"/>
    <n v="4.0228776644225098E-2"/>
    <m/>
  </r>
  <r>
    <n v="54"/>
    <s v="Nutraceutical ingredients"/>
    <x v="3"/>
    <s v="Probiotics"/>
    <m/>
    <s v="Digestive/immune health probiotic culture"/>
    <s v="Sugar, Fermentation medium"/>
    <s v="-"/>
    <s v="Lactobacillus, Bifidobacterium strain"/>
    <s v="Sugar/biomass → Fermentation → Probiotic culture"/>
    <n v="4.0228776644225098E-2"/>
    <m/>
  </r>
  <r>
    <n v="55"/>
    <s v="Nutraceutical ingredients"/>
    <x v="3"/>
    <s v="Specialty carbohydratesand fibers"/>
    <m/>
    <s v="Prebiotic fiber / dietary fiber ingredient"/>
    <s v="Starch, Sugar, Cellulose"/>
    <s v="-"/>
    <s v="Inulin, Resistant dextrin, Polydextrose"/>
    <s v="Biomass/starch → Hydrolysis/modification → Functional fiber"/>
    <n v="4.0228776644225098E-2"/>
    <m/>
  </r>
  <r>
    <n v="56"/>
    <s v="Nutraceutical ingredients"/>
    <x v="3"/>
    <s v="Specialtyfattyacids"/>
    <m/>
    <s v="Omega-3 / functional lipid ingredient"/>
    <s v="Fish oil, Algae oil, Oleochemical"/>
    <s v="-"/>
    <s v="EPA, DHA, CLA"/>
    <s v="Natural oil/algae fermentation → Fatty acid concentration → Nutraceutical oil"/>
    <n v="4.0228776644225098E-2"/>
    <m/>
  </r>
  <r>
    <n v="57"/>
    <s v="Nutraceutical ingredients"/>
    <x v="3"/>
    <s v="Sterolsandstanols"/>
    <m/>
    <s v="Cholesterol-lowering plant sterol ingredient"/>
    <s v="Vegetable oil, Tall oil"/>
    <s v="-"/>
    <s v="Phytosterol, Stanol ester"/>
    <s v="Oleochemical/tall oil → Sterol extraction → Esterified sterol ingredient"/>
    <n v="4.0228776644225098E-2"/>
    <m/>
  </r>
  <r>
    <n v="58"/>
    <s v="Nutraceutical ingredients"/>
    <x v="3"/>
    <s v="Vitamins"/>
    <m/>
    <s v="Vitamin supplement active ingredient"/>
    <s v="Glucose, Acetone, Isoprene, Fermentation feedstock"/>
    <s v="△"/>
    <s v="Vitamin C, E, B-group intermediates"/>
    <s v="Petrochemical/biomass route → Vitamin intermediate → Vitamin active"/>
    <n v="4.0228776644225098E-2"/>
    <m/>
  </r>
  <r>
    <n v="59"/>
    <s v="Nutraceutical ingredients"/>
    <x v="3"/>
    <s v="Other"/>
    <m/>
    <s v="Specialty functional health ingredient"/>
    <s v="Biomass, Petrochemical intermediates"/>
    <s v="△"/>
    <s v="CoQ10, Glucosamine, Specialty actives"/>
    <s v="Fermentation/extraction/synthesis → Functional nutraceutical active"/>
    <n v="4.0228776644225098E-2"/>
    <m/>
  </r>
  <r>
    <n v="60"/>
    <s v="Specialty polymers"/>
    <x v="4"/>
    <s v="Semicrystalline"/>
    <s v="High-performance polyamides"/>
    <s v="Automotive under-the-hood engineering plastic"/>
    <s v="Benzene, C4"/>
    <s v="○"/>
    <s v="Diamine, Diacid, Lactam"/>
    <s v="BTX/C4 → Nylon intermediates → Specialty polyamide"/>
    <n v="3.3061845470393036E-2"/>
    <s v="O"/>
  </r>
  <r>
    <n v="61"/>
    <s v="Specialty polymers"/>
    <x v="4"/>
    <s v="Semicrystalline"/>
    <s v="Polyphenylene sulfide"/>
    <s v="High-temperature electrical/electronic component resin"/>
    <s v="Benzene, Sulfur"/>
    <s v="△"/>
    <s v="p-Dichlorobenzene, Sodium sulfide"/>
    <s v="Benzene/chlor-alkali/sulfur → PPS monomer → PPS resin"/>
    <n v="3.3061845470393036E-2"/>
    <s v="O"/>
  </r>
  <r>
    <n v="62"/>
    <s v="Specialty polymers"/>
    <x v="4"/>
    <s v="Semicrystalline"/>
    <s v="Liquid crystal polymers"/>
    <s v="SMT connector &amp; miniaturized electronic component resin"/>
    <s v="PX, Benzene"/>
    <s v="○"/>
    <s v="Aromatic hydroxy acid, Aromatic polyester monomer"/>
    <s v="Aromatics → Specialty aromatic monomer → LCP"/>
    <n v="3.3061845470393036E-2"/>
    <s v="O"/>
  </r>
  <r>
    <n v="63"/>
    <s v="Specialty polymers"/>
    <x v="4"/>
    <s v="Semicrystalline"/>
    <s v="Aromatic ketone polymers"/>
    <s v="Aerospace &amp; semiconductor ultra-performance resin"/>
    <s v="Benzene"/>
    <s v="○"/>
    <s v="Bisphenol, Aromatic ketone monomer"/>
    <s v="BTX → Aromatic ketone intermediate → PEEK/PEKK"/>
    <n v="3.3061845470393036E-2"/>
    <s v="O"/>
  </r>
  <r>
    <n v="64"/>
    <s v="Specialty polymers"/>
    <x v="4"/>
    <s v="Semicrystalline"/>
    <s v="Polycyclohexylenedimethylene _x000a_terephthalate (PCT)"/>
    <s v="LED reflector &amp; high-heat electrical polyester"/>
    <s v="PX, Ethylene"/>
    <s v="○"/>
    <s v="PTA, CHDM"/>
    <s v="PX/ethylene → PTA + CHDM → PCT"/>
    <n v="3.3061845470393036E-2"/>
    <s v="O"/>
  </r>
  <r>
    <n v="65"/>
    <s v="Specialty polymers"/>
    <x v="4"/>
    <s v="Amorphous "/>
    <s v="Polyarylate resin (PAR)"/>
    <s v="Transparent heat-resistant engineering plastic"/>
    <s v="Benzene, PX"/>
    <s v="○"/>
    <s v="BPA, Terephthaloyl chloride"/>
    <s v="BTX → BPA/aromatic acid chloride → PAR"/>
    <n v="3.5671899999999999E-2"/>
    <s v="O"/>
  </r>
  <r>
    <n v="66"/>
    <s v="Specialty polymers"/>
    <x v="4"/>
    <s v="Amorphous "/>
    <s v="Sulfone polymers"/>
    <s v="Medical, membrane &amp; aerospace engineering plastic"/>
    <s v="Benzene, Propylene"/>
    <s v="○"/>
    <s v="BPA, Dichlorodiphenyl sulfone"/>
    <s v="BTX/propylene → BPA + sulfone intermediate → Sulfone polymer"/>
    <n v="3.5671899999999999E-2"/>
    <s v="O"/>
  </r>
  <r>
    <n v="67"/>
    <s v="Specialty polymers"/>
    <x v="4"/>
    <s v="Amorphous "/>
    <s v="Polyimide resins"/>
    <s v="Semiconductor &amp; FPCB heat-resistant material"/>
    <s v="Benzene, PX"/>
    <s v="○"/>
    <s v="Dianhydride, Diamine"/>
    <s v="Aromatics → PI monomer → Polyimide"/>
    <n v="3.5671899999999999E-2"/>
    <s v="O"/>
  </r>
  <r>
    <n v="68"/>
    <s v="Specialty polymers"/>
    <x v="5"/>
    <s v="Polyamide (Nylon)"/>
    <m/>
    <s v="Glass-fiber reinforced automotive engineering compound"/>
    <s v="Benzene, C4"/>
    <s v="○"/>
    <s v="Caprolactam, Nylon resin"/>
    <s v="BTX/C4 → Nylon resin → Compound"/>
    <n v="3.1736001613686497E-2"/>
    <s v="O"/>
  </r>
  <r>
    <n v="69"/>
    <s v="Specialty polymers"/>
    <x v="5"/>
    <s v="Polybutylene terephthalate (PBT)"/>
    <m/>
    <s v="Electrical connector &amp; automotive sensor compound"/>
    <s v="PX, C4"/>
    <s v="○"/>
    <s v="PTA, BDO"/>
    <s v="PX/C4 → PTA + BDO → PBT"/>
    <n v="3.1736001613686497E-2"/>
    <s v="O"/>
  </r>
  <r>
    <n v="70"/>
    <s v="Specialty polymers"/>
    <x v="5"/>
    <s v="Polycarbonate"/>
    <m/>
    <s v="Flame-retardant electronics housing material"/>
    <s v="Benzene, Propylene"/>
    <s v="○"/>
    <s v="BPA, PC resin"/>
    <s v="BTX/propylene → BPA → PC resin → Compound"/>
    <n v="3.1736001613686497E-2"/>
    <s v="O"/>
  </r>
  <r>
    <n v="71"/>
    <s v="Specialty polymers"/>
    <x v="5"/>
    <s v="PPE"/>
    <m/>
    <s v="Dimensional-stability electrical component material"/>
    <s v="Benzene, Propylene"/>
    <s v="○"/>
    <s v="Phenolic intermediate"/>
    <s v="BTX/propylene → Phenolic intermediate → PPE"/>
    <n v="3.1736001613686497E-2"/>
    <s v="O"/>
  </r>
  <r>
    <n v="72"/>
    <s v="Specialty polymers"/>
    <x v="5"/>
    <s v="POM(Polyacetal)"/>
    <m/>
    <s v="Precision gear &amp; bearing engineering plastic"/>
    <s v="Natural gas, Methanol"/>
    <s v="○"/>
    <s v="Formaldehyde"/>
    <s v="Natural gas → Methanol → Formaldehyde → POM"/>
    <n v="3.1736001613686497E-2"/>
    <s v="O"/>
  </r>
  <r>
    <n v="73"/>
    <s v="Specialty polymers"/>
    <x v="5"/>
    <s v="PPS"/>
    <m/>
    <s v="High-temperature automotive/electrical compound"/>
    <s v="Benzene, Sulfur"/>
    <s v="△"/>
    <s v="PPS resin"/>
    <s v="Benzene/sulfur chemistry → PPS → Compound"/>
    <n v="3.1736001613686497E-2"/>
    <s v="O"/>
  </r>
  <r>
    <n v="74"/>
    <s v="Specialty polymers"/>
    <x v="6"/>
    <s v="Engineering films"/>
    <s v="Polyester"/>
    <s v="Packaging &amp; electrical insulation film"/>
    <s v="PX, Ethylene"/>
    <s v="○"/>
    <s v="PTA, EG, PET resin"/>
    <s v="PX/ethylene → PTA/EG → PET → Film"/>
    <n v="2.9377150528576701E-2"/>
    <s v="O"/>
  </r>
  <r>
    <n v="75"/>
    <s v="Specialty polymers"/>
    <x v="6"/>
    <s v="Engineering films"/>
    <s v="Nylon"/>
    <s v="Industrial packaging &amp; barrier film"/>
    <s v="Benzene, C4"/>
    <s v="○"/>
    <s v="Caprolactam, Nylon resin"/>
    <s v="Benzene → Cyclohexane → Caprolactam/Nylon Salt → Nylon Resin"/>
    <n v="2.9377150528576701E-2"/>
    <s v="O"/>
  </r>
  <r>
    <n v="76"/>
    <s v="Specialty polymers"/>
    <x v="6"/>
    <s v="Engineering films"/>
    <s v="Polycarbonate"/>
    <s v="Optical display &amp; protection film"/>
    <s v="Benzene, Propylene"/>
    <s v="○"/>
    <s v="BPA, PC resin"/>
    <s v="BTX/propylene → BPA → PC → Optical film"/>
    <n v="2.9377150528576701E-2"/>
    <s v="O"/>
  </r>
  <r>
    <n v="77"/>
    <s v="Specialty polymers"/>
    <x v="6"/>
    <s v="High-performance films"/>
    <s v="Fluoropolymer"/>
    <s v="Chemical-resistant &amp; battery separator film"/>
    <s v="Fluorspar"/>
    <s v="-"/>
    <s v="Fluoromonomer"/>
    <s v="Fluorspar → Fluorochemicals → Fluoromonomer → Fluoropolymer Resin"/>
    <n v="2.9377150528576701E-2"/>
    <s v="O"/>
  </r>
  <r>
    <n v="78"/>
    <s v="Specialty polymers"/>
    <x v="6"/>
    <s v="High-performance films"/>
    <s v="Polyimide"/>
    <s v="FPCB &amp; semiconductor process film"/>
    <s v="Benzene, PX"/>
    <s v="○"/>
    <s v="Dianhydride, Diamine"/>
    <s v="Aromatics → PI monomer → PI film "/>
    <n v="2.9377150528576701E-2"/>
    <s v="O"/>
  </r>
  <r>
    <n v="79"/>
    <s v="Specialty polymers"/>
    <x v="6"/>
    <s v="Polyethylene naphthalate"/>
    <m/>
    <s v="High-barrier electronic &amp; insulation film"/>
    <s v="PX, Ethylene"/>
    <s v="○"/>
    <s v="NDC/NDA, EG"/>
    <s v="PX / Naphthalene → NDC/NDA → PEN Resin → Film"/>
    <n v="2.9377150528576701E-2"/>
    <s v="O"/>
  </r>
  <r>
    <n v="80"/>
    <s v="Specialty polymers"/>
    <x v="6"/>
    <s v="Cyclo-olefin copolymer"/>
    <m/>
    <s v="Optical lens &amp; medical display film"/>
    <s v="Ethylene, C5"/>
    <s v="○"/>
    <s v="Norbornene, Cyclic olefin monomer"/>
    <s v="Olefin/C5 → Cyclic olefin → COC/COP"/>
    <n v="2.9377150528576701E-2"/>
    <s v="O"/>
  </r>
  <r>
    <n v="81"/>
    <s v="Specialty polymers"/>
    <x v="6"/>
    <s v="Cyclo-olefin copolymer"/>
    <s v="Developmental"/>
    <s v="AR/VR optical &amp; next-generation display film"/>
    <s v="Ethylene, Specialty olefin"/>
    <s v="△"/>
    <s v="Advanced cyclic olefin monomer"/>
    <s v="Olefin → Specialty monomer → Advanced COC/COP film"/>
    <n v="2.9377150528576701E-2"/>
    <s v="O"/>
  </r>
  <r>
    <n v="82"/>
    <s v="Specialty coatings"/>
    <x v="7"/>
    <s v="Oligomers"/>
    <s v="Epoxy acrylates"/>
    <s v="UV coating oligomer"/>
    <s v="Benzene + Propylene"/>
    <s v="○"/>
    <s v="BPA epoxy resin, Acrylic acid"/>
    <s v="BTX/propylene → BPA epoxy → Epoxy acrylate"/>
    <n v="3.6406497146066502E-2"/>
    <s v="O"/>
  </r>
  <r>
    <n v="83"/>
    <s v="Specialty coatings"/>
    <x v="7"/>
    <s v="Oligomers"/>
    <s v="Urethane acrylates"/>
    <s v="UV urethane oligomer"/>
    <s v="PO + Benzene"/>
    <s v="○"/>
    <s v="Poyol, Isocynate, Hydroxy acylate"/>
    <s v="Olefin → PO/polyol + Benzene → Isocyanate → Urethane acrylate"/>
    <n v="3.6406497146066502E-2"/>
    <s v="O"/>
  </r>
  <r>
    <n v="84"/>
    <s v="Specialty coatings"/>
    <x v="7"/>
    <s v="Oligomers"/>
    <s v="Polyester/polyether acrylates"/>
    <s v="UV polyester acrylate resin"/>
    <s v="PX + Ethylene / PO"/>
    <s v="○"/>
    <s v="PTA, EG, Polyether polyol, Acrylic acid"/>
    <s v="PX/ethylene/PO → Polyester/polyether polyol → Acrylate oligomer"/>
    <n v="3.6406497146066502E-2"/>
    <s v="O"/>
  </r>
  <r>
    <n v="85"/>
    <s v="Specialty coatings"/>
    <x v="7"/>
    <s v="Oligomers"/>
    <s v="Acrylic acrylates"/>
    <s v="Acrylic UV oligomer"/>
    <s v="Propylene"/>
    <s v="○"/>
    <s v="Acrylic acid, Acrylate ester"/>
    <s v="Propylene → Acrylic acid/acrylate → Acrylic oligomer"/>
    <n v="3.6406497146066502E-2"/>
    <s v="O"/>
  </r>
  <r>
    <n v="86"/>
    <s v="Specialty coatings"/>
    <x v="7"/>
    <s v="Oligomers"/>
    <s v="Silicone acrylates"/>
    <s v="Silicone-modified UV resin"/>
    <s v="Silicon metal + Methanol"/>
    <s v="△"/>
    <s v="Siloxane intermediate"/>
    <s v="Silicon chemistry → Siloxane → Silicone acrylate"/>
    <n v="3.6406497146066502E-2"/>
    <s v="O"/>
  </r>
  <r>
    <n v="87"/>
    <s v="Specialty coatings"/>
    <x v="7"/>
    <s v="Oligomers"/>
    <s v="Other (acrylated amines, acrylated oils, methacrylates)"/>
    <s v="Specialty UV oligomer"/>
    <s v="Olefin + Natural oil"/>
    <s v="△"/>
    <s v="Amines, Methacrylates, Functional oils"/>
    <s v="Olefin/oleochemical → Functional intermediate → UV oligomer"/>
    <n v="3.6406497146066502E-2"/>
    <s v="O"/>
  </r>
  <r>
    <n v="88"/>
    <s v="Specialty coatings"/>
    <x v="7"/>
    <s v="Oligomers"/>
    <s v="Unsaturated polyesters"/>
    <s v="UPR resin"/>
    <s v="Benzene/C4 + Ethylene"/>
    <s v="○"/>
    <s v="Maleic anhydride, Glycol"/>
    <s v="Benzene/C4 + glycol chain → UPR"/>
    <n v="3.6406497146066502E-2"/>
    <s v="O"/>
  </r>
  <r>
    <n v="89"/>
    <s v="Specialty coatings"/>
    <x v="7"/>
    <s v="Oligomers"/>
    <s v="Epoxies and oxetanes"/>
    <s v="Cationic UV resin"/>
    <s v="Benzene + Propylene"/>
    <s v="○"/>
    <s v="Epoxy resin, Oxetane intermediate"/>
    <s v="BTX/propylene → Epoxy/oxetane chemistry"/>
    <n v="3.6406497146066502E-2"/>
    <s v="O"/>
  </r>
  <r>
    <n v="90"/>
    <s v="Specialty coatings"/>
    <x v="7"/>
    <s v="Oligomers"/>
    <s v="Vinyl ethers"/>
    <s v="Reactive UV resin"/>
    <s v="Ethylene/Acetylene"/>
    <s v="○"/>
    <s v="Vinyl ether monomer"/>
    <s v="Olefin/acetylene chemistry → Vinyl ether"/>
    <n v="3.6406497146066502E-2"/>
    <s v="O"/>
  </r>
  <r>
    <n v="91"/>
    <s v="Specialty coatings"/>
    <x v="7"/>
    <s v="Monomers/reactive diluents"/>
    <s v="Monofunctional monomers (IBOA, etc.)"/>
    <s v="Reactive diluent"/>
    <s v="C5/C10 olefin"/>
    <s v="△"/>
    <s v="Isobornyl alcohol, Acrylic acid"/>
    <s v="C5 terpene/olefin → Alcohol → Acrylate monomer"/>
    <n v="3.6406497146066502E-2"/>
    <s v="O"/>
  </r>
  <r>
    <n v="92"/>
    <s v="Specialty coatings"/>
    <x v="7"/>
    <s v="Monomers/reactive diluents"/>
    <s v="Difunctional monomers (TPGDA, HDDA, GPDA, DPGDA, etc.)"/>
    <s v="Multifunctional acrylate monomer"/>
    <s v="PO + Propylene"/>
    <s v="○"/>
    <s v="Glycol, Acrylic acid"/>
    <s v="PO/glycol chain → Acrylate ester"/>
    <n v="3.6406497146066502E-2"/>
    <s v="O"/>
  </r>
  <r>
    <n v="93"/>
    <s v="Specialty coatings"/>
    <x v="7"/>
    <s v="Monomers/reactive diluents"/>
    <s v="Trifunctional monomers (TMPTA, GPTA, etc.)"/>
    <s v="Crosslinking monomer"/>
    <s v="Propylene"/>
    <s v="○"/>
    <s v="TMP/Glycerol, Acrylic acid"/>
    <s v="Propylene → Oxo alcohol/polyol → Acrylate monomer"/>
    <n v="3.6406497146066502E-2"/>
    <s v="O"/>
  </r>
  <r>
    <n v="94"/>
    <s v="Specialty coatings"/>
    <x v="7"/>
    <s v="Monomers/reactive diluents"/>
    <s v="Polyfunctional monomers (PPTTA, DPHA, etc.)"/>
    <s v="High-crosslink UV monomer"/>
    <s v="Olefin"/>
    <s v="○"/>
    <s v="Polyol intermediate, Acrylic acid"/>
    <s v="Olefin → Polyol → Multifunctional acrylate"/>
    <n v="3.6406497146066502E-2"/>
    <s v="O"/>
  </r>
  <r>
    <n v="95"/>
    <s v="Specialty coatings"/>
    <x v="7"/>
    <s v="Photoinitiators"/>
    <m/>
    <s v="UV photoinitiator"/>
    <s v="Benzene/Toluene"/>
    <s v="○"/>
    <s v="Benzophenone, Acetophenone derivative"/>
    <s v="BTX → Aromatic ketone → Photoinitiator"/>
    <n v="3.6406497146066502E-2"/>
    <s v="O"/>
  </r>
  <r>
    <n v="96"/>
    <s v="Specialty coatings"/>
    <x v="8"/>
    <s v="Resins"/>
    <s v="Epoxy resin"/>
    <s v="Powder coating resin"/>
    <s v="Benzene + Propylene"/>
    <s v="○"/>
    <s v="BPA, Epichlorohydrin"/>
    <s v="BTX/propylene → BPA → Epoxy resin"/>
    <n v="3.23555369482669E-2"/>
    <s v="O"/>
  </r>
  <r>
    <n v="97"/>
    <s v="Specialty coatings"/>
    <x v="8"/>
    <s v="Resins"/>
    <s v="Polyester resin (carboxyl functional)"/>
    <s v="Powder polyester resin"/>
    <s v="PX + Ethylene"/>
    <s v="○"/>
    <s v="PTA, IPA, EG, NPG"/>
    <s v="PX + glycol chain → Polyester resin"/>
    <n v="3.23555369482669E-2"/>
    <s v="O"/>
  </r>
  <r>
    <n v="98"/>
    <s v="Specialty coatings"/>
    <x v="8"/>
    <s v="Resins"/>
    <s v="Polyester resin (hydroxyl functional)"/>
    <s v="Hydroxyl polyester resin"/>
    <s v="PX + PO/Ethylene"/>
    <s v="○"/>
    <s v="Dibasic acid, Polyol"/>
    <s v="Aromatics + polyol chain → Polyester resin"/>
    <n v="3.23555369482669E-2"/>
    <s v="O"/>
  </r>
  <r>
    <n v="99"/>
    <s v="Specialty coatings"/>
    <x v="8"/>
    <s v="Resins"/>
    <s v="Acrylic resin"/>
    <s v="Thermoset acrylic resin"/>
    <s v="Propylene/C4"/>
    <s v="○"/>
    <s v="MMA, Butyl acrylate"/>
    <s v="Propylene/C4 → Acrylic monomer → Acrylic resin"/>
    <n v="3.23555369482669E-2"/>
    <s v="O"/>
  </r>
  <r>
    <n v="100"/>
    <s v="Specialty coatings"/>
    <x v="8"/>
    <s v="Curing agents"/>
    <s v="TGIC"/>
    <s v="Epoxy curing agent"/>
    <s v="Propylene + Chlor-alkali"/>
    <s v="△"/>
    <s v="Cyanuric chloride, Glycidol"/>
    <s v="Epichlorohydrin chain → TGIC"/>
    <n v="3.23555369482669E-2"/>
    <s v="O"/>
  </r>
  <r>
    <n v="101"/>
    <s v="Specialty coatings"/>
    <x v="8"/>
    <s v="Curing agents"/>
    <s v="HAA"/>
    <s v="Polyester curing agent"/>
    <s v="Ethylene/Ammonia"/>
    <s v="△"/>
    <s v="Hydroxyalkyl amide"/>
    <s v="Olefin/ammonia → Amide chemistry"/>
    <n v="3.23555369482669E-2"/>
    <s v="O"/>
  </r>
  <r>
    <n v="102"/>
    <s v="Specialty coatings"/>
    <x v="8"/>
    <s v="Curing agents"/>
    <s v="IPDI"/>
    <s v="PU curing agent"/>
    <s v="Acetone/Propylene"/>
    <s v="○"/>
    <s v="Isophorone intermediate"/>
    <s v="Propylene → Acetone → Isophorone → IPDI"/>
    <n v="3.23555369482669E-2"/>
    <s v="O"/>
  </r>
  <r>
    <n v="103"/>
    <s v="Specialty coatings"/>
    <x v="8"/>
    <s v="Curing agents"/>
    <s v="Amines"/>
    <s v="Epoxy hardener"/>
    <s v="Ethylene"/>
    <s v="○"/>
    <s v="Ethyleneamines"/>
    <s v="Ethylene → Ethyleneamine"/>
    <n v="3.23555369482669E-2"/>
    <s v="O"/>
  </r>
  <r>
    <n v="104"/>
    <s v="Specialty coatings"/>
    <x v="8"/>
    <s v="Curing agents"/>
    <s v="Dodecanoic amine"/>
    <s v="Specialty curing agent"/>
    <s v="C4/paraffin"/>
    <s v="○"/>
    <s v="Dodecanedioic intermediate"/>
    <s v="C4/paraffin oxidation → Specialty amine"/>
    <n v="3.23555369482669E-2"/>
    <s v="O"/>
  </r>
  <r>
    <n v="105"/>
    <s v="Specialty coatings"/>
    <x v="8"/>
    <s v="Curing agents"/>
    <s v="Other"/>
    <s v="Specialty hardener"/>
    <s v="Olefin/BTX"/>
    <s v="○"/>
    <s v="Specialty intermediates"/>
    <s v="Petrochemical intermediate → Hardener"/>
    <n v="3.23555369482669E-2"/>
    <s v="O"/>
  </r>
  <r>
    <n v="106"/>
    <s v="Specialty coatings"/>
    <x v="9"/>
    <s v="Protective/industrial maintenance coatings"/>
    <s v="Onshore structural applications"/>
    <s v="Heavy-duty protective coating"/>
    <s v="Benzene + PO"/>
    <s v="○"/>
    <s v="Epoxy resin, PU resin"/>
    <s v="BTX/PO → Epoxy/PU coating"/>
    <n v="2.0332517551809648E-2"/>
    <s v="O"/>
  </r>
  <r>
    <n v="107"/>
    <s v="Specialty coatings"/>
    <x v="9"/>
    <s v="Protective/industrial maintenance coatings"/>
    <s v="Offshore applications"/>
    <s v="Offshore anticorrosion coating"/>
    <s v="Benzene + PO"/>
    <s v="○"/>
    <s v="Epoxy novolac, Fluoropolymer"/>
    <s v="Aromatics/PU chain → Offshore coating"/>
    <n v="2.7477342659759429E-2"/>
    <s v="O"/>
  </r>
  <r>
    <n v="108"/>
    <s v="Specialty coatings"/>
    <x v="9"/>
    <s v="Protective/industrial maintenance coatings"/>
    <s v="Cargo container coatings"/>
    <s v="Container coating"/>
    <s v="Benzene + PO"/>
    <s v="○"/>
    <s v="Epoxy resin, Isocyanate"/>
    <s v="BPA epoxy + PU chain"/>
    <n v="-2.1951752569665417E-2"/>
    <s v="O"/>
  </r>
  <r>
    <n v="109"/>
    <s v="Specialty coatings"/>
    <x v="9"/>
    <s v="Marine coatings"/>
    <s v="Industrial ship - New ship building"/>
    <s v="Marine coating"/>
    <s v="Benzene + Silicon"/>
    <s v="△"/>
    <s v="Epoxy resin, Silicone additive"/>
    <s v="Aromatics/silicone → Marine coating"/>
    <n v="2.1000000000000001E-2"/>
    <s v="O"/>
  </r>
  <r>
    <n v="110"/>
    <s v="Specialty coatings"/>
    <x v="9"/>
    <s v="Marine coatings"/>
    <s v="Industrial ship - Ship repair"/>
    <s v="Maintenance marine coating"/>
    <s v="Benzene + PO"/>
    <s v="○"/>
    <s v="Epoxy maintenance resin"/>
    <s v="BPA epoxy chain"/>
    <n v="2.1000000000000001E-2"/>
    <s v="O"/>
  </r>
  <r>
    <n v="111"/>
    <s v="Specialty coatings"/>
    <x v="9"/>
    <s v="Marine coatings"/>
    <s v="Yachts/pleasure boats"/>
    <s v="Premium marine coating"/>
    <s v="Propylene + PO"/>
    <s v="○"/>
    <s v="Acrylic urethane resin"/>
    <s v="Acrylic/PU chain → High-gloss marine coating"/>
    <n v="9.006736545372096E-3"/>
    <s v="O"/>
  </r>
  <r>
    <n v="112"/>
    <s v="Green power materials"/>
    <x v="10"/>
    <s v="(Solar)Wafer and thin-film materials"/>
    <s v="Silicon wafers"/>
    <s v="Crystalline silicon wafer for PV cells"/>
    <s v="Quartz/Silica"/>
    <s v="-"/>
    <s v="Polysilicon, Silicon ingot"/>
    <s v="Silica → Metallurgical silicon → Polysilicon → Ingot/Wafer → Solar cell"/>
    <n v="3.12147442227368E-2"/>
    <s v="Δ"/>
  </r>
  <r>
    <n v="113"/>
    <s v="Green power materials"/>
    <x v="10"/>
    <s v="(Solar)Wafer and thin-film materials"/>
    <s v="Thin-film materials"/>
    <s v="CdTe/CIGS/Perovskite thin-film absorber material"/>
    <s v="Tellurium, Cadmium, Indium, Gallium, Lead, Halides"/>
    <s v="-"/>
    <s v="CdTe, CIGS, Perovskite precursor"/>
    <s v="Specialty metals/halides → Thin-film absorber → PV module"/>
    <n v="4.1746420153138099E-2"/>
    <s v="Δ"/>
  </r>
  <r>
    <n v="114"/>
    <s v="Green power materials"/>
    <x v="10"/>
    <s v="Solar cell processing chemicals"/>
    <s v="Silver paste"/>
    <s v="Conductive silver paste for solar cell electrode"/>
    <s v="Silver, Organic solvent"/>
    <s v="-"/>
    <s v="Silver powder, Glass frit, Organic vehicle"/>
    <s v="Silver + Glass frit + Solvent/resin vehicle → Silver paste"/>
    <n v="1.72273767361286E-4"/>
    <s v="Δ"/>
  </r>
  <r>
    <n v="115"/>
    <s v="Green power materials"/>
    <x v="10"/>
    <s v="Solar cell processing chemicals"/>
    <s v="TCO/ITO"/>
    <s v="Transparent conductive oxide coating"/>
    <s v="Indium, Tin, Zinc"/>
    <s v="-"/>
    <s v="ITO, FTO, AZO target/coating"/>
    <s v="High-purity metals → Oxide target/coating → Transparent conductive layer"/>
    <n v="0.115629180084584"/>
    <s v="Δ"/>
  </r>
  <r>
    <n v="116"/>
    <s v="Green power materials"/>
    <x v="10"/>
    <s v="Solar cell processing chemicals"/>
    <s v="Other conductive materials"/>
    <s v="Busbar/ribbon/conductive adhesive materials"/>
    <s v="Copper, Silver, Tin"/>
    <s v="-"/>
    <s v="Cu ribbon, Conductive adhesive, Solder alloy"/>
    <s v="Metal refining + Organic binder → Conductive interconnect material"/>
    <n v="5.9733190947748101E-2"/>
    <s v="Δ"/>
  </r>
  <r>
    <n v="117"/>
    <s v="Green power materials"/>
    <x v="10"/>
    <s v="Solar cell processing chemicals"/>
    <s v="Wet-processing chemicals"/>
    <s v="Texturing/etching/cleaning chemicals for solar cell"/>
    <s v="Fluorspar, Chlorine, Sulfur, Ammonia"/>
    <s v="-"/>
    <s v="HF, HCl, H₂SO₄, NH₄OH, H₂O₂"/>
    <s v="Inorganic acid/base chain → Wet-processing chemical"/>
    <n v="4.7091419362838699E-2"/>
    <s v="Δ"/>
  </r>
  <r>
    <n v="118"/>
    <s v="Green power materials"/>
    <x v="10"/>
    <s v="Solar cell processing chemicals"/>
    <s v="Other processing chemicals"/>
    <s v="Dopant/cleaning/edge isolation process chemicals"/>
    <s v="Phosphorus, Boron, Chlorine"/>
    <s v="-"/>
    <s v="POCl₃, BBr₃, Specialty etchants"/>
    <s v="Inorganic specialty chemistry → Solar cell process chemical"/>
    <n v="6.7112035053553204E-2"/>
    <s v="Δ"/>
  </r>
  <r>
    <n v="119"/>
    <s v="Green power materials"/>
    <x v="10"/>
    <s v="Solar cell encapsulants"/>
    <s v="EVA film"/>
    <s v="PV module encapsulant film"/>
    <s v="Ethylene, Acetic acid"/>
    <s v="○"/>
    <s v="VAM, EVA resin"/>
    <s v="Ethylene → VAM → EVA resin → Encapsulant film"/>
    <n v="6.3307862115384904E-3"/>
    <s v="Δ"/>
  </r>
  <r>
    <n v="120"/>
    <s v="Green power materials"/>
    <x v="10"/>
    <s v="Solar cell encapsulants"/>
    <s v="POE/TPO film"/>
    <s v="High-reliability encapsulant for bifacial/N-type modules"/>
    <s v="Ethylene, Alpha-olefin"/>
    <s v="○"/>
    <s v="POE/TPO resin"/>
    <s v="Ethylene + Alpha-olefin → POE/TPO → Encapsulant film"/>
    <n v="8.1791363059439307E-2"/>
    <s v="Δ"/>
  </r>
  <r>
    <n v="121"/>
    <s v="Green power materials"/>
    <x v="10"/>
    <s v="Solar cell encapsulants"/>
    <s v="EPE film"/>
    <s v="EVA/POE/EVA composite encapsulant"/>
    <s v="Ethylene, Acetic acid, Alpha-olefin"/>
    <s v="○"/>
    <s v="EVA resin, POE resin"/>
    <s v="Ethylene/VAM + Alpha-olefin → EVA/POE → EPE film"/>
    <n v="5.6041819413369602E-2"/>
    <s v="Δ"/>
  </r>
  <r>
    <n v="122"/>
    <s v="Green power materials"/>
    <x v="10"/>
    <s v="Solar cell encapsulants"/>
    <s v="Others"/>
    <s v="Specialty encapsulant for high-durability PV module"/>
    <s v="Ethylene, Silicone, Specialty olefin"/>
    <s v="△"/>
    <s v="Ionoplastic resin, Silicone encapsulant"/>
    <s v="Olefin/silicone chemistry → Specialty encapsulant"/>
    <n v="0.34047761089008999"/>
    <s v="Δ"/>
  </r>
  <r>
    <n v="123"/>
    <s v="Green power materials"/>
    <x v="10"/>
    <s v="(Solar)Front- and backsheet materials"/>
    <s v="Photovoltaic glass"/>
    <s v="Front glass / glass-glass module material"/>
    <s v="Silica, Soda ash, Limestone"/>
    <s v="-"/>
    <s v="Low-iron solar glass"/>
    <s v="Inorganic minerals → Low-iron glass → PV module glass"/>
    <n v="3.6025609319257898E-2"/>
    <s v="Δ"/>
  </r>
  <r>
    <n v="124"/>
    <s v="Green power materials"/>
    <x v="10"/>
    <s v="(Solar)Front- and backsheet materials"/>
    <s v="Backsheet polymers - Polyethylene terephthalate (PET)"/>
    <s v="PET backsheet core film"/>
    <s v="PX, Ethylene"/>
    <s v="○"/>
    <s v="PTA, EG, PET film"/>
    <s v="PX/Ethylene → PTA/EG → PET film → PV backsheet"/>
    <n v="1.05868158896685E-2"/>
    <s v="Δ"/>
  </r>
  <r>
    <n v="125"/>
    <s v="Green power materials"/>
    <x v="10"/>
    <s v="(Solar)Front- and backsheet materials"/>
    <s v="Backsheet polymers - Fluoropolymers"/>
    <s v="PVDF/PVF fluoropolymer protective backsheet"/>
    <s v="Fluorspar"/>
    <s v="-"/>
    <s v="VDF/PVF fluoromonomer, PVDF/PVF resin"/>
    <s v="Fluorspar → Fluorochemical → Fluoropolymer → Backsheet film"/>
    <n v="7.3621928918776698E-3"/>
    <s v="Δ"/>
  </r>
  <r>
    <n v="126"/>
    <s v="Green power materials"/>
    <x v="10"/>
    <s v="(Solar)Front- and backsheet materials"/>
    <s v="Backsheet polymers - Others"/>
    <s v="Polyamide/polyolefin/acrylic backsheet layer"/>
    <s v="Ethylene, Propylene, Benzene"/>
    <s v="○"/>
    <s v="Polyolefin film, Acrylic coating, PA film"/>
    <s v="Olefin/BTX chain → Specialty polymer film/coating → Backsheet"/>
    <n v="1.13834529008781E-2"/>
    <s v="Δ"/>
  </r>
  <r>
    <n v="127"/>
    <s v="Green power materials"/>
    <x v="10"/>
    <s v="(Wind)Blade composite materials"/>
    <s v="Epoxy resin"/>
    <s v="Wind blade matrix resin"/>
    <s v="Benzene, Propylene"/>
    <s v="○"/>
    <s v="BPA epoxy resin, Epichlorohydrin"/>
    <s v="Benzene/Propylene → BPA + ECH → Epoxy resin → Blade composite"/>
    <n v="1.1142311509437799E-2"/>
    <s v="Δ"/>
  </r>
  <r>
    <n v="128"/>
    <s v="Green power materials"/>
    <x v="10"/>
    <s v="(Wind)Blade composite materials"/>
    <s v="Curing agents"/>
    <s v="Epoxy hardener for wind blade composite"/>
    <s v="Ethylene, Ammonia, Benzene"/>
    <s v="△"/>
    <s v="Amines, Anhydrides"/>
    <s v="Olefin/ammonia/aromatics → Curing agent → Epoxy composite"/>
    <n v="1.1142311509437799E-2"/>
    <s v="Δ"/>
  </r>
  <r>
    <n v="129"/>
    <s v="Green power materials"/>
    <x v="10"/>
    <s v="(Wind)Blade composite materials"/>
    <s v="Reinforcement fibers"/>
    <s v="Glass/carbon fiber for wind blade reinforcement"/>
    <s v="Silica, PAN, Propylene"/>
    <s v="△"/>
    <s v="Glass fiber, PAN-based carbon fiber"/>
    <s v="Silica → Glass fiber / Propylene → Acrylonitrile → PAN → Carbon fiber"/>
    <n v="1.1763142700447199E-2"/>
    <s v="Δ"/>
  </r>
  <r>
    <n v="130"/>
    <s v="Green power materials"/>
    <x v="10"/>
    <s v="(Wind)Specialty coatings"/>
    <s v="Epoxy coatings"/>
    <s v="Erosion/corrosion protective coating for blade/tower"/>
    <s v="Benzene, Propylene"/>
    <s v="○"/>
    <s v="Epoxy resin, Amine hardener"/>
    <s v="BTX/propylene → Epoxy resin → Wind protective coating"/>
    <n v="3.3112395868024398E-2"/>
    <s v="Δ"/>
  </r>
  <r>
    <n v="131"/>
    <s v="Green power materials"/>
    <x v="10"/>
    <s v="(Wind)Specialty coatings"/>
    <s v="Polyurethane (PU) coatings"/>
    <s v="Leading-edge protection coating for wind blade"/>
    <s v="Propylene, Benzene/Toluene"/>
    <s v="○"/>
    <s v="Polyol, Isocyanate, PU coating resin"/>
    <s v="PO/EO → Polyol + Aromatics → Isocyanate → PU coating"/>
    <n v="3.3112395868024398E-2"/>
    <s v="Δ"/>
  </r>
  <r>
    <n v="132"/>
    <s v="Green power materials"/>
    <x v="10"/>
    <s v="(Wind)Specialty coatings"/>
    <s v="Other coatings"/>
    <s v="Acrylic/fluoropolymer weathering coating"/>
    <s v="Propylene, Fluorspar"/>
    <s v="△"/>
    <s v="Acrylic resin, Fluoropolymer resin"/>
    <s v="Propylene/acrylate or fluorochemical chain → Weatherable coating"/>
    <n v="3.3112395868024398E-2"/>
    <s v="Δ"/>
  </r>
  <r>
    <n v="133"/>
    <s v="Green power materials"/>
    <x v="10"/>
    <s v="(Wind)Specialty lubricants"/>
    <m/>
    <s v="Gearbox/bearing lubricant for wind turbine"/>
    <s v="Ethylene, Alpha-olefin, Fatty acid"/>
    <s v="△"/>
    <s v="PAO, Ester, Additive package"/>
    <s v="Olefin/ester chemistry → Synthetic lubricant → Wind turbine lubricant"/>
    <n v="6.0085644934639602E-2"/>
    <s v="Δ"/>
  </r>
  <r>
    <n v="134"/>
    <s v="Green power materials"/>
    <x v="10"/>
    <s v="(Wind)Magnet materials"/>
    <m/>
    <s v="NdFeB permanent magnet for direct-drive generator"/>
    <s v="Rare earths, Iron, Boron"/>
    <s v="-"/>
    <s v="Neodymium-praseodymium alloy, NdFeB magnet"/>
    <s v="Rare earth mining/refining → Magnet alloy → Wind generator magnet"/>
    <n v="3.52188394959672E-2"/>
    <s v="Δ"/>
  </r>
  <r>
    <n v="135"/>
    <s v="Green power materials"/>
    <x v="10"/>
    <s v="(Wind)Structural adhesives"/>
    <m/>
    <s v="Epoxy/PU blade bonding adhesive"/>
    <s v="Benzene, Propylene"/>
    <s v="○"/>
    <s v="Epoxy resin, PU prepolymer, Curing agent"/>
    <s v="BTX/propylene → Epoxy/PU resin → Structural adhesive"/>
    <n v="3.3112395868024398E-2"/>
    <s v="Δ"/>
  </r>
  <r>
    <n v="136"/>
    <s v="Green power materials"/>
    <x v="10"/>
    <s v="(Wind)Concrete admixtures"/>
    <m/>
    <s v="Superplasticizer/admixture for wind turbine foundation"/>
    <s v="Ethylene, Propylene, Naphthalene"/>
    <s v="○"/>
    <s v="PCE, SNF, Lignosulfonate"/>
    <s v="EO/propylene/aromatics → Concrete admixture → Wind foundation"/>
    <n v="3.3112395868024398E-2"/>
    <s v="Δ"/>
  </r>
  <r>
    <n v="132"/>
    <s v="Water management chemicals"/>
    <x v="11"/>
    <s v="Membranes"/>
    <s v="Membranes"/>
    <s v="RO/UF/NF water treatment membrane"/>
    <s v="Benzene, Propylene, Fluoropolymer feed"/>
    <s v="△"/>
    <s v="Polysulfone, PES, PVDF membrane polymer"/>
    <s v="BTX/fluorochemical → Membrane polymer → Water treatment membrane"/>
    <n v="6.2E-2"/>
    <m/>
  </r>
  <r>
    <n v="133"/>
    <s v="Water management chemicals"/>
    <x v="11"/>
    <s v="Membranes"/>
    <s v="Ion exchange resins"/>
    <s v="Demineralization / ultrapure water ion exchange resin"/>
    <s v="Benzene, Ethylene"/>
    <s v="○"/>
    <s v="Styrene, DVB, Functional resin bead"/>
    <s v="Benzene/ethylene → Styrene/DVB → Ion exchange resin"/>
    <n v="2.22987642861927E-2"/>
    <m/>
  </r>
  <r>
    <n v="134"/>
    <s v="Water management chemicals"/>
    <x v="11"/>
    <s v="Membranes"/>
    <s v="Organic polymers"/>
    <s v="Coagulant/flocculant for water clarification"/>
    <s v="Propylene, Acrylonitrile"/>
    <s v="○"/>
    <s v="Acrylamide, Polyacrylamide, Polyamine"/>
    <s v="Propylene → Acrylonitrile/Acrylamide → Water treatment polymer"/>
    <n v="2.96810598359705E-2"/>
    <m/>
  </r>
  <r>
    <n v="135"/>
    <s v="Water management chemicals"/>
    <x v="11"/>
    <s v="Formulated products"/>
    <s v="Corrosion inhibitors"/>
    <s v="Cooling/boiler water corrosion inhibitor"/>
    <s v="Phosphorus, Nitrogen, Benzene"/>
    <s v="△"/>
    <s v="Phosphonate, Azole, Amine inhibitor"/>
    <s v="Inorganic/Petrochemical intermediates → Corrosion inhibitor formulation"/>
    <n v="2.3622335038244999E-2"/>
    <m/>
  </r>
  <r>
    <n v="136"/>
    <s v="Water management chemicals"/>
    <x v="11"/>
    <s v="Formulated products"/>
    <s v="Scale inhibitors"/>
    <s v="Scale control chemical for cooling/desalination"/>
    <s v="Propylene, Phosphorus"/>
    <s v="△"/>
    <s v="Polyacrylate, Phosphonate"/>
    <s v="Acrylic/phosphonate chemistry → Scale inhibitor"/>
    <n v="2.15299341578583E-2"/>
    <m/>
  </r>
  <r>
    <n v="132"/>
    <s v="Water management chemicals"/>
    <x v="11"/>
    <s v="Formulated products"/>
    <s v="Specialty biocides"/>
    <s v="Microbial control chemical for industrial water"/>
    <s v="Chlorine, Methanol, Isothiazolinone intermediates"/>
    <s v="△"/>
    <s v="DBNPA, Isothiazolinone, Glutaraldehyde"/>
    <s v="Chlorine/C1/specialty intermediate → Biocide formulation"/>
    <n v="2.53302712475185E-2"/>
    <m/>
  </r>
  <r>
    <n v="133"/>
    <s v="Water management chemicals"/>
    <x v="11"/>
    <s v="Formulated products"/>
    <s v="Foam control agents"/>
    <s v="Defoamer for wastewater/process water"/>
    <s v="Silicon, Propylene"/>
    <s v="△"/>
    <s v="Silicone oil, Polyether, Hydrophobic silica"/>
    <s v="Silicon/PO chain → Silicone/polyether defoamer"/>
    <n v="3.2115234186285403E-2"/>
    <m/>
  </r>
  <r>
    <n v="134"/>
    <s v="Cosmetic/personal care chemicals"/>
    <x v="12"/>
    <s v="Emollients and moisturizers"/>
    <m/>
    <s v="Skin-feel emollient / moisturizer ingredient"/>
    <s v="Oleochemical, Propylene, Silicon"/>
    <s v="△"/>
    <s v="Fatty ester, Polyol, Silicone fluid"/>
    <s v="Oleochemical/propylene/silicone chain → Emollient ingredient"/>
    <n v="3.1657299132297603E-2"/>
    <m/>
  </r>
  <r>
    <n v="135"/>
    <s v="Cosmetic/personal care chemicals"/>
    <x v="12"/>
    <s v="Surfactants"/>
    <m/>
    <s v="Shampoo/body wash cleansing surfactant"/>
    <s v="Ethylene, Fatty alcohol, LAB"/>
    <s v="△"/>
    <s v="EO, Fatty alcohol ethoxylate, Sulfate surfactant"/>
    <s v="Olefin/fatty alcohol/LAB → Surfactant → Personal care formulation"/>
    <n v="2.3645038797297291E-2"/>
    <m/>
  </r>
  <r>
    <n v="136"/>
    <s v="Cosmetic/personal care chemicals"/>
    <x v="12"/>
    <s v="Thickening agents"/>
    <m/>
    <s v="Rheology modifier for creams/gels"/>
    <s v="Cellulose, Acrylic acid, Natural gum"/>
    <s v="△"/>
    <s v="Carbomer, Cellulose ether, Xanthan gum"/>
    <s v="Biomass/acrylic chain → Thickener → Cosmetic formulation"/>
    <n v="3.1513629532640808E-2"/>
    <m/>
  </r>
  <r>
    <n v="137"/>
    <s v="Cosmetic/personal care chemicals"/>
    <x v="12"/>
    <s v="Colorants"/>
    <m/>
    <s v="Cosmetic pigment/colorant"/>
    <s v="Mineral, Aromatics"/>
    <s v="△"/>
    <s v="Iron oxide, Organic pigment, Lake color"/>
    <s v="Mineral/BTX → Pigment/colorant → Color cosmetics"/>
    <n v="3.911805468446139E-2"/>
    <m/>
  </r>
  <r>
    <n v="138"/>
    <s v="Cosmetic/personal care chemicals"/>
    <x v="12"/>
    <s v="Carriers and powders"/>
    <m/>
    <s v="Solvent/carrier/powder base for cosmetics"/>
    <s v="Propylene, Silica, Talc"/>
    <s v="△"/>
    <s v="PG, Ethanol, Silica, Talc powder"/>
    <s v="Petrochemical/mineral → Carrier/powder → Cosmetic formulation"/>
    <n v="3.2853466491161276E-2"/>
    <m/>
  </r>
  <r>
    <n v="139"/>
    <s v="Cosmetic/personal care chemicals"/>
    <x v="12"/>
    <s v="Product protection agentsa"/>
    <m/>
    <s v="Preservative/antioxidant/chelating agent"/>
    <s v="Benzene, Chlorine, C1/C2 feed"/>
    <s v="△"/>
    <s v="Paraben, Phenoxyethanol, EDTA"/>
    <s v="BTX/C1/C2 → Preservative/chelating intermediate → Protection agent"/>
    <n v="3.5884748390886179E-2"/>
    <m/>
  </r>
  <r>
    <n v="140"/>
    <s v="Cosmetic/personal care chemicals"/>
    <x v="12"/>
    <s v="Hair conditioning polymers"/>
    <m/>
    <s v="Cationic conditioning polymer"/>
    <s v="Acrylamide, Cellulose, Silicon"/>
    <s v="-"/>
    <s v="Polyquaternium, Cationic cellulose, Silicone polymer"/>
    <s v="Acrylic/cellulose/silicone chain → Hair conditioning polymer"/>
    <n v="1.7114115111681594E-2"/>
    <m/>
  </r>
  <r>
    <n v="141"/>
    <s v="Cosmetic/personal care chemicals"/>
    <x v="12"/>
    <s v="Hair setting resins"/>
    <m/>
    <s v="Styling resin for hair gel/spray"/>
    <s v="Vinyl acetate, Acrylate, PVP feed"/>
    <s v="-"/>
    <s v="PVP, Acrylate copolymer, VA copolymer"/>
    <s v="Ethylene/propylene → Vinyl/acrylic polymer → Hair setting resin"/>
    <n v="2.466922861478249E-2"/>
    <m/>
  </r>
  <r>
    <n v="142"/>
    <s v="Cosmetic/personal care chemicals"/>
    <x v="12"/>
    <s v="Sunscreen chemicals"/>
    <m/>
    <s v="UV absorber / sun care active"/>
    <s v="Benzene, Toluene, Ethylhexanol"/>
    <s v="△"/>
    <s v="Avobenzone, Octocrylene, Ethylhexyl methoxycinnamate"/>
    <s v="BTX/oxo alcohol → UV absorber → Sunscreen active"/>
    <n v="5.9234096936231051E-2"/>
    <m/>
  </r>
  <r>
    <n v="143"/>
    <s v="Cosmetic/personal care chemicals"/>
    <x v="12"/>
    <s v="Antiperspirants chemicals"/>
    <m/>
    <s v="Aluminum salt antiperspirant active"/>
    <s v="Alumina, Chlorine"/>
    <s v="-"/>
    <s v="Aluminum chlorohydrate"/>
    <s v="Alumina/chlorine chemistry → Antiperspirant active"/>
    <n v="2.845085350097909E-2"/>
    <m/>
  </r>
  <r>
    <n v="144"/>
    <s v="Cosmetic/personal care chemicals"/>
    <x v="12"/>
    <s v="Deodorant chemicals"/>
    <m/>
    <s v="Odor-control / antimicrobial deodorant ingredient"/>
    <s v="Zinc, Aromatics, Ethanol"/>
    <s v="-"/>
    <s v="Zinc ricinoleate, Fragrance, Antimicrobial"/>
    <s v="Inorganic/aroma chemical → Deodorant active"/>
    <n v="3.1095536111776179E-2"/>
    <m/>
  </r>
  <r>
    <n v="145"/>
    <s v="Cosmetic/personal care chemicals"/>
    <x v="12"/>
    <s v="Antidandruff chemicals"/>
    <m/>
    <s v="Anti-dandruff active ingredient"/>
    <s v="Zinc, Sulfur, Aromatics"/>
    <s v="-"/>
    <s v="Zinc pyrithione, Piroctone olamine"/>
    <s v="Inorganic/sulfur/aromatic chemistry → Antidandruff active"/>
    <n v="2.2327824176764821E-2"/>
    <m/>
  </r>
  <r>
    <n v="146"/>
    <s v="Cosmetic/personal care chemicals"/>
    <x v="12"/>
    <s v="Active ingredients"/>
    <m/>
    <s v="Anti-aging / skin-functional active"/>
    <s v="Biomass, Fermentation feedstock, Aromatics"/>
    <s v="-"/>
    <s v="Peptide, Niacinamide, Retinol derivative"/>
    <s v="Fermentation/extraction/synthesis → Cosmetic active"/>
    <n v="4.1484440988818649E-2"/>
    <m/>
  </r>
  <r>
    <n v="147"/>
    <s v="Cleaners, industrial and institutional"/>
    <x v="13"/>
    <s v="Janitorial"/>
    <m/>
    <s v="Institutional surface cleaner/disinfectant"/>
    <s v="LAB, Ethylene, Chlorine, Alcohol"/>
    <s v="△"/>
    <s v="Surfactant, Solvent, Quat disinfectant"/>
    <s v="LAB/EO/chlorine/alcohol → Cleaner formulation"/>
    <n v="3.12255252955673E-2"/>
    <m/>
  </r>
  <r>
    <n v="148"/>
    <s v="Cleaners, industrial and institutional"/>
    <x v="13"/>
    <s v="Agricultural, food and drink"/>
    <m/>
    <s v="CIP/food plant cleaner and sanitizer"/>
    <s v="Caustic soda, Acid, Chlorine, Surfactant feed"/>
    <s v="-"/>
    <s v="Alkaline cleaner, Acid cleaner, Peracetic sanitizer"/>
    <s v="Chlor-alkali/inorganic acid/surfactant → Food plant cleaning chemical"/>
    <n v="3.12255252955673E-2"/>
    <m/>
  </r>
  <r>
    <n v="149"/>
    <s v="Cleaners, industrial and institutional"/>
    <x v="13"/>
    <s v="Kitchen and catering"/>
    <m/>
    <s v="Warewashing detergent/degreaser"/>
    <s v="LAB, EO, Caustic soda"/>
    <s v="△"/>
    <s v="Anionic/nonionic surfactant, Builder"/>
    <s v="LAB/EO/alkali → Kitchen detergent formulation"/>
    <n v="3.12255252955673E-2"/>
    <m/>
  </r>
  <r>
    <n v="150"/>
    <s v="Cleaners, industrial and institutional"/>
    <x v="13"/>
    <s v="Technical, industrial"/>
    <m/>
    <s v="Metal/industrial equipment cleaner"/>
    <s v="Solvent, EO/PO, Acid/alkali"/>
    <s v="△"/>
    <s v="Degreasing solvent, Surfactant, Inhibitor"/>
    <s v="Petrochemical solvent + surfactant → Industrial cleaner"/>
    <n v="3.12255252955673E-2"/>
    <m/>
  </r>
  <r>
    <n v="151"/>
    <s v="Cleaners, industrial and institutional"/>
    <x v="13"/>
    <s v="Transportation"/>
    <m/>
    <s v="Vehicle wash / transport cleaner"/>
    <s v="LAB, EO, Solvent"/>
    <s v="△"/>
    <s v="Surfactant blend, Solvent cleaner"/>
    <s v="LAB/EO/solvent → Vehicle cleaning formulation"/>
    <n v="3.12255252955673E-2"/>
    <m/>
  </r>
  <r>
    <n v="152"/>
    <s v="Cleaners, industrial and institutional"/>
    <x v="13"/>
    <s v="Laundry"/>
    <m/>
    <s v="Institutional laundry detergent"/>
    <s v="LAB, EO, Enzyme feed, Builder"/>
    <s v="△"/>
    <s v="Surfactant, Enzyme, Bleach activator"/>
    <s v="LAB/EO + specialty additives → Laundry detergent"/>
    <n v="3.12255252955673E-2"/>
    <m/>
  </r>
  <r>
    <n v="153"/>
    <s v="Cleaners, industrial and institutional"/>
    <x v="13"/>
    <s v="Other"/>
    <m/>
    <s v="Specialty sanitation/maintenance cleaner"/>
    <s v="Solvent, Surfactant, Biocide feed"/>
    <s v="-"/>
    <s v="Specialty cleaner formulation"/>
    <s v="Petrochemical/inorganic feed → Specialty I&amp;I cleaner"/>
    <n v="3.12255252955673E-2"/>
    <m/>
  </r>
  <r>
    <n v="154"/>
    <s v="Plastics additives"/>
    <x v="14"/>
    <s v="Antioxidants"/>
    <m/>
    <s v="Polyolefin oxidation inhibitor for PE/PP"/>
    <s v="Benzene, Propylene"/>
    <s v="○"/>
    <s v="Phenolic antioxidant, Phosphite intermediate"/>
    <s v="BTX/propylene → Phenol/phosphite chemistry → Antioxidant"/>
    <n v="2.74189683584996E-2"/>
    <s v="O"/>
  </r>
  <r>
    <n v="155"/>
    <s v="Plastics additives"/>
    <x v="14"/>
    <s v="Anti-static agents"/>
    <m/>
    <s v="Permanent/temporary anti-static additive for packaging &amp; electronics"/>
    <s v="Ethylene, PO"/>
    <s v="○"/>
    <s v="Ethoxylate, Amine derivative"/>
    <s v="EO/amine chemistry → Antistatic additive"/>
    <n v="2.74189683584996E-2"/>
    <s v="O"/>
  </r>
  <r>
    <n v="156"/>
    <s v="Plastics additives"/>
    <x v="14"/>
    <s v="Chemical blowing agents"/>
    <m/>
    <s v="Foaming additive for insulation &amp; lightweight plastics"/>
    <s v="Urea, Natural gas"/>
    <s v="-"/>
    <s v="Azodicarbonamide, Hydrazide intermediate"/>
    <s v="Natural gas/ammonia → Urea derivative → Blowing agent"/>
    <n v="2.74189683584996E-2"/>
    <s v="O"/>
  </r>
  <r>
    <n v="157"/>
    <s v="Plastics additives"/>
    <x v="14"/>
    <s v="Flame retardants"/>
    <m/>
    <s v="Halogen-free &amp; brominated flame retardant"/>
    <s v="Benzene, Propylene, Chlor-alkali"/>
    <s v="△"/>
    <s v="Brominated aromatic, Phosphorus intermediate"/>
    <s v="BTX/chlor-alkali/phosphorus → Flame retardant"/>
    <n v="2.74189683584996E-2"/>
    <s v="O"/>
  </r>
  <r>
    <n v="158"/>
    <s v="Plastics additives"/>
    <x v="14"/>
    <s v="Heat stabilizers"/>
    <m/>
    <s v="PVC thermal stabilizer"/>
    <s v="Salt, Benzene"/>
    <s v="△"/>
    <s v="Metal soap, Organotin intermediate"/>
    <s v="Chlor-alkali/metal chemistry → Heat stabilizer"/>
    <n v="2.74189683584996E-2"/>
    <s v="O"/>
  </r>
  <r>
    <n v="159"/>
    <s v="Plastics additives"/>
    <x v="14"/>
    <s v="Impact modifiers"/>
    <m/>
    <s v="PVC &amp; engineering plastic impact modifier"/>
    <s v="Ethylene, Propylene, C4"/>
    <s v="○"/>
    <s v="ABS/MBS/Acrylic intermediate"/>
    <s v="Olefin/C4 → Rubber/acrylic intermediate → Impact modifier"/>
    <n v="2.74189683584996E-2"/>
    <s v="O"/>
  </r>
  <r>
    <n v="160"/>
    <s v="Plastics additives"/>
    <x v="14"/>
    <s v="Light stabilizers"/>
    <m/>
    <s v="UV/weather resistance additive for outdoor plastics"/>
    <s v="Benzene, Propylene"/>
    <s v="○"/>
    <s v="HALS, Benzotriazole intermediate"/>
    <s v="BTX/amine chemistry → UV stabilizer"/>
    <n v="2.74189683584996E-2"/>
    <s v="O"/>
  </r>
  <r>
    <n v="161"/>
    <s v="Plastics additives"/>
    <x v="14"/>
    <s v="Lubricants"/>
    <m/>
    <s v="Processing lubricant for PVC &amp; polyolefin"/>
    <s v="Ethylene, Natural oil, Paraffin"/>
    <s v="△"/>
    <s v="Fatty acid, Wax, Metal stearate"/>
    <s v="Olefin/paraffin/oleochemical → Lubricant additive"/>
    <n v="2.74189683584996E-2"/>
    <s v="O"/>
  </r>
  <r>
    <n v="162"/>
    <s v="Specialty adhesives and sealants"/>
    <x v="15"/>
    <s v="Reactive specialty adhesives"/>
    <s v="Polyurethane"/>
    <s v="Automotive, construction &amp; flexible packaging adhesive"/>
    <s v="Propylene, Benzene/Toluene"/>
    <s v="○"/>
    <s v="Polyol, MDI/TDI/HDI, PU prepolymer"/>
    <s v="PO/EO → Polyol + Aromatics → Isocyanate → PU adhesive"/>
    <n v="2.6834874755905701E-2"/>
    <s v="O"/>
  </r>
  <r>
    <n v="163"/>
    <s v="Specialty adhesives and sealants"/>
    <x v="15"/>
    <s v="Reactive specialty adhesives"/>
    <s v="Epoxy"/>
    <s v="Structural adhesive for electronics, aircraft, EV battery and industrial assembly"/>
    <s v="Benzene, Propylene"/>
    <s v="○"/>
    <s v="BPA, Epichlorohydrin, Epoxy resin, Amine hardener"/>
    <s v="Benzene/Propylene → Phenol/Acetone → BPA → Epoxy resin → Epoxy adhesive"/>
    <n v="2.6834874755905701E-2"/>
    <s v="O"/>
  </r>
  <r>
    <n v="164"/>
    <s v="Specialty adhesives and sealants"/>
    <x v="15"/>
    <s v="Reactive specialty adhesives"/>
    <s v="Radiation-curable"/>
    <s v="UV-curable adhesive for electronics, optical media and precision assembly"/>
    <s v="Propylene, Benzene"/>
    <s v="○"/>
    <s v="Acrylate monomer, Oligomer, Photoinitiator"/>
    <s v="Propylene → Acrylic acid/acrylates + BTX → Photoinitiator → UV adhesive"/>
    <n v="2.6834874755905701E-2"/>
    <s v="O"/>
  </r>
  <r>
    <n v="165"/>
    <s v="Specialty adhesives and sealants"/>
    <x v="15"/>
    <s v="Reactive specialty adhesives"/>
    <s v="Other"/>
    <s v="Instant/anaerobic/modified acrylic adhesive for industrial and consumer bonding"/>
    <s v="Propylene, Methanol, C4"/>
    <s v="○"/>
    <s v="Cyanoacrylate, Methacrylate, Anaerobic acrylic monomer"/>
    <s v="Olefin/Methanol → Acrylic/Methacrylic intermediates → Specialty adhesive"/>
    <n v="2.6834874755905701E-2"/>
    <s v="O"/>
  </r>
  <r>
    <n v="166"/>
    <s v="Specialty adhesives and sealants"/>
    <x v="15"/>
    <s v="Specialty sealant"/>
    <s v="Silicone"/>
    <s v="Building, glazing, electronics and high-weatherability sealant"/>
    <s v="Silicon metal, Methanol"/>
    <s v="△"/>
    <s v="Chlorosilane, Siloxane, Silicone polymer"/>
    <s v="Silicon metal + Methanol → Chlorosilane → Siloxane → Silicone sealant"/>
    <n v="2.6834874755905701E-2"/>
    <s v="O"/>
  </r>
  <r>
    <n v="167"/>
    <s v="Specialty adhesives and sealants"/>
    <x v="15"/>
    <s v="Specialty sealant"/>
    <s v="Polyurethane"/>
    <s v="Construction joint, automotive and industrial elastic sealant"/>
    <s v="Propylene, Benzene/Toluene"/>
    <s v="○"/>
    <s v="Polyol, Isocyanate, PU prepolymer"/>
    <s v="PO/EO → Polyol + Aromatics → Isocyanate → PU sealant"/>
    <n v="2.6834874755905701E-2"/>
    <s v="O"/>
  </r>
  <r>
    <n v="168"/>
    <s v="Specialty adhesives and sealants"/>
    <x v="15"/>
    <s v="Specialty sealant"/>
    <s v="Silyl-modified polymers"/>
    <s v="Low-VOC construction and elastic adhesive/sealant"/>
    <s v="Propylene, Silicon metal, Methanol"/>
    <s v="△"/>
    <s v="Polyether polyol, Silane-terminated polymer"/>
    <s v="PO/EO → Polyether + Silicon chemistry → Silyl-modified polymer sealant"/>
    <n v="2.6834874755905701E-2"/>
    <s v="O"/>
  </r>
  <r>
    <n v="169"/>
    <s v="Specialty adhesives and sealants"/>
    <x v="15"/>
    <s v="Specialty sealant"/>
    <s v="Polysulfides"/>
    <s v="Aerospace, insulated glass and fuel-resistant sealant"/>
    <s v="Ethylene, Sulfur, Chlor-alkali"/>
    <s v="△"/>
    <s v="Dichloroethyl formal, Sodium polysulfide, Polysulfide polymer"/>
    <s v="Ethylene/chlorine + Sulfur → Polysulfide polymer → Fuel-resistant sealant"/>
    <n v="2.6834874755905701E-2"/>
    <s v="O"/>
  </r>
  <r>
    <n v="170"/>
    <s v="Rubber-processing chemicals"/>
    <x v="16"/>
    <s v="Antidegradants"/>
    <s v="Amino compounds"/>
    <s v="Amine antidegradant for tire/rubber aging resistance"/>
    <s v="Benzene, Nitrobenzene"/>
    <s v="○"/>
    <s v="Aniline, PPD derivatives"/>
    <s v="Benzene → Nitrobenzene/Aniline → PPD → Amine antidegradant"/>
    <n v="2.6834874755905701E-2"/>
    <s v="Δ"/>
  </r>
  <r>
    <n v="171"/>
    <s v="Rubber-processing chemicals"/>
    <x v="16"/>
    <s v="Antidegradants"/>
    <s v="Phenolics"/>
    <s v="Phenolic antioxidant for rubber stabilization"/>
    <s v="Benzene, Propylene"/>
    <s v="○"/>
    <s v="Phenol, Alkylphenol, Hindered phenol"/>
    <s v="Benzene/Propylene → Phenol/Alkylphenol → Phenolic antioxidant"/>
    <n v="2.6834874755905701E-2"/>
    <s v="Δ"/>
  </r>
  <r>
    <n v="172"/>
    <s v="Rubber-processing chemicals"/>
    <x v="16"/>
    <s v="Antidegradants"/>
    <s v="Phosphites"/>
    <s v="Secondary antioxidant for rubber/plastics"/>
    <s v="Benzene, Phosphorus"/>
    <s v="△"/>
    <s v="Alkylphenol, Phosphite ester"/>
    <s v="Phenol/aromatics + Phosphorus chemistry → Phosphite antioxidant"/>
    <n v="2.6834874755905701E-2"/>
    <s v="Δ"/>
  </r>
  <r>
    <n v="173"/>
    <s v="Rubber-processing chemicals"/>
    <x v="16"/>
    <s v="Antidegradants"/>
    <s v="Other antidegradants"/>
    <s v="Wax/secondary stabilizer for ozone and aging resistance"/>
    <s v="Paraffin, Olefin"/>
    <s v="△"/>
    <s v="Protective wax, Specialty stabilizer"/>
    <s v="Refinery wax/olefin chain → Rubber protective additive"/>
    <n v="2.6834874755905701E-2"/>
    <s v="Δ"/>
  </r>
  <r>
    <n v="174"/>
    <s v="Rubber-processing chemicals"/>
    <x v="16"/>
    <s v="Accelerators"/>
    <s v="Sulfenamides"/>
    <s v="Delayed-action vulcanization accelerator"/>
    <s v="Benzene, Sulfur, Ammonia"/>
    <s v="△"/>
    <s v="Aniline, MBT, Sulfenamide"/>
    <s v="Benzene/aniline + Sulfur chemistry → MBT → Sulfenamide accelerator"/>
    <n v="2.6834874755905701E-2"/>
    <s v="Δ"/>
  </r>
  <r>
    <n v="175"/>
    <s v="Rubber-processing chemicals"/>
    <x v="16"/>
    <s v="Accelerators"/>
    <s v="Other thiazole derivatives"/>
    <s v="Vulcanization accelerator for tires/rubber goods"/>
    <s v="Benzene, Sulfur"/>
    <s v="△"/>
    <s v="MBT, MBTS"/>
    <s v="Aromatic amine + Sulfur chemistry → Thiazole accelerator"/>
    <n v="2.6834874755905701E-2"/>
    <s v="Δ"/>
  </r>
  <r>
    <n v="176"/>
    <s v="Rubber-processing chemicals"/>
    <x v="16"/>
    <s v="Accelerators"/>
    <s v="Other accelerators"/>
    <s v="Thiuram/dithiocarbamate/guanidine accelerator"/>
    <s v="Carbon disulfide, Amine, Benzene"/>
    <s v="△"/>
    <s v="Dithiocarbamate, Thiuram, DPG"/>
    <s v="CS₂/amine/aromatics → Accelerator intermediate → Rubber accelerator"/>
    <n v="2.6834874755905701E-2"/>
    <s v="Δ"/>
  </r>
  <r>
    <n v="177"/>
    <s v="Rubber-processing chemicals"/>
    <x v="16"/>
    <s v="Other"/>
    <s v="Polymerization regulators"/>
    <s v="Synthetic rubber polymerization control chemical"/>
    <s v="C4, Styrene, Sulfur"/>
    <s v="△"/>
    <s v="Chain transfer agent, Shortstop-type intermediate"/>
    <s v="Olefin/aromatics → Polymerization control additive"/>
    <n v="2.6834874755905701E-2"/>
    <s v="Δ"/>
  </r>
  <r>
    <n v="178"/>
    <s v="Rubber-processing chemicals"/>
    <x v="16"/>
    <s v="Other"/>
    <s v="Blowing agents"/>
    <s v="Foaming agent for sponge rubber"/>
    <s v="Natural gas, Ammonia"/>
    <s v="△"/>
    <s v="Urea derivative, Azodicarbonamide"/>
    <s v="Natural gas/ammonia → Urea derivative → Blowing agent"/>
    <n v="2.6834874755905701E-2"/>
    <s v="Δ"/>
  </r>
  <r>
    <n v="179"/>
    <s v="Rubber-processing chemicals"/>
    <x v="16"/>
    <s v="Other"/>
    <s v="Vulcanization retarders"/>
    <s v="Scorch retarder for rubber processing"/>
    <s v="Benzene, C5"/>
    <s v="○"/>
    <s v="Phthalimide, Cyclohexylthio intermediate"/>
    <s v="Aromatics/C5 chemistry → Retarder → Rubber processing aid"/>
    <n v="2.6834874755905701E-2"/>
    <s v="Δ"/>
  </r>
  <r>
    <n v="180"/>
    <s v="Rubber-processing chemicals"/>
    <x v="16"/>
    <s v="Other"/>
    <s v="Shortstops"/>
    <s v="Polymerization shortstop for synthetic rubber"/>
    <s v="Benzene, Sulfur"/>
    <s v="△"/>
    <s v="Hydroxylamine/phenolic shortstop"/>
    <s v="Aromatics/inorganic chemistry → Shortstop additive"/>
    <n v="2.6834874755905701E-2"/>
    <s v="Δ"/>
  </r>
  <r>
    <n v="181"/>
    <s v="Rubber-processing chemicals"/>
    <x v="16"/>
    <s v="Other"/>
    <s v="Peptizers"/>
    <s v="Rubber mastication aid"/>
    <s v="Benzene, Sulfur"/>
    <s v="△"/>
    <s v="Disulfide/thiophenol derivative"/>
    <s v="Aromatics + Sulfur chemistry → Peptizer"/>
    <n v="2.6834874755905701E-2"/>
    <s v="Δ"/>
  </r>
  <r>
    <n v="182"/>
    <s v="Textile chemicals"/>
    <x v="17"/>
    <s v="Yarn treatment chemicals"/>
    <s v="Specialty textile lubricants"/>
    <s v="Spin finish / yarn lubricant"/>
    <s v="EO/PO, Fatty acid, Mineral oil"/>
    <s v="△"/>
    <s v="Ethoxylated lubricant, Ester lubricant"/>
    <s v="Oleochemical/EO/PO/mineral oil → Textile lubricant"/>
    <n v="3.2651710599687502E-2"/>
    <m/>
  </r>
  <r>
    <n v="183"/>
    <s v="Textile chemicals"/>
    <x v="17"/>
    <s v="Yarn treatment chemicals"/>
    <s v="Synthetic warp sizes"/>
    <s v="Warp sizing agent"/>
    <s v="Starch, Vinyl acetate, Acrylic acid"/>
    <s v="△"/>
    <s v="Modified starch, PVA, Acrylic size"/>
    <s v="Biomass/ethylene/propylene → Warp size polymer"/>
    <n v="3.6779485047674601E-2"/>
    <m/>
  </r>
  <r>
    <n v="184"/>
    <s v="Textile chemicals"/>
    <x v="17"/>
    <s v="Processing chemicals"/>
    <s v="Surfactants"/>
    <s v="Scouring/wetting/dyeing surfactant"/>
    <s v="LAB, Fatty alcohol, EO"/>
    <s v="△"/>
    <s v="Ethoxylate, Sulfate, Sulfonate"/>
    <s v="LAB/fatty alcohol/EO → Textile surfactant"/>
    <n v="1.19960585998427E-2"/>
    <m/>
  </r>
  <r>
    <n v="185"/>
    <s v="Textile chemicals"/>
    <x v="17"/>
    <s v="Processing chemicals"/>
    <s v="Bleaching auxiliaries"/>
    <s v="Stabilizer/auxiliary for textile bleaching"/>
    <s v="Phosphorus, Chelant feed"/>
    <s v="-"/>
    <s v="Phosphonate, EDTA-type chelant"/>
    <s v="Inorganic/C2 chemistry → Bleaching auxiliary"/>
    <n v="4.4672663887755697E-2"/>
    <m/>
  </r>
  <r>
    <n v="186"/>
    <s v="Textile chemicals"/>
    <x v="17"/>
    <s v="Processing chemicals"/>
    <s v="Fluorescent whitening agents"/>
    <s v="Optical brightener for textile"/>
    <s v="Benzene, Stilbene intermediates"/>
    <s v="△"/>
    <s v="Stilbene-based FWA"/>
    <s v="BTX → Stilbene derivative → Fluorescent whitening agent"/>
    <n v="3.1102503163496199E-2"/>
    <m/>
  </r>
  <r>
    <n v="187"/>
    <s v="Textile chemicals"/>
    <x v="17"/>
    <s v="Processing chemicals"/>
    <s v="Enzymes"/>
    <s v="Bio-processing enzyme for textile"/>
    <s v="Sugar, Fermentation medium"/>
    <s v="-"/>
    <s v="Amylase, Cellulase, Catalase"/>
    <s v="Biomass/sugar → Fermentation → Textile enzyme"/>
    <n v="1.1967668726706101E-2"/>
    <m/>
  </r>
  <r>
    <n v="188"/>
    <s v="Textile chemicals"/>
    <x v="17"/>
    <s v="Functional chemicals"/>
    <s v="Printing auxiliaries"/>
    <s v="Printing thickener/binder/auxiliary"/>
    <s v="Acrylic acid, Starch, Solvent"/>
    <s v="△"/>
    <s v="Acrylic binder, Thickener, Fixing agent"/>
    <s v="Propylene/biomass → Printing auxiliary"/>
    <n v="2.2357485480958499E-2"/>
    <m/>
  </r>
  <r>
    <n v="189"/>
    <s v="Textile chemicals"/>
    <x v="17"/>
    <s v="Functional chemicals"/>
    <s v="Dyes and pigments"/>
    <s v="Textile dye/pigment"/>
    <s v="Benzene, Toluene, Naphthalene"/>
    <s v="○"/>
    <s v="Azo dye, Anthraquinone dye, Pigment"/>
    <s v="BTX/naphthalene → Dye intermediate → Textile dye"/>
    <n v="3.6455561339998603E-2"/>
    <m/>
  </r>
  <r>
    <n v="190"/>
    <s v="Textile chemicals"/>
    <x v="17"/>
    <s v="Functional chemicals"/>
    <s v="Finishing agents"/>
    <s v="Softener/repellent/flame-retardant finish"/>
    <s v="Silicon, Fatty acid, Phosphorus, Fluorspar"/>
    <s v="-"/>
    <s v="Silicone softener, FR additive, Repellent"/>
    <s v="Silicone/oleochemical/phosphorus/fluorochemical → Textile finish"/>
    <n v="1.7113726366926499E-2"/>
    <m/>
  </r>
  <r>
    <n v="191"/>
    <s v="Textile chemicals"/>
    <x v="17"/>
    <s v="Functional chemicals"/>
    <s v="Coatings"/>
    <s v="Functional textile coating"/>
    <s v="Acrylic acid, PU feed, Silicone"/>
    <s v="△"/>
    <s v="Acrylic latex, PU dispersion, Silicone coating"/>
    <s v="Propylene/PO/BTX/silicone → Textile coating"/>
    <n v="1.46144766586858E-2"/>
    <m/>
  </r>
  <r>
    <n v="192"/>
    <s v="Printing inks"/>
    <x v="18"/>
    <s v="Lithography"/>
    <m/>
    <s v="Offset printing ink for packaging/commercial print"/>
    <s v="Benzene, Vegetable oil, Solvent"/>
    <s v="△"/>
    <s v="Alkyd resin, Rosin ester, Pigment"/>
    <s v="BTX/oleochemical → Ink resin/vehicle → Lithographic ink"/>
    <n v="2.5897744918987699E-2"/>
    <m/>
  </r>
  <r>
    <n v="193"/>
    <s v="Printing inks"/>
    <x v="18"/>
    <s v="Flexography"/>
    <m/>
    <s v="Flexible packaging ink"/>
    <s v="Ethanol, Ethyl acetate, Acrylic resin feed"/>
    <s v="△"/>
    <s v="Nitrocellulose/acrylic/PU binder, Pigment"/>
    <s v="Solvent/acrylic/PU chain → Flexographic ink"/>
    <n v="2.5897744918987699E-2"/>
    <m/>
  </r>
  <r>
    <n v="194"/>
    <s v="Printing inks"/>
    <x v="18"/>
    <s v="Rotogravure"/>
    <m/>
    <s v="High-speed packaging gravure ink"/>
    <s v="Toluene, Ethyl acetate, PU feed"/>
    <s v="△"/>
    <s v="PU resin, Nitrocellulose, Pigment"/>
    <s v="Aromatic/ester solvent + resin → Gravure ink"/>
    <n v="2.5897744918987699E-2"/>
    <m/>
  </r>
  <r>
    <n v="195"/>
    <s v="Printing inks"/>
    <x v="18"/>
    <s v="Digital Printing"/>
    <m/>
    <s v="Inkjet ink for packaging/textile/display"/>
    <s v="Propylene, Solvent, Pigment"/>
    <s v="△"/>
    <s v="Acrylic resin, Dispersant, Pigment dispersion"/>
    <s v="Acrylic/solvent chain → Inkjet ink formulation"/>
    <n v="2.5897744918987699E-2"/>
    <m/>
  </r>
  <r>
    <n v="196"/>
    <s v="Printing inks"/>
    <x v="18"/>
    <s v="Others"/>
    <m/>
    <s v="Screen/energy-curable/specialty ink"/>
    <s v="Propylene, Benzene"/>
    <s v="○"/>
    <s v="Acrylate oligomer, Photoinitiator, Pigment"/>
    <s v="Acrylic/BTX → UV ink formulation"/>
    <n v="2.5897744918987699E-2"/>
    <m/>
  </r>
  <r>
    <n v="197"/>
    <s v="Flavors and fragrances"/>
    <x v="19"/>
    <s v="Flavor compositions"/>
    <m/>
    <s v="Food/beverage flavor formulation"/>
    <s v="Natural extracts, Aroma chemicals"/>
    <s v="-"/>
    <s v="Flavor blend, Essential oil, Aroma molecule"/>
    <s v="Extraction/fermentation/synthesis → Flavor composition"/>
    <n v="2.55659128814585E-2"/>
    <m/>
  </r>
  <r>
    <n v="198"/>
    <s v="Flavors and fragrances"/>
    <x v="19"/>
    <s v="Fragrance compositions"/>
    <m/>
    <s v="Fine fragrance / household fragrance formulation"/>
    <s v="BTX, Terpenes, Natural extracts"/>
    <s v="△"/>
    <s v="Fragrance compound, Musk, Terpenoid"/>
    <s v="Aroma chemical + natural extract → Fragrance formulation"/>
    <n v="2.55659128814585E-2"/>
    <m/>
  </r>
  <r>
    <n v="199"/>
    <s v="Flavors and fragrances"/>
    <x v="19"/>
    <s v="Essential oils/ natural extracts"/>
    <m/>
    <s v="Natural flavor/fragrance oil"/>
    <s v="Botanical feedstock"/>
    <s v="-"/>
    <s v="Essential oil, Oleoresin, Extract"/>
    <s v="Plant extraction/distillation → Natural extract"/>
    <n v="2.55659128814585E-2"/>
    <m/>
  </r>
  <r>
    <n v="200"/>
    <s v="Flavors and fragrances"/>
    <x v="19"/>
    <s v="Aroma chemicals"/>
    <m/>
    <s v="Synthetic aroma chemical"/>
    <s v="Benzene, Toluene, Isoprene, Turpentine"/>
    <s v="△"/>
    <s v="Benzenoid, Terpenoid, Musk intermediate"/>
    <s v="BTX/isoprene/turpentine → Aroma chemical"/>
    <n v="2.55659128814585E-2"/>
    <m/>
  </r>
  <r>
    <n v="201"/>
    <s v="Food additives"/>
    <x v="20"/>
    <s v="Modified starchese"/>
    <m/>
    <s v="Texture/thickening modified starch"/>
    <s v="Corn, Tapioca, Potato starch"/>
    <s v="-"/>
    <s v="Modified starch"/>
    <s v="Biomass starch → Chemical/enzymatic modification → Food starch"/>
    <n v="2.4455755404203298E-2"/>
    <m/>
  </r>
  <r>
    <n v="202"/>
    <s v="Food additives"/>
    <x v="20"/>
    <s v="Thickeners and stabilizers (excluding starches)"/>
    <m/>
    <s v="Hydrocolloid stabilizer"/>
    <s v="Seaweed, Cellulose, Fermentation feed"/>
    <s v="-"/>
    <s v="Carrageenan, CMC, Xanthan gum"/>
    <s v="Biomass/fermentation → Hydrocolloid → Food stabilizer"/>
    <n v="2.4455755404203298E-2"/>
    <m/>
  </r>
  <r>
    <n v="203"/>
    <s v="Food additives"/>
    <x v="20"/>
    <s v="High-intensity sweeteners"/>
    <m/>
    <s v="Low-calorie sweetener"/>
    <s v="Aspartic acid, Phenylalanine, Chlorinated sugar, Stevia leaf"/>
    <s v="-"/>
    <s v="Aspartame, Sucralose, Stevia extract"/>
    <s v="Fermentation/sugar chemistry/extraction → High-intensity sweetener"/>
    <n v="2.4455755404203298E-2"/>
    <m/>
  </r>
  <r>
    <n v="204"/>
    <s v="Food additives"/>
    <x v="20"/>
    <s v="Other specialty sweeteners"/>
    <m/>
    <s v="Polyol/rare sugar sweetener"/>
    <s v="Glucose, Starch, Hydrogen"/>
    <s v="-"/>
    <s v="Sorbitol, Xylitol, Erythritol, Allulose"/>
    <s v="Biomass sugar → Hydrogenation/fermentation → Specialty sweetener"/>
    <n v="2.4455755404203298E-2"/>
    <m/>
  </r>
  <r>
    <n v="205"/>
    <s v="Food additives"/>
    <x v="20"/>
    <s v="Emulsifiers"/>
    <m/>
    <s v="Food emulsifier"/>
    <s v="Vegetable oil, Glycerol, Sorbitol"/>
    <s v="-"/>
    <s v="Mono-/diglyceride, Polysorbate, Lecithin"/>
    <s v="Oleochemical/glycerol/EO → Food emulsifier"/>
    <n v="2.4455755404203298E-2"/>
    <m/>
  </r>
  <r>
    <n v="206"/>
    <s v="Food additives"/>
    <x v="20"/>
    <s v="Colorants"/>
    <m/>
    <s v="Food color"/>
    <s v="Botanical extract, Minerals, Aromatics"/>
    <s v="-"/>
    <s v="Natural color, Synthetic dye, Lake pigment"/>
    <s v="Extraction/mineral/BTX → Food colorant"/>
    <n v="2.4455755404203298E-2"/>
    <m/>
  </r>
  <r>
    <n v="207"/>
    <s v="Food additives"/>
    <x v="20"/>
    <s v="Enzymes"/>
    <m/>
    <s v="Baking/brewing/dairy enzyme"/>
    <s v="Sugar, Fermentation medium"/>
    <s v="-"/>
    <s v="Amylase, Protease, Lipase"/>
    <s v="Biomass/sugar → Fermentation → Food enzyme"/>
    <n v="2.4455755404203298E-2"/>
    <m/>
  </r>
  <r>
    <n v="208"/>
    <s v="Food additives"/>
    <x v="20"/>
    <s v="Preservatives"/>
    <m/>
    <s v="Shelf-life extender / antimicrobial additive"/>
    <s v="Toluene, Propylene, Fermentation feed"/>
    <s v="△"/>
    <s v="Benzoate, Sorbate, Propionate"/>
    <s v="BTX/olefin/fermentation → Preservative"/>
    <n v="2.4455755404203298E-2"/>
    <m/>
  </r>
  <r>
    <n v="209"/>
    <s v="Food additives"/>
    <x v="20"/>
    <s v="Antioxidants"/>
    <m/>
    <s v="Food oxidation inhibitor"/>
    <s v="Benzene, Natural tocopherol source"/>
    <s v="△"/>
    <s v="BHT/BHA/TBHQ, Tocopherol"/>
    <s v="BTX/natural oil → Antioxidant → Food additive"/>
    <n v="2.4455755404203298E-2"/>
    <m/>
  </r>
  <r>
    <n v="210"/>
    <s v="Feed additives"/>
    <x v="21"/>
    <s v="Carotenoids"/>
    <m/>
    <s v="Poultry/aquaculture pigmentation additive"/>
    <s v="C5 isoprene, Natural extract"/>
    <s v="-"/>
    <s v="Astaxanthin, Canthaxanthin"/>
    <s v="Isoprene/natural route → Carotenoid feed additive"/>
    <n v="2.43946421399239E-2"/>
    <m/>
  </r>
  <r>
    <n v="211"/>
    <s v="Feed additives"/>
    <x v="21"/>
    <s v="Vitamins"/>
    <m/>
    <s v="Animal nutrition vitamin premix active"/>
    <s v="Glucose, Acetone, Isoprene"/>
    <s v="-"/>
    <s v="Vitamins A/E/B/C intermediates"/>
    <s v="Petrochemical/fermentation → Vitamin active"/>
    <n v="2.43946421399239E-2"/>
    <m/>
  </r>
  <r>
    <n v="212"/>
    <s v="Feed additives"/>
    <x v="21"/>
    <s v="Phosphate"/>
    <m/>
    <s v="Feed-grade phosphate mineral"/>
    <s v="Phosphate rock, Sulfuric acid"/>
    <s v="-"/>
    <s v="MCP, DCP, MDCP"/>
    <s v="Phosphate rock → Phosphoric acid → Feed phosphate"/>
    <n v="2.43946421399239E-2"/>
    <m/>
  </r>
  <r>
    <n v="213"/>
    <s v="Feed additives"/>
    <x v="21"/>
    <s v="Amino acids"/>
    <m/>
    <s v="Feed amino acid for poultry/swine"/>
    <s v="Sugar, Ammonia"/>
    <s v="-"/>
    <s v="Lysine, Methionine, Threonine, Tryptophan"/>
    <s v="Fermentation/petrochemical sulfur chemistry → Feed amino acid"/>
    <n v="2.43946421399239E-2"/>
    <m/>
  </r>
  <r>
    <n v="214"/>
    <s v="Feed additives"/>
    <x v="21"/>
    <s v="Nonprotein nitrogen"/>
    <m/>
    <s v="Ruminant nitrogen source"/>
    <s v="Natural gas, Ammonia"/>
    <s v="-"/>
    <s v="Urea"/>
    <s v="Natural gas → Ammonia → Urea → Feed NPN"/>
    <n v="2.43946421399239E-2"/>
    <m/>
  </r>
  <r>
    <n v="215"/>
    <s v="Feed additives"/>
    <x v="21"/>
    <s v="Enzymes"/>
    <m/>
    <s v="Feed enzyme for digestibility improvement"/>
    <s v="Sugar, Fermentation medium"/>
    <s v="-"/>
    <s v="Phytase, NSP enzyme, Protease"/>
    <s v="Biomass/sugar → Fermentation → Feed enzyme"/>
    <n v="2.43946421399239E-2"/>
    <m/>
  </r>
  <r>
    <n v="216"/>
    <s v="Lubricants, synthetic"/>
    <x v="22"/>
    <s v="Polyalphaolefins"/>
    <m/>
    <s v="PAO synthetic base oil for premium automotive/industrial lubricant"/>
    <s v="Ethylene"/>
    <s v="○"/>
    <s v="LAO, Decene"/>
    <s v="Ethylene → LAO/Decene → PAO → Synthetic lubricant"/>
    <n v="2.30256712917403E-2"/>
    <s v="Δ"/>
  </r>
  <r>
    <n v="217"/>
    <s v="Lubricants, synthetic"/>
    <x v="22"/>
    <s v="Polyol esters"/>
    <m/>
    <s v="High-temperature ester base oil for aviation/industrial lubricant"/>
    <s v="Propylene, Oleochemical"/>
    <s v="△"/>
    <s v="Polyol, Fatty acid"/>
    <s v="Propylene → Polyol + Fatty acid → Polyol ester"/>
    <n v="2.30256712917403E-2"/>
    <s v="Δ"/>
  </r>
  <r>
    <n v="218"/>
    <s v="Lubricants, synthetic"/>
    <x v="22"/>
    <s v="Polyalkylene glycols"/>
    <m/>
    <s v="PAG base oil for compressor, gear and EV fluids"/>
    <s v="Ethylene, Propylene"/>
    <s v="○"/>
    <s v="EO, PO, PAG"/>
    <s v="Ethylene/Propylene → EO/PO → PAG → Synthetic lubricant"/>
    <n v="2.30256712917403E-2"/>
    <s v="Δ"/>
  </r>
  <r>
    <n v="219"/>
    <s v="Lubricants, synthetic"/>
    <x v="22"/>
    <s v="Di-/tribasic esters"/>
    <m/>
    <s v="Diester/triester base oil for low-temperature lubricant"/>
    <s v="C4, C6/C8 acids, Alcohols"/>
    <s v="○"/>
    <s v="Dibasic acid, Monoalcohol"/>
    <s v="Olefin/paraffin oxidation + Alcohol → Di-/triester lubricant"/>
    <n v="2.30256712917403E-2"/>
    <s v="Δ"/>
  </r>
  <r>
    <n v="220"/>
    <s v="Lubricants, synthetic"/>
    <x v="22"/>
    <s v="Polybutenes"/>
    <m/>
    <s v="Polybutene base oil/tackifier for lubricants and greases"/>
    <s v="C4"/>
    <s v="○"/>
    <s v="Isobutylene, Polybutene"/>
    <s v="C4 stream → Isobutylene → Polybutene"/>
    <n v="2.30256712917403E-2"/>
    <s v="Δ"/>
  </r>
  <r>
    <n v="221"/>
    <s v="Lubricants, synthetic"/>
    <x v="22"/>
    <s v="Phosphate esters"/>
    <m/>
    <s v="Fire-resistant hydraulic fluid base stock"/>
    <s v="Benzene, Phosphorus"/>
    <s v="△"/>
    <s v="Phenol, Phosphate ester"/>
    <s v="Benzene → Phenol + Phosphorus chemistry → Phosphate ester"/>
    <n v="2.30256712917403E-2"/>
    <s v="Δ"/>
  </r>
  <r>
    <n v="222"/>
    <s v="Lubricants, synthetic"/>
    <x v="22"/>
    <s v="Alkylated aromatics"/>
    <m/>
    <s v="Alkylbenzene/alkylnaphthalene synthetic base oil"/>
    <s v="Benzene, Naphthalene, LAO"/>
    <s v="○"/>
    <s v="Alkylbenzene, Alkylnaphthalene"/>
    <s v="Aromatics + Olefin → Alkylated aromatic base oil"/>
    <n v="2.30256712917403E-2"/>
    <s v="Δ"/>
  </r>
  <r>
    <n v="223"/>
    <s v="Lubricants, synthetic"/>
    <x v="22"/>
    <s v="Other specialties"/>
    <m/>
    <s v="Silicone/fluorinated/PPE specialty lubricant for extreme conditions"/>
    <s v="Silicon, Fluorspar, Benzene"/>
    <s v="△"/>
    <s v="Silicone fluid, PFPE, Polyphenyl ether"/>
    <s v="Silicon/fluorochemical/aromatics → Specialty lubricant"/>
    <n v="2.30256712917403E-2"/>
    <s v="Δ"/>
  </r>
  <r>
    <n v="224"/>
    <s v="Paper chemicals"/>
    <x v="23"/>
    <s v="Pulp and fiber treatment"/>
    <s v="Bleaching specialties"/>
    <s v="Bleaching specialty for pulp brightness"/>
    <s v="Sulfur, Chlorine, Phosphorus"/>
    <s v="-"/>
    <s v="Chelant, Reducing agent, Peroxide stabilizer"/>
    <s v="Inorganic/C2 chemistry → Bleaching specialty"/>
    <n v="1.6821351660500701E-2"/>
    <m/>
  </r>
  <r>
    <n v="225"/>
    <s v="Paper chemicals"/>
    <x v="23"/>
    <s v="Pulp and fiber treatment"/>
    <s v="Deinking agents"/>
    <s v="Wastepaper recycling deinking chemical"/>
    <s v="EO/PO, Fatty acid"/>
    <s v="△"/>
    <s v="Surfactant, Collector, Dispersant"/>
    <s v="Oleochemical/EO/PO → Deinking formulation"/>
    <n v="1.6821351660500701E-2"/>
    <m/>
  </r>
  <r>
    <n v="226"/>
    <s v="Paper chemicals"/>
    <x v="23"/>
    <s v="Pulp and fiber treatment"/>
    <s v="Enzymes"/>
    <s v="Pulp modification enzyme"/>
    <s v="Sugar, Fermentation medium"/>
    <s v="-"/>
    <s v="Cellulase, Xylanase"/>
    <s v="Biomass/sugar → Fermentation → Paper enzyme"/>
    <n v="1.6821351660500701E-2"/>
    <m/>
  </r>
  <r>
    <n v="227"/>
    <s v="Paper chemicals"/>
    <x v="23"/>
    <s v="Processing aids"/>
    <s v="Specialty biocidesa"/>
    <s v="Microbial control for paper mill process"/>
    <s v="Chlorine, Isothiazolinone feed"/>
    <s v="-"/>
    <s v="Isothiazolinone, DBNPA, Glutaraldehyde"/>
    <s v="Chlorine/C1/specialty intermediate → Paper biocide"/>
    <n v="1.6821351660500701E-2"/>
    <m/>
  </r>
  <r>
    <n v="228"/>
    <s v="Paper chemicals"/>
    <x v="23"/>
    <s v="Processing aids"/>
    <s v="Defoamers"/>
    <s v="Foam control agent for papermaking"/>
    <s v="Silicon, Mineral oil, Fatty acid"/>
    <s v="-"/>
    <s v="Silicone defoamer, Oil-based defoamer"/>
    <s v="Silicone/mineral oil/oleochemical → Defoamer"/>
    <n v="1.6821351660500701E-2"/>
    <m/>
  </r>
  <r>
    <n v="229"/>
    <s v="Paper chemicals"/>
    <x v="23"/>
    <s v="Processing aids"/>
    <s v="Pitch-control agents"/>
    <s v="Deposit/pitch control chemical"/>
    <s v="Talc, Surfactant, Polymer feed"/>
    <s v="-"/>
    <s v="Dispersant, Fixing agent, Talc"/>
    <s v="Mineral/polymer/surfactant → Pitch control additive"/>
    <n v="1.6821351660500701E-2"/>
    <m/>
  </r>
  <r>
    <n v="230"/>
    <s v="Paper chemicals"/>
    <x v="23"/>
    <s v="Processing aids"/>
    <s v="Retention/drainage aids"/>
    <s v="Retention and drainage polymer"/>
    <s v="Propylene, Acrylonitrile"/>
    <s v="△"/>
    <s v="Acrylamide, Polyacrylamide, Cationic polymer"/>
    <s v="Propylene → Acrylamide → Retention aid polymer"/>
    <n v="1.6821351660500701E-2"/>
    <m/>
  </r>
  <r>
    <n v="231"/>
    <s v="Paper chemicals"/>
    <x v="23"/>
    <s v="Functional chemicalsb"/>
    <s v="Dry-strength additives"/>
    <s v="Paper strength resin"/>
    <s v="Starch, Acrylamide"/>
    <s v="-"/>
    <s v="Cationic starch, Polyacrylamide"/>
    <s v="Biomass/propylene → Strength polymer"/>
    <n v="1.6821351660500701E-2"/>
    <m/>
  </r>
  <r>
    <n v="232"/>
    <s v="Paper chemicals"/>
    <x v="23"/>
    <s v="Functional chemicalsb"/>
    <s v="Wet-strength resins"/>
    <s v="Tissue/packaging wet-strength resin"/>
    <s v="Epichlorohydrin, Amine"/>
    <s v="-"/>
    <s v="PAE resin"/>
    <s v="Propylene/chlorine + amine → Wet-strength resin"/>
    <n v="1.6821351660500701E-2"/>
    <m/>
  </r>
  <r>
    <n v="233"/>
    <s v="Paper chemicals"/>
    <x v="23"/>
    <s v="Functional chemicalsb"/>
    <s v="Specialty paper sizes"/>
    <s v="Water resistance sizing agent"/>
    <s v="Rosin, C16/C18 olefin, Styrene"/>
    <s v="△"/>
    <s v="AKD, ASA, Rosin size"/>
    <s v="Oleochemical/olefin/styrene → Sizing agent"/>
    <n v="1.6821351660500701E-2"/>
    <m/>
  </r>
  <r>
    <n v="234"/>
    <s v="Paper chemicals"/>
    <x v="23"/>
    <s v="Functional chemicalsb"/>
    <s v="Dyes, pigments and fluorescent whitening agents"/>
    <s v="Paper colorant/brightener"/>
    <s v="BTX, Minerals"/>
    <s v="△"/>
    <s v="Direct dye, Pigment, FWA"/>
    <s v="Aromatics/mineral → Paper colorant/brightener"/>
    <n v="1.6821351660500701E-2"/>
    <m/>
  </r>
  <r>
    <n v="235"/>
    <s v="Paper chemicals"/>
    <x v="23"/>
    <s v="Functional chemicalsb"/>
    <s v="Coating binders and additives"/>
    <s v="Coated paper binder/additive"/>
    <s v="Styrene, Butadiene, Acrylic acid"/>
    <s v="△"/>
    <s v="SBR latex, Acrylic latex, Starch binder"/>
    <s v="BTX/C4/acrylic chain → Coating binder"/>
    <n v="1.6821351660500701E-2"/>
    <m/>
  </r>
  <r>
    <n v="236"/>
    <s v="Paper chemicals"/>
    <x v="23"/>
    <s v="Functional chemicalsb"/>
    <s v="Specialty coatings"/>
    <s v="Barrier/coated packaging chemical"/>
    <s v="Acrylic acid, Wax, Fluorine alternative, Bio-polymer"/>
    <s v="△"/>
    <s v="Barrier coating, Release coating"/>
    <s v="Acrylic/oleochemical/biopolymer → Specialty paper coating"/>
    <n v="1.6821351660500701E-2"/>
    <m/>
  </r>
  <r>
    <n v="237"/>
    <s v="Construction chemicals"/>
    <x v="24"/>
    <s v="Concrete admixtures"/>
    <m/>
    <s v="Superplasticizer/accelerator/retarder"/>
    <s v="EO, Propylene, Naphthalene"/>
    <s v="△"/>
    <s v="PCE, SNF, Lignosulfonate, Accelerator"/>
    <s v="EO/propylene/aromatics → Concrete admixture"/>
    <n v="1.47205457538071E-2"/>
    <m/>
  </r>
  <r>
    <n v="238"/>
    <s v="Construction chemicals"/>
    <x v="24"/>
    <s v="Asphalt additives"/>
    <m/>
    <s v="Polymer-modified asphalt additive"/>
    <s v="C4, Styrene, Sulfur"/>
    <s v="△"/>
    <s v="SBS, SBR, Adhesion promoter"/>
    <s v="C4/BTX → Styrenic elastomer/additive → Asphalt modifier"/>
    <n v="1.47205457538071E-2"/>
    <m/>
  </r>
  <r>
    <n v="239"/>
    <s v="Construction chemicals"/>
    <x v="24"/>
    <s v="Specialty adhesives and sealants"/>
    <m/>
    <s v="Construction adhesive/sealant"/>
    <s v="Benzene, Propylene, Silicon"/>
    <s v="△"/>
    <s v="Epoxy, PU, Silicone, Acrylic resin"/>
    <s v="BTX/PO/silicone/acrylic chain → Construction A&amp;S"/>
    <n v="1.47205457538071E-2"/>
    <m/>
  </r>
  <r>
    <n v="240"/>
    <s v="Construction chemicals"/>
    <x v="24"/>
    <s v="Specialty coatings"/>
    <m/>
    <s v="Floor/roof/waterproofing coating"/>
    <s v="Propylene, Benzene, PO, Silicon"/>
    <s v="△"/>
    <s v="Acrylic, Epoxy, PU, Silicone coating resin"/>
    <s v="Acrylic/epoxy/PU/silicone chain → Construction coating"/>
    <n v="1.47205457538071E-2"/>
    <m/>
  </r>
  <r>
    <n v="241"/>
    <s v="Construction chemicals"/>
    <x v="24"/>
    <s v="Insulation"/>
    <m/>
    <s v="PU spray foam / insulation chemical"/>
    <s v="Propylene, Benzene/Toluene"/>
    <s v="○"/>
    <s v="Polyol, MDI/TDI"/>
    <s v="PO/EO → Polyol + Aromatics → Isocyanate → Insulation foam"/>
    <n v="1.47205457538071E-2"/>
    <m/>
  </r>
  <r>
    <n v="242"/>
    <s v="Mining chemicals"/>
    <x v="25"/>
    <s v="Flotation reagents"/>
    <s v="Frothers"/>
    <s v="Mineral flotation frother"/>
    <s v="Propylene, C4, MIBC feed"/>
    <s v="△"/>
    <s v="MIBC, Glycol ether, Alcohol frother"/>
    <s v="Olefin/ketone/alcohol chain → Frother"/>
    <n v="2.5758560846054001E-2"/>
    <m/>
  </r>
  <r>
    <n v="243"/>
    <s v="Mining chemicals"/>
    <x v="25"/>
    <s v="Flotation reagents"/>
    <s v="Sulfide collectors"/>
    <s v="Sulfide ore collector"/>
    <s v="Alcohol, CS₂, Phosphorus"/>
    <s v="△"/>
    <s v="Xanthate, Dithiophosphate"/>
    <s v="Alcohol + CS₂/phosphorus chemistry → Sulfide collector"/>
    <n v="1.8770081328368202E-2"/>
    <m/>
  </r>
  <r>
    <n v="244"/>
    <s v="Mining chemicals"/>
    <x v="25"/>
    <s v="Flotation reagents"/>
    <s v="Other collectors"/>
    <s v="Oxide/nonmetallic ore collector"/>
    <s v="Fatty acid, Amine, Phosphate ester"/>
    <s v="-"/>
    <s v="Fatty amine, Fatty acid collector"/>
    <s v="Oleochemical/amine/phosphate → Collector"/>
    <n v="2.6646211792538999E-2"/>
    <m/>
  </r>
  <r>
    <n v="245"/>
    <s v="Mining chemicals"/>
    <x v="25"/>
    <s v="Flocculants"/>
    <m/>
    <s v="Tailings thickening/dewatering flocculant"/>
    <s v="Propylene, Acrylonitrile"/>
    <s v="△"/>
    <s v="Acrylamide, Polyacrylamide"/>
    <s v="Propylene → Acrylonitrile/Acrylamide → Flocculant"/>
    <n v="1.02025307808655E-2"/>
    <m/>
  </r>
  <r>
    <n v="246"/>
    <s v="Mining chemicals"/>
    <x v="25"/>
    <s v="Solvent extractants"/>
    <m/>
    <s v="Copper/nickel/uranium solvent extractant"/>
    <s v="Benzene, Oxo alcohol, Phosphorus"/>
    <s v="△"/>
    <s v="Oxime, Phosphoric extractant"/>
    <s v="BTX/oxo alcohol/phosphorus → Solvent extractant"/>
    <n v="1.02025307808655E-2"/>
    <m/>
  </r>
  <r>
    <n v="247"/>
    <s v="Mining chemicals"/>
    <x v="25"/>
    <s v="Dry grinding aids"/>
    <m/>
    <s v="Cement/mineral dry grinding aid"/>
    <s v="EO/PO, Amine"/>
    <s v="△"/>
    <s v="Glycol, Triethanolamine"/>
    <s v="Ethylene/propylene → EO/PO/amine → Grinding aid"/>
    <n v="1.02025307808655E-2"/>
    <m/>
  </r>
  <r>
    <n v="248"/>
    <s v="Mining chemicals"/>
    <x v="25"/>
    <s v="Wet grinding aids"/>
    <m/>
    <s v="Mineral slurry wet grinding aid"/>
    <s v="Acrylic acid, EO/PO"/>
    <s v="△"/>
    <s v="Polyacrylate, Dispersant"/>
    <s v="Propylene/EO/PO → Dispersant → Wet grinding aid"/>
    <n v="1.02025307808655E-2"/>
    <m/>
  </r>
  <r>
    <n v="249"/>
    <s v="Mining chemicals"/>
    <x v="25"/>
    <s v="Rheology modifiers"/>
    <m/>
    <s v="Slurry rheology modifier"/>
    <s v="Acrylic acid, Natural gum"/>
    <s v="△"/>
    <s v="Polyacrylate, Cellulose ether, Xanthan"/>
    <s v="Acrylic/biopolymer → Rheology modifier"/>
    <n v="1.02025307808655E-2"/>
    <m/>
  </r>
  <r>
    <n v="250"/>
    <s v="Lubricating oil additives"/>
    <x v="26"/>
    <s v="Dispersants"/>
    <m/>
    <s v="Ashless dispersant for engine oil"/>
    <s v="C4, Polybutene, Amine"/>
    <s v="△"/>
    <s v="PIBSA, Succinimide dispersant"/>
    <s v="C4 → PIB → PIBSA + Amine → Dispersant"/>
    <n v="7.0381303335329496E-3"/>
    <m/>
  </r>
  <r>
    <n v="251"/>
    <s v="Lubricating oil additives"/>
    <x v="26"/>
    <s v="Detergents"/>
    <m/>
    <s v="Metal detergent for engine oil"/>
    <s v="Benzene, Olefin, Calcium"/>
    <s v="△"/>
    <s v="Alkylbenzene sulfonate, Phenate, Salicylate"/>
    <s v="Aromatics/olefin + metal base → Detergent additive"/>
    <n v="7.0381303335329496E-3"/>
    <m/>
  </r>
  <r>
    <n v="252"/>
    <s v="Lubricating oil additives"/>
    <x v="26"/>
    <s v="EP/antiwear agents"/>
    <m/>
    <s v="ZDDP / EP antiwear additive"/>
    <s v="Alcohol, Phosphorus, Sulfur, Zinc"/>
    <s v="-"/>
    <s v="ZDDP, Phosphate/sulfurized additive"/>
    <s v="Alcohol + P/S/Zn chemistry → Anti-wear additive"/>
    <n v="7.0381303335329496E-3"/>
    <m/>
  </r>
  <r>
    <n v="253"/>
    <s v="Lubricating oil additives"/>
    <x v="26"/>
    <s v="Antioxidants"/>
    <m/>
    <s v="Amine/phenolic antioxidant for lubricants"/>
    <s v="Benzene, Propylene"/>
    <s v="○"/>
    <s v="Alkylated diphenylamine, Hindered phenol"/>
    <s v="BTX/propylene → Antioxidant intermediate → LOA antioxidant"/>
    <n v="7.0381303335329496E-3"/>
    <m/>
  </r>
  <r>
    <n v="254"/>
    <s v="Lubricating oil additives"/>
    <x v="26"/>
    <s v="Corrosion inhibitors"/>
    <m/>
    <s v="Rust/corrosion inhibitor"/>
    <s v="Fatty acid, Benzene, Nitrogen"/>
    <s v="△"/>
    <s v="Sulfonate, Amine, Azole derivative"/>
    <s v="Oleochemical/BTX/N chemistry → Corrosion inhibitor"/>
    <n v="7.0381303335329496E-3"/>
    <m/>
  </r>
  <r>
    <n v="255"/>
    <s v="Lubricating oil additives"/>
    <x v="26"/>
    <s v="VI improvers"/>
    <m/>
    <s v="Viscosity index improver polymer"/>
    <s v="Ethylene, Propylene, Methacrylate"/>
    <s v="△"/>
    <s v="OCP, PMA, Hydrogenated styrene-diene polymer"/>
    <s v="Olefin/acrylate/styrenic chain → VI improver"/>
    <n v="7.0381303335329496E-3"/>
    <m/>
  </r>
  <r>
    <n v="256"/>
    <s v="Lubricating oil additives"/>
    <x v="26"/>
    <s v="Other additives"/>
    <m/>
    <s v="Pour point depressant/friction modifier/defoamer"/>
    <s v="Acrylate, Fatty acid, Silicon"/>
    <s v="△"/>
    <s v="PPD, Friction modifier, Silicone defoamer"/>
    <s v="Acrylic/oleochemical/silicone chain → Specialty LOA"/>
    <n v="7.0381303335329496E-3"/>
    <m/>
  </r>
  <r>
    <n v="257"/>
    <s v="Oil field chemicals"/>
    <x v="27"/>
    <s v="Drilling fluid additives"/>
    <s v="Water-based fluids"/>
    <s v="Water-based mud additive"/>
    <s v="Propylene, Cellulose, Starch"/>
    <s v="△"/>
    <s v="PAC, CMC, Polyacrylamide, Xanthan"/>
    <s v="Biomass/acrylic chain → Water-based drilling additive"/>
    <n v="1.5594451194508099E-2"/>
    <m/>
  </r>
  <r>
    <n v="258"/>
    <s v="Oil field chemicals"/>
    <x v="27"/>
    <s v="Drilling fluid additives"/>
    <s v="Oil-based fluids"/>
    <s v="Oil-based mud emulsifier/wetting agent"/>
    <s v="Base oil, Fatty acid, Amine"/>
    <s v="-"/>
    <s v="Organophilic clay, Emulsifier, Wetting agent"/>
    <s v="Base oil/oleochemical/amine → OBM additive"/>
    <n v="8.5264514628200505E-3"/>
    <m/>
  </r>
  <r>
    <n v="259"/>
    <s v="Oil field chemicals"/>
    <x v="27"/>
    <s v="Drilling fluid additives"/>
    <s v="Synthetic-based fluidsa"/>
    <s v="Synthetic drilling fluid additive"/>
    <s v="LAO, Ester, Internal olefin"/>
    <s v="△"/>
    <s v="Synthetic base fluid, Emulsifier"/>
    <s v="Ethylene/olefin/ester → Synthetic drilling fluid"/>
    <n v="9.9125684659382395E-3"/>
    <m/>
  </r>
  <r>
    <n v="260"/>
    <s v="Oil field chemicals"/>
    <x v="27"/>
    <s v="Cementing additives"/>
    <m/>
    <s v="Cement dispersant/retarder/fluid loss additive"/>
    <s v="EO/PO, Naphthalene, Cellulose"/>
    <s v="△"/>
    <s v="Lignosulfonate, PCE, Cellulose ether"/>
    <s v="Aromatics/EO/PO/cellulose → Cementing additive"/>
    <n v="3.30376083479766E-3"/>
    <m/>
  </r>
  <r>
    <n v="261"/>
    <s v="Oil field chemicals"/>
    <x v="27"/>
    <s v="Workover and completion fluid additives"/>
    <m/>
    <s v="Completion brine additive / corrosion inhibitor"/>
    <s v="Inorganic salts, Amine, Solvent"/>
    <s v="-"/>
    <s v="Brine additive, Corrosion inhibitor"/>
    <s v="Inorganic salt + amine/solvent → Completion fluid chemical"/>
    <n v="3.30376083479766E-3"/>
    <m/>
  </r>
  <r>
    <n v="262"/>
    <s v="Oil field chemicals"/>
    <x v="27"/>
    <s v="Stimulation chemicals"/>
    <s v="Acidizing additives"/>
    <s v="Acidizing corrosion inhibitor/diverter"/>
    <s v="HCl, Amine, Surfactant feed"/>
    <s v="-"/>
    <s v="Acid corrosion inhibitor, Surfactant, Diverter"/>
    <s v="Inorganic acid + amine/surfactant → Acidizing chemical"/>
    <n v="8.0209247739304601E-3"/>
    <m/>
  </r>
  <r>
    <n v="263"/>
    <s v="Oil field chemicals"/>
    <x v="27"/>
    <s v="Stimulation chemicals"/>
    <s v="Fracturing additives"/>
    <s v="Friction reducer / gelling agent / breaker"/>
    <s v="Propylene, Guar, Persulfate"/>
    <s v="△"/>
    <s v="Polyacrylamide, Guar gum, Breaker"/>
    <s v="Acrylic/biopolymer/inorganic → Fracturing additive"/>
    <n v="6.0527710196487797E-2"/>
    <m/>
  </r>
  <r>
    <n v="264"/>
    <s v="Oil field chemicals"/>
    <x v="27"/>
    <s v="Oil production chemicals"/>
    <s v="Asset integrity"/>
    <s v="Corrosion/scale/biocide production chemical"/>
    <s v="Amine, Phosphorus, Chlorine"/>
    <s v="-"/>
    <s v="Corrosion inhibitor, Scale inhibitor, Biocide"/>
    <s v="Amine/phosphonate/biocide chain → Asset integrity chemical"/>
    <n v="3.60191079018746E-3"/>
    <m/>
  </r>
  <r>
    <n v="265"/>
    <s v="Oil field chemicals"/>
    <x v="27"/>
    <s v="Oil production chemicals"/>
    <s v="Flow assurance"/>
    <s v="Demulsifier/wax/asphaltene/hydrate inhibitor"/>
    <s v="EO/PO, Methanol, Aromatics"/>
    <s v="△"/>
    <s v="Demulsifier, MEG/Methanol, Pour point additive"/>
    <s v="EO/PO/C1/aromatics → Flow assurance chemical"/>
    <n v="-7.33011621235302E-3"/>
    <m/>
  </r>
  <r>
    <n v="266"/>
    <s v="Oil field chemicals"/>
    <x v="27"/>
    <s v="Oil production chemicals"/>
    <s v="Production maximization"/>
    <s v="EOR surfactant/polymer"/>
    <s v="Propylene, LAB, Acrylamide"/>
    <s v="△"/>
    <s v="Surfactant, Polyacrylamide, Alkali"/>
    <s v="LAB/acrylamide/alkali → EOR chemical"/>
    <n v="1.4239888228831901E-2"/>
    <m/>
  </r>
  <r>
    <n v="267"/>
    <s v="Catalysts"/>
    <x v="28"/>
    <s v="Fluid catalytic cracking (FCC)"/>
    <m/>
    <s v="FCC catalyst/additive"/>
    <s v="Silica, Alumina, Rare earths"/>
    <s v="-"/>
    <s v="Zeolite Y, Matrix, ZSM-5 additive"/>
    <s v="Inorganic minerals/rare earth → Zeolite catalyst → FCC"/>
    <n v="8.6681240854447096E-3"/>
    <m/>
  </r>
  <r>
    <n v="268"/>
    <s v="Catalysts"/>
    <x v="28"/>
    <s v="Hydrotreating"/>
    <m/>
    <s v="HDS/HDN hydrotreating catalyst"/>
    <s v="Molybdenum, Nickel, Cobalt, Alumina"/>
    <s v="-"/>
    <s v="CoMo/NiMo on alumina"/>
    <s v="Metal salts + Alumina → Hydrotreating catalyst"/>
    <n v="1.3510114109660501E-3"/>
    <m/>
  </r>
  <r>
    <n v="269"/>
    <s v="Catalysts"/>
    <x v="28"/>
    <s v="Hydrocracking"/>
    <m/>
    <s v="Hydrocracking catalyst"/>
    <s v="Zeolite, Nickel, Tungsten, Alumina"/>
    <s v="-"/>
    <s v="NiW/Zeolite bifunctional catalyst"/>
    <s v="Zeolite/alumina + metals → Hydrocracking catalyst"/>
    <n v="7.52921728828104E-3"/>
    <m/>
  </r>
  <r>
    <n v="270"/>
    <s v="Catalysts"/>
    <x v="28"/>
    <s v="Catalytic reforming"/>
    <m/>
    <s v="Reforming catalyst for aromatics/octane"/>
    <s v="Platinum, Rhenium, Alumina, Chlorine"/>
    <s v="-"/>
    <s v="Pt-Re/Alumina catalyst"/>
    <s v="Precious metal + Alumina → Reforming catalyst"/>
    <n v="-7.0067457727390802E-3"/>
    <m/>
  </r>
  <r>
    <n v="271"/>
    <s v="Catalysts"/>
    <x v="28"/>
    <s v="Isomerization"/>
    <m/>
    <s v="C5/C6 isomerization catalyst"/>
    <s v="Platinum, Chlorinated alumina, Zeolite"/>
    <s v="-"/>
    <s v="Pt/Alumina or Zeolite catalyst"/>
    <s v="Precious metal/inorganic support → Isomerization catalyst"/>
    <n v="-9.8404325391175905E-3"/>
    <m/>
  </r>
  <r>
    <n v="272"/>
    <s v="Catalysts"/>
    <x v="28"/>
    <s v="Other refining catalysts"/>
    <m/>
    <s v="Alkylation, oligomerization, sulfur recovery catalyst"/>
    <s v="Zeolite, Acid, Alumina, Titanium"/>
    <s v="-"/>
    <s v="Solid acid catalyst, Claus catalyst"/>
    <s v="Inorganic/zeolite/acid chemistry → Refining catalyst"/>
    <n v="0"/>
    <m/>
  </r>
  <r>
    <n v="273"/>
    <s v="Catalysts"/>
    <x v="29"/>
    <s v="Gasoline engines"/>
    <s v="Gasoline vehicles"/>
    <s v="Three-way catalyst for passenger cars"/>
    <s v="Platinum, Palladium, Rhodium, Ceria"/>
    <s v="-"/>
    <s v="PGM washcoat, Ceramic substrate"/>
    <s v="PGM + Rare earth oxide + Ceramic substrate → TWC"/>
    <n v="-4.0973241488456498E-2"/>
    <m/>
  </r>
  <r>
    <n v="274"/>
    <s v="Catalysts"/>
    <x v="29"/>
    <s v="Gasoline engines"/>
    <s v="Motorcycles and mopeds"/>
    <s v="Small engine oxidation/TWC catalyst"/>
    <s v="PGM, Ceramic substrate"/>
    <s v="-"/>
    <s v="PGM washcoat"/>
    <s v="PGM/ceramic → Small engine catalyst"/>
    <n v="-4.0973241488456498E-2"/>
    <m/>
  </r>
  <r>
    <n v="275"/>
    <s v="Catalysts"/>
    <x v="29"/>
    <s v="Gasoline engines"/>
    <s v="Small utility engines"/>
    <s v="Small utility engine emission catalyst"/>
    <s v="PGM, Alumina, Ceria"/>
    <s v="-"/>
    <s v="Oxidation catalyst"/>
    <s v="PGM/oxide washcoat → Small engine catalyst"/>
    <n v="-4.0973241488456498E-2"/>
    <m/>
  </r>
  <r>
    <n v="276"/>
    <s v="Catalysts"/>
    <x v="29"/>
    <s v="Diesel engines"/>
    <s v="Diesel light-duty vehicles"/>
    <s v="DOC/DPF/SCR system catalyst"/>
    <s v="Platinum, Palladium, Zeolite, Vanadium"/>
    <s v="-"/>
    <s v="DOC, DPF, SCR catalyst"/>
    <s v="PGM/zeolite/oxide → Diesel emission catalyst"/>
    <n v="-4.0973241488456498E-2"/>
    <m/>
  </r>
  <r>
    <n v="277"/>
    <s v="Catalysts"/>
    <x v="29"/>
    <s v="Diesel engines"/>
    <s v="Medium and heavy-duty diesel vehicles"/>
    <s v="Heavy-duty SCR/DOC/DPF catalyst"/>
    <s v="Zeolite, Vanadium, Titanium, PGM"/>
    <s v="-"/>
    <s v="Cu/Fe-zeolite SCR, V₂O₅/TiO₂ SCR"/>
    <s v="Zeolite/metal oxide/PGM → Heavy-duty emission catalyst"/>
    <n v="-4.0973241488456498E-2"/>
    <m/>
  </r>
  <r>
    <n v="278"/>
    <s v="Catalysts"/>
    <x v="29"/>
    <s v="Fossil fuel power plants"/>
    <m/>
    <s v="Stationary SCR catalyst for NOx control"/>
    <s v="Titanium, Vanadium, Tungsten, Zeolite"/>
    <s v="-"/>
    <s v="V₂O₅-WO₃/TiO₂ catalyst, Zeolite SCR"/>
    <s v="Ti/V/W oxide or Zeolite → Stationary SCR catalyst"/>
    <n v="-4.0973241488456498E-2"/>
    <m/>
  </r>
  <r>
    <n v="279"/>
    <s v="Catalysts"/>
    <x v="29"/>
    <s v="Chemical and industrial processes"/>
    <m/>
    <s v="VOC/NOx/CO oxidation catalyst"/>
    <s v="Platinum, Palladium, Zeolite, Metal oxides"/>
    <s v="-"/>
    <s v="Oxidation catalyst, SCR catalyst"/>
    <s v="PGM/zeolite/metal oxide → Industrial emission catalyst"/>
    <n v="-4.0973241488456498E-2"/>
    <m/>
  </r>
  <r>
    <n v="280"/>
    <s v="Catalysts"/>
    <x v="29"/>
    <s v="Other applications"/>
    <m/>
    <s v="Marine/locomotive/off-road emission catalyst"/>
    <s v="PGM, Zeolite, Ceramic substrate"/>
    <s v="-"/>
    <s v="SCR/DOC catalyst"/>
    <s v="PGM/zeolite/ceramic → Non-road emission catalyst"/>
    <n v="-4.0973241488456498E-2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65">
  <r>
    <x v="0"/>
    <s v="A06"/>
    <s v="E02"/>
    <n v="0.6"/>
    <s v="HDPE"/>
    <s v="Blow molding"/>
    <s v="Rigid packaging"/>
    <x v="0"/>
    <s v="Primary"/>
    <s v="2024년 27%로 최대 용도, 병·용기 중심"/>
    <s v="Existing"/>
    <m/>
  </r>
  <r>
    <x v="0"/>
    <s v="A05"/>
    <s v="E02"/>
    <n v="0.6"/>
    <s v="HDPE"/>
    <s v="Film and sheet"/>
    <s v="Flexible packaging"/>
    <x v="0"/>
    <s v="Primary"/>
    <s v="2024년 24%로 blow molding과 함께 핵심 수요"/>
    <s v="Existing"/>
    <m/>
  </r>
  <r>
    <x v="0"/>
    <s v="A09"/>
    <s v="E01"/>
    <n v="0.6"/>
    <s v="HDPE"/>
    <s v="Pipe and extrusion"/>
    <s v="Pipe &amp; fluid conveyance"/>
    <x v="1"/>
    <s v="Primary"/>
    <s v="2024년 20%, 인프라·배관 수요와 직접 연결"/>
    <s v="Existing"/>
    <m/>
  </r>
  <r>
    <x v="0"/>
    <s v="A04"/>
    <s v="E02"/>
    <n v="0.3"/>
    <s v="HDPE"/>
    <s v="Injection molding"/>
    <s v="Polymer resin / molding material"/>
    <x v="0"/>
    <s v="Secondary"/>
    <s v="2024년 17%로 주요 성형 application"/>
    <s v="Existing"/>
    <m/>
  </r>
  <r>
    <x v="0"/>
    <s v="A09"/>
    <s v="E01"/>
    <n v="0.3"/>
    <s v="HDPE"/>
    <s v="Water supply and durable storage containers"/>
    <s v="Pipe &amp; fluid conveyance"/>
    <x v="1"/>
    <s v="Secondary"/>
    <s v="물 공급·저장용 내구재로 사용"/>
    <s v="Existing"/>
    <m/>
  </r>
  <r>
    <x v="0"/>
    <s v="A16"/>
    <s v="E03"/>
    <n v="0.3"/>
    <s v="HDPE"/>
    <s v="Automotive fuel tanks and reservoirs"/>
    <s v="Automotive components &amp; lightweighting"/>
    <x v="2"/>
    <s v="Secondary"/>
    <s v="자동차 연료탱크·저장용기 적용"/>
    <s v="Existing"/>
    <m/>
  </r>
  <r>
    <x v="1"/>
    <s v="A05"/>
    <s v="E02"/>
    <n v="0.6"/>
    <s v="LDPE"/>
    <s v="Film and sheet"/>
    <s v="Flexible packaging"/>
    <x v="0"/>
    <s v="Primary"/>
    <s v="2024년 수요의 69%로 최대 용도"/>
    <s v="Existing"/>
    <m/>
  </r>
  <r>
    <x v="1"/>
    <s v="A07"/>
    <s v="E02"/>
    <n v="0.3"/>
    <s v="LDPE"/>
    <s v="Extrusion coating"/>
    <s v="Barrier packaging"/>
    <x v="0"/>
    <s v="Secondary"/>
    <s v="포장재 코팅 및 배리어 용도에서 중요한 2차 application"/>
    <s v="Existing"/>
    <m/>
  </r>
  <r>
    <x v="1"/>
    <s v="A13"/>
    <s v="E04"/>
    <n v="0.3"/>
    <s v="LDPE"/>
    <s v=" "/>
    <s v="Electrical insulation"/>
    <x v="3"/>
    <s v="Secondary"/>
    <s v="절연·재킷용으로 사용되나 비중은 제한적"/>
    <s v="Existing"/>
    <m/>
  </r>
  <r>
    <x v="1"/>
    <s v="A04"/>
    <s v="E02"/>
    <n v="0.3"/>
    <s v="LDPE"/>
    <s v="Injection molding"/>
    <s v="Polymer resin / molding material"/>
    <x v="0"/>
    <s v="Secondary"/>
    <s v="캡, 완구, 생활용품 등 성형품 용도"/>
    <s v="Existing"/>
    <m/>
  </r>
  <r>
    <x v="1"/>
    <s v="A09"/>
    <s v="E01"/>
    <n v="0.1"/>
    <s v="LDPE"/>
    <s v="Pipe and extrusion"/>
    <s v="Pipe &amp; fluid conveyance"/>
    <x v="1"/>
    <s v="Niche / Emerging"/>
    <s v="관·튜빙 용도는 2024년 약 2%로 제한적"/>
    <s v="Existing"/>
    <m/>
  </r>
  <r>
    <x v="1"/>
    <s v="A20"/>
    <s v="E07"/>
    <n v="0.1"/>
    <s v="LDPE"/>
    <s v="Adhesives and sealants"/>
    <s v="Adhesive bonding"/>
    <x v="4"/>
    <s v="Niche / Emerging"/>
    <s v="EVA계 hot-melt adhesive 등 특수 용도"/>
    <s v="Existing"/>
    <m/>
  </r>
  <r>
    <x v="2"/>
    <s v="A05"/>
    <s v="E02"/>
    <n v="0.6"/>
    <s v="LLDPE"/>
    <s v="Film and sheet"/>
    <s v="Flexible packaging"/>
    <x v="0"/>
    <s v="Primary"/>
    <s v="2023년 수요의 78%로 압도적 핵심 용도"/>
    <s v="Existing"/>
    <m/>
  </r>
  <r>
    <x v="2"/>
    <s v="A34"/>
    <s v="E06"/>
    <n v="0.3"/>
    <s v="LLDPE"/>
    <s v="Agricultural films"/>
    <s v="Agricultural productivity materials"/>
    <x v="5"/>
    <s v="Secondary"/>
    <s v="mulch film, greenhouse covering 등 농업필름 수요가 성장 동인"/>
    <s v="Existing"/>
    <m/>
  </r>
  <r>
    <x v="2"/>
    <s v="A04"/>
    <s v="E02"/>
    <n v="0.3"/>
    <s v="LLDPE"/>
    <s v="Injection molding"/>
    <s v="Polymer resin / molding material"/>
    <x v="0"/>
    <s v="Secondary"/>
    <s v="전체 대비 8% 수준의 의미 있는 성형 용도"/>
    <s v="Existing"/>
    <m/>
  </r>
  <r>
    <x v="2"/>
    <s v="A13"/>
    <s v="E04"/>
    <n v="0.1"/>
    <s v="LLDPE"/>
    <s v="Wire and cable"/>
    <s v="Electrical insulation"/>
    <x v="3"/>
    <s v="Niche / Emerging"/>
    <s v="수요 비중은 작지만 전선·케이블 용도 존재"/>
    <s v="Existing"/>
    <m/>
  </r>
  <r>
    <x v="3"/>
    <s v="A01"/>
    <s v="E07"/>
    <n v="0.6"/>
    <s v="EDC"/>
    <s v="Vinyl chloride monomer"/>
    <s v="Major chemical intermediate"/>
    <x v="4"/>
    <s v="Primary"/>
    <s v="EDC 소비의 99% 이상이 VCM 생산용"/>
    <s v="Existing"/>
    <m/>
  </r>
  <r>
    <x v="3"/>
    <s v="A02"/>
    <s v="E07"/>
    <n v="0.1"/>
    <s v="EDC"/>
    <s v="C2 chlorinated solvents"/>
    <s v="Specialty chemical intermediate"/>
    <x v="4"/>
    <s v="Niche / Emerging"/>
    <s v="PCE/TCE 등으로 연결되나 비중은 매우 작음"/>
    <s v="Existing"/>
    <m/>
  </r>
  <r>
    <x v="3"/>
    <s v="A02"/>
    <s v="E07"/>
    <n v="0.1"/>
    <s v="EDC"/>
    <s v="Ethyleneamines"/>
    <s v="Specialty chemical intermediate"/>
    <x v="4"/>
    <s v="Niche / Emerging"/>
    <s v="암모니아와 반응해 ethyleneamines 생산"/>
    <s v="Existing"/>
    <m/>
  </r>
  <r>
    <x v="4"/>
    <s v="A01"/>
    <s v="E07"/>
    <n v="0.6"/>
    <s v="VCM"/>
    <s v="Polyvinyl chloride resins"/>
    <s v="Major chemical intermediate"/>
    <x v="4"/>
    <s v="Primary"/>
    <s v="VCM은 거의 전량 PVC resin 생산에 사용"/>
    <s v="Existing"/>
    <m/>
  </r>
  <r>
    <x v="4"/>
    <s v="A03"/>
    <s v="E07"/>
    <n v="0.1"/>
    <s v="VCM"/>
    <s v="Polyvinylidene chloride copolymers"/>
    <s v="Reactive monomer / comonomer"/>
    <x v="4"/>
    <s v="Niche / Emerging"/>
    <s v="VDC/PVDC계 copolymer 용도는 부수적 application"/>
    <s v="Existing"/>
    <m/>
  </r>
  <r>
    <x v="5"/>
    <s v="A09"/>
    <s v="E01"/>
    <n v="0.6"/>
    <s v="PVC"/>
    <s v="Pipe and fittings"/>
    <s v="Pipe &amp; fluid conveyance"/>
    <x v="1"/>
    <s v="Primary"/>
    <s v="PVC의 최대·대표 용도이며 건설·인프라 수요와 직결"/>
    <s v="Existing"/>
    <m/>
  </r>
  <r>
    <x v="5"/>
    <s v="A10"/>
    <s v="E01"/>
    <n v="0.6"/>
    <s v="PVC"/>
    <s v="Rigid profiles"/>
    <s v="Building materials &amp; profiles"/>
    <x v="1"/>
    <s v="Primary"/>
    <s v="창호, 문, siding 등 rigid profile 주요 용도"/>
    <s v="Existing"/>
    <m/>
  </r>
  <r>
    <x v="5"/>
    <s v="A13"/>
    <s v="E04"/>
    <n v="0.3"/>
    <s v="PVC"/>
    <s v="Wire and cable insulation"/>
    <s v="Electrical insulation"/>
    <x v="3"/>
    <s v="Secondary"/>
    <s v="flexible PVC의 대표 전기 절연 용도"/>
    <s v="Existing"/>
    <m/>
  </r>
  <r>
    <x v="5"/>
    <s v="A11"/>
    <s v="E01"/>
    <n v="0.3"/>
    <s v="PVC"/>
    <s v="Flooring"/>
    <s v="Flooring &amp; interior materials"/>
    <x v="1"/>
    <s v="Secondary"/>
    <s v="바닥재 및 interior surface 용도"/>
    <s v="Existing"/>
    <m/>
  </r>
  <r>
    <x v="5"/>
    <s v="A05"/>
    <s v="E02"/>
    <n v="0.3"/>
    <s v="PVC"/>
    <s v="Film and sheet"/>
    <s v="Flexible packaging"/>
    <x v="0"/>
    <s v="Secondary"/>
    <s v="film/sheet 및 비식품 포장재 용도 존재"/>
    <s v="Existing"/>
    <m/>
  </r>
  <r>
    <x v="5"/>
    <s v="A22"/>
    <s v="E07"/>
    <n v="0.1"/>
    <s v="PVC"/>
    <s v="Coatings"/>
    <s v="Surface coating"/>
    <x v="4"/>
    <s v="Niche / Emerging"/>
    <s v="PVC copolymer 및 plastisol 기반 coating 용도"/>
    <s v="Existing"/>
    <m/>
  </r>
  <r>
    <x v="5"/>
    <s v="A33"/>
    <s v="E05"/>
    <n v="0.1"/>
    <s v="PVC"/>
    <s v="Medical tubing / healthcare materials"/>
    <s v="Medical &amp; healthcare materials"/>
    <x v="6"/>
    <s v="Niche / Emerging"/>
    <s v="healthcare 산업 노출은 있으나 전체 PVC 내 비중은 제한적"/>
    <s v="Existing"/>
    <m/>
  </r>
  <r>
    <x v="6"/>
    <s v="A43"/>
    <s v="E04"/>
    <n v="0.6"/>
    <s v="Ethanol"/>
    <s v="Motor fuel"/>
    <s v="Fuel / fuel additive"/>
    <x v="3"/>
    <s v="Primary"/>
    <s v="전체 ethanol 소비의 80–90%를 차지하는 최대 용도"/>
    <s v="Existing"/>
    <m/>
  </r>
  <r>
    <x v="6"/>
    <s v="A24"/>
    <s v="E07"/>
    <n v="0.3"/>
    <s v="Ethanol"/>
    <s v="Solvent applications"/>
    <s v="Solvent &amp; extraction"/>
    <x v="4"/>
    <s v="Secondary"/>
    <s v="소독제, 산업용 용제 등 주요 industrial alcohol 용도"/>
    <s v="Existing"/>
    <m/>
  </r>
  <r>
    <x v="6"/>
    <s v="A01"/>
    <s v="E07"/>
    <n v="0.3"/>
    <s v="Ethanol"/>
    <s v="Chemical raw materials"/>
    <s v="Major chemical intermediate"/>
    <x v="4"/>
    <s v="Secondary"/>
    <s v="ETBE, ethyl acetate, acetaldehyde 등 화학 원료로 사용"/>
    <s v="Existing"/>
    <m/>
  </r>
  <r>
    <x v="6"/>
    <s v="A14"/>
    <s v="E04"/>
    <n v="0.1"/>
    <s v="Ethanol"/>
    <s v="Sustainable aviation fuel"/>
    <s v="Renewable energy materials"/>
    <x v="3"/>
    <s v="Niche / Emerging"/>
    <s v="ethanol-to-jet SAF는 성장 중인 신규 연료 application"/>
    <s v="Existing"/>
    <m/>
  </r>
  <r>
    <x v="7"/>
    <s v="A22"/>
    <s v="E07"/>
    <n v="0.6"/>
    <s v="Ethyl acetate"/>
    <s v="Surface coatings"/>
    <s v="Surface coating"/>
    <x v="4"/>
    <s v="Primary"/>
    <s v="ethyl acetate의 최대 수요처는 surface coating 계열"/>
    <s v="Existing"/>
    <m/>
  </r>
  <r>
    <x v="7"/>
    <s v="A23"/>
    <s v="E02"/>
    <n v="0.3"/>
    <s v="Ethyl acetate"/>
    <s v="Printing inks"/>
    <s v="Printing inks &amp; graphic materials"/>
    <x v="0"/>
    <s v="Secondary"/>
    <s v="포장·출판용 ink solvent로 사용"/>
    <s v="Existing"/>
    <m/>
  </r>
  <r>
    <x v="7"/>
    <s v="A24"/>
    <s v="E07"/>
    <n v="0.3"/>
    <s v="Ethyl acetate"/>
    <s v="Process/extraction solvents"/>
    <s v="Solvent &amp; extraction"/>
    <x v="4"/>
    <s v="Secondary"/>
    <s v="공정용·추출용 solvent로 사용"/>
    <s v="Existing"/>
    <m/>
  </r>
  <r>
    <x v="7"/>
    <s v="A20"/>
    <s v="E07"/>
    <n v="0.3"/>
    <s v="Ethyl acetate"/>
    <s v="Adhesives"/>
    <s v="Adhesive bonding"/>
    <x v="4"/>
    <s v="Secondary"/>
    <s v="접착제 formulation의 용제 성격 application"/>
    <s v="Existing"/>
    <m/>
  </r>
  <r>
    <x v="8"/>
    <s v="A01"/>
    <s v="E07"/>
    <n v="0.6"/>
    <s v="EO"/>
    <s v="Ethylene glycols"/>
    <s v="Major chemical intermediate"/>
    <x v="4"/>
    <s v="Primary"/>
    <s v="EO의 약 74%가 EG 생산에 사용"/>
    <s v="Existing"/>
    <m/>
  </r>
  <r>
    <x v="8"/>
    <s v="A30"/>
    <s v="E02"/>
    <n v="0.3"/>
    <s v="EO"/>
    <s v="Ethoxylates"/>
    <s v="Surfactant &amp; emulsification"/>
    <x v="0"/>
    <s v="Secondary"/>
    <s v="세제·계면활성제 downstream으로 연결"/>
    <s v="Existing"/>
    <m/>
  </r>
  <r>
    <x v="8"/>
    <s v="A01"/>
    <s v="E07"/>
    <n v="0.3"/>
    <s v="EO"/>
    <s v="Ethanolamines"/>
    <s v="Major chemical intermediate"/>
    <x v="4"/>
    <s v="Secondary"/>
    <s v="MEA/DEA/TEA 생산 원료"/>
    <s v="Existing"/>
    <m/>
  </r>
  <r>
    <x v="8"/>
    <s v="A24"/>
    <s v="E07"/>
    <n v="0.3"/>
    <s v="EO"/>
    <s v="Glycol ethers"/>
    <s v="Solvent &amp; extraction"/>
    <x v="4"/>
    <s v="Secondary"/>
    <s v="용제계 downstream 원료"/>
    <s v="Existing"/>
    <m/>
  </r>
  <r>
    <x v="8"/>
    <s v="A17"/>
    <s v="E02"/>
    <n v="0.3"/>
    <s v="EO"/>
    <s v="Polyether polyols"/>
    <s v="Cushioning &amp; comfort materials"/>
    <x v="0"/>
    <s v="Secondary"/>
    <s v="PU foam 등 polyol chain으로 연결"/>
    <s v="Existing"/>
    <m/>
  </r>
  <r>
    <x v="9"/>
    <s v="A02"/>
    <s v="E07"/>
    <n v="0.6"/>
    <s v="MEA"/>
    <s v="Ethyleneamines"/>
    <s v="Specialty chemical intermediate"/>
    <x v="4"/>
    <s v="Primary"/>
    <s v="MEA 수요는 ethyleneamines, 특히 EDA 생산이 핵심 동인"/>
    <s v="Existing"/>
    <m/>
  </r>
  <r>
    <x v="9"/>
    <s v="A26"/>
    <s v="E04"/>
    <n v="0.6"/>
    <s v="MEA"/>
    <s v="Gas purification/treatment / triazine"/>
    <s v="Gas treatment &amp; purification"/>
    <x v="3"/>
    <s v="Primary"/>
    <s v="산성가스 제거 및 H2S scavenger용 triazine 생산에 사용"/>
    <s v="Existing"/>
    <m/>
  </r>
  <r>
    <x v="9"/>
    <s v="A30"/>
    <s v="E02"/>
    <n v="0.3"/>
    <s v="MEA"/>
    <s v="Surfactants / soaps"/>
    <s v="Surfactant &amp; emulsification"/>
    <x v="0"/>
    <s v="Secondary"/>
    <s v="세제·personal care 계면활성제 및 비누 형성에 사용"/>
    <s v="Existing"/>
    <m/>
  </r>
  <r>
    <x v="9"/>
    <s v="A02"/>
    <s v="E01"/>
    <n v="0.3"/>
    <s v="MEA"/>
    <s v="Wood preservatives"/>
    <s v="Specialty chemical intermediate"/>
    <x v="1"/>
    <s v="Secondary"/>
    <s v="ACQ 목재 방부제 제조에 사용되나 성장성은 제한적"/>
    <s v="Existing"/>
    <m/>
  </r>
  <r>
    <x v="10"/>
    <s v="A02"/>
    <s v="E06"/>
    <n v="0.6"/>
    <s v="DEA"/>
    <s v="Glyphosate herbicides"/>
    <s v="Specialty chemical intermediate"/>
    <x v="5"/>
    <s v="Primary"/>
    <s v="DEA의 주요 용도는 glyphosate herbicide 합성 중간체"/>
    <s v="Existing"/>
    <m/>
  </r>
  <r>
    <x v="10"/>
    <s v="A10"/>
    <s v="E01"/>
    <n v="0.3"/>
    <s v="DEA"/>
    <s v="DEIPA for cement grinding aid"/>
    <s v="Building materials &amp; profiles"/>
    <x v="1"/>
    <s v="Secondary"/>
    <s v="DEIPA가 cement grinding 효율 개선용으로 빠르게 성장"/>
    <s v="Existing"/>
    <m/>
  </r>
  <r>
    <x v="10"/>
    <s v="A30"/>
    <s v="E02"/>
    <n v="0.3"/>
    <s v="DEA"/>
    <s v="Fatty alkanolamides / surfactants"/>
    <s v="Surfactant &amp; emulsification"/>
    <x v="0"/>
    <s v="Secondary"/>
    <s v="계면활성제 원료이나 nitrosamine 우려로 일부 대체 진행"/>
    <s v="Existing"/>
    <m/>
  </r>
  <r>
    <x v="10"/>
    <s v="A29"/>
    <s v="E07"/>
    <n v="0.1"/>
    <s v="DEA"/>
    <s v="Metalworking fluids"/>
    <s v="Corrosion inhibition &amp; metalworking"/>
    <x v="4"/>
    <s v="Niche / Emerging"/>
    <s v="금속가공유 용도는 환경 이슈로 축소됨"/>
    <s v="Existing"/>
    <m/>
  </r>
  <r>
    <x v="11"/>
    <s v="A10"/>
    <s v="E01"/>
    <n v="0.6"/>
    <s v="TEA"/>
    <s v="Cement grinding / concrete formulations"/>
    <s v="Building materials &amp; profiles"/>
    <x v="1"/>
    <s v="Primary"/>
    <s v="TEA는 cement grinding 및 concrete formulation의 대표 용도"/>
    <s v="Existing"/>
    <m/>
  </r>
  <r>
    <x v="11"/>
    <s v="A30"/>
    <s v="E02"/>
    <n v="0.6"/>
    <s v="TEA"/>
    <s v="Heavy-duty liquid laundry detergents"/>
    <s v="Surfactant &amp; emulsification"/>
    <x v="0"/>
    <s v="Primary"/>
    <s v="세제 formulation 및 ester quat 계면활성제 합성에 사용"/>
    <s v="Existing"/>
    <m/>
  </r>
  <r>
    <x v="11"/>
    <s v="A31"/>
    <s v="E02"/>
    <n v="0.3"/>
    <s v="TEA"/>
    <s v="Personal care products / shaving foams / soaps"/>
    <s v="Personal care formulation"/>
    <x v="0"/>
    <s v="Secondary"/>
    <s v="personal care 및 비누류 formulation에 사용"/>
    <s v="Existing"/>
    <m/>
  </r>
  <r>
    <x v="11"/>
    <s v="A29"/>
    <s v="E07"/>
    <n v="0.3"/>
    <s v="TEA"/>
    <s v="Metalworking fluids / corrosion inhibitors"/>
    <s v="Corrosion inhibition &amp; metalworking"/>
    <x v="4"/>
    <s v="Secondary"/>
    <s v="금속가공유에서 가장 널리 쓰이는 ethanolamine"/>
    <s v="Existing"/>
    <m/>
  </r>
  <r>
    <x v="12"/>
    <s v="A01"/>
    <s v="E02"/>
    <n v="0.6"/>
    <s v="MEG"/>
    <s v="Polyester / PET fibers"/>
    <s v="Major chemical intermediate"/>
    <x v="0"/>
    <s v="Primary"/>
    <s v="MEG 소비의 92% 이상이 polyester/PET 용도"/>
    <s v="Existing"/>
    <m/>
  </r>
  <r>
    <x v="12"/>
    <s v="A15"/>
    <s v="E03"/>
    <n v="0.3"/>
    <s v="MEG"/>
    <s v="Antifreeze"/>
    <s v="Battery &amp; thermal-management materials"/>
    <x v="2"/>
    <s v="Secondary"/>
    <s v="냉각·부동액 용도이나 PET 대비 규모는 작음"/>
    <s v="Existing"/>
    <m/>
  </r>
  <r>
    <x v="13"/>
    <s v="A01"/>
    <s v="E07"/>
    <n v="0.6"/>
    <s v="VAM"/>
    <s v="Polyvinyl alcohol (PVOH)"/>
    <s v="Major chemical intermediate"/>
    <x v="4"/>
    <s v="Primary"/>
    <s v="2024년 VAM 소비의 33%로 최대 downstream"/>
    <s v="Existing"/>
    <m/>
  </r>
  <r>
    <x v="13"/>
    <s v="A01"/>
    <s v="E07"/>
    <n v="0.6"/>
    <s v="VAM"/>
    <s v="Polyvinyl acetate (PVA)"/>
    <s v="Major chemical intermediate"/>
    <x v="4"/>
    <s v="Primary"/>
    <s v="2024년 VAM 소비의 28%로 주요 polymer 원료"/>
    <s v="Existing"/>
    <m/>
  </r>
  <r>
    <x v="13"/>
    <s v="A01"/>
    <s v="E07"/>
    <n v="0.3"/>
    <s v="VAM"/>
    <s v="Ethylene-vinyl acetate (EVA)"/>
    <s v="Major chemical intermediate"/>
    <x v="4"/>
    <s v="Secondary"/>
    <s v="EVA/VAE 수요가 빠르게 성장하는 VAM downstream"/>
    <s v="Existing"/>
    <m/>
  </r>
  <r>
    <x v="13"/>
    <s v="A01"/>
    <s v="E02"/>
    <n v="0.3"/>
    <s v="VAM"/>
    <s v="Ethylene-vinyl alcohol (EVOH)"/>
    <s v="Major chemical intermediate"/>
    <x v="0"/>
    <s v="Secondary"/>
    <s v="EVOH barrier resin으로 연결되는 comonomer 용도"/>
    <s v="Existing"/>
    <m/>
  </r>
  <r>
    <x v="14"/>
    <s v="A01"/>
    <s v="E07"/>
    <n v="0.6"/>
    <s v="AN"/>
    <s v="ABS resins"/>
    <s v="Major chemical intermediate"/>
    <x v="4"/>
    <s v="Primary"/>
    <s v="AN 최대 수요처로 2024년 약 35% 차지"/>
    <s v="Existing"/>
    <m/>
  </r>
  <r>
    <x v="14"/>
    <s v="A02"/>
    <s v="E07"/>
    <n v="0.6"/>
    <s v="AN"/>
    <s v="Acrylamide"/>
    <s v="Specialty chemical intermediate"/>
    <x v="4"/>
    <s v="Primary"/>
    <s v="PAM 및 wastewater treatment로 연결되는 주요 수요처"/>
    <s v="Existing"/>
    <m/>
  </r>
  <r>
    <x v="14"/>
    <s v="A03"/>
    <s v="E02"/>
    <n v="0.6"/>
    <s v="AN"/>
    <s v="Acrylic fibers"/>
    <s v="Reactive monomer / comonomer"/>
    <x v="0"/>
    <s v="Primary"/>
    <s v="역사적 핵심 수요처이나 polyester와 경쟁으로 성장 둔화"/>
    <s v="Existing"/>
    <m/>
  </r>
  <r>
    <x v="14"/>
    <s v="A01"/>
    <s v="E07"/>
    <n v="0.3"/>
    <s v="AN"/>
    <s v="SAN resins"/>
    <s v="Major chemical intermediate"/>
    <x v="4"/>
    <s v="Secondary"/>
    <s v="SAN 및 ABS/ASA/AES chain으로 연결"/>
    <s v="Existing"/>
    <m/>
  </r>
  <r>
    <x v="14"/>
    <s v="A01"/>
    <s v="E03"/>
    <n v="0.1"/>
    <s v="AN"/>
    <s v="PAN-based carbon fiber"/>
    <s v="Major chemical intermediate"/>
    <x v="2"/>
    <s v="Niche / Emerging"/>
    <s v="carbon fiber 성장성이 있으나 현재 비중은 작음"/>
    <s v="Existing"/>
    <m/>
  </r>
  <r>
    <x v="15"/>
    <s v="A04"/>
    <s v="E02"/>
    <n v="0.6"/>
    <s v="ABS"/>
    <s v="Appliances"/>
    <s v="Polymer resin / molding material"/>
    <x v="0"/>
    <s v="Primary"/>
    <s v="2025년 ABS 최대 end use, 약 42%"/>
    <s v="Existing"/>
    <m/>
  </r>
  <r>
    <x v="15"/>
    <s v="A40"/>
    <s v="E08"/>
    <n v="0.6"/>
    <s v="ABS"/>
    <s v="Electrical/electronic applications"/>
    <s v="Electronic chemicals &amp; materials"/>
    <x v="7"/>
    <s v="Primary"/>
    <s v="2025년 약 21%로 주요 소비처"/>
    <s v="Existing"/>
    <m/>
  </r>
  <r>
    <x v="15"/>
    <s v="A16"/>
    <s v="E03"/>
    <n v="0.3"/>
    <s v="ABS"/>
    <s v="Transportation"/>
    <s v="Automotive components &amp; lightweighting"/>
    <x v="2"/>
    <s v="Secondary"/>
    <s v="경량화와 내충격성이 요구되는 자동차 부품용"/>
    <s v="Existing"/>
    <m/>
  </r>
  <r>
    <x v="15"/>
    <s v="A10"/>
    <s v="E01"/>
    <n v="0.3"/>
    <s v="ABS"/>
    <s v="Building and construction"/>
    <s v="Building materials &amp; profiles"/>
    <x v="1"/>
    <s v="Secondary"/>
    <s v="건축·건설용 성형 소재 수요"/>
    <s v="Existing"/>
    <m/>
  </r>
  <r>
    <x v="15"/>
    <s v="A38"/>
    <s v="E07"/>
    <n v="0.3"/>
    <s v="ABS"/>
    <s v="PC/ABS, PBT/ABS, polyamide/ABS blends"/>
    <s v="Polymer modification &amp; additives"/>
    <x v="4"/>
    <s v="Secondary"/>
    <s v="다른 engineering plastics와 blend되어 물성 보완"/>
    <s v="Existing"/>
    <m/>
  </r>
  <r>
    <x v="16"/>
    <s v="A04"/>
    <s v="E02"/>
    <n v="0.6"/>
    <s v="SAN"/>
    <s v="Housewares"/>
    <s v="Polymer resin / molding material"/>
    <x v="0"/>
    <s v="Primary"/>
    <s v="투명성, 내화학성, 내열성이 필요한 생활용품 주요 용도"/>
    <s v="Existing"/>
    <m/>
  </r>
  <r>
    <x v="16"/>
    <s v="A38"/>
    <s v="E07"/>
    <n v="0.6"/>
    <s v="SAN"/>
    <s v="Compounding"/>
    <s v="Polymer modification &amp; additives"/>
    <x v="4"/>
    <s v="Primary"/>
    <s v="PVC stiffening, ABS compounding, additive carrier 등"/>
    <s v="Existing"/>
    <m/>
  </r>
  <r>
    <x v="16"/>
    <s v="A06"/>
    <s v="E02"/>
    <n v="0.3"/>
    <s v="SAN"/>
    <s v="Packaging"/>
    <s v="Rigid packaging"/>
    <x v="0"/>
    <s v="Secondary"/>
    <s v="cosmetics packaging, caps, nozzles, containers 등"/>
    <s v="Existing"/>
    <m/>
  </r>
  <r>
    <x v="16"/>
    <s v="A04"/>
    <s v="E02"/>
    <n v="0.3"/>
    <s v="SAN"/>
    <s v="Appliances"/>
    <s v="Polymer resin / molding material"/>
    <x v="0"/>
    <s v="Secondary"/>
    <s v="refrigerator liners, panels, blender jars 등 투명 성형부품"/>
    <s v="Existing"/>
    <m/>
  </r>
  <r>
    <x v="16"/>
    <s v="A33"/>
    <s v="E05"/>
    <n v="0.1"/>
    <s v="SAN"/>
    <s v="Medical instruments and utensils"/>
    <s v="Medical &amp; healthcare materials"/>
    <x v="6"/>
    <s v="Niche / Emerging"/>
    <s v="hemodialyzer housings, connectors, labware 등 niche medical use"/>
    <s v="Existing"/>
    <m/>
  </r>
  <r>
    <x v="16"/>
    <s v="A41"/>
    <s v="E03"/>
    <n v="0.1"/>
    <s v="SAN"/>
    <s v="Instrument panel lenses or covers"/>
    <s v="Display &amp; optical materials"/>
    <x v="2"/>
    <s v="Niche / Emerging"/>
    <s v="자동차 계기판 lens/cover용 투명 소재"/>
    <s v="Existing"/>
    <m/>
  </r>
  <r>
    <x v="17"/>
    <s v="A33"/>
    <s v="E05"/>
    <n v="0.6"/>
    <s v="NBR"/>
    <s v="Nitrile gloves"/>
    <s v="Medical &amp; healthcare materials"/>
    <x v="6"/>
    <s v="Primary"/>
    <s v="NBR latex 최대 성장 동인, 의료·보호장갑용"/>
    <s v="Existing"/>
    <m/>
  </r>
  <r>
    <x v="17"/>
    <s v="A18"/>
    <s v="E03"/>
    <n v="0.6"/>
    <s v="NBR"/>
    <s v="Automotive hoses, belts, gaskets, O-rings, seals"/>
    <s v="Elastomeric performance materials"/>
    <x v="2"/>
    <s v="Primary"/>
    <s v="solid NBR의 최대 시장, 내유·내열 rubber goods"/>
    <s v="Existing"/>
    <m/>
  </r>
  <r>
    <x v="17"/>
    <s v="A19"/>
    <s v="E07"/>
    <n v="0.3"/>
    <s v="NBR"/>
    <s v="Technical rubber goods"/>
    <s v="Tire &amp; rubber applications"/>
    <x v="4"/>
    <s v="Secondary"/>
    <s v="conveyor belts, tank linings, rolls, molded parts 등"/>
    <s v="Existing"/>
    <m/>
  </r>
  <r>
    <x v="17"/>
    <s v="A13"/>
    <s v="E04"/>
    <n v="0.3"/>
    <s v="NBR"/>
    <s v="Wire and cable jacketing"/>
    <s v="Electrical insulation"/>
    <x v="3"/>
    <s v="Secondary"/>
    <s v="NBR/PVC blend가 cable jacket 등에 사용"/>
    <s v="Existing"/>
    <m/>
  </r>
  <r>
    <x v="17"/>
    <s v="A20"/>
    <s v="E07"/>
    <n v="0.3"/>
    <s v="NBR"/>
    <s v="Adhesives"/>
    <s v="Adhesive bonding"/>
    <x v="4"/>
    <s v="Secondary"/>
    <s v="고강도·내유성이 필요한 adhesive 용도"/>
    <s v="Existing"/>
    <m/>
  </r>
  <r>
    <x v="17"/>
    <s v="A38"/>
    <s v="E07"/>
    <n v="0.3"/>
    <s v="NBR"/>
    <s v="PVC and ABS modification"/>
    <s v="Polymer modification &amp; additives"/>
    <x v="4"/>
    <s v="Secondary"/>
    <s v="PVC/ABS impact modifier 및 flexibility 개선용"/>
    <s v="Existing"/>
    <m/>
  </r>
  <r>
    <x v="17"/>
    <s v="A21"/>
    <s v="E04"/>
    <n v="0.1"/>
    <s v="NBR"/>
    <s v="Oil and gas field products"/>
    <s v="Sealants &amp; joint protection"/>
    <x v="3"/>
    <s v="Niche / Emerging"/>
    <s v="blow out preventors, packers, stators 등 oilfield sealing 용도"/>
    <s v="Existing"/>
    <m/>
  </r>
  <r>
    <x v="18"/>
    <s v="A05"/>
    <s v="E02"/>
    <n v="0.6"/>
    <s v="PP"/>
    <s v="Film and sheet"/>
    <s v="Flexible packaging"/>
    <x v="0"/>
    <s v="Primary"/>
    <s v="세계 PP 소비의 핵심 end use이며 packaging 중심 수요"/>
    <s v="Existing"/>
    <m/>
  </r>
  <r>
    <x v="18"/>
    <s v="A04"/>
    <s v="E02"/>
    <n v="0.6"/>
    <s v="PP"/>
    <s v="Injection molding"/>
    <s v="Polymer resin / molding material"/>
    <x v="0"/>
    <s v="Primary"/>
    <s v="caps, closures, containers, housewares 등 대량 성형용"/>
    <s v="Existing"/>
    <m/>
  </r>
  <r>
    <x v="18"/>
    <s v="A16"/>
    <s v="E03"/>
    <n v="0.6"/>
    <s v="PP"/>
    <s v="Transportation"/>
    <s v="Automotive components &amp; lightweighting"/>
    <x v="2"/>
    <s v="Primary"/>
    <s v="저밀도와 기계적 물성으로 자동차 경량 부품에 적합"/>
    <s v="Existing"/>
    <m/>
  </r>
  <r>
    <x v="18"/>
    <s v="A05"/>
    <s v="E02"/>
    <n v="0.6"/>
    <s v="PP"/>
    <s v="Raffia / woven sacks / jumbo bags"/>
    <s v="Flexible packaging"/>
    <x v="0"/>
    <s v="Primary"/>
    <s v="건설자재, 비료, 농산물 포장용 woven sack 수요가 큼"/>
    <s v="Existing"/>
    <m/>
  </r>
  <r>
    <x v="18"/>
    <s v="A32"/>
    <s v="E05"/>
    <n v="0.3"/>
    <s v="PP"/>
    <s v="Fibers and filaments / nonwovens"/>
    <s v="Hygiene &amp; absorbency"/>
    <x v="6"/>
    <s v="Secondary"/>
    <s v="nonwovens 및 의료 wearable 수요와 연결"/>
    <s v="Existing"/>
    <m/>
  </r>
  <r>
    <x v="18"/>
    <s v="A06"/>
    <s v="E02"/>
    <n v="0.3"/>
    <s v="PP"/>
    <s v="Containers / blow molding"/>
    <s v="Rigid packaging"/>
    <x v="0"/>
    <s v="Secondary"/>
    <s v="hot-fill 및 내화학성이 필요한 용기용"/>
    <s v="Existing"/>
    <m/>
  </r>
  <r>
    <x v="18"/>
    <s v="A09"/>
    <s v="E01"/>
    <n v="0.3"/>
    <s v="PP"/>
    <s v="Pipe and extrusion"/>
    <s v="Pipe &amp; fluid conveyance"/>
    <x v="1"/>
    <s v="Secondary"/>
    <s v="pipe extrusion-grade PP가 별도 소비 category로 제시됨"/>
    <s v="Existing"/>
    <m/>
  </r>
  <r>
    <x v="18"/>
    <s v="A13"/>
    <s v="E04"/>
    <n v="0.3"/>
    <s v="PP"/>
    <s v="Wire and cable"/>
    <s v="Electrical insulation"/>
    <x v="3"/>
    <s v="Secondary"/>
    <s v="전선·케이블용 extrusion application"/>
    <s v="Existing"/>
    <m/>
  </r>
  <r>
    <x v="18"/>
    <s v="A33"/>
    <s v="E05"/>
    <n v="0.3"/>
    <s v="PP"/>
    <s v="Medical products / disposable syringes"/>
    <s v="Medical &amp; healthcare materials"/>
    <x v="6"/>
    <s v="Secondary"/>
    <s v="의료제품 및 syringe 성형용으로 사용"/>
    <s v="Existing"/>
    <m/>
  </r>
  <r>
    <x v="18"/>
    <s v="A04"/>
    <s v="E02"/>
    <n v="0.3"/>
    <s v="PP"/>
    <s v="Appliances"/>
    <s v="Polymer resin / molding material"/>
    <x v="0"/>
    <s v="Secondary"/>
    <s v="appliance parts 성형용 application"/>
    <s v="Existing"/>
    <m/>
  </r>
  <r>
    <x v="18"/>
    <s v="A04"/>
    <s v="E02"/>
    <n v="0.3"/>
    <s v="PP"/>
    <s v="Furniture / housewares"/>
    <s v="Polymer resin / molding material"/>
    <x v="0"/>
    <s v="Secondary"/>
    <s v="household 및 furniture 성형품용"/>
    <s v="Existing"/>
    <m/>
  </r>
  <r>
    <x v="18"/>
    <s v="A40"/>
    <s v="E08"/>
    <n v="0.1"/>
    <s v="PP"/>
    <s v="Capacitor and electronic industry films"/>
    <s v="Electronic chemicals &amp; materials"/>
    <x v="7"/>
    <s v="Niche / Emerging"/>
    <s v="film 중 소량 specialty market로 언급됨"/>
    <s v="Existing"/>
    <m/>
  </r>
  <r>
    <x v="19"/>
    <s v="A01"/>
    <s v="E07"/>
    <n v="0.6"/>
    <s v="PO"/>
    <s v="Polyether polyols"/>
    <s v="Major chemical intermediate"/>
    <x v="4"/>
    <s v="Primary"/>
    <s v="PO 수요의 72%로 최대 downstream route"/>
    <s v="Existing"/>
    <m/>
  </r>
  <r>
    <x v="19"/>
    <s v="A01"/>
    <s v="E07"/>
    <n v="0.3"/>
    <s v="PO"/>
    <s v="Propylene glycols"/>
    <s v="Major chemical intermediate"/>
    <x v="4"/>
    <s v="Secondary"/>
    <s v="PO의 2대 수요처, 2024년 약 11%"/>
    <s v="Existing"/>
    <m/>
  </r>
  <r>
    <x v="19"/>
    <s v="A02"/>
    <s v="E08"/>
    <n v="0.3"/>
    <s v="PO"/>
    <s v="Propylene carbonate"/>
    <s v="Specialty chemical intermediate"/>
    <x v="7"/>
    <s v="Secondary"/>
    <s v="EV battery solvent/DMC 중간체 수요로 성장"/>
    <s v="Existing"/>
    <m/>
  </r>
  <r>
    <x v="19"/>
    <s v="A02"/>
    <s v="E07"/>
    <n v="0.1"/>
    <s v="PO"/>
    <s v="1,4-Butanediol"/>
    <s v="Specialty chemical intermediate"/>
    <x v="4"/>
    <s v="Niche / Emerging"/>
    <s v="PO 기반 BDO route는 약 1%로 제한적"/>
    <s v="Existing"/>
    <m/>
  </r>
  <r>
    <x v="20"/>
    <s v="A01"/>
    <s v="E01"/>
    <n v="0.6"/>
    <s v="PG"/>
    <s v="Unsaturated polyester resins"/>
    <s v="Major chemical intermediate"/>
    <x v="1"/>
    <s v="Primary"/>
    <s v="2023년 PG 최대 용도, 약 36%"/>
    <s v="Existing"/>
    <m/>
  </r>
  <r>
    <x v="20"/>
    <s v="A29"/>
    <s v="E07"/>
    <n v="0.3"/>
    <s v="PG"/>
    <s v="Functional fluids and antifreezes"/>
    <s v="Corrosion inhibition &amp; metalworking"/>
    <x v="4"/>
    <s v="Secondary"/>
    <s v="동결점 저하 및 functional fluid 용도"/>
    <s v="Existing"/>
    <m/>
  </r>
  <r>
    <x v="20"/>
    <s v="A31"/>
    <s v="E02"/>
    <n v="0.3"/>
    <s v="PG"/>
    <s v="Cosmetics and personal care products"/>
    <s v="Personal care formulation"/>
    <x v="0"/>
    <s v="Secondary"/>
    <s v="보습, 점도 조절, emolliency 기능"/>
    <s v="Existing"/>
    <m/>
  </r>
  <r>
    <x v="20"/>
    <s v="A36"/>
    <s v="E05"/>
    <n v="0.3"/>
    <s v="PG"/>
    <s v="Food/pharmaceutical grades"/>
    <s v="Food additives &amp; preservation"/>
    <x v="6"/>
    <s v="Secondary"/>
    <s v="USP/EP grade가 식품·의약·생활용품에 사용"/>
    <s v="Existing"/>
    <m/>
  </r>
  <r>
    <x v="20"/>
    <s v="A30"/>
    <s v="E02"/>
    <n v="0.3"/>
    <s v="PG"/>
    <s v="Liquid detergents"/>
    <s v="Surfactant &amp; emulsification"/>
    <x v="0"/>
    <s v="Secondary"/>
    <s v="household detergent formulation용"/>
    <s v="Existing"/>
    <m/>
  </r>
  <r>
    <x v="20"/>
    <s v="A01"/>
    <s v="E07"/>
    <n v="0.3"/>
    <s v="PG"/>
    <s v="Polyurethanes"/>
    <s v="Major chemical intermediate"/>
    <x v="4"/>
    <s v="Secondary"/>
    <s v="polyurethane chain으로 연결되는 산업용 PG 수요"/>
    <s v="Existing"/>
    <m/>
  </r>
  <r>
    <x v="21"/>
    <s v="A01"/>
    <s v="E02"/>
    <n v="0.6"/>
    <s v="PPG"/>
    <s v="Flexible PU foams"/>
    <s v="Major chemical intermediate"/>
    <x v="0"/>
    <s v="Primary"/>
    <s v="bedding, furniture, transportation cushioning으로 연결되는 핵심 polyol route"/>
    <s v="Existing"/>
    <s v="GPT"/>
  </r>
  <r>
    <x v="21"/>
    <s v="A01"/>
    <s v="E01"/>
    <n v="0.6"/>
    <s v="PPG"/>
    <s v="Rigid PU foams"/>
    <s v="Major chemical intermediate"/>
    <x v="1"/>
    <s v="Primary"/>
    <s v="건축·냉장·배관 insulation용 PU foam 원료"/>
    <s v="Existing"/>
    <s v="GPT"/>
  </r>
  <r>
    <x v="21"/>
    <s v="A01"/>
    <s v="E03"/>
    <n v="0.3"/>
    <s v="PPG"/>
    <s v="Nonfoam PU applications"/>
    <s v="Major chemical intermediate"/>
    <x v="2"/>
    <s v="Secondary"/>
    <s v="cast elastomers, tubing, hoses, fascias, shoe soles 등"/>
    <s v="Existing"/>
    <s v="GPT"/>
  </r>
  <r>
    <x v="21"/>
    <s v="A01"/>
    <s v="E07"/>
    <n v="0.3"/>
    <s v="PPG"/>
    <s v="Adhesives and sealants"/>
    <s v="Major chemical intermediate"/>
    <x v="4"/>
    <s v="Secondary"/>
    <s v="PU adhesive/sealant chain으로 연결"/>
    <s v="Existing"/>
    <s v="GPT"/>
  </r>
  <r>
    <x v="21"/>
    <s v="A01"/>
    <s v="E07"/>
    <n v="0.3"/>
    <s v="PPG"/>
    <s v="Surface coatings"/>
    <s v="Major chemical intermediate"/>
    <x v="4"/>
    <s v="Secondary"/>
    <s v="PU surface coating application 포함"/>
    <s v="Existing"/>
    <s v="GPT"/>
  </r>
  <r>
    <x v="22"/>
    <s v="A01"/>
    <s v="E01"/>
    <n v="0.6"/>
    <s v="Polyols"/>
    <s v="Rigid PU/PIR foam"/>
    <s v="Major chemical intermediate"/>
    <x v="1"/>
    <s v="Primary"/>
    <s v="polyester polyol 최대 성장·핵심 용도, building insulation 중심"/>
    <s v="Existing"/>
    <m/>
  </r>
  <r>
    <x v="22"/>
    <s v="A01"/>
    <s v="E07"/>
    <n v="0.6"/>
    <s v="Polyols"/>
    <s v="PU elastomers / TPU"/>
    <s v="Major chemical intermediate"/>
    <x v="4"/>
    <s v="Primary"/>
    <s v="nonfoam application 중 elastomer가 주요 수요처"/>
    <s v="Existing"/>
    <m/>
  </r>
  <r>
    <x v="22"/>
    <s v="A01"/>
    <s v="E07"/>
    <n v="0.3"/>
    <s v="Polyols"/>
    <s v="Surface coatings"/>
    <s v="Major chemical intermediate"/>
    <x v="4"/>
    <s v="Secondary"/>
    <s v="aircraft, bridge, automotive coating 등에 사용"/>
    <s v="Existing"/>
    <m/>
  </r>
  <r>
    <x v="22"/>
    <s v="A01"/>
    <s v="E07"/>
    <n v="0.3"/>
    <s v="Polyols"/>
    <s v="Adhesives and sealants"/>
    <s v="Major chemical intermediate"/>
    <x v="4"/>
    <s v="Secondary"/>
    <s v="PU hot-melt adhesive 및 sealant 원료"/>
    <s v="Existing"/>
    <m/>
  </r>
  <r>
    <x v="22"/>
    <s v="A01"/>
    <s v="E02"/>
    <n v="0.3"/>
    <s v="Polyols"/>
    <s v="Flexible foams"/>
    <s v="Major chemical intermediate"/>
    <x v="0"/>
    <s v="Secondary"/>
    <s v="textile laminates, bedding 등 specialty flexible foam"/>
    <s v="Existing"/>
    <m/>
  </r>
  <r>
    <x v="23"/>
    <s v="A17"/>
    <s v="E02"/>
    <n v="0.6"/>
    <s v="PU"/>
    <s v="Flexible foams: bedding, furniture, transportation"/>
    <s v="Cushioning &amp; comfort materials"/>
    <x v="0"/>
    <s v="Primary"/>
    <s v="flexible PU foam은 cushioning 소재로 대량 사용"/>
    <s v="Existing"/>
    <m/>
  </r>
  <r>
    <x v="23"/>
    <s v="A12"/>
    <s v="E01"/>
    <n v="0.6"/>
    <s v="PU"/>
    <s v="Rigid PU/PIR foams: construction and industrial insulation"/>
    <s v="Thermal insulation"/>
    <x v="1"/>
    <s v="Primary"/>
    <s v="rigid foam의 핵심은 construction 및 industrial insulation"/>
    <s v="Existing"/>
    <m/>
  </r>
  <r>
    <x v="23"/>
    <s v="A18"/>
    <s v="E02"/>
    <n v="0.6"/>
    <s v="PU"/>
    <s v="Footwear / shoe soles"/>
    <s v="Elastomeric performance materials"/>
    <x v="0"/>
    <s v="Primary"/>
    <s v="PU elastomer 최대 end-use, 약 38%"/>
    <s v="Existing"/>
    <m/>
  </r>
  <r>
    <x v="23"/>
    <s v="A16"/>
    <s v="E03"/>
    <n v="0.3"/>
    <s v="PU"/>
    <s v="Transportation parts: gaskets, seals, O-rings, shock absorbers"/>
    <s v="Automotive components &amp; lightweighting"/>
    <x v="2"/>
    <s v="Secondary"/>
    <s v="자동차용 elastomer 부품 및 comfort 소재"/>
    <s v="Existing"/>
    <m/>
  </r>
  <r>
    <x v="23"/>
    <s v="A19"/>
    <s v="E07"/>
    <n v="0.3"/>
    <s v="PU"/>
    <s v="Wheels and tires"/>
    <s v="Tire &amp; rubber applications"/>
    <x v="4"/>
    <s v="Secondary"/>
    <s v="forklift solid tires, rollerblade wheels 등"/>
    <s v="Existing"/>
    <m/>
  </r>
  <r>
    <x v="23"/>
    <s v="A18"/>
    <s v="E07"/>
    <n v="0.3"/>
    <s v="PU"/>
    <s v="Machinery: rollers, belts, pulleys, seals"/>
    <s v="Elastomeric performance materials"/>
    <x v="4"/>
    <s v="Secondary"/>
    <s v="내마모·고하중 산업부품용 cast elastomer"/>
    <s v="Existing"/>
    <m/>
  </r>
  <r>
    <x v="23"/>
    <s v="A13"/>
    <s v="E04"/>
    <n v="0.1"/>
    <s v="PU"/>
    <s v="Wire and cable / electrical covering"/>
    <s v="Electrical insulation"/>
    <x v="3"/>
    <s v="Niche / Emerging"/>
    <s v="TPU가 wire, cable, fiber optics 보호 피복에 사용"/>
    <s v="Existing"/>
    <m/>
  </r>
  <r>
    <x v="23"/>
    <s v="A33"/>
    <s v="E05"/>
    <n v="0.1"/>
    <s v="PU"/>
    <s v="Medical hose/tubing, catheters, wound dressings"/>
    <s v="Medical &amp; healthcare materials"/>
    <x v="6"/>
    <s v="Niche / Emerging"/>
    <s v="TPU medical tubing 및 biomedical products 용도"/>
    <s v="Existing"/>
    <m/>
  </r>
  <r>
    <x v="24"/>
    <s v="A01"/>
    <s v="E07"/>
    <n v="0.6"/>
    <s v="Acrylic acid"/>
    <s v="Acrylate esters"/>
    <s v="Major chemical intermediate"/>
    <x v="4"/>
    <s v="Primary"/>
    <s v="CAA의 약 50%가 acrylate esters로 전환되는 핵심 다운스트림 경로"/>
    <s v="Existing"/>
    <m/>
  </r>
  <r>
    <x v="24"/>
    <s v="A01"/>
    <s v="E02"/>
    <n v="0.6"/>
    <s v="Acrylic acid"/>
    <s v="Superabsorbent polymers"/>
    <s v="Major chemical intermediate"/>
    <x v="0"/>
    <s v="Primary"/>
    <s v="GAA 기반 SAP가 위생재의 핵심 흡수 소재로 사용됨"/>
    <s v="Existing"/>
    <m/>
  </r>
  <r>
    <x v="24"/>
    <s v="A27"/>
    <s v="E07"/>
    <n v="0.3"/>
    <s v="Acrylic acid"/>
    <s v="Detergent cobuilders / water treatment"/>
    <s v="Water treatment &amp; dispersants"/>
    <x v="4"/>
    <s v="Secondary"/>
    <s v="PAA 및 공중합체가 수처리, 분산제, detergent cobuilder에 사용됨"/>
    <s v="Existing"/>
    <m/>
  </r>
  <r>
    <x v="25"/>
    <s v="A22"/>
    <s v="E01"/>
    <n v="0.6"/>
    <s v="Acrylate ester"/>
    <s v="Surface coatings"/>
    <s v="Surface coating"/>
    <x v="1"/>
    <s v="Primary"/>
    <s v="Commodity acrylate esters의 최대 용도이며 coatings용 polymer 생산에 사용됨"/>
    <s v="Existing"/>
    <m/>
  </r>
  <r>
    <x v="25"/>
    <s v="A20"/>
    <s v="E02"/>
    <n v="0.6"/>
    <s v="Acrylate ester"/>
    <s v="Adhesives and sealants"/>
    <s v="Adhesive bonding"/>
    <x v="0"/>
    <s v="Primary"/>
    <s v="coatings 다음의 대형 수요처로 adhesives 및 sealants용 polymer에 사용됨"/>
    <s v="Existing"/>
    <m/>
  </r>
  <r>
    <x v="25"/>
    <s v="A22"/>
    <s v="E07"/>
    <n v="0.3"/>
    <s v="Acrylate ester"/>
    <s v="Textiles"/>
    <s v="Surface coating"/>
    <x v="4"/>
    <s v="Secondary"/>
    <s v="textile backing 및 처리용 latex/polymer application으로 사용됨"/>
    <s v="Existing"/>
    <m/>
  </r>
  <r>
    <x v="25"/>
    <s v="A38"/>
    <s v="E07"/>
    <n v="0.3"/>
    <s v="Acrylate ester"/>
    <s v="Plastic additives / copolymers"/>
    <s v="Polymer modification &amp; additives"/>
    <x v="4"/>
    <s v="Secondary"/>
    <s v="플라스틱 개질 및 copolymer 용도로 상업적 수요가 존재함"/>
    <s v="Existing"/>
    <m/>
  </r>
  <r>
    <x v="26"/>
    <s v="A32"/>
    <s v="E02"/>
    <n v="0.6"/>
    <s v="SAP"/>
    <s v="Baby diapers / training pants"/>
    <s v="Hygiene &amp; absorbency"/>
    <x v="0"/>
    <s v="Primary"/>
    <s v="SAP 소비의 최대 application으로, 글로벌 소비의 약 70% 이상을 차지"/>
    <s v="Existing"/>
    <m/>
  </r>
  <r>
    <x v="26"/>
    <s v="A32"/>
    <s v="E05"/>
    <n v="0.3"/>
    <s v="SAP"/>
    <s v="Adult incontinence"/>
    <s v="Hygiene &amp; absorbency"/>
    <x v="6"/>
    <s v="Secondary"/>
    <s v="고령화로 성장성이 높은 위생·헬스케어 흡수재 application"/>
    <s v="Existing"/>
    <m/>
  </r>
  <r>
    <x v="26"/>
    <s v="A32"/>
    <s v="E02"/>
    <n v="0.3"/>
    <s v="SAP"/>
    <s v="Feminine hygiene"/>
    <s v="Hygiene &amp; absorbency"/>
    <x v="0"/>
    <s v="Secondary"/>
    <s v="여성 위생용 흡수재로 사용되나 diapers 대비 규모는 작음"/>
    <s v="Existing"/>
    <m/>
  </r>
  <r>
    <x v="26"/>
    <s v="A34"/>
    <s v="E06"/>
    <n v="0.1"/>
    <s v="SAP"/>
    <s v="Agriculture water release / soil moisture control"/>
    <s v="Agricultural productivity materials"/>
    <x v="5"/>
    <s v="Niche / Emerging"/>
    <s v="토양 수분 조절용 산업·농업 application이나 전체 SAP 내 비중은 작음"/>
    <s v="Existing"/>
    <m/>
  </r>
  <r>
    <x v="27"/>
    <s v="A01"/>
    <s v="E07"/>
    <n v="0.6"/>
    <s v="n-Butyraldehyde"/>
    <s v="2-Ethylhexanol"/>
    <s v="Major chemical intermediate"/>
    <x v="4"/>
    <s v="Primary"/>
    <s v="n-butyraldehyde의 최대 전환 경로 중 하나이며 plasticizer alcohol 체인의 핵심 중간체"/>
    <s v="Existing"/>
    <m/>
  </r>
  <r>
    <x v="27"/>
    <s v="A01"/>
    <s v="E07"/>
    <n v="0.6"/>
    <s v="n-Butyraldehyde"/>
    <s v="n-Butanol"/>
    <s v="Major chemical intermediate"/>
    <x v="4"/>
    <s v="Primary"/>
    <s v="n-butanol과 2-EH가 n-butyraldehyde 소비의 대부분을 차지"/>
    <s v="Existing"/>
    <m/>
  </r>
  <r>
    <x v="27"/>
    <s v="A02"/>
    <s v="E07"/>
    <n v="0.3"/>
    <s v="n-Butyraldehyde"/>
    <s v="Polyvinyl butyral"/>
    <s v="Specialty chemical intermediate"/>
    <x v="4"/>
    <s v="Secondary"/>
    <s v="PVB 등 특수 유도체로 전환되나 2-EH/n-butanol 대비 비중은 작음"/>
    <s v="Existing"/>
    <m/>
  </r>
  <r>
    <x v="27"/>
    <s v="A02"/>
    <s v="E07"/>
    <n v="0.6"/>
    <s v="n-Butyraldehyde"/>
    <s v="Condensation/esterification products"/>
    <s v="Specialty chemical intermediate"/>
    <x v="4"/>
    <s v="Primary"/>
    <s v="TMPD, Texanol, TXIB, IBIB 등 용제·수지·가소제 계열로 전환되는 주요 경로"/>
    <s v="Existing"/>
    <m/>
  </r>
  <r>
    <x v="27"/>
    <s v="A01"/>
    <s v="E07"/>
    <n v="0.3"/>
    <s v="n-Butyraldehyde"/>
    <s v="Isobutanol"/>
    <s v="Major chemical intermediate"/>
    <x v="4"/>
    <s v="Secondary"/>
    <s v="isobutanol, neopentyl glycol, isobutyric acid 등으로 전환되는 중간체"/>
    <s v="Existing"/>
    <m/>
  </r>
  <r>
    <x v="28"/>
    <s v="A38"/>
    <s v="E01"/>
    <n v="0.6"/>
    <s v="2-ethylhexanol"/>
    <s v="Plasticizers"/>
    <s v="Polymer modification &amp; additives"/>
    <x v="1"/>
    <s v="Primary"/>
    <s v="2-EH 소비의 절반 이상이 DOTP, DEHP 등 plasticizer 생산에 사용"/>
    <s v="Existing"/>
    <m/>
  </r>
  <r>
    <x v="28"/>
    <s v="A03"/>
    <s v="E07"/>
    <n v="0.6"/>
    <s v="2-ethylhexanol"/>
    <s v="Acrylate/methacrylate esters"/>
    <s v="Reactive monomer / comonomer"/>
    <x v="4"/>
    <s v="Primary"/>
    <s v="2-EH의 대형 수요처로 2-ethylhexyl acrylate 등 생산에 사용"/>
    <s v="Existing"/>
    <m/>
  </r>
  <r>
    <x v="29"/>
    <s v="A01"/>
    <s v="E07"/>
    <n v="0.6"/>
    <s v="n-butanol"/>
    <s v="n-Butyl acrylate / methacrylate esters"/>
    <s v="Major chemical intermediate"/>
    <x v="4"/>
    <s v="Primary"/>
    <s v="n-butanol의 최대 end use이며 coatings, sealants, adhesives용 acrylate 생산에 사용"/>
    <s v="Existing"/>
    <m/>
  </r>
  <r>
    <x v="29"/>
    <s v="A24"/>
    <s v="E07"/>
    <n v="0.6"/>
    <s v="n-butanol"/>
    <s v="Surface coatings solvent / n-butyl acetate / glycol ethers"/>
    <s v="Solvent &amp; extraction"/>
    <x v="4"/>
    <s v="Primary"/>
    <s v="직접 용제 및 acetate/glycol ether 유도체로 coatings 용제에 사용"/>
    <s v="Existing"/>
    <m/>
  </r>
  <r>
    <x v="30"/>
    <s v="A24"/>
    <s v="E07"/>
    <n v="0.6"/>
    <s v="n-butyl acetate"/>
    <s v="Surface coatings solvent"/>
    <s v="Solvent &amp; extraction"/>
    <x v="4"/>
    <s v="Primary"/>
    <s v="coating resin용 효과적 용제로 사용됨"/>
    <s v="Existing"/>
    <m/>
  </r>
  <r>
    <x v="31"/>
    <s v="A01"/>
    <s v="E07"/>
    <n v="0.6"/>
    <s v="isobutanol"/>
    <s v="Isobutyl acetate"/>
    <s v="Major chemical intermediate"/>
    <x v="4"/>
    <s v="Primary"/>
    <s v="isobutanol의 최대 소비처이며 isobutyl acetate는 coatings 용제로 사용"/>
    <s v="Existing"/>
    <m/>
  </r>
  <r>
    <x v="31"/>
    <s v="A28"/>
    <s v="E07"/>
    <n v="0.6"/>
    <s v="isobutanol"/>
    <s v="Lube oil additives / isobutyl ZDDP"/>
    <s v="Lubrication &amp; friction control"/>
    <x v="4"/>
    <s v="Primary"/>
    <s v="ZDDP계 윤활유 첨가제 제조에 사용되는 주요 application"/>
    <s v="Existing"/>
    <m/>
  </r>
  <r>
    <x v="31"/>
    <s v="A24"/>
    <s v="E07"/>
    <n v="0.3"/>
    <s v="isobutanol"/>
    <s v="Direct solvent in surface coatings and adhesives"/>
    <s v="Solvent &amp; extraction"/>
    <x v="4"/>
    <s v="Secondary"/>
    <s v="coatings 및 adhesives용 latent/direct solvent로 사용"/>
    <s v="Existing"/>
    <m/>
  </r>
  <r>
    <x v="32"/>
    <s v="A24"/>
    <s v="E07"/>
    <n v="0.6"/>
    <s v="isobutyl acetate"/>
    <s v="Surface coatings"/>
    <s v="Solvent &amp; extraction"/>
    <x v="4"/>
    <s v="Primary"/>
    <s v="거의 전량이 surface coatings 용제로 사용되며 2024년 미국 기준 89%"/>
    <s v="Existing"/>
    <m/>
  </r>
  <r>
    <x v="33"/>
    <s v="A24"/>
    <s v="E07"/>
    <n v="0.6"/>
    <s v="IPA"/>
    <s v="Direct solvent: surface coatings, inks, pesticide formulations, resins, household cleaners"/>
    <s v="Solvent &amp; extraction"/>
    <x v="4"/>
    <s v="Primary"/>
    <s v="2023년 주요 지역 IPA 소비의 최대 용도이며 direct solvent가 약 55% 차지"/>
    <s v="Existing"/>
    <m/>
  </r>
  <r>
    <x v="33"/>
    <s v="A40"/>
    <s v="E08"/>
    <n v="0.1"/>
    <s v="IPA"/>
    <s v="Cleaning printed circuit boards, flat-panel displays and electronic devices"/>
    <s v="Electronic chemicals &amp; materials"/>
    <x v="7"/>
    <s v="Niche / Emerging"/>
    <s v="electronic-grade IPA는 PCB, FPD 등 전자부품 세정에 사용되며 주요 지역 소비의 8% 차지"/>
    <s v="Existing"/>
    <m/>
  </r>
  <r>
    <x v="33"/>
    <s v="A01"/>
    <s v="E07"/>
    <n v="0.3"/>
    <s v="IPA"/>
    <s v="Isopropyl acetate"/>
    <s v="Major chemical intermediate"/>
    <x v="4"/>
    <s v="Secondary"/>
    <s v="IPA 유도체 중 최대 품목이며 미국 기준 2023년 22천 톤 소비"/>
    <s v="Existing"/>
    <m/>
  </r>
  <r>
    <x v="33"/>
    <s v="A31"/>
    <s v="E02"/>
    <n v="0.3"/>
    <s v="IPA"/>
    <s v="Cosmetic and personal care products / rubbing alcohol / hand sanitizer"/>
    <s v="Personal care formulation"/>
    <x v="0"/>
    <s v="Secondary"/>
    <s v="cosmetic grade는 personal care, rubbing alcohol, hand sanitizer에 사용됨"/>
    <s v="Existing"/>
    <m/>
  </r>
  <r>
    <x v="33"/>
    <s v="A33"/>
    <s v="E05"/>
    <n v="0.3"/>
    <s v="IPA"/>
    <s v="Processing solvent during drug manufacture / medical wipes"/>
    <s v="Medical &amp; healthcare materials"/>
    <x v="6"/>
    <s v="Secondary"/>
    <s v="pharma grade는 의약 제조용 solvent, medical wipes, 일부 formulation에 사용됨"/>
    <s v="Existing"/>
    <m/>
  </r>
  <r>
    <x v="34"/>
    <s v="A24"/>
    <s v="E07"/>
    <n v="0.6"/>
    <s v="Isopropyl acetate"/>
    <s v="Solvent in cellulose and plastics manufacture"/>
    <s v="Solvent &amp; extraction"/>
    <x v="4"/>
    <s v="Primary"/>
    <s v="cellulose 및 plastics 제조용 solvent로 사용됨"/>
    <s v="Existing"/>
    <m/>
  </r>
  <r>
    <x v="34"/>
    <s v="A23"/>
    <s v="E07"/>
    <n v="0.3"/>
    <s v="Isopropyl acetate"/>
    <s v="Printing inks"/>
    <s v="Printing inks &amp; graphic materials"/>
    <x v="4"/>
    <s v="Secondary"/>
    <s v="일부 printing inks의 구성 성분으로 사용됨"/>
    <s v="Existing"/>
    <m/>
  </r>
  <r>
    <x v="34"/>
    <s v="A31"/>
    <s v="E02"/>
    <n v="0.1"/>
    <s v="Isopropyl acetate"/>
    <s v="Perfumes"/>
    <s v="Personal care formulation"/>
    <x v="0"/>
    <s v="Niche / Emerging"/>
    <s v="perfume 성분으로 사용되나 IPA derivative 내 비중은 제한적"/>
    <s v="Existing"/>
    <m/>
  </r>
  <r>
    <x v="35"/>
    <s v="A01"/>
    <s v="E07"/>
    <n v="0.6"/>
    <s v="Butadiene"/>
    <s v="Polybutadiene rubber"/>
    <s v="Major chemical intermediate"/>
    <x v="4"/>
    <s v="Primary"/>
    <s v="2024년 butadiene 최대 수요처이며, PBR 생산용 직접 원료"/>
    <s v="Existing"/>
    <m/>
  </r>
  <r>
    <x v="35"/>
    <s v="A01"/>
    <s v="E07"/>
    <n v="0.6"/>
    <s v="Butadiene"/>
    <s v="SBR, emulsion / SBR, solution"/>
    <s v="Major chemical intermediate"/>
    <x v="4"/>
    <s v="Primary"/>
    <s v="PBR과 SBR 합산이 2024년 butadiene 시장의 약 54%"/>
    <s v="Existing"/>
    <m/>
  </r>
  <r>
    <x v="35"/>
    <s v="A01"/>
    <s v="E07"/>
    <n v="0.3"/>
    <s v="Butadiene"/>
    <s v="ABS resins"/>
    <s v="Major chemical intermediate"/>
    <x v="4"/>
    <s v="Secondary"/>
    <s v="ABS resin용 주요 butadiene 파생 수요"/>
    <s v="Existing"/>
    <m/>
  </r>
  <r>
    <x v="35"/>
    <s v="A01"/>
    <s v="E07"/>
    <n v="0.3"/>
    <s v="Butadiene"/>
    <s v="Nitrile latex / Nitrile rubber"/>
    <s v="Major chemical intermediate"/>
    <x v="4"/>
    <s v="Secondary"/>
    <s v="NBL/NBR 생산에 사용되는 specialty elastomer 원료"/>
    <s v="Existing"/>
    <m/>
  </r>
  <r>
    <x v="35"/>
    <s v="A01"/>
    <s v="E07"/>
    <n v="0.3"/>
    <s v="Butadiene"/>
    <s v="Styrene-butadiene latex"/>
    <s v="Major chemical intermediate"/>
    <x v="4"/>
    <s v="Secondary"/>
    <s v="SBL 생산용 downstream route"/>
    <s v="Existing"/>
    <m/>
  </r>
  <r>
    <x v="35"/>
    <s v="A01"/>
    <s v="E07"/>
    <n v="0.3"/>
    <s v="Butadiene"/>
    <s v="Adiponitrile"/>
    <s v="Major chemical intermediate"/>
    <x v="4"/>
    <s v="Secondary"/>
    <s v="nylon chain으로 연결되는 화학 중간체 수요"/>
    <s v="Existing"/>
    <m/>
  </r>
  <r>
    <x v="36"/>
    <s v="A19"/>
    <s v="E03"/>
    <n v="0.6"/>
    <s v="BR"/>
    <s v="Tires"/>
    <s v="Tire &amp; rubber applications"/>
    <x v="2"/>
    <s v="Primary"/>
    <s v="PBR 소비의 약 75%가 tires이며 최대 end use"/>
    <s v="Existing"/>
    <m/>
  </r>
  <r>
    <x v="36"/>
    <s v="A38"/>
    <s v="E02"/>
    <n v="0.3"/>
    <s v="BR"/>
    <s v="ABS/HIPS impact modification"/>
    <s v="Polymer modification &amp; additives"/>
    <x v="0"/>
    <s v="Secondary"/>
    <s v="HIPS/ABS toughness 개선용 impact modifier"/>
    <s v="Existing"/>
    <m/>
  </r>
  <r>
    <x v="36"/>
    <s v="A19"/>
    <s v="E07"/>
    <n v="0.3"/>
    <s v="BR"/>
    <s v="V-belts, conveyor belt coverings and hoses"/>
    <s v="Tire &amp; rubber applications"/>
    <x v="4"/>
    <s v="Secondary"/>
    <s v="타이어 외 rubber goods용 의미 있는 수요"/>
    <s v="Existing"/>
    <m/>
  </r>
  <r>
    <x v="37"/>
    <s v="A19"/>
    <s v="E03"/>
    <n v="0.6"/>
    <s v="SBR"/>
    <s v="Tire production"/>
    <s v="Tire &amp; rubber applications"/>
    <x v="2"/>
    <s v="Primary"/>
    <s v="SBR의 핵심 용도이며 최대 synthetic rubber application"/>
    <s v="Existing"/>
    <m/>
  </r>
  <r>
    <x v="37"/>
    <s v="A19"/>
    <s v="E07"/>
    <n v="0.3"/>
    <s v="SBR"/>
    <s v="Belts, hoses, mechanical parts and gaskets"/>
    <s v="Tire &amp; rubber applications"/>
    <x v="4"/>
    <s v="Secondary"/>
    <s v="nontire mechanical rubber goods용 상업 수요"/>
    <s v="Existing"/>
    <m/>
  </r>
  <r>
    <x v="37"/>
    <s v="A16"/>
    <s v="E03"/>
    <n v="0.3"/>
    <s v="SBR"/>
    <s v="Automotive parts"/>
    <s v="Automotive components &amp; lightweighting"/>
    <x v="2"/>
    <s v="Secondary"/>
    <s v="hoses, seals, mats 등 nontire automotive rubber parts"/>
    <s v="Existing"/>
    <m/>
  </r>
  <r>
    <x v="37"/>
    <s v="A20"/>
    <s v="E02"/>
    <n v="0.1"/>
    <s v="SBR"/>
    <s v="Adhesives, chewing gum base, coated fabrics, molded goods"/>
    <s v="Adhesive bonding"/>
    <x v="0"/>
    <s v="Niche / Emerging"/>
    <s v="hot E-SBR의 잔존 specialty application"/>
    <s v="Existing"/>
    <m/>
  </r>
  <r>
    <x v="38"/>
    <s v="A01"/>
    <s v="E07"/>
    <n v="0.6"/>
    <s v="Isobutylene"/>
    <s v="MTBE"/>
    <s v="Major chemical intermediate"/>
    <x v="4"/>
    <s v="Primary"/>
    <s v="MTBE는 butylenes의 주요 outlet이며 isobutylene과 methanol 반응으로 생산"/>
    <s v="Existing"/>
    <m/>
  </r>
  <r>
    <x v="38"/>
    <s v="A01"/>
    <s v="E07"/>
    <n v="0.3"/>
    <s v="Isobutylene"/>
    <s v="High-purity isobutylene for butyl rubber and polyisobutylene"/>
    <s v="Major chemical intermediate"/>
    <x v="4"/>
    <s v="Secondary"/>
    <s v="HPIB는 butyl rubber와 PIB 합성용 원료"/>
    <s v="Existing"/>
    <m/>
  </r>
  <r>
    <x v="38"/>
    <s v="A43"/>
    <s v="E04"/>
    <n v="0.3"/>
    <s v="Isobutylene"/>
    <s v="ETBE / isooctane"/>
    <s v="Fuel / fuel additive"/>
    <x v="3"/>
    <s v="Secondary"/>
    <s v="gasoline blendstock 및 octane enhancer route"/>
    <s v="Existing"/>
    <m/>
  </r>
  <r>
    <x v="39"/>
    <s v="A28"/>
    <s v="E07"/>
    <n v="0.6"/>
    <s v="PIB"/>
    <s v="Lubricants and fuel additives"/>
    <s v="Lubrication &amp; friction control"/>
    <x v="4"/>
    <s v="Primary"/>
    <s v="PIB의 대표적 고부가 수요로 윤활유·연료 첨가제에 사용"/>
    <s v="Existing"/>
    <s v="GPT"/>
  </r>
  <r>
    <x v="39"/>
    <s v="A20"/>
    <s v="E07"/>
    <n v="0.3"/>
    <s v="PIB"/>
    <s v="Adhesives and sealants"/>
    <s v="Adhesive bonding"/>
    <x v="4"/>
    <s v="Secondary"/>
    <s v="tackiness와 방수성 기반 adhesive/sealant formulation에 사용"/>
    <s v="Existing"/>
    <s v="GPT"/>
  </r>
  <r>
    <x v="39"/>
    <s v="A13"/>
    <s v="E04"/>
    <n v="0.3"/>
    <s v="PIB"/>
    <s v="Electrical insulation materials"/>
    <s v="Electrical insulation"/>
    <x v="3"/>
    <s v="Secondary"/>
    <s v="케이블·전기 절연 소재로 사용 가능"/>
    <s v="Existing"/>
    <s v="GPT"/>
  </r>
  <r>
    <x v="40"/>
    <s v="A09"/>
    <s v="E01"/>
    <n v="0.6"/>
    <s v="PB-1"/>
    <s v="Hot and cold water piping systems"/>
    <s v="Pipe &amp; fluid conveyance"/>
    <x v="1"/>
    <s v="Primary"/>
    <s v="PB-1의 대표 application은 온수·냉수 배관 및 fittings"/>
    <s v="Existing"/>
    <s v="GPT"/>
  </r>
  <r>
    <x v="40"/>
    <s v="A05"/>
    <s v="E02"/>
    <n v="0.3"/>
    <s v="PB-1"/>
    <s v="Easy-open packaging / film modification"/>
    <s v="Flexible packaging"/>
    <x v="0"/>
    <s v="Secondary"/>
    <s v="packaging film 및 easy-peel 구조에 사용"/>
    <s v="Existing"/>
    <s v="GPT"/>
  </r>
  <r>
    <x v="40"/>
    <s v="A20"/>
    <s v="E02"/>
    <n v="0.3"/>
    <s v="PB-1"/>
    <s v="Hot melt adhesives"/>
    <s v="Adhesive bonding"/>
    <x v="0"/>
    <s v="Secondary"/>
    <s v="packaging 및 hygiene용 HMA formulation에 사용"/>
    <s v="Existing"/>
    <s v="GPT"/>
  </r>
  <r>
    <x v="41"/>
    <s v="A43"/>
    <s v="E04"/>
    <n v="0.6"/>
    <s v="MTBE"/>
    <s v="Gasoline applications"/>
    <s v="Fuel / fuel additive"/>
    <x v="3"/>
    <s v="Primary"/>
    <s v="2024년 MTBE 소비의 약 94%가 gasoline application"/>
    <s v="Existing"/>
    <m/>
  </r>
  <r>
    <x v="41"/>
    <s v="A01"/>
    <s v="E07"/>
    <n v="0.3"/>
    <s v="MTBE"/>
    <s v="Production of HPIB"/>
    <s v="Major chemical intermediate"/>
    <x v="4"/>
    <s v="Secondary"/>
    <s v="미국 등에서는 HPIB 생산용 intermediate로 사용"/>
    <s v="Existing"/>
    <m/>
  </r>
  <r>
    <x v="41"/>
    <s v="A24"/>
    <s v="E05"/>
    <n v="0.1"/>
    <s v="MTBE"/>
    <s v="Reaction, extraction and crystallization solvent"/>
    <s v="Solvent &amp; extraction"/>
    <x v="6"/>
    <s v="Niche / Emerging"/>
    <s v="pharma/fine chemical solvent로 제한적 사용"/>
    <s v="Existing"/>
    <m/>
  </r>
  <r>
    <x v="42"/>
    <s v="A19"/>
    <s v="E03"/>
    <n v="0.6"/>
    <s v="Butyl rubber"/>
    <s v="Tubeless tire inner liners / tire inner tubes"/>
    <s v="Tire &amp; rubber applications"/>
    <x v="2"/>
    <s v="Primary"/>
    <s v="타이어 inner liner와 inner tube가 핵심 수요처로 제시됨."/>
    <s v="Existing"/>
    <m/>
  </r>
  <r>
    <x v="42"/>
    <s v="A33"/>
    <s v="E05"/>
    <n v="0.3"/>
    <s v="Butyl rubber"/>
    <s v="Pharmaceutical stoppers and plunger seals"/>
    <s v="Medical &amp; healthcare materials"/>
    <x v="6"/>
    <s v="Secondary"/>
    <s v="청정성, 내화학성, 낮은 기체·수분 투과성이 요구되는 의료용 application."/>
    <s v="Existing"/>
    <m/>
  </r>
  <r>
    <x v="42"/>
    <s v="A20"/>
    <s v="E07"/>
    <n v="0.3"/>
    <s v="Butyl rubber"/>
    <s v="Adhesives and sealants"/>
    <s v="Adhesive bonding"/>
    <x v="4"/>
    <s v="Secondary"/>
    <s v="접착제, sealant tape, caulk 등에 사용됨."/>
    <s v="Existing"/>
    <m/>
  </r>
  <r>
    <x v="42"/>
    <s v="A18"/>
    <s v="E03"/>
    <n v="0.3"/>
    <s v="Butyl rubber"/>
    <s v="Automotive hoses, gaskets and engine mounts"/>
    <s v="Elastomeric performance materials"/>
    <x v="2"/>
    <s v="Secondary"/>
    <s v="내열·내노화·진동감쇠 특성을 활용한 자동차 고무부품."/>
    <s v="Existing"/>
    <m/>
  </r>
  <r>
    <x v="43"/>
    <s v="A03"/>
    <s v="E02"/>
    <n v="0.6"/>
    <s v="1-Butene"/>
    <s v="Polyethylene comonomer"/>
    <s v="Reactive monomer / comonomer"/>
    <x v="0"/>
    <s v="Primary"/>
    <s v="butene-1의 주용도는 PE 생산용 comonomer"/>
    <s v="Existing"/>
    <m/>
  </r>
  <r>
    <x v="43"/>
    <s v="A01"/>
    <s v="E07"/>
    <n v="0.3"/>
    <s v="1-Butene"/>
    <s v="Polybutene-1"/>
    <s v="Major chemical intermediate"/>
    <x v="4"/>
    <s v="Secondary"/>
    <s v="고순도 butene-1은 PB-1 생산에 필요"/>
    <s v="Existing"/>
    <m/>
  </r>
  <r>
    <x v="44"/>
    <s v="A01"/>
    <s v="E07"/>
    <n v="0.6"/>
    <s v="Ethylbenzene"/>
    <s v="Styrene production"/>
    <s v="Major chemical intermediate"/>
    <x v="4"/>
    <s v="Primary"/>
    <s v="EB의 99.7%가 styrene 생산에 사용되는 지배적 경로"/>
    <s v="Existing"/>
    <m/>
  </r>
  <r>
    <x v="44"/>
    <s v="A24"/>
    <s v="E07"/>
    <n v="0.1"/>
    <s v="Ethylbenzene"/>
    <s v="Solvent"/>
    <s v="Solvent &amp; extraction"/>
    <x v="4"/>
    <s v="Niche / Emerging"/>
    <s v="styrene 외 용도는 1% 미만의 소량 용도"/>
    <s v="Existing"/>
    <m/>
  </r>
  <r>
    <x v="45"/>
    <s v="A01"/>
    <s v="E02"/>
    <n v="0.6"/>
    <s v="Styrene"/>
    <s v="Polystyrene"/>
    <s v="Major chemical intermediate"/>
    <x v="0"/>
    <s v="Primary"/>
    <s v="PS가 2024년 styrene 최대 수요처"/>
    <s v="Existing"/>
    <m/>
  </r>
  <r>
    <x v="45"/>
    <s v="A01"/>
    <s v="E01"/>
    <n v="0.6"/>
    <s v="Styrene"/>
    <s v="Expandable polystyrene"/>
    <s v="Major chemical intermediate"/>
    <x v="1"/>
    <s v="Primary"/>
    <s v="EPS는 styrene 주요 derivative이며 단열·보호포장 수요와 연결"/>
    <s v="Existing"/>
    <m/>
  </r>
  <r>
    <x v="45"/>
    <s v="A01"/>
    <s v="E03"/>
    <n v="0.6"/>
    <s v="Styrene"/>
    <s v="Acrylonitrile-butadiene-styrene resins"/>
    <s v="Major chemical intermediate"/>
    <x v="2"/>
    <s v="Primary"/>
    <s v="ABS는 주요 styrene derivative이며 성장 기여도가 큼"/>
    <s v="Existing"/>
    <m/>
  </r>
  <r>
    <x v="45"/>
    <s v="A01"/>
    <s v="E01"/>
    <n v="0.3"/>
    <s v="Styrene"/>
    <s v="Unsaturated polyester resins"/>
    <s v="Major chemical intermediate"/>
    <x v="1"/>
    <s v="Secondary"/>
    <s v="UPR은 의미 있는 downstream resin 경로이나 PS/EPS/ABS보다 작음"/>
    <s v="Existing"/>
    <m/>
  </r>
  <r>
    <x v="45"/>
    <s v="A01"/>
    <s v="E07"/>
    <n v="0.3"/>
    <s v="Styrene"/>
    <s v="Styrene-butadiene latex"/>
    <s v="Major chemical intermediate"/>
    <x v="4"/>
    <s v="Secondary"/>
    <s v="latex 및 coating/바인더 계열의 상업적 수요"/>
    <s v="Existing"/>
    <m/>
  </r>
  <r>
    <x v="45"/>
    <s v="A01"/>
    <s v="E03"/>
    <n v="0.3"/>
    <s v="Styrene"/>
    <s v="Styrene-butadiene rubber"/>
    <s v="Major chemical intermediate"/>
    <x v="2"/>
    <s v="Secondary"/>
    <s v="SBR은 타이어·고무 체인으로 연결되는 수요"/>
    <s v="Existing"/>
    <m/>
  </r>
  <r>
    <x v="46"/>
    <s v="A06"/>
    <s v="E02"/>
    <n v="0.6"/>
    <s v="PS"/>
    <s v="Packaging applications"/>
    <s v="Rigid packaging"/>
    <x v="0"/>
    <s v="Primary"/>
    <s v="2024년 PS 수요의 최대 application, 약 34%"/>
    <s v="Existing"/>
    <m/>
  </r>
  <r>
    <x v="46"/>
    <s v="A40"/>
    <s v="E08"/>
    <n v="0.6"/>
    <s v="PS"/>
    <s v="Electrical/electronic"/>
    <s v="Electronic chemicals &amp; materials"/>
    <x v="7"/>
    <s v="Primary"/>
    <s v="2024년 PS 수요의 약 31%로 두 번째 대형 수요처"/>
    <s v="Existing"/>
    <m/>
  </r>
  <r>
    <x v="46"/>
    <s v="A04"/>
    <s v="E02"/>
    <n v="0.3"/>
    <s v="PS"/>
    <s v="Consumer goods"/>
    <s v="Polymer resin / molding material"/>
    <x v="0"/>
    <s v="Secondary"/>
    <s v="생활용품·가전 부품 등 성형재 용도"/>
    <s v="Existing"/>
    <m/>
  </r>
  <r>
    <x v="46"/>
    <s v="A10"/>
    <s v="E01"/>
    <n v="0.3"/>
    <s v="PS"/>
    <s v="Building/construction"/>
    <s v="Building materials &amp; profiles"/>
    <x v="1"/>
    <s v="Secondary"/>
    <s v="XPS/건축재 등 건설 관련 수요"/>
    <s v="Existing"/>
    <m/>
  </r>
  <r>
    <x v="46"/>
    <s v="A33"/>
    <s v="E05"/>
    <n v="0.1"/>
    <s v="PS"/>
    <s v="Medical and diagnostic labware"/>
    <s v="Medical &amp; healthcare materials"/>
    <x v="6"/>
    <s v="Niche / Emerging"/>
    <s v="GPPS 성형품의 의료·진단용 labware 용도"/>
    <s v="Existing"/>
    <m/>
  </r>
  <r>
    <x v="46"/>
    <s v="A12"/>
    <s v="E01"/>
    <n v="0.3"/>
    <s v="PS"/>
    <s v="Foam board stock, insulation"/>
    <s v="Thermal insulation"/>
    <x v="1"/>
    <s v="Secondary"/>
    <s v="건축 단열재로 사용되는 PS foam 용도"/>
    <s v="Existing"/>
    <m/>
  </r>
  <r>
    <x v="47"/>
    <s v="A01"/>
    <s v="E07"/>
    <n v="0.6"/>
    <s v="Cumene"/>
    <s v="Phenol and acetone production"/>
    <s v="Major chemical intermediate"/>
    <x v="4"/>
    <s v="Primary"/>
    <s v="전 세계 cumene의 약 99%가 phenol/acetone 생산에 사용됨"/>
    <s v="Existing"/>
    <m/>
  </r>
  <r>
    <x v="47"/>
    <s v="A24"/>
    <s v="E07"/>
    <n v="0.1"/>
    <s v="Cumene"/>
    <s v="Thinners for paints, lacquers and enamels / solvents in coatings"/>
    <s v="Solvent &amp; extraction"/>
    <x v="4"/>
    <s v="Niche / Emerging"/>
    <s v="1% 내외의 소량 용도"/>
    <s v="Existing"/>
    <m/>
  </r>
  <r>
    <x v="48"/>
    <s v="A01"/>
    <s v="E07"/>
    <n v="0.6"/>
    <s v="Phenol"/>
    <s v="Bisphenol A (BPA)"/>
    <s v="Major chemical intermediate"/>
    <x v="4"/>
    <s v="Primary"/>
    <s v="2024년 phenol 수요의 54%로 최대 downstream"/>
    <s v="Existing"/>
    <m/>
  </r>
  <r>
    <x v="48"/>
    <s v="A03"/>
    <s v="E01"/>
    <n v="0.6"/>
    <s v="Phenol"/>
    <s v="Phenol-formaldehyde (PF) resins"/>
    <s v="Reactive monomer / comonomer"/>
    <x v="1"/>
    <s v="Primary"/>
    <s v="2024년 26%로 두 번째 대형 수요처, 목재·건설용 resin chain"/>
    <s v="Existing"/>
    <m/>
  </r>
  <r>
    <x v="48"/>
    <s v="A01"/>
    <s v="E03"/>
    <n v="0.3"/>
    <s v="Phenol"/>
    <s v="Cyclohexanone / cyclohexanol / adipic acid"/>
    <s v="Major chemical intermediate"/>
    <x v="2"/>
    <s v="Secondary"/>
    <s v="polyamide chain으로 연결되는 의미 있는 중간체 용도"/>
    <s v="Existing"/>
    <m/>
  </r>
  <r>
    <x v="48"/>
    <s v="A02"/>
    <s v="E07"/>
    <n v="0.1"/>
    <s v="Phenol"/>
    <s v="Alkylphenols and other specialty chemicals"/>
    <s v="Specialty chemical intermediate"/>
    <x v="4"/>
    <s v="Niche / Emerging"/>
    <s v="기타 소량 specialty derivative"/>
    <s v="Existing"/>
    <m/>
  </r>
  <r>
    <x v="49"/>
    <s v="A24"/>
    <s v="E07"/>
    <n v="0.6"/>
    <s v="Acetone"/>
    <s v="Direct solvent applications"/>
    <s v="Solvent &amp; extraction"/>
    <x v="4"/>
    <s v="Primary"/>
    <s v="2024년 약 43%로 acetone 최대 수요처"/>
    <s v="Existing"/>
    <m/>
  </r>
  <r>
    <x v="49"/>
    <s v="A01"/>
    <s v="E07"/>
    <n v="0.6"/>
    <s v="Acetone"/>
    <s v="Bisphenol A (BPA)"/>
    <s v="Major chemical intermediate"/>
    <x v="4"/>
    <s v="Primary"/>
    <s v="2024년 약 28%로 두 번째 대형 수요처"/>
    <s v="Existing"/>
    <m/>
  </r>
  <r>
    <x v="49"/>
    <s v="A01"/>
    <s v="E07"/>
    <n v="0.3"/>
    <s v="Acetone"/>
    <s v="Methyl methacrylate (MMA)"/>
    <s v="Major chemical intermediate"/>
    <x v="4"/>
    <s v="Secondary"/>
    <s v="2024년 약 20%, PMMA chain으로 연결"/>
    <s v="Existing"/>
    <m/>
  </r>
  <r>
    <x v="49"/>
    <s v="A02"/>
    <s v="E07"/>
    <n v="0.1"/>
    <s v="Acetone"/>
    <s v="MIBK / aldol chemicals"/>
    <s v="Specialty chemical intermediate"/>
    <x v="4"/>
    <s v="Niche / Emerging"/>
    <s v="기타 소량 chemical intermediate 용도"/>
    <s v="Existing"/>
    <m/>
  </r>
  <r>
    <x v="50"/>
    <s v="A01"/>
    <s v="E07"/>
    <n v="0.6"/>
    <s v="BPA"/>
    <s v="Polycarbonate resin"/>
    <s v="Major chemical intermediate"/>
    <x v="4"/>
    <s v="Primary"/>
    <s v="2024년 BPA 수요의 약 68%로 최대 용도"/>
    <s v="Existing"/>
    <m/>
  </r>
  <r>
    <x v="50"/>
    <s v="A01"/>
    <s v="E07"/>
    <n v="0.6"/>
    <s v="BPA"/>
    <s v="Epoxy resins"/>
    <s v="Major chemical intermediate"/>
    <x v="4"/>
    <s v="Primary"/>
    <s v="2024년 BPA 수요의 약 32%로 두 번째 핵심 용도"/>
    <s v="Existing"/>
    <m/>
  </r>
  <r>
    <x v="50"/>
    <s v="A02"/>
    <s v="E07"/>
    <n v="0.1"/>
    <s v="BPA"/>
    <s v="Flame retardants, unsaturated polyester resins, polysulfone, PEI, polyarylate resins"/>
    <s v="Specialty chemical intermediate"/>
    <x v="4"/>
    <s v="Niche / Emerging"/>
    <s v="PC/epoxy 외 소량 specialty resin chain"/>
    <s v="Existing"/>
    <m/>
  </r>
  <r>
    <x v="51"/>
    <s v="A40"/>
    <s v="E08"/>
    <n v="0.6"/>
    <s v="PC"/>
    <s v="Electronics/electrical components"/>
    <s v="Electronic chemicals &amp; materials"/>
    <x v="7"/>
    <s v="Primary"/>
    <s v="PC의 내충격성·내열성·전기저항 특성을 활용하는 핵심 수요"/>
    <s v="Existing"/>
    <m/>
  </r>
  <r>
    <x v="51"/>
    <s v="A16"/>
    <s v="E03"/>
    <n v="0.6"/>
    <s v="PC"/>
    <s v="Transportation and automotive glazing / lighting"/>
    <s v="Automotive components &amp; lightweighting"/>
    <x v="2"/>
    <s v="Primary"/>
    <s v="자동차 조명, glazing, 경량화 용도로 중요"/>
    <s v="Existing"/>
    <m/>
  </r>
  <r>
    <x v="51"/>
    <s v="A10"/>
    <s v="E01"/>
    <n v="0.3"/>
    <s v="PC"/>
    <s v="Windows, construction glazing, greenhouses"/>
    <s v="Building materials &amp; profiles"/>
    <x v="1"/>
    <s v="Secondary"/>
    <s v="투명성·내구성을 활용한 sheet/glazing 용도"/>
    <s v="Existing"/>
    <m/>
  </r>
  <r>
    <x v="51"/>
    <s v="A04"/>
    <s v="E02"/>
    <n v="0.3"/>
    <s v="PC"/>
    <s v="Consumer goods and appliances"/>
    <s v="Polymer resin / molding material"/>
    <x v="0"/>
    <s v="Secondary"/>
    <s v="내충격성 성형재로 가전·소비재에 사용"/>
    <s v="Existing"/>
    <m/>
  </r>
  <r>
    <x v="51"/>
    <s v="A33"/>
    <s v="E05"/>
    <n v="0.1"/>
    <s v="PC"/>
    <s v="Medical devices / ophthalmic lenses"/>
    <s v="Medical &amp; healthcare materials"/>
    <x v="6"/>
    <s v="Niche / Emerging"/>
    <s v="의료기기·렌즈용 고성능 specialty application"/>
    <s v="Existing"/>
    <m/>
  </r>
  <r>
    <x v="52"/>
    <s v="A22"/>
    <s v="E07"/>
    <n v="0.6"/>
    <s v="Epoxy resin"/>
    <s v="Coatings"/>
    <s v="Surface coating"/>
    <x v="4"/>
    <s v="Primary"/>
    <s v="2024년 epoxy 수요의 44%로 최대 application"/>
    <s v="Existing"/>
    <m/>
  </r>
  <r>
    <x v="52"/>
    <s v="A40"/>
    <s v="E08"/>
    <n v="0.6"/>
    <s v="Epoxy resin"/>
    <s v="Electrical and electronics"/>
    <s v="Electronic chemicals &amp; materials"/>
    <x v="7"/>
    <s v="Primary"/>
    <s v="2024년 19%, PCB/laminate 등 주요 수요"/>
    <s v="Existing"/>
    <m/>
  </r>
  <r>
    <x v="52"/>
    <s v="A11"/>
    <s v="E01"/>
    <n v="0.3"/>
    <s v="Epoxy resin"/>
    <s v="Civil engineering, flooring, paving and construction"/>
    <s v="Flooring &amp; interior materials"/>
    <x v="1"/>
    <s v="Secondary"/>
    <s v="2024년 14%, 건설·바닥재·토목용"/>
    <s v="Existing"/>
    <m/>
  </r>
  <r>
    <x v="52"/>
    <s v="A42"/>
    <s v="E03"/>
    <n v="0.3"/>
    <s v="Epoxy resin"/>
    <s v="Composites"/>
    <s v="Composite &amp; performance resins"/>
    <x v="2"/>
    <s v="Secondary"/>
    <s v="2024년 11%, 풍력 블레이드·항공·자동차 경량화에 사용"/>
    <s v="Existing"/>
    <m/>
  </r>
  <r>
    <x v="52"/>
    <s v="A20"/>
    <s v="E07"/>
    <n v="0.3"/>
    <s v="Epoxy resin"/>
    <s v="Adhesives"/>
    <s v="Adhesive bonding"/>
    <x v="4"/>
    <s v="Secondary"/>
    <s v="2024년 7%, 자동차·항공의 이종재 접합 수요 성장"/>
    <s v="Existing"/>
    <m/>
  </r>
  <r>
    <x v="53"/>
    <s v="A01"/>
    <s v="E07"/>
    <n v="0.6"/>
    <s v="Cyclohexane"/>
    <s v="Cyclohexanone production"/>
    <s v="Major chemical intermediate"/>
    <x v="4"/>
    <s v="Primary"/>
    <s v="2024년 cyclohexane 수요의 64%로 최대 downstream"/>
    <s v="Existing"/>
    <m/>
  </r>
  <r>
    <x v="53"/>
    <s v="A01"/>
    <s v="E07"/>
    <n v="0.6"/>
    <s v="Cyclohexane"/>
    <s v="Adipic acid production"/>
    <s v="Major chemical intermediate"/>
    <x v="4"/>
    <s v="Primary"/>
    <s v="2024년 cyclohexane 수요의 23%로 핵심 downstream"/>
    <s v="Existing"/>
    <m/>
  </r>
  <r>
    <x v="53"/>
    <s v="A24"/>
    <s v="E07"/>
    <n v="0.1"/>
    <s v="Cyclohexane"/>
    <s v="Solvent and other applications"/>
    <s v="Solvent &amp; extraction"/>
    <x v="4"/>
    <s v="Niche / Emerging"/>
    <s v="기타 용도가 11%로 존재하나 주력은 intermediate"/>
    <s v="Existing"/>
    <m/>
  </r>
  <r>
    <x v="54"/>
    <s v="A01"/>
    <s v="E07"/>
    <n v="0.6"/>
    <s v="Aniline"/>
    <s v="MDI production"/>
    <s v="Major chemical intermediate"/>
    <x v="4"/>
    <s v="Primary"/>
    <s v="2023년 전세계 aniline 수요의 약 85%가 MDI용으로 소비된 핵심 route"/>
    <s v="Existing"/>
    <m/>
  </r>
  <r>
    <x v="54"/>
    <s v="A19"/>
    <s v="E03"/>
    <n v="0.3"/>
    <s v="Aniline"/>
    <s v="Rubber-processing chemicals"/>
    <s v="Tire &amp; rubber applications"/>
    <x v="2"/>
    <s v="Secondary"/>
    <s v="비-MDI 주요 용도이며 rubber additives 원료로 사용"/>
    <s v="Existing"/>
    <m/>
  </r>
  <r>
    <x v="54"/>
    <s v="A23"/>
    <s v="E07"/>
    <n v="0.3"/>
    <s v="Aniline"/>
    <s v="Dyes and pigments"/>
    <s v="Printing inks &amp; graphic materials"/>
    <x v="4"/>
    <s v="Secondary"/>
    <s v="염료·안료용 aniline계 중간체로 사용되나 MDI 대비 소량"/>
    <s v="Existing"/>
    <m/>
  </r>
  <r>
    <x v="54"/>
    <s v="A33"/>
    <s v="E05"/>
    <n v="0.1"/>
    <s v="Aniline"/>
    <s v="Pharmaceuticals"/>
    <s v="Medical &amp; healthcare materials"/>
    <x v="6"/>
    <s v="Niche / Emerging"/>
    <s v="의약품 중간체로 언급되나 전체 수요 내 비중은 제한적"/>
    <s v="Existing"/>
    <m/>
  </r>
  <r>
    <x v="54"/>
    <s v="A35"/>
    <s v="E06"/>
    <n v="0.1"/>
    <s v="Aniline"/>
    <s v="Herbicides / insecticides / fungicides"/>
    <s v="Crop protection &amp; agrochemical intermediates"/>
    <x v="5"/>
    <s v="Niche / Emerging"/>
    <s v="작물보호제 중간체로 사용되나 비-MDI 내 세부 niche 용도"/>
    <s v="Existing"/>
    <m/>
  </r>
  <r>
    <x v="55"/>
    <s v="A01"/>
    <s v="E07"/>
    <n v="0.6"/>
    <s v="LAB"/>
    <s v="Linear alkylbenzene sulfonate (LAS)"/>
    <s v="Major chemical intermediate"/>
    <x v="4"/>
    <s v="Primary"/>
    <s v="LAB의 거의 전량이 sulfonation을 통해 LAS로 전환되는 핵심 downstream route"/>
    <s v="Existing"/>
    <m/>
  </r>
  <r>
    <x v="55"/>
    <s v="A30"/>
    <s v="E02"/>
    <n v="0.6"/>
    <s v="LAB"/>
    <s v="Household detergents"/>
    <s v="Surfactant &amp; emulsification"/>
    <x v="0"/>
    <s v="Primary"/>
    <s v="LAS는 household detergent와 cleaning product의 주요 synthetic surfactant"/>
    <s v="Existing"/>
    <m/>
  </r>
  <r>
    <x v="55"/>
    <s v="A28"/>
    <s v="E07"/>
    <n v="0.1"/>
    <s v="LAB"/>
    <s v="Refrigerator oils"/>
    <s v="Lubrication &amp; friction control"/>
    <x v="4"/>
    <s v="Niche / Emerging"/>
    <s v="bottoms cut의 특수 윤활유 용도로 언급되나 본 LAB 시장에는 포함되지 않는 주변 용도"/>
    <s v="Existing"/>
    <m/>
  </r>
  <r>
    <x v="56"/>
    <s v="A01"/>
    <s v="E07"/>
    <n v="0.6"/>
    <s v="Cyclohexanone"/>
    <s v="Caprolactam production"/>
    <s v="Major chemical intermediate"/>
    <x v="4"/>
    <s v="Primary"/>
    <s v="2024년 cyclohexanone 수요의 95%가 caprolactam 생산"/>
    <s v="Existing"/>
    <m/>
  </r>
  <r>
    <x v="56"/>
    <s v="A24"/>
    <s v="E07"/>
    <n v="0.1"/>
    <s v="Cyclohexanone"/>
    <s v="Solvent in coatings, paints and adhesives"/>
    <s v="Solvent &amp; extraction"/>
    <x v="4"/>
    <s v="Niche / Emerging"/>
    <s v="caprolactam 외 소량 용도"/>
    <s v="Existing"/>
    <m/>
  </r>
  <r>
    <x v="56"/>
    <s v="A02"/>
    <s v="E06"/>
    <n v="0.1"/>
    <s v="Cyclohexanone"/>
    <s v="Herbicides and pesticides intermediate"/>
    <s v="Specialty chemical intermediate"/>
    <x v="5"/>
    <s v="Niche / Emerging"/>
    <s v="농약 중간체로 언급되나 규모는 작음"/>
    <s v="Existing"/>
    <m/>
  </r>
  <r>
    <x v="57"/>
    <s v="A01"/>
    <s v="E01"/>
    <n v="0.6"/>
    <s v="MA"/>
    <s v="Unsaturated polyester resins"/>
    <s v="Major chemical intermediate"/>
    <x v="1"/>
    <s v="Primary"/>
    <s v="2024년 MAN 소비의 58%로 최대 수요처이며 건설·자동차·해양 FRP와 연계"/>
    <s v="Existing"/>
    <m/>
  </r>
  <r>
    <x v="57"/>
    <s v="A02"/>
    <s v="E07"/>
    <n v="0.3"/>
    <s v="MA"/>
    <s v="Fumaric acid"/>
    <s v="Specialty chemical intermediate"/>
    <x v="4"/>
    <s v="Secondary"/>
    <s v="2024년 9% 수요처이며 식품, UPR, paper sizing 등으로 연결"/>
    <s v="Existing"/>
    <m/>
  </r>
  <r>
    <x v="57"/>
    <s v="A28"/>
    <s v="E07"/>
    <n v="0.3"/>
    <s v="MA"/>
    <s v="Lubricating oil additives"/>
    <s v="Lubrication &amp; friction control"/>
    <x v="4"/>
    <s v="Secondary"/>
    <s v="dispersant 및 corrosion inhibitor용 lube additive 중간체"/>
    <s v="Existing"/>
    <m/>
  </r>
  <r>
    <x v="57"/>
    <s v="A38"/>
    <s v="E07"/>
    <n v="0.3"/>
    <s v="MA"/>
    <s v="Copolymers"/>
    <s v="Polymer modification &amp; additives"/>
    <x v="4"/>
    <s v="Secondary"/>
    <s v="SMA, PVM/MA, grafted polyolefin 등 compatibilizer·dispersant 용도"/>
    <s v="Existing"/>
    <m/>
  </r>
  <r>
    <x v="57"/>
    <s v="A27"/>
    <s v="E07"/>
    <n v="0.3"/>
    <s v="MA"/>
    <s v="Alkenyl succinic anhydrides"/>
    <s v="Water treatment &amp; dispersants"/>
    <x v="4"/>
    <s v="Secondary"/>
    <s v="ASA는 paper sizing, detergents, dispersant 등에 사용"/>
    <s v="Existing"/>
    <m/>
  </r>
  <r>
    <x v="57"/>
    <s v="A36"/>
    <s v="E02"/>
    <n v="0.3"/>
    <s v="MA"/>
    <s v="Malic acid"/>
    <s v="Food additives &amp; preservation"/>
    <x v="0"/>
    <s v="Secondary"/>
    <s v="malic acid는 주로 food &amp; beverage의 산미료·flavor enhancer로 사용"/>
    <s v="Existing"/>
    <m/>
  </r>
  <r>
    <x v="57"/>
    <s v="A22"/>
    <s v="E07"/>
    <n v="0.3"/>
    <s v="MA"/>
    <s v="Surface coatings / alkyd resins"/>
    <s v="Surface coating"/>
    <x v="4"/>
    <s v="Secondary"/>
    <s v="alkyd resin 및 coating resin 중간체로 사용"/>
    <s v="Existing"/>
    <m/>
  </r>
  <r>
    <x v="57"/>
    <s v="A35"/>
    <s v="E06"/>
    <n v="0.1"/>
    <s v="MA"/>
    <s v="Agricultural chemicals"/>
    <s v="Crop protection &amp; agrochemical intermediates"/>
    <x v="5"/>
    <s v="Niche / Emerging"/>
    <s v="maleic hydrazide, captan 등 agrochemical chain에 제한적 사용"/>
    <s v="Existing"/>
    <m/>
  </r>
  <r>
    <x v="58"/>
    <s v="A01"/>
    <s v="E07"/>
    <n v="0.6"/>
    <s v="Methanol"/>
    <s v="Formaldehyde"/>
    <s v="Major chemical intermediate"/>
    <x v="4"/>
    <s v="Primary"/>
    <s v="전체 methanol 소비의 약 25%를 차지하는 최대 용도이며, formaldehyde를 거쳐 UF/PF 수지 등 다양한 화학제품으로 이어지는 핵심 중간체임"/>
    <s v="Existing"/>
    <m/>
  </r>
  <r>
    <x v="58"/>
    <s v="A01"/>
    <s v="E07"/>
    <n v="0.6"/>
    <s v="Methanol"/>
    <s v="Methanol-to-Olefins (MTO)"/>
    <s v="Major chemical intermediate"/>
    <x v="4"/>
    <s v="Primary"/>
    <s v="에틸렌·프로필렌 생산을 위한 직접 원료로 사용되며, 중국 중심의 주요 methanol 소비처임"/>
    <s v="Existing"/>
    <m/>
  </r>
  <r>
    <x v="58"/>
    <s v="A01"/>
    <s v="E07"/>
    <n v="0.3"/>
    <s v="Methanol"/>
    <s v="Acetic acid"/>
    <s v="Major chemical intermediate"/>
    <x v="4"/>
    <s v="Secondary"/>
    <s v="Acetic acid 제조의 핵심 원료로 사용되며 VAM, PTA 등 다양한 화학 가치사슬로 연결됨"/>
    <s v="Existing"/>
    <m/>
  </r>
  <r>
    <x v="58"/>
    <s v="A43"/>
    <s v="E04"/>
    <n v="0.3"/>
    <s v="Methanol"/>
    <s v="MTBE/TAME"/>
    <s v="Fuel / fuel additive"/>
    <x v="3"/>
    <s v="Secondary"/>
    <s v="가솔린 옥탄가 향상용 연료첨가제 제조의 주요 원료로 사용됨"/>
    <s v="Existing"/>
    <m/>
  </r>
  <r>
    <x v="58"/>
    <s v="A43"/>
    <s v="E04"/>
    <n v="0.3"/>
    <s v="Methanol"/>
    <s v="Biodiesel"/>
    <s v="Fuel / fuel additive"/>
    <x v="3"/>
    <s v="Secondary"/>
    <s v="지방산 메틸에스터(FAME) 기반 바이오디젤 생산의 핵심 반응물임"/>
    <s v="Existing"/>
    <m/>
  </r>
  <r>
    <x v="58"/>
    <s v="A43"/>
    <s v="E04"/>
    <n v="0.3"/>
    <s v="Methanol"/>
    <s v="Direct gasoline blending"/>
    <s v="Fuel / fuel additive"/>
    <x v="3"/>
    <s v="Secondary"/>
    <s v="메탄올을 연료에 직접 혼합하여 사용하는 application"/>
    <s v="Existing"/>
    <m/>
  </r>
  <r>
    <x v="58"/>
    <s v="A43"/>
    <s v="E04"/>
    <n v="0.3"/>
    <s v="Methanol"/>
    <s v="Dimethyl ether (DME)"/>
    <s v="Fuel / fuel additive"/>
    <x v="3"/>
    <s v="Secondary"/>
    <s v="LPG 대체 및 연료용 DME 제조의 원료로 사용됨"/>
    <s v="Existing"/>
    <m/>
  </r>
  <r>
    <x v="58"/>
    <s v="A43"/>
    <s v="E04"/>
    <n v="0.3"/>
    <s v="Methanol"/>
    <s v="Bunker fuel"/>
    <s v="Fuel / fuel additive"/>
    <x v="3"/>
    <s v="Secondary"/>
    <s v="해운 탈탄소화에 따라 직접 선박연료로 빠르게 성장하는 application"/>
    <s v="Existing"/>
    <m/>
  </r>
  <r>
    <x v="58"/>
    <s v="A01"/>
    <s v="E07"/>
    <n v="0.3"/>
    <s v="Methanol"/>
    <s v="Methyl methacrylate (MMA)"/>
    <s v="Major chemical intermediate"/>
    <x v="4"/>
    <s v="Secondary"/>
    <s v="MMA 제조의 원료이며 PMMA, 코팅 및 접착제 가치사슬로 연결됨"/>
    <s v="Existing"/>
    <m/>
  </r>
  <r>
    <x v="58"/>
    <s v="A02"/>
    <s v="E07"/>
    <n v="0.3"/>
    <s v="Methanol"/>
    <s v="Methylamines"/>
    <s v="Specialty chemical intermediate"/>
    <x v="4"/>
    <s v="Secondary"/>
    <s v="Methylamine 제조를 통해 NMP, 계면활성제, 의약 및 농약 등 특수화학으로 연결됨"/>
    <s v="Existing"/>
    <m/>
  </r>
  <r>
    <x v="58"/>
    <s v="A02"/>
    <s v="E07"/>
    <n v="0.3"/>
    <s v="Methanol"/>
    <s v="Chloromethanes"/>
    <s v="Specialty chemical intermediate"/>
    <x v="4"/>
    <s v="Secondary"/>
    <s v="실리콘, 냉매 및 기타 특수화학제품 제조용 중간체 생산에 사용됨"/>
    <s v="Existing"/>
    <m/>
  </r>
  <r>
    <x v="58"/>
    <s v="A24"/>
    <s v="E07"/>
    <n v="0.3"/>
    <s v="Methanol"/>
    <s v="Solvents"/>
    <s v="Solvent &amp; extraction"/>
    <x v="4"/>
    <s v="Secondary"/>
    <s v="공정용 용제 및 세정·추출용 용매로 직접 사용됨"/>
    <s v="Existing"/>
    <m/>
  </r>
  <r>
    <x v="58"/>
    <s v="A02"/>
    <s v="E07"/>
    <n v="0.1"/>
    <s v="Methanol"/>
    <s v="Dimethyl terephthalate (DMT)"/>
    <s v="Specialty chemical intermediate"/>
    <x v="4"/>
    <s v="Niche / Emerging"/>
    <s v="DMT 제조 원료로 사용되며 현재 시장 비중은 제한적임"/>
    <s v="Existing"/>
    <m/>
  </r>
  <r>
    <x v="58"/>
    <s v="A15"/>
    <s v="E07"/>
    <n v="0.1"/>
    <s v="Methanol"/>
    <s v="Antifreeze"/>
    <s v="Battery &amp; thermal-management materials"/>
    <x v="4"/>
    <s v="Niche / Emerging"/>
    <s v="천연가스 배관 hydrate inhibitor 및 제빙·부동액 용도로 직접 사용됨"/>
    <s v="Existing"/>
    <m/>
  </r>
  <r>
    <x v="58"/>
    <s v="A24"/>
    <s v="E07"/>
    <n v="0.1"/>
    <s v="Methanol"/>
    <s v="Glycol methyl ethers"/>
    <s v="Solvent &amp; extraction"/>
    <x v="4"/>
    <s v="Niche / Emerging"/>
    <s v="다양한 glycol ether 계열 특수용제 제조 원료로 사용됨"/>
    <s v="Existing"/>
    <m/>
  </r>
  <r>
    <x v="59"/>
    <s v="A01"/>
    <s v="E07"/>
    <n v="0.6"/>
    <s v="Acetic acid"/>
    <s v="Vinyl acetate monomer (VAM)"/>
    <s v="Major chemical intermediate"/>
    <x v="4"/>
    <s v="Primary"/>
    <s v="Acetic acid 최대 수요처(약 28%)이며 PVA, PVOH, EVA 등 다양한 폴리머 가치사슬의 핵심 중간체"/>
    <s v="Existing"/>
    <m/>
  </r>
  <r>
    <x v="59"/>
    <s v="A01"/>
    <s v="E07"/>
    <n v="0.6"/>
    <s v="Acetic acid"/>
    <s v="Purified terephthalic acid (PTA)"/>
    <s v="Major chemical intermediate"/>
    <x v="4"/>
    <s v="Primary"/>
    <s v="PTA 제조 시 용매로 사용되며 PET resin, polyester fiber, film 가치사슬의 핵심 원료"/>
    <s v="Existing"/>
    <m/>
  </r>
  <r>
    <x v="59"/>
    <s v="A01"/>
    <s v="E07"/>
    <n v="0.6"/>
    <s v="Acetic acid"/>
    <s v="Acetic anhydride"/>
    <s v="Major chemical intermediate"/>
    <x v="4"/>
    <s v="Primary"/>
    <s v="Cellulose acetate, pharmaceuticals, TAED 생산의 핵심 중간체"/>
    <s v="Existing"/>
    <m/>
  </r>
  <r>
    <x v="59"/>
    <s v="A24"/>
    <s v="E07"/>
    <n v="0.3"/>
    <s v="Acetic acid"/>
    <s v="Ethyl acetate"/>
    <s v="Solvent &amp; extraction"/>
    <x v="4"/>
    <s v="Secondary"/>
    <s v="가장 큰 acetate ester이며 잉크·도료·코팅용 용제 제조"/>
    <s v="Existing"/>
    <m/>
  </r>
  <r>
    <x v="59"/>
    <s v="A24"/>
    <s v="E07"/>
    <n v="0.3"/>
    <s v="Acetic acid"/>
    <s v="n-Butyl acetate"/>
    <s v="Solvent &amp; extraction"/>
    <x v="4"/>
    <s v="Secondary"/>
    <s v="Surface coating 및 산업용 coating solvent의 주요 원료"/>
    <s v="Existing"/>
    <m/>
  </r>
  <r>
    <x v="59"/>
    <s v="A24"/>
    <s v="E07"/>
    <n v="0.3"/>
    <s v="Acetic acid"/>
    <s v="sec-Butyl acetate"/>
    <s v="Solvent &amp; extraction"/>
    <x v="4"/>
    <s v="Secondary"/>
    <s v="Coatings 및 specialty solvent 시장에 사용"/>
    <s v="Existing"/>
    <m/>
  </r>
  <r>
    <x v="59"/>
    <s v="A24"/>
    <s v="E07"/>
    <n v="0.3"/>
    <s v="Acetic acid"/>
    <s v="Glycol ether acetates"/>
    <s v="Solvent &amp; extraction"/>
    <x v="4"/>
    <s v="Secondary"/>
    <s v="PMA, EBA, EEA 등 coating 및 전자용 solvent 제조"/>
    <s v="Existing"/>
    <m/>
  </r>
  <r>
    <x v="59"/>
    <s v="A02"/>
    <s v="E07"/>
    <n v="0.3"/>
    <s v="Acetic acid"/>
    <s v="Monochloroacetic acid (MCAA)"/>
    <s v="Specialty chemical intermediate"/>
    <x v="4"/>
    <s v="Secondary"/>
    <s v="CMC, glyphosate, surfactant, thioglycolic acid 등 특수화학 중간체"/>
    <s v="Existing"/>
    <m/>
  </r>
  <r>
    <x v="59"/>
    <s v="A02"/>
    <s v="E07"/>
    <n v="0.1"/>
    <s v="Acetic acid"/>
    <s v="Ketene / Diketene derivatives"/>
    <s v="Specialty chemical intermediate"/>
    <x v="4"/>
    <s v="Niche / Emerging"/>
    <s v="Fine chemicals, pigments, pharmaceuticals, agrochemicals용 중간체"/>
    <s v="Existing"/>
    <m/>
  </r>
  <r>
    <x v="59"/>
    <s v="A24"/>
    <s v="E07"/>
    <n v="0.1"/>
    <s v="Acetic acid"/>
    <s v="Dimethylacetamide (DMAC)"/>
    <s v="Solvent &amp; extraction"/>
    <x v="4"/>
    <s v="Niche / Emerging"/>
    <s v="고성능 섬유 및 resin 공정용 solvent 제조"/>
    <s v="Existing"/>
    <m/>
  </r>
  <r>
    <x v="59"/>
    <s v="A02"/>
    <s v="E07"/>
    <n v="0.1"/>
    <s v="Acetic acid"/>
    <s v="Acetate salts"/>
    <s v="Specialty chemical intermediate"/>
    <x v="4"/>
    <s v="Niche / Emerging"/>
    <s v="Sodium acetate, potassium acetate 등 산업용 화학제품 제조"/>
    <s v="Existing"/>
    <m/>
  </r>
  <r>
    <x v="59"/>
    <s v="A02"/>
    <s v="E07"/>
    <n v="0.1"/>
    <s v="Acetic acid"/>
    <s v="Textile processing"/>
    <s v="Specialty chemical intermediate"/>
    <x v="4"/>
    <s v="Niche / Emerging"/>
    <s v="섬유 염색·가공에서 pH 조절 및 공정 보조제로 사용되지만, 현 taxonomy에는 textile processing 항목이 없어 직접 기능보다는 specialty chemical use로 보수적으로 분류"/>
    <s v="Existing"/>
    <m/>
  </r>
  <r>
    <x v="59"/>
    <s v="A36"/>
    <s v="E02"/>
    <n v="0.1"/>
    <s v="Acetic acid"/>
    <s v="Food vinegar"/>
    <s v="Food additives &amp; preservation"/>
    <x v="0"/>
    <s v="Niche / Emerging"/>
    <s v="식초 및 식품 산미료로 사용되는 직접 소비 application이며, 기존 taxonomy의 식품첨가·보존 기능에 해당"/>
    <s v="Existing"/>
    <m/>
  </r>
  <r>
    <x v="59"/>
    <s v="A02"/>
    <s v="E05"/>
    <n v="0.1"/>
    <s v="Acetic acid"/>
    <s v="Pharmaceuticals"/>
    <s v="Specialty chemical intermediate"/>
    <x v="6"/>
    <s v="Niche / Emerging"/>
    <s v="의약품 합성 및 공정용 시약으로 사용되며, 별도 pharmaceutical taxonomy가 없으므로 specialty intermediate로 분류"/>
    <s v="Existing"/>
    <m/>
  </r>
  <r>
    <x v="60"/>
    <s v="A38"/>
    <s v="E07"/>
    <n v="0.6"/>
    <s v="PA"/>
    <s v="Phthalate plasticizers"/>
    <s v="Polymer modification &amp; additives"/>
    <x v="4"/>
    <s v="Primary"/>
    <s v="PA 소비의 약 절반이 flexible PVC용 phthalate plasticizer 생산에 사용"/>
    <s v="Existing"/>
    <m/>
  </r>
  <r>
    <x v="60"/>
    <s v="A38"/>
    <s v="E01"/>
    <n v="0.6"/>
    <s v="PA"/>
    <s v="Flexible PVC"/>
    <s v="Polymer modification &amp; additives"/>
    <x v="1"/>
    <s v="Primary"/>
    <s v="phthalate plasticizer의 주요 downstream으로 PVC 건설재·전선·필름 등에 연결"/>
    <s v="Existing"/>
    <m/>
  </r>
  <r>
    <x v="60"/>
    <s v="A22"/>
    <s v="E07"/>
    <n v="0.3"/>
    <s v="PA"/>
    <s v="Alkyd resins for surface coatings"/>
    <s v="Surface coating"/>
    <x v="4"/>
    <s v="Secondary"/>
    <s v="PA의 주요 시장 중 하나이나 환경규제로 성장 제약"/>
    <s v="Existing"/>
    <m/>
  </r>
  <r>
    <x v="60"/>
    <s v="A01"/>
    <s v="E07"/>
    <n v="0.3"/>
    <s v="PA"/>
    <s v="Unsaturated polyester resins (UPR) / FRP"/>
    <s v="Major chemical intermediate"/>
    <x v="4"/>
    <s v="Secondary"/>
    <s v="UPR 및 fiberglass-reinforced plastics용으로 사용되는 주요 비-plasticizer 용도"/>
    <s v="Existing"/>
    <m/>
  </r>
  <r>
    <x v="60"/>
    <s v="A23"/>
    <s v="E07"/>
    <n v="0.1"/>
    <s v="PA"/>
    <s v="Pigments and dyes"/>
    <s v="Printing inks &amp; graphic materials"/>
    <x v="4"/>
    <s v="Niche / Emerging"/>
    <s v="소량 용도이며 색재료 chain으로 연결"/>
    <s v="Existing"/>
    <m/>
  </r>
  <r>
    <x v="60"/>
    <s v="A39"/>
    <s v="E07"/>
    <n v="0.1"/>
    <s v="PA"/>
    <s v="Flame retardants"/>
    <s v="Flame retardancy &amp; fire protection"/>
    <x v="4"/>
    <s v="Niche / Emerging"/>
    <s v="소규모 기타 용도 중 하나로 언급됨"/>
    <s v="Existing"/>
    <m/>
  </r>
  <r>
    <x v="61"/>
    <s v="A03"/>
    <s v="E02"/>
    <n v="0.6"/>
    <s v="Caprolactam"/>
    <s v="Polyamide 6 fibers"/>
    <s v="Reactive monomer / comonomer"/>
    <x v="0"/>
    <s v="Primary"/>
    <s v="caprolactam은 거의 전량 PA6 섬유·수지로 사용"/>
    <s v="Existing"/>
    <m/>
  </r>
  <r>
    <x v="61"/>
    <s v="A03"/>
    <s v="E03"/>
    <n v="0.6"/>
    <s v="Caprolactam"/>
    <s v="Polyamide 6 plastics / resins"/>
    <s v="Reactive monomer / comonomer"/>
    <x v="2"/>
    <s v="Primary"/>
    <s v="PA6 engineering resin은 자동차·전기부품 등 핵심 수요"/>
    <s v="Existing"/>
    <m/>
  </r>
  <r>
    <x v="61"/>
    <s v="A07"/>
    <s v="E02"/>
    <n v="0.3"/>
    <s v="Caprolactam"/>
    <s v="Polyamide film for food and medical packaging"/>
    <s v="Barrier packaging"/>
    <x v="0"/>
    <s v="Secondary"/>
    <s v="grease resistance와 낮은 gas transmission을 활용한 필름 용도"/>
    <s v="Existing"/>
    <m/>
  </r>
  <r>
    <x v="61"/>
    <s v="A13"/>
    <s v="E08"/>
    <n v="0.3"/>
    <s v="Caprolactam"/>
    <s v="Wire and cable protective layer"/>
    <s v="Electrical insulation"/>
    <x v="7"/>
    <s v="Secondary"/>
    <s v="PVC primary insulation 위 보호층으로 사용"/>
    <s v="Existing"/>
    <m/>
  </r>
  <r>
    <x v="61"/>
    <s v="A19"/>
    <s v="E03"/>
    <n v="0.3"/>
    <s v="Caprolactam"/>
    <s v="Tire cord and industrial yarn"/>
    <s v="Tire &amp; rubber applications"/>
    <x v="2"/>
    <s v="Secondary"/>
    <s v="고강도 polyamide yarn의 주요 산업용 수요"/>
    <s v="Existing"/>
    <m/>
  </r>
  <r>
    <x v="62"/>
    <s v="A01"/>
    <s v="E02"/>
    <n v="0.6"/>
    <s v="LAO"/>
    <s v="Polyethylene comonomers"/>
    <s v="Major chemical intermediate"/>
    <x v="0"/>
    <s v="Primary"/>
    <s v="LLDPE/HDPE용 comonomer가 LAO의 핵심 대량 수요처"/>
    <s v="Existing"/>
    <s v="GPT"/>
  </r>
  <r>
    <x v="62"/>
    <s v="A01"/>
    <s v="E07"/>
    <n v="0.6"/>
    <s v="LAO"/>
    <s v="Polyalphaolefins for lubricants"/>
    <s v="Major chemical intermediate"/>
    <x v="4"/>
    <s v="Primary"/>
    <s v="PAO 합성기유로 연결되는 주요 downstream route"/>
    <s v="Existing"/>
    <s v="GPT"/>
  </r>
  <r>
    <x v="62"/>
    <s v="A30"/>
    <s v="E02"/>
    <n v="0.3"/>
    <s v="LAO"/>
    <s v="Detergent alcohols / surfactants"/>
    <s v="Surfactant &amp; emulsification"/>
    <x v="0"/>
    <s v="Secondary"/>
    <s v="세제 및 계면활성제 chain으로 사용"/>
    <s v="Existing"/>
    <s v="GPT"/>
  </r>
  <r>
    <x v="62"/>
    <s v="A38"/>
    <s v="E07"/>
    <n v="0.3"/>
    <s v="LAO"/>
    <s v="Plasticizers"/>
    <s v="Polymer modification &amp; additives"/>
    <x v="4"/>
    <s v="Secondary"/>
    <s v="plasticizer alcohol 및 additive chain으로 연결"/>
    <s v="Existing"/>
    <s v="GPT"/>
  </r>
  <r>
    <x v="63"/>
    <s v="A28"/>
    <s v="E03"/>
    <n v="0.6"/>
    <s v="PAO"/>
    <s v="Synthetic motor oils"/>
    <s v="Lubrication &amp; friction control"/>
    <x v="2"/>
    <s v="Primary"/>
    <s v="PAO의 대표 application은 고성능 synthetic lubricant base oil"/>
    <s v="Existing"/>
    <s v="GPT"/>
  </r>
  <r>
    <x v="63"/>
    <s v="A28"/>
    <s v="E07"/>
    <n v="0.6"/>
    <s v="PAO"/>
    <s v="Industrial gear oils"/>
    <s v="Lubrication &amp; friction control"/>
    <x v="4"/>
    <s v="Primary"/>
    <s v="gear, bearing, compressor, hydraulic oil 등에 광범위 사용"/>
    <s v="Existing"/>
    <s v="GPT"/>
  </r>
  <r>
    <x v="64"/>
    <s v="A01"/>
    <s v="E07"/>
    <n v="0.6"/>
    <s v="MMA"/>
    <s v="PMMA molding and extruded resins / sheet"/>
    <s v="Major chemical intermediate"/>
    <x v="4"/>
    <s v="Primary"/>
    <s v="MMA의 대표 대량 수요처는 PMMA 생산용 monomer"/>
    <s v="Existing"/>
    <s v="GPT"/>
  </r>
  <r>
    <x v="64"/>
    <s v="A20"/>
    <s v="E07"/>
    <n v="0.3"/>
    <s v="MMA"/>
    <s v="Adhesives"/>
    <s v="Adhesive bonding"/>
    <x v="4"/>
    <s v="Secondary"/>
    <s v="reactive adhesive formulation에 사용"/>
    <s v="Existing"/>
    <s v="GPT"/>
  </r>
  <r>
    <x v="64"/>
    <s v="A42"/>
    <s v="E01"/>
    <n v="0.1"/>
    <s v="MMA"/>
    <s v="Mineral surface composites"/>
    <s v="Composite &amp; performance resins"/>
    <x v="1"/>
    <s v="Niche / Emerging"/>
    <s v="artificial marble 등 composite binder chain으로 사용"/>
    <s v="Existing"/>
    <s v="GPT"/>
  </r>
  <r>
    <x v="65"/>
    <s v="A41"/>
    <s v="E01"/>
    <n v="0.6"/>
    <s v="PMMA"/>
    <s v="Acrylic sheets / glass substitute"/>
    <s v="Display &amp; optical materials"/>
    <x v="1"/>
    <s v="Primary"/>
    <s v="투명성·내후성 기반 sheet, window, signage에 사용"/>
    <s v="Existing"/>
    <s v="GPT"/>
  </r>
  <r>
    <x v="65"/>
    <s v="A41"/>
    <s v="E03"/>
    <n v="0.6"/>
    <s v="PMMA"/>
    <s v="Automotive lighting lenses"/>
    <s v="Display &amp; optical materials"/>
    <x v="2"/>
    <s v="Primary"/>
    <s v="rear light, lamp lens 등 투명 optical component"/>
    <s v="Existing"/>
    <s v="GPT"/>
  </r>
  <r>
    <x v="65"/>
    <s v="A41"/>
    <s v="E08"/>
    <n v="0.3"/>
    <s v="PMMA"/>
    <s v="LCD screens / light guide panels"/>
    <s v="Display &amp; optical materials"/>
    <x v="7"/>
    <s v="Secondary"/>
    <s v="display 및 light-guide용 투명 소재"/>
    <s v="Existing"/>
    <s v="GPT"/>
  </r>
  <r>
    <x v="65"/>
    <s v="A33"/>
    <s v="E05"/>
    <n v="0.3"/>
    <s v="PMMA"/>
    <s v="Medical and dental applications"/>
    <s v="Medical &amp; healthcare materials"/>
    <x v="6"/>
    <s v="Secondary"/>
    <s v="bone cement, dental/medical component 등 의료용 사용"/>
    <s v="Existing"/>
    <s v="GPT"/>
  </r>
  <r>
    <x v="65"/>
    <s v="A41"/>
    <s v="E02"/>
    <n v="0.3"/>
    <s v="PMMA"/>
    <s v="Signage and displays"/>
    <s v="Display &amp; optical materials"/>
    <x v="0"/>
    <s v="Secondary"/>
    <s v="광고판, display panel, 투명 장식재로 사용"/>
    <s v="Existing"/>
    <s v="GPT"/>
  </r>
  <r>
    <x v="65"/>
    <s v="A40"/>
    <s v="E08"/>
    <n v="0.1"/>
    <s v="PMMA"/>
    <s v="Electron-beam lithography resist"/>
    <s v="Electronic chemicals &amp; materials"/>
    <x v="7"/>
    <s v="Niche / Emerging"/>
    <s v="semiconductor research/process용 resist로 제한적 사용"/>
    <s v="Existing"/>
    <s v="GPT"/>
  </r>
  <r>
    <x v="66"/>
    <s v="A20"/>
    <s v="E01"/>
    <n v="0.6"/>
    <s v="Formaldehyde"/>
    <s v="Formaldehyde resins (UF/MF/PF)"/>
    <s v="Adhesive bonding"/>
    <x v="1"/>
    <s v="Primary"/>
    <s v="UF, MF, PF 수지는 전체 formaldehyde 소비의 약 63%를 차지하는 최대 수요처로, 목재 패널(MDF, PB, Plywood, OSB), 라미네이트 및 건축용 접착 시스템의 핵심 결합 기능을 수행함. 수지 종류는 다르지만 기능적으로는 모두 접착용 thermosetting resin으로 분류 가능"/>
    <s v="Existing"/>
    <m/>
  </r>
  <r>
    <x v="66"/>
    <s v="A04"/>
    <s v="E07"/>
    <n v="0.3"/>
    <s v="Formaldehyde"/>
    <s v="Polyacetal resins"/>
    <s v="Polymer resin / molding material"/>
    <x v="4"/>
    <s v="Secondary"/>
    <s v="엔지니어링 플라스틱(POM) 제조용 핵심 원료로 사용되며 자동차, 전기전자 및 산업부품 수요에 의해 시장이 형성됨"/>
    <s v="Existing"/>
    <m/>
  </r>
  <r>
    <x v="66"/>
    <s v="A01"/>
    <s v="E07"/>
    <n v="0.3"/>
    <s v="Formaldehyde"/>
    <s v="Methylene diphenyl diisocyanate (MDI)"/>
    <s v="Major chemical intermediate"/>
    <x v="4"/>
    <s v="Secondary"/>
    <s v="폴리우레탄 생산을 위한 핵심 중간체 제조용으로 사용되며, 건축 단열재와 자동차용 폼 등 다양한 다운스트림 시장으로 연결됨"/>
    <s v="Existing"/>
    <m/>
  </r>
  <r>
    <x v="66"/>
    <s v="A01"/>
    <s v="E07"/>
    <n v="0.3"/>
    <s v="Formaldehyde"/>
    <s v="1,4-Butanediol (BDO)"/>
    <s v="Major chemical intermediate"/>
    <x v="4"/>
    <s v="Secondary"/>
    <s v="BDO 제조의 주요 원료이며 이후 PBT, TPU, 용제 등 다양한 화학 가치사슬로 이어지는 중간체 역할을 수행함"/>
    <s v="Existing"/>
    <m/>
  </r>
  <r>
    <x v="66"/>
    <s v="A02"/>
    <s v="E07"/>
    <n v="0.3"/>
    <s v="Formaldehyde"/>
    <s v="Pentaerythritol"/>
    <s v="Specialty chemical intermediate"/>
    <x v="4"/>
    <s v="Secondary"/>
    <s v="알키드수지, 코팅 및 윤활유 첨가제 등의 특수화학 제품 제조를 위한 중간체로 사용됨"/>
    <s v="Existing"/>
    <m/>
  </r>
  <r>
    <x v="66"/>
    <s v="A02"/>
    <s v="E07"/>
    <n v="0.1"/>
    <s v="Formaldehyde"/>
    <s v="Paraformaldehyde"/>
    <s v="Specialty chemical intermediate"/>
    <x v="4"/>
    <s v="Niche / Emerging"/>
    <s v="고체 formaldehyde 공급원으로 특수수지, 코팅 및 정밀화학 분야에서 사용되며 향후 가장 높은 성장률이 예상되는 응용 분야 중 하나임"/>
    <s v="Existing"/>
    <m/>
  </r>
  <r>
    <x v="66"/>
    <s v="A02"/>
    <s v="E07"/>
    <n v="0.1"/>
    <s v="Formaldehyde"/>
    <s v="HMTA, TMP, Neopentyl glycol"/>
    <s v="Specialty chemical intermediate"/>
    <x v="4"/>
    <s v="Niche / Emerging"/>
    <s v="다양한 특수화학제품 및 수지 제조를 위한 중간체로 사용되며 개별 시장 규모는 제한적임"/>
    <s v="Existing"/>
    <m/>
  </r>
  <r>
    <x v="66"/>
    <s v="A34"/>
    <s v="E06"/>
    <n v="0.1"/>
    <s v="Formaldehyde"/>
    <s v="Slow-release fertilizers (SRF)"/>
    <s v="Agricultural productivity materials"/>
    <x v="5"/>
    <s v="Niche / Emerging"/>
    <s v="완효성 비료 제조를 통해 비료의 지속 방출 기능을 제공하는 농업용 application"/>
    <s v="Existing"/>
    <m/>
  </r>
  <r>
    <x v="66"/>
    <s v="A35"/>
    <s v="E06"/>
    <n v="0.1"/>
    <s v="Formaldehyde"/>
    <s v="Herbicides / pesticides"/>
    <s v="Crop protection &amp; agrochemical intermediates"/>
    <x v="5"/>
    <s v="Niche / Emerging"/>
    <s v="제초제 및 농약 제조를 위한 중간체로 사용되며 농화학 가치사슬에 기여함"/>
    <s v="Existing"/>
    <m/>
  </r>
  <r>
    <x v="67"/>
    <s v="A15"/>
    <s v="E03"/>
    <n v="0.6"/>
    <s v="EC"/>
    <s v="Lithium-ion battery electrolyte solvent"/>
    <s v="Battery &amp; thermal-management materials"/>
    <x v="2"/>
    <s v="Primary"/>
    <s v="EV/ESS용 Li-ion battery electrolyte의 핵심 carbonate solvent"/>
    <s v="Existing"/>
    <s v="GPT"/>
  </r>
  <r>
    <x v="67"/>
    <s v="A24"/>
    <s v="E07"/>
    <n v="0.3"/>
    <s v="EC"/>
    <s v="Polar solvent for polymers/resins"/>
    <s v="Solvent &amp; extraction"/>
    <x v="4"/>
    <s v="Secondary"/>
    <s v="고극성 solvent로 polymer/resin 공정에 사용"/>
    <s v="Existing"/>
    <s v="GPT"/>
  </r>
  <r>
    <x v="67"/>
    <s v="A38"/>
    <s v="E07"/>
    <n v="0.3"/>
    <s v="EC"/>
    <s v="Plasticizer"/>
    <s v="Polymer modification &amp; additives"/>
    <x v="4"/>
    <s v="Secondary"/>
    <s v="polymer electrolyte 및 수지 formulation에서 plasticizer 역할"/>
    <s v="Existing"/>
    <s v="GPT"/>
  </r>
  <r>
    <x v="68"/>
    <s v="A01"/>
    <s v="E07"/>
    <n v="0.6"/>
    <s v="DMC"/>
    <s v="Polycarbonate synthesis"/>
    <s v="Major chemical intermediate"/>
    <x v="4"/>
    <s v="Primary"/>
    <s v="DMC의 대표 대량 수요처이며 non-phosgene PC route와 연결"/>
    <s v="Existing"/>
    <s v="GPT"/>
  </r>
  <r>
    <x v="68"/>
    <s v="A15"/>
    <s v="E03"/>
    <n v="0.6"/>
    <s v="DMC"/>
    <s v="Battery electrolyte"/>
    <s v="Battery &amp; thermal-management materials"/>
    <x v="2"/>
    <s v="Primary"/>
    <s v="EV battery electrolyte solvent로 빠르게 성장하는 application"/>
    <s v="Existing"/>
    <s v="GPT"/>
  </r>
  <r>
    <x v="68"/>
    <s v="A24"/>
    <s v="E07"/>
    <n v="0.3"/>
    <s v="DMC"/>
    <s v="Solvents"/>
    <s v="Solvent &amp; extraction"/>
    <x v="4"/>
    <s v="Secondary"/>
    <s v="친환경 solvent 및 process solvent로 사용"/>
    <s v="Existing"/>
    <s v="GPT"/>
  </r>
  <r>
    <x v="69"/>
    <s v="A02"/>
    <s v="E07"/>
    <n v="0.6"/>
    <s v="PVOH"/>
    <s v="Polymerization aids"/>
    <s v="Specialty chemical intermediate"/>
    <x v="4"/>
    <s v="Primary"/>
    <s v="2023년 글로벌 PVOH 최대 용도 27.1%"/>
    <s v="Existing"/>
    <m/>
  </r>
  <r>
    <x v="69"/>
    <s v="A02"/>
    <s v="E03"/>
    <n v="0.6"/>
    <s v="PVOH"/>
    <s v="Polyvinyl butyral (PVB)"/>
    <s v="Specialty chemical intermediate"/>
    <x v="2"/>
    <s v="Primary"/>
    <s v="PVB는 안전유리 interlayer로 연결되는 주요 PVOH downstream"/>
    <s v="Existing"/>
    <m/>
  </r>
  <r>
    <x v="69"/>
    <s v="A20"/>
    <s v="E07"/>
    <n v="0.3"/>
    <s v="PVOH"/>
    <s v="Adhesives"/>
    <s v="Adhesive bonding"/>
    <x v="4"/>
    <s v="Secondary"/>
    <s v="2023년 주요 용도 12.8%"/>
    <s v="Existing"/>
    <m/>
  </r>
  <r>
    <x v="69"/>
    <s v="A22"/>
    <s v="E02"/>
    <n v="0.3"/>
    <s v="PVOH"/>
    <s v="Textile warp sizing"/>
    <s v="Surface coating"/>
    <x v="0"/>
    <s v="Secondary"/>
    <s v="섬유 sizing은 표면 처리·coating 성격의 용도"/>
    <s v="Existing"/>
    <m/>
  </r>
  <r>
    <x v="69"/>
    <s v="A22"/>
    <s v="E02"/>
    <n v="0.3"/>
    <s v="PVOH"/>
    <s v="Paper sizings and coatings"/>
    <s v="Surface coating"/>
    <x v="0"/>
    <s v="Secondary"/>
    <s v="종이 sizing 및 coating binder 용도"/>
    <s v="Existing"/>
    <m/>
  </r>
  <r>
    <x v="69"/>
    <s v="A07"/>
    <s v="E02"/>
    <n v="0.1"/>
    <s v="PVOH"/>
    <s v="PVOH films"/>
    <s v="Barrier packaging"/>
    <x v="0"/>
    <s v="Niche / Emerging"/>
    <s v="수용성·특수 필름 용도이나 전체 비중은 작음"/>
    <s v="Existing"/>
    <m/>
  </r>
  <r>
    <x v="70"/>
    <s v="A14"/>
    <s v="E04"/>
    <n v="0.6"/>
    <s v="EVA"/>
    <s v="Solar photovoltaic modules / encapsulation sheets"/>
    <s v="Renewable energy materials"/>
    <x v="3"/>
    <s v="Primary"/>
    <s v="2025년 EVA 수요의 41%로 최대·고성장 용도"/>
    <s v="Existing"/>
    <m/>
  </r>
  <r>
    <x v="70"/>
    <s v="A17"/>
    <s v="E02"/>
    <n v="0.3"/>
    <s v="EVA"/>
    <s v="Consumer goods / foams"/>
    <s v="Cushioning &amp; comfort materials"/>
    <x v="0"/>
    <s v="Secondary"/>
    <s v="footwear·fitness foam 등 소비재 용도"/>
    <s v="Existing"/>
    <m/>
  </r>
  <r>
    <x v="70"/>
    <s v="A13"/>
    <s v="E04"/>
    <n v="0.1"/>
    <s v="EVA"/>
    <s v="Wire and cable"/>
    <s v="Electrical insulation"/>
    <x v="3"/>
    <s v="Niche / Emerging"/>
    <s v="2025년 EVA 수요의 13%로 의미 있는 절연 용도"/>
    <s v="Existing"/>
    <m/>
  </r>
  <r>
    <x v="70"/>
    <s v="A20"/>
    <s v="E07"/>
    <n v="0.1"/>
    <s v="EVA"/>
    <s v="Hot-melt adhesives"/>
    <s v="Adhesive bonding"/>
    <x v="4"/>
    <s v="Niche / Emerging"/>
    <s v="고 VAM grade의 대표 접착 application"/>
    <s v="Existing"/>
    <m/>
  </r>
  <r>
    <x v="70"/>
    <s v="A05"/>
    <s v="E02"/>
    <n v="0.1"/>
    <s v="EVA"/>
    <s v="Packaging films / heat-seal films"/>
    <s v="Flexible packaging"/>
    <x v="0"/>
    <s v="Niche / Emerging"/>
    <s v="VAM이 열봉합성·clarity·cling을 개선해 필름에 사용"/>
    <s v="Existing"/>
    <m/>
  </r>
  <r>
    <x v="71"/>
    <s v="A01"/>
    <s v="E01"/>
    <n v="0.6"/>
    <s v="MDI"/>
    <s v="Rigid polyurethane foams"/>
    <s v="Major chemical intermediate"/>
    <x v="1"/>
    <s v="Primary"/>
    <s v="2024년 MDI 소비의 53%를 차지하는 최대 용도이며 건축 insulation 수요가 핵심"/>
    <s v="Existing"/>
    <m/>
  </r>
  <r>
    <x v="71"/>
    <s v="A01"/>
    <s v="E02"/>
    <n v="0.3"/>
    <s v="MDI"/>
    <s v="Flexible polyurethane foams"/>
    <s v="Major chemical intermediate"/>
    <x v="0"/>
    <s v="Secondary"/>
    <s v="MDI 소비의 약 8%로 bedding·seating 등 cushioning에 사용"/>
    <s v="Existing"/>
    <m/>
  </r>
  <r>
    <x v="71"/>
    <s v="A01"/>
    <s v="E07"/>
    <n v="0.3"/>
    <s v="MDI"/>
    <s v="Polyurethane elastomers"/>
    <s v="Major chemical intermediate"/>
    <x v="4"/>
    <s v="Secondary"/>
    <s v="MDI 소비의 약 14%를 차지하는 주요 비-foam 용도"/>
    <s v="Existing"/>
    <m/>
  </r>
  <r>
    <x v="71"/>
    <s v="A01"/>
    <s v="E07"/>
    <n v="0.3"/>
    <s v="MDI"/>
    <s v="Adhesives and sealants"/>
    <s v="Major chemical intermediate"/>
    <x v="4"/>
    <s v="Secondary"/>
    <s v="PU adhesive·sealant 용도로 사용되며 2024년 약 7% 비중"/>
    <s v="Existing"/>
    <m/>
  </r>
  <r>
    <x v="71"/>
    <s v="A01"/>
    <s v="E07"/>
    <n v="0.3"/>
    <s v="MDI"/>
    <s v="Surface coatings"/>
    <s v="Major chemical intermediate"/>
    <x v="4"/>
    <s v="Secondary"/>
    <s v="MDI 기반 PU coating 용도이나 foam·elastomer 대비 비중은 작음"/>
    <s v="Existing"/>
    <m/>
  </r>
  <r>
    <x v="72"/>
    <s v="A01"/>
    <s v="E02"/>
    <n v="0.6"/>
    <s v="TDI"/>
    <s v="Flexible polyurethane foams"/>
    <s v="Major chemical intermediate"/>
    <x v="0"/>
    <s v="Primary"/>
    <s v="2024년 TDI 소비의 79%를 차지하는 압도적 핵심 용도"/>
    <s v="Existing"/>
    <m/>
  </r>
  <r>
    <x v="72"/>
    <s v="A01"/>
    <s v="E02"/>
    <n v="0.6"/>
    <s v="TDI"/>
    <s v="Mattresses, furniture and automotive seats"/>
    <s v="Major chemical intermediate"/>
    <x v="0"/>
    <s v="Primary"/>
    <s v="TDI flexible foam의 대표 downstream으로 cushioning 제품에 사용"/>
    <s v="Existing"/>
    <m/>
  </r>
  <r>
    <x v="72"/>
    <s v="A01"/>
    <s v="E07"/>
    <n v="0.3"/>
    <s v="TDI"/>
    <s v="Surface coatings"/>
    <s v="Major chemical intermediate"/>
    <x v="4"/>
    <s v="Secondary"/>
    <s v="2024년 TDI 소비의 약 9%로 비-foam 주요 용도"/>
    <s v="Existing"/>
    <m/>
  </r>
  <r>
    <x v="72"/>
    <s v="A01"/>
    <s v="E07"/>
    <n v="0.3"/>
    <s v="TDI"/>
    <s v="Adhesives and sealants"/>
    <s v="Major chemical intermediate"/>
    <x v="4"/>
    <s v="Secondary"/>
    <s v="2024년 TDI 소비의 약 6%를 차지하는 기능성 PU 용도"/>
    <s v="Existing"/>
    <m/>
  </r>
  <r>
    <x v="72"/>
    <s v="A01"/>
    <s v="E07"/>
    <n v="0.3"/>
    <s v="TDI"/>
    <s v="Polyurethane elastomers"/>
    <s v="Major chemical intermediate"/>
    <x v="4"/>
    <s v="Secondary"/>
    <s v="2024년 TDI 소비의 약 4%로 제한적이나 상업적 용도 존재"/>
    <s v="Existing"/>
    <m/>
  </r>
  <r>
    <x v="73"/>
    <s v="A01"/>
    <s v="E07"/>
    <n v="0.6"/>
    <s v="o-Xylene"/>
    <s v="Phthalic anhydride (PA)"/>
    <s v="Major chemical intermediate"/>
    <x v="4"/>
    <s v="Primary"/>
    <s v="OX 소비의 약 96%가 PA 생산용으로 사용되는 지배적 route"/>
    <s v="Existing"/>
    <m/>
  </r>
  <r>
    <x v="73"/>
    <s v="A02"/>
    <s v="E06"/>
    <n v="0.1"/>
    <s v="o-Xylene"/>
    <s v="Other chemical intermediates, including bactericides and herbicides"/>
    <s v="Specialty chemical intermediate"/>
    <x v="5"/>
    <s v="Niche / Emerging"/>
    <s v="PA 외 약 4%의 소량 용도로 agrochemical 중간체가 언급됨"/>
    <s v="Existing"/>
    <m/>
  </r>
  <r>
    <x v="74"/>
    <s v="A01"/>
    <s v="E07"/>
    <n v="0.6"/>
    <s v="m-Xylene"/>
    <s v="Purified isophthalic acid (PIA)"/>
    <s v="Major chemical intermediate"/>
    <x v="4"/>
    <s v="Primary"/>
    <s v="m-Xylene의 거의 전량이 PIA 생산용으로 소비되는 핵심 route"/>
    <s v="Existing"/>
    <m/>
  </r>
  <r>
    <x v="74"/>
    <s v="A02"/>
    <s v="E07"/>
    <n v="0.3"/>
    <s v="m-Xylene"/>
    <s v="meta-Xylenediamine (MXDA)"/>
    <s v="Specialty chemical intermediate"/>
    <x v="4"/>
    <s v="Secondary"/>
    <s v="PIA 외 주요 성장 용도로 MXDA가 언급됨"/>
    <s v="Existing"/>
    <m/>
  </r>
  <r>
    <x v="74"/>
    <s v="A42"/>
    <s v="E07"/>
    <n v="0.1"/>
    <s v="m-Xylene"/>
    <s v="Xylene-formaldehyde resin"/>
    <s v="Composite &amp; performance resins"/>
    <x v="4"/>
    <s v="Niche / Emerging"/>
    <s v="소량 specialty resin 중간체 용도"/>
    <s v="Existing"/>
    <m/>
  </r>
  <r>
    <x v="75"/>
    <s v="A01"/>
    <s v="E07"/>
    <n v="0.6"/>
    <s v="p-Xylene"/>
    <s v="Purified terephthalic acid (PTA)"/>
    <s v="Major chemical intermediate"/>
    <x v="4"/>
    <s v="Primary"/>
    <s v="PX 수요의 약 99%가 PTA 생산용으로 사용되는 지배적 route"/>
    <s v="Existing"/>
    <m/>
  </r>
  <r>
    <x v="75"/>
    <s v="A01"/>
    <s v="E07"/>
    <n v="0.1"/>
    <s v="p-Xylene"/>
    <s v="Dimethyl terephthalate (DMT)"/>
    <s v="Major chemical intermediate"/>
    <x v="4"/>
    <s v="Niche / Emerging"/>
    <s v="DMT route도 존재하나 PTA 대비 지속 감소 중"/>
    <s v="Existing"/>
    <m/>
  </r>
  <r>
    <x v="76"/>
    <s v="A38"/>
    <s v="E02"/>
    <n v="0.6"/>
    <s v="PIA"/>
    <s v="Copolyester resins for PET bottles and fibers"/>
    <s v="Polymer modification &amp; additives"/>
    <x v="0"/>
    <s v="Primary"/>
    <s v="2025년 PIA 수요의 약 46%로 PET bottle resin의 clarity·생산성 개선용"/>
    <s v="Existing"/>
    <m/>
  </r>
  <r>
    <x v="76"/>
    <s v="A01"/>
    <s v="E07"/>
    <n v="0.3"/>
    <s v="PIA"/>
    <s v="Unsaturated polyester resins"/>
    <s v="Major chemical intermediate"/>
    <x v="4"/>
    <s v="Secondary"/>
    <s v="2025년 PIA 수요의 약 22%로 FRP용 premium polyester resin에 사용"/>
    <s v="Existing"/>
    <m/>
  </r>
  <r>
    <x v="76"/>
    <s v="A22"/>
    <s v="E07"/>
    <n v="0.3"/>
    <s v="PIA"/>
    <s v="Polyester/alkyd surface coating resins"/>
    <s v="Surface coating"/>
    <x v="4"/>
    <s v="Secondary"/>
    <s v="2025년 PIA 수요의 약 16%로 coating resin의 내수성·내후성 개선"/>
    <s v="Existing"/>
    <m/>
  </r>
  <r>
    <x v="76"/>
    <s v="A02"/>
    <s v="E07"/>
    <n v="0.1"/>
    <s v="PIA"/>
    <s v="Isophthaloyl chloride (IPC) / meta-aramid fiber"/>
    <s v="Specialty chemical intermediate"/>
    <x v="4"/>
    <s v="Niche / Emerging"/>
    <s v="IPC 및 meta-aramid fiber 원료로 사용되는 specialty route"/>
    <s v="Existing"/>
    <m/>
  </r>
  <r>
    <x v="76"/>
    <s v="A04"/>
    <s v="E02"/>
    <n v="0.1"/>
    <s v="PIA"/>
    <s v="Low-melt polyester fiber"/>
    <s v="Polymer resin / molding material"/>
    <x v="0"/>
    <s v="Niche / Emerging"/>
    <s v="hygiene·furniture·automotive interiors 등에 쓰이는 LMF 원료로 언급"/>
    <s v="Existing"/>
    <m/>
  </r>
  <r>
    <x v="76"/>
    <s v="A20"/>
    <s v="E07"/>
    <n v="0.1"/>
    <s v="PIA"/>
    <s v="Adhesives"/>
    <s v="Adhesive bonding"/>
    <x v="4"/>
    <s v="Niche / Emerging"/>
    <s v="hot-melt polyester adhesive 등 소량 용도"/>
    <s v="Existing"/>
    <m/>
  </r>
  <r>
    <x v="77"/>
    <s v="A01"/>
    <s v="E02"/>
    <n v="0.6"/>
    <s v="TPA"/>
    <s v="Polyethylene terephthalate (PET) polymer"/>
    <s v="Major chemical intermediate"/>
    <x v="0"/>
    <s v="Primary"/>
    <s v="2024년 TPA 소비의 약 97%가 PET/polyester melt 생산용"/>
    <s v="Existing"/>
    <m/>
  </r>
  <r>
    <x v="77"/>
    <s v="A04"/>
    <s v="E08"/>
    <n v="0.1"/>
    <s v="TPA"/>
    <s v="Polybutylene terephthalate (PBT)"/>
    <s v="Polymer resin / molding material"/>
    <x v="7"/>
    <s v="Niche / Emerging"/>
    <s v="TPA의 잔여 비-PET 용도 중 하나로 engineering resin에 사용"/>
    <s v="Existing"/>
    <m/>
  </r>
  <r>
    <x v="77"/>
    <s v="A38"/>
    <s v="E07"/>
    <n v="0.1"/>
    <s v="TPA"/>
    <s v="Dioctyl terephthalate (DOTP)"/>
    <s v="Polymer modification &amp; additives"/>
    <x v="4"/>
    <s v="Niche / Emerging"/>
    <s v="비-PET 용도의 plasticizer route로 언급됨"/>
    <s v="Existing"/>
    <m/>
  </r>
  <r>
    <x v="78"/>
    <s v="A01"/>
    <s v="E02"/>
    <n v="0.6"/>
    <s v="DMT"/>
    <s v="Polyethylene terephthalate (PET) polymer"/>
    <s v="Major chemical intermediate"/>
    <x v="0"/>
    <s v="Primary"/>
    <s v="DMT 수요의 약 85%가 PET/polyester 생산용이나 TPA로 대체되어 감소 중"/>
    <s v="Existing"/>
    <m/>
  </r>
  <r>
    <x v="78"/>
    <s v="A04"/>
    <s v="E08"/>
    <n v="0.1"/>
    <s v="DMT"/>
    <s v="Polybutylene terephthalate (PBT)"/>
    <s v="Polymer resin / molding material"/>
    <x v="7"/>
    <s v="Niche / Emerging"/>
    <s v="DMT의 비-PET 주요 잔여 용도 중 하나"/>
    <s v="Existing"/>
    <m/>
  </r>
  <r>
    <x v="79"/>
    <s v="A06"/>
    <s v="E02"/>
    <n v="0.6"/>
    <s v="PET"/>
    <s v="Preforms/bottles"/>
    <s v="Rigid packaging"/>
    <x v="0"/>
    <s v="Primary"/>
    <s v="2025년 bottle-grade PET 수요의 78%"/>
    <s v="Existing"/>
    <m/>
  </r>
  <r>
    <x v="79"/>
    <s v="A06"/>
    <s v="E02"/>
    <n v="0.3"/>
    <s v="PET"/>
    <s v="Thermoform sheets/trays"/>
    <s v="Rigid packaging"/>
    <x v="0"/>
    <s v="Secondary"/>
    <s v="2025년 수요의 15%로 주요 포장재 용도"/>
    <s v="Existing"/>
    <m/>
  </r>
  <r>
    <x v="79"/>
    <s v="A07"/>
    <s v="E02"/>
    <n v="0.3"/>
    <s v="PET"/>
    <s v="Film"/>
    <s v="Barrier packaging"/>
    <x v="0"/>
    <s v="Secondary"/>
    <s v="포장용 필름 및 산업용 필름 chain으로 연결"/>
    <s v="Existing"/>
    <m/>
  </r>
  <r>
    <x v="79"/>
    <s v="A04"/>
    <s v="E02"/>
    <n v="0.6"/>
    <s v="PET"/>
    <s v="Fiber/filament"/>
    <s v="Polymer resin / molding material"/>
    <x v="0"/>
    <s v="Primary"/>
    <s v="PET value chain의 대형 섬유·의류 용도"/>
    <s v="Existing"/>
    <m/>
  </r>
  <r>
    <x v="80"/>
    <s v="A18"/>
    <s v="E03"/>
    <n v="0.6"/>
    <s v="EPDM"/>
    <s v="Automotive parts (weather strips, seals, hoses, gaskets, sidewalls, antivibration parts)"/>
    <s v="Elastomeric performance materials"/>
    <x v="2"/>
    <s v="Primary"/>
    <s v="자동차용 weatherstripping, hose, seal, gasket, tire sidewall 등이 EPDM 최대 수요처이며 글로벌 수요의 60% 이상이 자동차 관련으로 연결됨."/>
    <s v="Existing"/>
    <m/>
  </r>
  <r>
    <x v="80"/>
    <s v="A38"/>
    <s v="E07"/>
    <n v="0.6"/>
    <s v="EPDM"/>
    <s v="Polymer modification and blending (TPO/TPV, thermoplastic modification)"/>
    <s v="Polymer modification &amp; additives"/>
    <x v="4"/>
    <s v="Primary"/>
    <s v="TPO/TPV 및 polyolefin modification용 주요 elastomer modifier로 사용됨. PP 및 기타 thermoplastic의 충격강도·내후성 개선에 기여."/>
    <s v="Existing"/>
    <m/>
  </r>
  <r>
    <x v="80"/>
    <s v="A21"/>
    <s v="E01"/>
    <n v="0.6"/>
    <s v="EPDM"/>
    <s v="Single-ply roofing and waterproofing construction"/>
    <s v="Sealants &amp; joint protection"/>
    <x v="1"/>
    <s v="Primary"/>
    <s v="EPDM roofing membrane는 단일층 지붕 및 waterproofing의 대표 소재로 내후성·내오존성이 핵심 가치임."/>
    <s v="Existing"/>
    <m/>
  </r>
  <r>
    <x v="80"/>
    <s v="A13"/>
    <s v="E08"/>
    <n v="0.3"/>
    <s v="EPDM"/>
    <s v="Wire and cable insulation / sheathing"/>
    <s v="Electrical insulation"/>
    <x v="7"/>
    <s v="Secondary"/>
    <s v="우수한 전기특성, ozone/corona resistance 및 장기 내구성으로 wire &amp; cable insulation 및 jacketing에 사용됨."/>
    <s v="Existing"/>
    <m/>
  </r>
  <r>
    <x v="80"/>
    <s v="A28"/>
    <s v="E03"/>
    <n v="0.3"/>
    <s v="EPDM"/>
    <s v="Oil additives (viscosity index improvers)"/>
    <s v="Lubrication &amp; friction control"/>
    <x v="2"/>
    <s v="Secondary"/>
    <s v="윤활유 점도지수 향상(VI improver)용 OCP 계열로 엔진오일 및 윤활유 formulation에 사용됨."/>
    <s v="Existing"/>
    <m/>
  </r>
  <r>
    <x v="80"/>
    <s v="A18"/>
    <s v="E02"/>
    <n v="0.3"/>
    <s v="EPDM"/>
    <s v="Appliance gaskets and seals"/>
    <s v="Elastomeric performance materials"/>
    <x v="0"/>
    <s v="Secondary"/>
    <s v="세탁기·식기세척기 등 가전 sealing 부품에 사용되며 내열·내수성이 요구되는 application임."/>
    <s v="Existing"/>
    <m/>
  </r>
  <r>
    <x v="80"/>
    <s v="A09"/>
    <s v="E07"/>
    <n v="0.3"/>
    <s v="EPDM"/>
    <s v="Water/steam hoses and industrial hoses"/>
    <s v="Pipe &amp; fluid conveyance"/>
    <x v="4"/>
    <s v="Secondary"/>
    <s v="물·증기·압축공기 hose에 사용되며 내열성과 내후성이 핵심 성능임. 자동차 hose는 automotive route에 포함됨."/>
    <s v="Existing"/>
    <m/>
  </r>
  <r>
    <x v="80"/>
    <s v="A17"/>
    <s v="E02"/>
    <n v="0.1"/>
    <s v="EPDM"/>
    <s v="Sports fields, artificial turf and playgrounds"/>
    <s v="Cushioning &amp; comfort materials"/>
    <x v="0"/>
    <s v="Niche / Emerging"/>
    <s v="스포츠 트랙·인조잔디 충진 및 cushioning 용도로 사용되나 자동차·건설 대비 비중은 제한적임."/>
    <s v="Existing"/>
    <m/>
  </r>
  <r>
    <x v="81"/>
    <s v="A01"/>
    <s v="E07"/>
    <n v="0.6"/>
    <s v="ECH"/>
    <s v="Epoxy resins"/>
    <s v="Major chemical intermediate"/>
    <x v="4"/>
    <s v="Primary"/>
    <s v="ECH 글로벌 수요의 약 90%를 차지하는 압도적 주력 application"/>
    <s v="Existing"/>
    <m/>
  </r>
  <r>
    <x v="81"/>
    <s v="A02"/>
    <s v="E07"/>
    <n v="0.1"/>
    <s v="ECH"/>
    <s v="Polyamide-epichlorohydrin resins"/>
    <s v="Specialty chemical intermediate"/>
    <x v="4"/>
    <s v="Niche / Emerging"/>
    <s v="PAE resin은 종이 wet-strength resin용으로 사용되는 주요 부가 경로"/>
    <s v="Existing"/>
    <m/>
  </r>
  <r>
    <x v="81"/>
    <s v="A27"/>
    <s v="E07"/>
    <n v="0.1"/>
    <s v="ECH"/>
    <s v="Water treatment chemicals / polyamines"/>
    <s v="Water treatment &amp; dispersants"/>
    <x v="4"/>
    <s v="Niche / Emerging"/>
    <s v="dimethylamine과 반응해 수처리용 coagulant/flocculant polyamine 제조에 사용"/>
    <s v="Existing"/>
    <m/>
  </r>
  <r>
    <x v="81"/>
    <s v="A18"/>
    <s v="E03"/>
    <n v="0.1"/>
    <s v="ECH"/>
    <s v="Epichlorohydrin elastomers"/>
    <s v="Elastomeric performance materials"/>
    <x v="2"/>
    <s v="Niche / Emerging"/>
    <s v="자동차 fuel hose, gasket, seal 등 특수 elastomer 소재로 사용되나 규모는 제한적"/>
    <s v="Existing"/>
    <m/>
  </r>
  <r>
    <x v="81"/>
    <s v="A02"/>
    <s v="E07"/>
    <n v="0.1"/>
    <s v="ECH"/>
    <s v="Synthetic glycerin"/>
    <s v="Specialty chemical intermediate"/>
    <x v="4"/>
    <s v="Niche / Emerging"/>
    <s v="천연 glycerin 공급 증가로 현재는 제한적·특수 고순도 시장 중심"/>
    <s v="Existing"/>
    <m/>
  </r>
  <r>
    <x v="81"/>
    <s v="A03"/>
    <s v="E07"/>
    <n v="0.1"/>
    <s v="ECH"/>
    <s v="Glycidyl ethers / glycidyl methacrylate / glycidyl acrylate"/>
    <s v="Reactive monomer / comonomer"/>
    <x v="4"/>
    <s v="Niche / Emerging"/>
    <s v="reactive diluent, UV-curable coatings, adhesives, inks용 specialty monomer 경로"/>
    <s v="Existing"/>
    <m/>
  </r>
  <r>
    <x v="82"/>
    <s v="A03"/>
    <s v="E03"/>
    <n v="0.6"/>
    <s v="Adipic Acid"/>
    <s v="Polyamide 66 production"/>
    <s v="Reactive monomer / comonomer"/>
    <x v="2"/>
    <s v="Primary"/>
    <s v="2024년 adipic acid 수요의 42%, PA66 체인의 핵심 중간체"/>
    <s v="Existing"/>
    <m/>
  </r>
  <r>
    <x v="82"/>
    <s v="A02"/>
    <s v="E01"/>
    <n v="0.3"/>
    <s v="Adipic Acid"/>
    <s v="Polyols for polyurethanes"/>
    <s v="Specialty chemical intermediate"/>
    <x v="1"/>
    <s v="Secondary"/>
    <s v="PU foam, coatings, adhesives로 연결되는 비-PA 용도"/>
    <s v="Existing"/>
    <m/>
  </r>
  <r>
    <x v="82"/>
    <s v="A38"/>
    <s v="E01"/>
    <n v="0.3"/>
    <s v="Adipic Acid"/>
    <s v="Plasticizers for PVC"/>
    <s v="Polymer modification &amp; additives"/>
    <x v="1"/>
    <s v="Secondary"/>
    <s v="PVC plasticizer용 ester 원료"/>
    <s v="Existing"/>
    <m/>
  </r>
  <r>
    <x v="82"/>
    <s v="A36"/>
    <s v="E02"/>
    <n v="0.1"/>
    <s v="Adipic Acid"/>
    <s v="Food additives"/>
    <s v="Food additives &amp; preservation"/>
    <x v="0"/>
    <s v="Niche / Emerging"/>
    <s v="산미 및 gelatin set 조절용 소량 식품첨가 용도"/>
    <s v="Existing"/>
    <m/>
  </r>
  <r>
    <x v="82"/>
    <s v="A01"/>
    <s v="E07"/>
    <n v="0.1"/>
    <s v="Adipic Acid"/>
    <s v="Unsaturated polyester resins / PAE resins"/>
    <s v="Major chemical intermediate"/>
    <x v="4"/>
    <s v="Niche / Emerging"/>
    <s v="기타 resin chain의 소량 중간체"/>
    <s v="Existing"/>
    <m/>
  </r>
  <r>
    <x v="82"/>
    <s v="A33"/>
    <s v="E05"/>
    <n v="0.1"/>
    <s v="Adipic Acid"/>
    <s v="Pharmaceuticals, cosmetics, detergent tablets"/>
    <s v="Medical &amp; healthcare materials"/>
    <x v="6"/>
    <s v="Niche / Emerging"/>
    <s v="다양한 specialty downstream이나 규모는 제한적"/>
    <s v="Existing"/>
    <m/>
  </r>
  <r>
    <x v="83"/>
    <s v="A01"/>
    <s v="E07"/>
    <n v="0.6"/>
    <s v="n-Butane"/>
    <s v="Steam cracking feedstock (ethylene, propylene production)"/>
    <s v="Major chemical intermediate"/>
    <x v="4"/>
    <s v="Primary"/>
    <s v="n-Butane의 가장 중요한 석유화학 용도로 에틸렌·프로필렌 생산의 원료로 사용됨."/>
    <s v="Existing"/>
    <s v="GPT"/>
  </r>
  <r>
    <x v="83"/>
    <s v="A01"/>
    <s v="E07"/>
    <n v="0.6"/>
    <s v="n-Butane"/>
    <s v="Butadiene production"/>
    <s v="Major chemical intermediate"/>
    <x v="4"/>
    <s v="Primary"/>
    <s v="탈수소 공정 또는 크래킹 부산물을 통해 부타디엔 생산 원료로 활용됨."/>
    <s v="Existing"/>
    <s v="GPT"/>
  </r>
  <r>
    <x v="83"/>
    <s v="A01"/>
    <s v="E07"/>
    <n v="0.3"/>
    <s v="n-Butane"/>
    <s v="Maleic anhydride production"/>
    <s v="Major chemical intermediate"/>
    <x v="4"/>
    <s v="Secondary"/>
    <s v="n-Butane 산화 공정의 대표적인 화학 중간체 생산 용도임."/>
    <s v="Existing"/>
    <s v="GPT"/>
  </r>
  <r>
    <x v="83"/>
    <s v="A43"/>
    <s v="E04"/>
    <n v="0.3"/>
    <s v="n-Butane"/>
    <s v="LPG fuel"/>
    <s v="Fuel / fuel additive"/>
    <x v="3"/>
    <s v="Secondary"/>
    <s v="LPG의 주요 성분으로 난방, 취사 및 산업용 연료로 사용됨."/>
    <s v="Existing"/>
    <s v="GPT"/>
  </r>
  <r>
    <x v="83"/>
    <s v="A43"/>
    <s v="E04"/>
    <n v="0.3"/>
    <s v="n-Butane"/>
    <s v="Gasoline blending"/>
    <s v="Fuel / fuel additive"/>
    <x v="3"/>
    <s v="Secondary"/>
    <s v="휘발유 증기압 조절 및 블렌딩 성분으로 활용됨."/>
    <s v="Existing"/>
    <s v="GPT"/>
  </r>
  <r>
    <x v="83"/>
    <s v="A43"/>
    <s v="E02"/>
    <n v="0.1"/>
    <s v="n-Butane"/>
    <s v="Aerosol propellant"/>
    <s v="Fuel / fuel additive"/>
    <x v="0"/>
    <s v="Niche / Emerging"/>
    <s v="에어로졸 제품의 분사 추진제로 사용되나 전체 n-Butane 수요에서는 제한적임."/>
    <s v="Existing"/>
    <s v="GPT"/>
  </r>
  <r>
    <x v="83"/>
    <s v="A01"/>
    <s v="E07"/>
    <n v="0.1"/>
    <s v="n-Butane"/>
    <s v="Refrigerant feedstock (isobutane, refrigerant blends)"/>
    <s v="Major chemical intermediate"/>
    <x v="4"/>
    <s v="Niche / Emerging"/>
    <s v="냉매 및 관련 화학제품 생산의 원료로 일부 사용됨."/>
    <s v="Existing"/>
    <s v="GPT"/>
  </r>
  <r>
    <x v="84"/>
    <s v="A01"/>
    <s v="E03"/>
    <n v="0.6"/>
    <s v="Isoprene"/>
    <s v="Polyisoprene rubber"/>
    <s v="Major chemical intermediate"/>
    <x v="2"/>
    <s v="Primary"/>
    <s v="2023년 isoprene 소비의 56%로 최대 용도이며, 타이어·고무제품과 직접 연결됨."/>
    <s v="Existing"/>
    <m/>
  </r>
  <r>
    <x v="84"/>
    <s v="A01"/>
    <s v="E02"/>
    <n v="0.6"/>
    <s v="Isoprene"/>
    <s v="Styrene-isoprene-styrene block copolymers / SIS"/>
    <s v="Major chemical intermediate"/>
    <x v="0"/>
    <s v="Primary"/>
    <s v="2023년 소비의 30%로 두 번째 핵심 용도이며, hygiene adhesive, tape, label adhesive 등에 사용됨."/>
    <s v="Existing"/>
    <m/>
  </r>
  <r>
    <x v="84"/>
    <s v="A01"/>
    <s v="E03"/>
    <n v="0.3"/>
    <s v="Isoprene"/>
    <s v="Butyl elastomers / butyl rubber"/>
    <s v="Major chemical intermediate"/>
    <x v="2"/>
    <s v="Secondary"/>
    <s v="butyl rubber 생산용 comonomer로 사용되며 2023년 글로벌 소비의 약 5% 수준."/>
    <s v="Existing"/>
    <m/>
  </r>
  <r>
    <x v="84"/>
    <s v="A28"/>
    <s v="E03"/>
    <n v="0.1"/>
    <s v="Isoprene"/>
    <s v="Viscosity index improvers"/>
    <s v="Lubrication &amp; friction control"/>
    <x v="2"/>
    <s v="Niche / Emerging"/>
    <s v="윤활유 VI improver 원료로 사용되나 주요 elastomer route 대비 소량."/>
    <s v="Existing"/>
    <m/>
  </r>
  <r>
    <x v="84"/>
    <s v="A02"/>
    <s v="E05"/>
    <n v="0.1"/>
    <s v="Isoprene"/>
    <s v="Flavors and fragrances / vitamins / medicinal chemicals / agrochemicals"/>
    <s v="Specialty chemical intermediate"/>
    <x v="6"/>
    <s v="Niche / Emerging"/>
    <s v="geraniol, vitamin A/E, medicinal chemicals 등 specialty intermediate 용도이나 규모는 제한적."/>
    <s v="Existing"/>
    <m/>
  </r>
  <r>
    <x v="84"/>
    <s v="A02"/>
    <s v="E07"/>
    <n v="0.1"/>
    <s v="Isoprene"/>
    <s v="Epoxy hardeners"/>
    <s v="Specialty chemical intermediate"/>
    <x v="4"/>
    <s v="Niche / Emerging"/>
    <s v="epoxy hardener 원료로 언급되지만 기타 소량 application에 해당."/>
    <s v="Existing"/>
    <m/>
  </r>
  <r>
    <x v="85"/>
    <s v="A03"/>
    <s v="E07"/>
    <n v="0.6"/>
    <s v="Piperylene"/>
    <s v="Petroleum resin feedstock"/>
    <s v="Reactive monomer / comonomer"/>
    <x v="4"/>
    <s v="Primary"/>
    <s v="C5 petroleum resin 제조의 핵심 반응성 원료로 가장 대표적인 수요처"/>
    <s v="Existing"/>
    <s v="GPT"/>
  </r>
  <r>
    <x v="85"/>
    <s v="A20"/>
    <s v="E07"/>
    <n v="0.6"/>
    <s v="Piperylene"/>
    <s v="Hot-melt adhesive resin"/>
    <s v="Adhesive bonding"/>
    <x v="4"/>
    <s v="Primary"/>
    <s v="Piperylene 기반 hydrocarbon resin이 핫멜트 접착제의 점착성 부여에 광범위하게 사용"/>
    <s v="Existing"/>
    <s v="GPT"/>
  </r>
  <r>
    <x v="85"/>
    <s v="A20"/>
    <s v="E02"/>
    <n v="0.3"/>
    <s v="Piperylene"/>
    <s v="Pressure-sensitive adhesive (PSA) resin"/>
    <s v="Adhesive bonding"/>
    <x v="0"/>
    <s v="Secondary"/>
    <s v="라벨·테이프용 PSA resin의 tackifier 원료로 사용"/>
    <s v="Existing"/>
    <s v="GPT"/>
  </r>
  <r>
    <x v="85"/>
    <s v="A19"/>
    <s v="E03"/>
    <n v="0.3"/>
    <s v="Piperylene"/>
    <s v="Tire rubber compounding resin"/>
    <s v="Tire &amp; rubber applications"/>
    <x v="2"/>
    <s v="Secondary"/>
    <s v="타이어 및 고무 컴파운드의 성능 향상용 resin 원료"/>
    <s v="Existing"/>
    <s v="GPT"/>
  </r>
  <r>
    <x v="85"/>
    <s v="A03"/>
    <s v="E07"/>
    <n v="0.3"/>
    <s v="Piperylene"/>
    <s v="Synthetic rubber intermediate"/>
    <s v="Reactive monomer / comonomer"/>
    <x v="4"/>
    <s v="Secondary"/>
    <s v="공중합체 및 특수 고무 제조에 사용되는 반응성 디엔 원료"/>
    <s v="Existing"/>
    <s v="GPT"/>
  </r>
  <r>
    <x v="85"/>
    <s v="A21"/>
    <s v="E01"/>
    <n v="0.3"/>
    <s v="Piperylene"/>
    <s v="Sealant and caulking formulations"/>
    <s v="Sealants &amp; joint protection"/>
    <x v="1"/>
    <s v="Secondary"/>
    <s v="hydrocarbon resin 형태로 실란트의 점착 및 성능 개선에 사용"/>
    <s v="Existing"/>
    <s v="GPT"/>
  </r>
  <r>
    <x v="85"/>
    <s v="A23"/>
    <s v="E02"/>
    <n v="0.1"/>
    <s v="Piperylene"/>
    <s v="Printing ink resin"/>
    <s v="Printing inks &amp; graphic materials"/>
    <x v="0"/>
    <s v="Niche / Emerging"/>
    <s v="인쇄잉크용 resin 조성에 제한적으로 사용"/>
    <s v="Existing"/>
    <s v="GPT"/>
  </r>
  <r>
    <x v="85"/>
    <s v="A22"/>
    <s v="E07"/>
    <n v="0.1"/>
    <s v="Piperylene"/>
    <s v="Coating resin modifier"/>
    <s v="Surface coating"/>
    <x v="4"/>
    <s v="Niche / Emerging"/>
    <s v="특수 코팅용 hydrocarbon resin 원료로 사용"/>
    <s v="Existing"/>
    <s v="GPT"/>
  </r>
  <r>
    <x v="86"/>
    <s v="A20"/>
    <s v="E02"/>
    <n v="0.6"/>
    <s v="DCPD"/>
    <s v="Hydrocarbon resins"/>
    <s v="Adhesive bonding"/>
    <x v="0"/>
    <s v="Primary"/>
    <s v="DCPD 최대 수요처이며 hot-melt adhesive, PSA label, diaper adhesive와 연결."/>
    <s v="Existing"/>
    <m/>
  </r>
  <r>
    <x v="86"/>
    <s v="A01"/>
    <s v="E07"/>
    <n v="0.6"/>
    <s v="DCPD"/>
    <s v="Unsaturated polyester resins"/>
    <s v="Major chemical intermediate"/>
    <x v="4"/>
    <s v="Primary"/>
    <s v="UPR 제조용 주요 반응성 feedstock; marine, bathroom, electrical 시장으로 연결."/>
    <s v="Existing"/>
    <m/>
  </r>
  <r>
    <x v="86"/>
    <s v="A02"/>
    <s v="E03"/>
    <n v="0.3"/>
    <s v="DCPD"/>
    <s v="EPDM elastomers / ENB"/>
    <s v="Specialty chemical intermediate"/>
    <x v="2"/>
    <s v="Secondary"/>
    <s v="ENB 및 EPDM termonomer 경로로 자동차 weather stripping, hose 등에 연결."/>
    <s v="Existing"/>
    <m/>
  </r>
  <r>
    <x v="86"/>
    <s v="A04"/>
    <s v="E07"/>
    <n v="0.1"/>
    <s v="DCPD"/>
    <s v="Polydicyclopentadiene"/>
    <s v="Polymer resin / molding material"/>
    <x v="4"/>
    <s v="Niche / Emerging"/>
    <s v="특수 molding resin 수요로 전체 DCPD 대비 소규모."/>
    <s v="Existing"/>
    <m/>
  </r>
  <r>
    <x v="86"/>
    <s v="A41"/>
    <s v="E08"/>
    <n v="0.1"/>
    <s v="DCPD"/>
    <s v="COC/COP"/>
    <s v="Display &amp; optical materials"/>
    <x v="7"/>
    <s v="Niche / Emerging"/>
    <s v="고순도 DCPD 기반 specialty polymer route로 제한적이지만 고기능 소재."/>
    <s v="Existing"/>
    <m/>
  </r>
  <r>
    <x v="87"/>
    <s v="A19"/>
    <s v="E03"/>
    <n v="0.6"/>
    <s v="IR"/>
    <s v="Tires and tire products"/>
    <s v="Tire &amp; rubber applications"/>
    <x v="2"/>
    <s v="Primary"/>
    <s v="IR 최대 용도이며, 미국 기준 2023년 polyisoprene rubber 소비의 59%가 타이어·타이어 제품용으로 언급됨."/>
    <s v="Existing"/>
    <s v="GPT"/>
  </r>
  <r>
    <x v="87"/>
    <s v="A33"/>
    <s v="E05"/>
    <n v="0.3"/>
    <s v="IR"/>
    <s v="Gloves and medical products"/>
    <s v="Medical &amp; healthcare materials"/>
    <x v="6"/>
    <s v="Secondary"/>
    <s v="고순도·비알레르기 특성으로 의료용 장갑 및 medical products에 사용됨."/>
    <s v="Existing"/>
    <s v="GPT"/>
  </r>
  <r>
    <x v="87"/>
    <s v="A20"/>
    <s v="E02"/>
    <n v="0.3"/>
    <s v="IR"/>
    <s v="Adhesives and tackifiers"/>
    <s v="Adhesive bonding"/>
    <x v="0"/>
    <s v="Secondary"/>
    <s v="Cariflex IR 용도로 adhesives와 tackifiers가 명시됨."/>
    <s v="Existing"/>
    <s v="GPT"/>
  </r>
  <r>
    <x v="87"/>
    <s v="A33"/>
    <s v="E05"/>
    <n v="0.1"/>
    <s v="IR"/>
    <s v="Condoms"/>
    <s v="Medical &amp; healthcare materials"/>
    <x v="6"/>
    <s v="Niche / Emerging"/>
    <s v="의료·위생 인증이 필요한 specialty application이나 타이어 대비 규모는 제한적임."/>
    <s v="Existing"/>
    <s v="GPT"/>
  </r>
  <r>
    <x v="88"/>
    <s v="A20"/>
    <s v="E02"/>
    <n v="0.6"/>
    <s v="SIS"/>
    <s v="Hygiene adhesives"/>
    <s v="Adhesive bonding"/>
    <x v="0"/>
    <s v="Primary"/>
    <s v="baby diaper, adult incontinence, feminine hygiene 제품용 adhesive가 성장 시장으로 제시됨."/>
    <s v="Existing"/>
    <s v="GPT"/>
  </r>
  <r>
    <x v="88"/>
    <s v="A20"/>
    <s v="E02"/>
    <n v="0.6"/>
    <s v="SIS"/>
    <s v="Tape and label adhesives"/>
    <s v="Adhesive bonding"/>
    <x v="0"/>
    <s v="Primary"/>
    <s v="SIS의 우수한 adhesion, cohesion, sprayability를 활용하는 대표 adhesive application."/>
    <s v="Existing"/>
    <s v="GPT"/>
  </r>
  <r>
    <x v="88"/>
    <s v="A21"/>
    <s v="E01"/>
    <n v="0.3"/>
    <s v="SIS"/>
    <s v="Roofing"/>
    <s v="Sealants &amp; joint protection"/>
    <x v="1"/>
    <s v="Secondary"/>
    <s v="roofing application이 명시되어 있으나 hygiene/tape/label adhesive 대비 보조적 용도."/>
    <s v="Existing"/>
    <s v="GPT"/>
  </r>
  <r>
    <x v="88"/>
    <s v="A05"/>
    <s v="E02"/>
    <n v="0.3"/>
    <s v="SIS"/>
    <s v="Elastic films"/>
    <s v="Flexible packaging"/>
    <x v="0"/>
    <s v="Secondary"/>
    <s v="elastic film용 styrenic block copolymer로 사용됨."/>
    <s v="Existing"/>
    <s v="GPT"/>
  </r>
  <r>
    <x v="88"/>
    <s v="A04"/>
    <s v="E07"/>
    <n v="0.3"/>
    <s v="SIS"/>
    <s v="Plastic modification"/>
    <s v="Polymer resin / molding material"/>
    <x v="4"/>
    <s v="Secondary"/>
    <s v="플라스틱 개질용으로 사용되나 adhesive 수요 대비 부차적임."/>
    <s v="Existing"/>
    <s v="GPT"/>
  </r>
  <r>
    <x v="89"/>
    <s v="A02"/>
    <s v="E07"/>
    <n v="0.6"/>
    <s v="i-butyraldehyde"/>
    <s v="Condensation/esterification products"/>
    <s v="Specialty chemical intermediate"/>
    <x v="4"/>
    <s v="Primary"/>
    <s v="2024년 미국 isobutyraldehyde 소비의 39%로 최대 경로이며 TMPD, Texanol, TXIB, IBIB 등을 포함"/>
    <s v="Existing"/>
    <m/>
  </r>
  <r>
    <x v="89"/>
    <s v="A01"/>
    <s v="E07"/>
    <n v="0.6"/>
    <s v="i-butyraldehyde"/>
    <s v="Isobutanol"/>
    <s v="Major chemical intermediate"/>
    <x v="4"/>
    <s v="Primary"/>
    <s v="isobutanol 전환이 2024년 미국 소비의 21%로 주요 경로"/>
    <s v="Existing"/>
    <m/>
  </r>
  <r>
    <x v="89"/>
    <s v="A02"/>
    <s v="E07"/>
    <n v="0.6"/>
    <s v="i-butyraldehyde"/>
    <s v="Neopentyl glycol"/>
    <s v="Specialty chemical intermediate"/>
    <x v="4"/>
    <s v="Primary"/>
    <s v="NPG 전환이 2024년 미국 소비의 20%로 coatings resin 및 UPR 체인에 연결"/>
    <s v="Existing"/>
    <m/>
  </r>
  <r>
    <x v="89"/>
    <s v="A02"/>
    <s v="E07"/>
    <n v="0.3"/>
    <s v="i-butyraldehyde"/>
    <s v="Isobutyric acid"/>
    <s v="Specialty chemical intermediate"/>
    <x v="4"/>
    <s v="Secondary"/>
    <s v="2024년 미국 소비의 12%로 TMCD, TXIB 등 specialty derivative로 사용"/>
    <s v="Existing"/>
    <m/>
  </r>
  <r>
    <x v="89"/>
    <s v="A01"/>
    <s v="E07"/>
    <n v="0.3"/>
    <s v="i-butyraldehyde"/>
    <s v="Isobutyl acetate"/>
    <s v="Major chemical intermediate"/>
    <x v="4"/>
    <s v="Secondary"/>
    <s v="직접 생산 기준 2024년 미국 소비의 6%이며 coatings solvent 체인에 연결"/>
    <s v="Existing"/>
    <m/>
  </r>
  <r>
    <x v="89"/>
    <s v="A24"/>
    <s v="E07"/>
    <n v="0.1"/>
    <s v="i-butyraldehyde"/>
    <s v="Methyl isoamyl ketone"/>
    <s v="Solvent &amp; extraction"/>
    <x v="4"/>
    <s v="Niche / Emerging"/>
    <s v="2024년 미국 소비의 약 1%로 소량 specialty solvent 경로"/>
    <s v="Existing"/>
    <m/>
  </r>
  <r>
    <x v="90"/>
    <s v="A20"/>
    <s v="E07"/>
    <n v="0.6"/>
    <s v="DCPD Resin"/>
    <s v="Hydrocarbon tackifier for hot-melt adhesives"/>
    <s v="Adhesive bonding"/>
    <x v="4"/>
    <s v="Primary"/>
    <s v="DCPD 기반 석유수지는 가장 대표적으로 핫멜트 접착제의 점착부여제(tackifier)로 사용됨."/>
    <s v="Existing"/>
    <s v="GPT"/>
  </r>
  <r>
    <x v="90"/>
    <s v="A20"/>
    <s v="E02"/>
    <n v="0.6"/>
    <s v="DCPD Resin"/>
    <s v="Pressure-sensitive adhesives (PSA)"/>
    <s v="Adhesive bonding"/>
    <x v="0"/>
    <s v="Primary"/>
    <s v="포장용 테이프, 라벨 등 PSA의 점착 성능 향상을 위한 주요 용도임."/>
    <s v="Existing"/>
    <s v="GPT"/>
  </r>
  <r>
    <x v="90"/>
    <s v="A22"/>
    <s v="E01"/>
    <n v="0.3"/>
    <s v="DCPD Resin"/>
    <s v="Road-marking paint"/>
    <s v="Surface coating"/>
    <x v="1"/>
    <s v="Secondary"/>
    <s v="노면표시 도료의 내마모성 및 접착력 향상을 위해 사용됨."/>
    <s v="Existing"/>
    <s v="GPT"/>
  </r>
  <r>
    <x v="90"/>
    <s v="A22"/>
    <s v="E07"/>
    <n v="0.3"/>
    <s v="DCPD Resin"/>
    <s v="Protective coatings"/>
    <s v="Surface coating"/>
    <x v="4"/>
    <s v="Secondary"/>
    <s v="산업용 및 방청 코팅의 수지 성분 또는 성능개선용으로 활용됨."/>
    <s v="Existing"/>
    <s v="GPT"/>
  </r>
  <r>
    <x v="90"/>
    <s v="A23"/>
    <s v="E02"/>
    <n v="0.3"/>
    <s v="DCPD Resin"/>
    <s v="Printing inks"/>
    <s v="Printing inks &amp; graphic materials"/>
    <x v="0"/>
    <s v="Secondary"/>
    <s v="인쇄잉크의 안료 분산성과 접착 특성 개선에 사용됨."/>
    <s v="Existing"/>
    <s v="GPT"/>
  </r>
  <r>
    <x v="90"/>
    <s v="A19"/>
    <s v="E03"/>
    <n v="0.3"/>
    <s v="DCPD Resin"/>
    <s v="Rubber compounding"/>
    <s v="Tire &amp; rubber applications"/>
    <x v="2"/>
    <s v="Secondary"/>
    <s v="고무 배합 시 tackifier로 사용되어 점착성과 가공성을 향상시킴."/>
    <s v="Existing"/>
    <s v="GPT"/>
  </r>
  <r>
    <x v="90"/>
    <s v="A21"/>
    <s v="E01"/>
    <n v="0.3"/>
    <s v="DCPD Resin"/>
    <s v="Sealants"/>
    <s v="Sealants &amp; joint protection"/>
    <x v="1"/>
    <s v="Secondary"/>
    <s v="건축 및 산업용 실란트의 점착 및 내구성 향상에 기여함."/>
    <s v="Existing"/>
    <s v="GPT"/>
  </r>
  <r>
    <x v="90"/>
    <s v="A42"/>
    <s v="E07"/>
    <n v="0.1"/>
    <s v="DCPD Resin"/>
    <s v="Composite resin modifier"/>
    <s v="Composite &amp; performance resins"/>
    <x v="4"/>
    <s v="Niche / Emerging"/>
    <s v="복합재 및 특수수지의 성능 향상을 위한 개질제로 일부 적용됨."/>
    <s v="Existing"/>
    <s v="GPT"/>
  </r>
  <r>
    <x v="91"/>
    <s v="A42"/>
    <s v="E01"/>
    <n v="0.6"/>
    <s v="UPR"/>
    <s v="Fiberglass-reinforced plastics / FRP"/>
    <s v="Composite &amp; performance resins"/>
    <x v="1"/>
    <s v="Primary"/>
    <s v="UPR의 대표 용도이며 건설, 욕실부품, 패널, 탱크·파이프에 대량 사용."/>
    <s v="Existing"/>
    <m/>
  </r>
  <r>
    <x v="91"/>
    <s v="A16"/>
    <s v="E03"/>
    <n v="0.3"/>
    <s v="UPR"/>
    <s v="Land transportation components"/>
    <s v="Automotive components &amp; lightweighting"/>
    <x v="2"/>
    <s v="Secondary"/>
    <s v="금속 대체 경량 부품, SMC/BMC 자동차·트럭 부품에 사용."/>
    <s v="Existing"/>
    <m/>
  </r>
  <r>
    <x v="91"/>
    <s v="A22"/>
    <s v="E07"/>
    <n v="0.3"/>
    <s v="UPR"/>
    <s v="Gel coats, coatings and top coats"/>
    <s v="Surface coating"/>
    <x v="4"/>
    <s v="Secondary"/>
    <s v="gel coat, wood coating, top coat 등 coating 계열 수요."/>
    <s v="Existing"/>
    <m/>
  </r>
  <r>
    <x v="91"/>
    <s v="A10"/>
    <s v="E01"/>
    <n v="0.3"/>
    <s v="UPR"/>
    <s v="Cultured marble / solid-surface countertops / polymer concrete"/>
    <s v="Building materials &amp; profiles"/>
    <x v="1"/>
    <s v="Secondary"/>
    <s v="비보강 UPR의 건축·인테리어 재료 application."/>
    <s v="Existing"/>
    <m/>
  </r>
  <r>
    <x v="92"/>
    <s v="A01"/>
    <s v="E07"/>
    <n v="0.6"/>
    <s v="ENB"/>
    <s v="EPDM terpolymer monomer"/>
    <s v="Major chemical intermediate"/>
    <x v="4"/>
    <s v="Primary"/>
    <s v="ENB는 EPDM 제조에 사용되는 대표적인 diene comonomer이며 대부분의 상업적 수요가 이에 집중됨."/>
    <s v="Existing"/>
    <s v="GPT"/>
  </r>
  <r>
    <x v="92"/>
    <s v="A02"/>
    <s v="E07"/>
    <n v="0.3"/>
    <s v="ENB"/>
    <s v="High-performance elastomer intermediate"/>
    <s v="Specialty chemical intermediate"/>
    <x v="4"/>
    <s v="Secondary"/>
    <s v="일부 특수 엘라스토머 및 기능성 고분자 합성의 중간체로 활용됨."/>
    <s v="Existing"/>
    <s v="GPT"/>
  </r>
  <r>
    <x v="92"/>
    <s v="A02"/>
    <s v="E07"/>
    <n v="0.1"/>
    <s v="ENB"/>
    <s v="Specialty resin intermediate"/>
    <s v="Specialty chemical intermediate"/>
    <x v="4"/>
    <s v="Niche / Emerging"/>
    <s v="일부 고기능 수지 및 유기합성 원료로 제한적으로 사용됨."/>
    <s v="Existing"/>
    <s v="GPT"/>
  </r>
  <r>
    <x v="93"/>
    <s v="A42"/>
    <s v="E07"/>
    <n v="0.6"/>
    <s v="PolyDCPD"/>
    <s v="Large structural molded parts"/>
    <s v="Composite &amp; performance resins"/>
    <x v="4"/>
    <s v="Primary"/>
    <s v="PolyDCPD의 대표 용도로 대형 구조용 성형품 제작에 가장 많이 사용됨."/>
    <s v="Existing"/>
    <s v="GPT"/>
  </r>
  <r>
    <x v="93"/>
    <s v="A16"/>
    <s v="E03"/>
    <n v="0.6"/>
    <s v="PolyDCPD"/>
    <s v="Automotive body panels"/>
    <s v="Automotive components &amp; lightweighting"/>
    <x v="2"/>
    <s v="Primary"/>
    <s v="트럭, 버스, 농기계 등의 외장 패널에 적용되어 경량화와 높은 충격강도를 제공함."/>
    <s v="Existing"/>
    <s v="GPT"/>
  </r>
  <r>
    <x v="93"/>
    <s v="A16"/>
    <s v="E01"/>
    <n v="0.3"/>
    <s v="PolyDCPD"/>
    <s v="Agricultural and construction equipment body panels"/>
    <s v="Automotive components &amp; lightweighting"/>
    <x v="1"/>
    <s v="Secondary"/>
    <s v="농기계 및 건설장비의 후드, 펜더, 커버 등에 널리 적용됨."/>
    <s v="Existing"/>
    <s v="GPT"/>
  </r>
  <r>
    <x v="93"/>
    <s v="A42"/>
    <s v="E07"/>
    <n v="0.3"/>
    <s v="PolyDCPD"/>
    <s v="Chemical storage tanks and process equipment"/>
    <s v="Composite &amp; performance resins"/>
    <x v="4"/>
    <s v="Secondary"/>
    <s v="우수한 내화학성을 활용한 산업용 탱크 및 공정장비 제작에 사용됨."/>
    <s v="Existing"/>
    <s v="GPT"/>
  </r>
  <r>
    <x v="93"/>
    <s v="A42"/>
    <s v="E07"/>
    <n v="0.3"/>
    <s v="PolyDCPD"/>
    <s v="Corrosion-resistant housings and enclosures"/>
    <s v="Composite &amp; performance resins"/>
    <x v="4"/>
    <s v="Secondary"/>
    <s v="산업설비 외함 및 부식 환경용 구조물에 적용됨."/>
    <s v="Existing"/>
    <s v="GPT"/>
  </r>
  <r>
    <x v="93"/>
    <s v="A42"/>
    <s v="E07"/>
    <n v="0.1"/>
    <s v="PolyDCPD"/>
    <s v="Marine components"/>
    <s v="Composite &amp; performance resins"/>
    <x v="4"/>
    <s v="Niche / Emerging"/>
    <s v="내수성 및 내식성을 활용한 선박·해양 부품에 제한적으로 사용됨."/>
    <s v="Existing"/>
    <s v="GPT"/>
  </r>
  <r>
    <x v="94"/>
    <s v="A41"/>
    <s v="E08"/>
    <n v="0.6"/>
    <s v="COP"/>
    <s v="Optical lenses"/>
    <s v="Display &amp; optical materials"/>
    <x v="7"/>
    <s v="Primary"/>
    <s v="높은 투명성, 낮은 복굴절 및 우수한 치수안정성으로 광학렌즈의 대표 소재임."/>
    <s v="Existing"/>
    <s v="GPT"/>
  </r>
  <r>
    <x v="94"/>
    <s v="A41"/>
    <s v="E08"/>
    <n v="0.6"/>
    <s v="COP"/>
    <s v="Optical films"/>
    <s v="Display &amp; optical materials"/>
    <x v="7"/>
    <s v="Primary"/>
    <s v="디스플레이 및 광학 필름에서 높은 광학 특성과 낮은 수분흡수율을 활용함."/>
    <s v="Existing"/>
    <s v="GPT"/>
  </r>
  <r>
    <x v="94"/>
    <s v="A33"/>
    <s v="E05"/>
    <n v="0.6"/>
    <s v="COP"/>
    <s v="Medical syringes and diagnostic cartridges"/>
    <s v="Medical &amp; healthcare materials"/>
    <x v="6"/>
    <s v="Primary"/>
    <s v="높은 생체적합성, 투명성 및 낮은 용출 특성으로 의료기기 및 진단용 소모품에 널리 사용됨."/>
    <s v="Existing"/>
    <s v="GPT"/>
  </r>
  <r>
    <x v="94"/>
    <s v="A07"/>
    <s v="E05"/>
    <n v="0.3"/>
    <s v="COP"/>
    <s v="Pharmaceutical packaging"/>
    <s v="Barrier packaging"/>
    <x v="6"/>
    <s v="Secondary"/>
    <s v="수분 차단성과 화학적 안정성을 활용한 의약품 용기 및 포장재에 적용됨."/>
    <s v="Existing"/>
    <s v="GPT"/>
  </r>
  <r>
    <x v="94"/>
    <s v="A33"/>
    <s v="E05"/>
    <n v="0.3"/>
    <s v="COP"/>
    <s v="Microfluidic chips"/>
    <s v="Medical &amp; healthcare materials"/>
    <x v="6"/>
    <s v="Secondary"/>
    <s v="Lab-on-a-chip 및 체외진단(IVD)용 마이크로플루이딕 디바이스 소재로 활용됨."/>
    <s v="Existing"/>
    <s v="GPT"/>
  </r>
  <r>
    <x v="94"/>
    <s v="A41"/>
    <s v="E08"/>
    <n v="0.3"/>
    <s v="COP"/>
    <s v="Optical data storage components"/>
    <s v="Display &amp; optical materials"/>
    <x v="7"/>
    <s v="Secondary"/>
    <s v="광디스크 및 정밀 광학 부품에 적용되는 고투명 엔지니어링 플라스틱임."/>
    <s v="Existing"/>
    <s v="GPT"/>
  </r>
  <r>
    <x v="94"/>
    <s v="A41"/>
    <s v="E08"/>
    <n v="0.3"/>
    <s v="COP"/>
    <s v="Precision optical components"/>
    <s v="Display &amp; optical materials"/>
    <x v="7"/>
    <s v="Secondary"/>
    <s v="카메라 모듈, 센서, 광학 부품 등 정밀 성형이 필요한 분야에 사용됨."/>
    <s v="Existing"/>
    <s v="GPT"/>
  </r>
  <r>
    <x v="95"/>
    <s v="A20"/>
    <s v="E07"/>
    <n v="0.6"/>
    <s v="C5 Resin"/>
    <s v="Hot-melt adhesives"/>
    <s v="Adhesive bonding"/>
    <x v="4"/>
    <s v="Primary"/>
    <s v="C5 Resin의 최대 수요처로 포장 및 산업용 HMA의 대표 tackifier임."/>
    <s v="Existing"/>
    <s v="GPT"/>
  </r>
  <r>
    <x v="95"/>
    <s v="A20"/>
    <s v="E02"/>
    <n v="0.6"/>
    <s v="C5 Resin"/>
    <s v="Pressure-sensitive adhesives (PSA)"/>
    <s v="Adhesive bonding"/>
    <x v="0"/>
    <s v="Primary"/>
    <s v="테이프, 라벨, 위생용 PSA의 점착력 향상을 위한 핵심 소재임."/>
    <s v="Existing"/>
    <s v="GPT"/>
  </r>
  <r>
    <x v="95"/>
    <s v="A20"/>
    <s v="E02"/>
    <n v="0.6"/>
    <s v="C5 Resin"/>
    <s v="Hygiene adhesives"/>
    <s v="Adhesive bonding"/>
    <x v="0"/>
    <s v="Primary"/>
    <s v="기저귀, 생리대 등 위생용 접착제의 주요 tackifier로 사용됨."/>
    <s v="Existing"/>
    <s v="GPT"/>
  </r>
  <r>
    <x v="95"/>
    <s v="A19"/>
    <s v="E03"/>
    <n v="0.3"/>
    <s v="C5 Resin"/>
    <s v="Rubber compounding"/>
    <s v="Tire &amp; rubber applications"/>
    <x v="2"/>
    <s v="Secondary"/>
    <s v="고무 배합 시 tackifier 및 가공성 향상 목적으로 사용됨."/>
    <s v="Existing"/>
    <s v="GPT"/>
  </r>
  <r>
    <x v="95"/>
    <s v="A22"/>
    <s v="E01"/>
    <n v="0.3"/>
    <s v="C5 Resin"/>
    <s v="Road-marking paints"/>
    <s v="Surface coating"/>
    <x v="1"/>
    <s v="Secondary"/>
    <s v="노면표시 도료의 접착성 및 내마모성 향상에 활용됨."/>
    <s v="Existing"/>
    <s v="GPT"/>
  </r>
  <r>
    <x v="95"/>
    <s v="A22"/>
    <s v="E07"/>
    <n v="0.3"/>
    <s v="C5 Resin"/>
    <s v="Industrial coatings"/>
    <s v="Surface coating"/>
    <x v="4"/>
    <s v="Secondary"/>
    <s v="산업용 도료의 접착력과 내구성 향상에 사용됨."/>
    <s v="Existing"/>
    <s v="GPT"/>
  </r>
  <r>
    <x v="95"/>
    <s v="A23"/>
    <s v="E02"/>
    <n v="0.3"/>
    <s v="C5 Resin"/>
    <s v="Printing inks"/>
    <s v="Printing inks &amp; graphic materials"/>
    <x v="0"/>
    <s v="Secondary"/>
    <s v="인쇄잉크의 안료 분산성과 접착 특성 개선에 사용됨."/>
    <s v="Existing"/>
    <s v="GPT"/>
  </r>
  <r>
    <x v="95"/>
    <s v="A21"/>
    <s v="E01"/>
    <n v="0.3"/>
    <s v="C5 Resin"/>
    <s v="Sealants"/>
    <s v="Sealants &amp; joint protection"/>
    <x v="1"/>
    <s v="Secondary"/>
    <s v="건축 및 산업용 실란트의 점착성과 내구성을 향상시킴."/>
    <s v="Existing"/>
    <s v="GPT"/>
  </r>
  <r>
    <x v="96"/>
    <s v="A02"/>
    <s v="E07"/>
    <n v="0.6"/>
    <s v="Chlorobenzene"/>
    <s v="Nitrochlorobenzenes"/>
    <s v="Specialty chemical intermediate"/>
    <x v="4"/>
    <s v="Primary"/>
    <s v="monochlorobenzene 최대 용도이며 염료·안료·고무약품·농약·의약 중간체로 사용"/>
    <s v="Existing"/>
    <m/>
  </r>
  <r>
    <x v="96"/>
    <s v="A01"/>
    <s v="E08"/>
    <n v="0.3"/>
    <s v="Chlorobenzene"/>
    <s v="Sulfone polymers"/>
    <s v="Major chemical intermediate"/>
    <x v="7"/>
    <s v="Secondary"/>
    <s v="고내열 sulfone polymer 원료로 전기전자·의료·산업부품에 사용"/>
    <s v="Existing"/>
    <m/>
  </r>
  <r>
    <x v="96"/>
    <s v="A24"/>
    <s v="E07"/>
    <n v="0.3"/>
    <s v="Chlorobenzene"/>
    <s v="Solvent use"/>
    <s v="Solvent &amp; extraction"/>
    <x v="4"/>
    <s v="Secondary"/>
    <s v="MDI/TDI 등 isocyanate 생산 및 공정 solvent 용도"/>
    <s v="Existing"/>
    <m/>
  </r>
  <r>
    <x v="96"/>
    <s v="A02"/>
    <s v="E07"/>
    <n v="0.1"/>
    <s v="Chlorobenzene"/>
    <s v="Diphenyl ether / phenyl compounds"/>
    <s v="Specialty chemical intermediate"/>
    <x v="4"/>
    <s v="Niche / Emerging"/>
    <s v="phenyl ether 및 기타 유기합성 중간체 용도"/>
    <s v="Existing"/>
    <m/>
  </r>
  <r>
    <x v="96"/>
    <s v="A02"/>
    <s v="E07"/>
    <n v="0.3"/>
    <s v="Chlorobenzene"/>
    <s v="Organic synthesis from o-dichlorobenzene"/>
    <s v="Specialty chemical intermediate"/>
    <x v="4"/>
    <s v="Secondary"/>
    <s v="o-DCB는 농약·의약·고무보조제·안료 중간체 생산에 사용"/>
    <s v="Existing"/>
    <m/>
  </r>
  <r>
    <x v="96"/>
    <s v="A24"/>
    <s v="E07"/>
    <n v="0.1"/>
    <s v="Chlorobenzene"/>
    <s v="o-Dichlorobenzene solvent uses"/>
    <s v="Solvent &amp; extraction"/>
    <x v="4"/>
    <s v="Niche / Emerging"/>
    <s v="TDI process solvent 및 기타 solvent 용도"/>
    <s v="Existing"/>
    <m/>
  </r>
  <r>
    <x v="96"/>
    <s v="A02"/>
    <s v="E08"/>
    <n v="0.6"/>
    <s v="Chlorobenzene"/>
    <s v="Polyphenylene sulfide resin"/>
    <s v="Specialty chemical intermediate"/>
    <x v="7"/>
    <s v="Primary"/>
    <s v="p-DCB 최대 용도이며 PPS resin 생산이 2024년 p-DCB 수요의 약 62%"/>
    <s v="Existing"/>
    <m/>
  </r>
  <r>
    <x v="96"/>
    <s v="A35"/>
    <s v="E02"/>
    <n v="0.3"/>
    <s v="Chlorobenzene"/>
    <s v="Moth control"/>
    <s v="Crop protection &amp; agrochemical intermediates"/>
    <x v="0"/>
    <s v="Secondary"/>
    <s v="p-DCB의 방충제 용도이나 PPS보다 작음"/>
    <s v="Existing"/>
    <m/>
  </r>
  <r>
    <x v="96"/>
    <s v="A02"/>
    <s v="E02"/>
    <n v="0.3"/>
    <s v="Chlorobenzene"/>
    <s v="Deodorant blocks"/>
    <s v="Specialty chemical intermediate"/>
    <x v="0"/>
    <s v="Secondary"/>
    <s v="p-DCB의 실내 deodorant block 용도"/>
    <s v="Existing"/>
    <m/>
  </r>
  <r>
    <x v="96"/>
    <s v="A02"/>
    <s v="E07"/>
    <n v="0.1"/>
    <s v="Chlorobenzene"/>
    <s v="Herbicide intermediates / dicamba"/>
    <s v="Specialty chemical intermediate"/>
    <x v="4"/>
    <s v="Niche / Emerging"/>
    <s v="규제 영향이 있는 소량 농약 중간체 용도"/>
    <s v="Existing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3925BB-4BD8-4269-8C11-DB98F6CC63B1}" name="피벗 테이블3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I1:J32" firstHeaderRow="1" firstDataRow="1" firstDataCol="1"/>
  <pivotFields count="12">
    <pivotField showAll="0"/>
    <pivotField showAll="0"/>
    <pivotField axis="axisRow" showAll="0">
      <items count="31">
        <item x="13"/>
        <item x="9"/>
        <item x="7"/>
        <item x="8"/>
        <item x="5"/>
        <item x="24"/>
        <item x="12"/>
        <item x="1"/>
        <item x="29"/>
        <item x="21"/>
        <item x="19"/>
        <item x="20"/>
        <item x="10"/>
        <item x="4"/>
        <item x="22"/>
        <item x="26"/>
        <item x="25"/>
        <item x="3"/>
        <item x="27"/>
        <item x="23"/>
        <item x="28"/>
        <item x="14"/>
        <item x="2"/>
        <item x="18"/>
        <item x="16"/>
        <item x="0"/>
        <item x="15"/>
        <item x="6"/>
        <item x="17"/>
        <item x="1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176" showAll="0"/>
    <pivotField showAll="0"/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Items count="1">
    <i/>
  </colItems>
  <dataFields count="1">
    <dataField name="평균 : Compound annual growth rate. 2025-30(percent)" fld="10" subtotal="average" baseField="2" baseItem="0" numFmtId="176"/>
  </dataFields>
  <pivotTableStyleInfo name="PivotStyleMedium1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CE4802-ACA6-4692-B1A3-5FA05EB3F6C1}" name="피벗 테이블1" cacheId="6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3:J102" firstHeaderRow="1" firstDataRow="2" firstDataCol="1"/>
  <pivotFields count="12">
    <pivotField axis="axisRow" showAll="0" sortType="ascending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m="1" x="97"/>
        <item t="default"/>
      </items>
    </pivotField>
    <pivotField showAll="0"/>
    <pivotField showAll="0"/>
    <pivotField dataField="1" showAll="0"/>
    <pivotField showAll="0"/>
    <pivotField showAll="0"/>
    <pivotField showAll="0"/>
    <pivotField axis="axisCol" showAll="0">
      <items count="9">
        <item x="5"/>
        <item x="2"/>
        <item x="1"/>
        <item x="0"/>
        <item x="7"/>
        <item x="3"/>
        <item x="6"/>
        <item x="4"/>
        <item t="default"/>
      </items>
    </pivotField>
    <pivotField showAll="0"/>
    <pivotField showAll="0"/>
    <pivotField showAll="0"/>
    <pivotField showAll="0"/>
  </pivotFields>
  <rowFields count="1">
    <field x="0"/>
  </rowFields>
  <rowItems count="9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 t="grand">
      <x/>
    </i>
  </rowItems>
  <colFields count="1">
    <field x="7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최대 : rating" fld="3" subtotal="max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530B706F-C51C-4CDC-92A6-7B6E45E871DA}" name="표22" displayName="표22" ref="A1:I105" totalsRowShown="0" headerRowBorderDxfId="131" tableBorderDxfId="130">
  <autoFilter ref="A1:I105" xr:uid="{530B706F-C51C-4CDC-92A6-7B6E45E871DA}"/>
  <tableColumns count="9">
    <tableColumn id="1" xr3:uid="{DDA9AB28-35A4-49AF-A183-A0AAC64BE1E4}" name="no" dataDxfId="129" dataCellStyle="표준 3 2"/>
    <tableColumn id="2" xr3:uid="{AAFAE3E8-CD6E-43C5-8430-6D4D1CDC6FD9}" name="group_name" dataDxfId="128" dataCellStyle="표준 3 2"/>
    <tableColumn id="3" xr3:uid="{C7A43BAB-A79E-4FFB-8505-AD2B52B59C40}" name="material" dataDxfId="127" dataCellStyle="표준 3 2"/>
    <tableColumn id="4" xr3:uid="{00F9D538-0E8F-465C-A26A-069D2368CD41}" name="exsting_value" dataDxfId="126" dataCellStyle="표준 3 2"/>
    <tableColumn id="5" xr3:uid="{3DE61DB2-3B63-46C0-9DDF-B4A75860A463}" name="market_growth_stage" dataDxfId="125" dataCellStyle="표준 3 2"/>
    <tableColumn id="6" xr3:uid="{9A33D134-1639-4E17-B687-F734D0D62055}" name="supply/demand" dataDxfId="124" dataCellStyle="표준 3 2"/>
    <tableColumn id="7" xr3:uid="{2EE7F990-842F-40FB-AC53-100264AD1FBE}" name="Total" dataDxfId="123" dataCellStyle="표준 3 2"/>
    <tableColumn id="8" xr3:uid="{3E046D68-2771-4E5E-BE98-D61AC59DBEA9}" name="existing value &amp; market growth Rating 사유" dataDxfId="122" dataCellStyle="표준 3 2"/>
    <tableColumn id="9" xr3:uid="{08713A8C-04C9-4596-B351-B6BBCAA8FD26}" name="Supply/Demand Rating 사유" dataDxfId="121" dataCellStyle="표준 3 2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B81482A6-D545-4E00-ABD3-80AE285CD32A}" name="SupplyStructureTable" displayName="SupplyStructureTable" ref="A4:L108">
  <autoFilter ref="A4:L108" xr:uid="{00000000-000C-0000-FFFF-FFFF00000000}"/>
  <tableColumns count="12">
    <tableColumn id="1" xr3:uid="{CD872696-AB48-422A-95CE-03A31A688635}" name="No."/>
    <tableColumn id="2" xr3:uid="{B28483C5-84D7-41E7-B341-523CF6B7393E}" name="group_name"/>
    <tableColumn id="3" xr3:uid="{68FA2825-1E96-4F13-BDDB-D8CAA101D9A2}" name="material"/>
    <tableColumn id="4" xr3:uid="{F47C11D2-2373-454E-AEFE-03D60EEF2C13}" name="① 공급 부족 또는_x000a_타이트한 시장"/>
    <tableColumn id="5" xr3:uid="{008FF346-8E0F-4642-AADE-AAEC297F23E2}" name="② 신규 증설_x000a_계획 없음"/>
    <tableColumn id="6" xr3:uid="{919E5C45-4E58-4829-872A-37B0EB78DFBD}" name="③ 중국 저가 경쟁_x000a_대상 아님"/>
    <tableColumn id="7" xr3:uid="{FA6FCD8C-2125-405C-B5BD-86F901F4040E}" name="④ 국내 수입_x000a_의존도 높음"/>
    <tableColumn id="8" xr3:uid="{E0148622-DE9E-4C83-BB1F-F9D8683CF7BF}" name="O 개수">
      <calculatedColumnFormula>COUNTIF(D5:G5,"O")</calculatedColumnFormula>
    </tableColumn>
    <tableColumn id="9" xr3:uid="{B4B0BFC3-3CAE-46AB-9D4C-5D0234EB3B7A}" name="산업 수급_x000a_구조 점수">
      <calculatedColumnFormula>IF(H5&gt;=3,25,IF(H5=2,18,IF(H5=1,12,0)))</calculatedColumnFormula>
    </tableColumn>
    <tableColumn id="10" xr3:uid="{5DB7ABEF-F7FA-4DFA-938A-FC7549B151A8}" name="평가 메모"/>
    <tableColumn id="11" xr3:uid="{D0190FD6-6254-4AC1-8C2B-78571560FB71}" name="확신도"/>
    <tableColumn id="12" xr3:uid="{686408DB-368E-47E3-96E3-47C9A7FDE060}" name="Source ID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D2637BD-BCB9-432E-8A39-A9AD6A9F2DC7}" name="ValueChainRatingTable" displayName="ValueChainRatingTable" ref="A5:O109">
  <tableColumns count="15">
    <tableColumn id="1" xr3:uid="{DF932893-B161-4660-B370-1A8A99A0B91D}" name="No."/>
    <tableColumn id="2" xr3:uid="{0F99042A-153D-4096-8F83-E060EB240265}" name="group_name"/>
    <tableColumn id="3" xr3:uid="{B816D086-701F-49D8-A8D4-7083181D8EFD}" name="material"/>
    <tableColumn id="4" xr3:uid="{C0030AC4-4C4F-4786-BF37-D6C8F30F682A}" name="① 기존 Olefin/_x000a_Aromatics Chain 기반"/>
    <tableColumn id="5" xr3:uid="{DCF2ABC5-275C-4197-83D3-BAAF1C29EE6F}" name="② 기존 Intermediate_x000a_활용 가능"/>
    <tableColumn id="6" xr3:uid="{72FEC1B5-C4E1-4776-8FA6-4D24168677B6}" name="③ 기존 부산물_x000a_활용 가능"/>
    <tableColumn id="7" xr3:uid="{51B53931-546D-4CD0-AF7C-E2197DC9474A}" name="④ 기존 Downstream_x000a_확장 가능"/>
    <tableColumn id="8" xr3:uid="{3745E3CD-DB6D-466A-B3E3-0BFC1400CB9C}" name="⑤ 기존 사업 Portfolio와_x000a_전략적 연계성"/>
    <tableColumn id="9" xr3:uid="{0AF77121-993B-4EB2-A08A-2426F3C45DDB}" name="O 개수">
      <calculatedColumnFormula>COUNTIF(D6:H6,"O")</calculatedColumnFormula>
    </tableColumn>
    <tableColumn id="10" xr3:uid="{9C6AE7DB-E866-4086-91A8-73E584458A45}" name="재평가_x000a_점수">
      <calculatedColumnFormula>IF(I6&gt;=3,50,IF(I6=2,35,IF(I6=1,20,0)))</calculatedColumnFormula>
    </tableColumn>
    <tableColumn id="11" xr3:uid="{126956A7-9C09-42BD-BEBB-4EFAD6907DB7}" name="기존_x000a_점수"/>
    <tableColumn id="12" xr3:uid="{3E12F479-F57D-4496-8126-499C42CCAC51}" name="증감">
      <calculatedColumnFormula>J6-K6</calculatedColumnFormula>
    </tableColumn>
    <tableColumn id="13" xr3:uid="{B9CEBEE6-80DF-41E6-BCC0-D8DA8D92A097}" name="비교">
      <calculatedColumnFormula>IF(L6&gt;0,"상향",IF(L6&lt;0,"하향","유지"))</calculatedColumnFormula>
    </tableColumn>
    <tableColumn id="14" xr3:uid="{3E0F3555-ACD9-4B87-8DBA-D72BFCF6E4EB}" name="평가 메모"/>
    <tableColumn id="15" xr3:uid="{4402D00A-C6C0-49EF-8BFA-6F826D15614C}" name="Source I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781E496-F011-4BF1-B4F1-EF14C6814381}" name="표15" displayName="표15" ref="A1:B9" totalsRowShown="0" headerRowDxfId="120" dataDxfId="119" tableBorderDxfId="118">
  <autoFilter ref="A1:B9" xr:uid="{D781E496-F011-4BF1-B4F1-EF14C6814381}"/>
  <tableColumns count="2">
    <tableColumn id="2" xr3:uid="{07429BBA-88CE-44DE-B899-A184885C1CB7}" name="importance" dataDxfId="117"/>
    <tableColumn id="1" xr3:uid="{B766376D-DCE6-4A02-8926-B883E8CCEBE7}" name="rating" dataDxfId="116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FF53968-A914-4DB2-AAD1-447BA460FD68}" name="표13" displayName="표13" ref="A1:G9" totalsRowShown="0">
  <autoFilter ref="A1:G9" xr:uid="{A3629784-5B0D-400E-BE2A-21DC7C402C85}"/>
  <tableColumns count="7">
    <tableColumn id="1" xr3:uid="{C2596AF5-5570-4FCF-9A35-FAA5F194D0C0}" name="end_use_id"/>
    <tableColumn id="2" xr3:uid="{CA8FFC6B-67B2-40DC-9B03-B312CCB7BDBA}" name="end_use_category"/>
    <tableColumn id="4" xr3:uid="{137F184B-8905-4ED3-9EB5-31BEB0720247}" name="Chemical Related Demand"/>
    <tableColumn id="7" xr3:uid="{23E40D7E-C1FA-414A-9BFA-25337DED0539}" name="specialty_linkage_score" dataDxfId="115" dataCellStyle="백분율">
      <calculatedColumnFormula>end_use_specialty!E76</calculatedColumnFormula>
    </tableColumn>
    <tableColumn id="13" xr3:uid="{83D78906-3158-40E2-8E26-8AC56993D171}" name="national_tech_score" dataDxfId="114" dataCellStyle="백분율"/>
    <tableColumn id="14" xr3:uid="{F9E0219F-08E6-4FAD-8949-5D5C1BAECEA9}" name="ind_growth_score" dataDxfId="113" dataCellStyle="백분율"/>
    <tableColumn id="15" xr3:uid="{9A21A744-ADD5-4F38-A114-CE03BC43D90F}" name="end_use_att" dataDxfId="112" dataCellStyle="백분율">
      <calculatedColumnFormula>AVERAGE(표13[[#This Row],[specialty_linkage_score]:[ind_growth_score]])</calculatedColumnFormula>
    </tableColumn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2A604B4-0D26-4520-A680-5E3261162202}" name="표16" displayName="표16" ref="A1:E73" totalsRowShown="0" tableBorderDxfId="111">
  <autoFilter ref="A1:E73" xr:uid="{12A604B4-0D26-4520-A680-5E3261162202}"/>
  <tableColumns count="5">
    <tableColumn id="1" xr3:uid="{E307644B-7769-4B00-AF49-587030AF95E9}" name="end_use_id" dataDxfId="110" dataCellStyle="표준 2"/>
    <tableColumn id="2" xr3:uid="{FCD28573-3C57-4F23-9DD1-B8D5E08E4EF2}" name="end_use_category" dataDxfId="109" dataCellStyle="표준 4"/>
    <tableColumn id="3" xr3:uid="{AEB59E5A-2B85-4911-9E32-F90326DDFF51}" name="specialty_category" dataDxfId="108" dataCellStyle="표준 4"/>
    <tableColumn id="5" xr3:uid="{79F56B37-E47B-4E85-B562-19401FF7DF94}" name="specialty_cagr" dataDxfId="107" dataCellStyle="백분율">
      <calculatedColumnFormula>_xlfn.XLOOKUP(표16[[#This Row],[specialty_category]],end_use_specialty!$I$2:$I$31,end_use_specialty!$J$2:$J$31)</calculatedColumnFormula>
    </tableColumn>
    <tableColumn id="4" xr3:uid="{0DC6826C-9332-4D66-992C-996C84258691}" name="Linkage 사유" dataDxfId="106" dataCellStyle="표준 2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071211B-3E36-45EF-901E-41A2182A697B}" name="표11" displayName="표11" ref="A1:C44" totalsRowShown="0" dataDxfId="40">
  <autoFilter ref="A1:C44" xr:uid="{33331F66-177F-429F-85B1-CE07EBD8D43B}"/>
  <tableColumns count="3">
    <tableColumn id="1" xr3:uid="{8B41F2F0-2BCE-48C4-838B-80588241B4C9}" name="app_id" dataDxfId="43"/>
    <tableColumn id="3" xr3:uid="{DE19AF1C-C297-4A45-8828-6EF79C697BB3}" name="application_taxonomy" dataDxfId="42"/>
    <tableColumn id="2" xr3:uid="{A8492B44-4E6A-4510-B403-61289954D7ED}" name="Definition" dataDxfId="41"/>
  </tableColumns>
  <tableStyleInfo name="TableStyleLight8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8A5C83E-495B-493D-B6D0-51BED0BD38A3}" name="표14" displayName="표14" ref="A1:L466" totalsRowShown="0" headerRowDxfId="105" dataDxfId="104" tableBorderDxfId="103">
  <autoFilter ref="A1:L466" xr:uid="{9722DC59-06CA-4E58-BD6A-FB001A829D71}"/>
  <sortState xmlns:xlrd2="http://schemas.microsoft.com/office/spreadsheetml/2017/richdata2" ref="A2:L466">
    <sortCondition ref="A1:A466"/>
  </sortState>
  <tableColumns count="12">
    <tableColumn id="1" xr3:uid="{404575C4-C698-4AC3-90AD-13EA31B63821}" name="material_id" dataDxfId="102">
      <calculatedColumnFormula>_xlfn.XLOOKUP(표14[[#This Row],[material_name]],표2[material_name],표2[material_id])</calculatedColumnFormula>
    </tableColumn>
    <tableColumn id="2" xr3:uid="{FB7A857B-74EF-4DB9-B359-5D0F90E73AAC}" name="app_id" dataDxfId="101">
      <calculatedColumnFormula>_xlfn.XLOOKUP(표14[[#This Row],[application_taxonomy]],표11[application_taxonomy],표11[app_id])</calculatedColumnFormula>
    </tableColumn>
    <tableColumn id="3" xr3:uid="{89B189D2-FF9D-437E-87B7-D29917E38628}" name="end_use_id" dataDxfId="100">
      <calculatedColumnFormula>_xlfn.XLOOKUP(표14[[#This Row],[end_use_industry]],표13[end_use_category],표13[end_use_id])</calculatedColumnFormula>
    </tableColumn>
    <tableColumn id="4" xr3:uid="{200525FC-1C48-41B0-B935-94068CA4C342}" name="rating" dataDxfId="99">
      <calculatedColumnFormula>_xlfn.XLOOKUP(표14[[#This Row],[importance]],표15[importance],표15[rating])</calculatedColumnFormula>
    </tableColumn>
    <tableColumn id="5" xr3:uid="{6681753E-433F-4C30-B6B2-45264439F10E}" name="material_name" dataDxfId="98"/>
    <tableColumn id="6" xr3:uid="{19954F7D-7822-43F2-8FDD-2747603FE17B}" name="raw application" dataDxfId="97"/>
    <tableColumn id="7" xr3:uid="{457CC324-CDFA-4622-9DF0-CA6772E31903}" name="application_taxonomy" dataDxfId="96"/>
    <tableColumn id="8" xr3:uid="{6C506EAC-22B5-476F-BF24-9DA1E2088AF8}" name="end_use_industry" dataDxfId="95"/>
    <tableColumn id="9" xr3:uid="{7ABDFBE6-2ACE-4D8B-B686-080503695AF8}" name="importance" dataDxfId="94"/>
    <tableColumn id="10" xr3:uid="{B8D741CD-E9AA-4BB5-B14C-4B1A8D19B142}" name="reasoning" dataDxfId="93"/>
    <tableColumn id="11" xr3:uid="{DAB308CC-096A-4D41-BC64-21462D4CFE49}" name="taxonomy_action" dataDxfId="92"/>
    <tableColumn id="12" xr3:uid="{49363576-BB28-413D-85BB-4DFBC929D91B}" name="source" dataDxfId="91"/>
  </tableColumns>
  <tableStyleInfo name="TableStyleLight8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F71A37DB-9437-4272-BDF6-72403D6D3A6E}" name="표19" displayName="표19" ref="L4:O101" totalsRowShown="0">
  <autoFilter ref="L4:O101" xr:uid="{F71A37DB-9437-4272-BDF6-72403D6D3A6E}"/>
  <tableColumns count="4">
    <tableColumn id="1" xr3:uid="{3DAC6EF5-2169-44B8-A37C-592A7EF24811}" name="material_id" dataDxfId="90"/>
    <tableColumn id="2" xr3:uid="{D1842A8A-3622-4F9B-BCB2-A456C1BACD30}" name="material_name" dataDxfId="89">
      <calculatedColumnFormula>_xlfn.XLOOKUP(L5,표2[material_id],표2[material_name])</calculatedColumnFormula>
    </tableColumn>
    <tableColumn id="4" xr3:uid="{ACBABB3B-A8B3-4DB5-BB5E-80E527597E87}" name="end_use" dataDxfId="88">
      <calculatedColumnFormula>SUMPRODUCT($B$1:$I$1,B5:I5)</calculatedColumnFormula>
    </tableColumn>
    <tableColumn id="3" xr3:uid="{204631ED-2DA8-4150-B478-E7F43862FBE2}" name="end_use_att" dataDxfId="87">
      <calculatedColumnFormula>(표19[[#This Row],[end_use]]-MIN(표19[end_use]))/(MAX(표19[end_use])-MIN(표19[end_use]))*100</calculatedColumnFormula>
    </tableColumn>
  </tableColumns>
  <tableStyleInfo name="TableStyleLight8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73AD9D7F-BD6F-49CE-B1C4-89485E10CD5F}" name="Group" displayName="Group" ref="A1:J104" totalsRowShown="0">
  <autoFilter ref="A1:J104" xr:uid="{73AD9D7F-BD6F-49CE-B1C4-89485E10CD5F}"/>
  <sortState xmlns:xlrd2="http://schemas.microsoft.com/office/spreadsheetml/2017/richdata2" ref="A2:J104">
    <sortCondition descending="1" ref="J1:J104"/>
  </sortState>
  <tableColumns count="10">
    <tableColumn id="1" xr3:uid="{29928A21-E098-47E5-BE0F-4ED11D21FBFB}" name="group_id"/>
    <tableColumn id="2" xr3:uid="{6ED43E3D-91C1-4A8B-B8FF-F2DE67E7250C}" name="group_name"/>
    <tableColumn id="3" xr3:uid="{264BCEC1-1CB7-4664-AA4D-6CCFB501FD86}" name="material"/>
    <tableColumn id="4" xr3:uid="{FEFC61BF-EA1B-4482-BB0E-D48905938698}" name="material_id" dataDxfId="136">
      <calculatedColumnFormula>_xlfn.XLOOKUP(Group[[#This Row],[material]],표2[material_name],표2[material_id])</calculatedColumnFormula>
    </tableColumn>
    <tableColumn id="14" xr3:uid="{716E4AC3-B23A-48E7-B507-1E5E4A3683CA}" name="starting_material"/>
    <tableColumn id="12" xr3:uid="{1112BEB8-9E8B-4D75-A112-E3DCF8DEB58C}" name="root_material"/>
    <tableColumn id="5" xr3:uid="{67C8AE65-7C2C-4768-8FCA-A75DBB00AB64}" name="end_use_att" dataDxfId="135" dataCellStyle="쉼표 [0]">
      <calculatedColumnFormula>_xlfn.XLOOKUP(Group[[#This Row],[material_id]],표19[material_id],표19[end_use_att])</calculatedColumnFormula>
    </tableColumn>
    <tableColumn id="8" xr3:uid="{38F91168-B3C8-45CF-A813-458C997EC149}" name="supply_value_overall_score" dataDxfId="134">
      <calculatedColumnFormula>_xlfn.XLOOKUP(Group[[#This Row],[material]],표22[material],표22[Total])</calculatedColumnFormula>
    </tableColumn>
    <tableColumn id="6" xr3:uid="{9AC4478A-AA29-4347-8E3D-CD76F458B52B}" name="total_score" dataDxfId="133" dataCellStyle="표준 3">
      <calculatedColumnFormula>Group[[#This Row],[end_use_att]]+Group[[#This Row],[supply_value_overall_score]]</calculatedColumnFormula>
    </tableColumn>
    <tableColumn id="9" xr3:uid="{646A44C9-5CD4-4AE5-AA3F-4CDD5F0CDD77}" name="group_score" dataDxfId="132"/>
  </tableColumns>
  <tableStyleInfo name="TableStyleLight8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7582297-2DA2-47FE-AD50-F08B7BB6AE38}" name="표17" displayName="표17" ref="A1:M291" totalsRowShown="0" headerRowDxfId="86" headerRowBorderDxfId="85" tableBorderDxfId="84" headerRowCellStyle="phx-HL-cell">
  <autoFilter ref="A1:M291" xr:uid="{075248FB-6205-440B-81B6-58912683CF7F}"/>
  <tableColumns count="13">
    <tableColumn id="1" xr3:uid="{635975B3-4727-46AC-938A-1B62B82E3F0C}" name="No" dataDxfId="83" dataCellStyle="표준 2"/>
    <tableColumn id="2" xr3:uid="{9201BF6C-4FB3-46C4-87FF-7B41928A00FC}" name="Category" dataDxfId="82" dataCellStyle="표준 2"/>
    <tableColumn id="3" xr3:uid="{CE49A42A-640E-449F-A72A-38F668717377}" name="Category2" dataDxfId="81" dataCellStyle="phx-level1"/>
    <tableColumn id="4" xr3:uid="{0F311C06-E17C-4408-8E98-120523F3860D}" name="Category3" dataDxfId="80" dataCellStyle="phx-level1"/>
    <tableColumn id="5" xr3:uid="{B5854F82-1E57-4E9A-8692-03EB9CEBAFE0}" name="Category4" dataDxfId="79" dataCellStyle="phx-level1"/>
    <tableColumn id="6" xr3:uid="{FE7165CE-B94B-450D-805B-CB574CFD6DE5}" name="Main product" dataDxfId="78" dataCellStyle="phx-level1"/>
    <tableColumn id="7" xr3:uid="{DFDDA3F3-C744-4C94-BA4D-0A307B2EEFF8}" name="Starting Material" dataDxfId="77" dataCellStyle="phx-level1"/>
    <tableColumn id="8" xr3:uid="{2F881BF8-3508-4633-AF14-21555AC87695}" name="Petrochemical 연관성" dataDxfId="76" dataCellStyle="phx-level1"/>
    <tableColumn id="9" xr3:uid="{6F208449-2371-4BAD-848C-B88D7ECC2828}" name="Intermediate" dataDxfId="75" dataCellStyle="phx-level1"/>
    <tableColumn id="10" xr3:uid="{E6B9D4E7-48E6-4881-BAE4-6244F1CC4517}" name="main petrochemical chain" dataDxfId="74" dataCellStyle="phx-level1"/>
    <tableColumn id="11" xr3:uid="{58B24955-AEB3-42A5-939E-CF94CE465516}" name="Compound annual growth rate. 2025-30(percent)" dataDxfId="73" dataCellStyle="phx-HL-row"/>
    <tableColumn id="12" xr3:uid="{D18A3AD3-AD51-47CC-814A-3AE63D58ABA4}" name="Selected" dataDxfId="72" dataCellStyle="phx-HL-row"/>
    <tableColumn id="13" xr3:uid="{5AF1C0FF-25F9-46A5-8DC6-A4B239579288}" name="related_chemical" dataDxfId="71" dataCellStyle="표준 2"/>
  </tableColumns>
  <tableStyleInfo name="TableStyleLight8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A5DC12-C774-4094-B2D2-06384F4F2631}" name="표2" displayName="표2" ref="A1:M115" totalsRowShown="0">
  <autoFilter ref="A1:M115" xr:uid="{58A5DC12-C774-4094-B2D2-06384F4F2631}"/>
  <sortState xmlns:xlrd2="http://schemas.microsoft.com/office/spreadsheetml/2017/richdata2" ref="A2:I100">
    <sortCondition ref="A1:A100"/>
  </sortState>
  <tableColumns count="13">
    <tableColumn id="1" xr3:uid="{8A7558A9-C918-4FAF-8C33-C287BE025DB3}" name="material_id"/>
    <tableColumn id="3" xr3:uid="{8A85F034-DF3B-44C9-9E51-50661E5D53C1}" name="material_group"/>
    <tableColumn id="2" xr3:uid="{E0883773-7DC7-45AF-85B7-C29E7A5E523F}" name="material_name"/>
    <tableColumn id="4" xr3:uid="{FDE30E60-A954-4DB9-B9CC-46226569A71D}" name="material_type"/>
    <tableColumn id="9" xr3:uid="{0F38773D-F594-4DBC-8917-4B8808F1AD7E}" name="material_subtype"/>
    <tableColumn id="7" xr3:uid="{4B78A951-8AF0-41A8-98E7-8C29CB511FB6}" name="vertical_order"/>
    <tableColumn id="8" xr3:uid="{0AD4DE31-52F7-4670-BFBF-41E8DCC216A0}" name="hsk10"/>
    <tableColumn id="5" xr3:uid="{5B491150-7223-4258-8F0C-406EC97FB36E}" name="remarks"/>
    <tableColumn id="6" xr3:uid="{4DA2D092-D5C9-4CCE-BBFA-F99BD80AF685}" name="visual_exclude"/>
    <tableColumn id="10" xr3:uid="{925D3F41-3914-46A8-9F69-B92C586609FC}" name="ccma_snp" dataDxfId="70">
      <calculatedColumnFormula>IF(COUNTIF(CCMA[material_name],C2)&gt;0,"O","X")</calculatedColumnFormula>
    </tableColumn>
    <tableColumn id="12" xr3:uid="{93B51012-202A-4AA2-9502-E78CB81A3A2A}" name="ceh_ceh" dataDxfId="69">
      <calculatedColumnFormula>IF(COUNTIF(CEH[material_name],C2)&gt;0,"O","X")</calculatedColumnFormula>
    </tableColumn>
    <tableColumn id="13" xr3:uid="{5E535D01-78A1-4170-A236-8FA6ABD47942}" name="has_supplier" dataDxfId="68">
      <calculatedColumnFormula>IF(COUNTIF(표8[material_id],표2[[#This Row],[material_id]])&gt;0, "O", "X")</calculatedColumnFormula>
    </tableColumn>
    <tableColumn id="11" xr3:uid="{9578C6A0-EFFC-42E9-A615-2CA6F106D856}" name="is_ulsan" dataDxfId="67">
      <calculatedColumnFormula>IF(COUNTIFS(표8[material_id],표2[[#This Row],[material_id]],표8[location],"울산")&gt;0, "O", "X")</calculatedColumnFormula>
    </tableColumn>
  </tableColumns>
  <tableStyleInfo name="TableStyleLight8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218A6AD-F328-4A1F-A40F-562BCA5E0481}" name="표1" displayName="표1" ref="A1:E104" totalsRowShown="0">
  <autoFilter ref="A1:E104" xr:uid="{8218A6AD-F328-4A1F-A40F-562BCA5E0481}"/>
  <tableColumns count="5">
    <tableColumn id="1" xr3:uid="{AF938E6E-C78E-4989-A143-981F636038A6}" name="route_id"/>
    <tableColumn id="2" xr3:uid="{50E61679-5C9C-455A-95D3-37527A15BDC8}" name="route_name"/>
    <tableColumn id="3" xr3:uid="{EA129095-8D23-449D-B378-8AF5AA2E0F46}" name="route_category"/>
    <tableColumn id="4" xr3:uid="{FC3E48C6-9905-4F7B-9595-24504BD2F997}" name="route_depth"/>
    <tableColumn id="5" xr3:uid="{C4E251BD-66F9-4D13-BF11-F67A75568D77}" name="remarks"/>
  </tableColumns>
  <tableStyleInfo name="TableStyleLight8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19F947D-5803-497C-B347-524BAFE83880}" name="표3" displayName="표3" ref="A1:E119" totalsRowShown="0">
  <autoFilter ref="A1:E119" xr:uid="{319F947D-5803-497C-B347-524BAFE83880}"/>
  <tableColumns count="5">
    <tableColumn id="1" xr3:uid="{37B4BF0E-EF23-494D-81CC-3F6E2B985A80}" name="route_id"/>
    <tableColumn id="2" xr3:uid="{F6F34623-0A9E-4A1B-B06B-612FA79053FF}" name="material_id"/>
    <tableColumn id="3" xr3:uid="{56A39D93-A516-4295-A833-A4C2E69FFC0C}" name="input_role"/>
    <tableColumn id="4" xr3:uid="{1C7DE01B-BFE2-432E-9490-D7A952429FCC}" name="seq_no"/>
    <tableColumn id="5" xr3:uid="{937F011F-D425-41A6-A77E-AFB0CF8DA572}" name="remarks"/>
  </tableColumns>
  <tableStyleInfo name="TableStyleLight8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E0509C7-E76F-4AAE-A013-BED08697F5A0}" name="표4" displayName="표4" ref="A1:E105" totalsRowShown="0">
  <autoFilter ref="A1:E105" xr:uid="{AE0509C7-E76F-4AAE-A013-BED08697F5A0}"/>
  <tableColumns count="5">
    <tableColumn id="1" xr3:uid="{172ED76C-8FE1-403B-B64B-006301660189}" name="route_id"/>
    <tableColumn id="2" xr3:uid="{CD7417C0-560D-4558-A022-474C0791BFCE}" name="material_id"/>
    <tableColumn id="3" xr3:uid="{44AE08DB-D698-4D71-8000-EA44350ADC14}" name="output_role"/>
    <tableColumn id="4" xr3:uid="{2612E33D-CD63-4AA6-8239-2A07DD79CB22}" name="seq_no"/>
    <tableColumn id="5" xr3:uid="{8F948AA9-1B4F-42BA-80C1-3ED2585BDC6B}" name="remarks"/>
  </tableColumns>
  <tableStyleInfo name="TableStyleLight8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485BB3-AE31-494A-94C2-315F7035CD0B}" name="표6" displayName="표6" ref="A1:C29" totalsRowShown="0">
  <autoFilter ref="A1:C29" xr:uid="{72485BB3-AE31-494A-94C2-315F7035CD0B}"/>
  <tableColumns count="3">
    <tableColumn id="1" xr3:uid="{9B2CB656-A8E3-4741-9BBA-0FC866906D90}" name="licensor_id"/>
    <tableColumn id="2" xr3:uid="{365D2B6A-0A5A-4666-94FB-D6A372A34616}" name="licensor_name"/>
    <tableColumn id="3" xr3:uid="{3A3EC351-59CA-47FA-85B3-DBCDB6193653}" name="remarks"/>
  </tableColumns>
  <tableStyleInfo name="TableStyleLight8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680B997-BCC4-46D6-8AD7-34F304E1EBEC}" name="표5" displayName="표5" ref="A1:C59" totalsRowShown="0">
  <autoFilter ref="A1:C59" xr:uid="{2680B997-BCC4-46D6-8AD7-34F304E1EBEC}"/>
  <tableColumns count="3">
    <tableColumn id="1" xr3:uid="{D8B171A9-42A8-4A07-B62D-03279BCC372A}" name="route_id"/>
    <tableColumn id="2" xr3:uid="{0E32030E-C5E7-45E2-886D-44821472BFEA}" name="licensor_id"/>
    <tableColumn id="3" xr3:uid="{E69AEDA7-4546-4335-A61C-BE321F798C90}" name="remarks"/>
  </tableColumns>
  <tableStyleInfo name="TableStyleLight8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88D0145-3F75-4766-8F22-2B7F213A0A0E}" name="표7" displayName="표7" ref="A1:C61" totalsRowShown="0" headerRowDxfId="66" tableBorderDxfId="65">
  <autoFilter ref="A1:C61" xr:uid="{988D0145-3F75-4766-8F22-2B7F213A0A0E}"/>
  <tableColumns count="3">
    <tableColumn id="1" xr3:uid="{6BB3C325-E378-494B-8658-DFA03BEE5EC2}" name="supplier_id" dataDxfId="64"/>
    <tableColumn id="2" xr3:uid="{DEA6BFD5-F301-478A-8C32-60D29F64785D}" name="supplier_name"/>
    <tableColumn id="3" xr3:uid="{BC1D1EDC-ADC4-4D1E-A0A8-CF82814F5708}" name="remark"/>
  </tableColumns>
  <tableStyleInfo name="TableStyleLight8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FFBAFCB-1352-4E9C-9D70-4E9F53000FD3}" name="표8" displayName="표8" ref="A1:K288" totalsRowShown="0" headerRowDxfId="9" tableBorderDxfId="8">
  <autoFilter ref="A1:K288" xr:uid="{6FFBAFCB-1352-4E9C-9D70-4E9F53000FD3}"/>
  <sortState xmlns:xlrd2="http://schemas.microsoft.com/office/spreadsheetml/2017/richdata2" ref="A2:J274">
    <sortCondition ref="A1:A274"/>
  </sortState>
  <tableColumns count="11">
    <tableColumn id="1" xr3:uid="{12F0CAA4-2E26-489B-9552-16FE76A428C0}" name="material_id" dataDxfId="7"/>
    <tableColumn id="2" xr3:uid="{42641D2C-48F0-4482-B991-D8C701A4A414}" name="supplier_id" dataDxfId="6"/>
    <tableColumn id="7" xr3:uid="{C853D5F4-B3FC-4FCD-9DF9-05F850CC01BB}" name="회사명" dataDxfId="5">
      <calculatedColumnFormula>_xlfn.XLOOKUP(표8[[#This Row],[supplier_id]],표7[supplier_id],표7[supplier_name])</calculatedColumnFormula>
    </tableColumn>
    <tableColumn id="4" xr3:uid="{7C63F152-DC19-490F-BEE8-B2DDA5A0A3C6}" name="estimated_capacity" dataDxfId="4"/>
    <tableColumn id="9" xr3:uid="{79A6CA5E-5ABE-473D-A0BF-3AD3ED75DDBE}" name="capacity_unit" dataDxfId="3"/>
    <tableColumn id="3" xr3:uid="{0715DE87-36F5-4FBB-8E82-58C22846AD76}" name="location" dataDxfId="2"/>
    <tableColumn id="5" xr3:uid="{1CD33AA1-B102-4408-AF4D-6DF4634950F5}" name="source_type"/>
    <tableColumn id="10" xr3:uid="{75C980CA-1009-4854-A174-027876A8AF39}" name="source_year"/>
    <tableColumn id="6" xr3:uid="{D155A232-0361-4D95-A82D-5D68EA1F8A6B}" name="remarks"/>
    <tableColumn id="8" xr3:uid="{2597EEED-74B4-4F55-A6A9-3167AC8A0B12}" name="lat" dataDxfId="1">
      <calculatedColumnFormula>_xlfn.XLOOKUP(표8[[#This Row],[location]],Location[location],Location[lat])</calculatedColumnFormula>
    </tableColumn>
    <tableColumn id="11" xr3:uid="{75D75747-142D-4F13-832B-DCB2C00DFDD5}" name="lon" dataDxfId="0">
      <calculatedColumnFormula>_xlfn.XLOOKUP(표8[[#This Row],[location]],Location[location],Location[lon])</calculatedColumnFormula>
    </tableColumn>
  </tableColumns>
  <tableStyleInfo name="TableStyleLight8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3886AD1C-2285-44EC-862E-DBA2A4842FE4}" name="Location" displayName="Location" ref="A1:D13" totalsRowShown="0" headerRowDxfId="63" tableBorderDxfId="62">
  <autoFilter ref="A1:D13" xr:uid="{6FFBAFCB-1352-4E9C-9D70-4E9F53000FD3}"/>
  <sortState xmlns:xlrd2="http://schemas.microsoft.com/office/spreadsheetml/2017/richdata2" ref="A2:D13">
    <sortCondition ref="A1:A13"/>
  </sortState>
  <tableColumns count="4">
    <tableColumn id="1" xr3:uid="{35D9CB03-E7A6-4D36-B265-6DB27977F2C4}" name="location" dataDxfId="61"/>
    <tableColumn id="2" xr3:uid="{242839D2-B062-45C1-8B8D-147848602F88}" name="lat" dataDxfId="60"/>
    <tableColumn id="3" xr3:uid="{730C6D46-2E9B-4AE3-9C00-320C74CF4B7B}" name="lon" dataDxfId="59"/>
    <tableColumn id="4" xr3:uid="{CD1A94C0-5CAD-4450-BF95-F718CA2695A5}" name="Remark"/>
  </tableColumns>
  <tableStyleInfo name="TableStyleLight8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334E28E-595E-4F21-9C18-0E1826EAED5C}" name="CCMA" displayName="CCMA" ref="A1:E36" totalsRowShown="0" headerRowDxfId="58" dataDxfId="57" tableBorderDxfId="56">
  <autoFilter ref="A1:E36" xr:uid="{5334E28E-595E-4F21-9C18-0E1826EAED5C}"/>
  <tableColumns count="5">
    <tableColumn id="2" xr3:uid="{AA183E85-97DA-4F5B-B257-A8370AF4657C}" name="CCMA Report Name" dataDxfId="55"/>
    <tableColumn id="3" xr3:uid="{8ACFC4B1-3718-48F1-85F5-69785EB37FC7}" name="Frequency" dataDxfId="54"/>
    <tableColumn id="4" xr3:uid="{86E622F8-FC55-4E17-84F0-CBBF740F072C}" name="Cover Date" dataDxfId="53"/>
    <tableColumn id="5" xr3:uid="{52E458E9-2B2A-4F9A-9DC1-7EE59983FC6B}" name="Published Date" dataDxfId="52"/>
    <tableColumn id="6" xr3:uid="{D068F07E-C7AE-4975-A4A6-268A4C8FEED3}" name="material_name" dataDxfId="51"/>
  </tableColumns>
  <tableStyleInfo name="TableStyleLight8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A206641-C779-43A6-B328-53D7F2427C50}" name="CEH" displayName="CEH" ref="A1:D116" totalsRowShown="0" headerRowDxfId="50" dataDxfId="49" tableBorderDxfId="48">
  <autoFilter ref="A1:D116" xr:uid="{5334E28E-595E-4F21-9C18-0E1826EAED5C}"/>
  <sortState xmlns:xlrd2="http://schemas.microsoft.com/office/spreadsheetml/2017/richdata2" ref="A2:D116">
    <sortCondition ref="A1:A116"/>
  </sortState>
  <tableColumns count="4">
    <tableColumn id="1" xr3:uid="{8701E67A-AE5C-4258-A164-3B15E5978B44}" name="CEH Report name" dataDxfId="47"/>
    <tableColumn id="3" xr3:uid="{A4C30152-61D3-46C2-B579-5C0CF79E6053}" name="Downstream 대상" dataDxfId="46"/>
    <tableColumn id="5" xr3:uid="{0C68789B-6D61-4B6A-8B95-6FE5F94C04E1}" name="Publication Year2" dataDxfId="45"/>
    <tableColumn id="6" xr3:uid="{237606B7-0D32-4628-8C39-96156ADE2935}" name="material_name" dataDxfId="44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36" dT="2026-05-13T09:04:23.66" personId="{8347A911-FB60-4CDD-95F5-37932B9B2DD3}" id="{F66435ED-0C9E-43FE-890A-A90FBEE07CAB}">
    <text>Oxo chemical의 일부</text>
  </threadedComment>
  <threadedComment ref="G73" dT="2026-04-07T05:11:03.73" personId="{8347A911-FB60-4CDD-95F5-37932B9B2DD3}" id="{583DACAD-58E4-4A7B-BBE0-F54E7FD002A2}">
    <text>Mixed 인지 불명확</text>
  </threadedComment>
  <threadedComment ref="G77" dT="2026-04-07T05:12:26.45" personId="{8347A911-FB60-4CDD-95F5-37932B9B2DD3}" id="{527C89FA-3535-45ED-AB16-7B5845EE7CC2}">
    <text>1-hexene인지 불분명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71" dT="2026-05-13T04:21:15.21" personId="{8347A911-FB60-4CDD-95F5-37932B9B2DD3}" id="{E2D63A4D-75CA-4AB4-BFE5-3E605F209520}">
    <text>C3: Propionaldehyde
C4: n-Butyraldehyde, isobutyraldehyde
C5: Valeraldehyde, isovaleraldehyde
C7: Heptanoic Acid
C9: Pelargonic Acid
C8~C13 Branched acids: isooctanoic, isononanoic, isodecanoic, isotridecanoic
C9~C28 Neo acids: neopentanoic, neoheptanoic, neooctanoic, neononanoic, neodecanoic
Oxo plasticizer and detergent alcohols (branched C6-C13 and linear oxo C7-C15)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ivotTable" Target="../pivotTables/pivot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2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eguru.co.kr/news/article.html?no=40559" TargetMode="External"/><Relationship Id="rId2" Type="http://schemas.openxmlformats.org/officeDocument/2006/relationships/hyperlink" Target="https://www.theguru.co.kr/news/article.html?no=40559" TargetMode="External"/><Relationship Id="rId1" Type="http://schemas.openxmlformats.org/officeDocument/2006/relationships/hyperlink" Target="https://plas-world.co.kr/chtml/board/board_print.php?&amp;com_board_search_code=&amp;com_board_search_value1=&amp;com_board_search_value2=&amp;com_board_page=13&amp;&amp;com_board_id=34&amp;&amp;com_board_id=34&amp;com_board_basic=print&amp;com_board_idx=513." TargetMode="External"/><Relationship Id="rId5" Type="http://schemas.openxmlformats.org/officeDocument/2006/relationships/table" Target="../tables/table19.xml"/><Relationship Id="rId4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3A2F5-3D2E-4E61-88CE-0536DF3F9677}">
  <dimension ref="A1:I105"/>
  <sheetViews>
    <sheetView zoomScaleNormal="100" workbookViewId="0">
      <selection activeCell="G2" sqref="G2"/>
    </sheetView>
  </sheetViews>
  <sheetFormatPr defaultRowHeight="16.5"/>
  <cols>
    <col min="1" max="1" width="5" style="149" customWidth="1"/>
    <col min="2" max="2" width="20.25" style="149" customWidth="1"/>
    <col min="3" max="3" width="16.625" style="149" bestFit="1" customWidth="1"/>
    <col min="4" max="4" width="14.5" style="149" customWidth="1"/>
    <col min="5" max="5" width="21.75" style="149" customWidth="1"/>
    <col min="6" max="6" width="17" style="149" customWidth="1"/>
    <col min="7" max="7" width="21.75" style="150" customWidth="1"/>
    <col min="8" max="8" width="44.625" style="151" customWidth="1"/>
    <col min="9" max="9" width="41.125" style="151" customWidth="1"/>
    <col min="10" max="16384" width="9" style="142"/>
  </cols>
  <sheetData>
    <row r="1" spans="1:9">
      <c r="A1" s="154" t="s">
        <v>4329</v>
      </c>
      <c r="B1" s="154" t="s">
        <v>4114</v>
      </c>
      <c r="C1" s="154" t="s">
        <v>4115</v>
      </c>
      <c r="D1" s="154" t="s">
        <v>4330</v>
      </c>
      <c r="E1" s="154" t="s">
        <v>4331</v>
      </c>
      <c r="F1" s="154" t="s">
        <v>4332</v>
      </c>
      <c r="G1" s="155" t="s">
        <v>4333</v>
      </c>
      <c r="H1" s="156" t="s">
        <v>4334</v>
      </c>
      <c r="I1" s="156" t="s">
        <v>4335</v>
      </c>
    </row>
    <row r="2" spans="1:9" ht="33">
      <c r="A2" s="143">
        <v>1</v>
      </c>
      <c r="B2" s="143" t="s">
        <v>3732</v>
      </c>
      <c r="C2" s="144" t="s">
        <v>29</v>
      </c>
      <c r="D2" s="145">
        <f>_xlfn.XLOOKUP(C2,ValueChainRatingTable[material],ValueChainRatingTable[재평가
점수])</f>
        <v>50</v>
      </c>
      <c r="E2" s="144">
        <v>18</v>
      </c>
      <c r="F2" s="146">
        <f>_xlfn.XLOOKUP(표22[[#This Row],[material]],SupplyStructureTable[material],SupplyStructureTable[산업 수급
구조 점수])</f>
        <v>0</v>
      </c>
      <c r="G2" s="147">
        <f t="shared" ref="G2:G65" si="0">SUM(D2:F2)</f>
        <v>68</v>
      </c>
      <c r="H2" s="148" t="s">
        <v>4336</v>
      </c>
      <c r="I2" s="148" t="s">
        <v>4337</v>
      </c>
    </row>
    <row r="3" spans="1:9" ht="33">
      <c r="A3" s="143">
        <v>2</v>
      </c>
      <c r="B3" s="143" t="s">
        <v>3732</v>
      </c>
      <c r="C3" s="144" t="s">
        <v>31</v>
      </c>
      <c r="D3" s="146">
        <f>_xlfn.XLOOKUP(C3,ValueChainRatingTable[material],ValueChainRatingTable[재평가
점수])</f>
        <v>35</v>
      </c>
      <c r="E3" s="144">
        <v>18</v>
      </c>
      <c r="F3" s="146">
        <f>_xlfn.XLOOKUP(표22[[#This Row],[material]],SupplyStructureTable[material],SupplyStructureTable[산업 수급
구조 점수])</f>
        <v>0</v>
      </c>
      <c r="G3" s="147">
        <f t="shared" si="0"/>
        <v>53</v>
      </c>
      <c r="H3" s="148" t="s">
        <v>4338</v>
      </c>
      <c r="I3" s="148" t="s">
        <v>4339</v>
      </c>
    </row>
    <row r="4" spans="1:9" ht="33">
      <c r="A4" s="143">
        <v>3</v>
      </c>
      <c r="B4" s="143" t="s">
        <v>3732</v>
      </c>
      <c r="C4" s="144" t="s">
        <v>32</v>
      </c>
      <c r="D4" s="145">
        <f>_xlfn.XLOOKUP(C4,ValueChainRatingTable[material],ValueChainRatingTable[재평가
점수])</f>
        <v>50</v>
      </c>
      <c r="E4" s="144">
        <v>18</v>
      </c>
      <c r="F4" s="146">
        <f>_xlfn.XLOOKUP(표22[[#This Row],[material]],SupplyStructureTable[material],SupplyStructureTable[산업 수급
구조 점수])</f>
        <v>0</v>
      </c>
      <c r="G4" s="147">
        <f t="shared" si="0"/>
        <v>68</v>
      </c>
      <c r="H4" s="148" t="s">
        <v>4340</v>
      </c>
      <c r="I4" s="148" t="s">
        <v>4341</v>
      </c>
    </row>
    <row r="5" spans="1:9" ht="33">
      <c r="A5" s="143">
        <v>4</v>
      </c>
      <c r="B5" s="143" t="s">
        <v>3733</v>
      </c>
      <c r="C5" s="144" t="s">
        <v>4342</v>
      </c>
      <c r="D5" s="146">
        <f>_xlfn.XLOOKUP(C5,ValueChainRatingTable[material],ValueChainRatingTable[재평가
점수])</f>
        <v>35</v>
      </c>
      <c r="E5" s="144">
        <v>18</v>
      </c>
      <c r="F5" s="146">
        <f>_xlfn.XLOOKUP(표22[[#This Row],[material]],SupplyStructureTable[material],SupplyStructureTable[산업 수급
구조 점수])</f>
        <v>0</v>
      </c>
      <c r="G5" s="147">
        <f t="shared" si="0"/>
        <v>53</v>
      </c>
      <c r="H5" s="148" t="s">
        <v>4343</v>
      </c>
      <c r="I5" s="148" t="s">
        <v>4344</v>
      </c>
    </row>
    <row r="6" spans="1:9" ht="33">
      <c r="A6" s="143">
        <v>5</v>
      </c>
      <c r="B6" s="143" t="s">
        <v>3733</v>
      </c>
      <c r="C6" s="144" t="s">
        <v>893</v>
      </c>
      <c r="D6" s="146">
        <f>_xlfn.XLOOKUP(C6,ValueChainRatingTable[material],ValueChainRatingTable[재평가
점수])</f>
        <v>35</v>
      </c>
      <c r="E6" s="144">
        <v>18</v>
      </c>
      <c r="F6" s="146">
        <f>_xlfn.XLOOKUP(표22[[#This Row],[material]],SupplyStructureTable[material],SupplyStructureTable[산업 수급
구조 점수])</f>
        <v>0</v>
      </c>
      <c r="G6" s="147">
        <f t="shared" si="0"/>
        <v>53</v>
      </c>
      <c r="H6" s="148" t="s">
        <v>4345</v>
      </c>
      <c r="I6" s="148" t="s">
        <v>4346</v>
      </c>
    </row>
    <row r="7" spans="1:9" ht="33">
      <c r="A7" s="143">
        <v>6</v>
      </c>
      <c r="B7" s="143" t="s">
        <v>3733</v>
      </c>
      <c r="C7" s="144" t="s">
        <v>34</v>
      </c>
      <c r="D7" s="146">
        <f>_xlfn.XLOOKUP(C7,ValueChainRatingTable[material],ValueChainRatingTable[재평가
점수])</f>
        <v>35</v>
      </c>
      <c r="E7" s="144">
        <v>18</v>
      </c>
      <c r="F7" s="146">
        <f>_xlfn.XLOOKUP(표22[[#This Row],[material]],SupplyStructureTable[material],SupplyStructureTable[산업 수급
구조 점수])</f>
        <v>0</v>
      </c>
      <c r="G7" s="147">
        <f t="shared" si="0"/>
        <v>53</v>
      </c>
      <c r="H7" s="148" t="s">
        <v>4347</v>
      </c>
      <c r="I7" s="148" t="s">
        <v>4348</v>
      </c>
    </row>
    <row r="8" spans="1:9" ht="33">
      <c r="A8" s="143">
        <v>9</v>
      </c>
      <c r="B8" s="143" t="s">
        <v>3734</v>
      </c>
      <c r="C8" s="144" t="s">
        <v>894</v>
      </c>
      <c r="D8" s="145">
        <f>_xlfn.XLOOKUP(C8,ValueChainRatingTable[material],ValueChainRatingTable[재평가
점수])</f>
        <v>50</v>
      </c>
      <c r="E8" s="144">
        <v>18</v>
      </c>
      <c r="F8" s="146">
        <f>_xlfn.XLOOKUP(표22[[#This Row],[material]],SupplyStructureTable[material],SupplyStructureTable[산업 수급
구조 점수])</f>
        <v>0</v>
      </c>
      <c r="G8" s="147">
        <f>SUM(D8:F8)</f>
        <v>68</v>
      </c>
      <c r="H8" s="148" t="s">
        <v>4353</v>
      </c>
      <c r="I8" s="148" t="s">
        <v>4354</v>
      </c>
    </row>
    <row r="9" spans="1:9" ht="33">
      <c r="A9" s="143">
        <v>7</v>
      </c>
      <c r="B9" s="143" t="s">
        <v>3737</v>
      </c>
      <c r="C9" s="144" t="s">
        <v>36</v>
      </c>
      <c r="D9" s="146">
        <f>_xlfn.XLOOKUP(C9,ValueChainRatingTable[material],ValueChainRatingTable[재평가
점수])</f>
        <v>35</v>
      </c>
      <c r="E9" s="144">
        <v>18</v>
      </c>
      <c r="F9" s="146">
        <f>_xlfn.XLOOKUP(표22[[#This Row],[material]],SupplyStructureTable[material],SupplyStructureTable[산업 수급
구조 점수])</f>
        <v>12</v>
      </c>
      <c r="G9" s="147">
        <f t="shared" si="0"/>
        <v>65</v>
      </c>
      <c r="H9" s="148" t="s">
        <v>4349</v>
      </c>
      <c r="I9" s="148" t="s">
        <v>4350</v>
      </c>
    </row>
    <row r="10" spans="1:9" ht="33">
      <c r="A10" s="143">
        <v>8</v>
      </c>
      <c r="B10" s="143" t="s">
        <v>3737</v>
      </c>
      <c r="C10" s="144" t="s">
        <v>1987</v>
      </c>
      <c r="D10" s="146">
        <f>_xlfn.XLOOKUP(C10,ValueChainRatingTable[material],ValueChainRatingTable[재평가
점수])</f>
        <v>20</v>
      </c>
      <c r="E10" s="144">
        <v>18</v>
      </c>
      <c r="F10" s="146">
        <f>_xlfn.XLOOKUP(표22[[#This Row],[material]],SupplyStructureTable[material],SupplyStructureTable[산업 수급
구조 점수])</f>
        <v>0</v>
      </c>
      <c r="G10" s="147">
        <f t="shared" si="0"/>
        <v>38</v>
      </c>
      <c r="H10" s="148" t="s">
        <v>4351</v>
      </c>
      <c r="I10" s="148" t="s">
        <v>4352</v>
      </c>
    </row>
    <row r="11" spans="1:9" ht="33">
      <c r="A11" s="143">
        <v>10</v>
      </c>
      <c r="B11" s="143" t="s">
        <v>3738</v>
      </c>
      <c r="C11" s="144" t="s">
        <v>40</v>
      </c>
      <c r="D11" s="146">
        <f>_xlfn.XLOOKUP(C11,ValueChainRatingTable[material],ValueChainRatingTable[재평가
점수])</f>
        <v>35</v>
      </c>
      <c r="E11" s="144">
        <v>18</v>
      </c>
      <c r="F11" s="146">
        <f>_xlfn.XLOOKUP(표22[[#This Row],[material]],SupplyStructureTable[material],SupplyStructureTable[산업 수급
구조 점수])</f>
        <v>12</v>
      </c>
      <c r="G11" s="147">
        <f t="shared" si="0"/>
        <v>65</v>
      </c>
      <c r="H11" s="148" t="s">
        <v>4355</v>
      </c>
      <c r="I11" s="148" t="s">
        <v>4356</v>
      </c>
    </row>
    <row r="12" spans="1:9" ht="33">
      <c r="A12" s="143">
        <v>11</v>
      </c>
      <c r="B12" s="143" t="s">
        <v>3738</v>
      </c>
      <c r="C12" s="144" t="s">
        <v>41</v>
      </c>
      <c r="D12" s="146">
        <f>_xlfn.XLOOKUP(C12,ValueChainRatingTable[material],ValueChainRatingTable[재평가
점수])</f>
        <v>35</v>
      </c>
      <c r="E12" s="144">
        <v>18</v>
      </c>
      <c r="F12" s="146">
        <f>_xlfn.XLOOKUP(표22[[#This Row],[material]],SupplyStructureTable[material],SupplyStructureTable[산업 수급
구조 점수])</f>
        <v>12</v>
      </c>
      <c r="G12" s="147">
        <f t="shared" si="0"/>
        <v>65</v>
      </c>
      <c r="H12" s="148" t="s">
        <v>4357</v>
      </c>
      <c r="I12" s="148" t="s">
        <v>4358</v>
      </c>
    </row>
    <row r="13" spans="1:9" ht="33">
      <c r="A13" s="143">
        <v>12</v>
      </c>
      <c r="B13" s="143" t="s">
        <v>3738</v>
      </c>
      <c r="C13" s="144" t="s">
        <v>42</v>
      </c>
      <c r="D13" s="146">
        <f>_xlfn.XLOOKUP(C13,ValueChainRatingTable[material],ValueChainRatingTable[재평가
점수])</f>
        <v>35</v>
      </c>
      <c r="E13" s="144">
        <v>18</v>
      </c>
      <c r="F13" s="146">
        <f>_xlfn.XLOOKUP(표22[[#This Row],[material]],SupplyStructureTable[material],SupplyStructureTable[산업 수급
구조 점수])</f>
        <v>12</v>
      </c>
      <c r="G13" s="147">
        <f t="shared" si="0"/>
        <v>65</v>
      </c>
      <c r="H13" s="148" t="s">
        <v>4359</v>
      </c>
      <c r="I13" s="148" t="s">
        <v>4360</v>
      </c>
    </row>
    <row r="14" spans="1:9" ht="33">
      <c r="A14" s="143">
        <v>13</v>
      </c>
      <c r="B14" s="143" t="s">
        <v>3734</v>
      </c>
      <c r="C14" s="144" t="s">
        <v>895</v>
      </c>
      <c r="D14" s="145">
        <f>_xlfn.XLOOKUP(C14,ValueChainRatingTable[material],ValueChainRatingTable[재평가
점수])</f>
        <v>50</v>
      </c>
      <c r="E14" s="144">
        <v>18</v>
      </c>
      <c r="F14" s="146">
        <f>_xlfn.XLOOKUP(표22[[#This Row],[material]],SupplyStructureTable[material],SupplyStructureTable[산업 수급
구조 점수])</f>
        <v>0</v>
      </c>
      <c r="G14" s="147">
        <f t="shared" si="0"/>
        <v>68</v>
      </c>
      <c r="H14" s="148" t="s">
        <v>4361</v>
      </c>
      <c r="I14" s="148" t="s">
        <v>4362</v>
      </c>
    </row>
    <row r="15" spans="1:9" ht="33">
      <c r="A15" s="143">
        <v>14</v>
      </c>
      <c r="B15" s="143" t="s">
        <v>3739</v>
      </c>
      <c r="C15" s="144" t="s">
        <v>896</v>
      </c>
      <c r="D15" s="146">
        <f>_xlfn.XLOOKUP(C15,ValueChainRatingTable[material],ValueChainRatingTable[재평가
점수])</f>
        <v>35</v>
      </c>
      <c r="E15" s="144">
        <v>18</v>
      </c>
      <c r="F15" s="146">
        <f>_xlfn.XLOOKUP(표22[[#This Row],[material]],SupplyStructureTable[material],SupplyStructureTable[산업 수급
구조 점수])</f>
        <v>0</v>
      </c>
      <c r="G15" s="147">
        <f t="shared" si="0"/>
        <v>53</v>
      </c>
      <c r="H15" s="148" t="s">
        <v>4363</v>
      </c>
      <c r="I15" s="148" t="s">
        <v>4364</v>
      </c>
    </row>
    <row r="16" spans="1:9" ht="33">
      <c r="A16" s="143">
        <v>15</v>
      </c>
      <c r="B16" s="143" t="s">
        <v>3743</v>
      </c>
      <c r="C16" s="144" t="s">
        <v>897</v>
      </c>
      <c r="D16" s="146">
        <f>_xlfn.XLOOKUP(C16,ValueChainRatingTable[material],ValueChainRatingTable[재평가
점수])</f>
        <v>35</v>
      </c>
      <c r="E16" s="144">
        <v>18</v>
      </c>
      <c r="F16" s="146">
        <f>_xlfn.XLOOKUP(표22[[#This Row],[material]],SupplyStructureTable[material],SupplyStructureTable[산업 수급
구조 점수])</f>
        <v>0</v>
      </c>
      <c r="G16" s="147">
        <f t="shared" si="0"/>
        <v>53</v>
      </c>
      <c r="H16" s="148" t="s">
        <v>4365</v>
      </c>
      <c r="I16" s="148" t="s">
        <v>4366</v>
      </c>
    </row>
    <row r="17" spans="1:9" ht="33">
      <c r="A17" s="143">
        <v>16</v>
      </c>
      <c r="B17" s="143" t="s">
        <v>3743</v>
      </c>
      <c r="C17" s="144" t="s">
        <v>101</v>
      </c>
      <c r="D17" s="146">
        <f>_xlfn.XLOOKUP(C17,ValueChainRatingTable[material],ValueChainRatingTable[재평가
점수])</f>
        <v>35</v>
      </c>
      <c r="E17" s="144">
        <v>18</v>
      </c>
      <c r="F17" s="146">
        <f>_xlfn.XLOOKUP(표22[[#This Row],[material]],SupplyStructureTable[material],SupplyStructureTable[산업 수급
구조 점수])</f>
        <v>0</v>
      </c>
      <c r="G17" s="147">
        <f t="shared" si="0"/>
        <v>53</v>
      </c>
      <c r="H17" s="148" t="s">
        <v>4367</v>
      </c>
      <c r="I17" s="148" t="s">
        <v>4368</v>
      </c>
    </row>
    <row r="18" spans="1:9" ht="33">
      <c r="A18" s="143">
        <v>17</v>
      </c>
      <c r="B18" s="143" t="s">
        <v>3743</v>
      </c>
      <c r="C18" s="144" t="s">
        <v>102</v>
      </c>
      <c r="D18" s="146">
        <f>_xlfn.XLOOKUP(C18,ValueChainRatingTable[material],ValueChainRatingTable[재평가
점수])</f>
        <v>35</v>
      </c>
      <c r="E18" s="144">
        <v>18</v>
      </c>
      <c r="F18" s="146">
        <f>_xlfn.XLOOKUP(표22[[#This Row],[material]],SupplyStructureTable[material],SupplyStructureTable[산업 수급
구조 점수])</f>
        <v>0</v>
      </c>
      <c r="G18" s="147">
        <f t="shared" si="0"/>
        <v>53</v>
      </c>
      <c r="H18" s="148" t="s">
        <v>4369</v>
      </c>
      <c r="I18" s="148" t="s">
        <v>4370</v>
      </c>
    </row>
    <row r="19" spans="1:9" ht="33">
      <c r="A19" s="143">
        <v>18</v>
      </c>
      <c r="B19" s="143" t="s">
        <v>3743</v>
      </c>
      <c r="C19" s="144" t="s">
        <v>89</v>
      </c>
      <c r="D19" s="146">
        <f>_xlfn.XLOOKUP(C19,ValueChainRatingTable[material],ValueChainRatingTable[재평가
점수])</f>
        <v>35</v>
      </c>
      <c r="E19" s="144">
        <v>18</v>
      </c>
      <c r="F19" s="146">
        <f>_xlfn.XLOOKUP(표22[[#This Row],[material]],SupplyStructureTable[material],SupplyStructureTable[산업 수급
구조 점수])</f>
        <v>0</v>
      </c>
      <c r="G19" s="147">
        <f t="shared" si="0"/>
        <v>53</v>
      </c>
      <c r="H19" s="148" t="s">
        <v>4371</v>
      </c>
      <c r="I19" s="148" t="s">
        <v>4370</v>
      </c>
    </row>
    <row r="20" spans="1:9" ht="33">
      <c r="A20" s="143">
        <v>19</v>
      </c>
      <c r="B20" s="143" t="s">
        <v>3742</v>
      </c>
      <c r="C20" s="144" t="s">
        <v>898</v>
      </c>
      <c r="D20" s="145">
        <f>_xlfn.XLOOKUP(C20,ValueChainRatingTable[material],ValueChainRatingTable[재평가
점수])</f>
        <v>50</v>
      </c>
      <c r="E20" s="144">
        <v>18</v>
      </c>
      <c r="F20" s="146">
        <f>_xlfn.XLOOKUP(표22[[#This Row],[material]],SupplyStructureTable[material],SupplyStructureTable[산업 수급
구조 점수])</f>
        <v>0</v>
      </c>
      <c r="G20" s="147">
        <f t="shared" si="0"/>
        <v>68</v>
      </c>
      <c r="H20" s="148" t="s">
        <v>4372</v>
      </c>
      <c r="I20" s="148" t="s">
        <v>4373</v>
      </c>
    </row>
    <row r="21" spans="1:9" ht="33">
      <c r="A21" s="143">
        <v>20</v>
      </c>
      <c r="B21" s="143" t="s">
        <v>3744</v>
      </c>
      <c r="C21" s="144" t="s">
        <v>899</v>
      </c>
      <c r="D21" s="145">
        <f>_xlfn.XLOOKUP(C21,ValueChainRatingTable[material],ValueChainRatingTable[재평가
점수])</f>
        <v>50</v>
      </c>
      <c r="E21" s="144">
        <v>18</v>
      </c>
      <c r="F21" s="146">
        <f>_xlfn.XLOOKUP(표22[[#This Row],[material]],SupplyStructureTable[material],SupplyStructureTable[산업 수급
구조 점수])</f>
        <v>0</v>
      </c>
      <c r="G21" s="147">
        <f t="shared" si="0"/>
        <v>68</v>
      </c>
      <c r="H21" s="148" t="s">
        <v>4374</v>
      </c>
      <c r="I21" s="148" t="s">
        <v>4375</v>
      </c>
    </row>
    <row r="22" spans="1:9" ht="33">
      <c r="A22" s="143">
        <v>21</v>
      </c>
      <c r="B22" s="144" t="s">
        <v>2083</v>
      </c>
      <c r="C22" s="144" t="s">
        <v>1857</v>
      </c>
      <c r="D22" s="145">
        <f>_xlfn.XLOOKUP(C22,ValueChainRatingTable[material],ValueChainRatingTable[재평가
점수])</f>
        <v>50</v>
      </c>
      <c r="E22" s="144">
        <v>18</v>
      </c>
      <c r="F22" s="146">
        <f>_xlfn.XLOOKUP(표22[[#This Row],[material]],SupplyStructureTable[material],SupplyStructureTable[산업 수급
구조 점수])</f>
        <v>0</v>
      </c>
      <c r="G22" s="147">
        <f t="shared" si="0"/>
        <v>68</v>
      </c>
      <c r="H22" s="148" t="s">
        <v>4376</v>
      </c>
      <c r="I22" s="148" t="s">
        <v>4377</v>
      </c>
    </row>
    <row r="23" spans="1:9" ht="33">
      <c r="A23" s="143">
        <v>21</v>
      </c>
      <c r="B23" s="143" t="s">
        <v>3744</v>
      </c>
      <c r="C23" s="144" t="s">
        <v>1857</v>
      </c>
      <c r="D23" s="145">
        <f>_xlfn.XLOOKUP(C23,ValueChainRatingTable[material],ValueChainRatingTable[재평가
점수])</f>
        <v>50</v>
      </c>
      <c r="E23" s="144">
        <v>18</v>
      </c>
      <c r="F23" s="146">
        <f>_xlfn.XLOOKUP(표22[[#This Row],[material]],SupplyStructureTable[material],SupplyStructureTable[산업 수급
구조 점수])</f>
        <v>0</v>
      </c>
      <c r="G23" s="147">
        <f t="shared" si="0"/>
        <v>68</v>
      </c>
      <c r="H23" s="148" t="s">
        <v>4378</v>
      </c>
      <c r="I23" s="148" t="s">
        <v>4375</v>
      </c>
    </row>
    <row r="24" spans="1:9" ht="33">
      <c r="A24" s="143">
        <v>23</v>
      </c>
      <c r="B24" s="143" t="s">
        <v>3744</v>
      </c>
      <c r="C24" s="144" t="s">
        <v>1847</v>
      </c>
      <c r="D24" s="145">
        <f>_xlfn.XLOOKUP(C24,ValueChainRatingTable[material],ValueChainRatingTable[재평가
점수])</f>
        <v>50</v>
      </c>
      <c r="E24" s="145">
        <v>25</v>
      </c>
      <c r="F24" s="146">
        <f>_xlfn.XLOOKUP(표22[[#This Row],[material]],SupplyStructureTable[material],SupplyStructureTable[산업 수급
구조 점수])</f>
        <v>0</v>
      </c>
      <c r="G24" s="147">
        <f t="shared" si="0"/>
        <v>75</v>
      </c>
      <c r="H24" s="148" t="s">
        <v>4379</v>
      </c>
      <c r="I24" s="148" t="s">
        <v>4380</v>
      </c>
    </row>
    <row r="25" spans="1:9" ht="33">
      <c r="A25" s="143">
        <v>24</v>
      </c>
      <c r="B25" s="143" t="s">
        <v>3757</v>
      </c>
      <c r="C25" s="144" t="s">
        <v>94</v>
      </c>
      <c r="D25" s="145">
        <f>_xlfn.XLOOKUP(C25,ValueChainRatingTable[material],ValueChainRatingTable[재평가
점수])</f>
        <v>50</v>
      </c>
      <c r="E25" s="145">
        <v>25</v>
      </c>
      <c r="F25" s="146">
        <f>_xlfn.XLOOKUP(표22[[#This Row],[material]],SupplyStructureTable[material],SupplyStructureTable[산업 수급
구조 점수])</f>
        <v>0</v>
      </c>
      <c r="G25" s="147">
        <f t="shared" si="0"/>
        <v>75</v>
      </c>
      <c r="H25" s="148" t="s">
        <v>4381</v>
      </c>
      <c r="I25" s="148" t="s">
        <v>4382</v>
      </c>
    </row>
    <row r="26" spans="1:9" ht="33">
      <c r="A26" s="143">
        <v>25</v>
      </c>
      <c r="B26" s="143" t="s">
        <v>3757</v>
      </c>
      <c r="C26" s="144" t="s">
        <v>973</v>
      </c>
      <c r="D26" s="145">
        <f>_xlfn.XLOOKUP(C26,ValueChainRatingTable[material],ValueChainRatingTable[재평가
점수])</f>
        <v>50</v>
      </c>
      <c r="E26" s="145">
        <v>25</v>
      </c>
      <c r="F26" s="146">
        <f>_xlfn.XLOOKUP(표22[[#This Row],[material]],SupplyStructureTable[material],SupplyStructureTable[산업 수급
구조 점수])</f>
        <v>0</v>
      </c>
      <c r="G26" s="147">
        <f t="shared" si="0"/>
        <v>75</v>
      </c>
      <c r="H26" s="148" t="s">
        <v>4383</v>
      </c>
      <c r="I26" s="148" t="s">
        <v>4384</v>
      </c>
    </row>
    <row r="27" spans="1:9" ht="33">
      <c r="A27" s="143">
        <v>26</v>
      </c>
      <c r="B27" s="143" t="s">
        <v>3746</v>
      </c>
      <c r="C27" s="144" t="s">
        <v>1816</v>
      </c>
      <c r="D27" s="146">
        <f>_xlfn.XLOOKUP(C27,ValueChainRatingTable[material],ValueChainRatingTable[재평가
점수])</f>
        <v>35</v>
      </c>
      <c r="E27" s="145">
        <v>25</v>
      </c>
      <c r="F27" s="146">
        <f>_xlfn.XLOOKUP(표22[[#This Row],[material]],SupplyStructureTable[material],SupplyStructureTable[산업 수급
구조 점수])</f>
        <v>0</v>
      </c>
      <c r="G27" s="147">
        <f t="shared" si="0"/>
        <v>60</v>
      </c>
      <c r="H27" s="148" t="s">
        <v>4385</v>
      </c>
      <c r="I27" s="148" t="s">
        <v>4386</v>
      </c>
    </row>
    <row r="28" spans="1:9" ht="33">
      <c r="A28" s="143">
        <v>26</v>
      </c>
      <c r="B28" s="143" t="s">
        <v>3745</v>
      </c>
      <c r="C28" s="144" t="s">
        <v>1816</v>
      </c>
      <c r="D28" s="146">
        <f>_xlfn.XLOOKUP(C28,ValueChainRatingTable[material],ValueChainRatingTable[재평가
점수])</f>
        <v>35</v>
      </c>
      <c r="E28" s="145">
        <v>25</v>
      </c>
      <c r="F28" s="146">
        <f>_xlfn.XLOOKUP(표22[[#This Row],[material]],SupplyStructureTable[material],SupplyStructureTable[산업 수급
구조 점수])</f>
        <v>0</v>
      </c>
      <c r="G28" s="147">
        <f t="shared" si="0"/>
        <v>60</v>
      </c>
      <c r="H28" s="148" t="s">
        <v>4387</v>
      </c>
      <c r="I28" s="148" t="s">
        <v>4388</v>
      </c>
    </row>
    <row r="29" spans="1:9" ht="33">
      <c r="A29" s="143">
        <v>28</v>
      </c>
      <c r="B29" s="143" t="s">
        <v>3746</v>
      </c>
      <c r="C29" s="144" t="s">
        <v>786</v>
      </c>
      <c r="D29" s="146">
        <f>_xlfn.XLOOKUP(C29,ValueChainRatingTable[material],ValueChainRatingTable[재평가
점수])</f>
        <v>35</v>
      </c>
      <c r="E29" s="145">
        <v>25</v>
      </c>
      <c r="F29" s="146">
        <f>_xlfn.XLOOKUP(표22[[#This Row],[material]],SupplyStructureTable[material],SupplyStructureTable[산업 수급
구조 점수])</f>
        <v>0</v>
      </c>
      <c r="G29" s="147">
        <f t="shared" si="0"/>
        <v>60</v>
      </c>
      <c r="H29" s="148" t="s">
        <v>4389</v>
      </c>
      <c r="I29" s="148" t="s">
        <v>4390</v>
      </c>
    </row>
    <row r="30" spans="1:9" ht="33">
      <c r="A30" s="143">
        <v>29</v>
      </c>
      <c r="B30" s="143" t="s">
        <v>3745</v>
      </c>
      <c r="C30" s="144" t="s">
        <v>1799</v>
      </c>
      <c r="D30" s="146">
        <f>_xlfn.XLOOKUP(C30,ValueChainRatingTable[material],ValueChainRatingTable[재평가
점수])</f>
        <v>35</v>
      </c>
      <c r="E30" s="145">
        <v>25</v>
      </c>
      <c r="F30" s="146">
        <f>_xlfn.XLOOKUP(표22[[#This Row],[material]],SupplyStructureTable[material],SupplyStructureTable[산업 수급
구조 점수])</f>
        <v>0</v>
      </c>
      <c r="G30" s="147">
        <f t="shared" si="0"/>
        <v>60</v>
      </c>
      <c r="H30" s="148" t="s">
        <v>4391</v>
      </c>
      <c r="I30" s="148" t="s">
        <v>4388</v>
      </c>
    </row>
    <row r="31" spans="1:9" ht="33">
      <c r="A31" s="143">
        <v>30</v>
      </c>
      <c r="B31" s="143" t="s">
        <v>3747</v>
      </c>
      <c r="C31" s="144" t="s">
        <v>1094</v>
      </c>
      <c r="D31" s="146">
        <f>_xlfn.XLOOKUP(C31,ValueChainRatingTable[material],ValueChainRatingTable[재평가
점수])</f>
        <v>35</v>
      </c>
      <c r="E31" s="144">
        <v>18</v>
      </c>
      <c r="F31" s="146">
        <f>_xlfn.XLOOKUP(표22[[#This Row],[material]],SupplyStructureTable[material],SupplyStructureTable[산업 수급
구조 점수])</f>
        <v>0</v>
      </c>
      <c r="G31" s="147">
        <f t="shared" si="0"/>
        <v>53</v>
      </c>
      <c r="H31" s="148" t="s">
        <v>4392</v>
      </c>
      <c r="I31" s="148" t="s">
        <v>4393</v>
      </c>
    </row>
    <row r="32" spans="1:9" ht="33">
      <c r="A32" s="143">
        <v>31</v>
      </c>
      <c r="B32" s="143" t="s">
        <v>3747</v>
      </c>
      <c r="C32" s="144" t="s">
        <v>1787</v>
      </c>
      <c r="D32" s="146">
        <f>_xlfn.XLOOKUP(C32,ValueChainRatingTable[material],ValueChainRatingTable[재평가
점수])</f>
        <v>35</v>
      </c>
      <c r="E32" s="144">
        <v>18</v>
      </c>
      <c r="F32" s="146">
        <f>_xlfn.XLOOKUP(표22[[#This Row],[material]],SupplyStructureTable[material],SupplyStructureTable[산업 수급
구조 점수])</f>
        <v>0</v>
      </c>
      <c r="G32" s="147">
        <f t="shared" si="0"/>
        <v>53</v>
      </c>
      <c r="H32" s="148" t="s">
        <v>4394</v>
      </c>
      <c r="I32" s="148" t="s">
        <v>4395</v>
      </c>
    </row>
    <row r="33" spans="1:9" ht="33">
      <c r="A33" s="143">
        <v>32</v>
      </c>
      <c r="B33" s="143" t="s">
        <v>3747</v>
      </c>
      <c r="C33" s="144" t="s">
        <v>1782</v>
      </c>
      <c r="D33" s="146">
        <f>_xlfn.XLOOKUP(C33,ValueChainRatingTable[material],ValueChainRatingTable[재평가
점수])</f>
        <v>35</v>
      </c>
      <c r="E33" s="144">
        <v>18</v>
      </c>
      <c r="F33" s="146">
        <f>_xlfn.XLOOKUP(표22[[#This Row],[material]],SupplyStructureTable[material],SupplyStructureTable[산업 수급
구조 점수])</f>
        <v>12</v>
      </c>
      <c r="G33" s="147">
        <f t="shared" si="0"/>
        <v>65</v>
      </c>
      <c r="H33" s="148" t="s">
        <v>4396</v>
      </c>
      <c r="I33" s="148" t="s">
        <v>4397</v>
      </c>
    </row>
    <row r="34" spans="1:9" ht="33">
      <c r="A34" s="143">
        <v>33</v>
      </c>
      <c r="B34" s="143" t="s">
        <v>3747</v>
      </c>
      <c r="C34" s="144" t="s">
        <v>1779</v>
      </c>
      <c r="D34" s="146">
        <f>_xlfn.XLOOKUP(C34,ValueChainRatingTable[material],ValueChainRatingTable[재평가
점수])</f>
        <v>35</v>
      </c>
      <c r="E34" s="144">
        <v>18</v>
      </c>
      <c r="F34" s="146">
        <f>_xlfn.XLOOKUP(표22[[#This Row],[material]],SupplyStructureTable[material],SupplyStructureTable[산업 수급
구조 점수])</f>
        <v>0</v>
      </c>
      <c r="G34" s="147">
        <f t="shared" si="0"/>
        <v>53</v>
      </c>
      <c r="H34" s="148" t="s">
        <v>4398</v>
      </c>
      <c r="I34" s="148" t="s">
        <v>4399</v>
      </c>
    </row>
    <row r="35" spans="1:9" ht="33">
      <c r="A35" s="143">
        <v>34</v>
      </c>
      <c r="B35" s="143" t="s">
        <v>3747</v>
      </c>
      <c r="C35" s="144" t="s">
        <v>1773</v>
      </c>
      <c r="D35" s="146">
        <f>_xlfn.XLOOKUP(C35,ValueChainRatingTable[material],ValueChainRatingTable[재평가
점수])</f>
        <v>35</v>
      </c>
      <c r="E35" s="144">
        <v>18</v>
      </c>
      <c r="F35" s="146">
        <f>_xlfn.XLOOKUP(표22[[#This Row],[material]],SupplyStructureTable[material],SupplyStructureTable[산업 수급
구조 점수])</f>
        <v>0</v>
      </c>
      <c r="G35" s="147">
        <f t="shared" si="0"/>
        <v>53</v>
      </c>
      <c r="H35" s="148" t="s">
        <v>4400</v>
      </c>
      <c r="I35" s="148" t="s">
        <v>4401</v>
      </c>
    </row>
    <row r="36" spans="1:9" ht="33">
      <c r="A36" s="143">
        <v>35</v>
      </c>
      <c r="B36" s="143" t="s">
        <v>3747</v>
      </c>
      <c r="C36" s="144" t="s">
        <v>1770</v>
      </c>
      <c r="D36" s="146">
        <f>_xlfn.XLOOKUP(C36,ValueChainRatingTable[material],ValueChainRatingTable[재평가
점수])</f>
        <v>35</v>
      </c>
      <c r="E36" s="144">
        <v>18</v>
      </c>
      <c r="F36" s="146">
        <f>_xlfn.XLOOKUP(표22[[#This Row],[material]],SupplyStructureTable[material],SupplyStructureTable[산업 수급
구조 점수])</f>
        <v>0</v>
      </c>
      <c r="G36" s="147">
        <f t="shared" si="0"/>
        <v>53</v>
      </c>
      <c r="H36" s="148" t="s">
        <v>4402</v>
      </c>
      <c r="I36" s="148" t="s">
        <v>4403</v>
      </c>
    </row>
    <row r="37" spans="1:9" ht="33">
      <c r="A37" s="143">
        <v>36</v>
      </c>
      <c r="B37" s="143" t="s">
        <v>3748</v>
      </c>
      <c r="C37" s="144" t="s">
        <v>970</v>
      </c>
      <c r="D37" s="146">
        <f>_xlfn.XLOOKUP(C37,ValueChainRatingTable[material],ValueChainRatingTable[재평가
점수])</f>
        <v>35</v>
      </c>
      <c r="E37" s="144">
        <v>18</v>
      </c>
      <c r="F37" s="146">
        <f>_xlfn.XLOOKUP(표22[[#This Row],[material]],SupplyStructureTable[material],SupplyStructureTable[산업 수급
구조 점수])</f>
        <v>0</v>
      </c>
      <c r="G37" s="147">
        <f t="shared" si="0"/>
        <v>53</v>
      </c>
      <c r="H37" s="148" t="s">
        <v>4404</v>
      </c>
      <c r="I37" s="148" t="s">
        <v>4405</v>
      </c>
    </row>
    <row r="38" spans="1:9" ht="33">
      <c r="A38" s="143">
        <v>37</v>
      </c>
      <c r="B38" s="143" t="s">
        <v>3748</v>
      </c>
      <c r="C38" s="144" t="s">
        <v>106</v>
      </c>
      <c r="D38" s="146">
        <f>_xlfn.XLOOKUP(C38,ValueChainRatingTable[material],ValueChainRatingTable[재평가
점수])</f>
        <v>35</v>
      </c>
      <c r="E38" s="144">
        <v>18</v>
      </c>
      <c r="F38" s="146">
        <f>_xlfn.XLOOKUP(표22[[#This Row],[material]],SupplyStructureTable[material],SupplyStructureTable[산업 수급
구조 점수])</f>
        <v>18</v>
      </c>
      <c r="G38" s="147">
        <f t="shared" si="0"/>
        <v>71</v>
      </c>
      <c r="H38" s="148" t="s">
        <v>4406</v>
      </c>
      <c r="I38" s="148" t="s">
        <v>4407</v>
      </c>
    </row>
    <row r="39" spans="1:9" ht="33">
      <c r="A39" s="143">
        <v>38</v>
      </c>
      <c r="B39" s="143" t="s">
        <v>3752</v>
      </c>
      <c r="C39" s="144" t="s">
        <v>25</v>
      </c>
      <c r="D39" s="145">
        <f>_xlfn.XLOOKUP(C39,ValueChainRatingTable[material],ValueChainRatingTable[재평가
점수])</f>
        <v>50</v>
      </c>
      <c r="E39" s="144">
        <v>18</v>
      </c>
      <c r="F39" s="146">
        <f>_xlfn.XLOOKUP(표22[[#This Row],[material]],SupplyStructureTable[material],SupplyStructureTable[산업 수급
구조 점수])</f>
        <v>0</v>
      </c>
      <c r="G39" s="147">
        <f t="shared" si="0"/>
        <v>68</v>
      </c>
      <c r="H39" s="148" t="s">
        <v>4408</v>
      </c>
      <c r="I39" s="148" t="s">
        <v>4409</v>
      </c>
    </row>
    <row r="40" spans="1:9" ht="33">
      <c r="A40" s="143">
        <v>39</v>
      </c>
      <c r="B40" s="143" t="s">
        <v>3752</v>
      </c>
      <c r="C40" s="144" t="s">
        <v>107</v>
      </c>
      <c r="D40" s="145">
        <f>_xlfn.XLOOKUP(C40,ValueChainRatingTable[material],ValueChainRatingTable[재평가
점수])</f>
        <v>50</v>
      </c>
      <c r="E40" s="144">
        <v>18</v>
      </c>
      <c r="F40" s="146">
        <f>_xlfn.XLOOKUP(표22[[#This Row],[material]],SupplyStructureTable[material],SupplyStructureTable[산업 수급
구조 점수])</f>
        <v>0</v>
      </c>
      <c r="G40" s="147">
        <f t="shared" si="0"/>
        <v>68</v>
      </c>
      <c r="H40" s="148" t="s">
        <v>4410</v>
      </c>
      <c r="I40" s="148" t="s">
        <v>4411</v>
      </c>
    </row>
    <row r="41" spans="1:9" ht="33">
      <c r="A41" s="143">
        <v>40</v>
      </c>
      <c r="B41" s="143" t="s">
        <v>3752</v>
      </c>
      <c r="C41" s="144" t="s">
        <v>108</v>
      </c>
      <c r="D41" s="145">
        <f>_xlfn.XLOOKUP(C41,ValueChainRatingTable[material],ValueChainRatingTable[재평가
점수])</f>
        <v>50</v>
      </c>
      <c r="E41" s="144">
        <v>18</v>
      </c>
      <c r="F41" s="146">
        <f>_xlfn.XLOOKUP(표22[[#This Row],[material]],SupplyStructureTable[material],SupplyStructureTable[산업 수급
구조 점수])</f>
        <v>0</v>
      </c>
      <c r="G41" s="147">
        <f t="shared" si="0"/>
        <v>68</v>
      </c>
      <c r="H41" s="148" t="s">
        <v>4412</v>
      </c>
      <c r="I41" s="148" t="s">
        <v>4413</v>
      </c>
    </row>
    <row r="42" spans="1:9" ht="33">
      <c r="A42" s="143">
        <v>41</v>
      </c>
      <c r="B42" s="144" t="s">
        <v>26</v>
      </c>
      <c r="C42" s="144" t="s">
        <v>26</v>
      </c>
      <c r="D42" s="145">
        <f>_xlfn.XLOOKUP(C42,ValueChainRatingTable[material],ValueChainRatingTable[재평가
점수])</f>
        <v>50</v>
      </c>
      <c r="E42" s="144">
        <v>18</v>
      </c>
      <c r="F42" s="146">
        <f>_xlfn.XLOOKUP(표22[[#This Row],[material]],SupplyStructureTable[material],SupplyStructureTable[산업 수급
구조 점수])</f>
        <v>12</v>
      </c>
      <c r="G42" s="147">
        <f t="shared" si="0"/>
        <v>80</v>
      </c>
      <c r="H42" s="148" t="s">
        <v>4414</v>
      </c>
      <c r="I42" s="148" t="s">
        <v>4415</v>
      </c>
    </row>
    <row r="43" spans="1:9" ht="33">
      <c r="A43" s="143">
        <v>41</v>
      </c>
      <c r="B43" s="144" t="s">
        <v>807</v>
      </c>
      <c r="C43" s="144" t="s">
        <v>26</v>
      </c>
      <c r="D43" s="145">
        <f>_xlfn.XLOOKUP(C43,ValueChainRatingTable[material],ValueChainRatingTable[재평가
점수])</f>
        <v>50</v>
      </c>
      <c r="E43" s="144">
        <v>18</v>
      </c>
      <c r="F43" s="146">
        <f>_xlfn.XLOOKUP(표22[[#This Row],[material]],SupplyStructureTable[material],SupplyStructureTable[산업 수급
구조 점수])</f>
        <v>12</v>
      </c>
      <c r="G43" s="147">
        <f t="shared" si="0"/>
        <v>80</v>
      </c>
      <c r="H43" s="148" t="s">
        <v>4416</v>
      </c>
      <c r="I43" s="148" t="s">
        <v>4417</v>
      </c>
    </row>
    <row r="44" spans="1:9" ht="33">
      <c r="A44" s="143">
        <v>43</v>
      </c>
      <c r="B44" s="144" t="s">
        <v>26</v>
      </c>
      <c r="C44" s="144" t="s">
        <v>2080</v>
      </c>
      <c r="D44" s="145">
        <f>_xlfn.XLOOKUP(C44,ValueChainRatingTable[material],ValueChainRatingTable[재평가
점수])</f>
        <v>50</v>
      </c>
      <c r="E44" s="144">
        <v>18</v>
      </c>
      <c r="F44" s="146">
        <f>_xlfn.XLOOKUP(표22[[#This Row],[material]],SupplyStructureTable[material],SupplyStructureTable[산업 수급
구조 점수])</f>
        <v>18</v>
      </c>
      <c r="G44" s="147">
        <f t="shared" si="0"/>
        <v>86</v>
      </c>
      <c r="H44" s="148" t="s">
        <v>4418</v>
      </c>
      <c r="I44" s="148" t="s">
        <v>4419</v>
      </c>
    </row>
    <row r="45" spans="1:9" ht="33">
      <c r="A45" s="143">
        <v>44</v>
      </c>
      <c r="B45" s="143" t="s">
        <v>3741</v>
      </c>
      <c r="C45" s="144" t="s">
        <v>3707</v>
      </c>
      <c r="D45" s="146">
        <f>_xlfn.XLOOKUP(C45,ValueChainRatingTable[material],ValueChainRatingTable[재평가
점수])</f>
        <v>35</v>
      </c>
      <c r="E45" s="144">
        <v>18</v>
      </c>
      <c r="F45" s="145">
        <f>_xlfn.XLOOKUP(표22[[#This Row],[material]],SupplyStructureTable[material],SupplyStructureTable[산업 수급
구조 점수])</f>
        <v>25</v>
      </c>
      <c r="G45" s="147">
        <f t="shared" si="0"/>
        <v>78</v>
      </c>
      <c r="H45" s="148" t="s">
        <v>4420</v>
      </c>
      <c r="I45" s="148" t="s">
        <v>4421</v>
      </c>
    </row>
    <row r="46" spans="1:9" ht="33">
      <c r="A46" s="143">
        <v>45</v>
      </c>
      <c r="B46" s="144" t="s">
        <v>807</v>
      </c>
      <c r="C46" s="144" t="s">
        <v>111</v>
      </c>
      <c r="D46" s="145">
        <f>_xlfn.XLOOKUP(C46,ValueChainRatingTable[material],ValueChainRatingTable[재평가
점수])</f>
        <v>50</v>
      </c>
      <c r="E46" s="144">
        <v>18</v>
      </c>
      <c r="F46" s="146">
        <f>_xlfn.XLOOKUP(표22[[#This Row],[material]],SupplyStructureTable[material],SupplyStructureTable[산업 수급
구조 점수])</f>
        <v>0</v>
      </c>
      <c r="G46" s="147">
        <f t="shared" si="0"/>
        <v>68</v>
      </c>
      <c r="H46" s="148" t="s">
        <v>4422</v>
      </c>
      <c r="I46" s="148" t="s">
        <v>4423</v>
      </c>
    </row>
    <row r="47" spans="1:9" ht="33">
      <c r="A47" s="143">
        <v>46</v>
      </c>
      <c r="B47" s="143" t="s">
        <v>3755</v>
      </c>
      <c r="C47" s="144" t="s">
        <v>113</v>
      </c>
      <c r="D47" s="146">
        <f>_xlfn.XLOOKUP(C47,ValueChainRatingTable[material],ValueChainRatingTable[재평가
점수])</f>
        <v>35</v>
      </c>
      <c r="E47" s="144">
        <v>18</v>
      </c>
      <c r="F47" s="146">
        <f>_xlfn.XLOOKUP(표22[[#This Row],[material]],SupplyStructureTable[material],SupplyStructureTable[산업 수급
구조 점수])</f>
        <v>18</v>
      </c>
      <c r="G47" s="147">
        <f t="shared" si="0"/>
        <v>71</v>
      </c>
      <c r="H47" s="148" t="s">
        <v>4424</v>
      </c>
      <c r="I47" s="148" t="s">
        <v>4425</v>
      </c>
    </row>
    <row r="48" spans="1:9" ht="33">
      <c r="A48" s="143">
        <v>47</v>
      </c>
      <c r="B48" s="143" t="s">
        <v>3741</v>
      </c>
      <c r="C48" s="144" t="s">
        <v>15</v>
      </c>
      <c r="D48" s="145">
        <f>_xlfn.XLOOKUP(C48,ValueChainRatingTable[material],ValueChainRatingTable[재평가
점수])</f>
        <v>50</v>
      </c>
      <c r="E48" s="144">
        <v>18</v>
      </c>
      <c r="F48" s="146">
        <f>_xlfn.XLOOKUP(표22[[#This Row],[material]],SupplyStructureTable[material],SupplyStructureTable[산업 수급
구조 점수])</f>
        <v>12</v>
      </c>
      <c r="G48" s="147">
        <f t="shared" si="0"/>
        <v>80</v>
      </c>
      <c r="H48" s="148" t="s">
        <v>4426</v>
      </c>
      <c r="I48" s="148" t="s">
        <v>4421</v>
      </c>
    </row>
    <row r="49" spans="1:9" ht="33">
      <c r="A49" s="143">
        <v>48</v>
      </c>
      <c r="B49" s="143" t="s">
        <v>3756</v>
      </c>
      <c r="C49" s="144" t="s">
        <v>19</v>
      </c>
      <c r="D49" s="146">
        <f>_xlfn.XLOOKUP(C49,ValueChainRatingTable[material],ValueChainRatingTable[재평가
점수])</f>
        <v>35</v>
      </c>
      <c r="E49" s="144">
        <v>18</v>
      </c>
      <c r="F49" s="146">
        <f>_xlfn.XLOOKUP(표22[[#This Row],[material]],SupplyStructureTable[material],SupplyStructureTable[산업 수급
구조 점수])</f>
        <v>0</v>
      </c>
      <c r="G49" s="147">
        <f t="shared" si="0"/>
        <v>53</v>
      </c>
      <c r="H49" s="148" t="s">
        <v>4427</v>
      </c>
      <c r="I49" s="148" t="s">
        <v>4428</v>
      </c>
    </row>
    <row r="50" spans="1:9" ht="33">
      <c r="A50" s="143">
        <v>49</v>
      </c>
      <c r="B50" s="143" t="s">
        <v>3756</v>
      </c>
      <c r="C50" s="144" t="s">
        <v>21</v>
      </c>
      <c r="D50" s="146">
        <f>_xlfn.XLOOKUP(C50,ValueChainRatingTable[material],ValueChainRatingTable[재평가
점수])</f>
        <v>35</v>
      </c>
      <c r="E50" s="144">
        <v>18</v>
      </c>
      <c r="F50" s="146">
        <f>_xlfn.XLOOKUP(표22[[#This Row],[material]],SupplyStructureTable[material],SupplyStructureTable[산업 수급
구조 점수])</f>
        <v>0</v>
      </c>
      <c r="G50" s="147">
        <f t="shared" si="0"/>
        <v>53</v>
      </c>
      <c r="H50" s="148" t="s">
        <v>4429</v>
      </c>
      <c r="I50" s="148" t="s">
        <v>4430</v>
      </c>
    </row>
    <row r="51" spans="1:9" ht="33">
      <c r="A51" s="143">
        <v>50</v>
      </c>
      <c r="B51" s="143" t="s">
        <v>3756</v>
      </c>
      <c r="C51" s="144" t="s">
        <v>900</v>
      </c>
      <c r="D51" s="146">
        <f>_xlfn.XLOOKUP(C51,ValueChainRatingTable[material],ValueChainRatingTable[재평가
점수])</f>
        <v>35</v>
      </c>
      <c r="E51" s="144">
        <v>18</v>
      </c>
      <c r="F51" s="146">
        <f>_xlfn.XLOOKUP(표22[[#This Row],[material]],SupplyStructureTable[material],SupplyStructureTable[산업 수급
구조 점수])</f>
        <v>0</v>
      </c>
      <c r="G51" s="147">
        <f t="shared" si="0"/>
        <v>53</v>
      </c>
      <c r="H51" s="148" t="s">
        <v>4431</v>
      </c>
      <c r="I51" s="148" t="s">
        <v>4432</v>
      </c>
    </row>
    <row r="52" spans="1:9" ht="33">
      <c r="A52" s="143">
        <v>51</v>
      </c>
      <c r="B52" s="143" t="s">
        <v>3762</v>
      </c>
      <c r="C52" s="144" t="s">
        <v>28</v>
      </c>
      <c r="D52" s="146">
        <f>_xlfn.XLOOKUP(C52,ValueChainRatingTable[material],ValueChainRatingTable[재평가
점수])</f>
        <v>35</v>
      </c>
      <c r="E52" s="144">
        <v>18</v>
      </c>
      <c r="F52" s="146">
        <f>_xlfn.XLOOKUP(표22[[#This Row],[material]],SupplyStructureTable[material],SupplyStructureTable[산업 수급
구조 점수])</f>
        <v>0</v>
      </c>
      <c r="G52" s="147">
        <f t="shared" si="0"/>
        <v>53</v>
      </c>
      <c r="H52" s="148" t="s">
        <v>4433</v>
      </c>
      <c r="I52" s="148" t="s">
        <v>4434</v>
      </c>
    </row>
    <row r="53" spans="1:9" ht="49.5">
      <c r="A53" s="143">
        <v>52</v>
      </c>
      <c r="B53" s="143" t="s">
        <v>3762</v>
      </c>
      <c r="C53" s="144" t="s">
        <v>95</v>
      </c>
      <c r="D53" s="146">
        <f>_xlfn.XLOOKUP(C53,ValueChainRatingTable[material],ValueChainRatingTable[재평가
점수])</f>
        <v>35</v>
      </c>
      <c r="E53" s="144">
        <v>18</v>
      </c>
      <c r="F53" s="146">
        <f>_xlfn.XLOOKUP(표22[[#This Row],[material]],SupplyStructureTable[material],SupplyStructureTable[산업 수급
구조 점수])</f>
        <v>0</v>
      </c>
      <c r="G53" s="147">
        <f t="shared" si="0"/>
        <v>53</v>
      </c>
      <c r="H53" s="148" t="s">
        <v>4435</v>
      </c>
      <c r="I53" s="148" t="s">
        <v>4436</v>
      </c>
    </row>
    <row r="54" spans="1:9" ht="33">
      <c r="A54" s="143">
        <v>53</v>
      </c>
      <c r="B54" s="143" t="s">
        <v>3762</v>
      </c>
      <c r="C54" s="144" t="s">
        <v>96</v>
      </c>
      <c r="D54" s="146">
        <f>_xlfn.XLOOKUP(C54,ValueChainRatingTable[material],ValueChainRatingTable[재평가
점수])</f>
        <v>35</v>
      </c>
      <c r="E54" s="144">
        <v>18</v>
      </c>
      <c r="F54" s="146">
        <f>_xlfn.XLOOKUP(표22[[#This Row],[material]],SupplyStructureTable[material],SupplyStructureTable[산업 수급
구조 점수])</f>
        <v>0</v>
      </c>
      <c r="G54" s="147">
        <f t="shared" si="0"/>
        <v>53</v>
      </c>
      <c r="H54" s="148" t="s">
        <v>4437</v>
      </c>
      <c r="I54" s="148" t="s">
        <v>4438</v>
      </c>
    </row>
    <row r="55" spans="1:9" ht="33">
      <c r="A55" s="143">
        <v>54</v>
      </c>
      <c r="B55" s="143" t="s">
        <v>3750</v>
      </c>
      <c r="C55" s="144" t="s">
        <v>901</v>
      </c>
      <c r="D55" s="146">
        <f>_xlfn.XLOOKUP(C55,ValueChainRatingTable[material],ValueChainRatingTable[재평가
점수])</f>
        <v>35</v>
      </c>
      <c r="E55" s="144">
        <v>18</v>
      </c>
      <c r="F55" s="146">
        <f>_xlfn.XLOOKUP(표22[[#This Row],[material]],SupplyStructureTable[material],SupplyStructureTable[산업 수급
구조 점수])</f>
        <v>0</v>
      </c>
      <c r="G55" s="147">
        <f t="shared" si="0"/>
        <v>53</v>
      </c>
      <c r="H55" s="148" t="s">
        <v>4439</v>
      </c>
      <c r="I55" s="148" t="s">
        <v>4440</v>
      </c>
    </row>
    <row r="56" spans="1:9" ht="33">
      <c r="A56" s="143">
        <v>54</v>
      </c>
      <c r="B56" s="143" t="s">
        <v>3749</v>
      </c>
      <c r="C56" s="144" t="s">
        <v>901</v>
      </c>
      <c r="D56" s="146">
        <f>_xlfn.XLOOKUP(C56,ValueChainRatingTable[material],ValueChainRatingTable[재평가
점수])</f>
        <v>35</v>
      </c>
      <c r="E56" s="144">
        <v>18</v>
      </c>
      <c r="F56" s="146">
        <f>_xlfn.XLOOKUP(표22[[#This Row],[material]],SupplyStructureTable[material],SupplyStructureTable[산업 수급
구조 점수])</f>
        <v>0</v>
      </c>
      <c r="G56" s="147">
        <f t="shared" si="0"/>
        <v>53</v>
      </c>
      <c r="H56" s="148" t="s">
        <v>4441</v>
      </c>
      <c r="I56" s="148" t="s">
        <v>4442</v>
      </c>
    </row>
    <row r="57" spans="1:9" ht="33">
      <c r="A57" s="143">
        <v>56</v>
      </c>
      <c r="B57" s="143" t="s">
        <v>3750</v>
      </c>
      <c r="C57" s="144" t="s">
        <v>902</v>
      </c>
      <c r="D57" s="146">
        <f>_xlfn.XLOOKUP(C57,ValueChainRatingTable[material],ValueChainRatingTable[재평가
점수])</f>
        <v>20</v>
      </c>
      <c r="E57" s="144">
        <v>18</v>
      </c>
      <c r="F57" s="146">
        <f>_xlfn.XLOOKUP(표22[[#This Row],[material]],SupplyStructureTable[material],SupplyStructureTable[산업 수급
구조 점수])</f>
        <v>0</v>
      </c>
      <c r="G57" s="147">
        <f t="shared" si="0"/>
        <v>38</v>
      </c>
      <c r="H57" s="148" t="s">
        <v>4443</v>
      </c>
      <c r="I57" s="148" t="s">
        <v>4440</v>
      </c>
    </row>
    <row r="58" spans="1:9" ht="33">
      <c r="A58" s="143">
        <v>57</v>
      </c>
      <c r="B58" s="143" t="s">
        <v>3749</v>
      </c>
      <c r="C58" s="144" t="s">
        <v>122</v>
      </c>
      <c r="D58" s="146">
        <f>_xlfn.XLOOKUP(C58,ValueChainRatingTable[material],ValueChainRatingTable[재평가
점수])</f>
        <v>35</v>
      </c>
      <c r="E58" s="144">
        <v>18</v>
      </c>
      <c r="F58" s="146">
        <f>_xlfn.XLOOKUP(표22[[#This Row],[material]],SupplyStructureTable[material],SupplyStructureTable[산업 수급
구조 점수])</f>
        <v>0</v>
      </c>
      <c r="G58" s="147">
        <f t="shared" si="0"/>
        <v>53</v>
      </c>
      <c r="H58" s="148" t="s">
        <v>4444</v>
      </c>
      <c r="I58" s="148" t="s">
        <v>4445</v>
      </c>
    </row>
    <row r="59" spans="1:9" ht="33">
      <c r="A59" s="143">
        <v>58</v>
      </c>
      <c r="B59" s="143" t="s">
        <v>3751</v>
      </c>
      <c r="C59" s="144" t="s">
        <v>119</v>
      </c>
      <c r="D59" s="146">
        <f>_xlfn.XLOOKUP(C59,ValueChainRatingTable[material],ValueChainRatingTable[재평가
점수])</f>
        <v>35</v>
      </c>
      <c r="E59" s="144">
        <v>18</v>
      </c>
      <c r="F59" s="146">
        <f>_xlfn.XLOOKUP(표22[[#This Row],[material]],SupplyStructureTable[material],SupplyStructureTable[산업 수급
구조 점수])</f>
        <v>12</v>
      </c>
      <c r="G59" s="147">
        <f t="shared" si="0"/>
        <v>65</v>
      </c>
      <c r="H59" s="148" t="s">
        <v>4446</v>
      </c>
      <c r="I59" s="148" t="s">
        <v>4447</v>
      </c>
    </row>
    <row r="60" spans="1:9" ht="33">
      <c r="A60" s="143">
        <v>59</v>
      </c>
      <c r="B60" s="143" t="s">
        <v>3758</v>
      </c>
      <c r="C60" s="144" t="s">
        <v>118</v>
      </c>
      <c r="D60" s="146">
        <f>_xlfn.XLOOKUP(C60,ValueChainRatingTable[material],ValueChainRatingTable[재평가
점수])</f>
        <v>35</v>
      </c>
      <c r="E60" s="144">
        <v>18</v>
      </c>
      <c r="F60" s="146">
        <f>_xlfn.XLOOKUP(표22[[#This Row],[material]],SupplyStructureTable[material],SupplyStructureTable[산업 수급
구조 점수])</f>
        <v>12</v>
      </c>
      <c r="G60" s="147">
        <f t="shared" si="0"/>
        <v>65</v>
      </c>
      <c r="H60" s="148" t="s">
        <v>4448</v>
      </c>
      <c r="I60" s="148" t="s">
        <v>4449</v>
      </c>
    </row>
    <row r="61" spans="1:9" ht="33">
      <c r="A61" s="143">
        <v>60</v>
      </c>
      <c r="B61" s="143" t="s">
        <v>3759</v>
      </c>
      <c r="C61" s="144" t="s">
        <v>966</v>
      </c>
      <c r="D61" s="146">
        <f>_xlfn.XLOOKUP(C61,ValueChainRatingTable[material],ValueChainRatingTable[재평가
점수])</f>
        <v>35</v>
      </c>
      <c r="E61" s="144">
        <v>18</v>
      </c>
      <c r="F61" s="146">
        <f>_xlfn.XLOOKUP(표22[[#This Row],[material]],SupplyStructureTable[material],SupplyStructureTable[산업 수급
구조 점수])</f>
        <v>12</v>
      </c>
      <c r="G61" s="147">
        <f t="shared" si="0"/>
        <v>65</v>
      </c>
      <c r="H61" s="148" t="s">
        <v>4450</v>
      </c>
      <c r="I61" s="148" t="s">
        <v>4451</v>
      </c>
    </row>
    <row r="62" spans="1:9" ht="33">
      <c r="A62" s="143">
        <v>61</v>
      </c>
      <c r="B62" s="143" t="s">
        <v>3751</v>
      </c>
      <c r="C62" s="144" t="s">
        <v>967</v>
      </c>
      <c r="D62" s="146">
        <f>_xlfn.XLOOKUP(C62,ValueChainRatingTable[material],ValueChainRatingTable[재평가
점수])</f>
        <v>35</v>
      </c>
      <c r="E62" s="144">
        <v>18</v>
      </c>
      <c r="F62" s="146">
        <f>_xlfn.XLOOKUP(표22[[#This Row],[material]],SupplyStructureTable[material],SupplyStructureTable[산업 수급
구조 점수])</f>
        <v>0</v>
      </c>
      <c r="G62" s="147">
        <f t="shared" si="0"/>
        <v>53</v>
      </c>
      <c r="H62" s="148" t="s">
        <v>4452</v>
      </c>
      <c r="I62" s="148" t="s">
        <v>4453</v>
      </c>
    </row>
    <row r="63" spans="1:9" ht="33">
      <c r="A63" s="143">
        <v>62</v>
      </c>
      <c r="B63" s="144" t="s">
        <v>2083</v>
      </c>
      <c r="C63" s="144" t="s">
        <v>971</v>
      </c>
      <c r="D63" s="146">
        <f>_xlfn.XLOOKUP(C63,ValueChainRatingTable[material],ValueChainRatingTable[재평가
점수])</f>
        <v>35</v>
      </c>
      <c r="E63" s="144">
        <v>18</v>
      </c>
      <c r="F63" s="146">
        <f>_xlfn.XLOOKUP(표22[[#This Row],[material]],SupplyStructureTable[material],SupplyStructureTable[산업 수급
구조 점수])</f>
        <v>12</v>
      </c>
      <c r="G63" s="147">
        <f t="shared" si="0"/>
        <v>65</v>
      </c>
      <c r="H63" s="148" t="s">
        <v>4454</v>
      </c>
      <c r="I63" s="148" t="s">
        <v>4455</v>
      </c>
    </row>
    <row r="64" spans="1:9" ht="33">
      <c r="A64" s="143">
        <v>63</v>
      </c>
      <c r="B64" s="144" t="s">
        <v>2083</v>
      </c>
      <c r="C64" s="144" t="s">
        <v>1564</v>
      </c>
      <c r="D64" s="146">
        <f>_xlfn.XLOOKUP(C64,ValueChainRatingTable[material],ValueChainRatingTable[재평가
점수])</f>
        <v>35</v>
      </c>
      <c r="E64" s="144">
        <v>18</v>
      </c>
      <c r="F64" s="146">
        <f>_xlfn.XLOOKUP(표22[[#This Row],[material]],SupplyStructureTable[material],SupplyStructureTable[산업 수급
구조 점수])</f>
        <v>0</v>
      </c>
      <c r="G64" s="147">
        <f t="shared" si="0"/>
        <v>53</v>
      </c>
      <c r="H64" s="148" t="s">
        <v>4456</v>
      </c>
      <c r="I64" s="148" t="s">
        <v>4457</v>
      </c>
    </row>
    <row r="65" spans="1:9" ht="33">
      <c r="A65" s="143">
        <v>63</v>
      </c>
      <c r="B65" s="143" t="s">
        <v>3761</v>
      </c>
      <c r="C65" s="144" t="s">
        <v>1564</v>
      </c>
      <c r="D65" s="146">
        <f>_xlfn.XLOOKUP(C65,ValueChainRatingTable[material],ValueChainRatingTable[재평가
점수])</f>
        <v>35</v>
      </c>
      <c r="E65" s="144">
        <v>18</v>
      </c>
      <c r="F65" s="146">
        <f>_xlfn.XLOOKUP(표22[[#This Row],[material]],SupplyStructureTable[material],SupplyStructureTable[산업 수급
구조 점수])</f>
        <v>0</v>
      </c>
      <c r="G65" s="147">
        <f t="shared" si="0"/>
        <v>53</v>
      </c>
      <c r="H65" s="148" t="s">
        <v>4458</v>
      </c>
      <c r="I65" s="148" t="s">
        <v>4459</v>
      </c>
    </row>
    <row r="66" spans="1:9" ht="33">
      <c r="A66" s="143">
        <v>65</v>
      </c>
      <c r="B66" s="143" t="s">
        <v>3751</v>
      </c>
      <c r="C66" s="144" t="s">
        <v>917</v>
      </c>
      <c r="D66" s="146">
        <f>_xlfn.XLOOKUP(C66,ValueChainRatingTable[material],ValueChainRatingTable[재평가
점수])</f>
        <v>35</v>
      </c>
      <c r="E66" s="144">
        <v>18</v>
      </c>
      <c r="F66" s="146">
        <f>_xlfn.XLOOKUP(표22[[#This Row],[material]],SupplyStructureTable[material],SupplyStructureTable[산업 수급
구조 점수])</f>
        <v>0</v>
      </c>
      <c r="G66" s="147">
        <f t="shared" ref="G66:G105" si="1">SUM(D66:F66)</f>
        <v>53</v>
      </c>
      <c r="H66" s="148" t="s">
        <v>4460</v>
      </c>
      <c r="I66" s="148" t="s">
        <v>4453</v>
      </c>
    </row>
    <row r="67" spans="1:9" ht="49.5">
      <c r="A67" s="143">
        <v>66</v>
      </c>
      <c r="B67" s="143" t="s">
        <v>3740</v>
      </c>
      <c r="C67" s="144" t="s">
        <v>3706</v>
      </c>
      <c r="D67" s="145">
        <f>_xlfn.XLOOKUP(C67,ValueChainRatingTable[material],ValueChainRatingTable[재평가
점수])</f>
        <v>50</v>
      </c>
      <c r="E67" s="145">
        <v>25</v>
      </c>
      <c r="F67" s="145">
        <f>_xlfn.XLOOKUP(표22[[#This Row],[material]],SupplyStructureTable[material],SupplyStructureTable[산업 수급
구조 점수])</f>
        <v>25</v>
      </c>
      <c r="G67" s="147">
        <f t="shared" si="1"/>
        <v>100</v>
      </c>
      <c r="H67" s="148" t="s">
        <v>4461</v>
      </c>
      <c r="I67" s="148" t="s">
        <v>4462</v>
      </c>
    </row>
    <row r="68" spans="1:9" ht="33">
      <c r="A68" s="143">
        <v>67</v>
      </c>
      <c r="B68" s="143" t="s">
        <v>3740</v>
      </c>
      <c r="C68" s="144" t="s">
        <v>1539</v>
      </c>
      <c r="D68" s="146">
        <f>_xlfn.XLOOKUP(C68,ValueChainRatingTable[material],ValueChainRatingTable[재평가
점수])</f>
        <v>35</v>
      </c>
      <c r="E68" s="145">
        <v>25</v>
      </c>
      <c r="F68" s="145">
        <f>_xlfn.XLOOKUP(표22[[#This Row],[material]],SupplyStructureTable[material],SupplyStructureTable[산업 수급
구조 점수])</f>
        <v>25</v>
      </c>
      <c r="G68" s="147">
        <f t="shared" si="1"/>
        <v>85</v>
      </c>
      <c r="H68" s="148" t="s">
        <v>4463</v>
      </c>
      <c r="I68" s="148" t="s">
        <v>4464</v>
      </c>
    </row>
    <row r="69" spans="1:9" ht="33">
      <c r="A69" s="143">
        <v>68</v>
      </c>
      <c r="B69" s="143" t="s">
        <v>3753</v>
      </c>
      <c r="C69" s="144" t="s">
        <v>905</v>
      </c>
      <c r="D69" s="145">
        <f>_xlfn.XLOOKUP(C69,ValueChainRatingTable[material],ValueChainRatingTable[재평가
점수])</f>
        <v>50</v>
      </c>
      <c r="E69" s="144">
        <v>18</v>
      </c>
      <c r="F69" s="146">
        <f>_xlfn.XLOOKUP(표22[[#This Row],[material]],SupplyStructureTable[material],SupplyStructureTable[산업 수급
구조 점수])</f>
        <v>0</v>
      </c>
      <c r="G69" s="147">
        <f t="shared" si="1"/>
        <v>68</v>
      </c>
      <c r="H69" s="148" t="s">
        <v>4465</v>
      </c>
      <c r="I69" s="148" t="s">
        <v>4466</v>
      </c>
    </row>
    <row r="70" spans="1:9" ht="33">
      <c r="A70" s="143">
        <v>69</v>
      </c>
      <c r="B70" s="143" t="s">
        <v>3753</v>
      </c>
      <c r="C70" s="144" t="s">
        <v>1521</v>
      </c>
      <c r="D70" s="146">
        <f>_xlfn.XLOOKUP(C70,ValueChainRatingTable[material],ValueChainRatingTable[재평가
점수])</f>
        <v>35</v>
      </c>
      <c r="E70" s="144">
        <v>18</v>
      </c>
      <c r="F70" s="146">
        <f>_xlfn.XLOOKUP(표22[[#This Row],[material]],SupplyStructureTable[material],SupplyStructureTable[산업 수급
구조 점수])</f>
        <v>0</v>
      </c>
      <c r="G70" s="147">
        <f t="shared" si="1"/>
        <v>53</v>
      </c>
      <c r="H70" s="148" t="s">
        <v>4467</v>
      </c>
      <c r="I70" s="148" t="s">
        <v>4468</v>
      </c>
    </row>
    <row r="71" spans="1:9" ht="33">
      <c r="A71" s="143">
        <v>70</v>
      </c>
      <c r="B71" s="143" t="s">
        <v>3736</v>
      </c>
      <c r="C71" s="144" t="s">
        <v>3705</v>
      </c>
      <c r="D71" s="146">
        <f>_xlfn.XLOOKUP(C71,ValueChainRatingTable[material],ValueChainRatingTable[재평가
점수])</f>
        <v>20</v>
      </c>
      <c r="E71" s="145">
        <v>25</v>
      </c>
      <c r="F71" s="146">
        <f>_xlfn.XLOOKUP(표22[[#This Row],[material]],SupplyStructureTable[material],SupplyStructureTable[산업 수급
구조 점수])</f>
        <v>12</v>
      </c>
      <c r="G71" s="147">
        <f t="shared" si="1"/>
        <v>57</v>
      </c>
      <c r="H71" s="148" t="s">
        <v>4469</v>
      </c>
      <c r="I71" s="148" t="s">
        <v>4470</v>
      </c>
    </row>
    <row r="72" spans="1:9" ht="33">
      <c r="A72" s="143">
        <v>71</v>
      </c>
      <c r="B72" s="143" t="s">
        <v>3736</v>
      </c>
      <c r="C72" s="144" t="s">
        <v>3704</v>
      </c>
      <c r="D72" s="146">
        <f>_xlfn.XLOOKUP(C72,ValueChainRatingTable[material],ValueChainRatingTable[재평가
점수])</f>
        <v>20</v>
      </c>
      <c r="E72" s="145">
        <v>25</v>
      </c>
      <c r="F72" s="146">
        <f>_xlfn.XLOOKUP(표22[[#This Row],[material]],SupplyStructureTable[material],SupplyStructureTable[산업 수급
구조 점수])</f>
        <v>12</v>
      </c>
      <c r="G72" s="147">
        <f t="shared" si="1"/>
        <v>57</v>
      </c>
      <c r="H72" s="148" t="s">
        <v>4471</v>
      </c>
      <c r="I72" s="148" t="s">
        <v>4472</v>
      </c>
    </row>
    <row r="73" spans="1:9" ht="33">
      <c r="A73" s="143">
        <v>72</v>
      </c>
      <c r="B73" s="143" t="s">
        <v>3739</v>
      </c>
      <c r="C73" s="144" t="s">
        <v>1495</v>
      </c>
      <c r="D73" s="146">
        <f>_xlfn.XLOOKUP(C73,ValueChainRatingTable[material],ValueChainRatingTable[재평가
점수])</f>
        <v>20</v>
      </c>
      <c r="E73" s="144">
        <v>18</v>
      </c>
      <c r="F73" s="146">
        <f>_xlfn.XLOOKUP(표22[[#This Row],[material]],SupplyStructureTable[material],SupplyStructureTable[산업 수급
구조 점수])</f>
        <v>12</v>
      </c>
      <c r="G73" s="147">
        <f t="shared" si="1"/>
        <v>50</v>
      </c>
      <c r="H73" s="148" t="s">
        <v>4473</v>
      </c>
      <c r="I73" s="148" t="s">
        <v>4474</v>
      </c>
    </row>
    <row r="74" spans="1:9" ht="49.5">
      <c r="A74" s="143">
        <v>73</v>
      </c>
      <c r="B74" s="143" t="s">
        <v>3739</v>
      </c>
      <c r="C74" s="144" t="s">
        <v>968</v>
      </c>
      <c r="D74" s="145">
        <f>_xlfn.XLOOKUP(C74,ValueChainRatingTable[material],ValueChainRatingTable[재평가
점수])</f>
        <v>50</v>
      </c>
      <c r="E74" s="145">
        <v>25</v>
      </c>
      <c r="F74" s="146">
        <f>_xlfn.XLOOKUP(표22[[#This Row],[material]],SupplyStructureTable[material],SupplyStructureTable[산업 수급
구조 점수])</f>
        <v>0</v>
      </c>
      <c r="G74" s="147">
        <f t="shared" si="1"/>
        <v>75</v>
      </c>
      <c r="H74" s="148" t="s">
        <v>4475</v>
      </c>
      <c r="I74" s="148" t="s">
        <v>4476</v>
      </c>
    </row>
    <row r="75" spans="1:9" ht="33">
      <c r="A75" s="143">
        <v>74</v>
      </c>
      <c r="B75" s="143" t="s">
        <v>3757</v>
      </c>
      <c r="C75" s="144" t="s">
        <v>1476</v>
      </c>
      <c r="D75" s="146">
        <f>_xlfn.XLOOKUP(C75,ValueChainRatingTable[material],ValueChainRatingTable[재평가
점수])</f>
        <v>35</v>
      </c>
      <c r="E75" s="145">
        <v>25</v>
      </c>
      <c r="F75" s="146">
        <f>_xlfn.XLOOKUP(표22[[#This Row],[material]],SupplyStructureTable[material],SupplyStructureTable[산업 수급
구조 점수])</f>
        <v>0</v>
      </c>
      <c r="G75" s="147">
        <f t="shared" si="1"/>
        <v>60</v>
      </c>
      <c r="H75" s="148" t="s">
        <v>4477</v>
      </c>
      <c r="I75" s="148" t="s">
        <v>4478</v>
      </c>
    </row>
    <row r="76" spans="1:9" ht="33">
      <c r="A76" s="143">
        <v>74</v>
      </c>
      <c r="B76" s="143" t="s">
        <v>3758</v>
      </c>
      <c r="C76" s="144" t="s">
        <v>1476</v>
      </c>
      <c r="D76" s="146">
        <f>_xlfn.XLOOKUP(C76,ValueChainRatingTable[material],ValueChainRatingTable[재평가
점수])</f>
        <v>35</v>
      </c>
      <c r="E76" s="145">
        <v>25</v>
      </c>
      <c r="F76" s="146">
        <f>_xlfn.XLOOKUP(표22[[#This Row],[material]],SupplyStructureTable[material],SupplyStructureTable[산업 수급
구조 점수])</f>
        <v>0</v>
      </c>
      <c r="G76" s="147">
        <f t="shared" si="1"/>
        <v>60</v>
      </c>
      <c r="H76" s="148" t="s">
        <v>4479</v>
      </c>
      <c r="I76" s="148" t="s">
        <v>4480</v>
      </c>
    </row>
    <row r="77" spans="1:9" ht="33">
      <c r="A77" s="143">
        <v>76</v>
      </c>
      <c r="B77" s="143" t="s">
        <v>3757</v>
      </c>
      <c r="C77" s="144" t="s">
        <v>1466</v>
      </c>
      <c r="D77" s="146">
        <f>_xlfn.XLOOKUP(C77,ValueChainRatingTable[material],ValueChainRatingTable[재평가
점수])</f>
        <v>35</v>
      </c>
      <c r="E77" s="144">
        <v>18</v>
      </c>
      <c r="F77" s="146">
        <f>_xlfn.XLOOKUP(표22[[#This Row],[material]],SupplyStructureTable[material],SupplyStructureTable[산업 수급
구조 점수])</f>
        <v>0</v>
      </c>
      <c r="G77" s="147">
        <f t="shared" si="1"/>
        <v>53</v>
      </c>
      <c r="H77" s="148" t="s">
        <v>4481</v>
      </c>
      <c r="I77" s="148" t="s">
        <v>4482</v>
      </c>
    </row>
    <row r="78" spans="1:9" ht="33">
      <c r="A78" s="143">
        <v>77</v>
      </c>
      <c r="B78" s="143" t="s">
        <v>3761</v>
      </c>
      <c r="C78" s="144" t="s">
        <v>972</v>
      </c>
      <c r="D78" s="146">
        <f>_xlfn.XLOOKUP(C78,ValueChainRatingTable[material],ValueChainRatingTable[재평가
점수])</f>
        <v>35</v>
      </c>
      <c r="E78" s="144">
        <v>18</v>
      </c>
      <c r="F78" s="146">
        <f>_xlfn.XLOOKUP(표22[[#This Row],[material]],SupplyStructureTable[material],SupplyStructureTable[산업 수급
구조 점수])</f>
        <v>12</v>
      </c>
      <c r="G78" s="147">
        <f t="shared" si="1"/>
        <v>65</v>
      </c>
      <c r="H78" s="148" t="s">
        <v>4483</v>
      </c>
      <c r="I78" s="148" t="s">
        <v>4484</v>
      </c>
    </row>
    <row r="79" spans="1:9" ht="33">
      <c r="A79" s="143">
        <v>78</v>
      </c>
      <c r="B79" s="143" t="s">
        <v>3760</v>
      </c>
      <c r="C79" s="144" t="s">
        <v>969</v>
      </c>
      <c r="D79" s="146">
        <f>_xlfn.XLOOKUP(C79,ValueChainRatingTable[material],ValueChainRatingTable[재평가
점수])</f>
        <v>35</v>
      </c>
      <c r="E79" s="144">
        <v>18</v>
      </c>
      <c r="F79" s="145">
        <f>_xlfn.XLOOKUP(표22[[#This Row],[material]],SupplyStructureTable[material],SupplyStructureTable[산업 수급
구조 점수])</f>
        <v>25</v>
      </c>
      <c r="G79" s="147">
        <f t="shared" si="1"/>
        <v>78</v>
      </c>
      <c r="H79" s="148" t="s">
        <v>4485</v>
      </c>
      <c r="I79" s="148" t="s">
        <v>4486</v>
      </c>
    </row>
    <row r="80" spans="1:9" ht="33">
      <c r="A80" s="143">
        <v>79</v>
      </c>
      <c r="B80" s="143" t="s">
        <v>3735</v>
      </c>
      <c r="C80" s="144" t="s">
        <v>906</v>
      </c>
      <c r="D80" s="145">
        <f>_xlfn.XLOOKUP(C80,ValueChainRatingTable[material],ValueChainRatingTable[재평가
점수])</f>
        <v>50</v>
      </c>
      <c r="E80" s="144">
        <v>18</v>
      </c>
      <c r="F80" s="146">
        <f>_xlfn.XLOOKUP(표22[[#This Row],[material]],SupplyStructureTable[material],SupplyStructureTable[산업 수급
구조 점수])</f>
        <v>0</v>
      </c>
      <c r="G80" s="147">
        <f t="shared" si="1"/>
        <v>68</v>
      </c>
      <c r="H80" s="148" t="s">
        <v>4487</v>
      </c>
      <c r="I80" s="148" t="s">
        <v>4488</v>
      </c>
    </row>
    <row r="81" spans="1:9" ht="33">
      <c r="A81" s="143">
        <v>80</v>
      </c>
      <c r="B81" s="143" t="s">
        <v>3760</v>
      </c>
      <c r="C81" s="144" t="s">
        <v>1440</v>
      </c>
      <c r="D81" s="146">
        <f>_xlfn.XLOOKUP(C81,ValueChainRatingTable[material],ValueChainRatingTable[재평가
점수])</f>
        <v>35</v>
      </c>
      <c r="E81" s="144">
        <v>18</v>
      </c>
      <c r="F81" s="145">
        <f>_xlfn.XLOOKUP(표22[[#This Row],[material]],SupplyStructureTable[material],SupplyStructureTable[산업 수급
구조 점수])</f>
        <v>25</v>
      </c>
      <c r="G81" s="147">
        <f t="shared" si="1"/>
        <v>78</v>
      </c>
      <c r="H81" s="148" t="s">
        <v>4489</v>
      </c>
      <c r="I81" s="148" t="s">
        <v>4490</v>
      </c>
    </row>
    <row r="82" spans="1:9" ht="33">
      <c r="A82" s="143">
        <v>81</v>
      </c>
      <c r="B82" s="143" t="s">
        <v>3735</v>
      </c>
      <c r="C82" s="144" t="s">
        <v>907</v>
      </c>
      <c r="D82" s="145">
        <f>_xlfn.XLOOKUP(C82,ValueChainRatingTable[material],ValueChainRatingTable[재평가
점수])</f>
        <v>50</v>
      </c>
      <c r="E82" s="144">
        <v>18</v>
      </c>
      <c r="F82" s="146">
        <f>_xlfn.XLOOKUP(표22[[#This Row],[material]],SupplyStructureTable[material],SupplyStructureTable[산업 수급
구조 점수])</f>
        <v>0</v>
      </c>
      <c r="G82" s="147">
        <f t="shared" si="1"/>
        <v>68</v>
      </c>
      <c r="H82" s="148" t="s">
        <v>4491</v>
      </c>
      <c r="I82" s="148" t="s">
        <v>4492</v>
      </c>
    </row>
    <row r="83" spans="1:9" ht="33">
      <c r="A83" s="143">
        <v>82</v>
      </c>
      <c r="B83" s="143" t="s">
        <v>3735</v>
      </c>
      <c r="C83" s="144" t="s">
        <v>1430</v>
      </c>
      <c r="D83" s="146">
        <f>_xlfn.XLOOKUP(C83,ValueChainRatingTable[material],ValueChainRatingTable[재평가
점수])</f>
        <v>35</v>
      </c>
      <c r="E83" s="144">
        <v>18</v>
      </c>
      <c r="F83" s="145">
        <f>_xlfn.XLOOKUP(표22[[#This Row],[material]],SupplyStructureTable[material],SupplyStructureTable[산업 수급
구조 점수])</f>
        <v>25</v>
      </c>
      <c r="G83" s="147">
        <f t="shared" si="1"/>
        <v>78</v>
      </c>
      <c r="H83" s="148" t="s">
        <v>4493</v>
      </c>
      <c r="I83" s="148" t="s">
        <v>4494</v>
      </c>
    </row>
    <row r="84" spans="1:9" ht="33">
      <c r="A84" s="143">
        <v>83</v>
      </c>
      <c r="B84" s="143" t="s">
        <v>3735</v>
      </c>
      <c r="C84" s="144" t="s">
        <v>908</v>
      </c>
      <c r="D84" s="146">
        <f>_xlfn.XLOOKUP(C84,ValueChainRatingTable[material],ValueChainRatingTable[재평가
점수])</f>
        <v>20</v>
      </c>
      <c r="E84" s="144">
        <v>18</v>
      </c>
      <c r="F84" s="146">
        <f>_xlfn.XLOOKUP(표22[[#This Row],[material]],SupplyStructureTable[material],SupplyStructureTable[산업 수급
구조 점수])</f>
        <v>0</v>
      </c>
      <c r="G84" s="147">
        <f t="shared" si="1"/>
        <v>38</v>
      </c>
      <c r="H84" s="148" t="s">
        <v>4495</v>
      </c>
      <c r="I84" s="148" t="s">
        <v>4492</v>
      </c>
    </row>
    <row r="85" spans="1:9" ht="33">
      <c r="A85" s="143">
        <v>83</v>
      </c>
      <c r="B85" s="143" t="s">
        <v>3734</v>
      </c>
      <c r="C85" s="144" t="s">
        <v>908</v>
      </c>
      <c r="D85" s="146">
        <f>_xlfn.XLOOKUP(C85,ValueChainRatingTable[material],ValueChainRatingTable[재평가
점수])</f>
        <v>20</v>
      </c>
      <c r="E85" s="144">
        <v>18</v>
      </c>
      <c r="F85" s="146">
        <f>_xlfn.XLOOKUP(표22[[#This Row],[material]],SupplyStructureTable[material],SupplyStructureTable[산업 수급
구조 점수])</f>
        <v>0</v>
      </c>
      <c r="G85" s="147">
        <f t="shared" si="1"/>
        <v>38</v>
      </c>
      <c r="H85" s="148" t="s">
        <v>4496</v>
      </c>
      <c r="I85" s="148" t="s">
        <v>4362</v>
      </c>
    </row>
    <row r="86" spans="1:9" ht="33">
      <c r="A86" s="143">
        <v>85</v>
      </c>
      <c r="B86" s="143" t="s">
        <v>3755</v>
      </c>
      <c r="C86" s="144" t="s">
        <v>1400</v>
      </c>
      <c r="D86" s="145">
        <f>_xlfn.XLOOKUP(C86,ValueChainRatingTable[material],ValueChainRatingTable[재평가
점수])</f>
        <v>50</v>
      </c>
      <c r="E86" s="144">
        <v>18</v>
      </c>
      <c r="F86" s="146">
        <f>_xlfn.XLOOKUP(표22[[#This Row],[material]],SupplyStructureTable[material],SupplyStructureTable[산업 수급
구조 점수])</f>
        <v>0</v>
      </c>
      <c r="G86" s="147">
        <f t="shared" si="1"/>
        <v>68</v>
      </c>
      <c r="H86" s="148" t="s">
        <v>4497</v>
      </c>
      <c r="I86" s="148" t="s">
        <v>4498</v>
      </c>
    </row>
    <row r="87" spans="1:9" ht="49.5">
      <c r="A87" s="143">
        <v>86</v>
      </c>
      <c r="B87" s="143" t="s">
        <v>3733</v>
      </c>
      <c r="C87" s="144" t="s">
        <v>1384</v>
      </c>
      <c r="D87" s="146">
        <f>_xlfn.XLOOKUP(C87,ValueChainRatingTable[material],ValueChainRatingTable[재평가
점수])</f>
        <v>20</v>
      </c>
      <c r="E87" s="144">
        <v>18</v>
      </c>
      <c r="F87" s="146">
        <f>_xlfn.XLOOKUP(표22[[#This Row],[material]],SupplyStructureTable[material],SupplyStructureTable[산업 수급
구조 점수])</f>
        <v>0</v>
      </c>
      <c r="G87" s="147">
        <f t="shared" si="1"/>
        <v>38</v>
      </c>
      <c r="H87" s="148" t="s">
        <v>4499</v>
      </c>
      <c r="I87" s="148" t="s">
        <v>4500</v>
      </c>
    </row>
    <row r="88" spans="1:9" ht="33">
      <c r="A88" s="143">
        <v>86</v>
      </c>
      <c r="B88" s="143" t="s">
        <v>3749</v>
      </c>
      <c r="C88" s="144" t="s">
        <v>1384</v>
      </c>
      <c r="D88" s="146">
        <f>_xlfn.XLOOKUP(C88,ValueChainRatingTable[material],ValueChainRatingTable[재평가
점수])</f>
        <v>20</v>
      </c>
      <c r="E88" s="144">
        <v>18</v>
      </c>
      <c r="F88" s="146">
        <f>_xlfn.XLOOKUP(표22[[#This Row],[material]],SupplyStructureTable[material],SupplyStructureTable[산업 수급
구조 점수])</f>
        <v>0</v>
      </c>
      <c r="G88" s="147">
        <f t="shared" si="1"/>
        <v>38</v>
      </c>
      <c r="H88" s="148" t="s">
        <v>4501</v>
      </c>
      <c r="I88" s="148" t="s">
        <v>4502</v>
      </c>
    </row>
    <row r="89" spans="1:9" ht="33">
      <c r="A89" s="143">
        <v>88</v>
      </c>
      <c r="B89" s="143" t="s">
        <v>3751</v>
      </c>
      <c r="C89" s="144" t="s">
        <v>915</v>
      </c>
      <c r="D89" s="146">
        <f>_xlfn.XLOOKUP(C89,ValueChainRatingTable[material],ValueChainRatingTable[재평가
점수])</f>
        <v>20</v>
      </c>
      <c r="E89" s="144">
        <v>18</v>
      </c>
      <c r="F89" s="146">
        <f>_xlfn.XLOOKUP(표22[[#This Row],[material]],SupplyStructureTable[material],SupplyStructureTable[산업 수급
구조 점수])</f>
        <v>12</v>
      </c>
      <c r="G89" s="147">
        <f t="shared" si="1"/>
        <v>50</v>
      </c>
      <c r="H89" s="148" t="s">
        <v>4503</v>
      </c>
      <c r="I89" s="148" t="s">
        <v>4504</v>
      </c>
    </row>
    <row r="90" spans="1:9" ht="33">
      <c r="A90" s="143">
        <v>89</v>
      </c>
      <c r="B90" s="143" t="s">
        <v>3754</v>
      </c>
      <c r="C90" s="144" t="s">
        <v>1356</v>
      </c>
      <c r="D90" s="146">
        <f>_xlfn.XLOOKUP(C90,ValueChainRatingTable[material],ValueChainRatingTable[재평가
점수])</f>
        <v>35</v>
      </c>
      <c r="E90" s="144">
        <v>18</v>
      </c>
      <c r="F90" s="145">
        <f>_xlfn.XLOOKUP(표22[[#This Row],[material]],SupplyStructureTable[material],SupplyStructureTable[산업 수급
구조 점수])</f>
        <v>25</v>
      </c>
      <c r="G90" s="147">
        <f t="shared" si="1"/>
        <v>78</v>
      </c>
      <c r="H90" s="148" t="s">
        <v>4505</v>
      </c>
      <c r="I90" s="148" t="s">
        <v>4506</v>
      </c>
    </row>
    <row r="91" spans="1:9" ht="33">
      <c r="A91" s="143">
        <v>90</v>
      </c>
      <c r="B91" s="144" t="s">
        <v>2082</v>
      </c>
      <c r="C91" s="144" t="s">
        <v>1345</v>
      </c>
      <c r="D91" s="146">
        <f>_xlfn.XLOOKUP(C91,ValueChainRatingTable[material],ValueChainRatingTable[재평가
점수])</f>
        <v>35</v>
      </c>
      <c r="E91" s="144">
        <v>18</v>
      </c>
      <c r="F91" s="145">
        <f>_xlfn.XLOOKUP(표22[[#This Row],[material]],SupplyStructureTable[material],SupplyStructureTable[산업 수급
구조 점수])</f>
        <v>25</v>
      </c>
      <c r="G91" s="147">
        <f t="shared" si="1"/>
        <v>78</v>
      </c>
      <c r="H91" s="148" t="s">
        <v>4507</v>
      </c>
      <c r="I91" s="148" t="s">
        <v>4508</v>
      </c>
    </row>
    <row r="92" spans="1:9" ht="33">
      <c r="A92" s="143">
        <v>91</v>
      </c>
      <c r="B92" s="143" t="s">
        <v>3754</v>
      </c>
      <c r="C92" s="144" t="s">
        <v>2060</v>
      </c>
      <c r="D92" s="146">
        <f>_xlfn.XLOOKUP(C92,ValueChainRatingTable[material],ValueChainRatingTable[재평가
점수])</f>
        <v>20</v>
      </c>
      <c r="E92" s="144">
        <v>18</v>
      </c>
      <c r="F92" s="145">
        <f>_xlfn.XLOOKUP(표22[[#This Row],[material]],SupplyStructureTable[material],SupplyStructureTable[산업 수급
구조 점수])</f>
        <v>25</v>
      </c>
      <c r="G92" s="147">
        <f t="shared" si="1"/>
        <v>63</v>
      </c>
      <c r="H92" s="148" t="s">
        <v>4509</v>
      </c>
      <c r="I92" s="148" t="s">
        <v>4510</v>
      </c>
    </row>
    <row r="93" spans="1:9" ht="33">
      <c r="A93" s="143">
        <v>92</v>
      </c>
      <c r="B93" s="143" t="s">
        <v>3754</v>
      </c>
      <c r="C93" s="144" t="s">
        <v>2061</v>
      </c>
      <c r="D93" s="146">
        <f>_xlfn.XLOOKUP(C93,ValueChainRatingTable[material],ValueChainRatingTable[재평가
점수])</f>
        <v>20</v>
      </c>
      <c r="E93" s="144">
        <v>18</v>
      </c>
      <c r="F93" s="145">
        <f>_xlfn.XLOOKUP(표22[[#This Row],[material]],SupplyStructureTable[material],SupplyStructureTable[산업 수급
구조 점수])</f>
        <v>25</v>
      </c>
      <c r="G93" s="147">
        <f t="shared" si="1"/>
        <v>63</v>
      </c>
      <c r="H93" s="148" t="s">
        <v>4511</v>
      </c>
      <c r="I93" s="148" t="s">
        <v>4512</v>
      </c>
    </row>
    <row r="94" spans="1:9" ht="49.5">
      <c r="A94" s="143">
        <v>93</v>
      </c>
      <c r="B94" s="143" t="s">
        <v>3747</v>
      </c>
      <c r="C94" s="144" t="s">
        <v>4513</v>
      </c>
      <c r="D94" s="146">
        <f>_xlfn.XLOOKUP(C94,ValueChainRatingTable[material],ValueChainRatingTable[재평가
점수])</f>
        <v>35</v>
      </c>
      <c r="E94" s="144">
        <v>18</v>
      </c>
      <c r="F94" s="146">
        <f>_xlfn.XLOOKUP(표22[[#This Row],[material]],SupplyStructureTable[material],SupplyStructureTable[산업 수급
구조 점수])</f>
        <v>0</v>
      </c>
      <c r="G94" s="147">
        <f t="shared" si="1"/>
        <v>53</v>
      </c>
      <c r="H94" s="148" t="s">
        <v>4392</v>
      </c>
      <c r="I94" s="148" t="s">
        <v>4514</v>
      </c>
    </row>
    <row r="95" spans="1:9" ht="33">
      <c r="A95" s="143">
        <v>94</v>
      </c>
      <c r="B95" s="144" t="s">
        <v>2083</v>
      </c>
      <c r="C95" s="144" t="s">
        <v>1290</v>
      </c>
      <c r="D95" s="146">
        <f>_xlfn.XLOOKUP(C95,ValueChainRatingTable[material],ValueChainRatingTable[재평가
점수])</f>
        <v>20</v>
      </c>
      <c r="E95" s="144">
        <v>18</v>
      </c>
      <c r="F95" s="146">
        <f>_xlfn.XLOOKUP(표22[[#This Row],[material]],SupplyStructureTable[material],SupplyStructureTable[산업 수급
구조 점수])</f>
        <v>12</v>
      </c>
      <c r="G95" s="147">
        <f t="shared" si="1"/>
        <v>50</v>
      </c>
      <c r="H95" s="148" t="s">
        <v>4515</v>
      </c>
      <c r="I95" s="148" t="s">
        <v>4516</v>
      </c>
    </row>
    <row r="96" spans="1:9" ht="33">
      <c r="A96" s="143">
        <v>94</v>
      </c>
      <c r="B96" s="144" t="s">
        <v>2082</v>
      </c>
      <c r="C96" s="144" t="s">
        <v>1290</v>
      </c>
      <c r="D96" s="146">
        <f>_xlfn.XLOOKUP(C96,ValueChainRatingTable[material],ValueChainRatingTable[재평가
점수])</f>
        <v>20</v>
      </c>
      <c r="E96" s="144">
        <v>18</v>
      </c>
      <c r="F96" s="146">
        <f>_xlfn.XLOOKUP(표22[[#This Row],[material]],SupplyStructureTable[material],SupplyStructureTable[산업 수급
구조 점수])</f>
        <v>12</v>
      </c>
      <c r="G96" s="147">
        <f t="shared" si="1"/>
        <v>50</v>
      </c>
      <c r="H96" s="148" t="s">
        <v>4517</v>
      </c>
      <c r="I96" s="148" t="s">
        <v>4508</v>
      </c>
    </row>
    <row r="97" spans="1:9" ht="66">
      <c r="A97" s="171">
        <v>96</v>
      </c>
      <c r="B97" s="144" t="s">
        <v>4036</v>
      </c>
      <c r="C97" s="144" t="s">
        <v>1054</v>
      </c>
      <c r="D97" s="146">
        <f>_xlfn.XLOOKUP(C97,ValueChainRatingTable[material],ValueChainRatingTable[재평가
점수])</f>
        <v>50</v>
      </c>
      <c r="E97" s="169">
        <v>18</v>
      </c>
      <c r="F97" s="146">
        <f>_xlfn.XLOOKUP(표22[[#This Row],[material]],SupplyStructureTable[material],SupplyStructureTable[산업 수급
구조 점수])</f>
        <v>0</v>
      </c>
      <c r="G97" s="147">
        <f t="shared" si="1"/>
        <v>68</v>
      </c>
      <c r="H97" s="170" t="s">
        <v>4520</v>
      </c>
      <c r="I97" s="170" t="s">
        <v>4542</v>
      </c>
    </row>
    <row r="98" spans="1:9" ht="49.5">
      <c r="A98" s="171">
        <v>97</v>
      </c>
      <c r="B98" s="144" t="s">
        <v>4036</v>
      </c>
      <c r="C98" s="144" t="s">
        <v>1057</v>
      </c>
      <c r="D98" s="146">
        <f>_xlfn.XLOOKUP(C98,ValueChainRatingTable[material],ValueChainRatingTable[재평가
점수])</f>
        <v>35</v>
      </c>
      <c r="E98" s="169">
        <v>25</v>
      </c>
      <c r="F98" s="146">
        <f>_xlfn.XLOOKUP(표22[[#This Row],[material]],SupplyStructureTable[material],SupplyStructureTable[산업 수급
구조 점수])</f>
        <v>25</v>
      </c>
      <c r="G98" s="147">
        <f t="shared" si="1"/>
        <v>85</v>
      </c>
      <c r="H98" s="170" t="s">
        <v>4522</v>
      </c>
      <c r="I98" s="170" t="s">
        <v>4533</v>
      </c>
    </row>
    <row r="99" spans="1:9" ht="49.5">
      <c r="A99" s="171">
        <v>98</v>
      </c>
      <c r="B99" s="144" t="s">
        <v>4036</v>
      </c>
      <c r="C99" s="144" t="s">
        <v>1058</v>
      </c>
      <c r="D99" s="146">
        <f>_xlfn.XLOOKUP(C99,ValueChainRatingTable[material],ValueChainRatingTable[재평가
점수])</f>
        <v>20</v>
      </c>
      <c r="E99" s="169">
        <v>25</v>
      </c>
      <c r="F99" s="146">
        <f>_xlfn.XLOOKUP(표22[[#This Row],[material]],SupplyStructureTable[material],SupplyStructureTable[산업 수급
구조 점수])</f>
        <v>25</v>
      </c>
      <c r="G99" s="147">
        <f t="shared" si="1"/>
        <v>70</v>
      </c>
      <c r="H99" s="170" t="s">
        <v>4524</v>
      </c>
      <c r="I99" s="170" t="s">
        <v>4534</v>
      </c>
    </row>
    <row r="100" spans="1:9" ht="49.5">
      <c r="A100" s="171">
        <v>99</v>
      </c>
      <c r="B100" s="144" t="s">
        <v>3755</v>
      </c>
      <c r="C100" s="144" t="s">
        <v>1056</v>
      </c>
      <c r="D100" s="146">
        <f>_xlfn.XLOOKUP(C100,ValueChainRatingTable[material],ValueChainRatingTable[재평가
점수])</f>
        <v>50</v>
      </c>
      <c r="E100" s="169">
        <v>18</v>
      </c>
      <c r="F100" s="146">
        <f>_xlfn.XLOOKUP(표22[[#This Row],[material]],SupplyStructureTable[material],SupplyStructureTable[산업 수급
구조 점수])</f>
        <v>25</v>
      </c>
      <c r="G100" s="147">
        <f t="shared" si="1"/>
        <v>93</v>
      </c>
      <c r="H100" s="170" t="s">
        <v>4526</v>
      </c>
      <c r="I100" s="170" t="s">
        <v>4535</v>
      </c>
    </row>
    <row r="101" spans="1:9" ht="66">
      <c r="A101" s="171">
        <v>100</v>
      </c>
      <c r="B101" s="144" t="s">
        <v>4033</v>
      </c>
      <c r="C101" s="144" t="s">
        <v>457</v>
      </c>
      <c r="D101" s="146">
        <f>_xlfn.XLOOKUP(C101,ValueChainRatingTable[material],ValueChainRatingTable[재평가
점수])</f>
        <v>20</v>
      </c>
      <c r="E101" s="169">
        <v>18</v>
      </c>
      <c r="F101" s="146">
        <f>_xlfn.XLOOKUP(표22[[#This Row],[material]],SupplyStructureTable[material],SupplyStructureTable[산업 수급
구조 점수])</f>
        <v>12</v>
      </c>
      <c r="G101" s="147">
        <f t="shared" si="1"/>
        <v>50</v>
      </c>
      <c r="H101" s="170" t="s">
        <v>4528</v>
      </c>
      <c r="I101" s="170" t="s">
        <v>4536</v>
      </c>
    </row>
    <row r="102" spans="1:9" ht="49.5">
      <c r="A102" s="171">
        <v>101</v>
      </c>
      <c r="B102" s="144" t="s">
        <v>4033</v>
      </c>
      <c r="C102" s="144" t="s">
        <v>4034</v>
      </c>
      <c r="D102" s="146">
        <f>_xlfn.XLOOKUP(C102,ValueChainRatingTable[material],ValueChainRatingTable[재평가
점수])</f>
        <v>0</v>
      </c>
      <c r="E102" s="169">
        <v>18</v>
      </c>
      <c r="F102" s="146">
        <f>_xlfn.XLOOKUP(표22[[#This Row],[material]],SupplyStructureTable[material],SupplyStructureTable[산업 수급
구조 점수])</f>
        <v>0</v>
      </c>
      <c r="G102" s="147">
        <f t="shared" si="1"/>
        <v>18</v>
      </c>
      <c r="H102" s="170" t="s">
        <v>4529</v>
      </c>
      <c r="I102" s="170" t="s">
        <v>4537</v>
      </c>
    </row>
    <row r="103" spans="1:9" ht="66">
      <c r="A103" s="171">
        <v>102</v>
      </c>
      <c r="B103" s="144" t="s">
        <v>4033</v>
      </c>
      <c r="C103" s="144" t="s">
        <v>593</v>
      </c>
      <c r="D103" s="146">
        <f>_xlfn.XLOOKUP(C103,ValueChainRatingTable[material],ValueChainRatingTable[재평가
점수])</f>
        <v>0</v>
      </c>
      <c r="E103" s="169">
        <v>18</v>
      </c>
      <c r="F103" s="146">
        <f>_xlfn.XLOOKUP(표22[[#This Row],[material]],SupplyStructureTable[material],SupplyStructureTable[산업 수급
구조 점수])</f>
        <v>18</v>
      </c>
      <c r="G103" s="147">
        <f t="shared" si="1"/>
        <v>36</v>
      </c>
      <c r="H103" s="170" t="s">
        <v>4530</v>
      </c>
      <c r="I103" s="170" t="s">
        <v>4538</v>
      </c>
    </row>
    <row r="104" spans="1:9" ht="49.5">
      <c r="A104" s="171">
        <v>103</v>
      </c>
      <c r="B104" s="144" t="s">
        <v>4037</v>
      </c>
      <c r="C104" s="144" t="s">
        <v>1002</v>
      </c>
      <c r="D104" s="146">
        <f>_xlfn.XLOOKUP(C104,ValueChainRatingTable[material],ValueChainRatingTable[재평가
점수])</f>
        <v>35</v>
      </c>
      <c r="E104" s="169">
        <v>18</v>
      </c>
      <c r="F104" s="146">
        <f>_xlfn.XLOOKUP(표22[[#This Row],[material]],SupplyStructureTable[material],SupplyStructureTable[산업 수급
구조 점수])</f>
        <v>25</v>
      </c>
      <c r="G104" s="147">
        <f t="shared" si="1"/>
        <v>78</v>
      </c>
      <c r="H104" s="170" t="s">
        <v>4531</v>
      </c>
      <c r="I104" s="170" t="s">
        <v>4539</v>
      </c>
    </row>
    <row r="105" spans="1:9" ht="66">
      <c r="A105" s="171">
        <v>104</v>
      </c>
      <c r="B105" s="144" t="s">
        <v>4037</v>
      </c>
      <c r="C105" s="144" t="s">
        <v>1083</v>
      </c>
      <c r="D105" s="146">
        <f>_xlfn.XLOOKUP(C105,ValueChainRatingTable[material],ValueChainRatingTable[재평가
점수])</f>
        <v>50</v>
      </c>
      <c r="E105" s="169">
        <v>18</v>
      </c>
      <c r="F105" s="146">
        <f>_xlfn.XLOOKUP(표22[[#This Row],[material]],SupplyStructureTable[material],SupplyStructureTable[산업 수급
구조 점수])</f>
        <v>0</v>
      </c>
      <c r="G105" s="147">
        <f t="shared" si="1"/>
        <v>68</v>
      </c>
      <c r="H105" s="170" t="s">
        <v>4532</v>
      </c>
      <c r="I105" s="170" t="s">
        <v>4540</v>
      </c>
    </row>
  </sheetData>
  <phoneticPr fontId="5" type="noConversion"/>
  <pageMargins left="0.7" right="0.7" top="0.75" bottom="0.75" header="0.3" footer="0.3"/>
  <headerFooter>
    <oddFooter>&amp;L_x000D_&amp;1#&amp;"Aptos"&amp;11&amp;K000000 S-OIL: Company Use Only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1D63A-9C6E-4716-9ADB-FB2E12623CA3}">
  <dimension ref="A1:P108"/>
  <sheetViews>
    <sheetView topLeftCell="A93" zoomScale="85" zoomScaleNormal="85" workbookViewId="0">
      <selection activeCell="C102" sqref="C102"/>
    </sheetView>
  </sheetViews>
  <sheetFormatPr defaultRowHeight="14.25"/>
  <cols>
    <col min="1" max="1" width="6" style="117" customWidth="1"/>
    <col min="2" max="2" width="22" style="117" customWidth="1"/>
    <col min="3" max="3" width="18" style="117" customWidth="1"/>
    <col min="4" max="4" width="17" style="117" customWidth="1"/>
    <col min="5" max="5" width="15" style="117" customWidth="1"/>
    <col min="6" max="6" width="17" style="117" customWidth="1"/>
    <col min="7" max="7" width="15" style="117" customWidth="1"/>
    <col min="8" max="8" width="8" style="117" customWidth="1"/>
    <col min="9" max="9" width="11" style="117" customWidth="1"/>
    <col min="10" max="10" width="50" style="117" customWidth="1"/>
    <col min="11" max="11" width="10" style="117" customWidth="1"/>
    <col min="12" max="12" width="14" style="117" hidden="1" customWidth="1"/>
    <col min="13" max="13" width="9" style="117"/>
    <col min="14" max="14" width="9" style="138"/>
    <col min="15" max="16384" width="9" style="117"/>
  </cols>
  <sheetData>
    <row r="1" spans="1:16" ht="30" customHeight="1">
      <c r="A1" s="172" t="s">
        <v>4219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6" ht="24" customHeight="1">
      <c r="A2" s="173" t="s">
        <v>4220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</row>
    <row r="4" spans="1:16" ht="42" customHeight="1">
      <c r="A4" s="120" t="s">
        <v>4113</v>
      </c>
      <c r="B4" s="121" t="s">
        <v>4114</v>
      </c>
      <c r="C4" s="121" t="s">
        <v>4115</v>
      </c>
      <c r="D4" s="121" t="s">
        <v>4221</v>
      </c>
      <c r="E4" s="121" t="s">
        <v>4222</v>
      </c>
      <c r="F4" s="121" t="s">
        <v>4223</v>
      </c>
      <c r="G4" s="121" t="s">
        <v>4224</v>
      </c>
      <c r="H4" s="121" t="s">
        <v>4121</v>
      </c>
      <c r="I4" s="121" t="s">
        <v>4225</v>
      </c>
      <c r="J4" s="121" t="s">
        <v>4126</v>
      </c>
      <c r="K4" s="121" t="s">
        <v>4226</v>
      </c>
      <c r="L4" s="122" t="s">
        <v>4127</v>
      </c>
    </row>
    <row r="5" spans="1:16" ht="33.950000000000003" customHeight="1">
      <c r="A5" s="123">
        <v>1</v>
      </c>
      <c r="B5" s="124" t="s">
        <v>3732</v>
      </c>
      <c r="C5" s="124" t="s">
        <v>29</v>
      </c>
      <c r="D5" s="125" t="s">
        <v>4129</v>
      </c>
      <c r="E5" s="125" t="s">
        <v>4129</v>
      </c>
      <c r="F5" s="125" t="s">
        <v>4129</v>
      </c>
      <c r="G5" s="125" t="s">
        <v>4129</v>
      </c>
      <c r="H5" s="125">
        <f t="shared" ref="H5:H68" si="0">COUNTIF(D5:G5,"O")</f>
        <v>0</v>
      </c>
      <c r="I5" s="125">
        <f t="shared" ref="I5:I68" si="1">IF(H5&gt;=3,25,IF(H5=2,18,IF(H5=1,12,0)))</f>
        <v>0</v>
      </c>
      <c r="J5" s="126" t="s">
        <v>4227</v>
      </c>
      <c r="K5" s="125" t="s">
        <v>4228</v>
      </c>
      <c r="L5" s="127" t="s">
        <v>4229</v>
      </c>
      <c r="P5" s="139" t="s">
        <v>4230</v>
      </c>
    </row>
    <row r="6" spans="1:16" ht="33.950000000000003" customHeight="1">
      <c r="A6" s="128">
        <v>2</v>
      </c>
      <c r="B6" s="129" t="s">
        <v>3732</v>
      </c>
      <c r="C6" s="129" t="s">
        <v>31</v>
      </c>
      <c r="D6" s="130" t="s">
        <v>4129</v>
      </c>
      <c r="E6" s="130" t="s">
        <v>4129</v>
      </c>
      <c r="F6" s="130" t="s">
        <v>4129</v>
      </c>
      <c r="G6" s="130" t="s">
        <v>4129</v>
      </c>
      <c r="H6" s="130">
        <f t="shared" si="0"/>
        <v>0</v>
      </c>
      <c r="I6" s="130">
        <f t="shared" si="1"/>
        <v>0</v>
      </c>
      <c r="J6" s="131" t="s">
        <v>4231</v>
      </c>
      <c r="K6" s="130" t="s">
        <v>4232</v>
      </c>
      <c r="L6" s="132" t="s">
        <v>4229</v>
      </c>
      <c r="P6" s="139" t="s">
        <v>4230</v>
      </c>
    </row>
    <row r="7" spans="1:16" ht="33.950000000000003" customHeight="1">
      <c r="A7" s="128">
        <v>3</v>
      </c>
      <c r="B7" s="129" t="s">
        <v>3732</v>
      </c>
      <c r="C7" s="129" t="s">
        <v>32</v>
      </c>
      <c r="D7" s="130" t="s">
        <v>4129</v>
      </c>
      <c r="E7" s="130" t="s">
        <v>4129</v>
      </c>
      <c r="F7" s="130" t="s">
        <v>4129</v>
      </c>
      <c r="G7" s="130" t="s">
        <v>4129</v>
      </c>
      <c r="H7" s="130">
        <f t="shared" si="0"/>
        <v>0</v>
      </c>
      <c r="I7" s="130">
        <f t="shared" si="1"/>
        <v>0</v>
      </c>
      <c r="J7" s="131" t="s">
        <v>4233</v>
      </c>
      <c r="K7" s="130" t="s">
        <v>4228</v>
      </c>
      <c r="L7" s="132" t="s">
        <v>4229</v>
      </c>
      <c r="P7" s="139" t="s">
        <v>4230</v>
      </c>
    </row>
    <row r="8" spans="1:16" ht="33.950000000000003" customHeight="1">
      <c r="A8" s="128">
        <v>4</v>
      </c>
      <c r="B8" s="129" t="s">
        <v>3733</v>
      </c>
      <c r="C8" s="129" t="s">
        <v>892</v>
      </c>
      <c r="D8" s="130" t="s">
        <v>4129</v>
      </c>
      <c r="E8" s="130" t="s">
        <v>4129</v>
      </c>
      <c r="F8" s="130" t="s">
        <v>4129</v>
      </c>
      <c r="G8" s="130" t="s">
        <v>4129</v>
      </c>
      <c r="H8" s="130">
        <f t="shared" si="0"/>
        <v>0</v>
      </c>
      <c r="I8" s="130">
        <f t="shared" si="1"/>
        <v>0</v>
      </c>
      <c r="J8" s="131" t="s">
        <v>4234</v>
      </c>
      <c r="K8" s="130" t="s">
        <v>4232</v>
      </c>
      <c r="L8" s="132" t="s">
        <v>4235</v>
      </c>
      <c r="P8" s="139" t="s">
        <v>4230</v>
      </c>
    </row>
    <row r="9" spans="1:16" ht="33.950000000000003" customHeight="1">
      <c r="A9" s="128">
        <v>5</v>
      </c>
      <c r="B9" s="129" t="s">
        <v>3733</v>
      </c>
      <c r="C9" s="129" t="s">
        <v>893</v>
      </c>
      <c r="D9" s="130" t="s">
        <v>4129</v>
      </c>
      <c r="E9" s="130" t="s">
        <v>4129</v>
      </c>
      <c r="F9" s="130" t="s">
        <v>4129</v>
      </c>
      <c r="G9" s="130" t="s">
        <v>4129</v>
      </c>
      <c r="H9" s="130">
        <f t="shared" si="0"/>
        <v>0</v>
      </c>
      <c r="I9" s="130">
        <f t="shared" si="1"/>
        <v>0</v>
      </c>
      <c r="J9" s="131" t="s">
        <v>4236</v>
      </c>
      <c r="K9" s="130" t="s">
        <v>4228</v>
      </c>
      <c r="L9" s="132" t="s">
        <v>4235</v>
      </c>
      <c r="P9" s="139" t="s">
        <v>4230</v>
      </c>
    </row>
    <row r="10" spans="1:16" ht="33.950000000000003" customHeight="1">
      <c r="A10" s="128">
        <v>6</v>
      </c>
      <c r="B10" s="129" t="s">
        <v>3733</v>
      </c>
      <c r="C10" s="129" t="s">
        <v>34</v>
      </c>
      <c r="D10" s="130" t="s">
        <v>4129</v>
      </c>
      <c r="E10" s="130" t="s">
        <v>4129</v>
      </c>
      <c r="F10" s="130" t="s">
        <v>4129</v>
      </c>
      <c r="G10" s="130" t="s">
        <v>4129</v>
      </c>
      <c r="H10" s="130">
        <f t="shared" si="0"/>
        <v>0</v>
      </c>
      <c r="I10" s="130">
        <f t="shared" si="1"/>
        <v>0</v>
      </c>
      <c r="J10" s="131" t="s">
        <v>4237</v>
      </c>
      <c r="K10" s="130" t="s">
        <v>4228</v>
      </c>
      <c r="L10" s="132" t="s">
        <v>4235</v>
      </c>
      <c r="P10" s="139" t="s">
        <v>4230</v>
      </c>
    </row>
    <row r="11" spans="1:16" ht="33.950000000000003" customHeight="1">
      <c r="A11" s="128">
        <v>7</v>
      </c>
      <c r="B11" s="129" t="s">
        <v>3737</v>
      </c>
      <c r="C11" s="129" t="s">
        <v>36</v>
      </c>
      <c r="D11" s="130" t="s">
        <v>4129</v>
      </c>
      <c r="E11" s="130" t="s">
        <v>4129</v>
      </c>
      <c r="F11" s="130" t="s">
        <v>4129</v>
      </c>
      <c r="G11" s="130" t="s">
        <v>4128</v>
      </c>
      <c r="H11" s="130">
        <f t="shared" si="0"/>
        <v>1</v>
      </c>
      <c r="I11" s="130">
        <f t="shared" si="1"/>
        <v>12</v>
      </c>
      <c r="J11" s="131" t="s">
        <v>4238</v>
      </c>
      <c r="K11" s="130" t="s">
        <v>4232</v>
      </c>
      <c r="L11" s="132" t="s">
        <v>4239</v>
      </c>
      <c r="P11" s="139" t="s">
        <v>4240</v>
      </c>
    </row>
    <row r="12" spans="1:16" ht="33.950000000000003" customHeight="1">
      <c r="A12" s="128">
        <v>8</v>
      </c>
      <c r="B12" s="129" t="s">
        <v>3737</v>
      </c>
      <c r="C12" s="129" t="s">
        <v>1987</v>
      </c>
      <c r="D12" s="130" t="s">
        <v>4129</v>
      </c>
      <c r="E12" s="130" t="s">
        <v>4129</v>
      </c>
      <c r="F12" s="130" t="s">
        <v>4129</v>
      </c>
      <c r="G12" s="130" t="s">
        <v>4129</v>
      </c>
      <c r="H12" s="130">
        <f t="shared" si="0"/>
        <v>0</v>
      </c>
      <c r="I12" s="130">
        <f t="shared" si="1"/>
        <v>0</v>
      </c>
      <c r="J12" s="131" t="s">
        <v>4241</v>
      </c>
      <c r="K12" s="130" t="s">
        <v>4232</v>
      </c>
      <c r="L12" s="132" t="s">
        <v>4239</v>
      </c>
      <c r="P12" s="139" t="s">
        <v>4230</v>
      </c>
    </row>
    <row r="13" spans="1:16" ht="33.950000000000003" customHeight="1">
      <c r="A13" s="128">
        <v>9</v>
      </c>
      <c r="B13" s="129" t="s">
        <v>3734</v>
      </c>
      <c r="C13" s="129" t="s">
        <v>894</v>
      </c>
      <c r="D13" s="130" t="s">
        <v>4129</v>
      </c>
      <c r="E13" s="130" t="s">
        <v>4129</v>
      </c>
      <c r="F13" s="130" t="s">
        <v>4129</v>
      </c>
      <c r="G13" s="130" t="s">
        <v>4129</v>
      </c>
      <c r="H13" s="130">
        <f t="shared" si="0"/>
        <v>0</v>
      </c>
      <c r="I13" s="130">
        <f t="shared" si="1"/>
        <v>0</v>
      </c>
      <c r="J13" s="131" t="s">
        <v>4242</v>
      </c>
      <c r="K13" s="130" t="s">
        <v>4228</v>
      </c>
      <c r="L13" s="132" t="s">
        <v>4239</v>
      </c>
      <c r="P13" s="139" t="s">
        <v>4230</v>
      </c>
    </row>
    <row r="14" spans="1:16" ht="33.950000000000003" customHeight="1">
      <c r="A14" s="128">
        <v>10</v>
      </c>
      <c r="B14" s="129" t="s">
        <v>3738</v>
      </c>
      <c r="C14" s="129" t="s">
        <v>40</v>
      </c>
      <c r="D14" s="130" t="s">
        <v>4129</v>
      </c>
      <c r="E14" s="130" t="s">
        <v>4129</v>
      </c>
      <c r="F14" s="130" t="s">
        <v>4129</v>
      </c>
      <c r="G14" s="130" t="s">
        <v>4128</v>
      </c>
      <c r="H14" s="130">
        <f t="shared" si="0"/>
        <v>1</v>
      </c>
      <c r="I14" s="130">
        <f t="shared" si="1"/>
        <v>12</v>
      </c>
      <c r="J14" s="131" t="s">
        <v>4243</v>
      </c>
      <c r="K14" s="130" t="s">
        <v>4232</v>
      </c>
      <c r="L14" s="132" t="s">
        <v>4239</v>
      </c>
      <c r="P14" s="139" t="s">
        <v>3932</v>
      </c>
    </row>
    <row r="15" spans="1:16" ht="33.950000000000003" customHeight="1">
      <c r="A15" s="128">
        <v>11</v>
      </c>
      <c r="B15" s="129" t="s">
        <v>3738</v>
      </c>
      <c r="C15" s="129" t="s">
        <v>41</v>
      </c>
      <c r="D15" s="130" t="s">
        <v>4129</v>
      </c>
      <c r="E15" s="130" t="s">
        <v>4129</v>
      </c>
      <c r="F15" s="130" t="s">
        <v>4129</v>
      </c>
      <c r="G15" s="130" t="s">
        <v>4128</v>
      </c>
      <c r="H15" s="130">
        <f t="shared" si="0"/>
        <v>1</v>
      </c>
      <c r="I15" s="130">
        <f t="shared" si="1"/>
        <v>12</v>
      </c>
      <c r="J15" s="131" t="s">
        <v>4244</v>
      </c>
      <c r="K15" s="130" t="s">
        <v>4232</v>
      </c>
      <c r="L15" s="132" t="s">
        <v>4239</v>
      </c>
      <c r="P15" s="139" t="s">
        <v>3932</v>
      </c>
    </row>
    <row r="16" spans="1:16" ht="33.950000000000003" customHeight="1">
      <c r="A16" s="128">
        <v>12</v>
      </c>
      <c r="B16" s="129" t="s">
        <v>3738</v>
      </c>
      <c r="C16" s="129" t="s">
        <v>42</v>
      </c>
      <c r="D16" s="130" t="s">
        <v>4129</v>
      </c>
      <c r="E16" s="130" t="s">
        <v>4129</v>
      </c>
      <c r="F16" s="130" t="s">
        <v>4129</v>
      </c>
      <c r="G16" s="130" t="s">
        <v>4128</v>
      </c>
      <c r="H16" s="130">
        <f t="shared" si="0"/>
        <v>1</v>
      </c>
      <c r="I16" s="130">
        <f t="shared" si="1"/>
        <v>12</v>
      </c>
      <c r="J16" s="131" t="s">
        <v>4245</v>
      </c>
      <c r="K16" s="130" t="s">
        <v>4232</v>
      </c>
      <c r="L16" s="132" t="s">
        <v>4239</v>
      </c>
      <c r="P16" s="139" t="s">
        <v>3932</v>
      </c>
    </row>
    <row r="17" spans="1:16" ht="33.950000000000003" customHeight="1">
      <c r="A17" s="128">
        <v>13</v>
      </c>
      <c r="B17" s="129" t="s">
        <v>3734</v>
      </c>
      <c r="C17" s="129" t="s">
        <v>895</v>
      </c>
      <c r="D17" s="130" t="s">
        <v>4129</v>
      </c>
      <c r="E17" s="130" t="s">
        <v>4129</v>
      </c>
      <c r="F17" s="130" t="s">
        <v>4129</v>
      </c>
      <c r="G17" s="130" t="s">
        <v>4129</v>
      </c>
      <c r="H17" s="130">
        <f t="shared" si="0"/>
        <v>0</v>
      </c>
      <c r="I17" s="130">
        <f t="shared" si="1"/>
        <v>0</v>
      </c>
      <c r="J17" s="131" t="s">
        <v>4246</v>
      </c>
      <c r="K17" s="130" t="s">
        <v>4228</v>
      </c>
      <c r="L17" s="132" t="s">
        <v>4235</v>
      </c>
      <c r="P17" s="140" t="s">
        <v>3932</v>
      </c>
    </row>
    <row r="18" spans="1:16" ht="33.950000000000003" customHeight="1">
      <c r="A18" s="128">
        <v>14</v>
      </c>
      <c r="B18" s="129" t="s">
        <v>3739</v>
      </c>
      <c r="C18" s="129" t="s">
        <v>896</v>
      </c>
      <c r="D18" s="130" t="s">
        <v>4129</v>
      </c>
      <c r="E18" s="130" t="s">
        <v>4129</v>
      </c>
      <c r="F18" s="130" t="s">
        <v>4129</v>
      </c>
      <c r="G18" s="130" t="s">
        <v>4129</v>
      </c>
      <c r="H18" s="130">
        <f t="shared" si="0"/>
        <v>0</v>
      </c>
      <c r="I18" s="130">
        <f t="shared" si="1"/>
        <v>0</v>
      </c>
      <c r="J18" s="131" t="s">
        <v>4247</v>
      </c>
      <c r="K18" s="130" t="s">
        <v>4232</v>
      </c>
      <c r="L18" s="132" t="s">
        <v>4239</v>
      </c>
      <c r="P18" s="139" t="s">
        <v>4230</v>
      </c>
    </row>
    <row r="19" spans="1:16" ht="33.950000000000003" customHeight="1">
      <c r="A19" s="128">
        <v>15</v>
      </c>
      <c r="B19" s="129" t="s">
        <v>3743</v>
      </c>
      <c r="C19" s="129" t="s">
        <v>897</v>
      </c>
      <c r="D19" s="130" t="s">
        <v>4129</v>
      </c>
      <c r="E19" s="130" t="s">
        <v>4129</v>
      </c>
      <c r="F19" s="130" t="s">
        <v>4129</v>
      </c>
      <c r="G19" s="130" t="s">
        <v>4129</v>
      </c>
      <c r="H19" s="130">
        <f t="shared" si="0"/>
        <v>0</v>
      </c>
      <c r="I19" s="130">
        <f t="shared" si="1"/>
        <v>0</v>
      </c>
      <c r="J19" s="131" t="s">
        <v>4248</v>
      </c>
      <c r="K19" s="130" t="s">
        <v>4228</v>
      </c>
      <c r="L19" s="132" t="s">
        <v>4235</v>
      </c>
      <c r="P19" s="139" t="s">
        <v>4240</v>
      </c>
    </row>
    <row r="20" spans="1:16" ht="33.950000000000003" customHeight="1">
      <c r="A20" s="128">
        <v>16</v>
      </c>
      <c r="B20" s="129" t="s">
        <v>3743</v>
      </c>
      <c r="C20" s="129" t="s">
        <v>101</v>
      </c>
      <c r="D20" s="130" t="s">
        <v>4129</v>
      </c>
      <c r="E20" s="130" t="s">
        <v>4129</v>
      </c>
      <c r="F20" s="130" t="s">
        <v>4129</v>
      </c>
      <c r="G20" s="130" t="s">
        <v>4129</v>
      </c>
      <c r="H20" s="130">
        <f t="shared" si="0"/>
        <v>0</v>
      </c>
      <c r="I20" s="130">
        <f t="shared" si="1"/>
        <v>0</v>
      </c>
      <c r="J20" s="131" t="s">
        <v>4249</v>
      </c>
      <c r="K20" s="130" t="s">
        <v>4228</v>
      </c>
      <c r="L20" s="132" t="s">
        <v>4235</v>
      </c>
      <c r="P20" s="139" t="s">
        <v>4230</v>
      </c>
    </row>
    <row r="21" spans="1:16" ht="33.950000000000003" customHeight="1">
      <c r="A21" s="128">
        <v>17</v>
      </c>
      <c r="B21" s="129" t="s">
        <v>3743</v>
      </c>
      <c r="C21" s="129" t="s">
        <v>102</v>
      </c>
      <c r="D21" s="130" t="s">
        <v>4129</v>
      </c>
      <c r="E21" s="130" t="s">
        <v>4129</v>
      </c>
      <c r="F21" s="130" t="s">
        <v>4129</v>
      </c>
      <c r="G21" s="130" t="s">
        <v>4129</v>
      </c>
      <c r="H21" s="130">
        <f t="shared" si="0"/>
        <v>0</v>
      </c>
      <c r="I21" s="130">
        <f t="shared" si="1"/>
        <v>0</v>
      </c>
      <c r="J21" s="131" t="s">
        <v>4250</v>
      </c>
      <c r="K21" s="130" t="s">
        <v>4232</v>
      </c>
      <c r="L21" s="132" t="s">
        <v>4235</v>
      </c>
      <c r="P21" s="139" t="s">
        <v>4230</v>
      </c>
    </row>
    <row r="22" spans="1:16" ht="33.950000000000003" customHeight="1">
      <c r="A22" s="128">
        <v>18</v>
      </c>
      <c r="B22" s="129" t="s">
        <v>3743</v>
      </c>
      <c r="C22" s="129" t="s">
        <v>89</v>
      </c>
      <c r="D22" s="130" t="s">
        <v>4129</v>
      </c>
      <c r="E22" s="130" t="s">
        <v>4129</v>
      </c>
      <c r="F22" s="130" t="s">
        <v>4129</v>
      </c>
      <c r="G22" s="130" t="s">
        <v>4129</v>
      </c>
      <c r="H22" s="130">
        <f t="shared" si="0"/>
        <v>0</v>
      </c>
      <c r="I22" s="130">
        <f t="shared" si="1"/>
        <v>0</v>
      </c>
      <c r="J22" s="131" t="s">
        <v>4251</v>
      </c>
      <c r="K22" s="130" t="s">
        <v>4232</v>
      </c>
      <c r="L22" s="132" t="s">
        <v>4235</v>
      </c>
      <c r="P22" s="139" t="s">
        <v>4230</v>
      </c>
    </row>
    <row r="23" spans="1:16" ht="33.950000000000003" customHeight="1">
      <c r="A23" s="128">
        <v>19</v>
      </c>
      <c r="B23" s="129" t="s">
        <v>3742</v>
      </c>
      <c r="C23" s="129" t="s">
        <v>898</v>
      </c>
      <c r="D23" s="130" t="s">
        <v>4129</v>
      </c>
      <c r="E23" s="130" t="s">
        <v>4129</v>
      </c>
      <c r="F23" s="130" t="s">
        <v>4129</v>
      </c>
      <c r="G23" s="130" t="s">
        <v>4129</v>
      </c>
      <c r="H23" s="130">
        <f t="shared" si="0"/>
        <v>0</v>
      </c>
      <c r="I23" s="130">
        <f t="shared" si="1"/>
        <v>0</v>
      </c>
      <c r="J23" s="131" t="s">
        <v>4252</v>
      </c>
      <c r="K23" s="130" t="s">
        <v>4228</v>
      </c>
      <c r="L23" s="132" t="s">
        <v>4229</v>
      </c>
      <c r="P23" s="139" t="s">
        <v>4230</v>
      </c>
    </row>
    <row r="24" spans="1:16" ht="33.950000000000003" customHeight="1">
      <c r="A24" s="128">
        <v>20</v>
      </c>
      <c r="B24" s="129" t="s">
        <v>3744</v>
      </c>
      <c r="C24" s="129" t="s">
        <v>899</v>
      </c>
      <c r="D24" s="130" t="s">
        <v>4129</v>
      </c>
      <c r="E24" s="130" t="s">
        <v>4129</v>
      </c>
      <c r="F24" s="130" t="s">
        <v>4129</v>
      </c>
      <c r="G24" s="130" t="s">
        <v>4129</v>
      </c>
      <c r="H24" s="130">
        <f t="shared" si="0"/>
        <v>0</v>
      </c>
      <c r="I24" s="130">
        <f t="shared" si="1"/>
        <v>0</v>
      </c>
      <c r="J24" s="131" t="s">
        <v>4253</v>
      </c>
      <c r="K24" s="130" t="s">
        <v>4228</v>
      </c>
      <c r="L24" s="132" t="s">
        <v>4235</v>
      </c>
      <c r="P24" s="139" t="s">
        <v>4230</v>
      </c>
    </row>
    <row r="25" spans="1:16" ht="33.950000000000003" customHeight="1">
      <c r="A25" s="128">
        <v>21</v>
      </c>
      <c r="B25" s="129" t="s">
        <v>3744</v>
      </c>
      <c r="C25" s="129" t="s">
        <v>1857</v>
      </c>
      <c r="D25" s="130" t="s">
        <v>4129</v>
      </c>
      <c r="E25" s="130" t="s">
        <v>4129</v>
      </c>
      <c r="F25" s="130" t="s">
        <v>4129</v>
      </c>
      <c r="G25" s="130" t="s">
        <v>4129</v>
      </c>
      <c r="H25" s="130">
        <f t="shared" si="0"/>
        <v>0</v>
      </c>
      <c r="I25" s="130">
        <f t="shared" si="1"/>
        <v>0</v>
      </c>
      <c r="J25" s="131" t="s">
        <v>4254</v>
      </c>
      <c r="K25" s="130" t="s">
        <v>4232</v>
      </c>
      <c r="L25" s="132" t="s">
        <v>4235</v>
      </c>
      <c r="P25" s="139" t="s">
        <v>4230</v>
      </c>
    </row>
    <row r="26" spans="1:16" ht="33.950000000000003" customHeight="1">
      <c r="A26" s="128">
        <v>22</v>
      </c>
      <c r="B26" s="129" t="s">
        <v>2083</v>
      </c>
      <c r="C26" s="129" t="s">
        <v>1857</v>
      </c>
      <c r="D26" s="130" t="s">
        <v>4129</v>
      </c>
      <c r="E26" s="130" t="s">
        <v>4129</v>
      </c>
      <c r="F26" s="130" t="s">
        <v>4129</v>
      </c>
      <c r="G26" s="130" t="s">
        <v>4129</v>
      </c>
      <c r="H26" s="130">
        <f t="shared" si="0"/>
        <v>0</v>
      </c>
      <c r="I26" s="130">
        <f t="shared" si="1"/>
        <v>0</v>
      </c>
      <c r="J26" s="131" t="s">
        <v>4254</v>
      </c>
      <c r="K26" s="130" t="s">
        <v>4232</v>
      </c>
      <c r="L26" s="132" t="s">
        <v>4235</v>
      </c>
      <c r="P26" s="139" t="s">
        <v>4230</v>
      </c>
    </row>
    <row r="27" spans="1:16" ht="33.950000000000003" customHeight="1">
      <c r="A27" s="128">
        <v>23</v>
      </c>
      <c r="B27" s="129" t="s">
        <v>3744</v>
      </c>
      <c r="C27" s="129" t="s">
        <v>1847</v>
      </c>
      <c r="D27" s="130" t="s">
        <v>4129</v>
      </c>
      <c r="E27" s="130" t="s">
        <v>4129</v>
      </c>
      <c r="F27" s="130" t="s">
        <v>4129</v>
      </c>
      <c r="G27" s="130" t="s">
        <v>4129</v>
      </c>
      <c r="H27" s="130">
        <f t="shared" si="0"/>
        <v>0</v>
      </c>
      <c r="I27" s="130">
        <f t="shared" si="1"/>
        <v>0</v>
      </c>
      <c r="J27" s="131" t="s">
        <v>4255</v>
      </c>
      <c r="K27" s="130" t="s">
        <v>4232</v>
      </c>
      <c r="L27" s="132" t="s">
        <v>4235</v>
      </c>
      <c r="P27" s="139" t="s">
        <v>4230</v>
      </c>
    </row>
    <row r="28" spans="1:16" ht="33.950000000000003" customHeight="1">
      <c r="A28" s="128">
        <v>24</v>
      </c>
      <c r="B28" s="129" t="s">
        <v>3757</v>
      </c>
      <c r="C28" s="129" t="s">
        <v>94</v>
      </c>
      <c r="D28" s="130" t="s">
        <v>4129</v>
      </c>
      <c r="E28" s="130" t="s">
        <v>4129</v>
      </c>
      <c r="F28" s="130" t="s">
        <v>4129</v>
      </c>
      <c r="G28" s="130" t="s">
        <v>4129</v>
      </c>
      <c r="H28" s="130">
        <f t="shared" si="0"/>
        <v>0</v>
      </c>
      <c r="I28" s="130">
        <f t="shared" si="1"/>
        <v>0</v>
      </c>
      <c r="J28" s="131" t="s">
        <v>4256</v>
      </c>
      <c r="K28" s="130" t="s">
        <v>4232</v>
      </c>
      <c r="L28" s="132" t="s">
        <v>4235</v>
      </c>
      <c r="P28" s="139" t="s">
        <v>4240</v>
      </c>
    </row>
    <row r="29" spans="1:16" ht="33.950000000000003" customHeight="1">
      <c r="A29" s="128">
        <v>25</v>
      </c>
      <c r="B29" s="129" t="s">
        <v>3757</v>
      </c>
      <c r="C29" s="129" t="s">
        <v>973</v>
      </c>
      <c r="D29" s="130" t="s">
        <v>4129</v>
      </c>
      <c r="E29" s="130" t="s">
        <v>4129</v>
      </c>
      <c r="F29" s="130" t="s">
        <v>4129</v>
      </c>
      <c r="G29" s="130" t="s">
        <v>4129</v>
      </c>
      <c r="H29" s="130">
        <f t="shared" si="0"/>
        <v>0</v>
      </c>
      <c r="I29" s="130">
        <f t="shared" si="1"/>
        <v>0</v>
      </c>
      <c r="J29" s="131" t="s">
        <v>4257</v>
      </c>
      <c r="K29" s="130" t="s">
        <v>4232</v>
      </c>
      <c r="L29" s="132" t="s">
        <v>4235</v>
      </c>
      <c r="P29" s="139" t="s">
        <v>4230</v>
      </c>
    </row>
    <row r="30" spans="1:16" ht="33.950000000000003" customHeight="1">
      <c r="A30" s="128">
        <v>26</v>
      </c>
      <c r="B30" s="129" t="s">
        <v>3745</v>
      </c>
      <c r="C30" s="129" t="s">
        <v>1816</v>
      </c>
      <c r="D30" s="130" t="s">
        <v>4129</v>
      </c>
      <c r="E30" s="130" t="s">
        <v>4129</v>
      </c>
      <c r="F30" s="130" t="s">
        <v>4129</v>
      </c>
      <c r="G30" s="130" t="s">
        <v>4129</v>
      </c>
      <c r="H30" s="130">
        <f t="shared" si="0"/>
        <v>0</v>
      </c>
      <c r="I30" s="130">
        <f t="shared" si="1"/>
        <v>0</v>
      </c>
      <c r="J30" s="131" t="s">
        <v>4258</v>
      </c>
      <c r="K30" s="130" t="s">
        <v>4228</v>
      </c>
      <c r="L30" s="132" t="s">
        <v>4235</v>
      </c>
      <c r="P30" s="139" t="s">
        <v>4240</v>
      </c>
    </row>
    <row r="31" spans="1:16" ht="33.950000000000003" customHeight="1">
      <c r="A31" s="128">
        <v>27</v>
      </c>
      <c r="B31" s="129" t="s">
        <v>3746</v>
      </c>
      <c r="C31" s="129" t="s">
        <v>1816</v>
      </c>
      <c r="D31" s="130" t="s">
        <v>4129</v>
      </c>
      <c r="E31" s="130" t="s">
        <v>4129</v>
      </c>
      <c r="F31" s="130" t="s">
        <v>4129</v>
      </c>
      <c r="G31" s="130" t="s">
        <v>4129</v>
      </c>
      <c r="H31" s="130">
        <f t="shared" si="0"/>
        <v>0</v>
      </c>
      <c r="I31" s="130">
        <f t="shared" si="1"/>
        <v>0</v>
      </c>
      <c r="J31" s="131" t="s">
        <v>4258</v>
      </c>
      <c r="K31" s="130" t="s">
        <v>4228</v>
      </c>
      <c r="L31" s="132" t="s">
        <v>4235</v>
      </c>
      <c r="P31" s="139" t="s">
        <v>4240</v>
      </c>
    </row>
    <row r="32" spans="1:16" ht="33.950000000000003" customHeight="1">
      <c r="A32" s="128">
        <v>28</v>
      </c>
      <c r="B32" s="129" t="s">
        <v>3746</v>
      </c>
      <c r="C32" s="129" t="s">
        <v>786</v>
      </c>
      <c r="D32" s="130" t="s">
        <v>4129</v>
      </c>
      <c r="E32" s="130" t="s">
        <v>4129</v>
      </c>
      <c r="F32" s="130" t="s">
        <v>4129</v>
      </c>
      <c r="G32" s="130" t="s">
        <v>4129</v>
      </c>
      <c r="H32" s="130">
        <f t="shared" si="0"/>
        <v>0</v>
      </c>
      <c r="I32" s="130">
        <f t="shared" si="1"/>
        <v>0</v>
      </c>
      <c r="J32" s="131" t="s">
        <v>4259</v>
      </c>
      <c r="K32" s="130" t="s">
        <v>4228</v>
      </c>
      <c r="L32" s="132" t="s">
        <v>4235</v>
      </c>
      <c r="P32" s="139" t="s">
        <v>4240</v>
      </c>
    </row>
    <row r="33" spans="1:16" ht="33.950000000000003" customHeight="1">
      <c r="A33" s="128">
        <v>29</v>
      </c>
      <c r="B33" s="129" t="s">
        <v>3745</v>
      </c>
      <c r="C33" s="129" t="s">
        <v>1799</v>
      </c>
      <c r="D33" s="130" t="s">
        <v>4129</v>
      </c>
      <c r="E33" s="130" t="s">
        <v>4129</v>
      </c>
      <c r="F33" s="130" t="s">
        <v>4129</v>
      </c>
      <c r="G33" s="130" t="s">
        <v>4129</v>
      </c>
      <c r="H33" s="130">
        <f t="shared" si="0"/>
        <v>0</v>
      </c>
      <c r="I33" s="130">
        <f t="shared" si="1"/>
        <v>0</v>
      </c>
      <c r="J33" s="131" t="s">
        <v>4260</v>
      </c>
      <c r="K33" s="130" t="s">
        <v>4232</v>
      </c>
      <c r="L33" s="132" t="s">
        <v>4239</v>
      </c>
      <c r="P33" s="139" t="s">
        <v>4230</v>
      </c>
    </row>
    <row r="34" spans="1:16" ht="33.950000000000003" customHeight="1">
      <c r="A34" s="128">
        <v>30</v>
      </c>
      <c r="B34" s="129" t="s">
        <v>3747</v>
      </c>
      <c r="C34" s="129" t="s">
        <v>1094</v>
      </c>
      <c r="D34" s="130" t="s">
        <v>4129</v>
      </c>
      <c r="E34" s="130" t="s">
        <v>4129</v>
      </c>
      <c r="F34" s="130" t="s">
        <v>4129</v>
      </c>
      <c r="G34" s="130" t="s">
        <v>4129</v>
      </c>
      <c r="H34" s="130">
        <f t="shared" si="0"/>
        <v>0</v>
      </c>
      <c r="I34" s="130">
        <f t="shared" si="1"/>
        <v>0</v>
      </c>
      <c r="J34" s="131" t="s">
        <v>4261</v>
      </c>
      <c r="K34" s="130" t="s">
        <v>4232</v>
      </c>
      <c r="L34" s="132" t="s">
        <v>4239</v>
      </c>
      <c r="P34" s="139" t="s">
        <v>4230</v>
      </c>
    </row>
    <row r="35" spans="1:16" ht="33.950000000000003" customHeight="1">
      <c r="A35" s="128">
        <v>31</v>
      </c>
      <c r="B35" s="129" t="s">
        <v>3747</v>
      </c>
      <c r="C35" s="129" t="s">
        <v>1787</v>
      </c>
      <c r="D35" s="130" t="s">
        <v>4129</v>
      </c>
      <c r="E35" s="130" t="s">
        <v>4129</v>
      </c>
      <c r="F35" s="130" t="s">
        <v>4129</v>
      </c>
      <c r="G35" s="130" t="s">
        <v>4129</v>
      </c>
      <c r="H35" s="130">
        <f t="shared" si="0"/>
        <v>0</v>
      </c>
      <c r="I35" s="130">
        <f t="shared" si="1"/>
        <v>0</v>
      </c>
      <c r="J35" s="131" t="s">
        <v>4262</v>
      </c>
      <c r="K35" s="130" t="s">
        <v>4228</v>
      </c>
      <c r="L35" s="132" t="s">
        <v>4239</v>
      </c>
      <c r="P35" s="139" t="s">
        <v>4230</v>
      </c>
    </row>
    <row r="36" spans="1:16" ht="33.950000000000003" customHeight="1">
      <c r="A36" s="128">
        <v>32</v>
      </c>
      <c r="B36" s="129" t="s">
        <v>3747</v>
      </c>
      <c r="C36" s="129" t="s">
        <v>1782</v>
      </c>
      <c r="D36" s="130" t="s">
        <v>4129</v>
      </c>
      <c r="E36" s="130" t="s">
        <v>4129</v>
      </c>
      <c r="F36" s="130" t="s">
        <v>4129</v>
      </c>
      <c r="G36" s="130" t="s">
        <v>4128</v>
      </c>
      <c r="H36" s="130">
        <f t="shared" si="0"/>
        <v>1</v>
      </c>
      <c r="I36" s="130">
        <f t="shared" si="1"/>
        <v>12</v>
      </c>
      <c r="J36" s="131" t="s">
        <v>4263</v>
      </c>
      <c r="K36" s="130" t="s">
        <v>4228</v>
      </c>
      <c r="L36" s="132" t="s">
        <v>4239</v>
      </c>
      <c r="P36" s="139" t="s">
        <v>3932</v>
      </c>
    </row>
    <row r="37" spans="1:16" ht="33.950000000000003" customHeight="1">
      <c r="A37" s="128">
        <v>33</v>
      </c>
      <c r="B37" s="129" t="s">
        <v>3747</v>
      </c>
      <c r="C37" s="129" t="s">
        <v>1779</v>
      </c>
      <c r="D37" s="130" t="s">
        <v>4129</v>
      </c>
      <c r="E37" s="130" t="s">
        <v>4129</v>
      </c>
      <c r="F37" s="130" t="s">
        <v>4129</v>
      </c>
      <c r="G37" s="130" t="s">
        <v>4129</v>
      </c>
      <c r="H37" s="130">
        <f t="shared" si="0"/>
        <v>0</v>
      </c>
      <c r="I37" s="130">
        <f t="shared" si="1"/>
        <v>0</v>
      </c>
      <c r="J37" s="131" t="s">
        <v>4264</v>
      </c>
      <c r="K37" s="130" t="s">
        <v>4232</v>
      </c>
      <c r="L37" s="132" t="s">
        <v>4239</v>
      </c>
      <c r="P37" s="139" t="s">
        <v>4240</v>
      </c>
    </row>
    <row r="38" spans="1:16" ht="33.950000000000003" customHeight="1">
      <c r="A38" s="128">
        <v>34</v>
      </c>
      <c r="B38" s="129" t="s">
        <v>3747</v>
      </c>
      <c r="C38" s="129" t="s">
        <v>1773</v>
      </c>
      <c r="D38" s="130" t="s">
        <v>4129</v>
      </c>
      <c r="E38" s="130" t="s">
        <v>4129</v>
      </c>
      <c r="F38" s="130" t="s">
        <v>4129</v>
      </c>
      <c r="G38" s="130" t="s">
        <v>4129</v>
      </c>
      <c r="H38" s="130">
        <f t="shared" si="0"/>
        <v>0</v>
      </c>
      <c r="I38" s="130">
        <f t="shared" si="1"/>
        <v>0</v>
      </c>
      <c r="J38" s="131" t="s">
        <v>4265</v>
      </c>
      <c r="K38" s="130" t="s">
        <v>4232</v>
      </c>
      <c r="L38" s="132" t="s">
        <v>4239</v>
      </c>
      <c r="P38" s="139" t="s">
        <v>4240</v>
      </c>
    </row>
    <row r="39" spans="1:16" ht="33.950000000000003" customHeight="1">
      <c r="A39" s="128">
        <v>35</v>
      </c>
      <c r="B39" s="129" t="s">
        <v>3747</v>
      </c>
      <c r="C39" s="129" t="s">
        <v>1770</v>
      </c>
      <c r="D39" s="130" t="s">
        <v>4129</v>
      </c>
      <c r="E39" s="130" t="s">
        <v>4129</v>
      </c>
      <c r="F39" s="130" t="s">
        <v>4129</v>
      </c>
      <c r="G39" s="130" t="s">
        <v>4129</v>
      </c>
      <c r="H39" s="130">
        <f t="shared" si="0"/>
        <v>0</v>
      </c>
      <c r="I39" s="130">
        <f t="shared" si="1"/>
        <v>0</v>
      </c>
      <c r="J39" s="131" t="s">
        <v>4266</v>
      </c>
      <c r="K39" s="130" t="s">
        <v>4232</v>
      </c>
      <c r="L39" s="132" t="s">
        <v>4239</v>
      </c>
      <c r="P39" s="139" t="s">
        <v>4240</v>
      </c>
    </row>
    <row r="40" spans="1:16" ht="33.950000000000003" customHeight="1">
      <c r="A40" s="128">
        <v>36</v>
      </c>
      <c r="B40" s="129" t="s">
        <v>3748</v>
      </c>
      <c r="C40" s="129" t="s">
        <v>970</v>
      </c>
      <c r="D40" s="130" t="s">
        <v>4129</v>
      </c>
      <c r="E40" s="130" t="s">
        <v>4129</v>
      </c>
      <c r="F40" s="130" t="s">
        <v>4129</v>
      </c>
      <c r="G40" s="130" t="s">
        <v>4129</v>
      </c>
      <c r="H40" s="130">
        <f t="shared" si="0"/>
        <v>0</v>
      </c>
      <c r="I40" s="130">
        <f t="shared" si="1"/>
        <v>0</v>
      </c>
      <c r="J40" s="131" t="s">
        <v>4267</v>
      </c>
      <c r="K40" s="130" t="s">
        <v>4228</v>
      </c>
      <c r="L40" s="132" t="s">
        <v>4239</v>
      </c>
      <c r="P40" s="139" t="s">
        <v>4230</v>
      </c>
    </row>
    <row r="41" spans="1:16" ht="33.950000000000003" customHeight="1">
      <c r="A41" s="128">
        <v>37</v>
      </c>
      <c r="B41" s="129" t="s">
        <v>3748</v>
      </c>
      <c r="C41" s="129" t="s">
        <v>106</v>
      </c>
      <c r="D41" s="130" t="s">
        <v>4129</v>
      </c>
      <c r="E41" s="130" t="s">
        <v>4128</v>
      </c>
      <c r="F41" s="130" t="s">
        <v>4129</v>
      </c>
      <c r="G41" s="130" t="s">
        <v>4128</v>
      </c>
      <c r="H41" s="130">
        <f t="shared" si="0"/>
        <v>2</v>
      </c>
      <c r="I41" s="130">
        <f t="shared" si="1"/>
        <v>18</v>
      </c>
      <c r="J41" s="131" t="s">
        <v>4268</v>
      </c>
      <c r="K41" s="130" t="s">
        <v>4269</v>
      </c>
      <c r="L41" s="132" t="s">
        <v>4239</v>
      </c>
      <c r="P41" s="139" t="s">
        <v>4240</v>
      </c>
    </row>
    <row r="42" spans="1:16" ht="33.950000000000003" customHeight="1">
      <c r="A42" s="128">
        <v>38</v>
      </c>
      <c r="B42" s="129" t="s">
        <v>3752</v>
      </c>
      <c r="C42" s="129" t="s">
        <v>25</v>
      </c>
      <c r="D42" s="130" t="s">
        <v>4129</v>
      </c>
      <c r="E42" s="130" t="s">
        <v>4129</v>
      </c>
      <c r="F42" s="130" t="s">
        <v>4129</v>
      </c>
      <c r="G42" s="130" t="s">
        <v>4129</v>
      </c>
      <c r="H42" s="130">
        <f t="shared" si="0"/>
        <v>0</v>
      </c>
      <c r="I42" s="130">
        <f t="shared" si="1"/>
        <v>0</v>
      </c>
      <c r="J42" s="131" t="s">
        <v>4270</v>
      </c>
      <c r="K42" s="130" t="s">
        <v>4228</v>
      </c>
      <c r="L42" s="132" t="s">
        <v>4235</v>
      </c>
      <c r="P42" s="139" t="s">
        <v>4230</v>
      </c>
    </row>
    <row r="43" spans="1:16" ht="33.950000000000003" customHeight="1">
      <c r="A43" s="128">
        <v>39</v>
      </c>
      <c r="B43" s="129" t="s">
        <v>3752</v>
      </c>
      <c r="C43" s="129" t="s">
        <v>107</v>
      </c>
      <c r="D43" s="130" t="s">
        <v>4129</v>
      </c>
      <c r="E43" s="130" t="s">
        <v>4129</v>
      </c>
      <c r="F43" s="130" t="s">
        <v>4129</v>
      </c>
      <c r="G43" s="130" t="s">
        <v>4129</v>
      </c>
      <c r="H43" s="130">
        <f t="shared" si="0"/>
        <v>0</v>
      </c>
      <c r="I43" s="130">
        <f t="shared" si="1"/>
        <v>0</v>
      </c>
      <c r="J43" s="131" t="s">
        <v>4271</v>
      </c>
      <c r="K43" s="130" t="s">
        <v>4228</v>
      </c>
      <c r="L43" s="132" t="s">
        <v>4235</v>
      </c>
      <c r="P43" s="139" t="s">
        <v>4230</v>
      </c>
    </row>
    <row r="44" spans="1:16" ht="33.950000000000003" customHeight="1">
      <c r="A44" s="128">
        <v>40</v>
      </c>
      <c r="B44" s="129" t="s">
        <v>3752</v>
      </c>
      <c r="C44" s="129" t="s">
        <v>108</v>
      </c>
      <c r="D44" s="130" t="s">
        <v>4129</v>
      </c>
      <c r="E44" s="130" t="s">
        <v>4129</v>
      </c>
      <c r="F44" s="130" t="s">
        <v>4129</v>
      </c>
      <c r="G44" s="130" t="s">
        <v>4129</v>
      </c>
      <c r="H44" s="130">
        <f t="shared" si="0"/>
        <v>0</v>
      </c>
      <c r="I44" s="130">
        <f t="shared" si="1"/>
        <v>0</v>
      </c>
      <c r="J44" s="131" t="s">
        <v>4272</v>
      </c>
      <c r="K44" s="130" t="s">
        <v>4228</v>
      </c>
      <c r="L44" s="132" t="s">
        <v>4235</v>
      </c>
      <c r="P44" s="139" t="s">
        <v>4230</v>
      </c>
    </row>
    <row r="45" spans="1:16" ht="33.950000000000003" customHeight="1">
      <c r="A45" s="128">
        <v>41</v>
      </c>
      <c r="B45" s="129" t="s">
        <v>26</v>
      </c>
      <c r="C45" s="129" t="s">
        <v>26</v>
      </c>
      <c r="D45" s="130" t="s">
        <v>4128</v>
      </c>
      <c r="E45" s="130" t="s">
        <v>4129</v>
      </c>
      <c r="F45" s="130" t="s">
        <v>4129</v>
      </c>
      <c r="G45" s="130" t="s">
        <v>4129</v>
      </c>
      <c r="H45" s="130">
        <f t="shared" si="0"/>
        <v>1</v>
      </c>
      <c r="I45" s="130">
        <f t="shared" si="1"/>
        <v>12</v>
      </c>
      <c r="J45" s="131" t="s">
        <v>4273</v>
      </c>
      <c r="K45" s="130" t="s">
        <v>4232</v>
      </c>
      <c r="L45" s="132" t="s">
        <v>4239</v>
      </c>
      <c r="P45" s="139" t="s">
        <v>4230</v>
      </c>
    </row>
    <row r="46" spans="1:16" ht="33.950000000000003" customHeight="1">
      <c r="A46" s="128">
        <v>42</v>
      </c>
      <c r="B46" s="129" t="s">
        <v>807</v>
      </c>
      <c r="C46" s="129" t="s">
        <v>26</v>
      </c>
      <c r="D46" s="130" t="s">
        <v>4128</v>
      </c>
      <c r="E46" s="130" t="s">
        <v>4129</v>
      </c>
      <c r="F46" s="130" t="s">
        <v>4129</v>
      </c>
      <c r="G46" s="130" t="s">
        <v>4129</v>
      </c>
      <c r="H46" s="130">
        <f t="shared" si="0"/>
        <v>1</v>
      </c>
      <c r="I46" s="130">
        <f t="shared" si="1"/>
        <v>12</v>
      </c>
      <c r="J46" s="131" t="s">
        <v>4273</v>
      </c>
      <c r="K46" s="130" t="s">
        <v>4232</v>
      </c>
      <c r="L46" s="132" t="s">
        <v>4239</v>
      </c>
      <c r="P46" s="139" t="s">
        <v>4230</v>
      </c>
    </row>
    <row r="47" spans="1:16" ht="33.950000000000003" customHeight="1">
      <c r="A47" s="128">
        <v>43</v>
      </c>
      <c r="B47" s="129" t="s">
        <v>26</v>
      </c>
      <c r="C47" s="129" t="s">
        <v>2080</v>
      </c>
      <c r="D47" s="130" t="s">
        <v>4129</v>
      </c>
      <c r="E47" s="130" t="s">
        <v>4128</v>
      </c>
      <c r="F47" s="130" t="s">
        <v>4128</v>
      </c>
      <c r="G47" s="130" t="s">
        <v>4129</v>
      </c>
      <c r="H47" s="130">
        <f t="shared" si="0"/>
        <v>2</v>
      </c>
      <c r="I47" s="130">
        <f t="shared" si="1"/>
        <v>18</v>
      </c>
      <c r="J47" s="131" t="s">
        <v>4274</v>
      </c>
      <c r="K47" s="130" t="s">
        <v>4228</v>
      </c>
      <c r="L47" s="132" t="s">
        <v>4275</v>
      </c>
      <c r="P47" s="139" t="s">
        <v>4230</v>
      </c>
    </row>
    <row r="48" spans="1:16" ht="33.950000000000003" customHeight="1">
      <c r="A48" s="128">
        <v>44</v>
      </c>
      <c r="B48" s="129" t="s">
        <v>3741</v>
      </c>
      <c r="C48" s="129" t="s">
        <v>3707</v>
      </c>
      <c r="D48" s="130" t="s">
        <v>4128</v>
      </c>
      <c r="E48" s="130" t="s">
        <v>4128</v>
      </c>
      <c r="F48" s="130" t="s">
        <v>4128</v>
      </c>
      <c r="G48" s="130" t="s">
        <v>4129</v>
      </c>
      <c r="H48" s="130">
        <f t="shared" si="0"/>
        <v>3</v>
      </c>
      <c r="I48" s="130">
        <f t="shared" si="1"/>
        <v>25</v>
      </c>
      <c r="J48" s="131" t="s">
        <v>4276</v>
      </c>
      <c r="K48" s="130" t="s">
        <v>4228</v>
      </c>
      <c r="L48" s="132" t="s">
        <v>4277</v>
      </c>
      <c r="P48" s="139" t="s">
        <v>4230</v>
      </c>
    </row>
    <row r="49" spans="1:16" ht="33.950000000000003" customHeight="1">
      <c r="A49" s="128">
        <v>45</v>
      </c>
      <c r="B49" s="129" t="s">
        <v>807</v>
      </c>
      <c r="C49" s="129" t="s">
        <v>111</v>
      </c>
      <c r="D49" s="130" t="s">
        <v>4129</v>
      </c>
      <c r="E49" s="130" t="s">
        <v>4129</v>
      </c>
      <c r="F49" s="130" t="s">
        <v>4129</v>
      </c>
      <c r="G49" s="130" t="s">
        <v>4129</v>
      </c>
      <c r="H49" s="130">
        <f t="shared" si="0"/>
        <v>0</v>
      </c>
      <c r="I49" s="130">
        <f t="shared" si="1"/>
        <v>0</v>
      </c>
      <c r="J49" s="131" t="s">
        <v>4278</v>
      </c>
      <c r="K49" s="130" t="s">
        <v>4228</v>
      </c>
      <c r="L49" s="132" t="s">
        <v>4239</v>
      </c>
      <c r="P49" s="139" t="s">
        <v>4230</v>
      </c>
    </row>
    <row r="50" spans="1:16" ht="33.950000000000003" customHeight="1">
      <c r="A50" s="128">
        <v>46</v>
      </c>
      <c r="B50" s="129" t="s">
        <v>3755</v>
      </c>
      <c r="C50" s="129" t="s">
        <v>113</v>
      </c>
      <c r="D50" s="130" t="s">
        <v>4129</v>
      </c>
      <c r="E50" s="130" t="s">
        <v>4129</v>
      </c>
      <c r="F50" s="130" t="s">
        <v>4128</v>
      </c>
      <c r="G50" s="130" t="s">
        <v>4128</v>
      </c>
      <c r="H50" s="130">
        <f t="shared" si="0"/>
        <v>2</v>
      </c>
      <c r="I50" s="130">
        <f t="shared" si="1"/>
        <v>18</v>
      </c>
      <c r="J50" s="131" t="s">
        <v>4279</v>
      </c>
      <c r="K50" s="130" t="s">
        <v>4232</v>
      </c>
      <c r="L50" s="132" t="s">
        <v>4239</v>
      </c>
      <c r="P50" s="139" t="s">
        <v>3932</v>
      </c>
    </row>
    <row r="51" spans="1:16" ht="33.950000000000003" customHeight="1">
      <c r="A51" s="128">
        <v>47</v>
      </c>
      <c r="B51" s="129" t="s">
        <v>3741</v>
      </c>
      <c r="C51" s="129" t="s">
        <v>15</v>
      </c>
      <c r="D51" s="130" t="s">
        <v>4128</v>
      </c>
      <c r="E51" s="130" t="s">
        <v>4129</v>
      </c>
      <c r="F51" s="130" t="s">
        <v>4129</v>
      </c>
      <c r="G51" s="130" t="s">
        <v>4129</v>
      </c>
      <c r="H51" s="130">
        <f t="shared" si="0"/>
        <v>1</v>
      </c>
      <c r="I51" s="130">
        <f t="shared" si="1"/>
        <v>12</v>
      </c>
      <c r="J51" s="131" t="s">
        <v>4280</v>
      </c>
      <c r="K51" s="130" t="s">
        <v>4232</v>
      </c>
      <c r="L51" s="132" t="s">
        <v>4239</v>
      </c>
      <c r="P51" s="139" t="s">
        <v>4230</v>
      </c>
    </row>
    <row r="52" spans="1:16" ht="33.950000000000003" customHeight="1">
      <c r="A52" s="128">
        <v>48</v>
      </c>
      <c r="B52" s="129" t="s">
        <v>3756</v>
      </c>
      <c r="C52" s="129" t="s">
        <v>19</v>
      </c>
      <c r="D52" s="130" t="s">
        <v>4129</v>
      </c>
      <c r="E52" s="130" t="s">
        <v>4129</v>
      </c>
      <c r="F52" s="130" t="s">
        <v>4129</v>
      </c>
      <c r="G52" s="130" t="s">
        <v>4129</v>
      </c>
      <c r="H52" s="130">
        <f t="shared" si="0"/>
        <v>0</v>
      </c>
      <c r="I52" s="130">
        <f t="shared" si="1"/>
        <v>0</v>
      </c>
      <c r="J52" s="131" t="s">
        <v>4281</v>
      </c>
      <c r="K52" s="130" t="s">
        <v>4228</v>
      </c>
      <c r="L52" s="132" t="s">
        <v>4239</v>
      </c>
      <c r="P52" s="139" t="s">
        <v>4230</v>
      </c>
    </row>
    <row r="53" spans="1:16" ht="33.950000000000003" customHeight="1">
      <c r="A53" s="128">
        <v>49</v>
      </c>
      <c r="B53" s="129" t="s">
        <v>3756</v>
      </c>
      <c r="C53" s="129" t="s">
        <v>21</v>
      </c>
      <c r="D53" s="130" t="s">
        <v>4129</v>
      </c>
      <c r="E53" s="130" t="s">
        <v>4129</v>
      </c>
      <c r="F53" s="130" t="s">
        <v>4129</v>
      </c>
      <c r="G53" s="130" t="s">
        <v>4129</v>
      </c>
      <c r="H53" s="130">
        <f t="shared" si="0"/>
        <v>0</v>
      </c>
      <c r="I53" s="130">
        <f t="shared" si="1"/>
        <v>0</v>
      </c>
      <c r="J53" s="131" t="s">
        <v>4282</v>
      </c>
      <c r="K53" s="130" t="s">
        <v>4228</v>
      </c>
      <c r="L53" s="132" t="s">
        <v>4239</v>
      </c>
      <c r="P53" s="141" t="s">
        <v>3932</v>
      </c>
    </row>
    <row r="54" spans="1:16" ht="33.950000000000003" customHeight="1">
      <c r="A54" s="128">
        <v>50</v>
      </c>
      <c r="B54" s="129" t="s">
        <v>3756</v>
      </c>
      <c r="C54" s="129" t="s">
        <v>900</v>
      </c>
      <c r="D54" s="130" t="s">
        <v>4129</v>
      </c>
      <c r="E54" s="130" t="s">
        <v>4129</v>
      </c>
      <c r="F54" s="130" t="s">
        <v>4129</v>
      </c>
      <c r="G54" s="130" t="s">
        <v>4129</v>
      </c>
      <c r="H54" s="130">
        <f t="shared" si="0"/>
        <v>0</v>
      </c>
      <c r="I54" s="130">
        <f t="shared" si="1"/>
        <v>0</v>
      </c>
      <c r="J54" s="131" t="s">
        <v>4283</v>
      </c>
      <c r="K54" s="130" t="s">
        <v>4228</v>
      </c>
      <c r="L54" s="132" t="s">
        <v>4239</v>
      </c>
      <c r="P54" s="139" t="s">
        <v>4230</v>
      </c>
    </row>
    <row r="55" spans="1:16" ht="33.950000000000003" customHeight="1">
      <c r="A55" s="128">
        <v>51</v>
      </c>
      <c r="B55" s="129" t="s">
        <v>3762</v>
      </c>
      <c r="C55" s="129" t="s">
        <v>28</v>
      </c>
      <c r="D55" s="130" t="s">
        <v>4129</v>
      </c>
      <c r="E55" s="130" t="s">
        <v>4129</v>
      </c>
      <c r="F55" s="130" t="s">
        <v>4129</v>
      </c>
      <c r="G55" s="130" t="s">
        <v>4129</v>
      </c>
      <c r="H55" s="130">
        <f t="shared" si="0"/>
        <v>0</v>
      </c>
      <c r="I55" s="130">
        <f t="shared" si="1"/>
        <v>0</v>
      </c>
      <c r="J55" s="131" t="s">
        <v>4284</v>
      </c>
      <c r="K55" s="130" t="s">
        <v>4228</v>
      </c>
      <c r="L55" s="132" t="s">
        <v>4239</v>
      </c>
      <c r="P55" s="139" t="s">
        <v>4230</v>
      </c>
    </row>
    <row r="56" spans="1:16" ht="33.950000000000003" customHeight="1">
      <c r="A56" s="128">
        <v>52</v>
      </c>
      <c r="B56" s="129" t="s">
        <v>3762</v>
      </c>
      <c r="C56" s="129" t="s">
        <v>95</v>
      </c>
      <c r="D56" s="130" t="s">
        <v>4129</v>
      </c>
      <c r="E56" s="130" t="s">
        <v>4129</v>
      </c>
      <c r="F56" s="130" t="s">
        <v>4129</v>
      </c>
      <c r="G56" s="130" t="s">
        <v>4129</v>
      </c>
      <c r="H56" s="130">
        <f t="shared" si="0"/>
        <v>0</v>
      </c>
      <c r="I56" s="130">
        <f t="shared" si="1"/>
        <v>0</v>
      </c>
      <c r="J56" s="131" t="s">
        <v>4285</v>
      </c>
      <c r="K56" s="130" t="s">
        <v>4228</v>
      </c>
      <c r="L56" s="132" t="s">
        <v>4239</v>
      </c>
      <c r="P56" s="139" t="s">
        <v>4230</v>
      </c>
    </row>
    <row r="57" spans="1:16" ht="33.950000000000003" customHeight="1">
      <c r="A57" s="128">
        <v>53</v>
      </c>
      <c r="B57" s="129" t="s">
        <v>3762</v>
      </c>
      <c r="C57" s="129" t="s">
        <v>96</v>
      </c>
      <c r="D57" s="130" t="s">
        <v>4129</v>
      </c>
      <c r="E57" s="130" t="s">
        <v>4129</v>
      </c>
      <c r="F57" s="130" t="s">
        <v>4129</v>
      </c>
      <c r="G57" s="130" t="s">
        <v>4129</v>
      </c>
      <c r="H57" s="130">
        <f t="shared" si="0"/>
        <v>0</v>
      </c>
      <c r="I57" s="130">
        <f t="shared" si="1"/>
        <v>0</v>
      </c>
      <c r="J57" s="131" t="s">
        <v>4286</v>
      </c>
      <c r="K57" s="130" t="s">
        <v>4228</v>
      </c>
      <c r="L57" s="132" t="s">
        <v>4239</v>
      </c>
      <c r="P57" s="139" t="s">
        <v>4230</v>
      </c>
    </row>
    <row r="58" spans="1:16" ht="33.950000000000003" customHeight="1">
      <c r="A58" s="128">
        <v>54</v>
      </c>
      <c r="B58" s="129" t="s">
        <v>3749</v>
      </c>
      <c r="C58" s="129" t="s">
        <v>901</v>
      </c>
      <c r="D58" s="130" t="s">
        <v>4129</v>
      </c>
      <c r="E58" s="130" t="s">
        <v>4129</v>
      </c>
      <c r="F58" s="130" t="s">
        <v>4129</v>
      </c>
      <c r="G58" s="130" t="s">
        <v>4129</v>
      </c>
      <c r="H58" s="130">
        <f t="shared" si="0"/>
        <v>0</v>
      </c>
      <c r="I58" s="130">
        <f t="shared" si="1"/>
        <v>0</v>
      </c>
      <c r="J58" s="131" t="s">
        <v>4287</v>
      </c>
      <c r="K58" s="130" t="s">
        <v>4228</v>
      </c>
      <c r="L58" s="132" t="s">
        <v>4239</v>
      </c>
      <c r="P58" s="139" t="s">
        <v>4230</v>
      </c>
    </row>
    <row r="59" spans="1:16" ht="33.950000000000003" customHeight="1">
      <c r="A59" s="128">
        <v>55</v>
      </c>
      <c r="B59" s="129" t="s">
        <v>3750</v>
      </c>
      <c r="C59" s="129" t="s">
        <v>901</v>
      </c>
      <c r="D59" s="130" t="s">
        <v>4129</v>
      </c>
      <c r="E59" s="130" t="s">
        <v>4129</v>
      </c>
      <c r="F59" s="130" t="s">
        <v>4129</v>
      </c>
      <c r="G59" s="130" t="s">
        <v>4129</v>
      </c>
      <c r="H59" s="130">
        <f t="shared" si="0"/>
        <v>0</v>
      </c>
      <c r="I59" s="130">
        <f t="shared" si="1"/>
        <v>0</v>
      </c>
      <c r="J59" s="131" t="s">
        <v>4287</v>
      </c>
      <c r="K59" s="130" t="s">
        <v>4228</v>
      </c>
      <c r="L59" s="132" t="s">
        <v>4239</v>
      </c>
      <c r="P59" s="139" t="s">
        <v>4230</v>
      </c>
    </row>
    <row r="60" spans="1:16" ht="33.950000000000003" customHeight="1">
      <c r="A60" s="128">
        <v>56</v>
      </c>
      <c r="B60" s="129" t="s">
        <v>3750</v>
      </c>
      <c r="C60" s="129" t="s">
        <v>902</v>
      </c>
      <c r="D60" s="130" t="s">
        <v>4129</v>
      </c>
      <c r="E60" s="130" t="s">
        <v>4129</v>
      </c>
      <c r="F60" s="130" t="s">
        <v>4129</v>
      </c>
      <c r="G60" s="130" t="s">
        <v>4129</v>
      </c>
      <c r="H60" s="130">
        <f t="shared" si="0"/>
        <v>0</v>
      </c>
      <c r="I60" s="130">
        <f t="shared" si="1"/>
        <v>0</v>
      </c>
      <c r="J60" s="131" t="s">
        <v>4288</v>
      </c>
      <c r="K60" s="130" t="s">
        <v>4228</v>
      </c>
      <c r="L60" s="132" t="s">
        <v>4239</v>
      </c>
      <c r="P60" s="139" t="s">
        <v>4230</v>
      </c>
    </row>
    <row r="61" spans="1:16" ht="33.950000000000003" customHeight="1">
      <c r="A61" s="128">
        <v>57</v>
      </c>
      <c r="B61" s="129" t="s">
        <v>3749</v>
      </c>
      <c r="C61" s="129" t="s">
        <v>122</v>
      </c>
      <c r="D61" s="130" t="s">
        <v>4129</v>
      </c>
      <c r="E61" s="130" t="s">
        <v>4129</v>
      </c>
      <c r="F61" s="130" t="s">
        <v>4129</v>
      </c>
      <c r="G61" s="130" t="s">
        <v>4129</v>
      </c>
      <c r="H61" s="130">
        <f t="shared" si="0"/>
        <v>0</v>
      </c>
      <c r="I61" s="130">
        <f t="shared" si="1"/>
        <v>0</v>
      </c>
      <c r="J61" s="131" t="s">
        <v>4289</v>
      </c>
      <c r="K61" s="130" t="s">
        <v>4228</v>
      </c>
      <c r="L61" s="132" t="s">
        <v>4239</v>
      </c>
      <c r="P61" s="139" t="s">
        <v>4230</v>
      </c>
    </row>
    <row r="62" spans="1:16" ht="33.950000000000003" customHeight="1">
      <c r="A62" s="128">
        <v>58</v>
      </c>
      <c r="B62" s="129" t="s">
        <v>3751</v>
      </c>
      <c r="C62" s="129" t="s">
        <v>119</v>
      </c>
      <c r="D62" s="130" t="s">
        <v>4129</v>
      </c>
      <c r="E62" s="130" t="s">
        <v>4129</v>
      </c>
      <c r="F62" s="130" t="s">
        <v>4129</v>
      </c>
      <c r="G62" s="130" t="s">
        <v>4128</v>
      </c>
      <c r="H62" s="130">
        <f t="shared" si="0"/>
        <v>1</v>
      </c>
      <c r="I62" s="130">
        <f t="shared" si="1"/>
        <v>12</v>
      </c>
      <c r="J62" s="131" t="s">
        <v>4290</v>
      </c>
      <c r="K62" s="130" t="s">
        <v>4269</v>
      </c>
      <c r="L62" s="132" t="s">
        <v>4239</v>
      </c>
      <c r="P62" s="139" t="s">
        <v>3932</v>
      </c>
    </row>
    <row r="63" spans="1:16" ht="33.950000000000003" customHeight="1">
      <c r="A63" s="128">
        <v>59</v>
      </c>
      <c r="B63" s="129" t="s">
        <v>3758</v>
      </c>
      <c r="C63" s="129" t="s">
        <v>118</v>
      </c>
      <c r="D63" s="130" t="s">
        <v>4129</v>
      </c>
      <c r="E63" s="130" t="s">
        <v>4129</v>
      </c>
      <c r="F63" s="130" t="s">
        <v>4129</v>
      </c>
      <c r="G63" s="130" t="s">
        <v>4128</v>
      </c>
      <c r="H63" s="130">
        <f t="shared" si="0"/>
        <v>1</v>
      </c>
      <c r="I63" s="130">
        <f t="shared" si="1"/>
        <v>12</v>
      </c>
      <c r="J63" s="131" t="s">
        <v>4291</v>
      </c>
      <c r="K63" s="130" t="s">
        <v>4232</v>
      </c>
      <c r="L63" s="132" t="s">
        <v>4239</v>
      </c>
      <c r="P63" s="139" t="s">
        <v>3932</v>
      </c>
    </row>
    <row r="64" spans="1:16" ht="33.950000000000003" customHeight="1">
      <c r="A64" s="128">
        <v>60</v>
      </c>
      <c r="B64" s="129" t="s">
        <v>3759</v>
      </c>
      <c r="C64" s="129" t="s">
        <v>966</v>
      </c>
      <c r="D64" s="130" t="s">
        <v>4129</v>
      </c>
      <c r="E64" s="130" t="s">
        <v>4128</v>
      </c>
      <c r="F64" s="130" t="s">
        <v>4129</v>
      </c>
      <c r="G64" s="130" t="s">
        <v>4129</v>
      </c>
      <c r="H64" s="130">
        <f t="shared" si="0"/>
        <v>1</v>
      </c>
      <c r="I64" s="130">
        <f t="shared" si="1"/>
        <v>12</v>
      </c>
      <c r="J64" s="131" t="s">
        <v>4292</v>
      </c>
      <c r="K64" s="130" t="s">
        <v>4232</v>
      </c>
      <c r="L64" s="132" t="s">
        <v>4239</v>
      </c>
      <c r="P64" s="139" t="s">
        <v>4230</v>
      </c>
    </row>
    <row r="65" spans="1:16" ht="33.950000000000003" customHeight="1">
      <c r="A65" s="128">
        <v>61</v>
      </c>
      <c r="B65" s="129" t="s">
        <v>3751</v>
      </c>
      <c r="C65" s="129" t="s">
        <v>967</v>
      </c>
      <c r="D65" s="130" t="s">
        <v>4129</v>
      </c>
      <c r="E65" s="130" t="s">
        <v>4129</v>
      </c>
      <c r="F65" s="130" t="s">
        <v>4129</v>
      </c>
      <c r="G65" s="130" t="s">
        <v>4129</v>
      </c>
      <c r="H65" s="130">
        <f t="shared" si="0"/>
        <v>0</v>
      </c>
      <c r="I65" s="130">
        <f t="shared" si="1"/>
        <v>0</v>
      </c>
      <c r="J65" s="131" t="s">
        <v>4293</v>
      </c>
      <c r="K65" s="130" t="s">
        <v>4232</v>
      </c>
      <c r="L65" s="132" t="s">
        <v>4294</v>
      </c>
      <c r="P65" s="139"/>
    </row>
    <row r="66" spans="1:16" ht="33.950000000000003" customHeight="1">
      <c r="A66" s="128">
        <v>62</v>
      </c>
      <c r="B66" s="129" t="s">
        <v>2083</v>
      </c>
      <c r="C66" s="129" t="s">
        <v>971</v>
      </c>
      <c r="D66" s="130" t="s">
        <v>4129</v>
      </c>
      <c r="E66" s="130" t="s">
        <v>4129</v>
      </c>
      <c r="F66" s="130" t="s">
        <v>4129</v>
      </c>
      <c r="G66" s="130" t="s">
        <v>4128</v>
      </c>
      <c r="H66" s="130">
        <f t="shared" si="0"/>
        <v>1</v>
      </c>
      <c r="I66" s="130">
        <f t="shared" si="1"/>
        <v>12</v>
      </c>
      <c r="J66" s="131" t="s">
        <v>4295</v>
      </c>
      <c r="K66" s="130" t="s">
        <v>4228</v>
      </c>
      <c r="L66" s="132" t="s">
        <v>4239</v>
      </c>
      <c r="P66" s="139" t="s">
        <v>4230</v>
      </c>
    </row>
    <row r="67" spans="1:16" ht="33.950000000000003" customHeight="1">
      <c r="A67" s="128">
        <v>63</v>
      </c>
      <c r="B67" s="129" t="s">
        <v>2083</v>
      </c>
      <c r="C67" s="129" t="s">
        <v>1564</v>
      </c>
      <c r="D67" s="130" t="s">
        <v>4129</v>
      </c>
      <c r="E67" s="130" t="s">
        <v>4129</v>
      </c>
      <c r="F67" s="130" t="s">
        <v>4129</v>
      </c>
      <c r="G67" s="130" t="s">
        <v>4129</v>
      </c>
      <c r="H67" s="130">
        <f t="shared" si="0"/>
        <v>0</v>
      </c>
      <c r="I67" s="130">
        <f t="shared" si="1"/>
        <v>0</v>
      </c>
      <c r="J67" s="131" t="s">
        <v>4296</v>
      </c>
      <c r="K67" s="130" t="s">
        <v>4228</v>
      </c>
      <c r="L67" s="132" t="s">
        <v>4239</v>
      </c>
      <c r="P67" s="139" t="s">
        <v>4230</v>
      </c>
    </row>
    <row r="68" spans="1:16" ht="33.950000000000003" customHeight="1">
      <c r="A68" s="128">
        <v>64</v>
      </c>
      <c r="B68" s="129" t="s">
        <v>3761</v>
      </c>
      <c r="C68" s="129" t="s">
        <v>1564</v>
      </c>
      <c r="D68" s="130" t="s">
        <v>4129</v>
      </c>
      <c r="E68" s="130" t="s">
        <v>4129</v>
      </c>
      <c r="F68" s="130" t="s">
        <v>4129</v>
      </c>
      <c r="G68" s="130" t="s">
        <v>4129</v>
      </c>
      <c r="H68" s="130">
        <f t="shared" si="0"/>
        <v>0</v>
      </c>
      <c r="I68" s="130">
        <f t="shared" si="1"/>
        <v>0</v>
      </c>
      <c r="J68" s="131" t="s">
        <v>4296</v>
      </c>
      <c r="K68" s="130" t="s">
        <v>4228</v>
      </c>
      <c r="L68" s="132" t="s">
        <v>4239</v>
      </c>
      <c r="P68" s="139" t="s">
        <v>4230</v>
      </c>
    </row>
    <row r="69" spans="1:16" ht="33.950000000000003" customHeight="1">
      <c r="A69" s="128">
        <v>65</v>
      </c>
      <c r="B69" s="129" t="s">
        <v>3751</v>
      </c>
      <c r="C69" s="129" t="s">
        <v>917</v>
      </c>
      <c r="D69" s="130" t="s">
        <v>4129</v>
      </c>
      <c r="E69" s="130" t="s">
        <v>4129</v>
      </c>
      <c r="F69" s="130" t="s">
        <v>4129</v>
      </c>
      <c r="G69" s="130" t="s">
        <v>4129</v>
      </c>
      <c r="H69" s="130">
        <f t="shared" ref="H69:H99" si="2">COUNTIF(D69:G69,"O")</f>
        <v>0</v>
      </c>
      <c r="I69" s="130">
        <f t="shared" ref="I69:I99" si="3">IF(H69&gt;=3,25,IF(H69=2,18,IF(H69=1,12,0)))</f>
        <v>0</v>
      </c>
      <c r="J69" s="131" t="s">
        <v>4297</v>
      </c>
      <c r="K69" s="130" t="s">
        <v>4228</v>
      </c>
      <c r="L69" s="132" t="s">
        <v>4294</v>
      </c>
      <c r="P69" s="139" t="s">
        <v>3932</v>
      </c>
    </row>
    <row r="70" spans="1:16" ht="33.950000000000003" customHeight="1">
      <c r="A70" s="128">
        <v>66</v>
      </c>
      <c r="B70" s="129" t="s">
        <v>3740</v>
      </c>
      <c r="C70" s="129" t="s">
        <v>3706</v>
      </c>
      <c r="D70" s="130" t="s">
        <v>4128</v>
      </c>
      <c r="E70" s="130" t="s">
        <v>4129</v>
      </c>
      <c r="F70" s="130" t="s">
        <v>4128</v>
      </c>
      <c r="G70" s="130" t="s">
        <v>4128</v>
      </c>
      <c r="H70" s="130">
        <f t="shared" si="2"/>
        <v>3</v>
      </c>
      <c r="I70" s="130">
        <f t="shared" si="3"/>
        <v>25</v>
      </c>
      <c r="J70" s="131" t="s">
        <v>4298</v>
      </c>
      <c r="K70" s="130" t="s">
        <v>4232</v>
      </c>
      <c r="L70" s="132" t="s">
        <v>4239</v>
      </c>
      <c r="P70" s="139" t="s">
        <v>3932</v>
      </c>
    </row>
    <row r="71" spans="1:16" ht="33.950000000000003" customHeight="1">
      <c r="A71" s="128">
        <v>67</v>
      </c>
      <c r="B71" s="129" t="s">
        <v>3740</v>
      </c>
      <c r="C71" s="129" t="s">
        <v>1539</v>
      </c>
      <c r="D71" s="130" t="s">
        <v>4128</v>
      </c>
      <c r="E71" s="130" t="s">
        <v>4129</v>
      </c>
      <c r="F71" s="130" t="s">
        <v>4128</v>
      </c>
      <c r="G71" s="130" t="s">
        <v>4128</v>
      </c>
      <c r="H71" s="130">
        <f t="shared" si="2"/>
        <v>3</v>
      </c>
      <c r="I71" s="130">
        <f t="shared" si="3"/>
        <v>25</v>
      </c>
      <c r="J71" s="131" t="s">
        <v>4299</v>
      </c>
      <c r="K71" s="130" t="s">
        <v>4228</v>
      </c>
      <c r="L71" s="132" t="s">
        <v>4300</v>
      </c>
      <c r="P71" s="139" t="s">
        <v>3932</v>
      </c>
    </row>
    <row r="72" spans="1:16" ht="33.950000000000003" customHeight="1">
      <c r="A72" s="128">
        <v>68</v>
      </c>
      <c r="B72" s="129" t="s">
        <v>3753</v>
      </c>
      <c r="C72" s="129" t="s">
        <v>905</v>
      </c>
      <c r="D72" s="130" t="s">
        <v>4129</v>
      </c>
      <c r="E72" s="130" t="s">
        <v>4129</v>
      </c>
      <c r="F72" s="130" t="s">
        <v>4129</v>
      </c>
      <c r="G72" s="130" t="s">
        <v>4129</v>
      </c>
      <c r="H72" s="130">
        <f t="shared" si="2"/>
        <v>0</v>
      </c>
      <c r="I72" s="130">
        <f t="shared" si="3"/>
        <v>0</v>
      </c>
      <c r="J72" s="131" t="s">
        <v>4301</v>
      </c>
      <c r="K72" s="130" t="s">
        <v>4228</v>
      </c>
      <c r="L72" s="132" t="s">
        <v>4239</v>
      </c>
      <c r="P72" s="139" t="s">
        <v>4230</v>
      </c>
    </row>
    <row r="73" spans="1:16" ht="33.950000000000003" customHeight="1">
      <c r="A73" s="128">
        <v>69</v>
      </c>
      <c r="B73" s="129" t="s">
        <v>3753</v>
      </c>
      <c r="C73" s="129" t="s">
        <v>1521</v>
      </c>
      <c r="D73" s="130" t="s">
        <v>4129</v>
      </c>
      <c r="E73" s="130" t="s">
        <v>4129</v>
      </c>
      <c r="F73" s="130" t="s">
        <v>4129</v>
      </c>
      <c r="G73" s="130" t="s">
        <v>4129</v>
      </c>
      <c r="H73" s="130">
        <f t="shared" si="2"/>
        <v>0</v>
      </c>
      <c r="I73" s="130">
        <f t="shared" si="3"/>
        <v>0</v>
      </c>
      <c r="J73" s="131" t="s">
        <v>4302</v>
      </c>
      <c r="K73" s="130" t="s">
        <v>4228</v>
      </c>
      <c r="L73" s="132" t="s">
        <v>4239</v>
      </c>
      <c r="P73" s="139" t="s">
        <v>4230</v>
      </c>
    </row>
    <row r="74" spans="1:16" ht="33.950000000000003" customHeight="1">
      <c r="A74" s="128">
        <v>70</v>
      </c>
      <c r="B74" s="129" t="s">
        <v>3736</v>
      </c>
      <c r="C74" s="129" t="s">
        <v>3705</v>
      </c>
      <c r="D74" s="130" t="s">
        <v>4129</v>
      </c>
      <c r="E74" s="130" t="s">
        <v>4129</v>
      </c>
      <c r="F74" s="130" t="s">
        <v>4129</v>
      </c>
      <c r="G74" s="130" t="s">
        <v>4128</v>
      </c>
      <c r="H74" s="130">
        <f t="shared" si="2"/>
        <v>1</v>
      </c>
      <c r="I74" s="130">
        <f t="shared" si="3"/>
        <v>12</v>
      </c>
      <c r="J74" s="131" t="s">
        <v>4303</v>
      </c>
      <c r="K74" s="130" t="s">
        <v>4232</v>
      </c>
      <c r="L74" s="132" t="s">
        <v>4239</v>
      </c>
      <c r="P74" s="139" t="s">
        <v>4230</v>
      </c>
    </row>
    <row r="75" spans="1:16" ht="33.950000000000003" customHeight="1">
      <c r="A75" s="128">
        <v>71</v>
      </c>
      <c r="B75" s="129" t="s">
        <v>3736</v>
      </c>
      <c r="C75" s="129" t="s">
        <v>3704</v>
      </c>
      <c r="D75" s="130" t="s">
        <v>4129</v>
      </c>
      <c r="E75" s="130" t="s">
        <v>4129</v>
      </c>
      <c r="F75" s="130" t="s">
        <v>4129</v>
      </c>
      <c r="G75" s="130" t="s">
        <v>4128</v>
      </c>
      <c r="H75" s="130">
        <f t="shared" si="2"/>
        <v>1</v>
      </c>
      <c r="I75" s="130">
        <f t="shared" si="3"/>
        <v>12</v>
      </c>
      <c r="J75" s="131" t="s">
        <v>4304</v>
      </c>
      <c r="K75" s="130" t="s">
        <v>4228</v>
      </c>
      <c r="L75" s="132" t="s">
        <v>4239</v>
      </c>
      <c r="P75" s="139" t="s">
        <v>4230</v>
      </c>
    </row>
    <row r="76" spans="1:16" ht="33.950000000000003" customHeight="1">
      <c r="A76" s="128">
        <v>72</v>
      </c>
      <c r="B76" s="129" t="s">
        <v>3739</v>
      </c>
      <c r="C76" s="129" t="s">
        <v>1495</v>
      </c>
      <c r="D76" s="130" t="s">
        <v>4129</v>
      </c>
      <c r="E76" s="130" t="s">
        <v>4129</v>
      </c>
      <c r="F76" s="130" t="s">
        <v>4129</v>
      </c>
      <c r="G76" s="130" t="s">
        <v>4128</v>
      </c>
      <c r="H76" s="130">
        <f t="shared" si="2"/>
        <v>1</v>
      </c>
      <c r="I76" s="130">
        <f t="shared" si="3"/>
        <v>12</v>
      </c>
      <c r="J76" s="131" t="s">
        <v>4305</v>
      </c>
      <c r="K76" s="130" t="s">
        <v>4232</v>
      </c>
      <c r="L76" s="132" t="s">
        <v>4239</v>
      </c>
      <c r="P76" s="139" t="s">
        <v>3932</v>
      </c>
    </row>
    <row r="77" spans="1:16" ht="33.950000000000003" customHeight="1">
      <c r="A77" s="128">
        <v>73</v>
      </c>
      <c r="B77" s="129" t="s">
        <v>3739</v>
      </c>
      <c r="C77" s="129" t="s">
        <v>968</v>
      </c>
      <c r="D77" s="130" t="s">
        <v>4129</v>
      </c>
      <c r="E77" s="130" t="s">
        <v>4129</v>
      </c>
      <c r="F77" s="130" t="s">
        <v>4129</v>
      </c>
      <c r="G77" s="130" t="s">
        <v>4129</v>
      </c>
      <c r="H77" s="130">
        <f t="shared" si="2"/>
        <v>0</v>
      </c>
      <c r="I77" s="130">
        <f t="shared" si="3"/>
        <v>0</v>
      </c>
      <c r="J77" s="131" t="s">
        <v>4306</v>
      </c>
      <c r="K77" s="130" t="s">
        <v>4228</v>
      </c>
      <c r="L77" s="132" t="s">
        <v>4239</v>
      </c>
      <c r="P77" s="139" t="s">
        <v>4230</v>
      </c>
    </row>
    <row r="78" spans="1:16" ht="33.950000000000003" customHeight="1">
      <c r="A78" s="128">
        <v>74</v>
      </c>
      <c r="B78" s="129" t="s">
        <v>3757</v>
      </c>
      <c r="C78" s="129" t="s">
        <v>1476</v>
      </c>
      <c r="D78" s="130" t="s">
        <v>4129</v>
      </c>
      <c r="E78" s="130" t="s">
        <v>4129</v>
      </c>
      <c r="F78" s="130" t="s">
        <v>4129</v>
      </c>
      <c r="G78" s="130" t="s">
        <v>4129</v>
      </c>
      <c r="H78" s="130">
        <f t="shared" si="2"/>
        <v>0</v>
      </c>
      <c r="I78" s="130">
        <f t="shared" si="3"/>
        <v>0</v>
      </c>
      <c r="J78" s="131" t="s">
        <v>4307</v>
      </c>
      <c r="K78" s="130" t="s">
        <v>4228</v>
      </c>
      <c r="L78" s="132" t="s">
        <v>4308</v>
      </c>
      <c r="P78" s="139" t="s">
        <v>3932</v>
      </c>
    </row>
    <row r="79" spans="1:16" ht="33.950000000000003" customHeight="1">
      <c r="A79" s="128">
        <v>75</v>
      </c>
      <c r="B79" s="129" t="s">
        <v>3758</v>
      </c>
      <c r="C79" s="129" t="s">
        <v>1476</v>
      </c>
      <c r="D79" s="130" t="s">
        <v>4129</v>
      </c>
      <c r="E79" s="130" t="s">
        <v>4129</v>
      </c>
      <c r="F79" s="130" t="s">
        <v>4129</v>
      </c>
      <c r="G79" s="130" t="s">
        <v>4129</v>
      </c>
      <c r="H79" s="130">
        <f t="shared" si="2"/>
        <v>0</v>
      </c>
      <c r="I79" s="130">
        <f t="shared" si="3"/>
        <v>0</v>
      </c>
      <c r="J79" s="131" t="s">
        <v>4307</v>
      </c>
      <c r="K79" s="130" t="s">
        <v>4228</v>
      </c>
      <c r="L79" s="132" t="s">
        <v>4308</v>
      </c>
      <c r="P79" s="139" t="s">
        <v>3932</v>
      </c>
    </row>
    <row r="80" spans="1:16" ht="33.950000000000003" customHeight="1">
      <c r="A80" s="128">
        <v>76</v>
      </c>
      <c r="B80" s="129" t="s">
        <v>3757</v>
      </c>
      <c r="C80" s="129" t="s">
        <v>1466</v>
      </c>
      <c r="D80" s="130" t="s">
        <v>4129</v>
      </c>
      <c r="E80" s="130" t="s">
        <v>4129</v>
      </c>
      <c r="F80" s="130" t="s">
        <v>4129</v>
      </c>
      <c r="G80" s="130" t="s">
        <v>4129</v>
      </c>
      <c r="H80" s="130">
        <f t="shared" si="2"/>
        <v>0</v>
      </c>
      <c r="I80" s="130">
        <f t="shared" si="3"/>
        <v>0</v>
      </c>
      <c r="J80" s="131" t="s">
        <v>4309</v>
      </c>
      <c r="K80" s="130" t="s">
        <v>4228</v>
      </c>
      <c r="L80" s="132" t="s">
        <v>4239</v>
      </c>
      <c r="P80" s="139" t="s">
        <v>4230</v>
      </c>
    </row>
    <row r="81" spans="1:16" ht="33.950000000000003" customHeight="1">
      <c r="A81" s="128">
        <v>77</v>
      </c>
      <c r="B81" s="129" t="s">
        <v>3761</v>
      </c>
      <c r="C81" s="129" t="s">
        <v>972</v>
      </c>
      <c r="D81" s="130" t="s">
        <v>4129</v>
      </c>
      <c r="E81" s="130" t="s">
        <v>4128</v>
      </c>
      <c r="F81" s="130" t="s">
        <v>4129</v>
      </c>
      <c r="G81" s="130" t="s">
        <v>4129</v>
      </c>
      <c r="H81" s="130">
        <f t="shared" si="2"/>
        <v>1</v>
      </c>
      <c r="I81" s="130">
        <f t="shared" si="3"/>
        <v>12</v>
      </c>
      <c r="J81" s="131" t="s">
        <v>4310</v>
      </c>
      <c r="K81" s="130" t="s">
        <v>4232</v>
      </c>
      <c r="L81" s="132" t="s">
        <v>4239</v>
      </c>
      <c r="P81" s="139" t="s">
        <v>4230</v>
      </c>
    </row>
    <row r="82" spans="1:16" ht="33.950000000000003" customHeight="1">
      <c r="A82" s="128">
        <v>78</v>
      </c>
      <c r="B82" s="129" t="s">
        <v>3760</v>
      </c>
      <c r="C82" s="129" t="s">
        <v>969</v>
      </c>
      <c r="D82" s="130" t="s">
        <v>4128</v>
      </c>
      <c r="E82" s="130" t="s">
        <v>4128</v>
      </c>
      <c r="F82" s="130" t="s">
        <v>4128</v>
      </c>
      <c r="G82" s="130" t="s">
        <v>4128</v>
      </c>
      <c r="H82" s="130">
        <f t="shared" si="2"/>
        <v>4</v>
      </c>
      <c r="I82" s="130">
        <f t="shared" si="3"/>
        <v>25</v>
      </c>
      <c r="J82" s="131" t="s">
        <v>4311</v>
      </c>
      <c r="K82" s="130" t="s">
        <v>4232</v>
      </c>
      <c r="L82" s="132" t="s">
        <v>4239</v>
      </c>
      <c r="P82" s="139" t="s">
        <v>4230</v>
      </c>
    </row>
    <row r="83" spans="1:16" ht="33.950000000000003" customHeight="1">
      <c r="A83" s="128">
        <v>79</v>
      </c>
      <c r="B83" s="129" t="s">
        <v>3735</v>
      </c>
      <c r="C83" s="129" t="s">
        <v>906</v>
      </c>
      <c r="D83" s="130" t="s">
        <v>4129</v>
      </c>
      <c r="E83" s="130" t="s">
        <v>4129</v>
      </c>
      <c r="F83" s="130" t="s">
        <v>4129</v>
      </c>
      <c r="G83" s="130" t="s">
        <v>4129</v>
      </c>
      <c r="H83" s="130">
        <f t="shared" si="2"/>
        <v>0</v>
      </c>
      <c r="I83" s="130">
        <f t="shared" si="3"/>
        <v>0</v>
      </c>
      <c r="J83" s="131" t="s">
        <v>4312</v>
      </c>
      <c r="K83" s="130" t="s">
        <v>4228</v>
      </c>
      <c r="L83" s="132" t="s">
        <v>4239</v>
      </c>
      <c r="P83" s="139" t="s">
        <v>4230</v>
      </c>
    </row>
    <row r="84" spans="1:16" ht="33.950000000000003" customHeight="1">
      <c r="A84" s="128">
        <v>80</v>
      </c>
      <c r="B84" s="129" t="s">
        <v>3760</v>
      </c>
      <c r="C84" s="129" t="s">
        <v>1440</v>
      </c>
      <c r="D84" s="130" t="s">
        <v>4128</v>
      </c>
      <c r="E84" s="130" t="s">
        <v>4128</v>
      </c>
      <c r="F84" s="130" t="s">
        <v>4128</v>
      </c>
      <c r="G84" s="130" t="s">
        <v>4129</v>
      </c>
      <c r="H84" s="130">
        <f t="shared" si="2"/>
        <v>3</v>
      </c>
      <c r="I84" s="130">
        <f t="shared" si="3"/>
        <v>25</v>
      </c>
      <c r="J84" s="131" t="s">
        <v>4313</v>
      </c>
      <c r="K84" s="130" t="s">
        <v>4232</v>
      </c>
      <c r="L84" s="132" t="s">
        <v>4314</v>
      </c>
      <c r="P84" s="139" t="s">
        <v>4230</v>
      </c>
    </row>
    <row r="85" spans="1:16" ht="33.950000000000003" customHeight="1">
      <c r="A85" s="128">
        <v>81</v>
      </c>
      <c r="B85" s="129" t="s">
        <v>3735</v>
      </c>
      <c r="C85" s="129" t="s">
        <v>907</v>
      </c>
      <c r="D85" s="130" t="s">
        <v>4129</v>
      </c>
      <c r="E85" s="130" t="s">
        <v>4129</v>
      </c>
      <c r="F85" s="130" t="s">
        <v>4129</v>
      </c>
      <c r="G85" s="130" t="s">
        <v>4129</v>
      </c>
      <c r="H85" s="130">
        <f t="shared" si="2"/>
        <v>0</v>
      </c>
      <c r="I85" s="130">
        <f t="shared" si="3"/>
        <v>0</v>
      </c>
      <c r="J85" s="131" t="s">
        <v>4315</v>
      </c>
      <c r="K85" s="130" t="s">
        <v>4228</v>
      </c>
      <c r="L85" s="132" t="s">
        <v>4316</v>
      </c>
      <c r="P85" s="139" t="s">
        <v>4230</v>
      </c>
    </row>
    <row r="86" spans="1:16" ht="33.950000000000003" customHeight="1">
      <c r="A86" s="128">
        <v>82</v>
      </c>
      <c r="B86" s="129" t="s">
        <v>3735</v>
      </c>
      <c r="C86" s="129" t="s">
        <v>1430</v>
      </c>
      <c r="D86" s="130" t="s">
        <v>4128</v>
      </c>
      <c r="E86" s="130" t="s">
        <v>4128</v>
      </c>
      <c r="F86" s="130" t="s">
        <v>4128</v>
      </c>
      <c r="G86" s="130" t="s">
        <v>4128</v>
      </c>
      <c r="H86" s="130">
        <f t="shared" si="2"/>
        <v>4</v>
      </c>
      <c r="I86" s="130">
        <f t="shared" si="3"/>
        <v>25</v>
      </c>
      <c r="J86" s="131" t="s">
        <v>4317</v>
      </c>
      <c r="K86" s="130" t="s">
        <v>4232</v>
      </c>
      <c r="L86" s="132" t="s">
        <v>4314</v>
      </c>
      <c r="P86" s="139"/>
    </row>
    <row r="87" spans="1:16" ht="33.950000000000003" customHeight="1">
      <c r="A87" s="128">
        <v>83</v>
      </c>
      <c r="B87" s="129" t="s">
        <v>3734</v>
      </c>
      <c r="C87" s="129" t="s">
        <v>908</v>
      </c>
      <c r="D87" s="130" t="s">
        <v>4129</v>
      </c>
      <c r="E87" s="130" t="s">
        <v>4129</v>
      </c>
      <c r="F87" s="130" t="s">
        <v>4129</v>
      </c>
      <c r="G87" s="130" t="s">
        <v>4129</v>
      </c>
      <c r="H87" s="130">
        <f t="shared" si="2"/>
        <v>0</v>
      </c>
      <c r="I87" s="130">
        <f t="shared" si="3"/>
        <v>0</v>
      </c>
      <c r="J87" s="131" t="s">
        <v>4318</v>
      </c>
      <c r="K87" s="130" t="s">
        <v>4228</v>
      </c>
      <c r="L87" s="132" t="s">
        <v>4316</v>
      </c>
      <c r="P87" s="139" t="s">
        <v>4230</v>
      </c>
    </row>
    <row r="88" spans="1:16" ht="33.950000000000003" customHeight="1">
      <c r="A88" s="128">
        <v>84</v>
      </c>
      <c r="B88" s="129" t="s">
        <v>3735</v>
      </c>
      <c r="C88" s="129" t="s">
        <v>908</v>
      </c>
      <c r="D88" s="130" t="s">
        <v>4129</v>
      </c>
      <c r="E88" s="130" t="s">
        <v>4129</v>
      </c>
      <c r="F88" s="130" t="s">
        <v>4129</v>
      </c>
      <c r="G88" s="130" t="s">
        <v>4129</v>
      </c>
      <c r="H88" s="130">
        <f t="shared" si="2"/>
        <v>0</v>
      </c>
      <c r="I88" s="130">
        <f t="shared" si="3"/>
        <v>0</v>
      </c>
      <c r="J88" s="131" t="s">
        <v>4318</v>
      </c>
      <c r="K88" s="130" t="s">
        <v>4228</v>
      </c>
      <c r="L88" s="132" t="s">
        <v>4316</v>
      </c>
      <c r="P88" s="139" t="s">
        <v>4230</v>
      </c>
    </row>
    <row r="89" spans="1:16" ht="33.950000000000003" customHeight="1">
      <c r="A89" s="128">
        <v>85</v>
      </c>
      <c r="B89" s="129" t="s">
        <v>3755</v>
      </c>
      <c r="C89" s="129" t="s">
        <v>1400</v>
      </c>
      <c r="D89" s="130" t="s">
        <v>4129</v>
      </c>
      <c r="E89" s="130" t="s">
        <v>4129</v>
      </c>
      <c r="F89" s="130" t="s">
        <v>4129</v>
      </c>
      <c r="G89" s="130" t="s">
        <v>4129</v>
      </c>
      <c r="H89" s="130">
        <f t="shared" si="2"/>
        <v>0</v>
      </c>
      <c r="I89" s="130">
        <f t="shared" si="3"/>
        <v>0</v>
      </c>
      <c r="J89" s="131" t="s">
        <v>4319</v>
      </c>
      <c r="K89" s="130" t="s">
        <v>4232</v>
      </c>
      <c r="L89" s="132" t="s">
        <v>4239</v>
      </c>
      <c r="P89" s="139" t="s">
        <v>4230</v>
      </c>
    </row>
    <row r="90" spans="1:16" ht="33.950000000000003" customHeight="1">
      <c r="A90" s="128">
        <v>86</v>
      </c>
      <c r="B90" s="129" t="s">
        <v>3733</v>
      </c>
      <c r="C90" s="129" t="s">
        <v>1384</v>
      </c>
      <c r="D90" s="130" t="s">
        <v>4129</v>
      </c>
      <c r="E90" s="130" t="s">
        <v>4129</v>
      </c>
      <c r="F90" s="130" t="s">
        <v>4129</v>
      </c>
      <c r="G90" s="130" t="s">
        <v>4129</v>
      </c>
      <c r="H90" s="130">
        <f t="shared" si="2"/>
        <v>0</v>
      </c>
      <c r="I90" s="130">
        <f t="shared" si="3"/>
        <v>0</v>
      </c>
      <c r="J90" s="131" t="s">
        <v>4320</v>
      </c>
      <c r="K90" s="130" t="s">
        <v>4228</v>
      </c>
      <c r="L90" s="132" t="s">
        <v>4239</v>
      </c>
      <c r="P90" s="139" t="s">
        <v>4230</v>
      </c>
    </row>
    <row r="91" spans="1:16" ht="33.950000000000003" customHeight="1">
      <c r="A91" s="128">
        <v>87</v>
      </c>
      <c r="B91" s="129" t="s">
        <v>3749</v>
      </c>
      <c r="C91" s="129" t="s">
        <v>1384</v>
      </c>
      <c r="D91" s="130" t="s">
        <v>4129</v>
      </c>
      <c r="E91" s="130" t="s">
        <v>4129</v>
      </c>
      <c r="F91" s="130" t="s">
        <v>4129</v>
      </c>
      <c r="G91" s="130" t="s">
        <v>4129</v>
      </c>
      <c r="H91" s="130">
        <f t="shared" si="2"/>
        <v>0</v>
      </c>
      <c r="I91" s="130">
        <f t="shared" si="3"/>
        <v>0</v>
      </c>
      <c r="J91" s="131" t="s">
        <v>4320</v>
      </c>
      <c r="K91" s="130" t="s">
        <v>4228</v>
      </c>
      <c r="L91" s="132" t="s">
        <v>4239</v>
      </c>
      <c r="P91" s="139" t="s">
        <v>4230</v>
      </c>
    </row>
    <row r="92" spans="1:16" ht="33.950000000000003" customHeight="1">
      <c r="A92" s="128">
        <v>88</v>
      </c>
      <c r="B92" s="129" t="s">
        <v>3751</v>
      </c>
      <c r="C92" s="129" t="s">
        <v>915</v>
      </c>
      <c r="D92" s="130" t="s">
        <v>4129</v>
      </c>
      <c r="E92" s="130" t="s">
        <v>4129</v>
      </c>
      <c r="F92" s="130" t="s">
        <v>4129</v>
      </c>
      <c r="G92" s="130" t="s">
        <v>4128</v>
      </c>
      <c r="H92" s="130">
        <f t="shared" si="2"/>
        <v>1</v>
      </c>
      <c r="I92" s="130">
        <f t="shared" si="3"/>
        <v>12</v>
      </c>
      <c r="J92" s="131" t="s">
        <v>4321</v>
      </c>
      <c r="K92" s="130" t="s">
        <v>4228</v>
      </c>
      <c r="L92" s="132" t="s">
        <v>4239</v>
      </c>
      <c r="P92" s="139" t="s">
        <v>4230</v>
      </c>
    </row>
    <row r="93" spans="1:16" ht="33.950000000000003" customHeight="1">
      <c r="A93" s="128">
        <v>89</v>
      </c>
      <c r="B93" s="129" t="s">
        <v>3754</v>
      </c>
      <c r="C93" s="129" t="s">
        <v>1356</v>
      </c>
      <c r="D93" s="130" t="s">
        <v>4128</v>
      </c>
      <c r="E93" s="130" t="s">
        <v>4128</v>
      </c>
      <c r="F93" s="130" t="s">
        <v>4128</v>
      </c>
      <c r="G93" s="130" t="s">
        <v>4129</v>
      </c>
      <c r="H93" s="130">
        <f t="shared" si="2"/>
        <v>3</v>
      </c>
      <c r="I93" s="130">
        <f t="shared" si="3"/>
        <v>25</v>
      </c>
      <c r="J93" s="131" t="s">
        <v>4322</v>
      </c>
      <c r="K93" s="130" t="s">
        <v>4232</v>
      </c>
      <c r="L93" s="132" t="s">
        <v>4239</v>
      </c>
      <c r="O93" s="117" t="s">
        <v>4323</v>
      </c>
      <c r="P93" s="139" t="s">
        <v>4230</v>
      </c>
    </row>
    <row r="94" spans="1:16" ht="33.950000000000003" customHeight="1">
      <c r="A94" s="128">
        <v>90</v>
      </c>
      <c r="B94" s="129" t="s">
        <v>2082</v>
      </c>
      <c r="C94" s="129" t="s">
        <v>1345</v>
      </c>
      <c r="D94" s="130" t="s">
        <v>4128</v>
      </c>
      <c r="E94" s="130" t="s">
        <v>4128</v>
      </c>
      <c r="F94" s="130" t="s">
        <v>4128</v>
      </c>
      <c r="G94" s="130" t="s">
        <v>4129</v>
      </c>
      <c r="H94" s="130">
        <f t="shared" si="2"/>
        <v>3</v>
      </c>
      <c r="I94" s="130">
        <f t="shared" si="3"/>
        <v>25</v>
      </c>
      <c r="J94" s="131" t="s">
        <v>4324</v>
      </c>
      <c r="K94" s="130" t="s">
        <v>4232</v>
      </c>
      <c r="L94" s="132" t="s">
        <v>4239</v>
      </c>
      <c r="O94" s="117" t="s">
        <v>4323</v>
      </c>
      <c r="P94" s="139"/>
    </row>
    <row r="95" spans="1:16" ht="33.950000000000003" customHeight="1">
      <c r="A95" s="128">
        <v>91</v>
      </c>
      <c r="B95" s="129" t="s">
        <v>3754</v>
      </c>
      <c r="C95" s="129" t="s">
        <v>2060</v>
      </c>
      <c r="D95" s="130" t="s">
        <v>4128</v>
      </c>
      <c r="E95" s="130" t="s">
        <v>4128</v>
      </c>
      <c r="F95" s="130" t="s">
        <v>4128</v>
      </c>
      <c r="G95" s="130" t="s">
        <v>4128</v>
      </c>
      <c r="H95" s="130">
        <f t="shared" si="2"/>
        <v>4</v>
      </c>
      <c r="I95" s="130">
        <f t="shared" si="3"/>
        <v>25</v>
      </c>
      <c r="J95" s="131" t="s">
        <v>4325</v>
      </c>
      <c r="K95" s="130" t="s">
        <v>4232</v>
      </c>
      <c r="L95" s="132" t="s">
        <v>4239</v>
      </c>
      <c r="P95" s="139"/>
    </row>
    <row r="96" spans="1:16" ht="33.950000000000003" customHeight="1">
      <c r="A96" s="128">
        <v>92</v>
      </c>
      <c r="B96" s="129" t="s">
        <v>3754</v>
      </c>
      <c r="C96" s="129" t="s">
        <v>2061</v>
      </c>
      <c r="D96" s="130" t="s">
        <v>4128</v>
      </c>
      <c r="E96" s="130" t="s">
        <v>4128</v>
      </c>
      <c r="F96" s="130" t="s">
        <v>4128</v>
      </c>
      <c r="G96" s="130" t="s">
        <v>4128</v>
      </c>
      <c r="H96" s="130">
        <f t="shared" si="2"/>
        <v>4</v>
      </c>
      <c r="I96" s="130">
        <f t="shared" si="3"/>
        <v>25</v>
      </c>
      <c r="J96" s="131" t="s">
        <v>4326</v>
      </c>
      <c r="K96" s="130" t="s">
        <v>4232</v>
      </c>
      <c r="L96" s="132" t="s">
        <v>4239</v>
      </c>
      <c r="P96" s="139"/>
    </row>
    <row r="97" spans="1:16" ht="33.950000000000003" customHeight="1">
      <c r="A97" s="128">
        <v>93</v>
      </c>
      <c r="B97" s="134" t="s">
        <v>3747</v>
      </c>
      <c r="C97" s="129" t="s">
        <v>3838</v>
      </c>
      <c r="D97" s="130" t="s">
        <v>4129</v>
      </c>
      <c r="E97" s="130" t="s">
        <v>4129</v>
      </c>
      <c r="F97" s="130" t="s">
        <v>4129</v>
      </c>
      <c r="G97" s="130" t="s">
        <v>4129</v>
      </c>
      <c r="H97" s="130">
        <f t="shared" si="2"/>
        <v>0</v>
      </c>
      <c r="I97" s="130">
        <f t="shared" si="3"/>
        <v>0</v>
      </c>
      <c r="J97" s="131" t="s">
        <v>4327</v>
      </c>
      <c r="K97" s="130" t="s">
        <v>4232</v>
      </c>
      <c r="L97" s="132" t="s">
        <v>4239</v>
      </c>
      <c r="P97" s="139" t="s">
        <v>4230</v>
      </c>
    </row>
    <row r="98" spans="1:16" ht="33.950000000000003" customHeight="1">
      <c r="A98" s="128">
        <v>94</v>
      </c>
      <c r="B98" s="134" t="s">
        <v>2082</v>
      </c>
      <c r="C98" s="129" t="s">
        <v>1290</v>
      </c>
      <c r="D98" s="130" t="s">
        <v>4129</v>
      </c>
      <c r="E98" s="130" t="s">
        <v>4128</v>
      </c>
      <c r="F98" s="130" t="s">
        <v>4129</v>
      </c>
      <c r="G98" s="130" t="s">
        <v>4129</v>
      </c>
      <c r="H98" s="135">
        <f t="shared" si="2"/>
        <v>1</v>
      </c>
      <c r="I98" s="130">
        <f t="shared" si="3"/>
        <v>12</v>
      </c>
      <c r="J98" s="131" t="s">
        <v>4328</v>
      </c>
      <c r="K98" s="130" t="s">
        <v>4232</v>
      </c>
      <c r="L98" s="132" t="s">
        <v>4239</v>
      </c>
      <c r="P98" s="139"/>
    </row>
    <row r="99" spans="1:16" ht="33.950000000000003" customHeight="1">
      <c r="A99" s="133">
        <v>95</v>
      </c>
      <c r="B99" s="134" t="s">
        <v>2083</v>
      </c>
      <c r="C99" s="129" t="s">
        <v>1290</v>
      </c>
      <c r="D99" s="135" t="s">
        <v>4129</v>
      </c>
      <c r="E99" s="135" t="s">
        <v>4128</v>
      </c>
      <c r="F99" s="135" t="s">
        <v>4129</v>
      </c>
      <c r="G99" s="135" t="s">
        <v>4129</v>
      </c>
      <c r="H99" s="135">
        <f t="shared" si="2"/>
        <v>1</v>
      </c>
      <c r="I99" s="130">
        <f t="shared" si="3"/>
        <v>12</v>
      </c>
      <c r="J99" s="136" t="s">
        <v>4328</v>
      </c>
      <c r="K99" s="135" t="s">
        <v>4232</v>
      </c>
      <c r="L99" s="137" t="s">
        <v>4239</v>
      </c>
      <c r="P99" s="139"/>
    </row>
    <row r="100" spans="1:16" ht="40.5">
      <c r="A100" s="128">
        <v>96</v>
      </c>
      <c r="B100" s="134" t="s">
        <v>4036</v>
      </c>
      <c r="C100" s="129" t="s">
        <v>1054</v>
      </c>
      <c r="D100" s="165" t="s">
        <v>4129</v>
      </c>
      <c r="E100" s="165" t="s">
        <v>4129</v>
      </c>
      <c r="F100" s="165" t="s">
        <v>4129</v>
      </c>
      <c r="G100" s="165" t="s">
        <v>4129</v>
      </c>
      <c r="H100" s="135">
        <f t="shared" ref="H100:H108" si="4">COUNTIF(D100:G100,"O")</f>
        <v>0</v>
      </c>
      <c r="I100" s="130">
        <f t="shared" ref="I100:I108" si="5">IF(H100&gt;=3,25,IF(H100=2,18,IF(H100=1,12,0)))</f>
        <v>0</v>
      </c>
      <c r="J100" s="136" t="s">
        <v>4541</v>
      </c>
      <c r="K100" s="165" t="s">
        <v>4232</v>
      </c>
    </row>
    <row r="101" spans="1:16" ht="49.5">
      <c r="A101" s="133">
        <v>97</v>
      </c>
      <c r="B101" s="134" t="s">
        <v>4036</v>
      </c>
      <c r="C101" s="129" t="s">
        <v>1057</v>
      </c>
      <c r="D101" s="166" t="s">
        <v>4128</v>
      </c>
      <c r="E101" s="166" t="s">
        <v>4128</v>
      </c>
      <c r="F101" s="166" t="s">
        <v>4128</v>
      </c>
      <c r="G101" s="166" t="s">
        <v>4128</v>
      </c>
      <c r="H101" s="135">
        <f t="shared" si="4"/>
        <v>4</v>
      </c>
      <c r="I101" s="130">
        <f t="shared" si="5"/>
        <v>25</v>
      </c>
      <c r="J101" s="136" t="s">
        <v>4533</v>
      </c>
      <c r="K101" s="166" t="s">
        <v>4232</v>
      </c>
    </row>
    <row r="102" spans="1:16" ht="49.5">
      <c r="A102" s="128">
        <v>98</v>
      </c>
      <c r="B102" s="134" t="s">
        <v>4036</v>
      </c>
      <c r="C102" s="129" t="s">
        <v>1058</v>
      </c>
      <c r="D102" s="167" t="s">
        <v>4128</v>
      </c>
      <c r="E102" s="167" t="s">
        <v>4129</v>
      </c>
      <c r="F102" s="167" t="s">
        <v>4128</v>
      </c>
      <c r="G102" s="167" t="s">
        <v>4128</v>
      </c>
      <c r="H102" s="135">
        <f t="shared" si="4"/>
        <v>3</v>
      </c>
      <c r="I102" s="130">
        <f t="shared" si="5"/>
        <v>25</v>
      </c>
      <c r="J102" s="136" t="s">
        <v>4534</v>
      </c>
      <c r="K102" s="167" t="s">
        <v>4232</v>
      </c>
    </row>
    <row r="103" spans="1:16" ht="33">
      <c r="A103" s="133">
        <v>99</v>
      </c>
      <c r="B103" s="134" t="s">
        <v>3755</v>
      </c>
      <c r="C103" s="129" t="s">
        <v>1056</v>
      </c>
      <c r="D103" s="166" t="s">
        <v>4128</v>
      </c>
      <c r="E103" s="166" t="s">
        <v>4129</v>
      </c>
      <c r="F103" s="166" t="s">
        <v>4128</v>
      </c>
      <c r="G103" s="166" t="s">
        <v>4128</v>
      </c>
      <c r="H103" s="135">
        <f t="shared" si="4"/>
        <v>3</v>
      </c>
      <c r="I103" s="130">
        <f t="shared" si="5"/>
        <v>25</v>
      </c>
      <c r="J103" s="136" t="s">
        <v>4535</v>
      </c>
      <c r="K103" s="166" t="s">
        <v>4269</v>
      </c>
    </row>
    <row r="104" spans="1:16" ht="49.5">
      <c r="A104" s="128">
        <v>100</v>
      </c>
      <c r="B104" s="134" t="s">
        <v>4033</v>
      </c>
      <c r="C104" s="129" t="s">
        <v>457</v>
      </c>
      <c r="D104" s="167" t="s">
        <v>4129</v>
      </c>
      <c r="E104" s="167" t="s">
        <v>4129</v>
      </c>
      <c r="F104" s="167" t="s">
        <v>4129</v>
      </c>
      <c r="G104" s="167" t="s">
        <v>4128</v>
      </c>
      <c r="H104" s="135">
        <f t="shared" si="4"/>
        <v>1</v>
      </c>
      <c r="I104" s="130">
        <f t="shared" si="5"/>
        <v>12</v>
      </c>
      <c r="J104" s="136" t="s">
        <v>4536</v>
      </c>
      <c r="K104" s="167" t="s">
        <v>4228</v>
      </c>
    </row>
    <row r="105" spans="1:16" ht="49.5">
      <c r="A105" s="133">
        <v>101</v>
      </c>
      <c r="B105" s="134" t="s">
        <v>4033</v>
      </c>
      <c r="C105" s="129" t="s">
        <v>4034</v>
      </c>
      <c r="D105" s="166" t="s">
        <v>4129</v>
      </c>
      <c r="E105" s="166" t="s">
        <v>4129</v>
      </c>
      <c r="F105" s="166" t="s">
        <v>4129</v>
      </c>
      <c r="G105" s="166" t="s">
        <v>4129</v>
      </c>
      <c r="H105" s="135">
        <f t="shared" si="4"/>
        <v>0</v>
      </c>
      <c r="I105" s="130">
        <f t="shared" si="5"/>
        <v>0</v>
      </c>
      <c r="J105" s="136" t="s">
        <v>4537</v>
      </c>
      <c r="K105" s="166" t="s">
        <v>4232</v>
      </c>
    </row>
    <row r="106" spans="1:16" ht="49.5">
      <c r="A106" s="128">
        <v>102</v>
      </c>
      <c r="B106" s="134" t="s">
        <v>4033</v>
      </c>
      <c r="C106" s="129" t="s">
        <v>593</v>
      </c>
      <c r="D106" s="167" t="s">
        <v>4129</v>
      </c>
      <c r="E106" s="167" t="s">
        <v>4128</v>
      </c>
      <c r="F106" s="167" t="s">
        <v>4128</v>
      </c>
      <c r="G106" s="167" t="s">
        <v>4129</v>
      </c>
      <c r="H106" s="135">
        <f t="shared" si="4"/>
        <v>2</v>
      </c>
      <c r="I106" s="130">
        <f t="shared" si="5"/>
        <v>18</v>
      </c>
      <c r="J106" s="136" t="s">
        <v>4538</v>
      </c>
      <c r="K106" s="167" t="s">
        <v>4232</v>
      </c>
    </row>
    <row r="107" spans="1:16" ht="49.5">
      <c r="A107" s="133">
        <v>103</v>
      </c>
      <c r="B107" s="134" t="s">
        <v>4037</v>
      </c>
      <c r="C107" s="129" t="s">
        <v>1002</v>
      </c>
      <c r="D107" s="166" t="s">
        <v>4128</v>
      </c>
      <c r="E107" s="166" t="s">
        <v>4128</v>
      </c>
      <c r="F107" s="166" t="s">
        <v>4128</v>
      </c>
      <c r="G107" s="166" t="s">
        <v>4129</v>
      </c>
      <c r="H107" s="135">
        <f t="shared" si="4"/>
        <v>3</v>
      </c>
      <c r="I107" s="130">
        <f t="shared" si="5"/>
        <v>25</v>
      </c>
      <c r="J107" s="136" t="s">
        <v>4539</v>
      </c>
      <c r="K107" s="166" t="s">
        <v>4232</v>
      </c>
    </row>
    <row r="108" spans="1:16" ht="49.5">
      <c r="A108" s="128">
        <v>104</v>
      </c>
      <c r="B108" s="134" t="s">
        <v>4037</v>
      </c>
      <c r="C108" s="129" t="s">
        <v>1083</v>
      </c>
      <c r="D108" s="168" t="s">
        <v>4129</v>
      </c>
      <c r="E108" s="168" t="s">
        <v>4129</v>
      </c>
      <c r="F108" s="168" t="s">
        <v>4129</v>
      </c>
      <c r="G108" s="168" t="s">
        <v>4129</v>
      </c>
      <c r="H108" s="135">
        <f t="shared" si="4"/>
        <v>0</v>
      </c>
      <c r="I108" s="130">
        <f t="shared" si="5"/>
        <v>0</v>
      </c>
      <c r="J108" s="136" t="s">
        <v>4540</v>
      </c>
      <c r="K108" s="168" t="s">
        <v>4232</v>
      </c>
    </row>
  </sheetData>
  <mergeCells count="2">
    <mergeCell ref="A1:L1"/>
    <mergeCell ref="A2:L2"/>
  </mergeCells>
  <phoneticPr fontId="5" type="noConversion"/>
  <conditionalFormatting sqref="D5:D99">
    <cfRule type="expression" dxfId="39" priority="6">
      <formula>D5="O"</formula>
    </cfRule>
    <cfRule type="expression" dxfId="38" priority="7">
      <formula>D5="X"</formula>
    </cfRule>
  </conditionalFormatting>
  <conditionalFormatting sqref="D100:G108">
    <cfRule type="expression" dxfId="37" priority="4">
      <formula>D100="O"</formula>
    </cfRule>
    <cfRule type="expression" dxfId="36" priority="5">
      <formula>D100="X"</formula>
    </cfRule>
  </conditionalFormatting>
  <conditionalFormatting sqref="E5:E99">
    <cfRule type="expression" dxfId="35" priority="8">
      <formula>E5="O"</formula>
    </cfRule>
    <cfRule type="expression" dxfId="34" priority="9">
      <formula>E5="X"</formula>
    </cfRule>
  </conditionalFormatting>
  <conditionalFormatting sqref="F5:F99">
    <cfRule type="expression" dxfId="33" priority="10">
      <formula>F5="O"</formula>
    </cfRule>
    <cfRule type="expression" dxfId="32" priority="11">
      <formula>F5="X"</formula>
    </cfRule>
  </conditionalFormatting>
  <conditionalFormatting sqref="G5:G99">
    <cfRule type="expression" dxfId="31" priority="12">
      <formula>G5="O"</formula>
    </cfRule>
    <cfRule type="expression" dxfId="30" priority="13">
      <formula>G5="X"</formula>
    </cfRule>
  </conditionalFormatting>
  <conditionalFormatting sqref="I5:I108">
    <cfRule type="colorScale" priority="14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K5:K99">
    <cfRule type="expression" dxfId="29" priority="17">
      <formula>K5="낮음"</formula>
    </cfRule>
  </conditionalFormatting>
  <conditionalFormatting sqref="K5:K108">
    <cfRule type="expression" dxfId="28" priority="1">
      <formula>K5="높음"</formula>
    </cfRule>
    <cfRule type="expression" dxfId="27" priority="2">
      <formula>K5="중간"</formula>
    </cfRule>
  </conditionalFormatting>
  <conditionalFormatting sqref="K100:K108">
    <cfRule type="expression" dxfId="26" priority="3">
      <formula>K100="낮음"</formula>
    </cfRule>
  </conditionalFormatting>
  <dataValidations disablePrompts="1" count="1">
    <dataValidation type="list" sqref="D5:G108" xr:uid="{8575C09E-2891-437D-9E82-380CC376A9FA}">
      <formula1>"O,X"</formula1>
    </dataValidation>
  </dataValidations>
  <pageMargins left="0.7" right="0.7" top="0.75" bottom="0.75" header="0.3" footer="0.3"/>
  <headerFooter>
    <oddFooter>&amp;L_x000D_&amp;1#&amp;"Aptos"&amp;11&amp;K000000 S-OIL: Company Use Only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410C4-B1B3-4457-9051-242A81F201D1}">
  <dimension ref="A1:O109"/>
  <sheetViews>
    <sheetView topLeftCell="A91" zoomScale="85" zoomScaleNormal="85" workbookViewId="0">
      <selection activeCell="A101" sqref="A101"/>
    </sheetView>
  </sheetViews>
  <sheetFormatPr defaultRowHeight="14.25"/>
  <cols>
    <col min="1" max="1" width="6" style="117" customWidth="1"/>
    <col min="2" max="2" width="21" style="117" customWidth="1"/>
    <col min="3" max="4" width="18" style="117" customWidth="1"/>
    <col min="5" max="5" width="17" style="117" customWidth="1"/>
    <col min="6" max="6" width="15" style="117" customWidth="1"/>
    <col min="7" max="7" width="17" style="117" customWidth="1"/>
    <col min="8" max="8" width="20" style="117" customWidth="1"/>
    <col min="9" max="9" width="8" style="117" customWidth="1"/>
    <col min="10" max="11" width="10" style="117" customWidth="1"/>
    <col min="12" max="12" width="8" style="117" customWidth="1"/>
    <col min="13" max="13" width="9" style="117" customWidth="1"/>
    <col min="14" max="14" width="54" style="117" customWidth="1"/>
    <col min="15" max="15" width="15" style="117" customWidth="1"/>
    <col min="16" max="16384" width="9" style="117"/>
  </cols>
  <sheetData>
    <row r="1" spans="1:15" ht="30" customHeight="1">
      <c r="A1" s="172" t="s">
        <v>4107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2"/>
      <c r="N1" s="172"/>
      <c r="O1" s="172"/>
    </row>
    <row r="2" spans="1:15" ht="30" customHeight="1">
      <c r="A2" s="173" t="s">
        <v>4108</v>
      </c>
      <c r="B2" s="173"/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</row>
    <row r="3" spans="1:15" ht="24" customHeight="1">
      <c r="A3" s="118" t="s">
        <v>4109</v>
      </c>
      <c r="B3" s="119">
        <v>95</v>
      </c>
      <c r="C3" s="119" t="s">
        <v>4110</v>
      </c>
      <c r="D3" s="153">
        <f>COUNTIF(M6:M109,"상향")</f>
        <v>13</v>
      </c>
      <c r="E3" s="119" t="s">
        <v>4111</v>
      </c>
      <c r="F3" s="153">
        <f>COUNTIF(M6:M109,"유지")</f>
        <v>86</v>
      </c>
      <c r="G3" s="119" t="s">
        <v>4112</v>
      </c>
      <c r="H3" s="152">
        <f>COUNTIF(M6:M109,"하향")</f>
        <v>5</v>
      </c>
    </row>
    <row r="5" spans="1:15" ht="48" customHeight="1">
      <c r="A5" s="120" t="s">
        <v>4113</v>
      </c>
      <c r="B5" s="121" t="s">
        <v>4114</v>
      </c>
      <c r="C5" s="121" t="s">
        <v>4115</v>
      </c>
      <c r="D5" s="121" t="s">
        <v>4116</v>
      </c>
      <c r="E5" s="121" t="s">
        <v>4117</v>
      </c>
      <c r="F5" s="121" t="s">
        <v>4118</v>
      </c>
      <c r="G5" s="121" t="s">
        <v>4119</v>
      </c>
      <c r="H5" s="121" t="s">
        <v>4120</v>
      </c>
      <c r="I5" s="121" t="s">
        <v>4121</v>
      </c>
      <c r="J5" s="121" t="s">
        <v>4122</v>
      </c>
      <c r="K5" s="121" t="s">
        <v>4123</v>
      </c>
      <c r="L5" s="121" t="s">
        <v>4124</v>
      </c>
      <c r="M5" s="121" t="s">
        <v>4125</v>
      </c>
      <c r="N5" s="121" t="s">
        <v>4126</v>
      </c>
      <c r="O5" s="122" t="s">
        <v>4127</v>
      </c>
    </row>
    <row r="6" spans="1:15" ht="36" customHeight="1">
      <c r="A6" s="123">
        <v>1</v>
      </c>
      <c r="B6" s="124" t="s">
        <v>3732</v>
      </c>
      <c r="C6" s="124" t="s">
        <v>29</v>
      </c>
      <c r="D6" s="125" t="s">
        <v>4128</v>
      </c>
      <c r="E6" s="125" t="s">
        <v>4129</v>
      </c>
      <c r="F6" s="125" t="s">
        <v>4129</v>
      </c>
      <c r="G6" s="125" t="s">
        <v>4128</v>
      </c>
      <c r="H6" s="125" t="s">
        <v>4128</v>
      </c>
      <c r="I6" s="125">
        <f t="shared" ref="I6:I69" si="0">COUNTIF(D6:H6,"O")</f>
        <v>3</v>
      </c>
      <c r="J6" s="125">
        <f t="shared" ref="J6:J69" si="1">IF(I6&gt;=3,50,IF(I6=2,35,IF(I6=1,20,0)))</f>
        <v>50</v>
      </c>
      <c r="K6" s="125">
        <v>50</v>
      </c>
      <c r="L6" s="125">
        <f t="shared" ref="L6:L69" si="2">J6-K6</f>
        <v>0</v>
      </c>
      <c r="M6" s="125" t="str">
        <f t="shared" ref="M6:M69" si="3">IF(L6&gt;0,"상향",IF(L6&lt;0,"하향","유지"))</f>
        <v>유지</v>
      </c>
      <c r="N6" s="126" t="s">
        <v>4130</v>
      </c>
      <c r="O6" s="127" t="s">
        <v>4131</v>
      </c>
    </row>
    <row r="7" spans="1:15" ht="36" customHeight="1">
      <c r="A7" s="128">
        <v>2</v>
      </c>
      <c r="B7" s="129" t="s">
        <v>3732</v>
      </c>
      <c r="C7" s="129" t="s">
        <v>31</v>
      </c>
      <c r="D7" s="130" t="s">
        <v>4128</v>
      </c>
      <c r="E7" s="130" t="s">
        <v>4129</v>
      </c>
      <c r="F7" s="130" t="s">
        <v>4129</v>
      </c>
      <c r="G7" s="130" t="s">
        <v>4129</v>
      </c>
      <c r="H7" s="130" t="s">
        <v>4128</v>
      </c>
      <c r="I7" s="130">
        <f t="shared" si="0"/>
        <v>2</v>
      </c>
      <c r="J7" s="130">
        <f t="shared" si="1"/>
        <v>35</v>
      </c>
      <c r="K7" s="130">
        <v>50</v>
      </c>
      <c r="L7" s="130">
        <f t="shared" si="2"/>
        <v>-15</v>
      </c>
      <c r="M7" s="130" t="str">
        <f t="shared" si="3"/>
        <v>하향</v>
      </c>
      <c r="N7" s="131" t="s">
        <v>4132</v>
      </c>
      <c r="O7" s="132" t="s">
        <v>4131</v>
      </c>
    </row>
    <row r="8" spans="1:15" ht="36" customHeight="1">
      <c r="A8" s="128">
        <v>3</v>
      </c>
      <c r="B8" s="129" t="s">
        <v>3732</v>
      </c>
      <c r="C8" s="129" t="s">
        <v>32</v>
      </c>
      <c r="D8" s="130" t="s">
        <v>4128</v>
      </c>
      <c r="E8" s="130" t="s">
        <v>4129</v>
      </c>
      <c r="F8" s="130" t="s">
        <v>4129</v>
      </c>
      <c r="G8" s="130" t="s">
        <v>4128</v>
      </c>
      <c r="H8" s="130" t="s">
        <v>4128</v>
      </c>
      <c r="I8" s="130">
        <f t="shared" si="0"/>
        <v>3</v>
      </c>
      <c r="J8" s="130">
        <f t="shared" si="1"/>
        <v>50</v>
      </c>
      <c r="K8" s="130">
        <v>50</v>
      </c>
      <c r="L8" s="130">
        <f t="shared" si="2"/>
        <v>0</v>
      </c>
      <c r="M8" s="130" t="str">
        <f t="shared" si="3"/>
        <v>유지</v>
      </c>
      <c r="N8" s="131" t="s">
        <v>4133</v>
      </c>
      <c r="O8" s="132" t="s">
        <v>4131</v>
      </c>
    </row>
    <row r="9" spans="1:15" ht="36" customHeight="1">
      <c r="A9" s="128">
        <v>4</v>
      </c>
      <c r="B9" s="129" t="s">
        <v>3733</v>
      </c>
      <c r="C9" s="129" t="s">
        <v>892</v>
      </c>
      <c r="D9" s="130" t="s">
        <v>4128</v>
      </c>
      <c r="E9" s="130" t="s">
        <v>4129</v>
      </c>
      <c r="F9" s="130" t="s">
        <v>4129</v>
      </c>
      <c r="G9" s="130" t="s">
        <v>4128</v>
      </c>
      <c r="H9" s="130" t="s">
        <v>4129</v>
      </c>
      <c r="I9" s="130">
        <f t="shared" si="0"/>
        <v>2</v>
      </c>
      <c r="J9" s="130">
        <f t="shared" si="1"/>
        <v>35</v>
      </c>
      <c r="K9" s="130">
        <v>35</v>
      </c>
      <c r="L9" s="130">
        <f t="shared" si="2"/>
        <v>0</v>
      </c>
      <c r="M9" s="130" t="str">
        <f t="shared" si="3"/>
        <v>유지</v>
      </c>
      <c r="N9" s="131" t="s">
        <v>4134</v>
      </c>
      <c r="O9" s="132" t="s">
        <v>4135</v>
      </c>
    </row>
    <row r="10" spans="1:15" ht="36" customHeight="1">
      <c r="A10" s="128">
        <v>5</v>
      </c>
      <c r="B10" s="129" t="s">
        <v>3733</v>
      </c>
      <c r="C10" s="129" t="s">
        <v>893</v>
      </c>
      <c r="D10" s="130" t="s">
        <v>4128</v>
      </c>
      <c r="E10" s="130" t="s">
        <v>4129</v>
      </c>
      <c r="F10" s="130" t="s">
        <v>4129</v>
      </c>
      <c r="G10" s="130" t="s">
        <v>4128</v>
      </c>
      <c r="H10" s="130" t="s">
        <v>4129</v>
      </c>
      <c r="I10" s="130">
        <f t="shared" si="0"/>
        <v>2</v>
      </c>
      <c r="J10" s="130">
        <f t="shared" si="1"/>
        <v>35</v>
      </c>
      <c r="K10" s="130">
        <v>35</v>
      </c>
      <c r="L10" s="130">
        <f t="shared" si="2"/>
        <v>0</v>
      </c>
      <c r="M10" s="130" t="str">
        <f t="shared" si="3"/>
        <v>유지</v>
      </c>
      <c r="N10" s="131" t="s">
        <v>4136</v>
      </c>
      <c r="O10" s="132" t="s">
        <v>4135</v>
      </c>
    </row>
    <row r="11" spans="1:15" ht="36" customHeight="1">
      <c r="A11" s="128">
        <v>6</v>
      </c>
      <c r="B11" s="129" t="s">
        <v>3733</v>
      </c>
      <c r="C11" s="129" t="s">
        <v>34</v>
      </c>
      <c r="D11" s="130" t="s">
        <v>4128</v>
      </c>
      <c r="E11" s="130" t="s">
        <v>4129</v>
      </c>
      <c r="F11" s="130" t="s">
        <v>4129</v>
      </c>
      <c r="G11" s="130" t="s">
        <v>4128</v>
      </c>
      <c r="H11" s="130" t="s">
        <v>4129</v>
      </c>
      <c r="I11" s="130">
        <f t="shared" si="0"/>
        <v>2</v>
      </c>
      <c r="J11" s="130">
        <f t="shared" si="1"/>
        <v>35</v>
      </c>
      <c r="K11" s="130">
        <v>35</v>
      </c>
      <c r="L11" s="130">
        <f t="shared" si="2"/>
        <v>0</v>
      </c>
      <c r="M11" s="130" t="str">
        <f t="shared" si="3"/>
        <v>유지</v>
      </c>
      <c r="N11" s="131" t="s">
        <v>4137</v>
      </c>
      <c r="O11" s="132" t="s">
        <v>4135</v>
      </c>
    </row>
    <row r="12" spans="1:15" ht="36" customHeight="1">
      <c r="A12" s="128">
        <v>7</v>
      </c>
      <c r="B12" s="129" t="s">
        <v>3737</v>
      </c>
      <c r="C12" s="129" t="s">
        <v>36</v>
      </c>
      <c r="D12" s="130" t="s">
        <v>4128</v>
      </c>
      <c r="E12" s="130" t="s">
        <v>4129</v>
      </c>
      <c r="F12" s="130" t="s">
        <v>4129</v>
      </c>
      <c r="G12" s="130" t="s">
        <v>4128</v>
      </c>
      <c r="H12" s="130" t="s">
        <v>4129</v>
      </c>
      <c r="I12" s="130">
        <f t="shared" si="0"/>
        <v>2</v>
      </c>
      <c r="J12" s="130">
        <f t="shared" si="1"/>
        <v>35</v>
      </c>
      <c r="K12" s="130">
        <v>35</v>
      </c>
      <c r="L12" s="130">
        <f t="shared" si="2"/>
        <v>0</v>
      </c>
      <c r="M12" s="130" t="str">
        <f t="shared" si="3"/>
        <v>유지</v>
      </c>
      <c r="N12" s="131" t="s">
        <v>4138</v>
      </c>
      <c r="O12" s="132" t="s">
        <v>4131</v>
      </c>
    </row>
    <row r="13" spans="1:15" ht="36" customHeight="1">
      <c r="A13" s="128">
        <v>8</v>
      </c>
      <c r="B13" s="129" t="s">
        <v>3737</v>
      </c>
      <c r="C13" s="129" t="s">
        <v>1987</v>
      </c>
      <c r="D13" s="130" t="s">
        <v>4129</v>
      </c>
      <c r="E13" s="130" t="s">
        <v>4129</v>
      </c>
      <c r="F13" s="130" t="s">
        <v>4129</v>
      </c>
      <c r="G13" s="130" t="s">
        <v>4128</v>
      </c>
      <c r="H13" s="130" t="s">
        <v>4129</v>
      </c>
      <c r="I13" s="130">
        <f t="shared" si="0"/>
        <v>1</v>
      </c>
      <c r="J13" s="130">
        <f t="shared" si="1"/>
        <v>20</v>
      </c>
      <c r="K13" s="130">
        <v>20</v>
      </c>
      <c r="L13" s="130">
        <f t="shared" si="2"/>
        <v>0</v>
      </c>
      <c r="M13" s="130" t="str">
        <f t="shared" si="3"/>
        <v>유지</v>
      </c>
      <c r="N13" s="131" t="s">
        <v>4139</v>
      </c>
      <c r="O13" s="132" t="s">
        <v>4131</v>
      </c>
    </row>
    <row r="14" spans="1:15" ht="36" customHeight="1">
      <c r="A14" s="128">
        <v>9</v>
      </c>
      <c r="B14" s="129" t="s">
        <v>3734</v>
      </c>
      <c r="C14" s="129" t="s">
        <v>894</v>
      </c>
      <c r="D14" s="130" t="s">
        <v>4128</v>
      </c>
      <c r="E14" s="130" t="s">
        <v>4129</v>
      </c>
      <c r="F14" s="130" t="s">
        <v>4129</v>
      </c>
      <c r="G14" s="130" t="s">
        <v>4128</v>
      </c>
      <c r="H14" s="130" t="s">
        <v>4128</v>
      </c>
      <c r="I14" s="130">
        <f t="shared" si="0"/>
        <v>3</v>
      </c>
      <c r="J14" s="130">
        <f t="shared" si="1"/>
        <v>50</v>
      </c>
      <c r="K14" s="130">
        <v>50</v>
      </c>
      <c r="L14" s="130">
        <f t="shared" si="2"/>
        <v>0</v>
      </c>
      <c r="M14" s="130" t="str">
        <f t="shared" si="3"/>
        <v>유지</v>
      </c>
      <c r="N14" s="131" t="s">
        <v>4140</v>
      </c>
      <c r="O14" s="132" t="s">
        <v>4131</v>
      </c>
    </row>
    <row r="15" spans="1:15" ht="36" customHeight="1">
      <c r="A15" s="128">
        <v>10</v>
      </c>
      <c r="B15" s="129" t="s">
        <v>3738</v>
      </c>
      <c r="C15" s="129" t="s">
        <v>40</v>
      </c>
      <c r="D15" s="130" t="s">
        <v>4128</v>
      </c>
      <c r="E15" s="130" t="s">
        <v>4129</v>
      </c>
      <c r="F15" s="130" t="s">
        <v>4129</v>
      </c>
      <c r="G15" s="130" t="s">
        <v>4128</v>
      </c>
      <c r="H15" s="130" t="s">
        <v>4129</v>
      </c>
      <c r="I15" s="130">
        <f t="shared" si="0"/>
        <v>2</v>
      </c>
      <c r="J15" s="130">
        <f t="shared" si="1"/>
        <v>35</v>
      </c>
      <c r="K15" s="130">
        <v>35</v>
      </c>
      <c r="L15" s="130">
        <f t="shared" si="2"/>
        <v>0</v>
      </c>
      <c r="M15" s="130" t="str">
        <f t="shared" si="3"/>
        <v>유지</v>
      </c>
      <c r="N15" s="131" t="s">
        <v>4141</v>
      </c>
      <c r="O15" s="132" t="s">
        <v>4131</v>
      </c>
    </row>
    <row r="16" spans="1:15" ht="36" customHeight="1">
      <c r="A16" s="128">
        <v>11</v>
      </c>
      <c r="B16" s="129" t="s">
        <v>3738</v>
      </c>
      <c r="C16" s="129" t="s">
        <v>41</v>
      </c>
      <c r="D16" s="130" t="s">
        <v>4128</v>
      </c>
      <c r="E16" s="130" t="s">
        <v>4129</v>
      </c>
      <c r="F16" s="130" t="s">
        <v>4129</v>
      </c>
      <c r="G16" s="130" t="s">
        <v>4128</v>
      </c>
      <c r="H16" s="130" t="s">
        <v>4129</v>
      </c>
      <c r="I16" s="130">
        <f t="shared" si="0"/>
        <v>2</v>
      </c>
      <c r="J16" s="130">
        <f t="shared" si="1"/>
        <v>35</v>
      </c>
      <c r="K16" s="130">
        <v>35</v>
      </c>
      <c r="L16" s="130">
        <f t="shared" si="2"/>
        <v>0</v>
      </c>
      <c r="M16" s="130" t="str">
        <f t="shared" si="3"/>
        <v>유지</v>
      </c>
      <c r="N16" s="131" t="s">
        <v>4141</v>
      </c>
      <c r="O16" s="132" t="s">
        <v>4131</v>
      </c>
    </row>
    <row r="17" spans="1:15" ht="36" customHeight="1">
      <c r="A17" s="128">
        <v>12</v>
      </c>
      <c r="B17" s="129" t="s">
        <v>3738</v>
      </c>
      <c r="C17" s="129" t="s">
        <v>42</v>
      </c>
      <c r="D17" s="130" t="s">
        <v>4128</v>
      </c>
      <c r="E17" s="130" t="s">
        <v>4129</v>
      </c>
      <c r="F17" s="130" t="s">
        <v>4129</v>
      </c>
      <c r="G17" s="130" t="s">
        <v>4128</v>
      </c>
      <c r="H17" s="130" t="s">
        <v>4129</v>
      </c>
      <c r="I17" s="130">
        <f t="shared" si="0"/>
        <v>2</v>
      </c>
      <c r="J17" s="130">
        <f t="shared" si="1"/>
        <v>35</v>
      </c>
      <c r="K17" s="130">
        <v>35</v>
      </c>
      <c r="L17" s="130">
        <f t="shared" si="2"/>
        <v>0</v>
      </c>
      <c r="M17" s="130" t="str">
        <f t="shared" si="3"/>
        <v>유지</v>
      </c>
      <c r="N17" s="131" t="s">
        <v>4141</v>
      </c>
      <c r="O17" s="132" t="s">
        <v>4131</v>
      </c>
    </row>
    <row r="18" spans="1:15" ht="36" customHeight="1">
      <c r="A18" s="128">
        <v>13</v>
      </c>
      <c r="B18" s="129" t="s">
        <v>3734</v>
      </c>
      <c r="C18" s="129" t="s">
        <v>895</v>
      </c>
      <c r="D18" s="130" t="s">
        <v>4128</v>
      </c>
      <c r="E18" s="130" t="s">
        <v>4129</v>
      </c>
      <c r="F18" s="130" t="s">
        <v>4129</v>
      </c>
      <c r="G18" s="130" t="s">
        <v>4128</v>
      </c>
      <c r="H18" s="130" t="s">
        <v>4128</v>
      </c>
      <c r="I18" s="130">
        <f t="shared" si="0"/>
        <v>3</v>
      </c>
      <c r="J18" s="130">
        <f t="shared" si="1"/>
        <v>50</v>
      </c>
      <c r="K18" s="130">
        <v>50</v>
      </c>
      <c r="L18" s="130">
        <f t="shared" si="2"/>
        <v>0</v>
      </c>
      <c r="M18" s="130" t="str">
        <f t="shared" si="3"/>
        <v>유지</v>
      </c>
      <c r="N18" s="131" t="s">
        <v>4142</v>
      </c>
      <c r="O18" s="132" t="s">
        <v>4131</v>
      </c>
    </row>
    <row r="19" spans="1:15" ht="36" customHeight="1">
      <c r="A19" s="128">
        <v>14</v>
      </c>
      <c r="B19" s="129" t="s">
        <v>3739</v>
      </c>
      <c r="C19" s="129" t="s">
        <v>896</v>
      </c>
      <c r="D19" s="130" t="s">
        <v>4128</v>
      </c>
      <c r="E19" s="130" t="s">
        <v>4129</v>
      </c>
      <c r="F19" s="130" t="s">
        <v>4129</v>
      </c>
      <c r="G19" s="130" t="s">
        <v>4128</v>
      </c>
      <c r="H19" s="130" t="s">
        <v>4129</v>
      </c>
      <c r="I19" s="130">
        <f t="shared" si="0"/>
        <v>2</v>
      </c>
      <c r="J19" s="130">
        <f t="shared" si="1"/>
        <v>35</v>
      </c>
      <c r="K19" s="130">
        <v>35</v>
      </c>
      <c r="L19" s="130">
        <f t="shared" si="2"/>
        <v>0</v>
      </c>
      <c r="M19" s="130" t="str">
        <f t="shared" si="3"/>
        <v>유지</v>
      </c>
      <c r="N19" s="131" t="s">
        <v>4143</v>
      </c>
      <c r="O19" s="132" t="s">
        <v>4131</v>
      </c>
    </row>
    <row r="20" spans="1:15" ht="36" customHeight="1">
      <c r="A20" s="128">
        <v>15</v>
      </c>
      <c r="B20" s="129" t="s">
        <v>3743</v>
      </c>
      <c r="C20" s="129" t="s">
        <v>897</v>
      </c>
      <c r="D20" s="130" t="s">
        <v>4128</v>
      </c>
      <c r="E20" s="130" t="s">
        <v>4129</v>
      </c>
      <c r="F20" s="130" t="s">
        <v>4129</v>
      </c>
      <c r="G20" s="130" t="s">
        <v>4128</v>
      </c>
      <c r="H20" s="130" t="s">
        <v>4129</v>
      </c>
      <c r="I20" s="130">
        <f t="shared" si="0"/>
        <v>2</v>
      </c>
      <c r="J20" s="130">
        <f t="shared" si="1"/>
        <v>35</v>
      </c>
      <c r="K20" s="130">
        <v>35</v>
      </c>
      <c r="L20" s="130">
        <f t="shared" si="2"/>
        <v>0</v>
      </c>
      <c r="M20" s="130" t="str">
        <f t="shared" si="3"/>
        <v>유지</v>
      </c>
      <c r="N20" s="131" t="s">
        <v>4144</v>
      </c>
      <c r="O20" s="132" t="s">
        <v>4135</v>
      </c>
    </row>
    <row r="21" spans="1:15" ht="36" customHeight="1">
      <c r="A21" s="128">
        <v>16</v>
      </c>
      <c r="B21" s="129" t="s">
        <v>3743</v>
      </c>
      <c r="C21" s="129" t="s">
        <v>101</v>
      </c>
      <c r="D21" s="130" t="s">
        <v>4128</v>
      </c>
      <c r="E21" s="130" t="s">
        <v>4129</v>
      </c>
      <c r="F21" s="130" t="s">
        <v>4129</v>
      </c>
      <c r="G21" s="130" t="s">
        <v>4128</v>
      </c>
      <c r="H21" s="130" t="s">
        <v>4129</v>
      </c>
      <c r="I21" s="130">
        <f t="shared" si="0"/>
        <v>2</v>
      </c>
      <c r="J21" s="130">
        <f t="shared" si="1"/>
        <v>35</v>
      </c>
      <c r="K21" s="130">
        <v>35</v>
      </c>
      <c r="L21" s="130">
        <f t="shared" si="2"/>
        <v>0</v>
      </c>
      <c r="M21" s="130" t="str">
        <f t="shared" si="3"/>
        <v>유지</v>
      </c>
      <c r="N21" s="131" t="s">
        <v>4145</v>
      </c>
      <c r="O21" s="132" t="s">
        <v>4135</v>
      </c>
    </row>
    <row r="22" spans="1:15" ht="36" customHeight="1">
      <c r="A22" s="128">
        <v>17</v>
      </c>
      <c r="B22" s="129" t="s">
        <v>3743</v>
      </c>
      <c r="C22" s="129" t="s">
        <v>102</v>
      </c>
      <c r="D22" s="130" t="s">
        <v>4128</v>
      </c>
      <c r="E22" s="130" t="s">
        <v>4129</v>
      </c>
      <c r="F22" s="130" t="s">
        <v>4129</v>
      </c>
      <c r="G22" s="130" t="s">
        <v>4128</v>
      </c>
      <c r="H22" s="130" t="s">
        <v>4129</v>
      </c>
      <c r="I22" s="130">
        <f t="shared" si="0"/>
        <v>2</v>
      </c>
      <c r="J22" s="130">
        <f t="shared" si="1"/>
        <v>35</v>
      </c>
      <c r="K22" s="130">
        <v>35</v>
      </c>
      <c r="L22" s="130">
        <f t="shared" si="2"/>
        <v>0</v>
      </c>
      <c r="M22" s="130" t="str">
        <f t="shared" si="3"/>
        <v>유지</v>
      </c>
      <c r="N22" s="131" t="s">
        <v>4146</v>
      </c>
      <c r="O22" s="132" t="s">
        <v>4135</v>
      </c>
    </row>
    <row r="23" spans="1:15" ht="36" customHeight="1">
      <c r="A23" s="128">
        <v>18</v>
      </c>
      <c r="B23" s="129" t="s">
        <v>3743</v>
      </c>
      <c r="C23" s="129" t="s">
        <v>89</v>
      </c>
      <c r="D23" s="130" t="s">
        <v>4128</v>
      </c>
      <c r="E23" s="130" t="s">
        <v>4129</v>
      </c>
      <c r="F23" s="130" t="s">
        <v>4128</v>
      </c>
      <c r="G23" s="130" t="s">
        <v>4129</v>
      </c>
      <c r="H23" s="130" t="s">
        <v>4129</v>
      </c>
      <c r="I23" s="130">
        <f t="shared" si="0"/>
        <v>2</v>
      </c>
      <c r="J23" s="130">
        <f t="shared" si="1"/>
        <v>35</v>
      </c>
      <c r="K23" s="130">
        <v>35</v>
      </c>
      <c r="L23" s="130">
        <f t="shared" si="2"/>
        <v>0</v>
      </c>
      <c r="M23" s="130" t="str">
        <f t="shared" si="3"/>
        <v>유지</v>
      </c>
      <c r="N23" s="131" t="s">
        <v>4147</v>
      </c>
      <c r="O23" s="132" t="s">
        <v>4148</v>
      </c>
    </row>
    <row r="24" spans="1:15" ht="36" customHeight="1">
      <c r="A24" s="128">
        <v>19</v>
      </c>
      <c r="B24" s="129" t="s">
        <v>3742</v>
      </c>
      <c r="C24" s="129" t="s">
        <v>898</v>
      </c>
      <c r="D24" s="130" t="s">
        <v>4128</v>
      </c>
      <c r="E24" s="130" t="s">
        <v>4129</v>
      </c>
      <c r="F24" s="130" t="s">
        <v>4129</v>
      </c>
      <c r="G24" s="130" t="s">
        <v>4128</v>
      </c>
      <c r="H24" s="130" t="s">
        <v>4128</v>
      </c>
      <c r="I24" s="130">
        <f t="shared" si="0"/>
        <v>3</v>
      </c>
      <c r="J24" s="130">
        <f t="shared" si="1"/>
        <v>50</v>
      </c>
      <c r="K24" s="130">
        <v>50</v>
      </c>
      <c r="L24" s="130">
        <f t="shared" si="2"/>
        <v>0</v>
      </c>
      <c r="M24" s="130" t="str">
        <f t="shared" si="3"/>
        <v>유지</v>
      </c>
      <c r="N24" s="131" t="s">
        <v>4149</v>
      </c>
      <c r="O24" s="132" t="s">
        <v>4150</v>
      </c>
    </row>
    <row r="25" spans="1:15" ht="36" customHeight="1">
      <c r="A25" s="128">
        <v>20</v>
      </c>
      <c r="B25" s="129" t="s">
        <v>3744</v>
      </c>
      <c r="C25" s="129" t="s">
        <v>899</v>
      </c>
      <c r="D25" s="130" t="s">
        <v>4128</v>
      </c>
      <c r="E25" s="130" t="s">
        <v>4129</v>
      </c>
      <c r="F25" s="130" t="s">
        <v>4129</v>
      </c>
      <c r="G25" s="130" t="s">
        <v>4128</v>
      </c>
      <c r="H25" s="130" t="s">
        <v>4128</v>
      </c>
      <c r="I25" s="130">
        <f t="shared" si="0"/>
        <v>3</v>
      </c>
      <c r="J25" s="130">
        <f t="shared" si="1"/>
        <v>50</v>
      </c>
      <c r="K25" s="130">
        <v>50</v>
      </c>
      <c r="L25" s="130">
        <f t="shared" si="2"/>
        <v>0</v>
      </c>
      <c r="M25" s="130" t="str">
        <f t="shared" si="3"/>
        <v>유지</v>
      </c>
      <c r="N25" s="131" t="s">
        <v>4151</v>
      </c>
      <c r="O25" s="132" t="s">
        <v>4150</v>
      </c>
    </row>
    <row r="26" spans="1:15" ht="36" customHeight="1">
      <c r="A26" s="128">
        <v>21</v>
      </c>
      <c r="B26" s="129" t="s">
        <v>3744</v>
      </c>
      <c r="C26" s="129" t="s">
        <v>1857</v>
      </c>
      <c r="D26" s="130" t="s">
        <v>4128</v>
      </c>
      <c r="E26" s="130" t="s">
        <v>4128</v>
      </c>
      <c r="F26" s="130" t="s">
        <v>4129</v>
      </c>
      <c r="G26" s="130" t="s">
        <v>4128</v>
      </c>
      <c r="H26" s="130" t="s">
        <v>4128</v>
      </c>
      <c r="I26" s="130">
        <f t="shared" si="0"/>
        <v>4</v>
      </c>
      <c r="J26" s="130">
        <f t="shared" si="1"/>
        <v>50</v>
      </c>
      <c r="K26" s="130">
        <v>50</v>
      </c>
      <c r="L26" s="130">
        <f t="shared" si="2"/>
        <v>0</v>
      </c>
      <c r="M26" s="130" t="str">
        <f t="shared" si="3"/>
        <v>유지</v>
      </c>
      <c r="N26" s="131" t="s">
        <v>4152</v>
      </c>
      <c r="O26" s="132" t="s">
        <v>4150</v>
      </c>
    </row>
    <row r="27" spans="1:15" ht="36" customHeight="1">
      <c r="A27" s="128">
        <v>22</v>
      </c>
      <c r="B27" s="129" t="s">
        <v>2083</v>
      </c>
      <c r="C27" s="129" t="s">
        <v>1857</v>
      </c>
      <c r="D27" s="130" t="s">
        <v>4128</v>
      </c>
      <c r="E27" s="130" t="s">
        <v>4128</v>
      </c>
      <c r="F27" s="130" t="s">
        <v>4129</v>
      </c>
      <c r="G27" s="130" t="s">
        <v>4128</v>
      </c>
      <c r="H27" s="130" t="s">
        <v>4128</v>
      </c>
      <c r="I27" s="130">
        <f t="shared" si="0"/>
        <v>4</v>
      </c>
      <c r="J27" s="130">
        <f t="shared" si="1"/>
        <v>50</v>
      </c>
      <c r="K27" s="130">
        <v>50</v>
      </c>
      <c r="L27" s="130">
        <f t="shared" si="2"/>
        <v>0</v>
      </c>
      <c r="M27" s="130" t="str">
        <f t="shared" si="3"/>
        <v>유지</v>
      </c>
      <c r="N27" s="131" t="s">
        <v>4152</v>
      </c>
      <c r="O27" s="132" t="s">
        <v>4150</v>
      </c>
    </row>
    <row r="28" spans="1:15" ht="36" customHeight="1">
      <c r="A28" s="128">
        <v>23</v>
      </c>
      <c r="B28" s="129" t="s">
        <v>3744</v>
      </c>
      <c r="C28" s="129" t="s">
        <v>1847</v>
      </c>
      <c r="D28" s="130" t="s">
        <v>4128</v>
      </c>
      <c r="E28" s="130" t="s">
        <v>4128</v>
      </c>
      <c r="F28" s="130" t="s">
        <v>4129</v>
      </c>
      <c r="G28" s="130" t="s">
        <v>4128</v>
      </c>
      <c r="H28" s="130" t="s">
        <v>4128</v>
      </c>
      <c r="I28" s="130">
        <f t="shared" si="0"/>
        <v>4</v>
      </c>
      <c r="J28" s="130">
        <f t="shared" si="1"/>
        <v>50</v>
      </c>
      <c r="K28" s="130">
        <v>50</v>
      </c>
      <c r="L28" s="130">
        <f t="shared" si="2"/>
        <v>0</v>
      </c>
      <c r="M28" s="130" t="str">
        <f t="shared" si="3"/>
        <v>유지</v>
      </c>
      <c r="N28" s="131" t="s">
        <v>4153</v>
      </c>
      <c r="O28" s="132" t="s">
        <v>4150</v>
      </c>
    </row>
    <row r="29" spans="1:15" ht="36" customHeight="1">
      <c r="A29" s="128">
        <v>24</v>
      </c>
      <c r="B29" s="129" t="s">
        <v>3757</v>
      </c>
      <c r="C29" s="129" t="s">
        <v>94</v>
      </c>
      <c r="D29" s="130" t="s">
        <v>4128</v>
      </c>
      <c r="E29" s="130" t="s">
        <v>4128</v>
      </c>
      <c r="F29" s="130" t="s">
        <v>4129</v>
      </c>
      <c r="G29" s="130" t="s">
        <v>4128</v>
      </c>
      <c r="H29" s="130" t="s">
        <v>4128</v>
      </c>
      <c r="I29" s="130">
        <f t="shared" si="0"/>
        <v>4</v>
      </c>
      <c r="J29" s="130">
        <f t="shared" si="1"/>
        <v>50</v>
      </c>
      <c r="K29" s="130">
        <v>50</v>
      </c>
      <c r="L29" s="130">
        <f t="shared" si="2"/>
        <v>0</v>
      </c>
      <c r="M29" s="130" t="str">
        <f t="shared" si="3"/>
        <v>유지</v>
      </c>
      <c r="N29" s="131" t="s">
        <v>4154</v>
      </c>
      <c r="O29" s="132" t="s">
        <v>4150</v>
      </c>
    </row>
    <row r="30" spans="1:15" ht="36" customHeight="1">
      <c r="A30" s="128">
        <v>25</v>
      </c>
      <c r="B30" s="129" t="s">
        <v>3757</v>
      </c>
      <c r="C30" s="129" t="s">
        <v>973</v>
      </c>
      <c r="D30" s="130" t="s">
        <v>4128</v>
      </c>
      <c r="E30" s="130" t="s">
        <v>4128</v>
      </c>
      <c r="F30" s="130" t="s">
        <v>4129</v>
      </c>
      <c r="G30" s="130" t="s">
        <v>4128</v>
      </c>
      <c r="H30" s="130" t="s">
        <v>4128</v>
      </c>
      <c r="I30" s="130">
        <f t="shared" si="0"/>
        <v>4</v>
      </c>
      <c r="J30" s="130">
        <f t="shared" si="1"/>
        <v>50</v>
      </c>
      <c r="K30" s="130">
        <v>50</v>
      </c>
      <c r="L30" s="130">
        <f t="shared" si="2"/>
        <v>0</v>
      </c>
      <c r="M30" s="130" t="str">
        <f t="shared" si="3"/>
        <v>유지</v>
      </c>
      <c r="N30" s="131" t="s">
        <v>4155</v>
      </c>
      <c r="O30" s="132" t="s">
        <v>4150</v>
      </c>
    </row>
    <row r="31" spans="1:15" ht="36" customHeight="1">
      <c r="A31" s="128">
        <v>26</v>
      </c>
      <c r="B31" s="129" t="s">
        <v>3745</v>
      </c>
      <c r="C31" s="129" t="s">
        <v>1816</v>
      </c>
      <c r="D31" s="130" t="s">
        <v>4128</v>
      </c>
      <c r="E31" s="130" t="s">
        <v>4129</v>
      </c>
      <c r="F31" s="130" t="s">
        <v>4129</v>
      </c>
      <c r="G31" s="130" t="s">
        <v>4128</v>
      </c>
      <c r="H31" s="130" t="s">
        <v>4129</v>
      </c>
      <c r="I31" s="130">
        <f t="shared" si="0"/>
        <v>2</v>
      </c>
      <c r="J31" s="130">
        <f t="shared" si="1"/>
        <v>35</v>
      </c>
      <c r="K31" s="130">
        <v>50</v>
      </c>
      <c r="L31" s="130">
        <f t="shared" si="2"/>
        <v>-15</v>
      </c>
      <c r="M31" s="130" t="str">
        <f t="shared" si="3"/>
        <v>하향</v>
      </c>
      <c r="N31" s="131" t="s">
        <v>4156</v>
      </c>
      <c r="O31" s="132" t="s">
        <v>4150</v>
      </c>
    </row>
    <row r="32" spans="1:15" ht="36" customHeight="1">
      <c r="A32" s="128">
        <v>27</v>
      </c>
      <c r="B32" s="129" t="s">
        <v>3746</v>
      </c>
      <c r="C32" s="129" t="s">
        <v>1816</v>
      </c>
      <c r="D32" s="130" t="s">
        <v>4128</v>
      </c>
      <c r="E32" s="130" t="s">
        <v>4129</v>
      </c>
      <c r="F32" s="130" t="s">
        <v>4129</v>
      </c>
      <c r="G32" s="130" t="s">
        <v>4128</v>
      </c>
      <c r="H32" s="130" t="s">
        <v>4129</v>
      </c>
      <c r="I32" s="130">
        <f t="shared" si="0"/>
        <v>2</v>
      </c>
      <c r="J32" s="130">
        <f t="shared" si="1"/>
        <v>35</v>
      </c>
      <c r="K32" s="130">
        <v>50</v>
      </c>
      <c r="L32" s="130">
        <f t="shared" si="2"/>
        <v>-15</v>
      </c>
      <c r="M32" s="130" t="str">
        <f t="shared" si="3"/>
        <v>하향</v>
      </c>
      <c r="N32" s="131" t="s">
        <v>4156</v>
      </c>
      <c r="O32" s="132" t="s">
        <v>4150</v>
      </c>
    </row>
    <row r="33" spans="1:15" ht="36" customHeight="1">
      <c r="A33" s="128">
        <v>28</v>
      </c>
      <c r="B33" s="129" t="s">
        <v>3746</v>
      </c>
      <c r="C33" s="129" t="s">
        <v>786</v>
      </c>
      <c r="D33" s="130" t="s">
        <v>4128</v>
      </c>
      <c r="E33" s="130" t="s">
        <v>4129</v>
      </c>
      <c r="F33" s="130" t="s">
        <v>4129</v>
      </c>
      <c r="G33" s="130" t="s">
        <v>4128</v>
      </c>
      <c r="H33" s="130" t="s">
        <v>4129</v>
      </c>
      <c r="I33" s="130">
        <f t="shared" si="0"/>
        <v>2</v>
      </c>
      <c r="J33" s="130">
        <f t="shared" si="1"/>
        <v>35</v>
      </c>
      <c r="K33" s="130">
        <v>50</v>
      </c>
      <c r="L33" s="130">
        <f t="shared" si="2"/>
        <v>-15</v>
      </c>
      <c r="M33" s="130" t="str">
        <f t="shared" si="3"/>
        <v>하향</v>
      </c>
      <c r="N33" s="131" t="s">
        <v>4157</v>
      </c>
      <c r="O33" s="132" t="s">
        <v>4150</v>
      </c>
    </row>
    <row r="34" spans="1:15" ht="36" customHeight="1">
      <c r="A34" s="128">
        <v>29</v>
      </c>
      <c r="B34" s="129" t="s">
        <v>3745</v>
      </c>
      <c r="C34" s="129" t="s">
        <v>1799</v>
      </c>
      <c r="D34" s="130" t="s">
        <v>4128</v>
      </c>
      <c r="E34" s="130" t="s">
        <v>4129</v>
      </c>
      <c r="F34" s="130" t="s">
        <v>4129</v>
      </c>
      <c r="G34" s="130" t="s">
        <v>4128</v>
      </c>
      <c r="H34" s="130" t="s">
        <v>4129</v>
      </c>
      <c r="I34" s="130">
        <f t="shared" si="0"/>
        <v>2</v>
      </c>
      <c r="J34" s="130">
        <f t="shared" si="1"/>
        <v>35</v>
      </c>
      <c r="K34" s="130">
        <v>50</v>
      </c>
      <c r="L34" s="130">
        <f t="shared" si="2"/>
        <v>-15</v>
      </c>
      <c r="M34" s="130" t="str">
        <f t="shared" si="3"/>
        <v>하향</v>
      </c>
      <c r="N34" s="131" t="s">
        <v>4158</v>
      </c>
      <c r="O34" s="132" t="s">
        <v>4150</v>
      </c>
    </row>
    <row r="35" spans="1:15" ht="36" customHeight="1">
      <c r="A35" s="128">
        <v>30</v>
      </c>
      <c r="B35" s="129" t="s">
        <v>3747</v>
      </c>
      <c r="C35" s="129" t="s">
        <v>1094</v>
      </c>
      <c r="D35" s="130" t="s">
        <v>4128</v>
      </c>
      <c r="E35" s="130" t="s">
        <v>4129</v>
      </c>
      <c r="F35" s="130" t="s">
        <v>4129</v>
      </c>
      <c r="G35" s="130" t="s">
        <v>4128</v>
      </c>
      <c r="H35" s="130" t="s">
        <v>4129</v>
      </c>
      <c r="I35" s="130">
        <f t="shared" si="0"/>
        <v>2</v>
      </c>
      <c r="J35" s="130">
        <f t="shared" si="1"/>
        <v>35</v>
      </c>
      <c r="K35" s="130">
        <v>35</v>
      </c>
      <c r="L35" s="130">
        <f t="shared" si="2"/>
        <v>0</v>
      </c>
      <c r="M35" s="130" t="str">
        <f t="shared" si="3"/>
        <v>유지</v>
      </c>
      <c r="N35" s="131" t="s">
        <v>4159</v>
      </c>
      <c r="O35" s="132" t="s">
        <v>4150</v>
      </c>
    </row>
    <row r="36" spans="1:15" ht="36" customHeight="1">
      <c r="A36" s="128">
        <v>31</v>
      </c>
      <c r="B36" s="129" t="s">
        <v>3747</v>
      </c>
      <c r="C36" s="129" t="s">
        <v>1787</v>
      </c>
      <c r="D36" s="130" t="s">
        <v>4128</v>
      </c>
      <c r="E36" s="130" t="s">
        <v>4129</v>
      </c>
      <c r="F36" s="130" t="s">
        <v>4129</v>
      </c>
      <c r="G36" s="130" t="s">
        <v>4128</v>
      </c>
      <c r="H36" s="130" t="s">
        <v>4129</v>
      </c>
      <c r="I36" s="130">
        <f t="shared" si="0"/>
        <v>2</v>
      </c>
      <c r="J36" s="130">
        <f t="shared" si="1"/>
        <v>35</v>
      </c>
      <c r="K36" s="130">
        <v>35</v>
      </c>
      <c r="L36" s="130">
        <f t="shared" si="2"/>
        <v>0</v>
      </c>
      <c r="M36" s="130" t="str">
        <f t="shared" si="3"/>
        <v>유지</v>
      </c>
      <c r="N36" s="131" t="s">
        <v>4160</v>
      </c>
      <c r="O36" s="132" t="s">
        <v>4150</v>
      </c>
    </row>
    <row r="37" spans="1:15" ht="36" customHeight="1">
      <c r="A37" s="128">
        <v>32</v>
      </c>
      <c r="B37" s="129" t="s">
        <v>3747</v>
      </c>
      <c r="C37" s="129" t="s">
        <v>1782</v>
      </c>
      <c r="D37" s="130" t="s">
        <v>4128</v>
      </c>
      <c r="E37" s="130" t="s">
        <v>4129</v>
      </c>
      <c r="F37" s="130" t="s">
        <v>4129</v>
      </c>
      <c r="G37" s="130" t="s">
        <v>4128</v>
      </c>
      <c r="H37" s="130" t="s">
        <v>4129</v>
      </c>
      <c r="I37" s="130">
        <f t="shared" si="0"/>
        <v>2</v>
      </c>
      <c r="J37" s="130">
        <f t="shared" si="1"/>
        <v>35</v>
      </c>
      <c r="K37" s="130">
        <v>35</v>
      </c>
      <c r="L37" s="130">
        <f t="shared" si="2"/>
        <v>0</v>
      </c>
      <c r="M37" s="130" t="str">
        <f t="shared" si="3"/>
        <v>유지</v>
      </c>
      <c r="N37" s="131" t="s">
        <v>4161</v>
      </c>
      <c r="O37" s="132" t="s">
        <v>4150</v>
      </c>
    </row>
    <row r="38" spans="1:15" ht="36" customHeight="1">
      <c r="A38" s="128">
        <v>33</v>
      </c>
      <c r="B38" s="129" t="s">
        <v>3747</v>
      </c>
      <c r="C38" s="129" t="s">
        <v>1779</v>
      </c>
      <c r="D38" s="130" t="s">
        <v>4128</v>
      </c>
      <c r="E38" s="130" t="s">
        <v>4129</v>
      </c>
      <c r="F38" s="130" t="s">
        <v>4129</v>
      </c>
      <c r="G38" s="130" t="s">
        <v>4128</v>
      </c>
      <c r="H38" s="130" t="s">
        <v>4129</v>
      </c>
      <c r="I38" s="130">
        <f t="shared" si="0"/>
        <v>2</v>
      </c>
      <c r="J38" s="130">
        <f t="shared" si="1"/>
        <v>35</v>
      </c>
      <c r="K38" s="130">
        <v>35</v>
      </c>
      <c r="L38" s="130">
        <f t="shared" si="2"/>
        <v>0</v>
      </c>
      <c r="M38" s="130" t="str">
        <f t="shared" si="3"/>
        <v>유지</v>
      </c>
      <c r="N38" s="131" t="s">
        <v>4162</v>
      </c>
      <c r="O38" s="132" t="s">
        <v>4150</v>
      </c>
    </row>
    <row r="39" spans="1:15" ht="36" customHeight="1">
      <c r="A39" s="128">
        <v>34</v>
      </c>
      <c r="B39" s="129" t="s">
        <v>3747</v>
      </c>
      <c r="C39" s="129" t="s">
        <v>1773</v>
      </c>
      <c r="D39" s="130" t="s">
        <v>4128</v>
      </c>
      <c r="E39" s="130" t="s">
        <v>4129</v>
      </c>
      <c r="F39" s="130" t="s">
        <v>4129</v>
      </c>
      <c r="G39" s="130" t="s">
        <v>4128</v>
      </c>
      <c r="H39" s="130" t="s">
        <v>4129</v>
      </c>
      <c r="I39" s="130">
        <f t="shared" si="0"/>
        <v>2</v>
      </c>
      <c r="J39" s="130">
        <f t="shared" si="1"/>
        <v>35</v>
      </c>
      <c r="K39" s="130">
        <v>35</v>
      </c>
      <c r="L39" s="130">
        <f t="shared" si="2"/>
        <v>0</v>
      </c>
      <c r="M39" s="130" t="str">
        <f t="shared" si="3"/>
        <v>유지</v>
      </c>
      <c r="N39" s="131" t="s">
        <v>4163</v>
      </c>
      <c r="O39" s="132" t="s">
        <v>4150</v>
      </c>
    </row>
    <row r="40" spans="1:15" ht="36" customHeight="1">
      <c r="A40" s="128">
        <v>35</v>
      </c>
      <c r="B40" s="129" t="s">
        <v>3747</v>
      </c>
      <c r="C40" s="129" t="s">
        <v>1770</v>
      </c>
      <c r="D40" s="130" t="s">
        <v>4128</v>
      </c>
      <c r="E40" s="130" t="s">
        <v>4129</v>
      </c>
      <c r="F40" s="130" t="s">
        <v>4129</v>
      </c>
      <c r="G40" s="130" t="s">
        <v>4128</v>
      </c>
      <c r="H40" s="130" t="s">
        <v>4129</v>
      </c>
      <c r="I40" s="130">
        <f t="shared" si="0"/>
        <v>2</v>
      </c>
      <c r="J40" s="130">
        <f t="shared" si="1"/>
        <v>35</v>
      </c>
      <c r="K40" s="130">
        <v>35</v>
      </c>
      <c r="L40" s="130">
        <f t="shared" si="2"/>
        <v>0</v>
      </c>
      <c r="M40" s="130" t="str">
        <f t="shared" si="3"/>
        <v>유지</v>
      </c>
      <c r="N40" s="131" t="s">
        <v>4164</v>
      </c>
      <c r="O40" s="132" t="s">
        <v>4150</v>
      </c>
    </row>
    <row r="41" spans="1:15" ht="36" customHeight="1">
      <c r="A41" s="128">
        <v>36</v>
      </c>
      <c r="B41" s="129" t="s">
        <v>3748</v>
      </c>
      <c r="C41" s="129" t="s">
        <v>970</v>
      </c>
      <c r="D41" s="130" t="s">
        <v>4128</v>
      </c>
      <c r="E41" s="130" t="s">
        <v>4129</v>
      </c>
      <c r="F41" s="130" t="s">
        <v>4129</v>
      </c>
      <c r="G41" s="130" t="s">
        <v>4128</v>
      </c>
      <c r="H41" s="130" t="s">
        <v>4129</v>
      </c>
      <c r="I41" s="130">
        <f t="shared" si="0"/>
        <v>2</v>
      </c>
      <c r="J41" s="130">
        <f t="shared" si="1"/>
        <v>35</v>
      </c>
      <c r="K41" s="130">
        <v>35</v>
      </c>
      <c r="L41" s="130">
        <f t="shared" si="2"/>
        <v>0</v>
      </c>
      <c r="M41" s="130" t="str">
        <f t="shared" si="3"/>
        <v>유지</v>
      </c>
      <c r="N41" s="131" t="s">
        <v>4165</v>
      </c>
      <c r="O41" s="132" t="s">
        <v>4150</v>
      </c>
    </row>
    <row r="42" spans="1:15" ht="36" customHeight="1">
      <c r="A42" s="128">
        <v>37</v>
      </c>
      <c r="B42" s="129" t="s">
        <v>3748</v>
      </c>
      <c r="C42" s="129" t="s">
        <v>106</v>
      </c>
      <c r="D42" s="130" t="s">
        <v>4128</v>
      </c>
      <c r="E42" s="130" t="s">
        <v>4129</v>
      </c>
      <c r="F42" s="130" t="s">
        <v>4129</v>
      </c>
      <c r="G42" s="130" t="s">
        <v>4128</v>
      </c>
      <c r="H42" s="130" t="s">
        <v>4129</v>
      </c>
      <c r="I42" s="130">
        <f t="shared" si="0"/>
        <v>2</v>
      </c>
      <c r="J42" s="130">
        <f t="shared" si="1"/>
        <v>35</v>
      </c>
      <c r="K42" s="130">
        <v>35</v>
      </c>
      <c r="L42" s="130">
        <f t="shared" si="2"/>
        <v>0</v>
      </c>
      <c r="M42" s="130" t="str">
        <f t="shared" si="3"/>
        <v>유지</v>
      </c>
      <c r="N42" s="131" t="s">
        <v>4166</v>
      </c>
      <c r="O42" s="132" t="s">
        <v>4150</v>
      </c>
    </row>
    <row r="43" spans="1:15" ht="36" customHeight="1">
      <c r="A43" s="128">
        <v>38</v>
      </c>
      <c r="B43" s="129" t="s">
        <v>3752</v>
      </c>
      <c r="C43" s="129" t="s">
        <v>25</v>
      </c>
      <c r="D43" s="130" t="s">
        <v>4128</v>
      </c>
      <c r="E43" s="130" t="s">
        <v>4129</v>
      </c>
      <c r="F43" s="130" t="s">
        <v>4128</v>
      </c>
      <c r="G43" s="130" t="s">
        <v>4129</v>
      </c>
      <c r="H43" s="130" t="s">
        <v>4128</v>
      </c>
      <c r="I43" s="130">
        <f t="shared" si="0"/>
        <v>3</v>
      </c>
      <c r="J43" s="130">
        <f t="shared" si="1"/>
        <v>50</v>
      </c>
      <c r="K43" s="130">
        <v>35</v>
      </c>
      <c r="L43" s="130">
        <f t="shared" si="2"/>
        <v>15</v>
      </c>
      <c r="M43" s="130" t="str">
        <f t="shared" si="3"/>
        <v>상향</v>
      </c>
      <c r="N43" s="131" t="s">
        <v>4167</v>
      </c>
      <c r="O43" s="132" t="s">
        <v>4148</v>
      </c>
    </row>
    <row r="44" spans="1:15" ht="36" customHeight="1">
      <c r="A44" s="128">
        <v>39</v>
      </c>
      <c r="B44" s="129" t="s">
        <v>3752</v>
      </c>
      <c r="C44" s="129" t="s">
        <v>107</v>
      </c>
      <c r="D44" s="130" t="s">
        <v>4128</v>
      </c>
      <c r="E44" s="130" t="s">
        <v>4129</v>
      </c>
      <c r="F44" s="130" t="s">
        <v>4128</v>
      </c>
      <c r="G44" s="130" t="s">
        <v>4128</v>
      </c>
      <c r="H44" s="130" t="s">
        <v>4129</v>
      </c>
      <c r="I44" s="130">
        <f t="shared" si="0"/>
        <v>3</v>
      </c>
      <c r="J44" s="130">
        <f t="shared" si="1"/>
        <v>50</v>
      </c>
      <c r="K44" s="130">
        <v>35</v>
      </c>
      <c r="L44" s="130">
        <f t="shared" si="2"/>
        <v>15</v>
      </c>
      <c r="M44" s="130" t="str">
        <f t="shared" si="3"/>
        <v>상향</v>
      </c>
      <c r="N44" s="131" t="s">
        <v>4168</v>
      </c>
      <c r="O44" s="132" t="s">
        <v>4148</v>
      </c>
    </row>
    <row r="45" spans="1:15" ht="36" customHeight="1">
      <c r="A45" s="128">
        <v>40</v>
      </c>
      <c r="B45" s="129" t="s">
        <v>3752</v>
      </c>
      <c r="C45" s="129" t="s">
        <v>108</v>
      </c>
      <c r="D45" s="130" t="s">
        <v>4128</v>
      </c>
      <c r="E45" s="130" t="s">
        <v>4129</v>
      </c>
      <c r="F45" s="130" t="s">
        <v>4128</v>
      </c>
      <c r="G45" s="130" t="s">
        <v>4128</v>
      </c>
      <c r="H45" s="130" t="s">
        <v>4129</v>
      </c>
      <c r="I45" s="130">
        <f t="shared" si="0"/>
        <v>3</v>
      </c>
      <c r="J45" s="130">
        <f t="shared" si="1"/>
        <v>50</v>
      </c>
      <c r="K45" s="130">
        <v>35</v>
      </c>
      <c r="L45" s="130">
        <f t="shared" si="2"/>
        <v>15</v>
      </c>
      <c r="M45" s="130" t="str">
        <f t="shared" si="3"/>
        <v>상향</v>
      </c>
      <c r="N45" s="131" t="s">
        <v>4169</v>
      </c>
      <c r="O45" s="132" t="s">
        <v>4148</v>
      </c>
    </row>
    <row r="46" spans="1:15" ht="36" customHeight="1">
      <c r="A46" s="128">
        <v>41</v>
      </c>
      <c r="B46" s="129" t="s">
        <v>26</v>
      </c>
      <c r="C46" s="129" t="s">
        <v>26</v>
      </c>
      <c r="D46" s="130" t="s">
        <v>4128</v>
      </c>
      <c r="E46" s="130" t="s">
        <v>4128</v>
      </c>
      <c r="F46" s="130" t="s">
        <v>4128</v>
      </c>
      <c r="G46" s="130" t="s">
        <v>4128</v>
      </c>
      <c r="H46" s="130" t="s">
        <v>4129</v>
      </c>
      <c r="I46" s="130">
        <f t="shared" si="0"/>
        <v>4</v>
      </c>
      <c r="J46" s="130">
        <f t="shared" si="1"/>
        <v>50</v>
      </c>
      <c r="K46" s="130">
        <v>35</v>
      </c>
      <c r="L46" s="130">
        <f t="shared" si="2"/>
        <v>15</v>
      </c>
      <c r="M46" s="130" t="str">
        <f t="shared" si="3"/>
        <v>상향</v>
      </c>
      <c r="N46" s="131" t="s">
        <v>4170</v>
      </c>
      <c r="O46" s="132" t="s">
        <v>4148</v>
      </c>
    </row>
    <row r="47" spans="1:15" ht="36" customHeight="1">
      <c r="A47" s="128">
        <v>42</v>
      </c>
      <c r="B47" s="129" t="s">
        <v>807</v>
      </c>
      <c r="C47" s="129" t="s">
        <v>26</v>
      </c>
      <c r="D47" s="130" t="s">
        <v>4128</v>
      </c>
      <c r="E47" s="130" t="s">
        <v>4128</v>
      </c>
      <c r="F47" s="130" t="s">
        <v>4128</v>
      </c>
      <c r="G47" s="130" t="s">
        <v>4128</v>
      </c>
      <c r="H47" s="130" t="s">
        <v>4129</v>
      </c>
      <c r="I47" s="130">
        <f t="shared" si="0"/>
        <v>4</v>
      </c>
      <c r="J47" s="130">
        <f t="shared" si="1"/>
        <v>50</v>
      </c>
      <c r="K47" s="130">
        <v>35</v>
      </c>
      <c r="L47" s="130">
        <f t="shared" si="2"/>
        <v>15</v>
      </c>
      <c r="M47" s="130" t="str">
        <f t="shared" si="3"/>
        <v>상향</v>
      </c>
      <c r="N47" s="131" t="s">
        <v>4170</v>
      </c>
      <c r="O47" s="132" t="s">
        <v>4148</v>
      </c>
    </row>
    <row r="48" spans="1:15" ht="36" customHeight="1">
      <c r="A48" s="128">
        <v>43</v>
      </c>
      <c r="B48" s="129" t="s">
        <v>26</v>
      </c>
      <c r="C48" s="129" t="s">
        <v>2080</v>
      </c>
      <c r="D48" s="130" t="s">
        <v>4128</v>
      </c>
      <c r="E48" s="130" t="s">
        <v>4128</v>
      </c>
      <c r="F48" s="130" t="s">
        <v>4128</v>
      </c>
      <c r="G48" s="130" t="s">
        <v>4128</v>
      </c>
      <c r="H48" s="130" t="s">
        <v>4129</v>
      </c>
      <c r="I48" s="130">
        <f t="shared" si="0"/>
        <v>4</v>
      </c>
      <c r="J48" s="130">
        <f t="shared" si="1"/>
        <v>50</v>
      </c>
      <c r="K48" s="130">
        <v>35</v>
      </c>
      <c r="L48" s="130">
        <f t="shared" si="2"/>
        <v>15</v>
      </c>
      <c r="M48" s="130" t="str">
        <f t="shared" si="3"/>
        <v>상향</v>
      </c>
      <c r="N48" s="131" t="s">
        <v>4171</v>
      </c>
      <c r="O48" s="132" t="s">
        <v>4148</v>
      </c>
    </row>
    <row r="49" spans="1:15" ht="36" customHeight="1">
      <c r="A49" s="128">
        <v>44</v>
      </c>
      <c r="B49" s="129" t="s">
        <v>3741</v>
      </c>
      <c r="C49" s="129" t="s">
        <v>3707</v>
      </c>
      <c r="D49" s="130" t="s">
        <v>4128</v>
      </c>
      <c r="E49" s="130" t="s">
        <v>4129</v>
      </c>
      <c r="F49" s="130" t="s">
        <v>4128</v>
      </c>
      <c r="G49" s="130" t="s">
        <v>4129</v>
      </c>
      <c r="H49" s="130" t="s">
        <v>4129</v>
      </c>
      <c r="I49" s="130">
        <f t="shared" si="0"/>
        <v>2</v>
      </c>
      <c r="J49" s="130">
        <f t="shared" si="1"/>
        <v>35</v>
      </c>
      <c r="K49" s="130">
        <v>20</v>
      </c>
      <c r="L49" s="130">
        <f t="shared" si="2"/>
        <v>15</v>
      </c>
      <c r="M49" s="130" t="str">
        <f t="shared" si="3"/>
        <v>상향</v>
      </c>
      <c r="N49" s="131" t="s">
        <v>4172</v>
      </c>
      <c r="O49" s="132" t="s">
        <v>4148</v>
      </c>
    </row>
    <row r="50" spans="1:15" ht="36" customHeight="1">
      <c r="A50" s="128">
        <v>45</v>
      </c>
      <c r="B50" s="129" t="s">
        <v>807</v>
      </c>
      <c r="C50" s="129" t="s">
        <v>111</v>
      </c>
      <c r="D50" s="130" t="s">
        <v>4128</v>
      </c>
      <c r="E50" s="130" t="s">
        <v>4129</v>
      </c>
      <c r="F50" s="130" t="s">
        <v>4128</v>
      </c>
      <c r="G50" s="130" t="s">
        <v>4129</v>
      </c>
      <c r="H50" s="130" t="s">
        <v>4128</v>
      </c>
      <c r="I50" s="130">
        <f t="shared" si="0"/>
        <v>3</v>
      </c>
      <c r="J50" s="130">
        <f t="shared" si="1"/>
        <v>50</v>
      </c>
      <c r="K50" s="130">
        <v>35</v>
      </c>
      <c r="L50" s="130">
        <f t="shared" si="2"/>
        <v>15</v>
      </c>
      <c r="M50" s="130" t="str">
        <f t="shared" si="3"/>
        <v>상향</v>
      </c>
      <c r="N50" s="131" t="s">
        <v>4173</v>
      </c>
      <c r="O50" s="132" t="s">
        <v>4148</v>
      </c>
    </row>
    <row r="51" spans="1:15" ht="36" customHeight="1">
      <c r="A51" s="128">
        <v>46</v>
      </c>
      <c r="B51" s="129" t="s">
        <v>3755</v>
      </c>
      <c r="C51" s="129" t="s">
        <v>113</v>
      </c>
      <c r="D51" s="130" t="s">
        <v>4128</v>
      </c>
      <c r="E51" s="130" t="s">
        <v>4129</v>
      </c>
      <c r="F51" s="130" t="s">
        <v>4128</v>
      </c>
      <c r="G51" s="130" t="s">
        <v>4129</v>
      </c>
      <c r="H51" s="130" t="s">
        <v>4129</v>
      </c>
      <c r="I51" s="130">
        <f t="shared" si="0"/>
        <v>2</v>
      </c>
      <c r="J51" s="130">
        <f t="shared" si="1"/>
        <v>35</v>
      </c>
      <c r="K51" s="130">
        <v>35</v>
      </c>
      <c r="L51" s="130">
        <f t="shared" si="2"/>
        <v>0</v>
      </c>
      <c r="M51" s="130" t="str">
        <f t="shared" si="3"/>
        <v>유지</v>
      </c>
      <c r="N51" s="131" t="s">
        <v>4174</v>
      </c>
      <c r="O51" s="132" t="s">
        <v>4148</v>
      </c>
    </row>
    <row r="52" spans="1:15" ht="36" customHeight="1">
      <c r="A52" s="128">
        <v>47</v>
      </c>
      <c r="B52" s="129" t="s">
        <v>3741</v>
      </c>
      <c r="C52" s="129" t="s">
        <v>15</v>
      </c>
      <c r="D52" s="130" t="s">
        <v>4128</v>
      </c>
      <c r="E52" s="130" t="s">
        <v>4129</v>
      </c>
      <c r="F52" s="130" t="s">
        <v>4128</v>
      </c>
      <c r="G52" s="130" t="s">
        <v>4128</v>
      </c>
      <c r="H52" s="130" t="s">
        <v>4128</v>
      </c>
      <c r="I52" s="130">
        <f t="shared" si="0"/>
        <v>4</v>
      </c>
      <c r="J52" s="130">
        <f t="shared" si="1"/>
        <v>50</v>
      </c>
      <c r="K52" s="130">
        <v>35</v>
      </c>
      <c r="L52" s="130">
        <f t="shared" si="2"/>
        <v>15</v>
      </c>
      <c r="M52" s="130" t="str">
        <f t="shared" si="3"/>
        <v>상향</v>
      </c>
      <c r="N52" s="131" t="s">
        <v>4175</v>
      </c>
      <c r="O52" s="132" t="s">
        <v>4148</v>
      </c>
    </row>
    <row r="53" spans="1:15" ht="36" customHeight="1">
      <c r="A53" s="128">
        <v>48</v>
      </c>
      <c r="B53" s="129" t="s">
        <v>3756</v>
      </c>
      <c r="C53" s="129" t="s">
        <v>19</v>
      </c>
      <c r="D53" s="130" t="s">
        <v>4128</v>
      </c>
      <c r="E53" s="130" t="s">
        <v>4129</v>
      </c>
      <c r="F53" s="130" t="s">
        <v>4129</v>
      </c>
      <c r="G53" s="130" t="s">
        <v>4128</v>
      </c>
      <c r="H53" s="130" t="s">
        <v>4129</v>
      </c>
      <c r="I53" s="130">
        <f t="shared" si="0"/>
        <v>2</v>
      </c>
      <c r="J53" s="130">
        <f t="shared" si="1"/>
        <v>35</v>
      </c>
      <c r="K53" s="130">
        <v>35</v>
      </c>
      <c r="L53" s="130">
        <f t="shared" si="2"/>
        <v>0</v>
      </c>
      <c r="M53" s="130" t="str">
        <f t="shared" si="3"/>
        <v>유지</v>
      </c>
      <c r="N53" s="131" t="s">
        <v>4176</v>
      </c>
      <c r="O53" s="132" t="s">
        <v>4177</v>
      </c>
    </row>
    <row r="54" spans="1:15" ht="36" customHeight="1">
      <c r="A54" s="128">
        <v>49</v>
      </c>
      <c r="B54" s="129" t="s">
        <v>3756</v>
      </c>
      <c r="C54" s="129" t="s">
        <v>21</v>
      </c>
      <c r="D54" s="130" t="s">
        <v>4128</v>
      </c>
      <c r="E54" s="130" t="s">
        <v>4129</v>
      </c>
      <c r="F54" s="130" t="s">
        <v>4129</v>
      </c>
      <c r="G54" s="130" t="s">
        <v>4128</v>
      </c>
      <c r="H54" s="130" t="s">
        <v>4129</v>
      </c>
      <c r="I54" s="130">
        <f t="shared" si="0"/>
        <v>2</v>
      </c>
      <c r="J54" s="130">
        <f t="shared" si="1"/>
        <v>35</v>
      </c>
      <c r="K54" s="130">
        <v>35</v>
      </c>
      <c r="L54" s="130">
        <f t="shared" si="2"/>
        <v>0</v>
      </c>
      <c r="M54" s="130" t="str">
        <f t="shared" si="3"/>
        <v>유지</v>
      </c>
      <c r="N54" s="131" t="s">
        <v>4178</v>
      </c>
      <c r="O54" s="132" t="s">
        <v>4177</v>
      </c>
    </row>
    <row r="55" spans="1:15" ht="36" customHeight="1">
      <c r="A55" s="128">
        <v>50</v>
      </c>
      <c r="B55" s="129" t="s">
        <v>3756</v>
      </c>
      <c r="C55" s="129" t="s">
        <v>900</v>
      </c>
      <c r="D55" s="130" t="s">
        <v>4128</v>
      </c>
      <c r="E55" s="130" t="s">
        <v>4129</v>
      </c>
      <c r="F55" s="130" t="s">
        <v>4129</v>
      </c>
      <c r="G55" s="130" t="s">
        <v>4128</v>
      </c>
      <c r="H55" s="130" t="s">
        <v>4129</v>
      </c>
      <c r="I55" s="130">
        <f t="shared" si="0"/>
        <v>2</v>
      </c>
      <c r="J55" s="130">
        <f t="shared" si="1"/>
        <v>35</v>
      </c>
      <c r="K55" s="130">
        <v>35</v>
      </c>
      <c r="L55" s="130">
        <f t="shared" si="2"/>
        <v>0</v>
      </c>
      <c r="M55" s="130" t="str">
        <f t="shared" si="3"/>
        <v>유지</v>
      </c>
      <c r="N55" s="131" t="s">
        <v>4179</v>
      </c>
      <c r="O55" s="132" t="s">
        <v>4177</v>
      </c>
    </row>
    <row r="56" spans="1:15" ht="36" customHeight="1">
      <c r="A56" s="128">
        <v>51</v>
      </c>
      <c r="B56" s="129" t="s">
        <v>3762</v>
      </c>
      <c r="C56" s="129" t="s">
        <v>28</v>
      </c>
      <c r="D56" s="130" t="s">
        <v>4128</v>
      </c>
      <c r="E56" s="130" t="s">
        <v>4129</v>
      </c>
      <c r="F56" s="130" t="s">
        <v>4129</v>
      </c>
      <c r="G56" s="130" t="s">
        <v>4128</v>
      </c>
      <c r="H56" s="130" t="s">
        <v>4129</v>
      </c>
      <c r="I56" s="130">
        <f t="shared" si="0"/>
        <v>2</v>
      </c>
      <c r="J56" s="130">
        <f t="shared" si="1"/>
        <v>35</v>
      </c>
      <c r="K56" s="130">
        <v>35</v>
      </c>
      <c r="L56" s="130">
        <f t="shared" si="2"/>
        <v>0</v>
      </c>
      <c r="M56" s="130" t="str">
        <f t="shared" si="3"/>
        <v>유지</v>
      </c>
      <c r="N56" s="131" t="s">
        <v>4180</v>
      </c>
      <c r="O56" s="132" t="s">
        <v>4177</v>
      </c>
    </row>
    <row r="57" spans="1:15" ht="36" customHeight="1">
      <c r="A57" s="128">
        <v>52</v>
      </c>
      <c r="B57" s="129" t="s">
        <v>3762</v>
      </c>
      <c r="C57" s="129" t="s">
        <v>95</v>
      </c>
      <c r="D57" s="130" t="s">
        <v>4128</v>
      </c>
      <c r="E57" s="130" t="s">
        <v>4129</v>
      </c>
      <c r="F57" s="130" t="s">
        <v>4129</v>
      </c>
      <c r="G57" s="130" t="s">
        <v>4128</v>
      </c>
      <c r="H57" s="130" t="s">
        <v>4129</v>
      </c>
      <c r="I57" s="130">
        <f t="shared" si="0"/>
        <v>2</v>
      </c>
      <c r="J57" s="130">
        <f t="shared" si="1"/>
        <v>35</v>
      </c>
      <c r="K57" s="130">
        <v>35</v>
      </c>
      <c r="L57" s="130">
        <f t="shared" si="2"/>
        <v>0</v>
      </c>
      <c r="M57" s="130" t="str">
        <f t="shared" si="3"/>
        <v>유지</v>
      </c>
      <c r="N57" s="131" t="s">
        <v>4181</v>
      </c>
      <c r="O57" s="132" t="s">
        <v>4177</v>
      </c>
    </row>
    <row r="58" spans="1:15" ht="36" customHeight="1">
      <c r="A58" s="128">
        <v>53</v>
      </c>
      <c r="B58" s="129" t="s">
        <v>3762</v>
      </c>
      <c r="C58" s="129" t="s">
        <v>96</v>
      </c>
      <c r="D58" s="130" t="s">
        <v>4128</v>
      </c>
      <c r="E58" s="130" t="s">
        <v>4129</v>
      </c>
      <c r="F58" s="130" t="s">
        <v>4129</v>
      </c>
      <c r="G58" s="130" t="s">
        <v>4128</v>
      </c>
      <c r="H58" s="130" t="s">
        <v>4129</v>
      </c>
      <c r="I58" s="130">
        <f t="shared" si="0"/>
        <v>2</v>
      </c>
      <c r="J58" s="130">
        <f t="shared" si="1"/>
        <v>35</v>
      </c>
      <c r="K58" s="130">
        <v>35</v>
      </c>
      <c r="L58" s="130">
        <f t="shared" si="2"/>
        <v>0</v>
      </c>
      <c r="M58" s="130" t="str">
        <f t="shared" si="3"/>
        <v>유지</v>
      </c>
      <c r="N58" s="131" t="s">
        <v>4182</v>
      </c>
      <c r="O58" s="132" t="s">
        <v>4177</v>
      </c>
    </row>
    <row r="59" spans="1:15" ht="36" customHeight="1">
      <c r="A59" s="128">
        <v>54</v>
      </c>
      <c r="B59" s="129" t="s">
        <v>3749</v>
      </c>
      <c r="C59" s="129" t="s">
        <v>901</v>
      </c>
      <c r="D59" s="130" t="s">
        <v>4128</v>
      </c>
      <c r="E59" s="130" t="s">
        <v>4129</v>
      </c>
      <c r="F59" s="130" t="s">
        <v>4129</v>
      </c>
      <c r="G59" s="130" t="s">
        <v>4128</v>
      </c>
      <c r="H59" s="130" t="s">
        <v>4129</v>
      </c>
      <c r="I59" s="130">
        <f t="shared" si="0"/>
        <v>2</v>
      </c>
      <c r="J59" s="130">
        <f t="shared" si="1"/>
        <v>35</v>
      </c>
      <c r="K59" s="130">
        <v>35</v>
      </c>
      <c r="L59" s="130">
        <f t="shared" si="2"/>
        <v>0</v>
      </c>
      <c r="M59" s="130" t="str">
        <f t="shared" si="3"/>
        <v>유지</v>
      </c>
      <c r="N59" s="131" t="s">
        <v>4183</v>
      </c>
      <c r="O59" s="132" t="s">
        <v>4177</v>
      </c>
    </row>
    <row r="60" spans="1:15" ht="36" customHeight="1">
      <c r="A60" s="128">
        <v>55</v>
      </c>
      <c r="B60" s="129" t="s">
        <v>3750</v>
      </c>
      <c r="C60" s="129" t="s">
        <v>901</v>
      </c>
      <c r="D60" s="130" t="s">
        <v>4128</v>
      </c>
      <c r="E60" s="130" t="s">
        <v>4129</v>
      </c>
      <c r="F60" s="130" t="s">
        <v>4129</v>
      </c>
      <c r="G60" s="130" t="s">
        <v>4128</v>
      </c>
      <c r="H60" s="130" t="s">
        <v>4129</v>
      </c>
      <c r="I60" s="130">
        <f t="shared" si="0"/>
        <v>2</v>
      </c>
      <c r="J60" s="130">
        <f t="shared" si="1"/>
        <v>35</v>
      </c>
      <c r="K60" s="130">
        <v>35</v>
      </c>
      <c r="L60" s="130">
        <f t="shared" si="2"/>
        <v>0</v>
      </c>
      <c r="M60" s="130" t="str">
        <f t="shared" si="3"/>
        <v>유지</v>
      </c>
      <c r="N60" s="131" t="s">
        <v>4183</v>
      </c>
      <c r="O60" s="132" t="s">
        <v>4177</v>
      </c>
    </row>
    <row r="61" spans="1:15" ht="36" customHeight="1">
      <c r="A61" s="128">
        <v>56</v>
      </c>
      <c r="B61" s="129" t="s">
        <v>3750</v>
      </c>
      <c r="C61" s="129" t="s">
        <v>902</v>
      </c>
      <c r="D61" s="130" t="s">
        <v>4129</v>
      </c>
      <c r="E61" s="130" t="s">
        <v>4129</v>
      </c>
      <c r="F61" s="130" t="s">
        <v>4129</v>
      </c>
      <c r="G61" s="130" t="s">
        <v>4128</v>
      </c>
      <c r="H61" s="130" t="s">
        <v>4129</v>
      </c>
      <c r="I61" s="130">
        <f t="shared" si="0"/>
        <v>1</v>
      </c>
      <c r="J61" s="130">
        <f t="shared" si="1"/>
        <v>20</v>
      </c>
      <c r="K61" s="130">
        <v>20</v>
      </c>
      <c r="L61" s="130">
        <f t="shared" si="2"/>
        <v>0</v>
      </c>
      <c r="M61" s="130" t="str">
        <f t="shared" si="3"/>
        <v>유지</v>
      </c>
      <c r="N61" s="131" t="s">
        <v>4184</v>
      </c>
      <c r="O61" s="132" t="s">
        <v>4177</v>
      </c>
    </row>
    <row r="62" spans="1:15" ht="36" customHeight="1">
      <c r="A62" s="128">
        <v>57</v>
      </c>
      <c r="B62" s="129" t="s">
        <v>3749</v>
      </c>
      <c r="C62" s="129" t="s">
        <v>122</v>
      </c>
      <c r="D62" s="130" t="s">
        <v>4128</v>
      </c>
      <c r="E62" s="130" t="s">
        <v>4129</v>
      </c>
      <c r="F62" s="130" t="s">
        <v>4129</v>
      </c>
      <c r="G62" s="130" t="s">
        <v>4128</v>
      </c>
      <c r="H62" s="130" t="s">
        <v>4129</v>
      </c>
      <c r="I62" s="130">
        <f t="shared" si="0"/>
        <v>2</v>
      </c>
      <c r="J62" s="130">
        <f t="shared" si="1"/>
        <v>35</v>
      </c>
      <c r="K62" s="130">
        <v>35</v>
      </c>
      <c r="L62" s="130">
        <f t="shared" si="2"/>
        <v>0</v>
      </c>
      <c r="M62" s="130" t="str">
        <f t="shared" si="3"/>
        <v>유지</v>
      </c>
      <c r="N62" s="131" t="s">
        <v>4185</v>
      </c>
      <c r="O62" s="132" t="s">
        <v>4177</v>
      </c>
    </row>
    <row r="63" spans="1:15" ht="36" customHeight="1">
      <c r="A63" s="128">
        <v>58</v>
      </c>
      <c r="B63" s="129" t="s">
        <v>3751</v>
      </c>
      <c r="C63" s="129" t="s">
        <v>119</v>
      </c>
      <c r="D63" s="130" t="s">
        <v>4128</v>
      </c>
      <c r="E63" s="130" t="s">
        <v>4129</v>
      </c>
      <c r="F63" s="130" t="s">
        <v>4129</v>
      </c>
      <c r="G63" s="130" t="s">
        <v>4128</v>
      </c>
      <c r="H63" s="130" t="s">
        <v>4129</v>
      </c>
      <c r="I63" s="130">
        <f t="shared" si="0"/>
        <v>2</v>
      </c>
      <c r="J63" s="130">
        <f t="shared" si="1"/>
        <v>35</v>
      </c>
      <c r="K63" s="130">
        <v>35</v>
      </c>
      <c r="L63" s="130">
        <f t="shared" si="2"/>
        <v>0</v>
      </c>
      <c r="M63" s="130" t="str">
        <f t="shared" si="3"/>
        <v>유지</v>
      </c>
      <c r="N63" s="131" t="s">
        <v>4186</v>
      </c>
      <c r="O63" s="132" t="s">
        <v>4177</v>
      </c>
    </row>
    <row r="64" spans="1:15" ht="36" customHeight="1">
      <c r="A64" s="128">
        <v>59</v>
      </c>
      <c r="B64" s="129" t="s">
        <v>3758</v>
      </c>
      <c r="C64" s="129" t="s">
        <v>118</v>
      </c>
      <c r="D64" s="130" t="s">
        <v>4128</v>
      </c>
      <c r="E64" s="130" t="s">
        <v>4129</v>
      </c>
      <c r="F64" s="130" t="s">
        <v>4129</v>
      </c>
      <c r="G64" s="130" t="s">
        <v>4128</v>
      </c>
      <c r="H64" s="130" t="s">
        <v>4129</v>
      </c>
      <c r="I64" s="130">
        <f t="shared" si="0"/>
        <v>2</v>
      </c>
      <c r="J64" s="130">
        <f t="shared" si="1"/>
        <v>35</v>
      </c>
      <c r="K64" s="130">
        <v>35</v>
      </c>
      <c r="L64" s="130">
        <f t="shared" si="2"/>
        <v>0</v>
      </c>
      <c r="M64" s="130" t="str">
        <f t="shared" si="3"/>
        <v>유지</v>
      </c>
      <c r="N64" s="131" t="s">
        <v>4187</v>
      </c>
      <c r="O64" s="132" t="s">
        <v>4177</v>
      </c>
    </row>
    <row r="65" spans="1:15" ht="36" customHeight="1">
      <c r="A65" s="128">
        <v>60</v>
      </c>
      <c r="B65" s="129" t="s">
        <v>3759</v>
      </c>
      <c r="C65" s="129" t="s">
        <v>966</v>
      </c>
      <c r="D65" s="130" t="s">
        <v>4128</v>
      </c>
      <c r="E65" s="130" t="s">
        <v>4129</v>
      </c>
      <c r="F65" s="130" t="s">
        <v>4129</v>
      </c>
      <c r="G65" s="130" t="s">
        <v>4128</v>
      </c>
      <c r="H65" s="130" t="s">
        <v>4129</v>
      </c>
      <c r="I65" s="130">
        <f t="shared" si="0"/>
        <v>2</v>
      </c>
      <c r="J65" s="130">
        <f t="shared" si="1"/>
        <v>35</v>
      </c>
      <c r="K65" s="130">
        <v>35</v>
      </c>
      <c r="L65" s="130">
        <f t="shared" si="2"/>
        <v>0</v>
      </c>
      <c r="M65" s="130" t="str">
        <f t="shared" si="3"/>
        <v>유지</v>
      </c>
      <c r="N65" s="131" t="s">
        <v>4188</v>
      </c>
      <c r="O65" s="132" t="s">
        <v>4177</v>
      </c>
    </row>
    <row r="66" spans="1:15" ht="36" customHeight="1">
      <c r="A66" s="128">
        <v>61</v>
      </c>
      <c r="B66" s="129" t="s">
        <v>3751</v>
      </c>
      <c r="C66" s="129" t="s">
        <v>967</v>
      </c>
      <c r="D66" s="130" t="s">
        <v>4128</v>
      </c>
      <c r="E66" s="130" t="s">
        <v>4129</v>
      </c>
      <c r="F66" s="130" t="s">
        <v>4129</v>
      </c>
      <c r="G66" s="130" t="s">
        <v>4128</v>
      </c>
      <c r="H66" s="130" t="s">
        <v>4129</v>
      </c>
      <c r="I66" s="130">
        <f t="shared" si="0"/>
        <v>2</v>
      </c>
      <c r="J66" s="130">
        <f t="shared" si="1"/>
        <v>35</v>
      </c>
      <c r="K66" s="130">
        <v>35</v>
      </c>
      <c r="L66" s="130">
        <f t="shared" si="2"/>
        <v>0</v>
      </c>
      <c r="M66" s="130" t="str">
        <f t="shared" si="3"/>
        <v>유지</v>
      </c>
      <c r="N66" s="131" t="s">
        <v>4189</v>
      </c>
      <c r="O66" s="132" t="s">
        <v>4177</v>
      </c>
    </row>
    <row r="67" spans="1:15" ht="36" customHeight="1">
      <c r="A67" s="128">
        <v>62</v>
      </c>
      <c r="B67" s="129" t="s">
        <v>2083</v>
      </c>
      <c r="C67" s="129" t="s">
        <v>971</v>
      </c>
      <c r="D67" s="130" t="s">
        <v>4128</v>
      </c>
      <c r="E67" s="130" t="s">
        <v>4129</v>
      </c>
      <c r="F67" s="130" t="s">
        <v>4129</v>
      </c>
      <c r="G67" s="130" t="s">
        <v>4128</v>
      </c>
      <c r="H67" s="130" t="s">
        <v>4129</v>
      </c>
      <c r="I67" s="130">
        <f t="shared" si="0"/>
        <v>2</v>
      </c>
      <c r="J67" s="130">
        <f t="shared" si="1"/>
        <v>35</v>
      </c>
      <c r="K67" s="130">
        <v>35</v>
      </c>
      <c r="L67" s="130">
        <f t="shared" si="2"/>
        <v>0</v>
      </c>
      <c r="M67" s="130" t="str">
        <f t="shared" si="3"/>
        <v>유지</v>
      </c>
      <c r="N67" s="131" t="s">
        <v>4190</v>
      </c>
      <c r="O67" s="132" t="s">
        <v>4177</v>
      </c>
    </row>
    <row r="68" spans="1:15" ht="36" customHeight="1">
      <c r="A68" s="128">
        <v>63</v>
      </c>
      <c r="B68" s="129" t="s">
        <v>2083</v>
      </c>
      <c r="C68" s="129" t="s">
        <v>1564</v>
      </c>
      <c r="D68" s="130" t="s">
        <v>4128</v>
      </c>
      <c r="E68" s="130" t="s">
        <v>4129</v>
      </c>
      <c r="F68" s="130" t="s">
        <v>4129</v>
      </c>
      <c r="G68" s="130" t="s">
        <v>4128</v>
      </c>
      <c r="H68" s="130" t="s">
        <v>4129</v>
      </c>
      <c r="I68" s="130">
        <f t="shared" si="0"/>
        <v>2</v>
      </c>
      <c r="J68" s="130">
        <f t="shared" si="1"/>
        <v>35</v>
      </c>
      <c r="K68" s="130">
        <v>35</v>
      </c>
      <c r="L68" s="130">
        <f t="shared" si="2"/>
        <v>0</v>
      </c>
      <c r="M68" s="130" t="str">
        <f t="shared" si="3"/>
        <v>유지</v>
      </c>
      <c r="N68" s="131" t="s">
        <v>4191</v>
      </c>
      <c r="O68" s="132" t="s">
        <v>4177</v>
      </c>
    </row>
    <row r="69" spans="1:15" ht="36" customHeight="1">
      <c r="A69" s="128">
        <v>64</v>
      </c>
      <c r="B69" s="129" t="s">
        <v>3761</v>
      </c>
      <c r="C69" s="129" t="s">
        <v>1564</v>
      </c>
      <c r="D69" s="130" t="s">
        <v>4128</v>
      </c>
      <c r="E69" s="130" t="s">
        <v>4129</v>
      </c>
      <c r="F69" s="130" t="s">
        <v>4129</v>
      </c>
      <c r="G69" s="130" t="s">
        <v>4128</v>
      </c>
      <c r="H69" s="130" t="s">
        <v>4129</v>
      </c>
      <c r="I69" s="130">
        <f t="shared" si="0"/>
        <v>2</v>
      </c>
      <c r="J69" s="130">
        <f t="shared" si="1"/>
        <v>35</v>
      </c>
      <c r="K69" s="130">
        <v>35</v>
      </c>
      <c r="L69" s="130">
        <f t="shared" si="2"/>
        <v>0</v>
      </c>
      <c r="M69" s="130" t="str">
        <f t="shared" si="3"/>
        <v>유지</v>
      </c>
      <c r="N69" s="131" t="s">
        <v>4191</v>
      </c>
      <c r="O69" s="132" t="s">
        <v>4177</v>
      </c>
    </row>
    <row r="70" spans="1:15" ht="36" customHeight="1">
      <c r="A70" s="128">
        <v>65</v>
      </c>
      <c r="B70" s="129" t="s">
        <v>3751</v>
      </c>
      <c r="C70" s="129" t="s">
        <v>917</v>
      </c>
      <c r="D70" s="130" t="s">
        <v>4128</v>
      </c>
      <c r="E70" s="130" t="s">
        <v>4129</v>
      </c>
      <c r="F70" s="130" t="s">
        <v>4129</v>
      </c>
      <c r="G70" s="130" t="s">
        <v>4128</v>
      </c>
      <c r="H70" s="130" t="s">
        <v>4129</v>
      </c>
      <c r="I70" s="130">
        <f t="shared" ref="I70:I109" si="4">COUNTIF(D70:H70,"O")</f>
        <v>2</v>
      </c>
      <c r="J70" s="130">
        <f t="shared" ref="J70:J109" si="5">IF(I70&gt;=3,50,IF(I70=2,35,IF(I70=1,20,0)))</f>
        <v>35</v>
      </c>
      <c r="K70" s="130">
        <v>35</v>
      </c>
      <c r="L70" s="130">
        <f t="shared" ref="L70:L109" si="6">J70-K70</f>
        <v>0</v>
      </c>
      <c r="M70" s="130" t="str">
        <f t="shared" ref="M70:M109" si="7">IF(L70&gt;0,"상향",IF(L70&lt;0,"하향","유지"))</f>
        <v>유지</v>
      </c>
      <c r="N70" s="131" t="s">
        <v>4192</v>
      </c>
      <c r="O70" s="132" t="s">
        <v>4177</v>
      </c>
    </row>
    <row r="71" spans="1:15" ht="36" customHeight="1">
      <c r="A71" s="128">
        <v>66</v>
      </c>
      <c r="B71" s="129" t="s">
        <v>3740</v>
      </c>
      <c r="C71" s="129" t="s">
        <v>3706</v>
      </c>
      <c r="D71" s="130" t="s">
        <v>4128</v>
      </c>
      <c r="E71" s="130" t="s">
        <v>4129</v>
      </c>
      <c r="F71" s="130" t="s">
        <v>4129</v>
      </c>
      <c r="G71" s="130" t="s">
        <v>4128</v>
      </c>
      <c r="H71" s="130" t="s">
        <v>4128</v>
      </c>
      <c r="I71" s="130">
        <f t="shared" si="4"/>
        <v>3</v>
      </c>
      <c r="J71" s="130">
        <f t="shared" si="5"/>
        <v>50</v>
      </c>
      <c r="K71" s="130">
        <v>50</v>
      </c>
      <c r="L71" s="130">
        <f t="shared" si="6"/>
        <v>0</v>
      </c>
      <c r="M71" s="130" t="str">
        <f t="shared" si="7"/>
        <v>유지</v>
      </c>
      <c r="N71" s="131" t="s">
        <v>4193</v>
      </c>
      <c r="O71" s="132" t="s">
        <v>4131</v>
      </c>
    </row>
    <row r="72" spans="1:15" ht="36" customHeight="1">
      <c r="A72" s="128">
        <v>67</v>
      </c>
      <c r="B72" s="129" t="s">
        <v>3740</v>
      </c>
      <c r="C72" s="129" t="s">
        <v>1539</v>
      </c>
      <c r="D72" s="130" t="s">
        <v>4128</v>
      </c>
      <c r="E72" s="130" t="s">
        <v>4129</v>
      </c>
      <c r="F72" s="130" t="s">
        <v>4129</v>
      </c>
      <c r="G72" s="130" t="s">
        <v>4129</v>
      </c>
      <c r="H72" s="130" t="s">
        <v>4128</v>
      </c>
      <c r="I72" s="130">
        <f t="shared" si="4"/>
        <v>2</v>
      </c>
      <c r="J72" s="130">
        <f t="shared" si="5"/>
        <v>35</v>
      </c>
      <c r="K72" s="130">
        <v>35</v>
      </c>
      <c r="L72" s="130">
        <f t="shared" si="6"/>
        <v>0</v>
      </c>
      <c r="M72" s="130" t="str">
        <f t="shared" si="7"/>
        <v>유지</v>
      </c>
      <c r="N72" s="131" t="s">
        <v>4194</v>
      </c>
      <c r="O72" s="132" t="s">
        <v>4131</v>
      </c>
    </row>
    <row r="73" spans="1:15" ht="36" customHeight="1">
      <c r="A73" s="128">
        <v>68</v>
      </c>
      <c r="B73" s="129" t="s">
        <v>3753</v>
      </c>
      <c r="C73" s="129" t="s">
        <v>905</v>
      </c>
      <c r="D73" s="130" t="s">
        <v>4128</v>
      </c>
      <c r="E73" s="130" t="s">
        <v>4128</v>
      </c>
      <c r="F73" s="130" t="s">
        <v>4129</v>
      </c>
      <c r="G73" s="130" t="s">
        <v>4128</v>
      </c>
      <c r="H73" s="130" t="s">
        <v>4129</v>
      </c>
      <c r="I73" s="130">
        <f t="shared" si="4"/>
        <v>3</v>
      </c>
      <c r="J73" s="130">
        <f t="shared" si="5"/>
        <v>50</v>
      </c>
      <c r="K73" s="130">
        <v>35</v>
      </c>
      <c r="L73" s="130">
        <f t="shared" si="6"/>
        <v>15</v>
      </c>
      <c r="M73" s="130" t="str">
        <f t="shared" si="7"/>
        <v>상향</v>
      </c>
      <c r="N73" s="131" t="s">
        <v>4195</v>
      </c>
      <c r="O73" s="132" t="s">
        <v>4148</v>
      </c>
    </row>
    <row r="74" spans="1:15" ht="36" customHeight="1">
      <c r="A74" s="128">
        <v>69</v>
      </c>
      <c r="B74" s="129" t="s">
        <v>3753</v>
      </c>
      <c r="C74" s="129" t="s">
        <v>1521</v>
      </c>
      <c r="D74" s="130" t="s">
        <v>4128</v>
      </c>
      <c r="E74" s="130" t="s">
        <v>4129</v>
      </c>
      <c r="F74" s="130" t="s">
        <v>4129</v>
      </c>
      <c r="G74" s="130" t="s">
        <v>4128</v>
      </c>
      <c r="H74" s="130" t="s">
        <v>4129</v>
      </c>
      <c r="I74" s="130">
        <f t="shared" si="4"/>
        <v>2</v>
      </c>
      <c r="J74" s="130">
        <f t="shared" si="5"/>
        <v>35</v>
      </c>
      <c r="K74" s="130">
        <v>35</v>
      </c>
      <c r="L74" s="130">
        <f t="shared" si="6"/>
        <v>0</v>
      </c>
      <c r="M74" s="130" t="str">
        <f t="shared" si="7"/>
        <v>유지</v>
      </c>
      <c r="N74" s="131" t="s">
        <v>4196</v>
      </c>
      <c r="O74" s="132" t="s">
        <v>4148</v>
      </c>
    </row>
    <row r="75" spans="1:15" ht="36" customHeight="1">
      <c r="A75" s="128">
        <v>70</v>
      </c>
      <c r="B75" s="129" t="s">
        <v>3736</v>
      </c>
      <c r="C75" s="129" t="s">
        <v>3705</v>
      </c>
      <c r="D75" s="130" t="s">
        <v>4129</v>
      </c>
      <c r="E75" s="130" t="s">
        <v>4129</v>
      </c>
      <c r="F75" s="130" t="s">
        <v>4128</v>
      </c>
      <c r="G75" s="130" t="s">
        <v>4129</v>
      </c>
      <c r="H75" s="130" t="s">
        <v>4129</v>
      </c>
      <c r="I75" s="130">
        <f t="shared" si="4"/>
        <v>1</v>
      </c>
      <c r="J75" s="130">
        <f t="shared" si="5"/>
        <v>20</v>
      </c>
      <c r="K75" s="130">
        <v>20</v>
      </c>
      <c r="L75" s="130">
        <f t="shared" si="6"/>
        <v>0</v>
      </c>
      <c r="M75" s="130" t="str">
        <f t="shared" si="7"/>
        <v>유지</v>
      </c>
      <c r="N75" s="131" t="s">
        <v>4197</v>
      </c>
      <c r="O75" s="132" t="s">
        <v>4135</v>
      </c>
    </row>
    <row r="76" spans="1:15" ht="36" customHeight="1">
      <c r="A76" s="128">
        <v>71</v>
      </c>
      <c r="B76" s="129" t="s">
        <v>3736</v>
      </c>
      <c r="C76" s="129" t="s">
        <v>3704</v>
      </c>
      <c r="D76" s="130" t="s">
        <v>4129</v>
      </c>
      <c r="E76" s="130" t="s">
        <v>4129</v>
      </c>
      <c r="F76" s="130" t="s">
        <v>4128</v>
      </c>
      <c r="G76" s="130" t="s">
        <v>4129</v>
      </c>
      <c r="H76" s="130" t="s">
        <v>4129</v>
      </c>
      <c r="I76" s="130">
        <f t="shared" si="4"/>
        <v>1</v>
      </c>
      <c r="J76" s="130">
        <f t="shared" si="5"/>
        <v>20</v>
      </c>
      <c r="K76" s="130">
        <v>20</v>
      </c>
      <c r="L76" s="130">
        <f t="shared" si="6"/>
        <v>0</v>
      </c>
      <c r="M76" s="130" t="str">
        <f t="shared" si="7"/>
        <v>유지</v>
      </c>
      <c r="N76" s="131" t="s">
        <v>4198</v>
      </c>
      <c r="O76" s="132" t="s">
        <v>4135</v>
      </c>
    </row>
    <row r="77" spans="1:15" ht="36" customHeight="1">
      <c r="A77" s="128">
        <v>72</v>
      </c>
      <c r="B77" s="129" t="s">
        <v>3739</v>
      </c>
      <c r="C77" s="129" t="s">
        <v>1495</v>
      </c>
      <c r="D77" s="130" t="s">
        <v>4129</v>
      </c>
      <c r="E77" s="130" t="s">
        <v>4129</v>
      </c>
      <c r="F77" s="130" t="s">
        <v>4129</v>
      </c>
      <c r="G77" s="130" t="s">
        <v>4128</v>
      </c>
      <c r="H77" s="130" t="s">
        <v>4129</v>
      </c>
      <c r="I77" s="130">
        <f t="shared" si="4"/>
        <v>1</v>
      </c>
      <c r="J77" s="130">
        <f t="shared" si="5"/>
        <v>20</v>
      </c>
      <c r="K77" s="130">
        <v>20</v>
      </c>
      <c r="L77" s="130">
        <f t="shared" si="6"/>
        <v>0</v>
      </c>
      <c r="M77" s="130" t="str">
        <f t="shared" si="7"/>
        <v>유지</v>
      </c>
      <c r="N77" s="131" t="s">
        <v>4199</v>
      </c>
      <c r="O77" s="132" t="s">
        <v>4135</v>
      </c>
    </row>
    <row r="78" spans="1:15" ht="36" customHeight="1">
      <c r="A78" s="128">
        <v>73</v>
      </c>
      <c r="B78" s="129" t="s">
        <v>3739</v>
      </c>
      <c r="C78" s="129" t="s">
        <v>968</v>
      </c>
      <c r="D78" s="130" t="s">
        <v>4128</v>
      </c>
      <c r="E78" s="130" t="s">
        <v>4129</v>
      </c>
      <c r="F78" s="130" t="s">
        <v>4129</v>
      </c>
      <c r="G78" s="130" t="s">
        <v>4128</v>
      </c>
      <c r="H78" s="130" t="s">
        <v>4128</v>
      </c>
      <c r="I78" s="130">
        <f t="shared" si="4"/>
        <v>3</v>
      </c>
      <c r="J78" s="130">
        <f t="shared" si="5"/>
        <v>50</v>
      </c>
      <c r="K78" s="130">
        <v>50</v>
      </c>
      <c r="L78" s="130">
        <f t="shared" si="6"/>
        <v>0</v>
      </c>
      <c r="M78" s="130" t="str">
        <f t="shared" si="7"/>
        <v>유지</v>
      </c>
      <c r="N78" s="131" t="s">
        <v>4200</v>
      </c>
      <c r="O78" s="132" t="s">
        <v>4131</v>
      </c>
    </row>
    <row r="79" spans="1:15" ht="36" customHeight="1">
      <c r="A79" s="128">
        <v>74</v>
      </c>
      <c r="B79" s="129" t="s">
        <v>3757</v>
      </c>
      <c r="C79" s="129" t="s">
        <v>1476</v>
      </c>
      <c r="D79" s="130" t="s">
        <v>4128</v>
      </c>
      <c r="E79" s="130" t="s">
        <v>4129</v>
      </c>
      <c r="F79" s="130" t="s">
        <v>4129</v>
      </c>
      <c r="G79" s="130" t="s">
        <v>4128</v>
      </c>
      <c r="H79" s="130" t="s">
        <v>4129</v>
      </c>
      <c r="I79" s="130">
        <f t="shared" si="4"/>
        <v>2</v>
      </c>
      <c r="J79" s="130">
        <f t="shared" si="5"/>
        <v>35</v>
      </c>
      <c r="K79" s="130">
        <v>35</v>
      </c>
      <c r="L79" s="130">
        <f t="shared" si="6"/>
        <v>0</v>
      </c>
      <c r="M79" s="130" t="str">
        <f t="shared" si="7"/>
        <v>유지</v>
      </c>
      <c r="N79" s="131" t="s">
        <v>4201</v>
      </c>
      <c r="O79" s="132" t="s">
        <v>4177</v>
      </c>
    </row>
    <row r="80" spans="1:15" ht="36" customHeight="1">
      <c r="A80" s="128">
        <v>75</v>
      </c>
      <c r="B80" s="129" t="s">
        <v>3758</v>
      </c>
      <c r="C80" s="129" t="s">
        <v>1476</v>
      </c>
      <c r="D80" s="130" t="s">
        <v>4128</v>
      </c>
      <c r="E80" s="130" t="s">
        <v>4129</v>
      </c>
      <c r="F80" s="130" t="s">
        <v>4129</v>
      </c>
      <c r="G80" s="130" t="s">
        <v>4128</v>
      </c>
      <c r="H80" s="130" t="s">
        <v>4129</v>
      </c>
      <c r="I80" s="130">
        <f t="shared" si="4"/>
        <v>2</v>
      </c>
      <c r="J80" s="130">
        <f t="shared" si="5"/>
        <v>35</v>
      </c>
      <c r="K80" s="130">
        <v>35</v>
      </c>
      <c r="L80" s="130">
        <f t="shared" si="6"/>
        <v>0</v>
      </c>
      <c r="M80" s="130" t="str">
        <f t="shared" si="7"/>
        <v>유지</v>
      </c>
      <c r="N80" s="131" t="s">
        <v>4201</v>
      </c>
      <c r="O80" s="132" t="s">
        <v>4177</v>
      </c>
    </row>
    <row r="81" spans="1:15" ht="36" customHeight="1">
      <c r="A81" s="128">
        <v>76</v>
      </c>
      <c r="B81" s="129" t="s">
        <v>3757</v>
      </c>
      <c r="C81" s="129" t="s">
        <v>1466</v>
      </c>
      <c r="D81" s="130" t="s">
        <v>4128</v>
      </c>
      <c r="E81" s="130" t="s">
        <v>4129</v>
      </c>
      <c r="F81" s="130" t="s">
        <v>4129</v>
      </c>
      <c r="G81" s="130" t="s">
        <v>4128</v>
      </c>
      <c r="H81" s="130" t="s">
        <v>4129</v>
      </c>
      <c r="I81" s="130">
        <f t="shared" si="4"/>
        <v>2</v>
      </c>
      <c r="J81" s="130">
        <f t="shared" si="5"/>
        <v>35</v>
      </c>
      <c r="K81" s="130">
        <v>35</v>
      </c>
      <c r="L81" s="130">
        <f t="shared" si="6"/>
        <v>0</v>
      </c>
      <c r="M81" s="130" t="str">
        <f t="shared" si="7"/>
        <v>유지</v>
      </c>
      <c r="N81" s="131" t="s">
        <v>4202</v>
      </c>
      <c r="O81" s="132" t="s">
        <v>4177</v>
      </c>
    </row>
    <row r="82" spans="1:15" ht="36" customHeight="1">
      <c r="A82" s="128">
        <v>77</v>
      </c>
      <c r="B82" s="129" t="s">
        <v>3761</v>
      </c>
      <c r="C82" s="129" t="s">
        <v>972</v>
      </c>
      <c r="D82" s="130" t="s">
        <v>4128</v>
      </c>
      <c r="E82" s="130" t="s">
        <v>4129</v>
      </c>
      <c r="F82" s="130" t="s">
        <v>4129</v>
      </c>
      <c r="G82" s="130" t="s">
        <v>4128</v>
      </c>
      <c r="H82" s="130" t="s">
        <v>4129</v>
      </c>
      <c r="I82" s="130">
        <f t="shared" si="4"/>
        <v>2</v>
      </c>
      <c r="J82" s="130">
        <f t="shared" si="5"/>
        <v>35</v>
      </c>
      <c r="K82" s="130">
        <v>35</v>
      </c>
      <c r="L82" s="130">
        <f t="shared" si="6"/>
        <v>0</v>
      </c>
      <c r="M82" s="130" t="str">
        <f t="shared" si="7"/>
        <v>유지</v>
      </c>
      <c r="N82" s="131" t="s">
        <v>4203</v>
      </c>
      <c r="O82" s="132" t="s">
        <v>4177</v>
      </c>
    </row>
    <row r="83" spans="1:15" ht="36" customHeight="1">
      <c r="A83" s="128">
        <v>78</v>
      </c>
      <c r="B83" s="129" t="s">
        <v>3760</v>
      </c>
      <c r="C83" s="129" t="s">
        <v>969</v>
      </c>
      <c r="D83" s="130" t="s">
        <v>4128</v>
      </c>
      <c r="E83" s="130" t="s">
        <v>4129</v>
      </c>
      <c r="F83" s="130" t="s">
        <v>4129</v>
      </c>
      <c r="G83" s="130" t="s">
        <v>4128</v>
      </c>
      <c r="H83" s="130" t="s">
        <v>4129</v>
      </c>
      <c r="I83" s="130">
        <f t="shared" si="4"/>
        <v>2</v>
      </c>
      <c r="J83" s="130">
        <f t="shared" si="5"/>
        <v>35</v>
      </c>
      <c r="K83" s="130">
        <v>35</v>
      </c>
      <c r="L83" s="130">
        <f t="shared" si="6"/>
        <v>0</v>
      </c>
      <c r="M83" s="130" t="str">
        <f t="shared" si="7"/>
        <v>유지</v>
      </c>
      <c r="N83" s="131" t="s">
        <v>4204</v>
      </c>
      <c r="O83" s="132" t="s">
        <v>4177</v>
      </c>
    </row>
    <row r="84" spans="1:15" ht="36" customHeight="1">
      <c r="A84" s="128">
        <v>79</v>
      </c>
      <c r="B84" s="129" t="s">
        <v>3735</v>
      </c>
      <c r="C84" s="129" t="s">
        <v>906</v>
      </c>
      <c r="D84" s="130" t="s">
        <v>4128</v>
      </c>
      <c r="E84" s="130" t="s">
        <v>4129</v>
      </c>
      <c r="F84" s="130" t="s">
        <v>4129</v>
      </c>
      <c r="G84" s="130" t="s">
        <v>4128</v>
      </c>
      <c r="H84" s="130" t="s">
        <v>4128</v>
      </c>
      <c r="I84" s="130">
        <f t="shared" si="4"/>
        <v>3</v>
      </c>
      <c r="J84" s="130">
        <f t="shared" si="5"/>
        <v>50</v>
      </c>
      <c r="K84" s="130">
        <v>50</v>
      </c>
      <c r="L84" s="130">
        <f t="shared" si="6"/>
        <v>0</v>
      </c>
      <c r="M84" s="130" t="str">
        <f t="shared" si="7"/>
        <v>유지</v>
      </c>
      <c r="N84" s="131" t="s">
        <v>4205</v>
      </c>
      <c r="O84" s="132" t="s">
        <v>4177</v>
      </c>
    </row>
    <row r="85" spans="1:15" ht="36" customHeight="1">
      <c r="A85" s="128">
        <v>80</v>
      </c>
      <c r="B85" s="129" t="s">
        <v>3760</v>
      </c>
      <c r="C85" s="129" t="s">
        <v>1440</v>
      </c>
      <c r="D85" s="130" t="s">
        <v>4128</v>
      </c>
      <c r="E85" s="130" t="s">
        <v>4129</v>
      </c>
      <c r="F85" s="130" t="s">
        <v>4129</v>
      </c>
      <c r="G85" s="130" t="s">
        <v>4128</v>
      </c>
      <c r="H85" s="130" t="s">
        <v>4129</v>
      </c>
      <c r="I85" s="130">
        <f t="shared" si="4"/>
        <v>2</v>
      </c>
      <c r="J85" s="130">
        <f t="shared" si="5"/>
        <v>35</v>
      </c>
      <c r="K85" s="130">
        <v>35</v>
      </c>
      <c r="L85" s="130">
        <f t="shared" si="6"/>
        <v>0</v>
      </c>
      <c r="M85" s="130" t="str">
        <f t="shared" si="7"/>
        <v>유지</v>
      </c>
      <c r="N85" s="131" t="s">
        <v>4206</v>
      </c>
      <c r="O85" s="132" t="s">
        <v>4177</v>
      </c>
    </row>
    <row r="86" spans="1:15" ht="36" customHeight="1">
      <c r="A86" s="128">
        <v>81</v>
      </c>
      <c r="B86" s="129" t="s">
        <v>3735</v>
      </c>
      <c r="C86" s="129" t="s">
        <v>907</v>
      </c>
      <c r="D86" s="130" t="s">
        <v>4128</v>
      </c>
      <c r="E86" s="130" t="s">
        <v>4129</v>
      </c>
      <c r="F86" s="130" t="s">
        <v>4129</v>
      </c>
      <c r="G86" s="130" t="s">
        <v>4128</v>
      </c>
      <c r="H86" s="130" t="s">
        <v>4128</v>
      </c>
      <c r="I86" s="130">
        <f t="shared" si="4"/>
        <v>3</v>
      </c>
      <c r="J86" s="130">
        <f t="shared" si="5"/>
        <v>50</v>
      </c>
      <c r="K86" s="130">
        <v>35</v>
      </c>
      <c r="L86" s="130">
        <f t="shared" si="6"/>
        <v>15</v>
      </c>
      <c r="M86" s="130" t="str">
        <f t="shared" si="7"/>
        <v>상향</v>
      </c>
      <c r="N86" s="131" t="s">
        <v>4207</v>
      </c>
      <c r="O86" s="132" t="s">
        <v>4177</v>
      </c>
    </row>
    <row r="87" spans="1:15" ht="36" customHeight="1">
      <c r="A87" s="128">
        <v>82</v>
      </c>
      <c r="B87" s="129" t="s">
        <v>3735</v>
      </c>
      <c r="C87" s="129" t="s">
        <v>1430</v>
      </c>
      <c r="D87" s="130" t="s">
        <v>4128</v>
      </c>
      <c r="E87" s="130" t="s">
        <v>4129</v>
      </c>
      <c r="F87" s="130" t="s">
        <v>4129</v>
      </c>
      <c r="G87" s="130" t="s">
        <v>4128</v>
      </c>
      <c r="H87" s="130" t="s">
        <v>4129</v>
      </c>
      <c r="I87" s="130">
        <f t="shared" si="4"/>
        <v>2</v>
      </c>
      <c r="J87" s="130">
        <f t="shared" si="5"/>
        <v>35</v>
      </c>
      <c r="K87" s="130">
        <v>35</v>
      </c>
      <c r="L87" s="130">
        <f t="shared" si="6"/>
        <v>0</v>
      </c>
      <c r="M87" s="130" t="str">
        <f t="shared" si="7"/>
        <v>유지</v>
      </c>
      <c r="N87" s="131" t="s">
        <v>4208</v>
      </c>
      <c r="O87" s="132" t="s">
        <v>4177</v>
      </c>
    </row>
    <row r="88" spans="1:15" ht="36" customHeight="1">
      <c r="A88" s="128">
        <v>83</v>
      </c>
      <c r="B88" s="129" t="s">
        <v>3734</v>
      </c>
      <c r="C88" s="129" t="s">
        <v>908</v>
      </c>
      <c r="D88" s="130" t="s">
        <v>4129</v>
      </c>
      <c r="E88" s="130" t="s">
        <v>4129</v>
      </c>
      <c r="F88" s="130" t="s">
        <v>4129</v>
      </c>
      <c r="G88" s="130" t="s">
        <v>4128</v>
      </c>
      <c r="H88" s="130" t="s">
        <v>4129</v>
      </c>
      <c r="I88" s="130">
        <f t="shared" si="4"/>
        <v>1</v>
      </c>
      <c r="J88" s="130">
        <f t="shared" si="5"/>
        <v>20</v>
      </c>
      <c r="K88" s="130">
        <v>20</v>
      </c>
      <c r="L88" s="130">
        <f t="shared" si="6"/>
        <v>0</v>
      </c>
      <c r="M88" s="130" t="str">
        <f t="shared" si="7"/>
        <v>유지</v>
      </c>
      <c r="N88" s="131" t="s">
        <v>4209</v>
      </c>
      <c r="O88" s="132" t="s">
        <v>4177</v>
      </c>
    </row>
    <row r="89" spans="1:15" ht="36" customHeight="1">
      <c r="A89" s="128">
        <v>84</v>
      </c>
      <c r="B89" s="129" t="s">
        <v>3735</v>
      </c>
      <c r="C89" s="129" t="s">
        <v>908</v>
      </c>
      <c r="D89" s="130" t="s">
        <v>4129</v>
      </c>
      <c r="E89" s="130" t="s">
        <v>4129</v>
      </c>
      <c r="F89" s="130" t="s">
        <v>4129</v>
      </c>
      <c r="G89" s="130" t="s">
        <v>4128</v>
      </c>
      <c r="H89" s="130" t="s">
        <v>4129</v>
      </c>
      <c r="I89" s="130">
        <f t="shared" si="4"/>
        <v>1</v>
      </c>
      <c r="J89" s="130">
        <f t="shared" si="5"/>
        <v>20</v>
      </c>
      <c r="K89" s="130">
        <v>20</v>
      </c>
      <c r="L89" s="130">
        <f t="shared" si="6"/>
        <v>0</v>
      </c>
      <c r="M89" s="130" t="str">
        <f t="shared" si="7"/>
        <v>유지</v>
      </c>
      <c r="N89" s="131" t="s">
        <v>4209</v>
      </c>
      <c r="O89" s="132" t="s">
        <v>4177</v>
      </c>
    </row>
    <row r="90" spans="1:15" ht="36" customHeight="1">
      <c r="A90" s="128">
        <v>85</v>
      </c>
      <c r="B90" s="129" t="s">
        <v>3755</v>
      </c>
      <c r="C90" s="129" t="s">
        <v>1400</v>
      </c>
      <c r="D90" s="130" t="s">
        <v>4128</v>
      </c>
      <c r="E90" s="130" t="s">
        <v>4129</v>
      </c>
      <c r="F90" s="130" t="s">
        <v>4128</v>
      </c>
      <c r="G90" s="130" t="s">
        <v>4128</v>
      </c>
      <c r="H90" s="130" t="s">
        <v>4129</v>
      </c>
      <c r="I90" s="130">
        <f t="shared" si="4"/>
        <v>3</v>
      </c>
      <c r="J90" s="130">
        <f t="shared" si="5"/>
        <v>50</v>
      </c>
      <c r="K90" s="130">
        <v>35</v>
      </c>
      <c r="L90" s="130">
        <f t="shared" si="6"/>
        <v>15</v>
      </c>
      <c r="M90" s="130" t="str">
        <f t="shared" si="7"/>
        <v>상향</v>
      </c>
      <c r="N90" s="131" t="s">
        <v>4210</v>
      </c>
      <c r="O90" s="132" t="s">
        <v>4148</v>
      </c>
    </row>
    <row r="91" spans="1:15" ht="36" customHeight="1">
      <c r="A91" s="128">
        <v>86</v>
      </c>
      <c r="B91" s="129" t="s">
        <v>3733</v>
      </c>
      <c r="C91" s="129" t="s">
        <v>1384</v>
      </c>
      <c r="D91" s="130" t="s">
        <v>4128</v>
      </c>
      <c r="E91" s="130" t="s">
        <v>4129</v>
      </c>
      <c r="F91" s="130" t="s">
        <v>4129</v>
      </c>
      <c r="G91" s="130" t="s">
        <v>4129</v>
      </c>
      <c r="H91" s="130" t="s">
        <v>4129</v>
      </c>
      <c r="I91" s="130">
        <f t="shared" si="4"/>
        <v>1</v>
      </c>
      <c r="J91" s="130">
        <f t="shared" si="5"/>
        <v>20</v>
      </c>
      <c r="K91" s="130">
        <v>20</v>
      </c>
      <c r="L91" s="130">
        <f t="shared" si="6"/>
        <v>0</v>
      </c>
      <c r="M91" s="130" t="str">
        <f t="shared" si="7"/>
        <v>유지</v>
      </c>
      <c r="N91" s="131" t="s">
        <v>4211</v>
      </c>
      <c r="O91" s="132" t="s">
        <v>4177</v>
      </c>
    </row>
    <row r="92" spans="1:15" ht="36" customHeight="1">
      <c r="A92" s="128">
        <v>87</v>
      </c>
      <c r="B92" s="129" t="s">
        <v>3749</v>
      </c>
      <c r="C92" s="129" t="s">
        <v>1384</v>
      </c>
      <c r="D92" s="130" t="s">
        <v>4128</v>
      </c>
      <c r="E92" s="130" t="s">
        <v>4129</v>
      </c>
      <c r="F92" s="130" t="s">
        <v>4129</v>
      </c>
      <c r="G92" s="130" t="s">
        <v>4129</v>
      </c>
      <c r="H92" s="130" t="s">
        <v>4129</v>
      </c>
      <c r="I92" s="130">
        <f t="shared" si="4"/>
        <v>1</v>
      </c>
      <c r="J92" s="130">
        <f t="shared" si="5"/>
        <v>20</v>
      </c>
      <c r="K92" s="130">
        <v>20</v>
      </c>
      <c r="L92" s="130">
        <f t="shared" si="6"/>
        <v>0</v>
      </c>
      <c r="M92" s="130" t="str">
        <f t="shared" si="7"/>
        <v>유지</v>
      </c>
      <c r="N92" s="131" t="s">
        <v>4211</v>
      </c>
      <c r="O92" s="132" t="s">
        <v>4177</v>
      </c>
    </row>
    <row r="93" spans="1:15" ht="36" customHeight="1">
      <c r="A93" s="128">
        <v>88</v>
      </c>
      <c r="B93" s="129" t="s">
        <v>3751</v>
      </c>
      <c r="C93" s="129" t="s">
        <v>915</v>
      </c>
      <c r="D93" s="130" t="s">
        <v>4128</v>
      </c>
      <c r="E93" s="130" t="s">
        <v>4129</v>
      </c>
      <c r="F93" s="130" t="s">
        <v>4129</v>
      </c>
      <c r="G93" s="130" t="s">
        <v>4129</v>
      </c>
      <c r="H93" s="130" t="s">
        <v>4129</v>
      </c>
      <c r="I93" s="130">
        <f t="shared" si="4"/>
        <v>1</v>
      </c>
      <c r="J93" s="130">
        <f t="shared" si="5"/>
        <v>20</v>
      </c>
      <c r="K93" s="130">
        <v>20</v>
      </c>
      <c r="L93" s="130">
        <f t="shared" si="6"/>
        <v>0</v>
      </c>
      <c r="M93" s="130" t="str">
        <f t="shared" si="7"/>
        <v>유지</v>
      </c>
      <c r="N93" s="131" t="s">
        <v>4212</v>
      </c>
      <c r="O93" s="132" t="s">
        <v>4177</v>
      </c>
    </row>
    <row r="94" spans="1:15" ht="36" customHeight="1">
      <c r="A94" s="128">
        <v>89</v>
      </c>
      <c r="B94" s="129" t="s">
        <v>3754</v>
      </c>
      <c r="C94" s="129" t="s">
        <v>1356</v>
      </c>
      <c r="D94" s="130" t="s">
        <v>4128</v>
      </c>
      <c r="E94" s="130" t="s">
        <v>4129</v>
      </c>
      <c r="F94" s="130" t="s">
        <v>4128</v>
      </c>
      <c r="G94" s="130" t="s">
        <v>4129</v>
      </c>
      <c r="H94" s="130" t="s">
        <v>4129</v>
      </c>
      <c r="I94" s="130">
        <f t="shared" si="4"/>
        <v>2</v>
      </c>
      <c r="J94" s="130">
        <f t="shared" si="5"/>
        <v>35</v>
      </c>
      <c r="K94" s="130">
        <v>20</v>
      </c>
      <c r="L94" s="130">
        <f t="shared" si="6"/>
        <v>15</v>
      </c>
      <c r="M94" s="130" t="str">
        <f t="shared" si="7"/>
        <v>상향</v>
      </c>
      <c r="N94" s="131" t="s">
        <v>4213</v>
      </c>
      <c r="O94" s="132" t="s">
        <v>4148</v>
      </c>
    </row>
    <row r="95" spans="1:15" ht="36" customHeight="1">
      <c r="A95" s="128">
        <v>90</v>
      </c>
      <c r="B95" s="129" t="s">
        <v>2082</v>
      </c>
      <c r="C95" s="129" t="s">
        <v>1345</v>
      </c>
      <c r="D95" s="130" t="s">
        <v>4128</v>
      </c>
      <c r="E95" s="130" t="s">
        <v>4129</v>
      </c>
      <c r="F95" s="130" t="s">
        <v>4128</v>
      </c>
      <c r="G95" s="130" t="s">
        <v>4129</v>
      </c>
      <c r="H95" s="130" t="s">
        <v>4129</v>
      </c>
      <c r="I95" s="130">
        <f t="shared" si="4"/>
        <v>2</v>
      </c>
      <c r="J95" s="130">
        <f t="shared" si="5"/>
        <v>35</v>
      </c>
      <c r="K95" s="130">
        <v>35</v>
      </c>
      <c r="L95" s="130">
        <f t="shared" si="6"/>
        <v>0</v>
      </c>
      <c r="M95" s="130" t="str">
        <f t="shared" si="7"/>
        <v>유지</v>
      </c>
      <c r="N95" s="131" t="s">
        <v>4214</v>
      </c>
      <c r="O95" s="132" t="s">
        <v>4148</v>
      </c>
    </row>
    <row r="96" spans="1:15" ht="36" customHeight="1">
      <c r="A96" s="128">
        <v>91</v>
      </c>
      <c r="B96" s="129" t="s">
        <v>3754</v>
      </c>
      <c r="C96" s="129" t="s">
        <v>2060</v>
      </c>
      <c r="D96" s="130" t="s">
        <v>4129</v>
      </c>
      <c r="E96" s="130" t="s">
        <v>4129</v>
      </c>
      <c r="F96" s="130" t="s">
        <v>4128</v>
      </c>
      <c r="G96" s="130" t="s">
        <v>4129</v>
      </c>
      <c r="H96" s="130" t="s">
        <v>4129</v>
      </c>
      <c r="I96" s="130">
        <f t="shared" si="4"/>
        <v>1</v>
      </c>
      <c r="J96" s="130">
        <f t="shared" si="5"/>
        <v>20</v>
      </c>
      <c r="K96" s="130">
        <v>20</v>
      </c>
      <c r="L96" s="130">
        <f t="shared" si="6"/>
        <v>0</v>
      </c>
      <c r="M96" s="130" t="str">
        <f t="shared" si="7"/>
        <v>유지</v>
      </c>
      <c r="N96" s="131" t="s">
        <v>4215</v>
      </c>
      <c r="O96" s="132" t="s">
        <v>4148</v>
      </c>
    </row>
    <row r="97" spans="1:15" ht="36" customHeight="1">
      <c r="A97" s="128">
        <v>92</v>
      </c>
      <c r="B97" s="129" t="s">
        <v>3754</v>
      </c>
      <c r="C97" s="129" t="s">
        <v>2061</v>
      </c>
      <c r="D97" s="130" t="s">
        <v>4129</v>
      </c>
      <c r="E97" s="130" t="s">
        <v>4129</v>
      </c>
      <c r="F97" s="130" t="s">
        <v>4128</v>
      </c>
      <c r="G97" s="130" t="s">
        <v>4129</v>
      </c>
      <c r="H97" s="130" t="s">
        <v>4129</v>
      </c>
      <c r="I97" s="130">
        <f t="shared" si="4"/>
        <v>1</v>
      </c>
      <c r="J97" s="130">
        <f t="shared" si="5"/>
        <v>20</v>
      </c>
      <c r="K97" s="130">
        <v>20</v>
      </c>
      <c r="L97" s="130">
        <f t="shared" si="6"/>
        <v>0</v>
      </c>
      <c r="M97" s="130" t="str">
        <f t="shared" si="7"/>
        <v>유지</v>
      </c>
      <c r="N97" s="131" t="s">
        <v>4216</v>
      </c>
      <c r="O97" s="132" t="s">
        <v>4148</v>
      </c>
    </row>
    <row r="98" spans="1:15" ht="36" customHeight="1">
      <c r="A98" s="128">
        <v>93</v>
      </c>
      <c r="B98" s="129" t="s">
        <v>3747</v>
      </c>
      <c r="C98" s="129" t="s">
        <v>3838</v>
      </c>
      <c r="D98" s="130" t="s">
        <v>4128</v>
      </c>
      <c r="E98" s="130" t="s">
        <v>4129</v>
      </c>
      <c r="F98" s="130" t="s">
        <v>4129</v>
      </c>
      <c r="G98" s="130" t="s">
        <v>4128</v>
      </c>
      <c r="H98" s="130" t="s">
        <v>4129</v>
      </c>
      <c r="I98" s="130">
        <f t="shared" si="4"/>
        <v>2</v>
      </c>
      <c r="J98" s="130">
        <f t="shared" si="5"/>
        <v>35</v>
      </c>
      <c r="K98" s="130">
        <v>35</v>
      </c>
      <c r="L98" s="130">
        <f t="shared" si="6"/>
        <v>0</v>
      </c>
      <c r="M98" s="130" t="str">
        <f t="shared" si="7"/>
        <v>유지</v>
      </c>
      <c r="N98" s="131" t="s">
        <v>4217</v>
      </c>
      <c r="O98" s="132" t="s">
        <v>4150</v>
      </c>
    </row>
    <row r="99" spans="1:15" ht="36" customHeight="1">
      <c r="A99" s="128">
        <v>94</v>
      </c>
      <c r="B99" s="129" t="s">
        <v>2082</v>
      </c>
      <c r="C99" s="129" t="s">
        <v>1290</v>
      </c>
      <c r="D99" s="130" t="s">
        <v>4129</v>
      </c>
      <c r="E99" s="130" t="s">
        <v>4129</v>
      </c>
      <c r="F99" s="130" t="s">
        <v>4129</v>
      </c>
      <c r="G99" s="130" t="s">
        <v>4128</v>
      </c>
      <c r="H99" s="130" t="s">
        <v>4129</v>
      </c>
      <c r="I99" s="130">
        <f t="shared" si="4"/>
        <v>1</v>
      </c>
      <c r="J99" s="130">
        <f t="shared" si="5"/>
        <v>20</v>
      </c>
      <c r="K99" s="130">
        <v>20</v>
      </c>
      <c r="L99" s="130">
        <f t="shared" si="6"/>
        <v>0</v>
      </c>
      <c r="M99" s="130" t="str">
        <f t="shared" si="7"/>
        <v>유지</v>
      </c>
      <c r="N99" s="131" t="s">
        <v>4218</v>
      </c>
      <c r="O99" s="132" t="s">
        <v>4135</v>
      </c>
    </row>
    <row r="100" spans="1:15" ht="36" customHeight="1">
      <c r="A100" s="133">
        <v>95</v>
      </c>
      <c r="B100" s="134" t="s">
        <v>2083</v>
      </c>
      <c r="C100" s="134" t="s">
        <v>1290</v>
      </c>
      <c r="D100" s="135" t="s">
        <v>4129</v>
      </c>
      <c r="E100" s="135" t="s">
        <v>4129</v>
      </c>
      <c r="F100" s="135" t="s">
        <v>4129</v>
      </c>
      <c r="G100" s="135" t="s">
        <v>4128</v>
      </c>
      <c r="H100" s="135" t="s">
        <v>4129</v>
      </c>
      <c r="I100" s="135">
        <f t="shared" si="4"/>
        <v>1</v>
      </c>
      <c r="J100" s="135">
        <f t="shared" si="5"/>
        <v>20</v>
      </c>
      <c r="K100" s="135">
        <v>20</v>
      </c>
      <c r="L100" s="135">
        <f t="shared" si="6"/>
        <v>0</v>
      </c>
      <c r="M100" s="135" t="str">
        <f t="shared" si="7"/>
        <v>유지</v>
      </c>
      <c r="N100" s="136" t="s">
        <v>4218</v>
      </c>
      <c r="O100" s="137" t="s">
        <v>4135</v>
      </c>
    </row>
    <row r="101" spans="1:15" ht="28.5">
      <c r="A101" s="133">
        <f>ROW() - ROW([2]!ValueChainRatingTable[[#Headers],[No.]])</f>
        <v>96</v>
      </c>
      <c r="B101" s="134" t="s">
        <v>4036</v>
      </c>
      <c r="C101" s="134" t="s">
        <v>1054</v>
      </c>
      <c r="D101" s="159" t="s">
        <v>4128</v>
      </c>
      <c r="E101" s="160" t="s">
        <v>4129</v>
      </c>
      <c r="F101" s="159" t="s">
        <v>4128</v>
      </c>
      <c r="G101" s="159" t="s">
        <v>4128</v>
      </c>
      <c r="H101" s="160" t="s">
        <v>4129</v>
      </c>
      <c r="I101" s="135">
        <f t="shared" si="4"/>
        <v>3</v>
      </c>
      <c r="J101" s="135">
        <f t="shared" si="5"/>
        <v>50</v>
      </c>
      <c r="K101" s="135">
        <v>50</v>
      </c>
      <c r="L101" s="135">
        <f t="shared" si="6"/>
        <v>0</v>
      </c>
      <c r="M101" s="135" t="str">
        <f t="shared" si="7"/>
        <v>유지</v>
      </c>
      <c r="N101" s="161" t="s">
        <v>4520</v>
      </c>
      <c r="O101" s="162" t="s">
        <v>4521</v>
      </c>
    </row>
    <row r="102" spans="1:15" ht="28.5">
      <c r="A102" s="133">
        <f>ROW() - ROW([2]!ValueChainRatingTable[[#Headers],[No.]])</f>
        <v>97</v>
      </c>
      <c r="B102" s="134" t="s">
        <v>4036</v>
      </c>
      <c r="C102" s="134" t="s">
        <v>1057</v>
      </c>
      <c r="D102" s="159" t="s">
        <v>4128</v>
      </c>
      <c r="E102" s="160" t="s">
        <v>4129</v>
      </c>
      <c r="F102" s="159" t="s">
        <v>4128</v>
      </c>
      <c r="G102" s="160" t="s">
        <v>4129</v>
      </c>
      <c r="H102" s="160" t="s">
        <v>4129</v>
      </c>
      <c r="I102" s="135">
        <f t="shared" si="4"/>
        <v>2</v>
      </c>
      <c r="J102" s="135">
        <f t="shared" si="5"/>
        <v>35</v>
      </c>
      <c r="K102" s="135">
        <v>35</v>
      </c>
      <c r="L102" s="135">
        <f t="shared" si="6"/>
        <v>0</v>
      </c>
      <c r="M102" s="135" t="str">
        <f t="shared" si="7"/>
        <v>유지</v>
      </c>
      <c r="N102" s="163" t="s">
        <v>4522</v>
      </c>
      <c r="O102" s="164" t="s">
        <v>4523</v>
      </c>
    </row>
    <row r="103" spans="1:15" ht="42.75">
      <c r="A103" s="133">
        <f>ROW() - ROW([2]!ValueChainRatingTable[[#Headers],[No.]])</f>
        <v>98</v>
      </c>
      <c r="B103" s="134" t="s">
        <v>4036</v>
      </c>
      <c r="C103" s="134" t="s">
        <v>1058</v>
      </c>
      <c r="D103" s="160" t="s">
        <v>4129</v>
      </c>
      <c r="E103" s="160" t="s">
        <v>4129</v>
      </c>
      <c r="F103" s="159" t="s">
        <v>4128</v>
      </c>
      <c r="G103" s="160" t="s">
        <v>4129</v>
      </c>
      <c r="H103" s="160" t="s">
        <v>4129</v>
      </c>
      <c r="I103" s="135">
        <f t="shared" si="4"/>
        <v>1</v>
      </c>
      <c r="J103" s="135">
        <f t="shared" si="5"/>
        <v>20</v>
      </c>
      <c r="K103" s="135">
        <v>20</v>
      </c>
      <c r="L103" s="135">
        <f t="shared" si="6"/>
        <v>0</v>
      </c>
      <c r="M103" s="135" t="str">
        <f t="shared" si="7"/>
        <v>유지</v>
      </c>
      <c r="N103" s="161" t="s">
        <v>4524</v>
      </c>
      <c r="O103" s="162" t="s">
        <v>4525</v>
      </c>
    </row>
    <row r="104" spans="1:15" ht="42.75">
      <c r="A104" s="133">
        <f>ROW() - ROW([2]!ValueChainRatingTable[[#Headers],[No.]])</f>
        <v>99</v>
      </c>
      <c r="B104" s="134" t="s">
        <v>3755</v>
      </c>
      <c r="C104" s="134" t="s">
        <v>1056</v>
      </c>
      <c r="D104" s="159" t="s">
        <v>4128</v>
      </c>
      <c r="E104" s="160" t="s">
        <v>4129</v>
      </c>
      <c r="F104" s="159" t="s">
        <v>4128</v>
      </c>
      <c r="G104" s="159" t="s">
        <v>4128</v>
      </c>
      <c r="H104" s="160" t="s">
        <v>4129</v>
      </c>
      <c r="I104" s="135">
        <f t="shared" si="4"/>
        <v>3</v>
      </c>
      <c r="J104" s="135">
        <f t="shared" si="5"/>
        <v>50</v>
      </c>
      <c r="K104" s="135">
        <v>50</v>
      </c>
      <c r="L104" s="135">
        <f t="shared" si="6"/>
        <v>0</v>
      </c>
      <c r="M104" s="135" t="str">
        <f t="shared" si="7"/>
        <v>유지</v>
      </c>
      <c r="N104" s="163" t="s">
        <v>4526</v>
      </c>
      <c r="O104" s="164" t="s">
        <v>4527</v>
      </c>
    </row>
    <row r="105" spans="1:15" ht="28.5">
      <c r="A105" s="133">
        <f>ROW() - ROW([2]!ValueChainRatingTable[[#Headers],[No.]])</f>
        <v>100</v>
      </c>
      <c r="B105" s="134" t="s">
        <v>4033</v>
      </c>
      <c r="C105" s="134" t="s">
        <v>457</v>
      </c>
      <c r="D105" s="160" t="s">
        <v>4129</v>
      </c>
      <c r="E105" s="160" t="s">
        <v>4129</v>
      </c>
      <c r="F105" s="159" t="s">
        <v>4128</v>
      </c>
      <c r="G105" s="160" t="s">
        <v>4129</v>
      </c>
      <c r="H105" s="160" t="s">
        <v>4129</v>
      </c>
      <c r="I105" s="135">
        <f t="shared" si="4"/>
        <v>1</v>
      </c>
      <c r="J105" s="135">
        <f t="shared" si="5"/>
        <v>20</v>
      </c>
      <c r="K105" s="135">
        <v>20</v>
      </c>
      <c r="L105" s="135">
        <f t="shared" si="6"/>
        <v>0</v>
      </c>
      <c r="M105" s="135" t="str">
        <f t="shared" si="7"/>
        <v>유지</v>
      </c>
      <c r="N105" s="161" t="s">
        <v>4528</v>
      </c>
      <c r="O105" s="162" t="s">
        <v>4135</v>
      </c>
    </row>
    <row r="106" spans="1:15" ht="28.5">
      <c r="A106" s="133">
        <f>ROW() - ROW([2]!ValueChainRatingTable[[#Headers],[No.]])</f>
        <v>101</v>
      </c>
      <c r="B106" s="134" t="s">
        <v>4033</v>
      </c>
      <c r="C106" s="134" t="s">
        <v>4034</v>
      </c>
      <c r="D106" s="160" t="s">
        <v>4129</v>
      </c>
      <c r="E106" s="160" t="s">
        <v>4129</v>
      </c>
      <c r="F106" s="160" t="s">
        <v>4129</v>
      </c>
      <c r="G106" s="160" t="s">
        <v>4129</v>
      </c>
      <c r="H106" s="160" t="s">
        <v>4129</v>
      </c>
      <c r="I106" s="135">
        <f t="shared" si="4"/>
        <v>0</v>
      </c>
      <c r="J106" s="135">
        <f t="shared" si="5"/>
        <v>0</v>
      </c>
      <c r="K106" s="135">
        <v>0</v>
      </c>
      <c r="L106" s="135">
        <f t="shared" si="6"/>
        <v>0</v>
      </c>
      <c r="M106" s="135" t="str">
        <f t="shared" si="7"/>
        <v>유지</v>
      </c>
      <c r="N106" s="163" t="s">
        <v>4529</v>
      </c>
      <c r="O106" s="164" t="s">
        <v>4135</v>
      </c>
    </row>
    <row r="107" spans="1:15" ht="28.5">
      <c r="A107" s="133">
        <f>ROW() - ROW([2]!ValueChainRatingTable[[#Headers],[No.]])</f>
        <v>102</v>
      </c>
      <c r="B107" s="134" t="s">
        <v>4033</v>
      </c>
      <c r="C107" s="134" t="s">
        <v>593</v>
      </c>
      <c r="D107" s="160" t="s">
        <v>4129</v>
      </c>
      <c r="E107" s="160" t="s">
        <v>4129</v>
      </c>
      <c r="F107" s="160" t="s">
        <v>4129</v>
      </c>
      <c r="G107" s="160" t="s">
        <v>4129</v>
      </c>
      <c r="H107" s="160" t="s">
        <v>4129</v>
      </c>
      <c r="I107" s="135">
        <f t="shared" si="4"/>
        <v>0</v>
      </c>
      <c r="J107" s="135">
        <f t="shared" si="5"/>
        <v>0</v>
      </c>
      <c r="K107" s="135">
        <v>0</v>
      </c>
      <c r="L107" s="135">
        <f t="shared" si="6"/>
        <v>0</v>
      </c>
      <c r="M107" s="135" t="str">
        <f t="shared" si="7"/>
        <v>유지</v>
      </c>
      <c r="N107" s="161" t="s">
        <v>4530</v>
      </c>
      <c r="O107" s="162" t="s">
        <v>4135</v>
      </c>
    </row>
    <row r="108" spans="1:15" ht="28.5">
      <c r="A108" s="133">
        <f>ROW() - ROW([2]!ValueChainRatingTable[[#Headers],[No.]])</f>
        <v>103</v>
      </c>
      <c r="B108" s="134" t="s">
        <v>4037</v>
      </c>
      <c r="C108" s="134" t="s">
        <v>1002</v>
      </c>
      <c r="D108" s="159" t="s">
        <v>4128</v>
      </c>
      <c r="E108" s="160" t="s">
        <v>4129</v>
      </c>
      <c r="F108" s="159" t="s">
        <v>4128</v>
      </c>
      <c r="G108" s="160" t="s">
        <v>4129</v>
      </c>
      <c r="H108" s="160" t="s">
        <v>4129</v>
      </c>
      <c r="I108" s="135">
        <f t="shared" si="4"/>
        <v>2</v>
      </c>
      <c r="J108" s="135">
        <f t="shared" si="5"/>
        <v>35</v>
      </c>
      <c r="K108" s="135">
        <v>35</v>
      </c>
      <c r="L108" s="135">
        <f t="shared" si="6"/>
        <v>0</v>
      </c>
      <c r="M108" s="135" t="str">
        <f t="shared" si="7"/>
        <v>유지</v>
      </c>
      <c r="N108" s="163" t="s">
        <v>4531</v>
      </c>
      <c r="O108" s="164" t="s">
        <v>4521</v>
      </c>
    </row>
    <row r="109" spans="1:15" ht="28.5">
      <c r="A109" s="133">
        <f>ROW() - ROW([2]!ValueChainRatingTable[[#Headers],[No.]])</f>
        <v>104</v>
      </c>
      <c r="B109" s="134" t="s">
        <v>4037</v>
      </c>
      <c r="C109" s="134" t="s">
        <v>1083</v>
      </c>
      <c r="D109" s="159" t="s">
        <v>4128</v>
      </c>
      <c r="E109" s="160" t="s">
        <v>4129</v>
      </c>
      <c r="F109" s="159" t="s">
        <v>4128</v>
      </c>
      <c r="G109" s="159" t="s">
        <v>4128</v>
      </c>
      <c r="H109" s="160" t="s">
        <v>4129</v>
      </c>
      <c r="I109" s="135">
        <f t="shared" si="4"/>
        <v>3</v>
      </c>
      <c r="J109" s="135">
        <f t="shared" si="5"/>
        <v>50</v>
      </c>
      <c r="K109" s="135">
        <v>50</v>
      </c>
      <c r="L109" s="135">
        <f t="shared" si="6"/>
        <v>0</v>
      </c>
      <c r="M109" s="135" t="str">
        <f t="shared" si="7"/>
        <v>유지</v>
      </c>
      <c r="N109" s="161" t="s">
        <v>4532</v>
      </c>
      <c r="O109" s="162" t="s">
        <v>4521</v>
      </c>
    </row>
  </sheetData>
  <mergeCells count="2">
    <mergeCell ref="A1:O1"/>
    <mergeCell ref="A2:O2"/>
  </mergeCells>
  <phoneticPr fontId="5" type="noConversion"/>
  <conditionalFormatting sqref="D6:D109">
    <cfRule type="expression" dxfId="25" priority="1">
      <formula>D6="O"</formula>
    </cfRule>
    <cfRule type="expression" dxfId="24" priority="2">
      <formula>D6="X"</formula>
    </cfRule>
  </conditionalFormatting>
  <conditionalFormatting sqref="E6:E109">
    <cfRule type="expression" dxfId="23" priority="3">
      <formula>E6="O"</formula>
    </cfRule>
    <cfRule type="expression" dxfId="22" priority="4">
      <formula>E6="X"</formula>
    </cfRule>
  </conditionalFormatting>
  <conditionalFormatting sqref="F6:F109">
    <cfRule type="expression" dxfId="21" priority="5">
      <formula>F6="O"</formula>
    </cfRule>
    <cfRule type="expression" dxfId="20" priority="6">
      <formula>F6="X"</formula>
    </cfRule>
  </conditionalFormatting>
  <conditionalFormatting sqref="G6:G109">
    <cfRule type="expression" dxfId="19" priority="7">
      <formula>G6="O"</formula>
    </cfRule>
    <cfRule type="expression" dxfId="18" priority="8">
      <formula>G6="X"</formula>
    </cfRule>
  </conditionalFormatting>
  <conditionalFormatting sqref="H6:H109">
    <cfRule type="expression" dxfId="17" priority="9">
      <formula>H6="O"</formula>
    </cfRule>
    <cfRule type="expression" dxfId="16" priority="10">
      <formula>H6="X"</formula>
    </cfRule>
  </conditionalFormatting>
  <conditionalFormatting sqref="J6:K100">
    <cfRule type="colorScale" priority="27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J101:K109">
    <cfRule type="colorScale" priority="1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conditionalFormatting sqref="L6:L109">
    <cfRule type="cellIs" dxfId="15" priority="12" operator="greaterThan">
      <formula>0</formula>
    </cfRule>
    <cfRule type="cellIs" dxfId="14" priority="13" operator="lessThan">
      <formula>0</formula>
    </cfRule>
  </conditionalFormatting>
  <conditionalFormatting sqref="M6:M109">
    <cfRule type="expression" dxfId="13" priority="14">
      <formula>M6="상향"</formula>
    </cfRule>
    <cfRule type="expression" dxfId="12" priority="15">
      <formula>M6="하향"</formula>
    </cfRule>
    <cfRule type="expression" dxfId="11" priority="16">
      <formula>M6="유지"</formula>
    </cfRule>
  </conditionalFormatting>
  <dataValidations count="1">
    <dataValidation type="list" sqref="D6:H109" xr:uid="{2672FC78-91EC-4D30-92C5-CEA14C6A53D5}">
      <formula1>"O,X"</formula1>
    </dataValidation>
  </dataValidations>
  <pageMargins left="0.7" right="0.7" top="0.75" bottom="0.75" header="0.3" footer="0.3"/>
  <headerFooter>
    <oddFooter>&amp;L_x000D_&amp;1#&amp;"Aptos"&amp;11&amp;K000000 S-OIL: Company Use Only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8B125-FEE9-4DA2-8FDA-AA56F17AEA10}">
  <sheetPr codeName="Sheet3"/>
  <dimension ref="A1:B9"/>
  <sheetViews>
    <sheetView zoomScale="85" zoomScaleNormal="85" workbookViewId="0"/>
  </sheetViews>
  <sheetFormatPr defaultRowHeight="16.5"/>
  <cols>
    <col min="1" max="1" width="20.625" customWidth="1"/>
  </cols>
  <sheetData>
    <row r="1" spans="1:2">
      <c r="A1" s="27" t="s">
        <v>2044</v>
      </c>
      <c r="B1" s="26" t="s">
        <v>2047</v>
      </c>
    </row>
    <row r="2" spans="1:2">
      <c r="A2" s="28" t="s">
        <v>1298</v>
      </c>
      <c r="B2" s="28">
        <v>0.6</v>
      </c>
    </row>
    <row r="3" spans="1:2">
      <c r="A3" s="28" t="s">
        <v>1287</v>
      </c>
      <c r="B3" s="28">
        <v>0.3</v>
      </c>
    </row>
    <row r="4" spans="1:2">
      <c r="A4" s="28" t="s">
        <v>1302</v>
      </c>
      <c r="B4" s="28">
        <v>0.1</v>
      </c>
    </row>
    <row r="5" spans="1:2">
      <c r="A5" s="28" t="s">
        <v>3698</v>
      </c>
      <c r="B5" s="28">
        <v>0.25</v>
      </c>
    </row>
    <row r="6" spans="1:2">
      <c r="A6" s="79" t="s">
        <v>3699</v>
      </c>
      <c r="B6" s="28">
        <v>0.5</v>
      </c>
    </row>
    <row r="7" spans="1:2">
      <c r="A7" s="79" t="s">
        <v>3700</v>
      </c>
      <c r="B7" s="28">
        <v>0.25</v>
      </c>
    </row>
    <row r="8" spans="1:2">
      <c r="A8" s="28" t="s">
        <v>3701</v>
      </c>
      <c r="B8" s="28">
        <v>0.7</v>
      </c>
    </row>
    <row r="9" spans="1:2">
      <c r="A9" s="28" t="s">
        <v>3702</v>
      </c>
      <c r="B9" s="28">
        <v>0.3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7E5F-032A-461F-AD53-A8BF5EFCEA0D}">
  <sheetPr codeName="Sheet6">
    <tabColor rgb="FF92D050"/>
  </sheetPr>
  <dimension ref="A1:G12"/>
  <sheetViews>
    <sheetView topLeftCell="D1" zoomScaleNormal="100" workbookViewId="0">
      <selection activeCell="J14" sqref="J14"/>
    </sheetView>
  </sheetViews>
  <sheetFormatPr defaultRowHeight="16.5"/>
  <cols>
    <col min="1" max="1" width="13.25" bestFit="1" customWidth="1"/>
    <col min="2" max="2" width="49.125" bestFit="1" customWidth="1"/>
    <col min="3" max="3" width="62.375" bestFit="1" customWidth="1"/>
    <col min="4" max="4" width="25" bestFit="1" customWidth="1"/>
    <col min="5" max="5" width="21.625" bestFit="1" customWidth="1"/>
    <col min="6" max="6" width="13.75" bestFit="1" customWidth="1"/>
  </cols>
  <sheetData>
    <row r="1" spans="1:7">
      <c r="A1" t="s">
        <v>1284</v>
      </c>
      <c r="B1" t="s">
        <v>2524</v>
      </c>
      <c r="C1" t="s">
        <v>1283</v>
      </c>
      <c r="D1" t="s">
        <v>3949</v>
      </c>
      <c r="E1" t="s">
        <v>3948</v>
      </c>
      <c r="F1" t="s">
        <v>3951</v>
      </c>
      <c r="G1" t="s">
        <v>3731</v>
      </c>
    </row>
    <row r="2" spans="1:7">
      <c r="A2" t="s">
        <v>1282</v>
      </c>
      <c r="B2" t="s">
        <v>1281</v>
      </c>
      <c r="C2" t="s">
        <v>1280</v>
      </c>
      <c r="D2" s="82">
        <f>end_use_specialty!E76</f>
        <v>34.825451381038754</v>
      </c>
      <c r="E2" s="82">
        <v>0</v>
      </c>
      <c r="F2" s="80">
        <v>0</v>
      </c>
      <c r="G2" s="80">
        <f>AVERAGE(표13[[#This Row],[specialty_linkage_score]:[ind_growth_score]])</f>
        <v>11.608483793679584</v>
      </c>
    </row>
    <row r="3" spans="1:7">
      <c r="A3" t="s">
        <v>1279</v>
      </c>
      <c r="B3" t="s">
        <v>1278</v>
      </c>
      <c r="C3" t="s">
        <v>1277</v>
      </c>
      <c r="D3" s="82">
        <f>end_use_specialty!E77</f>
        <v>56.59169254199827</v>
      </c>
      <c r="E3" s="82">
        <v>18.416666666666664</v>
      </c>
      <c r="F3" s="80">
        <v>100</v>
      </c>
      <c r="G3" s="80">
        <f>AVERAGE(표13[[#This Row],[specialty_linkage_score]:[ind_growth_score]])</f>
        <v>58.33611973622164</v>
      </c>
    </row>
    <row r="4" spans="1:7">
      <c r="A4" t="s">
        <v>1276</v>
      </c>
      <c r="B4" t="s">
        <v>1275</v>
      </c>
      <c r="C4" t="s">
        <v>1274</v>
      </c>
      <c r="D4" s="82">
        <f>end_use_specialty!E78</f>
        <v>30.818610014096194</v>
      </c>
      <c r="E4" s="82">
        <v>64.635416666666657</v>
      </c>
      <c r="F4" s="80">
        <v>100</v>
      </c>
      <c r="G4" s="80">
        <f>AVERAGE(표13[[#This Row],[specialty_linkage_score]:[ind_growth_score]])</f>
        <v>65.15134222692096</v>
      </c>
    </row>
    <row r="5" spans="1:7">
      <c r="A5" t="s">
        <v>1273</v>
      </c>
      <c r="B5" t="s">
        <v>1272</v>
      </c>
      <c r="C5" t="s">
        <v>1271</v>
      </c>
      <c r="D5" s="82">
        <f>end_use_specialty!E79</f>
        <v>18.181818181818183</v>
      </c>
      <c r="E5" s="82">
        <v>68.416666666666657</v>
      </c>
      <c r="F5" s="80">
        <v>0</v>
      </c>
      <c r="G5" s="80">
        <f>AVERAGE(표13[[#This Row],[specialty_linkage_score]:[ind_growth_score]])</f>
        <v>28.866161616161616</v>
      </c>
    </row>
    <row r="6" spans="1:7">
      <c r="A6" t="s">
        <v>1270</v>
      </c>
      <c r="B6" t="s">
        <v>1269</v>
      </c>
      <c r="C6" t="s">
        <v>1268</v>
      </c>
      <c r="D6" s="82">
        <f>end_use_specialty!E80</f>
        <v>40.539716473549845</v>
      </c>
      <c r="E6" s="82">
        <v>48.466666666666669</v>
      </c>
      <c r="F6" s="80">
        <v>100</v>
      </c>
      <c r="G6" s="80">
        <f>AVERAGE(표13[[#This Row],[specialty_linkage_score]:[ind_growth_score]])</f>
        <v>63.002127713405507</v>
      </c>
    </row>
    <row r="7" spans="1:7">
      <c r="A7" t="s">
        <v>1267</v>
      </c>
      <c r="B7" t="s">
        <v>1266</v>
      </c>
      <c r="C7" t="s">
        <v>1265</v>
      </c>
      <c r="D7" s="82">
        <f>end_use_specialty!E81</f>
        <v>29.021641909205453</v>
      </c>
      <c r="E7" s="82">
        <v>24.416666666666664</v>
      </c>
      <c r="F7" s="80">
        <v>0</v>
      </c>
      <c r="G7" s="80">
        <f>AVERAGE(표13[[#This Row],[specialty_linkage_score]:[ind_growth_score]])</f>
        <v>17.812769525290705</v>
      </c>
    </row>
    <row r="8" spans="1:7">
      <c r="A8" t="s">
        <v>1264</v>
      </c>
      <c r="B8" t="s">
        <v>1263</v>
      </c>
      <c r="C8" t="s">
        <v>1262</v>
      </c>
      <c r="D8" s="82">
        <f>end_use_specialty!E82</f>
        <v>71.920389948548831</v>
      </c>
      <c r="E8" s="82">
        <v>74.283333333333331</v>
      </c>
      <c r="F8" s="80">
        <v>0</v>
      </c>
      <c r="G8" s="80">
        <f>AVERAGE(표13[[#This Row],[specialty_linkage_score]:[ind_growth_score]])</f>
        <v>48.734574427294056</v>
      </c>
    </row>
    <row r="9" spans="1:7">
      <c r="A9" t="s">
        <v>1261</v>
      </c>
      <c r="B9" t="s">
        <v>1260</v>
      </c>
      <c r="C9" t="s">
        <v>1259</v>
      </c>
      <c r="D9" s="82">
        <f>end_use_specialty!E83</f>
        <v>68.181818181818187</v>
      </c>
      <c r="E9" s="82">
        <v>72.444444444444443</v>
      </c>
      <c r="F9" s="80">
        <v>100</v>
      </c>
      <c r="G9" s="80">
        <f>AVERAGE(표13[[#This Row],[specialty_linkage_score]:[ind_growth_score]])</f>
        <v>80.208754208754215</v>
      </c>
    </row>
    <row r="10" spans="1:7">
      <c r="A10" t="s">
        <v>3950</v>
      </c>
    </row>
    <row r="11" spans="1:7">
      <c r="B11" t="s">
        <v>3935</v>
      </c>
    </row>
    <row r="12" spans="1:7">
      <c r="B12" t="s">
        <v>3936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CFEED-B8C8-4156-8CFA-BD39DBB41A99}">
  <sheetPr codeName="Sheet2"/>
  <dimension ref="A1:L376"/>
  <sheetViews>
    <sheetView topLeftCell="A72" zoomScale="85" zoomScaleNormal="85" workbookViewId="0">
      <selection activeCell="B77" sqref="B77"/>
    </sheetView>
  </sheetViews>
  <sheetFormatPr defaultRowHeight="16.5"/>
  <cols>
    <col min="1" max="1" width="11.75" style="30" customWidth="1"/>
    <col min="2" max="2" width="45.875" style="30" customWidth="1"/>
    <col min="3" max="3" width="40.625" style="91" customWidth="1"/>
    <col min="4" max="12" width="15.625" style="30" customWidth="1"/>
    <col min="13" max="16384" width="9" style="30"/>
  </cols>
  <sheetData>
    <row r="1" spans="1:10">
      <c r="A1" s="31" t="s">
        <v>1284</v>
      </c>
      <c r="B1" s="32" t="s">
        <v>2524</v>
      </c>
      <c r="C1" s="86" t="s">
        <v>2525</v>
      </c>
      <c r="D1" s="37" t="s">
        <v>2526</v>
      </c>
      <c r="E1" s="35" t="s">
        <v>2412</v>
      </c>
      <c r="I1" s="81" t="s">
        <v>3703</v>
      </c>
      <c r="J1" t="s">
        <v>3800</v>
      </c>
    </row>
    <row r="2" spans="1:10">
      <c r="A2" s="33" t="s">
        <v>1282</v>
      </c>
      <c r="B2" s="34" t="s">
        <v>1281</v>
      </c>
      <c r="C2" s="87" t="s">
        <v>2413</v>
      </c>
      <c r="D2" s="78">
        <f>_xlfn.XLOOKUP(표16[[#This Row],[specialty_category]],end_use_specialty!$I$2:$I$31,end_use_specialty!$J$2:$J$31)</f>
        <v>1.4720545753807098E-2</v>
      </c>
      <c r="E2" s="36" t="s">
        <v>2414</v>
      </c>
      <c r="I2" s="29" t="s">
        <v>2443</v>
      </c>
      <c r="J2" s="94">
        <v>3.12255252955673E-2</v>
      </c>
    </row>
    <row r="3" spans="1:10">
      <c r="A3" s="33" t="s">
        <v>1282</v>
      </c>
      <c r="B3" s="34" t="s">
        <v>1281</v>
      </c>
      <c r="C3" s="87" t="s">
        <v>2415</v>
      </c>
      <c r="D3" s="78">
        <f>_xlfn.XLOOKUP(표16[[#This Row],[specialty_category]],end_use_specialty!$I$2:$I$31,end_use_specialty!$J$2:$J$31)</f>
        <v>1.2810807364545962E-2</v>
      </c>
      <c r="E3" s="36" t="s">
        <v>2416</v>
      </c>
      <c r="I3" s="29" t="s">
        <v>2470</v>
      </c>
      <c r="J3" s="94">
        <v>1.2810807364545962E-2</v>
      </c>
    </row>
    <row r="4" spans="1:10">
      <c r="A4" s="110" t="s">
        <v>1282</v>
      </c>
      <c r="B4" s="111" t="s">
        <v>1281</v>
      </c>
      <c r="C4" s="87" t="s">
        <v>2417</v>
      </c>
      <c r="D4" s="78">
        <f>_xlfn.XLOOKUP(표16[[#This Row],[specialty_category]],end_use_specialty!$I$2:$I$31,end_use_specialty!$J$2:$J$31)</f>
        <v>3.2355536948266893E-2</v>
      </c>
      <c r="E4" s="36" t="s">
        <v>2418</v>
      </c>
      <c r="I4" s="29" t="s">
        <v>2445</v>
      </c>
      <c r="J4" s="94">
        <v>3.6406497146066488E-2</v>
      </c>
    </row>
    <row r="5" spans="1:10">
      <c r="A5" s="110" t="s">
        <v>1282</v>
      </c>
      <c r="B5" s="111" t="s">
        <v>1281</v>
      </c>
      <c r="C5" s="87" t="s">
        <v>2419</v>
      </c>
      <c r="D5" s="78">
        <f>_xlfn.XLOOKUP(표16[[#This Row],[specialty_category]],end_use_specialty!$I$2:$I$31,end_use_specialty!$J$2:$J$31)</f>
        <v>2.6834874755905704E-2</v>
      </c>
      <c r="E5" s="36" t="s">
        <v>2420</v>
      </c>
      <c r="I5" s="29" t="s">
        <v>2458</v>
      </c>
      <c r="J5" s="94">
        <v>3.2355536948266893E-2</v>
      </c>
    </row>
    <row r="6" spans="1:10">
      <c r="A6" s="110" t="s">
        <v>1282</v>
      </c>
      <c r="B6" s="111" t="s">
        <v>1281</v>
      </c>
      <c r="C6" s="87" t="s">
        <v>2421</v>
      </c>
      <c r="D6" s="78">
        <f>_xlfn.XLOOKUP(표16[[#This Row],[specialty_category]],end_use_specialty!$I$2:$I$31,end_use_specialty!$J$2:$J$31)</f>
        <v>3.0939656964581484E-2</v>
      </c>
      <c r="E6" s="36" t="s">
        <v>2422</v>
      </c>
      <c r="I6" s="29" t="s">
        <v>2449</v>
      </c>
      <c r="J6" s="94">
        <v>3.1736001613686497E-2</v>
      </c>
    </row>
    <row r="7" spans="1:10">
      <c r="A7" s="110" t="s">
        <v>1282</v>
      </c>
      <c r="B7" s="111" t="s">
        <v>1281</v>
      </c>
      <c r="C7" s="87" t="s">
        <v>2423</v>
      </c>
      <c r="D7" s="78">
        <f>_xlfn.XLOOKUP(표16[[#This Row],[specialty_category]],end_use_specialty!$I$2:$I$31,end_use_specialty!$J$2:$J$31)</f>
        <v>2.7418968358499603E-2</v>
      </c>
      <c r="E7" s="36" t="s">
        <v>2424</v>
      </c>
      <c r="I7" s="29" t="s">
        <v>3521</v>
      </c>
      <c r="J7" s="94">
        <v>1.4720545753807098E-2</v>
      </c>
    </row>
    <row r="8" spans="1:10">
      <c r="A8" s="110" t="s">
        <v>1282</v>
      </c>
      <c r="B8" s="111" t="s">
        <v>1281</v>
      </c>
      <c r="C8" s="87" t="s">
        <v>2425</v>
      </c>
      <c r="D8" s="78">
        <f>_xlfn.XLOOKUP(표16[[#This Row],[specialty_category]],end_use_specialty!$I$2:$I$31,end_use_specialty!$J$2:$J$31)</f>
        <v>3.4040615918995647E-2</v>
      </c>
      <c r="E8" s="36" t="s">
        <v>2426</v>
      </c>
      <c r="I8" s="29" t="s">
        <v>2431</v>
      </c>
      <c r="J8" s="94">
        <v>3.223448711305988E-2</v>
      </c>
    </row>
    <row r="9" spans="1:10">
      <c r="A9" s="110" t="s">
        <v>1279</v>
      </c>
      <c r="B9" s="111" t="s">
        <v>1278</v>
      </c>
      <c r="C9" s="87" t="s">
        <v>2427</v>
      </c>
      <c r="D9" s="78">
        <f>_xlfn.XLOOKUP(표16[[#This Row],[specialty_category]],end_use_specialty!$I$2:$I$31,end_use_specialty!$J$2:$J$31)</f>
        <v>2.9377150528576701E-2</v>
      </c>
      <c r="E9" s="36" t="s">
        <v>2428</v>
      </c>
      <c r="I9" s="29" t="s">
        <v>2507</v>
      </c>
      <c r="J9" s="94">
        <v>2.9390726045459181E-2</v>
      </c>
    </row>
    <row r="10" spans="1:10">
      <c r="A10" s="110" t="s">
        <v>1279</v>
      </c>
      <c r="B10" s="111" t="s">
        <v>1278</v>
      </c>
      <c r="C10" s="87" t="s">
        <v>2429</v>
      </c>
      <c r="D10" s="78">
        <f>_xlfn.XLOOKUP(표16[[#This Row],[specialty_category]],end_use_specialty!$I$2:$I$31,end_use_specialty!$J$2:$J$31)</f>
        <v>2.7418968358499603E-2</v>
      </c>
      <c r="E10" s="36" t="s">
        <v>2430</v>
      </c>
      <c r="I10" s="29" t="s">
        <v>2455</v>
      </c>
      <c r="J10" s="94">
        <v>-4.0973241488456498E-2</v>
      </c>
    </row>
    <row r="11" spans="1:10">
      <c r="A11" s="110" t="s">
        <v>1279</v>
      </c>
      <c r="B11" s="111" t="s">
        <v>1278</v>
      </c>
      <c r="C11" s="87" t="s">
        <v>2431</v>
      </c>
      <c r="D11" s="78">
        <f>_xlfn.XLOOKUP(표16[[#This Row],[specialty_category]],end_use_specialty!$I$2:$I$31,end_use_specialty!$J$2:$J$31)</f>
        <v>3.223448711305988E-2</v>
      </c>
      <c r="E11" s="36" t="s">
        <v>2432</v>
      </c>
      <c r="I11" s="29" t="s">
        <v>2483</v>
      </c>
      <c r="J11" s="94">
        <v>2.43946421399239E-2</v>
      </c>
    </row>
    <row r="12" spans="1:10">
      <c r="A12" s="110" t="s">
        <v>1279</v>
      </c>
      <c r="B12" s="111" t="s">
        <v>1278</v>
      </c>
      <c r="C12" s="87" t="s">
        <v>1757</v>
      </c>
      <c r="D12" s="78">
        <f>_xlfn.XLOOKUP(표16[[#This Row],[specialty_category]],end_use_specialty!$I$2:$I$31,end_use_specialty!$J$2:$J$31)</f>
        <v>2.5897744918987699E-2</v>
      </c>
      <c r="E12" s="36" t="s">
        <v>2433</v>
      </c>
      <c r="I12" s="29" t="s">
        <v>2434</v>
      </c>
      <c r="J12" s="94">
        <v>2.55659128814585E-2</v>
      </c>
    </row>
    <row r="13" spans="1:10">
      <c r="A13" s="110" t="s">
        <v>1279</v>
      </c>
      <c r="B13" s="111" t="s">
        <v>1278</v>
      </c>
      <c r="C13" s="87" t="s">
        <v>2434</v>
      </c>
      <c r="D13" s="78">
        <f>_xlfn.XLOOKUP(표16[[#This Row],[specialty_category]],end_use_specialty!$I$2:$I$31,end_use_specialty!$J$2:$J$31)</f>
        <v>2.55659128814585E-2</v>
      </c>
      <c r="E13" s="36" t="s">
        <v>2435</v>
      </c>
      <c r="I13" s="29" t="s">
        <v>1374</v>
      </c>
      <c r="J13" s="94">
        <v>2.4455755404203302E-2</v>
      </c>
    </row>
    <row r="14" spans="1:10">
      <c r="A14" s="110" t="s">
        <v>1279</v>
      </c>
      <c r="B14" s="111" t="s">
        <v>1278</v>
      </c>
      <c r="C14" s="87" t="s">
        <v>1374</v>
      </c>
      <c r="D14" s="78">
        <f>_xlfn.XLOOKUP(표16[[#This Row],[specialty_category]],end_use_specialty!$I$2:$I$31,end_use_specialty!$J$2:$J$31)</f>
        <v>2.4455755404203302E-2</v>
      </c>
      <c r="E14" s="36" t="s">
        <v>2436</v>
      </c>
      <c r="I14" s="29" t="s">
        <v>2461</v>
      </c>
      <c r="J14" s="94">
        <v>4.8304525746325246E-2</v>
      </c>
    </row>
    <row r="15" spans="1:10">
      <c r="A15" s="110" t="s">
        <v>1279</v>
      </c>
      <c r="B15" s="111" t="s">
        <v>1278</v>
      </c>
      <c r="C15" s="87" t="s">
        <v>2437</v>
      </c>
      <c r="D15" s="78">
        <f>_xlfn.XLOOKUP(표16[[#This Row],[specialty_category]],end_use_specialty!$I$2:$I$31,end_use_specialty!$J$2:$J$31)</f>
        <v>2.6834874755905704E-2</v>
      </c>
      <c r="E15" s="36" t="s">
        <v>2438</v>
      </c>
      <c r="I15" s="29" t="s">
        <v>2447</v>
      </c>
      <c r="J15" s="94">
        <v>3.4040615918995647E-2</v>
      </c>
    </row>
    <row r="16" spans="1:10">
      <c r="A16" s="110" t="s">
        <v>1279</v>
      </c>
      <c r="B16" s="111" t="s">
        <v>1278</v>
      </c>
      <c r="C16" s="87" t="s">
        <v>2439</v>
      </c>
      <c r="D16" s="78">
        <f>_xlfn.XLOOKUP(표16[[#This Row],[specialty_category]],end_use_specialty!$I$2:$I$31,end_use_specialty!$J$2:$J$31)</f>
        <v>1.6821351660500698E-2</v>
      </c>
      <c r="E16" s="36" t="s">
        <v>2440</v>
      </c>
      <c r="I16" s="29" t="s">
        <v>2452</v>
      </c>
      <c r="J16" s="94">
        <v>2.30256712917403E-2</v>
      </c>
    </row>
    <row r="17" spans="1:10">
      <c r="A17" s="110" t="s">
        <v>1279</v>
      </c>
      <c r="B17" s="111" t="s">
        <v>1278</v>
      </c>
      <c r="C17" s="87" t="s">
        <v>2441</v>
      </c>
      <c r="D17" s="78">
        <f>_xlfn.XLOOKUP(표16[[#This Row],[specialty_category]],end_use_specialty!$I$2:$I$31,end_use_specialty!$J$2:$J$31)</f>
        <v>2.5971133987173222E-2</v>
      </c>
      <c r="E17" s="36" t="s">
        <v>2442</v>
      </c>
      <c r="I17" s="29" t="s">
        <v>1589</v>
      </c>
      <c r="J17" s="94">
        <v>7.0381303335329487E-3</v>
      </c>
    </row>
    <row r="18" spans="1:10">
      <c r="A18" s="110" t="s">
        <v>1279</v>
      </c>
      <c r="B18" s="111" t="s">
        <v>1278</v>
      </c>
      <c r="C18" s="87" t="s">
        <v>2443</v>
      </c>
      <c r="D18" s="78">
        <f>_xlfn.XLOOKUP(표16[[#This Row],[specialty_category]],end_use_specialty!$I$2:$I$31,end_use_specialty!$J$2:$J$31)</f>
        <v>3.12255252955673E-2</v>
      </c>
      <c r="E18" s="36" t="s">
        <v>2444</v>
      </c>
      <c r="I18" s="29" t="s">
        <v>2474</v>
      </c>
      <c r="J18" s="94">
        <v>1.5273438483911087E-2</v>
      </c>
    </row>
    <row r="19" spans="1:10">
      <c r="A19" s="110" t="s">
        <v>1279</v>
      </c>
      <c r="B19" s="111" t="s">
        <v>1278</v>
      </c>
      <c r="C19" s="87" t="s">
        <v>2445</v>
      </c>
      <c r="D19" s="78">
        <f>_xlfn.XLOOKUP(표16[[#This Row],[specialty_category]],end_use_specialty!$I$2:$I$31,end_use_specialty!$J$2:$J$31)</f>
        <v>3.6406497146066488E-2</v>
      </c>
      <c r="E19" s="36" t="s">
        <v>2446</v>
      </c>
      <c r="I19" s="29" t="s">
        <v>2476</v>
      </c>
      <c r="J19" s="94">
        <v>4.0228776644225091E-2</v>
      </c>
    </row>
    <row r="20" spans="1:10">
      <c r="A20" s="110" t="s">
        <v>2517</v>
      </c>
      <c r="B20" s="111" t="s">
        <v>1275</v>
      </c>
      <c r="C20" s="87" t="s">
        <v>2447</v>
      </c>
      <c r="D20" s="78">
        <f>_xlfn.XLOOKUP(표16[[#This Row],[specialty_category]],end_use_specialty!$I$2:$I$31,end_use_specialty!$J$2:$J$31)</f>
        <v>3.4040615918995647E-2</v>
      </c>
      <c r="E20" s="36" t="s">
        <v>2448</v>
      </c>
      <c r="I20" s="29" t="s">
        <v>2463</v>
      </c>
      <c r="J20" s="94">
        <v>1.197013105699463E-2</v>
      </c>
    </row>
    <row r="21" spans="1:10">
      <c r="A21" s="110" t="s">
        <v>2517</v>
      </c>
      <c r="B21" s="111" t="s">
        <v>1275</v>
      </c>
      <c r="C21" s="87" t="s">
        <v>2449</v>
      </c>
      <c r="D21" s="78">
        <f>_xlfn.XLOOKUP(표16[[#This Row],[specialty_category]],end_use_specialty!$I$2:$I$31,end_use_specialty!$J$2:$J$31)</f>
        <v>3.1736001613686497E-2</v>
      </c>
      <c r="E21" s="36" t="s">
        <v>2450</v>
      </c>
      <c r="I21" s="29" t="s">
        <v>2439</v>
      </c>
      <c r="J21" s="94">
        <v>1.6821351660500698E-2</v>
      </c>
    </row>
    <row r="22" spans="1:10">
      <c r="A22" s="110" t="s">
        <v>2517</v>
      </c>
      <c r="B22" s="111" t="s">
        <v>1275</v>
      </c>
      <c r="C22" s="87" t="s">
        <v>1613</v>
      </c>
      <c r="D22" s="78">
        <f>_xlfn.XLOOKUP(표16[[#This Row],[specialty_category]],end_use_specialty!$I$2:$I$31,end_use_specialty!$J$2:$J$31)</f>
        <v>2.6834874755905697E-2</v>
      </c>
      <c r="E22" s="36" t="s">
        <v>2451</v>
      </c>
      <c r="I22" s="29" t="s">
        <v>2465</v>
      </c>
      <c r="J22" s="94">
        <v>1.1686241213918851E-4</v>
      </c>
    </row>
    <row r="23" spans="1:10">
      <c r="A23" s="110" t="s">
        <v>2517</v>
      </c>
      <c r="B23" s="111" t="s">
        <v>1275</v>
      </c>
      <c r="C23" s="87" t="s">
        <v>2452</v>
      </c>
      <c r="D23" s="78">
        <f>_xlfn.XLOOKUP(표16[[#This Row],[specialty_category]],end_use_specialty!$I$2:$I$31,end_use_specialty!$J$2:$J$31)</f>
        <v>2.30256712917403E-2</v>
      </c>
      <c r="E23" s="36" t="s">
        <v>2453</v>
      </c>
      <c r="I23" s="29" t="s">
        <v>2429</v>
      </c>
      <c r="J23" s="94">
        <v>2.7418968358499603E-2</v>
      </c>
    </row>
    <row r="24" spans="1:10">
      <c r="A24" s="110" t="s">
        <v>2517</v>
      </c>
      <c r="B24" s="111" t="s">
        <v>1275</v>
      </c>
      <c r="C24" s="87" t="s">
        <v>1589</v>
      </c>
      <c r="D24" s="78">
        <f>_xlfn.XLOOKUP(표16[[#This Row],[specialty_category]],end_use_specialty!$I$2:$I$31,end_use_specialty!$J$2:$J$31)</f>
        <v>7.0381303335329487E-3</v>
      </c>
      <c r="E24" s="36" t="s">
        <v>2454</v>
      </c>
      <c r="I24" s="29" t="s">
        <v>2509</v>
      </c>
      <c r="J24" s="94">
        <v>5.9094946514640902E-2</v>
      </c>
    </row>
    <row r="25" spans="1:10">
      <c r="A25" s="110" t="s">
        <v>2517</v>
      </c>
      <c r="B25" s="111" t="s">
        <v>1275</v>
      </c>
      <c r="C25" s="87" t="s">
        <v>2455</v>
      </c>
      <c r="D25" s="78">
        <f>_xlfn.XLOOKUP(표16[[#This Row],[specialty_category]],end_use_specialty!$I$2:$I$31,end_use_specialty!$J$2:$J$31)</f>
        <v>-4.0973241488456498E-2</v>
      </c>
      <c r="E25" s="36" t="s">
        <v>2456</v>
      </c>
      <c r="I25" s="29" t="s">
        <v>1757</v>
      </c>
      <c r="J25" s="94">
        <v>2.5897744918987699E-2</v>
      </c>
    </row>
    <row r="26" spans="1:10">
      <c r="A26" s="110" t="s">
        <v>2517</v>
      </c>
      <c r="B26" s="111" t="s">
        <v>1275</v>
      </c>
      <c r="C26" s="87" t="s">
        <v>2437</v>
      </c>
      <c r="D26" s="78">
        <f>_xlfn.XLOOKUP(표16[[#This Row],[specialty_category]],end_use_specialty!$I$2:$I$31,end_use_specialty!$J$2:$J$31)</f>
        <v>2.6834874755905704E-2</v>
      </c>
      <c r="E26" s="36" t="s">
        <v>2457</v>
      </c>
      <c r="I26" s="29" t="s">
        <v>1613</v>
      </c>
      <c r="J26" s="94">
        <v>2.6834874755905697E-2</v>
      </c>
    </row>
    <row r="27" spans="1:10">
      <c r="A27" s="110" t="s">
        <v>2517</v>
      </c>
      <c r="B27" s="111" t="s">
        <v>1275</v>
      </c>
      <c r="C27" s="87" t="s">
        <v>2458</v>
      </c>
      <c r="D27" s="78">
        <f>_xlfn.XLOOKUP(표16[[#This Row],[specialty_category]],end_use_specialty!$I$2:$I$31,end_use_specialty!$J$2:$J$31)</f>
        <v>3.2355536948266893E-2</v>
      </c>
      <c r="E27" s="36" t="s">
        <v>2459</v>
      </c>
      <c r="I27" s="29" t="s">
        <v>2505</v>
      </c>
      <c r="J27" s="94">
        <v>7.0838453822463038E-2</v>
      </c>
    </row>
    <row r="28" spans="1:10">
      <c r="A28" s="110" t="s">
        <v>2517</v>
      </c>
      <c r="B28" s="111" t="s">
        <v>1275</v>
      </c>
      <c r="C28" s="87" t="s">
        <v>2429</v>
      </c>
      <c r="D28" s="78">
        <f>_xlfn.XLOOKUP(표16[[#This Row],[specialty_category]],end_use_specialty!$I$2:$I$31,end_use_specialty!$J$2:$J$31)</f>
        <v>2.7418968358499603E-2</v>
      </c>
      <c r="E28" s="36" t="s">
        <v>2460</v>
      </c>
      <c r="I28" s="29" t="s">
        <v>2437</v>
      </c>
      <c r="J28" s="94">
        <v>2.6834874755905704E-2</v>
      </c>
    </row>
    <row r="29" spans="1:10">
      <c r="A29" s="110" t="s">
        <v>2518</v>
      </c>
      <c r="B29" s="111" t="s">
        <v>1272</v>
      </c>
      <c r="C29" s="87" t="s">
        <v>2461</v>
      </c>
      <c r="D29" s="78">
        <f>_xlfn.XLOOKUP(표16[[#This Row],[specialty_category]],end_use_specialty!$I$2:$I$31,end_use_specialty!$J$2:$J$31)</f>
        <v>4.8304525746325246E-2</v>
      </c>
      <c r="E29" s="36" t="s">
        <v>2462</v>
      </c>
      <c r="I29" s="29" t="s">
        <v>2427</v>
      </c>
      <c r="J29" s="94">
        <v>2.9377150528576701E-2</v>
      </c>
    </row>
    <row r="30" spans="1:10">
      <c r="A30" s="110" t="s">
        <v>2518</v>
      </c>
      <c r="B30" s="111" t="s">
        <v>1272</v>
      </c>
      <c r="C30" s="87" t="s">
        <v>2463</v>
      </c>
      <c r="D30" s="78">
        <f>_xlfn.XLOOKUP(표16[[#This Row],[specialty_category]],end_use_specialty!$I$2:$I$31,end_use_specialty!$J$2:$J$31)</f>
        <v>1.197013105699463E-2</v>
      </c>
      <c r="E30" s="36" t="s">
        <v>2464</v>
      </c>
      <c r="I30" s="29" t="s">
        <v>2441</v>
      </c>
      <c r="J30" s="94">
        <v>2.5971133987173222E-2</v>
      </c>
    </row>
    <row r="31" spans="1:10">
      <c r="A31" s="110" t="s">
        <v>2518</v>
      </c>
      <c r="B31" s="111" t="s">
        <v>1272</v>
      </c>
      <c r="C31" s="87" t="s">
        <v>2465</v>
      </c>
      <c r="D31" s="78">
        <f>_xlfn.XLOOKUP(표16[[#This Row],[specialty_category]],end_use_specialty!$I$2:$I$31,end_use_specialty!$J$2:$J$31)</f>
        <v>1.1686241213918851E-4</v>
      </c>
      <c r="E31" s="36" t="s">
        <v>2466</v>
      </c>
      <c r="I31" s="29" t="s">
        <v>2468</v>
      </c>
      <c r="J31" s="94">
        <v>3.0939656964581484E-2</v>
      </c>
    </row>
    <row r="32" spans="1:10">
      <c r="A32" s="110" t="s">
        <v>2518</v>
      </c>
      <c r="B32" s="111" t="s">
        <v>1272</v>
      </c>
      <c r="C32" s="87" t="s">
        <v>2455</v>
      </c>
      <c r="D32" s="78">
        <f>_xlfn.XLOOKUP(표16[[#This Row],[specialty_category]],end_use_specialty!$I$2:$I$31,end_use_specialty!$J$2:$J$31)</f>
        <v>-4.0973241488456498E-2</v>
      </c>
      <c r="E32" s="36" t="s">
        <v>2467</v>
      </c>
      <c r="I32" s="29" t="s">
        <v>3708</v>
      </c>
      <c r="J32" s="94">
        <v>2.9831754122544046E-2</v>
      </c>
    </row>
    <row r="33" spans="1:5">
      <c r="A33" s="110" t="s">
        <v>2518</v>
      </c>
      <c r="B33" s="111" t="s">
        <v>1272</v>
      </c>
      <c r="C33" s="87" t="s">
        <v>2468</v>
      </c>
      <c r="D33" s="78">
        <f>_xlfn.XLOOKUP(표16[[#This Row],[specialty_category]],end_use_specialty!$I$2:$I$31,end_use_specialty!$J$2:$J$31)</f>
        <v>3.0939656964581484E-2</v>
      </c>
      <c r="E33" s="36" t="s">
        <v>2469</v>
      </c>
    </row>
    <row r="34" spans="1:5">
      <c r="A34" s="110" t="s">
        <v>2518</v>
      </c>
      <c r="B34" s="111" t="s">
        <v>1272</v>
      </c>
      <c r="C34" s="87" t="s">
        <v>2470</v>
      </c>
      <c r="D34" s="78">
        <f>_xlfn.XLOOKUP(표16[[#This Row],[specialty_category]],end_use_specialty!$I$2:$I$31,end_use_specialty!$J$2:$J$31)</f>
        <v>1.2810807364545962E-2</v>
      </c>
      <c r="E34" s="36" t="s">
        <v>2471</v>
      </c>
    </row>
    <row r="35" spans="1:5">
      <c r="A35" s="33" t="s">
        <v>2518</v>
      </c>
      <c r="B35" s="34" t="s">
        <v>1272</v>
      </c>
      <c r="C35" s="87" t="s">
        <v>2452</v>
      </c>
      <c r="D35" s="78">
        <f>_xlfn.XLOOKUP(표16[[#This Row],[specialty_category]],end_use_specialty!$I$2:$I$31,end_use_specialty!$J$2:$J$31)</f>
        <v>2.30256712917403E-2</v>
      </c>
      <c r="E35" s="36" t="s">
        <v>2472</v>
      </c>
    </row>
    <row r="36" spans="1:5">
      <c r="A36" s="33" t="s">
        <v>2518</v>
      </c>
      <c r="B36" s="34" t="s">
        <v>1272</v>
      </c>
      <c r="C36" s="87" t="s">
        <v>1589</v>
      </c>
      <c r="D36" s="78">
        <f>_xlfn.XLOOKUP(표16[[#This Row],[specialty_category]],end_use_specialty!$I$2:$I$31,end_use_specialty!$J$2:$J$31)</f>
        <v>7.0381303335329487E-3</v>
      </c>
      <c r="E36" s="36" t="s">
        <v>2473</v>
      </c>
    </row>
    <row r="37" spans="1:5">
      <c r="A37" s="33" t="s">
        <v>2518</v>
      </c>
      <c r="B37" s="34" t="s">
        <v>1272</v>
      </c>
      <c r="C37" s="87" t="s">
        <v>2474</v>
      </c>
      <c r="D37" s="78">
        <f>_xlfn.XLOOKUP(표16[[#This Row],[specialty_category]],end_use_specialty!$I$2:$I$31,end_use_specialty!$J$2:$J$31)</f>
        <v>1.5273438483911087E-2</v>
      </c>
      <c r="E37" s="36" t="s">
        <v>2475</v>
      </c>
    </row>
    <row r="38" spans="1:5">
      <c r="A38" s="33" t="s">
        <v>2519</v>
      </c>
      <c r="B38" s="34" t="s">
        <v>1269</v>
      </c>
      <c r="C38" s="87" t="s">
        <v>2476</v>
      </c>
      <c r="D38" s="78">
        <f>_xlfn.XLOOKUP(표16[[#This Row],[specialty_category]],end_use_specialty!$I$2:$I$31,end_use_specialty!$J$2:$J$31)</f>
        <v>4.0228776644225091E-2</v>
      </c>
      <c r="E38" s="36" t="s">
        <v>2477</v>
      </c>
    </row>
    <row r="39" spans="1:5">
      <c r="A39" s="33" t="s">
        <v>2519</v>
      </c>
      <c r="B39" s="34" t="s">
        <v>1269</v>
      </c>
      <c r="C39" s="87" t="s">
        <v>1374</v>
      </c>
      <c r="D39" s="78">
        <f>_xlfn.XLOOKUP(표16[[#This Row],[specialty_category]],end_use_specialty!$I$2:$I$31,end_use_specialty!$J$2:$J$31)</f>
        <v>2.4455755404203302E-2</v>
      </c>
      <c r="E39" s="36" t="s">
        <v>2478</v>
      </c>
    </row>
    <row r="40" spans="1:5">
      <c r="A40" s="33" t="s">
        <v>2519</v>
      </c>
      <c r="B40" s="34" t="s">
        <v>1269</v>
      </c>
      <c r="C40" s="87" t="s">
        <v>2427</v>
      </c>
      <c r="D40" s="78">
        <f>_xlfn.XLOOKUP(표16[[#This Row],[specialty_category]],end_use_specialty!$I$2:$I$31,end_use_specialty!$J$2:$J$31)</f>
        <v>2.9377150528576701E-2</v>
      </c>
      <c r="E40" s="36" t="s">
        <v>2479</v>
      </c>
    </row>
    <row r="41" spans="1:5">
      <c r="A41" s="33" t="s">
        <v>2519</v>
      </c>
      <c r="B41" s="34" t="s">
        <v>1269</v>
      </c>
      <c r="C41" s="87" t="s">
        <v>2447</v>
      </c>
      <c r="D41" s="78">
        <f>_xlfn.XLOOKUP(표16[[#This Row],[specialty_category]],end_use_specialty!$I$2:$I$31,end_use_specialty!$J$2:$J$31)</f>
        <v>3.4040615918995647E-2</v>
      </c>
      <c r="E41" s="36" t="s">
        <v>2480</v>
      </c>
    </row>
    <row r="42" spans="1:5">
      <c r="A42" s="33" t="s">
        <v>2519</v>
      </c>
      <c r="B42" s="34" t="s">
        <v>1269</v>
      </c>
      <c r="C42" s="87" t="s">
        <v>2434</v>
      </c>
      <c r="D42" s="78">
        <f>_xlfn.XLOOKUP(표16[[#This Row],[specialty_category]],end_use_specialty!$I$2:$I$31,end_use_specialty!$J$2:$J$31)</f>
        <v>2.55659128814585E-2</v>
      </c>
      <c r="E42" s="36" t="s">
        <v>2481</v>
      </c>
    </row>
    <row r="43" spans="1:5">
      <c r="A43" s="33" t="s">
        <v>2519</v>
      </c>
      <c r="B43" s="34" t="s">
        <v>1269</v>
      </c>
      <c r="C43" s="87" t="s">
        <v>2431</v>
      </c>
      <c r="D43" s="78">
        <f>_xlfn.XLOOKUP(표16[[#This Row],[specialty_category]],end_use_specialty!$I$2:$I$31,end_use_specialty!$J$2:$J$31)</f>
        <v>3.223448711305988E-2</v>
      </c>
      <c r="E43" s="36" t="s">
        <v>2482</v>
      </c>
    </row>
    <row r="44" spans="1:5">
      <c r="A44" s="33" t="s">
        <v>2520</v>
      </c>
      <c r="B44" s="34" t="s">
        <v>1266</v>
      </c>
      <c r="C44" s="87" t="s">
        <v>2483</v>
      </c>
      <c r="D44" s="78">
        <f>_xlfn.XLOOKUP(표16[[#This Row],[specialty_category]],end_use_specialty!$I$2:$I$31,end_use_specialty!$J$2:$J$31)</f>
        <v>2.43946421399239E-2</v>
      </c>
      <c r="E44" s="36" t="s">
        <v>2484</v>
      </c>
    </row>
    <row r="45" spans="1:5">
      <c r="A45" s="33" t="s">
        <v>2520</v>
      </c>
      <c r="B45" s="34" t="s">
        <v>1266</v>
      </c>
      <c r="C45" s="87" t="s">
        <v>2427</v>
      </c>
      <c r="D45" s="78">
        <f>_xlfn.XLOOKUP(표16[[#This Row],[specialty_category]],end_use_specialty!$I$2:$I$31,end_use_specialty!$J$2:$J$31)</f>
        <v>2.9377150528576701E-2</v>
      </c>
      <c r="E45" s="36" t="s">
        <v>2485</v>
      </c>
    </row>
    <row r="46" spans="1:5">
      <c r="A46" s="33" t="s">
        <v>2520</v>
      </c>
      <c r="B46" s="34" t="s">
        <v>1266</v>
      </c>
      <c r="C46" s="87" t="s">
        <v>2429</v>
      </c>
      <c r="D46" s="78">
        <f>_xlfn.XLOOKUP(표16[[#This Row],[specialty_category]],end_use_specialty!$I$2:$I$31,end_use_specialty!$J$2:$J$31)</f>
        <v>2.7418968358499603E-2</v>
      </c>
      <c r="E46" s="36" t="s">
        <v>2486</v>
      </c>
    </row>
    <row r="47" spans="1:5">
      <c r="A47" s="33" t="s">
        <v>2520</v>
      </c>
      <c r="B47" s="34" t="s">
        <v>1266</v>
      </c>
      <c r="C47" s="87" t="s">
        <v>2468</v>
      </c>
      <c r="D47" s="78">
        <f>_xlfn.XLOOKUP(표16[[#This Row],[specialty_category]],end_use_specialty!$I$2:$I$31,end_use_specialty!$J$2:$J$31)</f>
        <v>3.0939656964581484E-2</v>
      </c>
      <c r="E47" s="36" t="s">
        <v>2487</v>
      </c>
    </row>
    <row r="48" spans="1:5">
      <c r="A48" s="33" t="s">
        <v>2520</v>
      </c>
      <c r="B48" s="34" t="s">
        <v>1266</v>
      </c>
      <c r="C48" s="87" t="s">
        <v>1374</v>
      </c>
      <c r="D48" s="78">
        <f>_xlfn.XLOOKUP(표16[[#This Row],[specialty_category]],end_use_specialty!$I$2:$I$31,end_use_specialty!$J$2:$J$31)</f>
        <v>2.4455755404203302E-2</v>
      </c>
      <c r="E48" s="36" t="s">
        <v>2488</v>
      </c>
    </row>
    <row r="49" spans="1:5">
      <c r="A49" s="33" t="s">
        <v>2521</v>
      </c>
      <c r="B49" s="34" t="s">
        <v>1263</v>
      </c>
      <c r="C49" s="87" t="s">
        <v>2445</v>
      </c>
      <c r="D49" s="78">
        <f>_xlfn.XLOOKUP(표16[[#This Row],[specialty_category]],end_use_specialty!$I$2:$I$31,end_use_specialty!$J$2:$J$31)</f>
        <v>3.6406497146066488E-2</v>
      </c>
      <c r="E49" s="36" t="s">
        <v>2489</v>
      </c>
    </row>
    <row r="50" spans="1:5">
      <c r="A50" s="33" t="s">
        <v>2521</v>
      </c>
      <c r="B50" s="34" t="s">
        <v>1263</v>
      </c>
      <c r="C50" s="87" t="s">
        <v>2458</v>
      </c>
      <c r="D50" s="78">
        <f>_xlfn.XLOOKUP(표16[[#This Row],[specialty_category]],end_use_specialty!$I$2:$I$31,end_use_specialty!$J$2:$J$31)</f>
        <v>3.2355536948266893E-2</v>
      </c>
      <c r="E50" s="36" t="s">
        <v>2490</v>
      </c>
    </row>
    <row r="51" spans="1:5">
      <c r="A51" s="33" t="s">
        <v>2521</v>
      </c>
      <c r="B51" s="34" t="s">
        <v>1263</v>
      </c>
      <c r="C51" s="87" t="s">
        <v>2470</v>
      </c>
      <c r="D51" s="78">
        <f>_xlfn.XLOOKUP(표16[[#This Row],[specialty_category]],end_use_specialty!$I$2:$I$31,end_use_specialty!$J$2:$J$31)</f>
        <v>1.2810807364545962E-2</v>
      </c>
      <c r="E51" s="36" t="s">
        <v>2491</v>
      </c>
    </row>
    <row r="52" spans="1:5">
      <c r="A52" s="33" t="s">
        <v>2521</v>
      </c>
      <c r="B52" s="34" t="s">
        <v>1263</v>
      </c>
      <c r="C52" s="87" t="s">
        <v>2443</v>
      </c>
      <c r="D52" s="78">
        <f>_xlfn.XLOOKUP(표16[[#This Row],[specialty_category]],end_use_specialty!$I$2:$I$31,end_use_specialty!$J$2:$J$31)</f>
        <v>3.12255252955673E-2</v>
      </c>
      <c r="E52" s="36" t="s">
        <v>2492</v>
      </c>
    </row>
    <row r="53" spans="1:5">
      <c r="A53" s="33" t="s">
        <v>2521</v>
      </c>
      <c r="B53" s="34" t="s">
        <v>1263</v>
      </c>
      <c r="C53" s="87" t="s">
        <v>2452</v>
      </c>
      <c r="D53" s="78">
        <f>_xlfn.XLOOKUP(표16[[#This Row],[specialty_category]],end_use_specialty!$I$2:$I$31,end_use_specialty!$J$2:$J$31)</f>
        <v>2.30256712917403E-2</v>
      </c>
      <c r="E53" s="36" t="s">
        <v>2493</v>
      </c>
    </row>
    <row r="54" spans="1:5">
      <c r="A54" s="33" t="s">
        <v>2521</v>
      </c>
      <c r="B54" s="34" t="s">
        <v>1263</v>
      </c>
      <c r="C54" s="87" t="s">
        <v>1589</v>
      </c>
      <c r="D54" s="78">
        <f>_xlfn.XLOOKUP(표16[[#This Row],[specialty_category]],end_use_specialty!$I$2:$I$31,end_use_specialty!$J$2:$J$31)</f>
        <v>7.0381303335329487E-3</v>
      </c>
      <c r="E54" s="36" t="s">
        <v>2494</v>
      </c>
    </row>
    <row r="55" spans="1:5">
      <c r="A55" s="33" t="s">
        <v>2521</v>
      </c>
      <c r="B55" s="34" t="s">
        <v>1263</v>
      </c>
      <c r="C55" s="87" t="s">
        <v>2474</v>
      </c>
      <c r="D55" s="78">
        <f>_xlfn.XLOOKUP(표16[[#This Row],[specialty_category]],end_use_specialty!$I$2:$I$31,end_use_specialty!$J$2:$J$31)</f>
        <v>1.5273438483911087E-2</v>
      </c>
      <c r="E55" s="36" t="s">
        <v>2495</v>
      </c>
    </row>
    <row r="56" spans="1:5">
      <c r="A56" s="33" t="s">
        <v>2521</v>
      </c>
      <c r="B56" s="34" t="s">
        <v>1263</v>
      </c>
      <c r="C56" s="87" t="s">
        <v>2465</v>
      </c>
      <c r="D56" s="78">
        <f>_xlfn.XLOOKUP(표16[[#This Row],[specialty_category]],end_use_specialty!$I$2:$I$31,end_use_specialty!$J$2:$J$31)</f>
        <v>1.1686241213918851E-4</v>
      </c>
      <c r="E56" s="36" t="s">
        <v>2496</v>
      </c>
    </row>
    <row r="57" spans="1:5">
      <c r="A57" s="33" t="s">
        <v>2521</v>
      </c>
      <c r="B57" s="34" t="s">
        <v>1263</v>
      </c>
      <c r="C57" s="87" t="s">
        <v>2449</v>
      </c>
      <c r="D57" s="78">
        <f>_xlfn.XLOOKUP(표16[[#This Row],[specialty_category]],end_use_specialty!$I$2:$I$31,end_use_specialty!$J$2:$J$31)</f>
        <v>3.1736001613686497E-2</v>
      </c>
      <c r="E57" s="36" t="s">
        <v>2497</v>
      </c>
    </row>
    <row r="58" spans="1:5">
      <c r="A58" s="33" t="s">
        <v>2521</v>
      </c>
      <c r="B58" s="34" t="s">
        <v>1263</v>
      </c>
      <c r="C58" s="87" t="s">
        <v>1613</v>
      </c>
      <c r="D58" s="78">
        <f>_xlfn.XLOOKUP(표16[[#This Row],[specialty_category]],end_use_specialty!$I$2:$I$31,end_use_specialty!$J$2:$J$31)</f>
        <v>2.6834874755905697E-2</v>
      </c>
      <c r="E58" s="36" t="s">
        <v>2498</v>
      </c>
    </row>
    <row r="59" spans="1:5">
      <c r="A59" s="33" t="s">
        <v>2521</v>
      </c>
      <c r="B59" s="34" t="s">
        <v>1263</v>
      </c>
      <c r="C59" s="87" t="s">
        <v>2441</v>
      </c>
      <c r="D59" s="78">
        <f>_xlfn.XLOOKUP(표16[[#This Row],[specialty_category]],end_use_specialty!$I$2:$I$31,end_use_specialty!$J$2:$J$31)</f>
        <v>2.5971133987173222E-2</v>
      </c>
      <c r="E59" s="36" t="s">
        <v>2499</v>
      </c>
    </row>
    <row r="60" spans="1:5">
      <c r="A60" s="33" t="s">
        <v>2521</v>
      </c>
      <c r="B60" s="34" t="s">
        <v>1263</v>
      </c>
      <c r="C60" s="87" t="s">
        <v>1757</v>
      </c>
      <c r="D60" s="78">
        <f>_xlfn.XLOOKUP(표16[[#This Row],[specialty_category]],end_use_specialty!$I$2:$I$31,end_use_specialty!$J$2:$J$31)</f>
        <v>2.5897744918987699E-2</v>
      </c>
      <c r="E60" s="36" t="s">
        <v>2500</v>
      </c>
    </row>
    <row r="61" spans="1:5">
      <c r="A61" s="33" t="s">
        <v>2521</v>
      </c>
      <c r="B61" s="34" t="s">
        <v>1263</v>
      </c>
      <c r="C61" s="87" t="s">
        <v>2439</v>
      </c>
      <c r="D61" s="78">
        <f>_xlfn.XLOOKUP(표16[[#This Row],[specialty_category]],end_use_specialty!$I$2:$I$31,end_use_specialty!$J$2:$J$31)</f>
        <v>1.6821351660500698E-2</v>
      </c>
      <c r="E61" s="36" t="s">
        <v>2501</v>
      </c>
    </row>
    <row r="62" spans="1:5">
      <c r="A62" s="33" t="s">
        <v>2521</v>
      </c>
      <c r="B62" s="34" t="s">
        <v>1263</v>
      </c>
      <c r="C62" s="87" t="s">
        <v>2437</v>
      </c>
      <c r="D62" s="78">
        <f>_xlfn.XLOOKUP(표16[[#This Row],[specialty_category]],end_use_specialty!$I$2:$I$31,end_use_specialty!$J$2:$J$31)</f>
        <v>2.6834874755905704E-2</v>
      </c>
      <c r="E62" s="36" t="s">
        <v>2502</v>
      </c>
    </row>
    <row r="63" spans="1:5">
      <c r="A63" s="33" t="s">
        <v>2521</v>
      </c>
      <c r="B63" s="34" t="s">
        <v>1263</v>
      </c>
      <c r="C63" s="87" t="s">
        <v>2468</v>
      </c>
      <c r="D63" s="78">
        <f>_xlfn.XLOOKUP(표16[[#This Row],[specialty_category]],end_use_specialty!$I$2:$I$31,end_use_specialty!$J$2:$J$31)</f>
        <v>3.0939656964581484E-2</v>
      </c>
      <c r="E63" s="36" t="s">
        <v>2503</v>
      </c>
    </row>
    <row r="64" spans="1:5">
      <c r="A64" s="33" t="s">
        <v>2521</v>
      </c>
      <c r="B64" s="34" t="s">
        <v>1263</v>
      </c>
      <c r="C64" s="87" t="s">
        <v>2447</v>
      </c>
      <c r="D64" s="78">
        <f>_xlfn.XLOOKUP(표16[[#This Row],[specialty_category]],end_use_specialty!$I$2:$I$31,end_use_specialty!$J$2:$J$31)</f>
        <v>3.4040615918995647E-2</v>
      </c>
      <c r="E64" s="36" t="s">
        <v>2504</v>
      </c>
    </row>
    <row r="65" spans="1:5" ht="33">
      <c r="A65" s="33" t="s">
        <v>2522</v>
      </c>
      <c r="B65" s="34" t="s">
        <v>1260</v>
      </c>
      <c r="C65" s="87" t="s">
        <v>2505</v>
      </c>
      <c r="D65" s="78">
        <f>_xlfn.XLOOKUP(표16[[#This Row],[specialty_category]],end_use_specialty!$I$2:$I$31,end_use_specialty!$J$2:$J$31)</f>
        <v>7.0838453822463038E-2</v>
      </c>
      <c r="E65" s="36" t="s">
        <v>2506</v>
      </c>
    </row>
    <row r="66" spans="1:5">
      <c r="A66" s="33" t="s">
        <v>2522</v>
      </c>
      <c r="B66" s="34" t="s">
        <v>1260</v>
      </c>
      <c r="C66" s="87" t="s">
        <v>2507</v>
      </c>
      <c r="D66" s="78">
        <f>_xlfn.XLOOKUP(표16[[#This Row],[specialty_category]],end_use_specialty!$I$2:$I$31,end_use_specialty!$J$2:$J$31)</f>
        <v>2.9390726045459181E-2</v>
      </c>
      <c r="E66" s="36" t="s">
        <v>2508</v>
      </c>
    </row>
    <row r="67" spans="1:5">
      <c r="A67" s="33" t="s">
        <v>2522</v>
      </c>
      <c r="B67" s="34" t="s">
        <v>1260</v>
      </c>
      <c r="C67" s="87" t="s">
        <v>2509</v>
      </c>
      <c r="D67" s="78">
        <f>_xlfn.XLOOKUP(표16[[#This Row],[specialty_category]],end_use_specialty!$I$2:$I$31,end_use_specialty!$J$2:$J$31)</f>
        <v>5.9094946514640902E-2</v>
      </c>
      <c r="E67" s="36" t="s">
        <v>2510</v>
      </c>
    </row>
    <row r="68" spans="1:5">
      <c r="A68" s="33" t="s">
        <v>2522</v>
      </c>
      <c r="B68" s="34" t="s">
        <v>1260</v>
      </c>
      <c r="C68" s="87" t="s">
        <v>2427</v>
      </c>
      <c r="D68" s="78">
        <f>_xlfn.XLOOKUP(표16[[#This Row],[specialty_category]],end_use_specialty!$I$2:$I$31,end_use_specialty!$J$2:$J$31)</f>
        <v>2.9377150528576701E-2</v>
      </c>
      <c r="E68" s="36" t="s">
        <v>2511</v>
      </c>
    </row>
    <row r="69" spans="1:5">
      <c r="A69" s="33" t="s">
        <v>2522</v>
      </c>
      <c r="B69" s="34" t="s">
        <v>1260</v>
      </c>
      <c r="C69" s="87" t="s">
        <v>2447</v>
      </c>
      <c r="D69" s="78">
        <f>_xlfn.XLOOKUP(표16[[#This Row],[specialty_category]],end_use_specialty!$I$2:$I$31,end_use_specialty!$J$2:$J$31)</f>
        <v>3.4040615918995647E-2</v>
      </c>
      <c r="E69" s="36" t="s">
        <v>2512</v>
      </c>
    </row>
    <row r="70" spans="1:5">
      <c r="A70" s="33" t="s">
        <v>2522</v>
      </c>
      <c r="B70" s="34" t="s">
        <v>1260</v>
      </c>
      <c r="C70" s="87" t="s">
        <v>2449</v>
      </c>
      <c r="D70" s="78">
        <f>_xlfn.XLOOKUP(표16[[#This Row],[specialty_category]],end_use_specialty!$I$2:$I$31,end_use_specialty!$J$2:$J$31)</f>
        <v>3.1736001613686497E-2</v>
      </c>
      <c r="E70" s="36" t="s">
        <v>2513</v>
      </c>
    </row>
    <row r="71" spans="1:5">
      <c r="A71" s="33" t="s">
        <v>2522</v>
      </c>
      <c r="B71" s="34" t="s">
        <v>1260</v>
      </c>
      <c r="C71" s="87" t="s">
        <v>2429</v>
      </c>
      <c r="D71" s="78">
        <f>_xlfn.XLOOKUP(표16[[#This Row],[specialty_category]],end_use_specialty!$I$2:$I$31,end_use_specialty!$J$2:$J$31)</f>
        <v>2.7418968358499603E-2</v>
      </c>
      <c r="E71" s="36" t="s">
        <v>2514</v>
      </c>
    </row>
    <row r="72" spans="1:5">
      <c r="A72" s="33" t="s">
        <v>2522</v>
      </c>
      <c r="B72" s="34" t="s">
        <v>1260</v>
      </c>
      <c r="C72" s="87" t="s">
        <v>2437</v>
      </c>
      <c r="D72" s="78">
        <f>_xlfn.XLOOKUP(표16[[#This Row],[specialty_category]],end_use_specialty!$I$2:$I$31,end_use_specialty!$J$2:$J$31)</f>
        <v>2.6834874755905704E-2</v>
      </c>
      <c r="E72" s="36" t="s">
        <v>2515</v>
      </c>
    </row>
    <row r="73" spans="1:5">
      <c r="A73" s="33" t="s">
        <v>2522</v>
      </c>
      <c r="B73" s="34" t="s">
        <v>1260</v>
      </c>
      <c r="C73" s="87" t="s">
        <v>2445</v>
      </c>
      <c r="D73" s="78">
        <f>_xlfn.XLOOKUP(표16[[#This Row],[specialty_category]],end_use_specialty!$I$2:$I$31,end_use_specialty!$J$2:$J$31)</f>
        <v>3.6406497146066488E-2</v>
      </c>
      <c r="E73" s="36" t="s">
        <v>2516</v>
      </c>
    </row>
    <row r="75" spans="1:5">
      <c r="B75" s="32" t="s">
        <v>2524</v>
      </c>
      <c r="C75" s="85" t="s">
        <v>3763</v>
      </c>
      <c r="D75" s="32" t="s">
        <v>3764</v>
      </c>
      <c r="E75" s="32" t="s">
        <v>3949</v>
      </c>
    </row>
    <row r="76" spans="1:5">
      <c r="B76" s="83" t="str" cm="1">
        <f t="array" ref="B76:B83">_xlfn.UNIQUE(표16[end_use_category])</f>
        <v>Construction &amp; Infrastructure</v>
      </c>
      <c r="C76" s="88">
        <f>COUNTIF(표16[end_use_category],B76)</f>
        <v>7</v>
      </c>
      <c r="D76" s="112">
        <f>AVERAGEIF(표16[end_use_category],B76,표16[specialty_cagr])</f>
        <v>2.5588715152086054E-2</v>
      </c>
      <c r="E76" s="115">
        <f>50*
((C76-MIN($C$76:$C$83))/
(MAX($C$76:$C$83)-MIN($C$76:$C$83)))
+
50*
((D76-MIN($D$76:$D$83))/
(MAX($D$76:$D$83)-MIN($D$76:$D$83)))</f>
        <v>34.825451381038754</v>
      </c>
    </row>
    <row r="77" spans="1:5">
      <c r="B77" s="109" t="str">
        <v>Consumer Products &amp; Packaging</v>
      </c>
      <c r="C77" s="88">
        <f>COUNTIF(표16[end_use_category],B77)</f>
        <v>11</v>
      </c>
      <c r="D77" s="112">
        <f>AVERAGEIF(표16[end_use_category],B77,표16[specialty_cagr])</f>
        <v>2.7473582004545371E-2</v>
      </c>
      <c r="E77" s="115">
        <f t="shared" ref="E77:E83" si="0">50*
((C77-MIN($C$76:$C$83))/
(MAX($C$76:$C$83)-MIN($C$76:$C$83)))
+
50*
((D77-MIN($D$76:$D$83))/
(MAX($D$76:$D$83)-MIN($D$76:$D$83)))</f>
        <v>56.59169254199827</v>
      </c>
    </row>
    <row r="78" spans="1:5">
      <c r="B78" s="109" t="str">
        <v>Automotive &amp; Future Mobility</v>
      </c>
      <c r="C78" s="88">
        <f>COUNTIF(표16[end_use_category],B78)</f>
        <v>9</v>
      </c>
      <c r="D78" s="112">
        <f>AVERAGEIF(표16[end_use_category],B78,표16[specialty_cagr])</f>
        <v>1.8701270276452978E-2</v>
      </c>
      <c r="E78" s="115">
        <f t="shared" si="0"/>
        <v>30.818610014096194</v>
      </c>
    </row>
    <row r="79" spans="1:5">
      <c r="B79" s="83" t="str">
        <v>Energy, Power &amp; Utilities</v>
      </c>
      <c r="C79" s="88">
        <f>COUNTIF(표16[end_use_category],B79)</f>
        <v>9</v>
      </c>
      <c r="D79" s="112">
        <f>AVERAGEIF(표16[end_use_category],B79,표16[specialty_cagr])</f>
        <v>1.2056220240590483E-2</v>
      </c>
      <c r="E79" s="115">
        <f t="shared" si="0"/>
        <v>18.181818181818183</v>
      </c>
    </row>
    <row r="80" spans="1:5">
      <c r="B80" s="109" t="str">
        <v>Healthcare &amp; Life Sciences</v>
      </c>
      <c r="C80" s="88">
        <f>COUNTIF(표16[end_use_category],B80)</f>
        <v>6</v>
      </c>
      <c r="D80" s="112">
        <f>AVERAGEIF(표16[end_use_category],B80,표16[specialty_cagr])</f>
        <v>3.0983783081753185E-2</v>
      </c>
      <c r="E80" s="115">
        <f t="shared" si="0"/>
        <v>40.539716473549845</v>
      </c>
    </row>
    <row r="81" spans="2:12">
      <c r="B81" s="83" t="str">
        <v>Agriculture</v>
      </c>
      <c r="C81" s="88">
        <f>COUNTIF(표16[end_use_category],B81)</f>
        <v>5</v>
      </c>
      <c r="D81" s="112">
        <f>AVERAGEIF(표16[end_use_category],B81,표16[specialty_cagr])</f>
        <v>2.7317234679156997E-2</v>
      </c>
      <c r="E81" s="115">
        <f t="shared" si="0"/>
        <v>29.021641909205453</v>
      </c>
    </row>
    <row r="82" spans="2:12">
      <c r="B82" s="83" t="str">
        <v>Industrial Goods &amp; Advanced Manufacturing</v>
      </c>
      <c r="C82" s="88">
        <f>COUNTIF(표16[end_use_category],B82)</f>
        <v>16</v>
      </c>
      <c r="D82" s="112">
        <f>AVERAGEIF(표16[end_use_category],B82,표16[specialty_cagr])</f>
        <v>2.3583045240719174E-2</v>
      </c>
      <c r="E82" s="115">
        <f t="shared" si="0"/>
        <v>71.920389948548831</v>
      </c>
    </row>
    <row r="83" spans="2:12">
      <c r="B83" s="109" t="str">
        <v>Electronics, Semiconductors &amp; Digital Infrastructure</v>
      </c>
      <c r="C83" s="88">
        <f>COUNTIF(표16[end_use_category],B83)</f>
        <v>9</v>
      </c>
      <c r="D83" s="112">
        <f>AVERAGEIF(표16[end_use_category],B83,표16[specialty_cagr])</f>
        <v>3.8348692744921524E-2</v>
      </c>
      <c r="E83" s="115">
        <f t="shared" si="0"/>
        <v>68.181818181818187</v>
      </c>
    </row>
    <row r="84" spans="2:12">
      <c r="B84" s="114" t="s">
        <v>3947</v>
      </c>
      <c r="D84" s="113"/>
    </row>
    <row r="86" spans="2:12" ht="66">
      <c r="B86" s="92" t="s">
        <v>2411</v>
      </c>
      <c r="C86" s="93" t="s">
        <v>3795</v>
      </c>
      <c r="D86" s="93" t="s">
        <v>2523</v>
      </c>
      <c r="E86" s="93" t="s">
        <v>3796</v>
      </c>
      <c r="F86" s="93" t="s">
        <v>1373</v>
      </c>
      <c r="G86" s="93" t="s">
        <v>1830</v>
      </c>
      <c r="H86" s="93" t="s">
        <v>1900</v>
      </c>
      <c r="I86" s="93" t="s">
        <v>3797</v>
      </c>
      <c r="J86" s="93" t="s">
        <v>1594</v>
      </c>
      <c r="K86" s="93" t="s">
        <v>3798</v>
      </c>
      <c r="L86" s="93" t="s">
        <v>3799</v>
      </c>
    </row>
    <row r="87" spans="2:12" ht="33">
      <c r="B87" s="84" t="s">
        <v>2505</v>
      </c>
      <c r="C87" s="89" t="s">
        <v>3765</v>
      </c>
      <c r="D87" s="95">
        <f>_xlfn.XLOOKUP(B87,end_use_specialty!$I$2:$I$31,end_use_specialty!$J$2:$J$31)</f>
        <v>7.0838453822463038E-2</v>
      </c>
      <c r="E87" s="96" t="str">
        <f>IFERROR(AVERAGEIFS(표16[specialty_cagr],표16[specialty_category],$B87,표16[end_use_category],E$86),"")</f>
        <v/>
      </c>
      <c r="F87" s="96" t="str">
        <f>IFERROR(AVERAGEIFS(표16[specialty_cagr],표16[specialty_category],$B87,표16[end_use_category],F$86),"")</f>
        <v/>
      </c>
      <c r="G87" s="96" t="str">
        <f>IFERROR(AVERAGEIFS(표16[specialty_cagr],표16[specialty_category],$B87,표16[end_use_category],G$86),"")</f>
        <v/>
      </c>
      <c r="H87" s="96" t="str">
        <f>IFERROR(AVERAGEIFS(표16[specialty_cagr],표16[specialty_category],$B87,표16[end_use_category],H$86),"")</f>
        <v/>
      </c>
      <c r="I87" s="96" t="str">
        <f>IFERROR(AVERAGEIFS(표16[specialty_cagr],표16[specialty_category],$B87,표16[end_use_category],I$86),"")</f>
        <v/>
      </c>
      <c r="J87" s="96" t="str">
        <f>IFERROR(AVERAGEIFS(표16[specialty_cagr],표16[specialty_category],$B87,표16[end_use_category],J$86),"")</f>
        <v/>
      </c>
      <c r="K87" s="96" t="str">
        <f>IFERROR(AVERAGEIFS(표16[specialty_cagr],표16[specialty_category],$B87,표16[end_use_category],K$86),"")</f>
        <v/>
      </c>
      <c r="L87" s="97">
        <f>IFERROR(AVERAGEIFS(표16[specialty_cagr],표16[specialty_category],$B87,표16[end_use_category],L$86),"")</f>
        <v>7.0838453822463038E-2</v>
      </c>
    </row>
    <row r="88" spans="2:12" ht="33">
      <c r="B88" s="84" t="s">
        <v>2507</v>
      </c>
      <c r="C88" s="89" t="s">
        <v>3766</v>
      </c>
      <c r="D88" s="95">
        <f>_xlfn.XLOOKUP(B88,end_use_specialty!$I$2:$I$31,end_use_specialty!$J$2:$J$31)</f>
        <v>2.9390726045459181E-2</v>
      </c>
      <c r="E88" s="96" t="str">
        <f>IFERROR(AVERAGEIFS(표16[specialty_cagr],표16[specialty_category],$B88,표16[end_use_category],E$86),"")</f>
        <v/>
      </c>
      <c r="F88" s="96" t="str">
        <f>IFERROR(AVERAGEIFS(표16[specialty_cagr],표16[specialty_category],$B88,표16[end_use_category],F$86),"")</f>
        <v/>
      </c>
      <c r="G88" s="96" t="str">
        <f>IFERROR(AVERAGEIFS(표16[specialty_cagr],표16[specialty_category],$B88,표16[end_use_category],G$86),"")</f>
        <v/>
      </c>
      <c r="H88" s="96" t="str">
        <f>IFERROR(AVERAGEIFS(표16[specialty_cagr],표16[specialty_category],$B88,표16[end_use_category],H$86),"")</f>
        <v/>
      </c>
      <c r="I88" s="96" t="str">
        <f>IFERROR(AVERAGEIFS(표16[specialty_cagr],표16[specialty_category],$B88,표16[end_use_category],I$86),"")</f>
        <v/>
      </c>
      <c r="J88" s="96" t="str">
        <f>IFERROR(AVERAGEIFS(표16[specialty_cagr],표16[specialty_category],$B88,표16[end_use_category],J$86),"")</f>
        <v/>
      </c>
      <c r="K88" s="96" t="str">
        <f>IFERROR(AVERAGEIFS(표16[specialty_cagr],표16[specialty_category],$B88,표16[end_use_category],K$86),"")</f>
        <v/>
      </c>
      <c r="L88" s="97">
        <f>IFERROR(AVERAGEIFS(표16[specialty_cagr],표16[specialty_category],$B88,표16[end_use_category],L$86),"")</f>
        <v>2.9390726045459181E-2</v>
      </c>
    </row>
    <row r="89" spans="2:12" ht="33">
      <c r="B89" s="84" t="s">
        <v>2509</v>
      </c>
      <c r="C89" s="89" t="s">
        <v>3767</v>
      </c>
      <c r="D89" s="95">
        <f>_xlfn.XLOOKUP(B89,end_use_specialty!$I$2:$I$31,end_use_specialty!$J$2:$J$31)</f>
        <v>5.9094946514640902E-2</v>
      </c>
      <c r="E89" s="96" t="str">
        <f>IFERROR(AVERAGEIFS(표16[specialty_cagr],표16[specialty_category],$B89,표16[end_use_category],E$86),"")</f>
        <v/>
      </c>
      <c r="F89" s="96" t="str">
        <f>IFERROR(AVERAGEIFS(표16[specialty_cagr],표16[specialty_category],$B89,표16[end_use_category],F$86),"")</f>
        <v/>
      </c>
      <c r="G89" s="96" t="str">
        <f>IFERROR(AVERAGEIFS(표16[specialty_cagr],표16[specialty_category],$B89,표16[end_use_category],G$86),"")</f>
        <v/>
      </c>
      <c r="H89" s="96" t="str">
        <f>IFERROR(AVERAGEIFS(표16[specialty_cagr],표16[specialty_category],$B89,표16[end_use_category],H$86),"")</f>
        <v/>
      </c>
      <c r="I89" s="96" t="str">
        <f>IFERROR(AVERAGEIFS(표16[specialty_cagr],표16[specialty_category],$B89,표16[end_use_category],I$86),"")</f>
        <v/>
      </c>
      <c r="J89" s="96" t="str">
        <f>IFERROR(AVERAGEIFS(표16[specialty_cagr],표16[specialty_category],$B89,표16[end_use_category],J$86),"")</f>
        <v/>
      </c>
      <c r="K89" s="96" t="str">
        <f>IFERROR(AVERAGEIFS(표16[specialty_cagr],표16[specialty_category],$B89,표16[end_use_category],K$86),"")</f>
        <v/>
      </c>
      <c r="L89" s="97">
        <f>IFERROR(AVERAGEIFS(표16[specialty_cagr],표16[specialty_category],$B89,표16[end_use_category],L$86),"")</f>
        <v>5.9094946514640902E-2</v>
      </c>
    </row>
    <row r="90" spans="2:12" ht="33">
      <c r="B90" s="84" t="s">
        <v>2476</v>
      </c>
      <c r="C90" s="89" t="s">
        <v>3768</v>
      </c>
      <c r="D90" s="95">
        <f>_xlfn.XLOOKUP(B90,end_use_specialty!$I$2:$I$31,end_use_specialty!$J$2:$J$31)</f>
        <v>4.0228776644225091E-2</v>
      </c>
      <c r="E90" s="96" t="str">
        <f>IFERROR(AVERAGEIFS(표16[specialty_cagr],표16[specialty_category],$B90,표16[end_use_category],E$86),"")</f>
        <v/>
      </c>
      <c r="F90" s="96" t="str">
        <f>IFERROR(AVERAGEIFS(표16[specialty_cagr],표16[specialty_category],$B90,표16[end_use_category],F$86),"")</f>
        <v/>
      </c>
      <c r="G90" s="96" t="str">
        <f>IFERROR(AVERAGEIFS(표16[specialty_cagr],표16[specialty_category],$B90,표16[end_use_category],G$86),"")</f>
        <v/>
      </c>
      <c r="H90" s="96" t="str">
        <f>IFERROR(AVERAGEIFS(표16[specialty_cagr],표16[specialty_category],$B90,표16[end_use_category],H$86),"")</f>
        <v/>
      </c>
      <c r="I90" s="97">
        <f>IFERROR(AVERAGEIFS(표16[specialty_cagr],표16[specialty_category],$B90,표16[end_use_category],I$86),"")</f>
        <v>4.0228776644225091E-2</v>
      </c>
      <c r="J90" s="96" t="str">
        <f>IFERROR(AVERAGEIFS(표16[specialty_cagr],표16[specialty_category],$B90,표16[end_use_category],J$86),"")</f>
        <v/>
      </c>
      <c r="K90" s="96" t="str">
        <f>IFERROR(AVERAGEIFS(표16[specialty_cagr],표16[specialty_category],$B90,표16[end_use_category],K$86),"")</f>
        <v/>
      </c>
      <c r="L90" s="96" t="str">
        <f>IFERROR(AVERAGEIFS(표16[specialty_cagr],표16[specialty_category],$B90,표16[end_use_category],L$86),"")</f>
        <v/>
      </c>
    </row>
    <row r="91" spans="2:12" ht="33">
      <c r="B91" s="84" t="s">
        <v>2447</v>
      </c>
      <c r="C91" s="89" t="s">
        <v>3769</v>
      </c>
      <c r="D91" s="95">
        <f>_xlfn.XLOOKUP(B91,end_use_specialty!$I$2:$I$31,end_use_specialty!$J$2:$J$31)</f>
        <v>3.4040615918995647E-2</v>
      </c>
      <c r="E91" s="97">
        <f>IFERROR(AVERAGEIFS(표16[specialty_cagr],표16[specialty_category],$B91,표16[end_use_category],E$86),"")</f>
        <v>3.4040615918995647E-2</v>
      </c>
      <c r="F91" s="96" t="str">
        <f>IFERROR(AVERAGEIFS(표16[specialty_cagr],표16[specialty_category],$B91,표16[end_use_category],F$86),"")</f>
        <v/>
      </c>
      <c r="G91" s="97">
        <f>IFERROR(AVERAGEIFS(표16[specialty_cagr],표16[specialty_category],$B91,표16[end_use_category],G$86),"")</f>
        <v>3.4040615918995647E-2</v>
      </c>
      <c r="H91" s="96" t="str">
        <f>IFERROR(AVERAGEIFS(표16[specialty_cagr],표16[specialty_category],$B91,표16[end_use_category],H$86),"")</f>
        <v/>
      </c>
      <c r="I91" s="97">
        <f>IFERROR(AVERAGEIFS(표16[specialty_cagr],표16[specialty_category],$B91,표16[end_use_category],I$86),"")</f>
        <v>3.4040615918995647E-2</v>
      </c>
      <c r="J91" s="96" t="str">
        <f>IFERROR(AVERAGEIFS(표16[specialty_cagr],표16[specialty_category],$B91,표16[end_use_category],J$86),"")</f>
        <v/>
      </c>
      <c r="K91" s="97">
        <f>IFERROR(AVERAGEIFS(표16[specialty_cagr],표16[specialty_category],$B91,표16[end_use_category],K$86),"")</f>
        <v>3.4040615918995647E-2</v>
      </c>
      <c r="L91" s="97">
        <f>IFERROR(AVERAGEIFS(표16[specialty_cagr],표16[specialty_category],$B91,표16[end_use_category],L$86),"")</f>
        <v>3.4040615918995647E-2</v>
      </c>
    </row>
    <row r="92" spans="2:12" ht="33">
      <c r="B92" s="84" t="s">
        <v>2449</v>
      </c>
      <c r="C92" s="89" t="s">
        <v>3770</v>
      </c>
      <c r="D92" s="95">
        <f>_xlfn.XLOOKUP(B92,end_use_specialty!$I$2:$I$31,end_use_specialty!$J$2:$J$31)</f>
        <v>3.1736001613686497E-2</v>
      </c>
      <c r="E92" s="96" t="str">
        <f>IFERROR(AVERAGEIFS(표16[specialty_cagr],표16[specialty_category],$B92,표16[end_use_category],E$86),"")</f>
        <v/>
      </c>
      <c r="F92" s="96" t="str">
        <f>IFERROR(AVERAGEIFS(표16[specialty_cagr],표16[specialty_category],$B92,표16[end_use_category],F$86),"")</f>
        <v/>
      </c>
      <c r="G92" s="97">
        <f>IFERROR(AVERAGEIFS(표16[specialty_cagr],표16[specialty_category],$B92,표16[end_use_category],G$86),"")</f>
        <v>3.1736001613686497E-2</v>
      </c>
      <c r="H92" s="96" t="str">
        <f>IFERROR(AVERAGEIFS(표16[specialty_cagr],표16[specialty_category],$B92,표16[end_use_category],H$86),"")</f>
        <v/>
      </c>
      <c r="I92" s="96" t="str">
        <f>IFERROR(AVERAGEIFS(표16[specialty_cagr],표16[specialty_category],$B92,표16[end_use_category],I$86),"")</f>
        <v/>
      </c>
      <c r="J92" s="96" t="str">
        <f>IFERROR(AVERAGEIFS(표16[specialty_cagr],표16[specialty_category],$B92,표16[end_use_category],J$86),"")</f>
        <v/>
      </c>
      <c r="K92" s="97">
        <f>IFERROR(AVERAGEIFS(표16[specialty_cagr],표16[specialty_category],$B92,표16[end_use_category],K$86),"")</f>
        <v>3.1736001613686497E-2</v>
      </c>
      <c r="L92" s="97">
        <f>IFERROR(AVERAGEIFS(표16[specialty_cagr],표16[specialty_category],$B92,표16[end_use_category],L$86),"")</f>
        <v>3.1736001613686497E-2</v>
      </c>
    </row>
    <row r="93" spans="2:12">
      <c r="B93" s="84" t="s">
        <v>2427</v>
      </c>
      <c r="C93" s="89" t="s">
        <v>3771</v>
      </c>
      <c r="D93" s="95">
        <f>_xlfn.XLOOKUP(B93,end_use_specialty!$I$2:$I$31,end_use_specialty!$J$2:$J$31)</f>
        <v>2.9377150528576701E-2</v>
      </c>
      <c r="E93" s="96" t="str">
        <f>IFERROR(AVERAGEIFS(표16[specialty_cagr],표16[specialty_category],$B93,표16[end_use_category],E$86),"")</f>
        <v/>
      </c>
      <c r="F93" s="97">
        <f>IFERROR(AVERAGEIFS(표16[specialty_cagr],표16[specialty_category],$B93,표16[end_use_category],F$86),"")</f>
        <v>2.9377150528576701E-2</v>
      </c>
      <c r="G93" s="96" t="str">
        <f>IFERROR(AVERAGEIFS(표16[specialty_cagr],표16[specialty_category],$B93,표16[end_use_category],G$86),"")</f>
        <v/>
      </c>
      <c r="H93" s="96" t="str">
        <f>IFERROR(AVERAGEIFS(표16[specialty_cagr],표16[specialty_category],$B93,표16[end_use_category],H$86),"")</f>
        <v/>
      </c>
      <c r="I93" s="97">
        <f>IFERROR(AVERAGEIFS(표16[specialty_cagr],표16[specialty_category],$B93,표16[end_use_category],I$86),"")</f>
        <v>2.9377150528576701E-2</v>
      </c>
      <c r="J93" s="97">
        <f>IFERROR(AVERAGEIFS(표16[specialty_cagr],표16[specialty_category],$B93,표16[end_use_category],J$86),"")</f>
        <v>2.9377150528576701E-2</v>
      </c>
      <c r="K93" s="96" t="str">
        <f>IFERROR(AVERAGEIFS(표16[specialty_cagr],표16[specialty_category],$B93,표16[end_use_category],K$86),"")</f>
        <v/>
      </c>
      <c r="L93" s="97">
        <f>IFERROR(AVERAGEIFS(표16[specialty_cagr],표16[specialty_category],$B93,표16[end_use_category],L$86),"")</f>
        <v>2.9377150528576701E-2</v>
      </c>
    </row>
    <row r="94" spans="2:12" ht="33">
      <c r="B94" s="84" t="s">
        <v>2445</v>
      </c>
      <c r="C94" s="89" t="s">
        <v>3772</v>
      </c>
      <c r="D94" s="95">
        <f>_xlfn.XLOOKUP(B94,end_use_specialty!$I$2:$I$31,end_use_specialty!$J$2:$J$31)</f>
        <v>3.6406497146066488E-2</v>
      </c>
      <c r="E94" s="96" t="str">
        <f>IFERROR(AVERAGEIFS(표16[specialty_cagr],표16[specialty_category],$B94,표16[end_use_category],E$86),"")</f>
        <v/>
      </c>
      <c r="F94" s="97">
        <f>IFERROR(AVERAGEIFS(표16[specialty_cagr],표16[specialty_category],$B94,표16[end_use_category],F$86),"")</f>
        <v>3.6406497146066488E-2</v>
      </c>
      <c r="G94" s="96" t="str">
        <f>IFERROR(AVERAGEIFS(표16[specialty_cagr],표16[specialty_category],$B94,표16[end_use_category],G$86),"")</f>
        <v/>
      </c>
      <c r="H94" s="96" t="str">
        <f>IFERROR(AVERAGEIFS(표16[specialty_cagr],표16[specialty_category],$B94,표16[end_use_category],H$86),"")</f>
        <v/>
      </c>
      <c r="I94" s="96" t="str">
        <f>IFERROR(AVERAGEIFS(표16[specialty_cagr],표16[specialty_category],$B94,표16[end_use_category],I$86),"")</f>
        <v/>
      </c>
      <c r="J94" s="96" t="str">
        <f>IFERROR(AVERAGEIFS(표16[specialty_cagr],표16[specialty_category],$B94,표16[end_use_category],J$86),"")</f>
        <v/>
      </c>
      <c r="K94" s="97">
        <f>IFERROR(AVERAGEIFS(표16[specialty_cagr],표16[specialty_category],$B94,표16[end_use_category],K$86),"")</f>
        <v>3.6406497146066488E-2</v>
      </c>
      <c r="L94" s="97">
        <f>IFERROR(AVERAGEIFS(표16[specialty_cagr],표16[specialty_category],$B94,표16[end_use_category],L$86),"")</f>
        <v>3.6406497146066488E-2</v>
      </c>
    </row>
    <row r="95" spans="2:12" ht="33">
      <c r="B95" s="84" t="s">
        <v>2458</v>
      </c>
      <c r="C95" s="89" t="s">
        <v>3773</v>
      </c>
      <c r="D95" s="95">
        <f>_xlfn.XLOOKUP(B95,end_use_specialty!$I$2:$I$31,end_use_specialty!$J$2:$J$31)</f>
        <v>3.2355536948266893E-2</v>
      </c>
      <c r="E95" s="97">
        <f>IFERROR(AVERAGEIFS(표16[specialty_cagr],표16[specialty_category],$B95,표16[end_use_category],E$86),"")</f>
        <v>3.2355536948266893E-2</v>
      </c>
      <c r="F95" s="96" t="str">
        <f>IFERROR(AVERAGEIFS(표16[specialty_cagr],표16[specialty_category],$B95,표16[end_use_category],F$86),"")</f>
        <v/>
      </c>
      <c r="G95" s="97">
        <f>IFERROR(AVERAGEIFS(표16[specialty_cagr],표16[specialty_category],$B95,표16[end_use_category],G$86),"")</f>
        <v>3.2355536948266893E-2</v>
      </c>
      <c r="H95" s="96" t="str">
        <f>IFERROR(AVERAGEIFS(표16[specialty_cagr],표16[specialty_category],$B95,표16[end_use_category],H$86),"")</f>
        <v/>
      </c>
      <c r="I95" s="96" t="str">
        <f>IFERROR(AVERAGEIFS(표16[specialty_cagr],표16[specialty_category],$B95,표16[end_use_category],I$86),"")</f>
        <v/>
      </c>
      <c r="J95" s="96" t="str">
        <f>IFERROR(AVERAGEIFS(표16[specialty_cagr],표16[specialty_category],$B95,표16[end_use_category],J$86),"")</f>
        <v/>
      </c>
      <c r="K95" s="97">
        <f>IFERROR(AVERAGEIFS(표16[specialty_cagr],표16[specialty_category],$B95,표16[end_use_category],K$86),"")</f>
        <v>3.2355536948266893E-2</v>
      </c>
      <c r="L95" s="96" t="str">
        <f>IFERROR(AVERAGEIFS(표16[specialty_cagr],표16[specialty_category],$B95,표16[end_use_category],L$86),"")</f>
        <v/>
      </c>
    </row>
    <row r="96" spans="2:12" ht="33">
      <c r="B96" s="84" t="s">
        <v>2470</v>
      </c>
      <c r="C96" s="89" t="s">
        <v>3794</v>
      </c>
      <c r="D96" s="95">
        <f>_xlfn.XLOOKUP(B96,end_use_specialty!$I$2:$I$31,end_use_specialty!$J$2:$J$31)</f>
        <v>1.2810807364545962E-2</v>
      </c>
      <c r="E96" s="97">
        <f>IFERROR(AVERAGEIFS(표16[specialty_cagr],표16[specialty_category],$B96,표16[end_use_category],E$86),"")</f>
        <v>1.2810807364545962E-2</v>
      </c>
      <c r="F96" s="96" t="str">
        <f>IFERROR(AVERAGEIFS(표16[specialty_cagr],표16[specialty_category],$B96,표16[end_use_category],F$86),"")</f>
        <v/>
      </c>
      <c r="G96" s="96" t="str">
        <f>IFERROR(AVERAGEIFS(표16[specialty_cagr],표16[specialty_category],$B96,표16[end_use_category],G$86),"")</f>
        <v/>
      </c>
      <c r="H96" s="97">
        <f>IFERROR(AVERAGEIFS(표16[specialty_cagr],표16[specialty_category],$B96,표16[end_use_category],H$86),"")</f>
        <v>1.2810807364545962E-2</v>
      </c>
      <c r="I96" s="96" t="str">
        <f>IFERROR(AVERAGEIFS(표16[specialty_cagr],표16[specialty_category],$B96,표16[end_use_category],I$86),"")</f>
        <v/>
      </c>
      <c r="J96" s="96" t="str">
        <f>IFERROR(AVERAGEIFS(표16[specialty_cagr],표16[specialty_category],$B96,표16[end_use_category],J$86),"")</f>
        <v/>
      </c>
      <c r="K96" s="97">
        <f>IFERROR(AVERAGEIFS(표16[specialty_cagr],표16[specialty_category],$B96,표16[end_use_category],K$86),"")</f>
        <v>1.2810807364545962E-2</v>
      </c>
      <c r="L96" s="96" t="str">
        <f>IFERROR(AVERAGEIFS(표16[specialty_cagr],표16[specialty_category],$B96,표16[end_use_category],L$86),"")</f>
        <v/>
      </c>
    </row>
    <row r="97" spans="2:12" ht="33">
      <c r="B97" s="84" t="s">
        <v>2461</v>
      </c>
      <c r="C97" s="89" t="s">
        <v>3774</v>
      </c>
      <c r="D97" s="95">
        <f>_xlfn.XLOOKUP(B97,end_use_specialty!$I$2:$I$31,end_use_specialty!$J$2:$J$31)</f>
        <v>4.8304525746325246E-2</v>
      </c>
      <c r="E97" s="96" t="str">
        <f>IFERROR(AVERAGEIFS(표16[specialty_cagr],표16[specialty_category],$B97,표16[end_use_category],E$86),"")</f>
        <v/>
      </c>
      <c r="F97" s="96" t="str">
        <f>IFERROR(AVERAGEIFS(표16[specialty_cagr],표16[specialty_category],$B97,표16[end_use_category],F$86),"")</f>
        <v/>
      </c>
      <c r="G97" s="96" t="str">
        <f>IFERROR(AVERAGEIFS(표16[specialty_cagr],표16[specialty_category],$B97,표16[end_use_category],G$86),"")</f>
        <v/>
      </c>
      <c r="H97" s="97">
        <f>IFERROR(AVERAGEIFS(표16[specialty_cagr],표16[specialty_category],$B97,표16[end_use_category],H$86),"")</f>
        <v>4.8304525746325246E-2</v>
      </c>
      <c r="I97" s="96" t="str">
        <f>IFERROR(AVERAGEIFS(표16[specialty_cagr],표16[specialty_category],$B97,표16[end_use_category],I$86),"")</f>
        <v/>
      </c>
      <c r="J97" s="96" t="str">
        <f>IFERROR(AVERAGEIFS(표16[specialty_cagr],표16[specialty_category],$B97,표16[end_use_category],J$86),"")</f>
        <v/>
      </c>
      <c r="K97" s="96" t="str">
        <f>IFERROR(AVERAGEIFS(표16[specialty_cagr],표16[specialty_category],$B97,표16[end_use_category],K$86),"")</f>
        <v/>
      </c>
      <c r="L97" s="96" t="str">
        <f>IFERROR(AVERAGEIFS(표16[specialty_cagr],표16[specialty_category],$B97,표16[end_use_category],L$86),"")</f>
        <v/>
      </c>
    </row>
    <row r="98" spans="2:12" ht="33">
      <c r="B98" s="84" t="s">
        <v>2468</v>
      </c>
      <c r="C98" s="89" t="s">
        <v>3775</v>
      </c>
      <c r="D98" s="95">
        <f>_xlfn.XLOOKUP(B98,end_use_specialty!$I$2:$I$31,end_use_specialty!$J$2:$J$31)</f>
        <v>3.0939656964581484E-2</v>
      </c>
      <c r="E98" s="97">
        <f>IFERROR(AVERAGEIFS(표16[specialty_cagr],표16[specialty_category],$B98,표16[end_use_category],E$86),"")</f>
        <v>3.0939656964581484E-2</v>
      </c>
      <c r="F98" s="96" t="str">
        <f>IFERROR(AVERAGEIFS(표16[specialty_cagr],표16[specialty_category],$B98,표16[end_use_category],F$86),"")</f>
        <v/>
      </c>
      <c r="G98" s="96" t="str">
        <f>IFERROR(AVERAGEIFS(표16[specialty_cagr],표16[specialty_category],$B98,표16[end_use_category],G$86),"")</f>
        <v/>
      </c>
      <c r="H98" s="97">
        <f>IFERROR(AVERAGEIFS(표16[specialty_cagr],표16[specialty_category],$B98,표16[end_use_category],H$86),"")</f>
        <v>3.0939656964581484E-2</v>
      </c>
      <c r="I98" s="96" t="str">
        <f>IFERROR(AVERAGEIFS(표16[specialty_cagr],표16[specialty_category],$B98,표16[end_use_category],I$86),"")</f>
        <v/>
      </c>
      <c r="J98" s="97">
        <f>IFERROR(AVERAGEIFS(표16[specialty_cagr],표16[specialty_category],$B98,표16[end_use_category],J$86),"")</f>
        <v>3.0939656964581484E-2</v>
      </c>
      <c r="K98" s="97">
        <f>IFERROR(AVERAGEIFS(표16[specialty_cagr],표16[specialty_category],$B98,표16[end_use_category],K$86),"")</f>
        <v>3.0939656964581484E-2</v>
      </c>
      <c r="L98" s="96" t="str">
        <f>IFERROR(AVERAGEIFS(표16[specialty_cagr],표16[specialty_category],$B98,표16[end_use_category],L$86),"")</f>
        <v/>
      </c>
    </row>
    <row r="99" spans="2:12" ht="33">
      <c r="B99" s="84" t="s">
        <v>2431</v>
      </c>
      <c r="C99" s="89" t="s">
        <v>3776</v>
      </c>
      <c r="D99" s="95">
        <f>_xlfn.XLOOKUP(B99,end_use_specialty!$I$2:$I$31,end_use_specialty!$J$2:$J$31)</f>
        <v>3.223448711305988E-2</v>
      </c>
      <c r="E99" s="96" t="str">
        <f>IFERROR(AVERAGEIFS(표16[specialty_cagr],표16[specialty_category],$B99,표16[end_use_category],E$86),"")</f>
        <v/>
      </c>
      <c r="F99" s="97">
        <f>IFERROR(AVERAGEIFS(표16[specialty_cagr],표16[specialty_category],$B99,표16[end_use_category],F$86),"")</f>
        <v>3.223448711305988E-2</v>
      </c>
      <c r="G99" s="96" t="str">
        <f>IFERROR(AVERAGEIFS(표16[specialty_cagr],표16[specialty_category],$B99,표16[end_use_category],G$86),"")</f>
        <v/>
      </c>
      <c r="H99" s="96" t="str">
        <f>IFERROR(AVERAGEIFS(표16[specialty_cagr],표16[specialty_category],$B99,표16[end_use_category],H$86),"")</f>
        <v/>
      </c>
      <c r="I99" s="97">
        <f>IFERROR(AVERAGEIFS(표16[specialty_cagr],표16[specialty_category],$B99,표16[end_use_category],I$86),"")</f>
        <v>3.223448711305988E-2</v>
      </c>
      <c r="J99" s="96" t="str">
        <f>IFERROR(AVERAGEIFS(표16[specialty_cagr],표16[specialty_category],$B99,표16[end_use_category],J$86),"")</f>
        <v/>
      </c>
      <c r="K99" s="96" t="str">
        <f>IFERROR(AVERAGEIFS(표16[specialty_cagr],표16[specialty_category],$B99,표16[end_use_category],K$86),"")</f>
        <v/>
      </c>
      <c r="L99" s="96" t="str">
        <f>IFERROR(AVERAGEIFS(표16[specialty_cagr],표16[specialty_category],$B99,표16[end_use_category],L$86),"")</f>
        <v/>
      </c>
    </row>
    <row r="100" spans="2:12">
      <c r="B100" s="84" t="s">
        <v>2443</v>
      </c>
      <c r="C100" s="89" t="s">
        <v>3777</v>
      </c>
      <c r="D100" s="95">
        <f>_xlfn.XLOOKUP(B100,end_use_specialty!$I$2:$I$31,end_use_specialty!$J$2:$J$31)</f>
        <v>3.12255252955673E-2</v>
      </c>
      <c r="E100" s="96" t="str">
        <f>IFERROR(AVERAGEIFS(표16[specialty_cagr],표16[specialty_category],$B100,표16[end_use_category],E$86),"")</f>
        <v/>
      </c>
      <c r="F100" s="97">
        <f>IFERROR(AVERAGEIFS(표16[specialty_cagr],표16[specialty_category],$B100,표16[end_use_category],F$86),"")</f>
        <v>3.12255252955673E-2</v>
      </c>
      <c r="G100" s="96" t="str">
        <f>IFERROR(AVERAGEIFS(표16[specialty_cagr],표16[specialty_category],$B100,표16[end_use_category],G$86),"")</f>
        <v/>
      </c>
      <c r="H100" s="96" t="str">
        <f>IFERROR(AVERAGEIFS(표16[specialty_cagr],표16[specialty_category],$B100,표16[end_use_category],H$86),"")</f>
        <v/>
      </c>
      <c r="I100" s="96" t="str">
        <f>IFERROR(AVERAGEIFS(표16[specialty_cagr],표16[specialty_category],$B100,표16[end_use_category],I$86),"")</f>
        <v/>
      </c>
      <c r="J100" s="96" t="str">
        <f>IFERROR(AVERAGEIFS(표16[specialty_cagr],표16[specialty_category],$B100,표16[end_use_category],J$86),"")</f>
        <v/>
      </c>
      <c r="K100" s="97">
        <f>IFERROR(AVERAGEIFS(표16[specialty_cagr],표16[specialty_category],$B100,표16[end_use_category],K$86),"")</f>
        <v>3.12255252955673E-2</v>
      </c>
      <c r="L100" s="96" t="str">
        <f>IFERROR(AVERAGEIFS(표16[specialty_cagr],표16[specialty_category],$B100,표16[end_use_category],L$86),"")</f>
        <v/>
      </c>
    </row>
    <row r="101" spans="2:12">
      <c r="B101" s="84" t="s">
        <v>2429</v>
      </c>
      <c r="C101" s="89" t="s">
        <v>3778</v>
      </c>
      <c r="D101" s="95">
        <f>_xlfn.XLOOKUP(B101,end_use_specialty!$I$2:$I$31,end_use_specialty!$J$2:$J$31)</f>
        <v>2.7418968358499603E-2</v>
      </c>
      <c r="E101" s="97">
        <f>IFERROR(AVERAGEIFS(표16[specialty_cagr],표16[specialty_category],$B101,표16[end_use_category],E$86),"")</f>
        <v>2.7418968358499603E-2</v>
      </c>
      <c r="F101" s="97">
        <f>IFERROR(AVERAGEIFS(표16[specialty_cagr],표16[specialty_category],$B101,표16[end_use_category],F$86),"")</f>
        <v>2.7418968358499603E-2</v>
      </c>
      <c r="G101" s="97">
        <f>IFERROR(AVERAGEIFS(표16[specialty_cagr],표16[specialty_category],$B101,표16[end_use_category],G$86),"")</f>
        <v>2.7418968358499603E-2</v>
      </c>
      <c r="H101" s="96" t="str">
        <f>IFERROR(AVERAGEIFS(표16[specialty_cagr],표16[specialty_category],$B101,표16[end_use_category],H$86),"")</f>
        <v/>
      </c>
      <c r="I101" s="96" t="str">
        <f>IFERROR(AVERAGEIFS(표16[specialty_cagr],표16[specialty_category],$B101,표16[end_use_category],I$86),"")</f>
        <v/>
      </c>
      <c r="J101" s="97">
        <f>IFERROR(AVERAGEIFS(표16[specialty_cagr],표16[specialty_category],$B101,표16[end_use_category],J$86),"")</f>
        <v>2.7418968358499603E-2</v>
      </c>
      <c r="K101" s="96" t="str">
        <f>IFERROR(AVERAGEIFS(표16[specialty_cagr],표16[specialty_category],$B101,표16[end_use_category],K$86),"")</f>
        <v/>
      </c>
      <c r="L101" s="97">
        <f>IFERROR(AVERAGEIFS(표16[specialty_cagr],표16[specialty_category],$B101,표16[end_use_category],L$86),"")</f>
        <v>2.7418968358499603E-2</v>
      </c>
    </row>
    <row r="102" spans="2:12">
      <c r="B102" s="84" t="s">
        <v>2437</v>
      </c>
      <c r="C102" s="89" t="s">
        <v>3779</v>
      </c>
      <c r="D102" s="95">
        <f>_xlfn.XLOOKUP(B102,end_use_specialty!$I$2:$I$31,end_use_specialty!$J$2:$J$31)</f>
        <v>2.6834874755905704E-2</v>
      </c>
      <c r="E102" s="97">
        <f>IFERROR(AVERAGEIFS(표16[specialty_cagr],표16[specialty_category],$B102,표16[end_use_category],E$86),"")</f>
        <v>2.6834874755905704E-2</v>
      </c>
      <c r="F102" s="97">
        <f>IFERROR(AVERAGEIFS(표16[specialty_cagr],표16[specialty_category],$B102,표16[end_use_category],F$86),"")</f>
        <v>2.6834874755905704E-2</v>
      </c>
      <c r="G102" s="97">
        <f>IFERROR(AVERAGEIFS(표16[specialty_cagr],표16[specialty_category],$B102,표16[end_use_category],G$86),"")</f>
        <v>2.6834874755905704E-2</v>
      </c>
      <c r="H102" s="96" t="str">
        <f>IFERROR(AVERAGEIFS(표16[specialty_cagr],표16[specialty_category],$B102,표16[end_use_category],H$86),"")</f>
        <v/>
      </c>
      <c r="I102" s="96" t="str">
        <f>IFERROR(AVERAGEIFS(표16[specialty_cagr],표16[specialty_category],$B102,표16[end_use_category],I$86),"")</f>
        <v/>
      </c>
      <c r="J102" s="96" t="str">
        <f>IFERROR(AVERAGEIFS(표16[specialty_cagr],표16[specialty_category],$B102,표16[end_use_category],J$86),"")</f>
        <v/>
      </c>
      <c r="K102" s="97">
        <f>IFERROR(AVERAGEIFS(표16[specialty_cagr],표16[specialty_category],$B102,표16[end_use_category],K$86),"")</f>
        <v>2.6834874755905704E-2</v>
      </c>
      <c r="L102" s="97">
        <f>IFERROR(AVERAGEIFS(표16[specialty_cagr],표16[specialty_category],$B102,표16[end_use_category],L$86),"")</f>
        <v>2.6834874755905704E-2</v>
      </c>
    </row>
    <row r="103" spans="2:12">
      <c r="B103" s="84" t="s">
        <v>1613</v>
      </c>
      <c r="C103" s="89" t="s">
        <v>3780</v>
      </c>
      <c r="D103" s="95">
        <f>_xlfn.XLOOKUP(B103,end_use_specialty!$I$2:$I$31,end_use_specialty!$J$2:$J$31)</f>
        <v>2.6834874755905697E-2</v>
      </c>
      <c r="E103" s="96" t="str">
        <f>IFERROR(AVERAGEIFS(표16[specialty_cagr],표16[specialty_category],$B103,표16[end_use_category],E$86),"")</f>
        <v/>
      </c>
      <c r="F103" s="96" t="str">
        <f>IFERROR(AVERAGEIFS(표16[specialty_cagr],표16[specialty_category],$B103,표16[end_use_category],F$86),"")</f>
        <v/>
      </c>
      <c r="G103" s="97">
        <f>IFERROR(AVERAGEIFS(표16[specialty_cagr],표16[specialty_category],$B103,표16[end_use_category],G$86),"")</f>
        <v>2.6834874755905697E-2</v>
      </c>
      <c r="H103" s="96" t="str">
        <f>IFERROR(AVERAGEIFS(표16[specialty_cagr],표16[specialty_category],$B103,표16[end_use_category],H$86),"")</f>
        <v/>
      </c>
      <c r="I103" s="96" t="str">
        <f>IFERROR(AVERAGEIFS(표16[specialty_cagr],표16[specialty_category],$B103,표16[end_use_category],I$86),"")</f>
        <v/>
      </c>
      <c r="J103" s="96" t="str">
        <f>IFERROR(AVERAGEIFS(표16[specialty_cagr],표16[specialty_category],$B103,표16[end_use_category],J$86),"")</f>
        <v/>
      </c>
      <c r="K103" s="97">
        <f>IFERROR(AVERAGEIFS(표16[specialty_cagr],표16[specialty_category],$B103,표16[end_use_category],K$86),"")</f>
        <v>2.6834874755905697E-2</v>
      </c>
      <c r="L103" s="96" t="str">
        <f>IFERROR(AVERAGEIFS(표16[specialty_cagr],표16[specialty_category],$B103,표16[end_use_category],L$86),"")</f>
        <v/>
      </c>
    </row>
    <row r="104" spans="2:12">
      <c r="B104" s="84" t="s">
        <v>2441</v>
      </c>
      <c r="C104" s="89" t="s">
        <v>3781</v>
      </c>
      <c r="D104" s="95">
        <f>_xlfn.XLOOKUP(B104,end_use_specialty!$I$2:$I$31,end_use_specialty!$J$2:$J$31)</f>
        <v>2.5971133987173222E-2</v>
      </c>
      <c r="E104" s="96" t="str">
        <f>IFERROR(AVERAGEIFS(표16[specialty_cagr],표16[specialty_category],$B104,표16[end_use_category],E$86),"")</f>
        <v/>
      </c>
      <c r="F104" s="97">
        <f>IFERROR(AVERAGEIFS(표16[specialty_cagr],표16[specialty_category],$B104,표16[end_use_category],F$86),"")</f>
        <v>2.5971133987173222E-2</v>
      </c>
      <c r="G104" s="97" t="str">
        <f>IFERROR(AVERAGEIFS(표16[specialty_cagr],표16[specialty_category],$B104,표16[end_use_category],G$86),"")</f>
        <v/>
      </c>
      <c r="H104" s="96" t="str">
        <f>IFERROR(AVERAGEIFS(표16[specialty_cagr],표16[specialty_category],$B104,표16[end_use_category],H$86),"")</f>
        <v/>
      </c>
      <c r="I104" s="96" t="str">
        <f>IFERROR(AVERAGEIFS(표16[specialty_cagr],표16[specialty_category],$B104,표16[end_use_category],I$86),"")</f>
        <v/>
      </c>
      <c r="J104" s="96" t="str">
        <f>IFERROR(AVERAGEIFS(표16[specialty_cagr],표16[specialty_category],$B104,표16[end_use_category],J$86),"")</f>
        <v/>
      </c>
      <c r="K104" s="97">
        <f>IFERROR(AVERAGEIFS(표16[specialty_cagr],표16[specialty_category],$B104,표16[end_use_category],K$86),"")</f>
        <v>2.5971133987173222E-2</v>
      </c>
      <c r="L104" s="96" t="str">
        <f>IFERROR(AVERAGEIFS(표16[specialty_cagr],표16[specialty_category],$B104,표16[end_use_category],L$86),"")</f>
        <v/>
      </c>
    </row>
    <row r="105" spans="2:12">
      <c r="B105" s="84" t="s">
        <v>1757</v>
      </c>
      <c r="C105" s="89" t="s">
        <v>3782</v>
      </c>
      <c r="D105" s="95">
        <f>_xlfn.XLOOKUP(B105,end_use_specialty!$I$2:$I$31,end_use_specialty!$J$2:$J$31)</f>
        <v>2.5897744918987699E-2</v>
      </c>
      <c r="E105" s="96" t="str">
        <f>IFERROR(AVERAGEIFS(표16[specialty_cagr],표16[specialty_category],$B105,표16[end_use_category],E$86),"")</f>
        <v/>
      </c>
      <c r="F105" s="97">
        <f>IFERROR(AVERAGEIFS(표16[specialty_cagr],표16[specialty_category],$B105,표16[end_use_category],F$86),"")</f>
        <v>2.5897744918987699E-2</v>
      </c>
      <c r="G105" s="96" t="str">
        <f>IFERROR(AVERAGEIFS(표16[specialty_cagr],표16[specialty_category],$B105,표16[end_use_category],G$86),"")</f>
        <v/>
      </c>
      <c r="H105" s="96" t="str">
        <f>IFERROR(AVERAGEIFS(표16[specialty_cagr],표16[specialty_category],$B105,표16[end_use_category],H$86),"")</f>
        <v/>
      </c>
      <c r="I105" s="96" t="str">
        <f>IFERROR(AVERAGEIFS(표16[specialty_cagr],표16[specialty_category],$B105,표16[end_use_category],I$86),"")</f>
        <v/>
      </c>
      <c r="J105" s="96" t="str">
        <f>IFERROR(AVERAGEIFS(표16[specialty_cagr],표16[specialty_category],$B105,표16[end_use_category],J$86),"")</f>
        <v/>
      </c>
      <c r="K105" s="97">
        <f>IFERROR(AVERAGEIFS(표16[specialty_cagr],표16[specialty_category],$B105,표16[end_use_category],K$86),"")</f>
        <v>2.5897744918987699E-2</v>
      </c>
      <c r="L105" s="96" t="str">
        <f>IFERROR(AVERAGEIFS(표16[specialty_cagr],표16[specialty_category],$B105,표16[end_use_category],L$86),"")</f>
        <v/>
      </c>
    </row>
    <row r="106" spans="2:12">
      <c r="B106" s="84" t="s">
        <v>2434</v>
      </c>
      <c r="C106" s="89" t="s">
        <v>3783</v>
      </c>
      <c r="D106" s="95">
        <f>_xlfn.XLOOKUP(B106,end_use_specialty!$I$2:$I$31,end_use_specialty!$J$2:$J$31)</f>
        <v>2.55659128814585E-2</v>
      </c>
      <c r="E106" s="96" t="str">
        <f>IFERROR(AVERAGEIFS(표16[specialty_cagr],표16[specialty_category],$B106,표16[end_use_category],E$86),"")</f>
        <v/>
      </c>
      <c r="F106" s="97">
        <f>IFERROR(AVERAGEIFS(표16[specialty_cagr],표16[specialty_category],$B106,표16[end_use_category],F$86),"")</f>
        <v>2.55659128814585E-2</v>
      </c>
      <c r="G106" s="96" t="str">
        <f>IFERROR(AVERAGEIFS(표16[specialty_cagr],표16[specialty_category],$B106,표16[end_use_category],G$86),"")</f>
        <v/>
      </c>
      <c r="H106" s="96" t="str">
        <f>IFERROR(AVERAGEIFS(표16[specialty_cagr],표16[specialty_category],$B106,표16[end_use_category],H$86),"")</f>
        <v/>
      </c>
      <c r="I106" s="97">
        <f>IFERROR(AVERAGEIFS(표16[specialty_cagr],표16[specialty_category],$B106,표16[end_use_category],I$86),"")</f>
        <v>2.55659128814585E-2</v>
      </c>
      <c r="J106" s="96" t="str">
        <f>IFERROR(AVERAGEIFS(표16[specialty_cagr],표16[specialty_category],$B106,표16[end_use_category],J$86),"")</f>
        <v/>
      </c>
      <c r="K106" s="96" t="str">
        <f>IFERROR(AVERAGEIFS(표16[specialty_cagr],표16[specialty_category],$B106,표16[end_use_category],K$86),"")</f>
        <v/>
      </c>
      <c r="L106" s="96" t="str">
        <f>IFERROR(AVERAGEIFS(표16[specialty_cagr],표16[specialty_category],$B106,표16[end_use_category],L$86),"")</f>
        <v/>
      </c>
    </row>
    <row r="107" spans="2:12">
      <c r="B107" s="84" t="s">
        <v>1374</v>
      </c>
      <c r="C107" s="89" t="s">
        <v>3784</v>
      </c>
      <c r="D107" s="95">
        <f>_xlfn.XLOOKUP(B107,end_use_specialty!$I$2:$I$31,end_use_specialty!$J$2:$J$31)</f>
        <v>2.4455755404203302E-2</v>
      </c>
      <c r="E107" s="96" t="str">
        <f>IFERROR(AVERAGEIFS(표16[specialty_cagr],표16[specialty_category],$B107,표16[end_use_category],E$86),"")</f>
        <v/>
      </c>
      <c r="F107" s="97">
        <f>IFERROR(AVERAGEIFS(표16[specialty_cagr],표16[specialty_category],$B107,표16[end_use_category],F$86),"")</f>
        <v>2.4455755404203302E-2</v>
      </c>
      <c r="G107" s="96" t="str">
        <f>IFERROR(AVERAGEIFS(표16[specialty_cagr],표16[specialty_category],$B107,표16[end_use_category],G$86),"")</f>
        <v/>
      </c>
      <c r="H107" s="96" t="str">
        <f>IFERROR(AVERAGEIFS(표16[specialty_cagr],표16[specialty_category],$B107,표16[end_use_category],H$86),"")</f>
        <v/>
      </c>
      <c r="I107" s="97">
        <f>IFERROR(AVERAGEIFS(표16[specialty_cagr],표16[specialty_category],$B107,표16[end_use_category],I$86),"")</f>
        <v>2.4455755404203302E-2</v>
      </c>
      <c r="J107" s="97">
        <f>IFERROR(AVERAGEIFS(표16[specialty_cagr],표16[specialty_category],$B107,표16[end_use_category],J$86),"")</f>
        <v>2.4455755404203302E-2</v>
      </c>
      <c r="K107" s="96" t="str">
        <f>IFERROR(AVERAGEIFS(표16[specialty_cagr],표16[specialty_category],$B107,표16[end_use_category],K$86),"")</f>
        <v/>
      </c>
      <c r="L107" s="96" t="str">
        <f>IFERROR(AVERAGEIFS(표16[specialty_cagr],표16[specialty_category],$B107,표16[end_use_category],L$86),"")</f>
        <v/>
      </c>
    </row>
    <row r="108" spans="2:12">
      <c r="B108" s="84" t="s">
        <v>2483</v>
      </c>
      <c r="C108" s="89" t="s">
        <v>3785</v>
      </c>
      <c r="D108" s="95">
        <f>_xlfn.XLOOKUP(B108,end_use_specialty!$I$2:$I$31,end_use_specialty!$J$2:$J$31)</f>
        <v>2.43946421399239E-2</v>
      </c>
      <c r="E108" s="96" t="str">
        <f>IFERROR(AVERAGEIFS(표16[specialty_cagr],표16[specialty_category],$B108,표16[end_use_category],E$86),"")</f>
        <v/>
      </c>
      <c r="F108" s="96" t="str">
        <f>IFERROR(AVERAGEIFS(표16[specialty_cagr],표16[specialty_category],$B108,표16[end_use_category],F$86),"")</f>
        <v/>
      </c>
      <c r="G108" s="96" t="str">
        <f>IFERROR(AVERAGEIFS(표16[specialty_cagr],표16[specialty_category],$B108,표16[end_use_category],G$86),"")</f>
        <v/>
      </c>
      <c r="H108" s="96" t="str">
        <f>IFERROR(AVERAGEIFS(표16[specialty_cagr],표16[specialty_category],$B108,표16[end_use_category],H$86),"")</f>
        <v/>
      </c>
      <c r="I108" s="96" t="str">
        <f>IFERROR(AVERAGEIFS(표16[specialty_cagr],표16[specialty_category],$B108,표16[end_use_category],I$86),"")</f>
        <v/>
      </c>
      <c r="J108" s="97">
        <f>IFERROR(AVERAGEIFS(표16[specialty_cagr],표16[specialty_category],$B108,표16[end_use_category],J$86),"")</f>
        <v>2.43946421399239E-2</v>
      </c>
      <c r="K108" s="96" t="str">
        <f>IFERROR(AVERAGEIFS(표16[specialty_cagr],표16[specialty_category],$B108,표16[end_use_category],K$86),"")</f>
        <v/>
      </c>
      <c r="L108" s="96" t="str">
        <f>IFERROR(AVERAGEIFS(표16[specialty_cagr],표16[specialty_category],$B108,표16[end_use_category],L$86),"")</f>
        <v/>
      </c>
    </row>
    <row r="109" spans="2:12">
      <c r="B109" s="84" t="s">
        <v>2452</v>
      </c>
      <c r="C109" s="89" t="s">
        <v>3786</v>
      </c>
      <c r="D109" s="95">
        <f>_xlfn.XLOOKUP(B109,end_use_specialty!$I$2:$I$31,end_use_specialty!$J$2:$J$31)</f>
        <v>2.30256712917403E-2</v>
      </c>
      <c r="E109" s="96" t="str">
        <f>IFERROR(AVERAGEIFS(표16[specialty_cagr],표16[specialty_category],$B109,표16[end_use_category],E$86),"")</f>
        <v/>
      </c>
      <c r="F109" s="96" t="str">
        <f>IFERROR(AVERAGEIFS(표16[specialty_cagr],표16[specialty_category],$B109,표16[end_use_category],F$86),"")</f>
        <v/>
      </c>
      <c r="G109" s="97">
        <f>IFERROR(AVERAGEIFS(표16[specialty_cagr],표16[specialty_category],$B109,표16[end_use_category],G$86),"")</f>
        <v>2.30256712917403E-2</v>
      </c>
      <c r="H109" s="97">
        <f>IFERROR(AVERAGEIFS(표16[specialty_cagr],표16[specialty_category],$B109,표16[end_use_category],H$86),"")</f>
        <v>2.30256712917403E-2</v>
      </c>
      <c r="I109" s="96" t="str">
        <f>IFERROR(AVERAGEIFS(표16[specialty_cagr],표16[specialty_category],$B109,표16[end_use_category],I$86),"")</f>
        <v/>
      </c>
      <c r="J109" s="96" t="str">
        <f>IFERROR(AVERAGEIFS(표16[specialty_cagr],표16[specialty_category],$B109,표16[end_use_category],J$86),"")</f>
        <v/>
      </c>
      <c r="K109" s="97">
        <f>IFERROR(AVERAGEIFS(표16[specialty_cagr],표16[specialty_category],$B109,표16[end_use_category],K$86),"")</f>
        <v>2.30256712917403E-2</v>
      </c>
      <c r="L109" s="96" t="str">
        <f>IFERROR(AVERAGEIFS(표16[specialty_cagr],표16[specialty_category],$B109,표16[end_use_category],L$86),"")</f>
        <v/>
      </c>
    </row>
    <row r="110" spans="2:12">
      <c r="B110" s="84" t="s">
        <v>2439</v>
      </c>
      <c r="C110" s="89" t="s">
        <v>3787</v>
      </c>
      <c r="D110" s="95">
        <f>_xlfn.XLOOKUP(B110,end_use_specialty!$I$2:$I$31,end_use_specialty!$J$2:$J$31)</f>
        <v>1.6821351660500698E-2</v>
      </c>
      <c r="E110" s="96" t="str">
        <f>IFERROR(AVERAGEIFS(표16[specialty_cagr],표16[specialty_category],$B110,표16[end_use_category],E$86),"")</f>
        <v/>
      </c>
      <c r="F110" s="97">
        <f>IFERROR(AVERAGEIFS(표16[specialty_cagr],표16[specialty_category],$B110,표16[end_use_category],F$86),"")</f>
        <v>1.6821351660500698E-2</v>
      </c>
      <c r="G110" s="96" t="str">
        <f>IFERROR(AVERAGEIFS(표16[specialty_cagr],표16[specialty_category],$B110,표16[end_use_category],G$86),"")</f>
        <v/>
      </c>
      <c r="H110" s="96" t="str">
        <f>IFERROR(AVERAGEIFS(표16[specialty_cagr],표16[specialty_category],$B110,표16[end_use_category],H$86),"")</f>
        <v/>
      </c>
      <c r="I110" s="96" t="str">
        <f>IFERROR(AVERAGEIFS(표16[specialty_cagr],표16[specialty_category],$B110,표16[end_use_category],I$86),"")</f>
        <v/>
      </c>
      <c r="J110" s="96" t="str">
        <f>IFERROR(AVERAGEIFS(표16[specialty_cagr],표16[specialty_category],$B110,표16[end_use_category],J$86),"")</f>
        <v/>
      </c>
      <c r="K110" s="97">
        <f>IFERROR(AVERAGEIFS(표16[specialty_cagr],표16[specialty_category],$B110,표16[end_use_category],K$86),"")</f>
        <v>1.6821351660500698E-2</v>
      </c>
      <c r="L110" s="96" t="str">
        <f>IFERROR(AVERAGEIFS(표16[specialty_cagr],표16[specialty_category],$B110,표16[end_use_category],L$86),"")</f>
        <v/>
      </c>
    </row>
    <row r="111" spans="2:12">
      <c r="B111" s="84" t="s">
        <v>3521</v>
      </c>
      <c r="C111" s="89" t="s">
        <v>3788</v>
      </c>
      <c r="D111" s="95">
        <f>_xlfn.XLOOKUP(B111,end_use_specialty!$I$2:$I$31,end_use_specialty!$J$2:$J$31)</f>
        <v>1.4720545753807098E-2</v>
      </c>
      <c r="E111" s="97">
        <f>IFERROR(AVERAGEIFS(표16[specialty_cagr],표16[specialty_category],$B111,표16[end_use_category],E$86),"")</f>
        <v>1.4720545753807098E-2</v>
      </c>
      <c r="F111" s="96" t="str">
        <f>IFERROR(AVERAGEIFS(표16[specialty_cagr],표16[specialty_category],$B111,표16[end_use_category],F$86),"")</f>
        <v/>
      </c>
      <c r="G111" s="96" t="str">
        <f>IFERROR(AVERAGEIFS(표16[specialty_cagr],표16[specialty_category],$B111,표16[end_use_category],G$86),"")</f>
        <v/>
      </c>
      <c r="H111" s="96" t="str">
        <f>IFERROR(AVERAGEIFS(표16[specialty_cagr],표16[specialty_category],$B111,표16[end_use_category],H$86),"")</f>
        <v/>
      </c>
      <c r="I111" s="96" t="str">
        <f>IFERROR(AVERAGEIFS(표16[specialty_cagr],표16[specialty_category],$B111,표16[end_use_category],I$86),"")</f>
        <v/>
      </c>
      <c r="J111" s="96" t="str">
        <f>IFERROR(AVERAGEIFS(표16[specialty_cagr],표16[specialty_category],$B111,표16[end_use_category],J$86),"")</f>
        <v/>
      </c>
      <c r="K111" s="96" t="str">
        <f>IFERROR(AVERAGEIFS(표16[specialty_cagr],표16[specialty_category],$B111,표16[end_use_category],K$86),"")</f>
        <v/>
      </c>
      <c r="L111" s="96" t="str">
        <f>IFERROR(AVERAGEIFS(표16[specialty_cagr],표16[specialty_category],$B111,표16[end_use_category],L$86),"")</f>
        <v/>
      </c>
    </row>
    <row r="112" spans="2:12">
      <c r="B112" s="84" t="s">
        <v>2474</v>
      </c>
      <c r="C112" s="89" t="s">
        <v>3789</v>
      </c>
      <c r="D112" s="95">
        <f>_xlfn.XLOOKUP(B112,end_use_specialty!$I$2:$I$31,end_use_specialty!$J$2:$J$31)</f>
        <v>1.5273438483911087E-2</v>
      </c>
      <c r="E112" s="96" t="str">
        <f>IFERROR(AVERAGEIFS(표16[specialty_cagr],표16[specialty_category],$B112,표16[end_use_category],E$86),"")</f>
        <v/>
      </c>
      <c r="F112" s="96" t="str">
        <f>IFERROR(AVERAGEIFS(표16[specialty_cagr],표16[specialty_category],$B112,표16[end_use_category],F$86),"")</f>
        <v/>
      </c>
      <c r="G112" s="96" t="str">
        <f>IFERROR(AVERAGEIFS(표16[specialty_cagr],표16[specialty_category],$B112,표16[end_use_category],G$86),"")</f>
        <v/>
      </c>
      <c r="H112" s="97">
        <f>IFERROR(AVERAGEIFS(표16[specialty_cagr],표16[specialty_category],$B112,표16[end_use_category],H$86),"")</f>
        <v>1.5273438483911087E-2</v>
      </c>
      <c r="I112" s="96" t="str">
        <f>IFERROR(AVERAGEIFS(표16[specialty_cagr],표16[specialty_category],$B112,표16[end_use_category],I$86),"")</f>
        <v/>
      </c>
      <c r="J112" s="96" t="str">
        <f>IFERROR(AVERAGEIFS(표16[specialty_cagr],표16[specialty_category],$B112,표16[end_use_category],J$86),"")</f>
        <v/>
      </c>
      <c r="K112" s="97">
        <f>IFERROR(AVERAGEIFS(표16[specialty_cagr],표16[specialty_category],$B112,표16[end_use_category],K$86),"")</f>
        <v>1.5273438483911087E-2</v>
      </c>
      <c r="L112" s="96" t="str">
        <f>IFERROR(AVERAGEIFS(표16[specialty_cagr],표16[specialty_category],$B112,표16[end_use_category],L$86),"")</f>
        <v/>
      </c>
    </row>
    <row r="113" spans="2:12">
      <c r="B113" s="84" t="s">
        <v>1589</v>
      </c>
      <c r="C113" s="89" t="s">
        <v>3790</v>
      </c>
      <c r="D113" s="95">
        <f>_xlfn.XLOOKUP(B113,end_use_specialty!$I$2:$I$31,end_use_specialty!$J$2:$J$31)</f>
        <v>7.0381303335329487E-3</v>
      </c>
      <c r="E113" s="96" t="str">
        <f>IFERROR(AVERAGEIFS(표16[specialty_cagr],표16[specialty_category],$B113,표16[end_use_category],E$86),"")</f>
        <v/>
      </c>
      <c r="F113" s="96" t="str">
        <f>IFERROR(AVERAGEIFS(표16[specialty_cagr],표16[specialty_category],$B113,표16[end_use_category],F$86),"")</f>
        <v/>
      </c>
      <c r="G113" s="97">
        <f>IFERROR(AVERAGEIFS(표16[specialty_cagr],표16[specialty_category],$B113,표16[end_use_category],G$86),"")</f>
        <v>7.0381303335329487E-3</v>
      </c>
      <c r="H113" s="97">
        <f>IFERROR(AVERAGEIFS(표16[specialty_cagr],표16[specialty_category],$B113,표16[end_use_category],H$86),"")</f>
        <v>7.0381303335329487E-3</v>
      </c>
      <c r="I113" s="96" t="str">
        <f>IFERROR(AVERAGEIFS(표16[specialty_cagr],표16[specialty_category],$B113,표16[end_use_category],I$86),"")</f>
        <v/>
      </c>
      <c r="J113" s="96" t="str">
        <f>IFERROR(AVERAGEIFS(표16[specialty_cagr],표16[specialty_category],$B113,표16[end_use_category],J$86),"")</f>
        <v/>
      </c>
      <c r="K113" s="97">
        <f>IFERROR(AVERAGEIFS(표16[specialty_cagr],표16[specialty_category],$B113,표16[end_use_category],K$86),"")</f>
        <v>7.0381303335329487E-3</v>
      </c>
      <c r="L113" s="96" t="str">
        <f>IFERROR(AVERAGEIFS(표16[specialty_cagr],표16[specialty_category],$B113,표16[end_use_category],L$86),"")</f>
        <v/>
      </c>
    </row>
    <row r="114" spans="2:12">
      <c r="B114" s="84" t="s">
        <v>2463</v>
      </c>
      <c r="C114" s="89" t="s">
        <v>3791</v>
      </c>
      <c r="D114" s="95">
        <f>_xlfn.XLOOKUP(B114,end_use_specialty!$I$2:$I$31,end_use_specialty!$J$2:$J$31)</f>
        <v>1.197013105699463E-2</v>
      </c>
      <c r="E114" s="96" t="str">
        <f>IFERROR(AVERAGEIFS(표16[specialty_cagr],표16[specialty_category],$B114,표16[end_use_category],E$86),"")</f>
        <v/>
      </c>
      <c r="F114" s="96" t="str">
        <f>IFERROR(AVERAGEIFS(표16[specialty_cagr],표16[specialty_category],$B114,표16[end_use_category],F$86),"")</f>
        <v/>
      </c>
      <c r="G114" s="96" t="str">
        <f>IFERROR(AVERAGEIFS(표16[specialty_cagr],표16[specialty_category],$B114,표16[end_use_category],G$86),"")</f>
        <v/>
      </c>
      <c r="H114" s="97">
        <f>IFERROR(AVERAGEIFS(표16[specialty_cagr],표16[specialty_category],$B114,표16[end_use_category],H$86),"")</f>
        <v>1.197013105699463E-2</v>
      </c>
      <c r="I114" s="96" t="str">
        <f>IFERROR(AVERAGEIFS(표16[specialty_cagr],표16[specialty_category],$B114,표16[end_use_category],I$86),"")</f>
        <v/>
      </c>
      <c r="J114" s="96" t="str">
        <f>IFERROR(AVERAGEIFS(표16[specialty_cagr],표16[specialty_category],$B114,표16[end_use_category],J$86),"")</f>
        <v/>
      </c>
      <c r="K114" s="96" t="str">
        <f>IFERROR(AVERAGEIFS(표16[specialty_cagr],표16[specialty_category],$B114,표16[end_use_category],K$86),"")</f>
        <v/>
      </c>
      <c r="L114" s="96" t="str">
        <f>IFERROR(AVERAGEIFS(표16[specialty_cagr],표16[specialty_category],$B114,표16[end_use_category],L$86),"")</f>
        <v/>
      </c>
    </row>
    <row r="115" spans="2:12">
      <c r="B115" s="84" t="s">
        <v>2465</v>
      </c>
      <c r="C115" s="89" t="s">
        <v>3792</v>
      </c>
      <c r="D115" s="95">
        <f>_xlfn.XLOOKUP(B115,end_use_specialty!$I$2:$I$31,end_use_specialty!$J$2:$J$31)</f>
        <v>1.1686241213918851E-4</v>
      </c>
      <c r="E115" s="96" t="str">
        <f>IFERROR(AVERAGEIFS(표16[specialty_cagr],표16[specialty_category],$B115,표16[end_use_category],E$86),"")</f>
        <v/>
      </c>
      <c r="F115" s="96" t="str">
        <f>IFERROR(AVERAGEIFS(표16[specialty_cagr],표16[specialty_category],$B115,표16[end_use_category],F$86),"")</f>
        <v/>
      </c>
      <c r="G115" s="96" t="str">
        <f>IFERROR(AVERAGEIFS(표16[specialty_cagr],표16[specialty_category],$B115,표16[end_use_category],G$86),"")</f>
        <v/>
      </c>
      <c r="H115" s="97">
        <f>IFERROR(AVERAGEIFS(표16[specialty_cagr],표16[specialty_category],$B115,표16[end_use_category],H$86),"")</f>
        <v>1.1686241213918851E-4</v>
      </c>
      <c r="I115" s="96" t="str">
        <f>IFERROR(AVERAGEIFS(표16[specialty_cagr],표16[specialty_category],$B115,표16[end_use_category],I$86),"")</f>
        <v/>
      </c>
      <c r="J115" s="96" t="str">
        <f>IFERROR(AVERAGEIFS(표16[specialty_cagr],표16[specialty_category],$B115,표16[end_use_category],J$86),"")</f>
        <v/>
      </c>
      <c r="K115" s="97">
        <f>IFERROR(AVERAGEIFS(표16[specialty_cagr],표16[specialty_category],$B115,표16[end_use_category],K$86),"")</f>
        <v>1.1686241213918851E-4</v>
      </c>
      <c r="L115" s="96" t="str">
        <f>IFERROR(AVERAGEIFS(표16[specialty_cagr],표16[specialty_category],$B115,표16[end_use_category],L$86),"")</f>
        <v/>
      </c>
    </row>
    <row r="116" spans="2:12">
      <c r="B116" s="84" t="s">
        <v>2455</v>
      </c>
      <c r="C116" s="89" t="s">
        <v>3793</v>
      </c>
      <c r="D116" s="95">
        <f>_xlfn.XLOOKUP(B116,end_use_specialty!$I$2:$I$31,end_use_specialty!$J$2:$J$31)</f>
        <v>-4.0973241488456498E-2</v>
      </c>
      <c r="E116" s="96" t="str">
        <f>IFERROR(AVERAGEIFS(표16[specialty_cagr],표16[specialty_category],$B116,표16[end_use_category],E$86),"")</f>
        <v/>
      </c>
      <c r="F116" s="96" t="str">
        <f>IFERROR(AVERAGEIFS(표16[specialty_cagr],표16[specialty_category],$B116,표16[end_use_category],F$86),"")</f>
        <v/>
      </c>
      <c r="G116" s="97">
        <f>IFERROR(AVERAGEIFS(표16[specialty_cagr],표16[specialty_category],$B116,표16[end_use_category],G$86),"")</f>
        <v>-4.0973241488456498E-2</v>
      </c>
      <c r="H116" s="97">
        <f>IFERROR(AVERAGEIFS(표16[specialty_cagr],표16[specialty_category],$B116,표16[end_use_category],H$86),"")</f>
        <v>-4.0973241488456498E-2</v>
      </c>
      <c r="I116" s="96" t="str">
        <f>IFERROR(AVERAGEIFS(표16[specialty_cagr],표16[specialty_category],$B116,표16[end_use_category],I$86),"")</f>
        <v/>
      </c>
      <c r="J116" s="96" t="str">
        <f>IFERROR(AVERAGEIFS(표16[specialty_cagr],표16[specialty_category],$B116,표16[end_use_category],J$86),"")</f>
        <v/>
      </c>
      <c r="K116" s="96" t="str">
        <f>IFERROR(AVERAGEIFS(표16[specialty_cagr],표16[specialty_category],$B116,표16[end_use_category],K$86),"")</f>
        <v/>
      </c>
      <c r="L116" s="96" t="str">
        <f>IFERROR(AVERAGEIFS(표16[specialty_cagr],표16[specialty_category],$B116,표16[end_use_category],L$86),"")</f>
        <v/>
      </c>
    </row>
    <row r="117" spans="2:12">
      <c r="B117"/>
      <c r="C117" s="90"/>
      <c r="D117"/>
      <c r="E117"/>
      <c r="F117"/>
      <c r="G117"/>
      <c r="H117"/>
      <c r="I117"/>
      <c r="J117"/>
    </row>
    <row r="118" spans="2:12">
      <c r="B118"/>
      <c r="C118" s="90"/>
      <c r="D118"/>
      <c r="E118"/>
      <c r="F118"/>
      <c r="G118"/>
      <c r="H118"/>
      <c r="I118"/>
      <c r="J118"/>
    </row>
    <row r="119" spans="2:12">
      <c r="B119"/>
      <c r="C119" s="90"/>
      <c r="D119"/>
      <c r="E119"/>
      <c r="F119"/>
      <c r="G119"/>
      <c r="H119"/>
      <c r="I119"/>
      <c r="J119"/>
    </row>
    <row r="120" spans="2:12">
      <c r="B120"/>
      <c r="C120" s="90"/>
      <c r="D120"/>
      <c r="E120"/>
      <c r="F120"/>
      <c r="G120"/>
      <c r="H120"/>
      <c r="I120"/>
      <c r="J120"/>
    </row>
    <row r="121" spans="2:12">
      <c r="B121"/>
      <c r="C121" s="90"/>
      <c r="D121"/>
      <c r="E121"/>
      <c r="F121"/>
      <c r="G121"/>
      <c r="H121"/>
      <c r="I121"/>
      <c r="J121"/>
    </row>
    <row r="122" spans="2:12">
      <c r="B122"/>
      <c r="C122" s="90"/>
      <c r="D122"/>
      <c r="E122"/>
      <c r="F122"/>
      <c r="G122"/>
      <c r="H122"/>
      <c r="I122"/>
      <c r="J122"/>
    </row>
    <row r="123" spans="2:12">
      <c r="B123"/>
      <c r="C123" s="90"/>
      <c r="D123"/>
      <c r="E123"/>
      <c r="F123"/>
      <c r="G123"/>
      <c r="H123"/>
      <c r="I123"/>
      <c r="J123"/>
    </row>
    <row r="124" spans="2:12">
      <c r="B124"/>
      <c r="C124" s="90"/>
      <c r="D124"/>
      <c r="E124"/>
      <c r="F124"/>
      <c r="G124"/>
      <c r="H124"/>
      <c r="I124"/>
      <c r="J124"/>
    </row>
    <row r="125" spans="2:12">
      <c r="B125"/>
      <c r="C125" s="90"/>
      <c r="D125"/>
      <c r="E125"/>
      <c r="F125"/>
      <c r="G125"/>
      <c r="H125"/>
      <c r="I125"/>
      <c r="J125"/>
    </row>
    <row r="126" spans="2:12">
      <c r="B126"/>
      <c r="C126" s="90"/>
      <c r="D126"/>
      <c r="E126"/>
      <c r="F126"/>
      <c r="G126"/>
      <c r="H126"/>
      <c r="I126"/>
      <c r="J126"/>
    </row>
    <row r="127" spans="2:12">
      <c r="B127"/>
      <c r="C127" s="90"/>
      <c r="D127"/>
      <c r="E127"/>
      <c r="F127"/>
      <c r="G127"/>
      <c r="H127"/>
      <c r="I127"/>
      <c r="J127"/>
    </row>
    <row r="128" spans="2:12">
      <c r="B128"/>
      <c r="C128" s="90"/>
      <c r="D128"/>
      <c r="E128"/>
      <c r="F128"/>
      <c r="G128"/>
      <c r="H128"/>
      <c r="I128"/>
      <c r="J128"/>
    </row>
    <row r="129" spans="2:10">
      <c r="B129"/>
      <c r="C129" s="90"/>
      <c r="D129"/>
      <c r="E129"/>
      <c r="F129"/>
      <c r="G129"/>
      <c r="H129"/>
      <c r="I129"/>
      <c r="J129"/>
    </row>
    <row r="130" spans="2:10">
      <c r="B130"/>
      <c r="C130" s="90"/>
      <c r="D130"/>
      <c r="E130"/>
      <c r="F130"/>
      <c r="G130"/>
      <c r="H130"/>
      <c r="I130"/>
      <c r="J130"/>
    </row>
    <row r="131" spans="2:10">
      <c r="B131"/>
      <c r="C131" s="90"/>
      <c r="D131"/>
      <c r="E131"/>
      <c r="F131"/>
      <c r="G131"/>
      <c r="H131"/>
      <c r="I131"/>
      <c r="J131"/>
    </row>
    <row r="132" spans="2:10">
      <c r="B132"/>
      <c r="C132" s="90"/>
      <c r="D132"/>
      <c r="E132"/>
      <c r="F132"/>
      <c r="G132"/>
      <c r="H132"/>
      <c r="I132"/>
      <c r="J132"/>
    </row>
    <row r="133" spans="2:10">
      <c r="B133"/>
      <c r="C133" s="90"/>
      <c r="D133"/>
      <c r="E133"/>
      <c r="F133"/>
      <c r="G133"/>
      <c r="H133"/>
      <c r="I133"/>
      <c r="J133"/>
    </row>
    <row r="134" spans="2:10">
      <c r="B134"/>
      <c r="C134" s="90"/>
      <c r="D134"/>
      <c r="E134"/>
      <c r="F134"/>
      <c r="G134"/>
      <c r="H134"/>
      <c r="I134"/>
      <c r="J134"/>
    </row>
    <row r="135" spans="2:10">
      <c r="B135"/>
      <c r="C135" s="90"/>
      <c r="D135"/>
      <c r="E135"/>
      <c r="F135"/>
      <c r="G135"/>
      <c r="H135"/>
      <c r="I135"/>
      <c r="J135"/>
    </row>
    <row r="136" spans="2:10">
      <c r="B136"/>
      <c r="C136" s="90"/>
      <c r="D136"/>
      <c r="E136"/>
      <c r="F136"/>
      <c r="G136"/>
      <c r="H136"/>
      <c r="I136"/>
      <c r="J136"/>
    </row>
    <row r="137" spans="2:10">
      <c r="B137"/>
      <c r="C137" s="90"/>
      <c r="D137"/>
      <c r="E137"/>
      <c r="F137"/>
      <c r="G137"/>
      <c r="H137"/>
      <c r="I137"/>
      <c r="J137"/>
    </row>
    <row r="138" spans="2:10">
      <c r="B138"/>
      <c r="C138" s="90"/>
      <c r="D138"/>
      <c r="E138"/>
      <c r="F138"/>
      <c r="G138"/>
      <c r="H138"/>
      <c r="I138"/>
      <c r="J138"/>
    </row>
    <row r="139" spans="2:10">
      <c r="B139"/>
      <c r="C139" s="90"/>
      <c r="D139"/>
      <c r="E139"/>
      <c r="F139"/>
      <c r="G139"/>
      <c r="H139"/>
      <c r="I139"/>
      <c r="J139"/>
    </row>
    <row r="140" spans="2:10">
      <c r="B140"/>
      <c r="C140" s="90"/>
      <c r="D140"/>
      <c r="E140"/>
      <c r="F140"/>
      <c r="G140"/>
      <c r="H140"/>
      <c r="I140"/>
      <c r="J140"/>
    </row>
    <row r="141" spans="2:10">
      <c r="B141"/>
      <c r="C141" s="90"/>
      <c r="D141"/>
      <c r="E141"/>
      <c r="F141"/>
      <c r="G141"/>
      <c r="H141"/>
      <c r="I141"/>
      <c r="J141"/>
    </row>
    <row r="142" spans="2:10">
      <c r="B142"/>
      <c r="C142" s="90"/>
      <c r="D142"/>
      <c r="E142"/>
      <c r="F142"/>
      <c r="G142"/>
      <c r="H142"/>
      <c r="I142"/>
      <c r="J142"/>
    </row>
    <row r="143" spans="2:10">
      <c r="B143"/>
      <c r="C143" s="90"/>
      <c r="D143"/>
      <c r="E143"/>
      <c r="F143"/>
      <c r="G143"/>
      <c r="H143"/>
      <c r="I143"/>
      <c r="J143"/>
    </row>
    <row r="144" spans="2:10">
      <c r="B144"/>
      <c r="C144" s="90"/>
      <c r="D144"/>
      <c r="E144"/>
      <c r="F144"/>
      <c r="G144"/>
      <c r="H144"/>
      <c r="I144"/>
      <c r="J144"/>
    </row>
    <row r="145" spans="2:10">
      <c r="B145"/>
      <c r="C145" s="90"/>
      <c r="D145"/>
      <c r="E145"/>
      <c r="F145"/>
      <c r="G145"/>
      <c r="H145"/>
      <c r="I145"/>
      <c r="J145"/>
    </row>
    <row r="146" spans="2:10">
      <c r="B146"/>
      <c r="C146" s="90"/>
      <c r="D146"/>
      <c r="E146"/>
      <c r="F146"/>
      <c r="G146"/>
      <c r="H146"/>
      <c r="I146"/>
      <c r="J146"/>
    </row>
    <row r="147" spans="2:10">
      <c r="B147"/>
      <c r="C147" s="90"/>
      <c r="D147"/>
      <c r="E147"/>
      <c r="F147"/>
      <c r="G147"/>
      <c r="H147"/>
      <c r="I147"/>
      <c r="J147"/>
    </row>
    <row r="148" spans="2:10">
      <c r="B148"/>
      <c r="C148" s="90"/>
      <c r="D148"/>
      <c r="E148"/>
      <c r="F148"/>
      <c r="G148"/>
      <c r="H148"/>
      <c r="I148"/>
      <c r="J148"/>
    </row>
    <row r="149" spans="2:10">
      <c r="B149"/>
      <c r="C149" s="90"/>
      <c r="D149"/>
      <c r="E149"/>
      <c r="F149"/>
      <c r="G149"/>
      <c r="H149"/>
      <c r="I149"/>
      <c r="J149"/>
    </row>
    <row r="150" spans="2:10">
      <c r="B150"/>
      <c r="C150" s="90"/>
      <c r="D150"/>
      <c r="E150"/>
      <c r="F150"/>
      <c r="G150"/>
      <c r="H150"/>
      <c r="I150"/>
      <c r="J150"/>
    </row>
    <row r="151" spans="2:10">
      <c r="B151"/>
      <c r="C151" s="90"/>
      <c r="D151"/>
      <c r="E151"/>
      <c r="F151"/>
      <c r="G151"/>
      <c r="H151"/>
      <c r="I151"/>
      <c r="J151"/>
    </row>
    <row r="152" spans="2:10">
      <c r="B152"/>
      <c r="C152" s="90"/>
      <c r="D152"/>
      <c r="E152"/>
      <c r="F152"/>
      <c r="G152"/>
      <c r="H152"/>
      <c r="I152"/>
      <c r="J152"/>
    </row>
    <row r="153" spans="2:10">
      <c r="B153"/>
      <c r="C153" s="90"/>
      <c r="D153"/>
      <c r="E153"/>
      <c r="F153"/>
      <c r="G153"/>
      <c r="H153"/>
      <c r="I153"/>
      <c r="J153"/>
    </row>
    <row r="154" spans="2:10">
      <c r="B154"/>
      <c r="C154" s="90"/>
      <c r="D154"/>
      <c r="E154"/>
      <c r="F154"/>
      <c r="G154"/>
      <c r="H154"/>
      <c r="I154"/>
      <c r="J154"/>
    </row>
    <row r="155" spans="2:10">
      <c r="B155"/>
      <c r="C155" s="90"/>
      <c r="D155"/>
      <c r="E155"/>
      <c r="F155"/>
      <c r="G155"/>
      <c r="H155"/>
      <c r="I155"/>
      <c r="J155"/>
    </row>
    <row r="156" spans="2:10">
      <c r="B156"/>
      <c r="C156" s="90"/>
      <c r="D156"/>
      <c r="E156"/>
      <c r="F156"/>
      <c r="G156"/>
      <c r="H156"/>
      <c r="I156"/>
      <c r="J156"/>
    </row>
    <row r="157" spans="2:10">
      <c r="B157"/>
      <c r="C157" s="90"/>
      <c r="D157"/>
      <c r="E157"/>
      <c r="F157"/>
      <c r="G157"/>
      <c r="H157"/>
      <c r="I157"/>
      <c r="J157"/>
    </row>
    <row r="158" spans="2:10">
      <c r="B158"/>
      <c r="C158" s="90"/>
      <c r="D158"/>
      <c r="E158"/>
      <c r="F158"/>
      <c r="G158"/>
      <c r="H158"/>
      <c r="I158"/>
      <c r="J158"/>
    </row>
    <row r="159" spans="2:10">
      <c r="B159"/>
      <c r="C159" s="90"/>
      <c r="D159"/>
      <c r="E159"/>
      <c r="F159"/>
      <c r="G159"/>
      <c r="H159"/>
      <c r="I159"/>
      <c r="J159"/>
    </row>
    <row r="160" spans="2:10">
      <c r="B160"/>
      <c r="C160" s="90"/>
      <c r="D160"/>
      <c r="E160"/>
      <c r="F160"/>
      <c r="G160"/>
      <c r="H160"/>
      <c r="I160"/>
      <c r="J160"/>
    </row>
    <row r="161" spans="2:10">
      <c r="B161"/>
      <c r="C161" s="90"/>
      <c r="D161"/>
      <c r="E161"/>
      <c r="F161"/>
      <c r="G161"/>
      <c r="H161"/>
      <c r="I161"/>
      <c r="J161"/>
    </row>
    <row r="162" spans="2:10">
      <c r="B162"/>
      <c r="C162" s="90"/>
      <c r="D162"/>
      <c r="E162"/>
      <c r="F162"/>
      <c r="G162"/>
      <c r="H162"/>
      <c r="I162"/>
      <c r="J162"/>
    </row>
    <row r="163" spans="2:10">
      <c r="B163"/>
      <c r="C163" s="90"/>
      <c r="D163"/>
      <c r="E163"/>
      <c r="F163"/>
      <c r="G163"/>
      <c r="H163"/>
      <c r="I163"/>
      <c r="J163"/>
    </row>
    <row r="164" spans="2:10">
      <c r="B164"/>
      <c r="C164" s="90"/>
      <c r="D164"/>
      <c r="E164"/>
      <c r="F164"/>
      <c r="G164"/>
      <c r="H164"/>
      <c r="I164"/>
      <c r="J164"/>
    </row>
    <row r="165" spans="2:10">
      <c r="B165"/>
      <c r="C165" s="90"/>
      <c r="D165"/>
      <c r="E165"/>
      <c r="F165"/>
      <c r="G165"/>
      <c r="H165"/>
      <c r="I165"/>
      <c r="J165"/>
    </row>
    <row r="166" spans="2:10">
      <c r="B166"/>
      <c r="C166" s="90"/>
      <c r="D166"/>
      <c r="E166"/>
      <c r="F166"/>
      <c r="G166"/>
      <c r="H166"/>
      <c r="I166"/>
      <c r="J166"/>
    </row>
    <row r="167" spans="2:10">
      <c r="B167"/>
      <c r="C167" s="90"/>
      <c r="D167"/>
      <c r="E167"/>
      <c r="F167"/>
      <c r="G167"/>
      <c r="H167"/>
      <c r="I167"/>
      <c r="J167"/>
    </row>
    <row r="168" spans="2:10">
      <c r="B168"/>
      <c r="C168" s="90"/>
      <c r="D168"/>
      <c r="E168"/>
      <c r="F168"/>
      <c r="G168"/>
      <c r="H168"/>
      <c r="I168"/>
      <c r="J168"/>
    </row>
    <row r="169" spans="2:10">
      <c r="B169"/>
      <c r="C169" s="90"/>
      <c r="D169"/>
      <c r="E169"/>
      <c r="F169"/>
      <c r="G169"/>
      <c r="H169"/>
      <c r="I169"/>
      <c r="J169"/>
    </row>
    <row r="170" spans="2:10">
      <c r="B170"/>
      <c r="C170" s="90"/>
      <c r="D170"/>
      <c r="E170"/>
      <c r="F170"/>
      <c r="G170"/>
      <c r="H170"/>
      <c r="I170"/>
      <c r="J170"/>
    </row>
    <row r="171" spans="2:10">
      <c r="B171"/>
      <c r="C171" s="90"/>
      <c r="D171"/>
      <c r="E171"/>
      <c r="F171"/>
      <c r="G171"/>
      <c r="H171"/>
      <c r="I171"/>
      <c r="J171"/>
    </row>
    <row r="172" spans="2:10">
      <c r="B172"/>
      <c r="C172" s="90"/>
      <c r="D172"/>
      <c r="E172"/>
      <c r="F172"/>
      <c r="G172"/>
      <c r="H172"/>
      <c r="I172"/>
      <c r="J172"/>
    </row>
    <row r="173" spans="2:10">
      <c r="B173"/>
      <c r="C173" s="90"/>
      <c r="D173"/>
      <c r="E173"/>
      <c r="F173"/>
      <c r="G173"/>
      <c r="H173"/>
      <c r="I173"/>
      <c r="J173"/>
    </row>
    <row r="174" spans="2:10">
      <c r="B174"/>
      <c r="C174" s="90"/>
      <c r="D174"/>
      <c r="E174"/>
      <c r="F174"/>
      <c r="G174"/>
      <c r="H174"/>
      <c r="I174"/>
      <c r="J174"/>
    </row>
    <row r="175" spans="2:10">
      <c r="B175"/>
      <c r="C175" s="90"/>
      <c r="D175"/>
      <c r="E175"/>
      <c r="F175"/>
      <c r="G175"/>
      <c r="H175"/>
      <c r="I175"/>
      <c r="J175"/>
    </row>
    <row r="176" spans="2:10">
      <c r="B176"/>
      <c r="C176" s="90"/>
      <c r="D176"/>
      <c r="E176"/>
      <c r="F176"/>
      <c r="G176"/>
      <c r="H176"/>
      <c r="I176"/>
      <c r="J176"/>
    </row>
    <row r="177" spans="2:10">
      <c r="B177"/>
      <c r="C177" s="90"/>
      <c r="D177"/>
      <c r="E177"/>
      <c r="F177"/>
      <c r="G177"/>
      <c r="H177"/>
      <c r="I177"/>
      <c r="J177"/>
    </row>
    <row r="178" spans="2:10">
      <c r="B178"/>
      <c r="C178" s="90"/>
      <c r="D178"/>
      <c r="E178"/>
      <c r="F178"/>
      <c r="G178"/>
      <c r="H178"/>
      <c r="I178"/>
      <c r="J178"/>
    </row>
    <row r="179" spans="2:10">
      <c r="B179"/>
      <c r="C179" s="90"/>
      <c r="D179"/>
      <c r="E179"/>
      <c r="F179"/>
      <c r="G179"/>
      <c r="H179"/>
      <c r="I179"/>
      <c r="J179"/>
    </row>
    <row r="180" spans="2:10">
      <c r="B180"/>
      <c r="C180" s="90"/>
      <c r="D180"/>
      <c r="E180"/>
      <c r="F180"/>
      <c r="G180"/>
      <c r="H180"/>
      <c r="I180"/>
      <c r="J180"/>
    </row>
    <row r="181" spans="2:10">
      <c r="B181"/>
      <c r="C181" s="90"/>
      <c r="D181"/>
      <c r="E181"/>
      <c r="F181"/>
      <c r="G181"/>
      <c r="H181"/>
      <c r="I181"/>
      <c r="J181"/>
    </row>
    <row r="182" spans="2:10">
      <c r="B182"/>
      <c r="C182" s="90"/>
      <c r="D182"/>
      <c r="E182"/>
      <c r="F182"/>
      <c r="G182"/>
      <c r="H182"/>
      <c r="I182"/>
      <c r="J182"/>
    </row>
    <row r="183" spans="2:10">
      <c r="B183"/>
      <c r="C183" s="90"/>
      <c r="D183"/>
      <c r="E183"/>
      <c r="F183"/>
      <c r="G183"/>
      <c r="H183"/>
      <c r="I183"/>
      <c r="J183"/>
    </row>
    <row r="184" spans="2:10">
      <c r="B184"/>
      <c r="C184" s="90"/>
      <c r="D184"/>
      <c r="E184"/>
      <c r="F184"/>
      <c r="G184"/>
      <c r="H184"/>
      <c r="I184"/>
      <c r="J184"/>
    </row>
    <row r="185" spans="2:10">
      <c r="B185"/>
      <c r="C185" s="90"/>
      <c r="D185"/>
      <c r="E185"/>
      <c r="F185"/>
      <c r="G185"/>
      <c r="H185"/>
      <c r="I185"/>
      <c r="J185"/>
    </row>
    <row r="186" spans="2:10">
      <c r="B186"/>
      <c r="C186" s="90"/>
      <c r="D186"/>
      <c r="E186"/>
      <c r="F186"/>
      <c r="G186"/>
      <c r="H186"/>
      <c r="I186"/>
      <c r="J186"/>
    </row>
    <row r="187" spans="2:10">
      <c r="B187"/>
      <c r="C187" s="90"/>
      <c r="D187"/>
      <c r="E187"/>
      <c r="F187"/>
      <c r="G187"/>
      <c r="H187"/>
      <c r="I187"/>
      <c r="J187"/>
    </row>
    <row r="188" spans="2:10">
      <c r="B188"/>
      <c r="C188" s="90"/>
      <c r="D188"/>
      <c r="E188"/>
      <c r="F188"/>
      <c r="G188"/>
      <c r="H188"/>
      <c r="I188"/>
      <c r="J188"/>
    </row>
    <row r="189" spans="2:10">
      <c r="B189"/>
      <c r="C189" s="90"/>
      <c r="D189"/>
      <c r="E189"/>
      <c r="F189"/>
      <c r="G189"/>
      <c r="H189"/>
      <c r="I189"/>
      <c r="J189"/>
    </row>
    <row r="190" spans="2:10">
      <c r="B190"/>
      <c r="C190" s="90"/>
      <c r="D190"/>
      <c r="E190"/>
      <c r="F190"/>
      <c r="G190"/>
      <c r="H190"/>
      <c r="I190"/>
      <c r="J190"/>
    </row>
    <row r="191" spans="2:10">
      <c r="B191"/>
      <c r="C191" s="90"/>
      <c r="D191"/>
      <c r="E191"/>
      <c r="F191"/>
      <c r="G191"/>
      <c r="H191"/>
      <c r="I191"/>
      <c r="J191"/>
    </row>
    <row r="192" spans="2:10">
      <c r="B192"/>
      <c r="C192" s="90"/>
      <c r="D192"/>
      <c r="E192"/>
      <c r="F192"/>
      <c r="G192"/>
      <c r="H192"/>
      <c r="I192"/>
      <c r="J192"/>
    </row>
    <row r="193" spans="2:10">
      <c r="B193"/>
      <c r="C193" s="90"/>
      <c r="D193"/>
      <c r="E193"/>
      <c r="F193"/>
      <c r="G193"/>
      <c r="H193"/>
      <c r="I193"/>
      <c r="J193"/>
    </row>
    <row r="194" spans="2:10">
      <c r="B194"/>
      <c r="C194" s="90"/>
      <c r="D194"/>
      <c r="E194"/>
      <c r="F194"/>
      <c r="G194"/>
      <c r="H194"/>
      <c r="I194"/>
      <c r="J194"/>
    </row>
    <row r="195" spans="2:10">
      <c r="B195"/>
      <c r="C195" s="90"/>
      <c r="D195"/>
      <c r="E195"/>
      <c r="F195"/>
      <c r="G195"/>
      <c r="H195"/>
      <c r="I195"/>
      <c r="J195"/>
    </row>
    <row r="196" spans="2:10">
      <c r="B196"/>
      <c r="C196" s="90"/>
      <c r="D196"/>
      <c r="E196"/>
      <c r="F196"/>
      <c r="G196"/>
      <c r="H196"/>
      <c r="I196"/>
      <c r="J196"/>
    </row>
    <row r="197" spans="2:10">
      <c r="B197"/>
      <c r="C197" s="90"/>
      <c r="D197"/>
      <c r="E197"/>
      <c r="F197"/>
      <c r="G197"/>
      <c r="H197"/>
      <c r="I197"/>
      <c r="J197"/>
    </row>
    <row r="198" spans="2:10">
      <c r="B198"/>
      <c r="C198" s="90"/>
      <c r="D198"/>
      <c r="E198"/>
      <c r="F198"/>
      <c r="G198"/>
      <c r="H198"/>
      <c r="I198"/>
      <c r="J198"/>
    </row>
    <row r="199" spans="2:10">
      <c r="B199"/>
      <c r="C199" s="90"/>
      <c r="D199"/>
      <c r="E199"/>
      <c r="F199"/>
      <c r="G199"/>
      <c r="H199"/>
      <c r="I199"/>
      <c r="J199"/>
    </row>
    <row r="200" spans="2:10">
      <c r="B200"/>
      <c r="C200" s="90"/>
      <c r="D200"/>
      <c r="E200"/>
      <c r="F200"/>
      <c r="G200"/>
      <c r="H200"/>
      <c r="I200"/>
      <c r="J200"/>
    </row>
    <row r="201" spans="2:10">
      <c r="B201"/>
      <c r="C201" s="90"/>
      <c r="D201"/>
      <c r="E201"/>
      <c r="F201"/>
      <c r="G201"/>
      <c r="H201"/>
      <c r="I201"/>
      <c r="J201"/>
    </row>
    <row r="202" spans="2:10">
      <c r="B202"/>
      <c r="C202" s="90"/>
      <c r="D202"/>
      <c r="E202"/>
      <c r="F202"/>
      <c r="G202"/>
      <c r="H202"/>
      <c r="I202"/>
      <c r="J202"/>
    </row>
    <row r="203" spans="2:10">
      <c r="B203"/>
      <c r="C203" s="90"/>
      <c r="D203"/>
      <c r="E203"/>
      <c r="F203"/>
      <c r="G203"/>
      <c r="H203"/>
      <c r="I203"/>
      <c r="J203"/>
    </row>
    <row r="204" spans="2:10">
      <c r="B204"/>
      <c r="C204" s="90"/>
      <c r="D204"/>
      <c r="E204"/>
      <c r="F204"/>
      <c r="G204"/>
      <c r="H204"/>
      <c r="I204"/>
      <c r="J204"/>
    </row>
    <row r="205" spans="2:10">
      <c r="B205"/>
      <c r="C205" s="90"/>
      <c r="D205"/>
      <c r="E205"/>
      <c r="F205"/>
      <c r="G205"/>
      <c r="H205"/>
      <c r="I205"/>
      <c r="J205"/>
    </row>
    <row r="206" spans="2:10">
      <c r="B206"/>
      <c r="C206" s="90"/>
      <c r="D206"/>
      <c r="E206"/>
      <c r="F206"/>
      <c r="G206"/>
      <c r="H206"/>
      <c r="I206"/>
      <c r="J206"/>
    </row>
    <row r="207" spans="2:10">
      <c r="B207"/>
      <c r="C207" s="90"/>
      <c r="D207"/>
      <c r="E207"/>
      <c r="F207"/>
      <c r="G207"/>
      <c r="H207"/>
      <c r="I207"/>
      <c r="J207"/>
    </row>
    <row r="208" spans="2:10">
      <c r="B208"/>
      <c r="C208" s="90"/>
      <c r="D208"/>
      <c r="E208"/>
      <c r="F208"/>
      <c r="G208"/>
      <c r="H208"/>
      <c r="I208"/>
      <c r="J208"/>
    </row>
    <row r="209" spans="2:10">
      <c r="B209"/>
      <c r="C209" s="90"/>
      <c r="D209"/>
      <c r="E209"/>
      <c r="F209"/>
      <c r="G209"/>
      <c r="H209"/>
      <c r="I209"/>
      <c r="J209"/>
    </row>
    <row r="210" spans="2:10">
      <c r="B210"/>
      <c r="C210" s="90"/>
      <c r="D210"/>
      <c r="E210"/>
      <c r="F210"/>
      <c r="G210"/>
      <c r="H210"/>
      <c r="I210"/>
      <c r="J210"/>
    </row>
    <row r="211" spans="2:10">
      <c r="B211"/>
      <c r="C211" s="90"/>
      <c r="D211"/>
      <c r="E211"/>
      <c r="F211"/>
      <c r="G211"/>
      <c r="H211"/>
      <c r="I211"/>
      <c r="J211"/>
    </row>
    <row r="212" spans="2:10">
      <c r="B212"/>
      <c r="C212" s="90"/>
      <c r="D212"/>
      <c r="E212"/>
      <c r="F212"/>
      <c r="G212"/>
      <c r="H212"/>
      <c r="I212"/>
      <c r="J212"/>
    </row>
    <row r="213" spans="2:10">
      <c r="B213"/>
      <c r="C213" s="90"/>
      <c r="D213"/>
      <c r="E213"/>
      <c r="F213"/>
      <c r="G213"/>
      <c r="H213"/>
      <c r="I213"/>
      <c r="J213"/>
    </row>
    <row r="214" spans="2:10">
      <c r="B214"/>
      <c r="C214" s="90"/>
      <c r="D214"/>
      <c r="E214"/>
      <c r="F214"/>
      <c r="G214"/>
      <c r="H214"/>
      <c r="I214"/>
      <c r="J214"/>
    </row>
    <row r="215" spans="2:10">
      <c r="B215"/>
      <c r="C215" s="90"/>
      <c r="D215"/>
      <c r="E215"/>
      <c r="F215"/>
      <c r="G215"/>
      <c r="H215"/>
      <c r="I215"/>
      <c r="J215"/>
    </row>
    <row r="216" spans="2:10">
      <c r="B216"/>
      <c r="C216" s="90"/>
      <c r="D216"/>
      <c r="E216"/>
      <c r="F216"/>
      <c r="G216"/>
      <c r="H216"/>
      <c r="I216"/>
      <c r="J216"/>
    </row>
    <row r="217" spans="2:10">
      <c r="B217"/>
      <c r="C217" s="90"/>
      <c r="D217"/>
      <c r="E217"/>
      <c r="F217"/>
      <c r="G217"/>
      <c r="H217"/>
      <c r="I217"/>
      <c r="J217"/>
    </row>
    <row r="218" spans="2:10">
      <c r="B218"/>
      <c r="C218" s="90"/>
      <c r="D218"/>
      <c r="E218"/>
      <c r="F218"/>
      <c r="G218"/>
      <c r="H218"/>
      <c r="I218"/>
      <c r="J218"/>
    </row>
    <row r="219" spans="2:10">
      <c r="B219"/>
      <c r="C219" s="90"/>
      <c r="D219"/>
      <c r="E219"/>
      <c r="F219"/>
      <c r="G219"/>
      <c r="H219"/>
      <c r="I219"/>
      <c r="J219"/>
    </row>
    <row r="220" spans="2:10">
      <c r="B220"/>
      <c r="C220" s="90"/>
      <c r="D220"/>
      <c r="E220"/>
      <c r="F220"/>
      <c r="G220"/>
      <c r="H220"/>
      <c r="I220"/>
      <c r="J220"/>
    </row>
    <row r="221" spans="2:10">
      <c r="B221"/>
      <c r="C221" s="90"/>
      <c r="D221"/>
      <c r="E221"/>
      <c r="F221"/>
      <c r="G221"/>
      <c r="H221"/>
      <c r="I221"/>
      <c r="J221"/>
    </row>
    <row r="222" spans="2:10">
      <c r="B222"/>
      <c r="C222" s="90"/>
      <c r="D222"/>
      <c r="E222"/>
      <c r="F222"/>
      <c r="G222"/>
      <c r="H222"/>
      <c r="I222"/>
      <c r="J222"/>
    </row>
    <row r="223" spans="2:10">
      <c r="B223"/>
      <c r="C223" s="90"/>
      <c r="D223"/>
      <c r="E223"/>
      <c r="F223"/>
      <c r="G223"/>
      <c r="H223"/>
      <c r="I223"/>
      <c r="J223"/>
    </row>
    <row r="224" spans="2:10">
      <c r="B224"/>
      <c r="C224" s="90"/>
      <c r="D224"/>
      <c r="E224"/>
      <c r="F224"/>
      <c r="G224"/>
      <c r="H224"/>
      <c r="I224"/>
      <c r="J224"/>
    </row>
    <row r="225" spans="2:10">
      <c r="B225"/>
      <c r="C225" s="90"/>
      <c r="D225"/>
      <c r="E225"/>
      <c r="F225"/>
      <c r="G225"/>
      <c r="H225"/>
      <c r="I225"/>
      <c r="J225"/>
    </row>
    <row r="226" spans="2:10">
      <c r="B226"/>
      <c r="C226" s="90"/>
      <c r="D226"/>
      <c r="E226"/>
      <c r="F226"/>
      <c r="G226"/>
      <c r="H226"/>
      <c r="I226"/>
      <c r="J226"/>
    </row>
    <row r="227" spans="2:10">
      <c r="B227"/>
      <c r="C227" s="90"/>
      <c r="D227"/>
      <c r="E227"/>
      <c r="F227"/>
      <c r="G227"/>
      <c r="H227"/>
      <c r="I227"/>
      <c r="J227"/>
    </row>
    <row r="228" spans="2:10">
      <c r="B228"/>
      <c r="C228" s="90"/>
      <c r="D228"/>
      <c r="E228"/>
      <c r="F228"/>
      <c r="G228"/>
      <c r="H228"/>
      <c r="I228"/>
      <c r="J228"/>
    </row>
    <row r="229" spans="2:10">
      <c r="B229"/>
      <c r="C229" s="90"/>
      <c r="D229"/>
      <c r="E229"/>
      <c r="F229"/>
      <c r="G229"/>
      <c r="H229"/>
      <c r="I229"/>
      <c r="J229"/>
    </row>
    <row r="230" spans="2:10">
      <c r="B230"/>
      <c r="C230" s="90"/>
      <c r="D230"/>
      <c r="E230"/>
      <c r="F230"/>
      <c r="G230"/>
      <c r="H230"/>
      <c r="I230"/>
      <c r="J230"/>
    </row>
    <row r="231" spans="2:10">
      <c r="B231"/>
      <c r="C231" s="90"/>
      <c r="D231"/>
      <c r="E231"/>
      <c r="F231"/>
      <c r="G231"/>
      <c r="H231"/>
      <c r="I231"/>
      <c r="J231"/>
    </row>
    <row r="232" spans="2:10">
      <c r="B232"/>
      <c r="C232" s="90"/>
      <c r="D232"/>
      <c r="E232"/>
      <c r="F232"/>
      <c r="G232"/>
      <c r="H232"/>
      <c r="I232"/>
      <c r="J232"/>
    </row>
    <row r="233" spans="2:10">
      <c r="B233"/>
      <c r="C233" s="90"/>
      <c r="D233"/>
      <c r="E233"/>
      <c r="F233"/>
      <c r="G233"/>
      <c r="H233"/>
      <c r="I233"/>
      <c r="J233"/>
    </row>
    <row r="234" spans="2:10">
      <c r="B234"/>
      <c r="C234" s="90"/>
      <c r="D234"/>
      <c r="E234"/>
      <c r="F234"/>
      <c r="G234"/>
      <c r="H234"/>
      <c r="I234"/>
      <c r="J234"/>
    </row>
    <row r="235" spans="2:10">
      <c r="B235"/>
      <c r="C235" s="90"/>
      <c r="D235"/>
      <c r="E235"/>
      <c r="F235"/>
      <c r="G235"/>
      <c r="H235"/>
      <c r="I235"/>
      <c r="J235"/>
    </row>
    <row r="236" spans="2:10">
      <c r="B236"/>
      <c r="C236" s="90"/>
      <c r="D236"/>
      <c r="E236"/>
      <c r="F236"/>
      <c r="G236"/>
      <c r="H236"/>
      <c r="I236"/>
      <c r="J236"/>
    </row>
    <row r="237" spans="2:10">
      <c r="B237"/>
      <c r="C237" s="90"/>
      <c r="D237"/>
      <c r="E237"/>
      <c r="F237"/>
      <c r="G237"/>
      <c r="H237"/>
      <c r="I237"/>
      <c r="J237"/>
    </row>
    <row r="238" spans="2:10">
      <c r="B238"/>
      <c r="C238" s="90"/>
      <c r="D238"/>
      <c r="E238"/>
      <c r="F238"/>
      <c r="G238"/>
      <c r="H238"/>
      <c r="I238"/>
      <c r="J238"/>
    </row>
    <row r="239" spans="2:10">
      <c r="B239"/>
      <c r="C239" s="90"/>
      <c r="D239"/>
      <c r="E239"/>
      <c r="F239"/>
      <c r="G239"/>
      <c r="H239"/>
      <c r="I239"/>
      <c r="J239"/>
    </row>
    <row r="240" spans="2:10">
      <c r="B240"/>
      <c r="C240" s="90"/>
      <c r="D240"/>
      <c r="E240"/>
      <c r="F240"/>
      <c r="G240"/>
      <c r="H240"/>
      <c r="I240"/>
      <c r="J240"/>
    </row>
    <row r="241" spans="2:10">
      <c r="B241"/>
      <c r="C241" s="90"/>
      <c r="D241"/>
      <c r="E241"/>
      <c r="F241"/>
      <c r="G241"/>
      <c r="H241"/>
      <c r="I241"/>
      <c r="J241"/>
    </row>
    <row r="242" spans="2:10">
      <c r="B242"/>
      <c r="C242" s="90"/>
      <c r="D242"/>
      <c r="E242"/>
      <c r="F242"/>
      <c r="G242"/>
      <c r="H242"/>
      <c r="I242"/>
      <c r="J242"/>
    </row>
    <row r="243" spans="2:10">
      <c r="B243"/>
      <c r="C243" s="90"/>
      <c r="D243"/>
      <c r="E243"/>
      <c r="F243"/>
      <c r="G243"/>
      <c r="H243"/>
      <c r="I243"/>
      <c r="J243"/>
    </row>
    <row r="244" spans="2:10">
      <c r="B244"/>
      <c r="C244" s="90"/>
      <c r="D244"/>
      <c r="E244"/>
      <c r="F244"/>
      <c r="G244"/>
      <c r="H244"/>
      <c r="I244"/>
      <c r="J244"/>
    </row>
    <row r="245" spans="2:10">
      <c r="B245"/>
      <c r="C245" s="90"/>
      <c r="D245"/>
      <c r="E245"/>
      <c r="F245"/>
      <c r="G245"/>
      <c r="H245"/>
      <c r="I245"/>
      <c r="J245"/>
    </row>
    <row r="246" spans="2:10">
      <c r="B246"/>
      <c r="C246" s="90"/>
      <c r="D246"/>
      <c r="E246"/>
      <c r="F246"/>
      <c r="G246"/>
      <c r="H246"/>
      <c r="I246"/>
      <c r="J246"/>
    </row>
    <row r="247" spans="2:10">
      <c r="B247"/>
      <c r="C247" s="90"/>
      <c r="D247"/>
      <c r="E247"/>
      <c r="F247"/>
      <c r="G247"/>
      <c r="H247"/>
      <c r="I247"/>
      <c r="J247"/>
    </row>
    <row r="248" spans="2:10">
      <c r="B248"/>
      <c r="C248" s="90"/>
      <c r="D248"/>
      <c r="E248"/>
      <c r="F248"/>
      <c r="G248"/>
      <c r="H248"/>
      <c r="I248"/>
      <c r="J248"/>
    </row>
    <row r="249" spans="2:10">
      <c r="B249"/>
      <c r="C249" s="90"/>
      <c r="D249"/>
      <c r="E249"/>
      <c r="F249"/>
      <c r="G249"/>
      <c r="H249"/>
      <c r="I249"/>
      <c r="J249"/>
    </row>
    <row r="250" spans="2:10">
      <c r="B250"/>
      <c r="C250" s="90"/>
      <c r="D250"/>
      <c r="E250"/>
      <c r="F250"/>
      <c r="G250"/>
      <c r="H250"/>
      <c r="I250"/>
      <c r="J250"/>
    </row>
    <row r="251" spans="2:10">
      <c r="B251"/>
      <c r="C251" s="90"/>
      <c r="D251"/>
      <c r="E251"/>
      <c r="F251"/>
      <c r="G251"/>
      <c r="H251"/>
      <c r="I251"/>
      <c r="J251"/>
    </row>
    <row r="252" spans="2:10">
      <c r="B252"/>
      <c r="C252" s="90"/>
      <c r="D252"/>
      <c r="E252"/>
      <c r="F252"/>
      <c r="G252"/>
      <c r="H252"/>
      <c r="I252"/>
      <c r="J252"/>
    </row>
    <row r="253" spans="2:10">
      <c r="B253"/>
      <c r="C253" s="90"/>
      <c r="D253"/>
      <c r="E253"/>
      <c r="F253"/>
      <c r="G253"/>
      <c r="H253"/>
      <c r="I253"/>
      <c r="J253"/>
    </row>
    <row r="254" spans="2:10">
      <c r="B254"/>
      <c r="C254" s="90"/>
      <c r="D254"/>
      <c r="E254"/>
      <c r="F254"/>
      <c r="G254"/>
      <c r="H254"/>
      <c r="I254"/>
      <c r="J254"/>
    </row>
    <row r="255" spans="2:10">
      <c r="B255"/>
      <c r="C255" s="90"/>
      <c r="D255"/>
      <c r="E255"/>
      <c r="F255"/>
      <c r="G255"/>
      <c r="H255"/>
      <c r="I255"/>
      <c r="J255"/>
    </row>
    <row r="256" spans="2:10">
      <c r="B256"/>
      <c r="C256" s="90"/>
      <c r="D256"/>
      <c r="E256"/>
      <c r="F256"/>
      <c r="G256"/>
      <c r="H256"/>
      <c r="I256"/>
      <c r="J256"/>
    </row>
    <row r="257" spans="2:10">
      <c r="B257"/>
      <c r="C257" s="90"/>
      <c r="D257"/>
      <c r="E257"/>
      <c r="F257"/>
      <c r="G257"/>
      <c r="H257"/>
      <c r="I257"/>
      <c r="J257"/>
    </row>
    <row r="258" spans="2:10">
      <c r="B258"/>
      <c r="C258" s="90"/>
      <c r="D258"/>
      <c r="E258"/>
      <c r="F258"/>
      <c r="G258"/>
      <c r="H258"/>
      <c r="I258"/>
      <c r="J258"/>
    </row>
    <row r="259" spans="2:10">
      <c r="B259"/>
      <c r="C259" s="90"/>
      <c r="D259"/>
      <c r="E259"/>
      <c r="F259"/>
      <c r="G259"/>
      <c r="H259"/>
      <c r="I259"/>
      <c r="J259"/>
    </row>
    <row r="260" spans="2:10">
      <c r="B260"/>
      <c r="C260" s="90"/>
      <c r="D260"/>
      <c r="E260"/>
      <c r="F260"/>
      <c r="G260"/>
      <c r="H260"/>
      <c r="I260"/>
      <c r="J260"/>
    </row>
    <row r="261" spans="2:10">
      <c r="B261"/>
      <c r="C261" s="90"/>
      <c r="D261"/>
      <c r="E261"/>
      <c r="F261"/>
      <c r="G261"/>
      <c r="H261"/>
      <c r="I261"/>
      <c r="J261"/>
    </row>
    <row r="262" spans="2:10">
      <c r="B262"/>
      <c r="C262" s="90"/>
      <c r="D262"/>
      <c r="E262"/>
      <c r="F262"/>
      <c r="G262"/>
      <c r="H262"/>
      <c r="I262"/>
      <c r="J262"/>
    </row>
    <row r="263" spans="2:10">
      <c r="B263"/>
      <c r="C263" s="90"/>
      <c r="D263"/>
      <c r="E263"/>
      <c r="F263"/>
      <c r="G263"/>
      <c r="H263"/>
      <c r="I263"/>
      <c r="J263"/>
    </row>
    <row r="264" spans="2:10">
      <c r="B264"/>
      <c r="C264" s="90"/>
      <c r="D264"/>
      <c r="E264"/>
      <c r="F264"/>
      <c r="G264"/>
      <c r="H264"/>
      <c r="I264"/>
      <c r="J264"/>
    </row>
    <row r="265" spans="2:10">
      <c r="B265"/>
      <c r="C265" s="90"/>
      <c r="D265"/>
      <c r="E265"/>
      <c r="F265"/>
      <c r="G265"/>
      <c r="H265"/>
      <c r="I265"/>
      <c r="J265"/>
    </row>
    <row r="266" spans="2:10">
      <c r="B266"/>
      <c r="C266" s="90"/>
      <c r="D266"/>
      <c r="E266"/>
      <c r="F266"/>
      <c r="G266"/>
      <c r="H266"/>
      <c r="I266"/>
      <c r="J266"/>
    </row>
    <row r="267" spans="2:10">
      <c r="B267"/>
      <c r="C267" s="90"/>
      <c r="D267"/>
      <c r="E267"/>
      <c r="F267"/>
      <c r="G267"/>
      <c r="H267"/>
      <c r="I267"/>
      <c r="J267"/>
    </row>
    <row r="268" spans="2:10">
      <c r="B268"/>
      <c r="C268" s="90"/>
      <c r="D268"/>
      <c r="E268"/>
      <c r="F268"/>
      <c r="G268"/>
      <c r="H268"/>
      <c r="I268"/>
      <c r="J268"/>
    </row>
    <row r="269" spans="2:10">
      <c r="B269"/>
      <c r="C269" s="90"/>
      <c r="D269"/>
      <c r="E269"/>
      <c r="F269"/>
      <c r="G269"/>
      <c r="H269"/>
      <c r="I269"/>
      <c r="J269"/>
    </row>
    <row r="270" spans="2:10">
      <c r="B270"/>
      <c r="C270" s="90"/>
      <c r="D270"/>
      <c r="E270"/>
      <c r="F270"/>
      <c r="G270"/>
      <c r="H270"/>
      <c r="I270"/>
      <c r="J270"/>
    </row>
    <row r="271" spans="2:10">
      <c r="B271"/>
      <c r="C271" s="90"/>
      <c r="D271"/>
      <c r="E271"/>
      <c r="F271"/>
      <c r="G271"/>
      <c r="H271"/>
      <c r="I271"/>
      <c r="J271"/>
    </row>
    <row r="272" spans="2:10">
      <c r="B272"/>
      <c r="C272" s="90"/>
      <c r="D272"/>
      <c r="E272"/>
      <c r="F272"/>
      <c r="G272"/>
      <c r="H272"/>
      <c r="I272"/>
      <c r="J272"/>
    </row>
    <row r="273" spans="2:10">
      <c r="B273"/>
      <c r="C273" s="90"/>
      <c r="D273"/>
      <c r="E273"/>
      <c r="F273"/>
      <c r="G273"/>
      <c r="H273"/>
      <c r="I273"/>
      <c r="J273"/>
    </row>
    <row r="274" spans="2:10">
      <c r="B274"/>
      <c r="C274" s="90"/>
      <c r="D274"/>
      <c r="E274"/>
      <c r="F274"/>
      <c r="G274"/>
      <c r="H274"/>
      <c r="I274"/>
      <c r="J274"/>
    </row>
    <row r="275" spans="2:10">
      <c r="B275"/>
      <c r="C275" s="90"/>
      <c r="D275"/>
      <c r="E275"/>
      <c r="F275"/>
      <c r="G275"/>
      <c r="H275"/>
      <c r="I275"/>
      <c r="J275"/>
    </row>
    <row r="276" spans="2:10">
      <c r="B276"/>
      <c r="C276" s="90"/>
      <c r="D276"/>
      <c r="E276"/>
      <c r="F276"/>
      <c r="G276"/>
      <c r="H276"/>
      <c r="I276"/>
      <c r="J276"/>
    </row>
    <row r="277" spans="2:10">
      <c r="B277"/>
      <c r="C277" s="90"/>
      <c r="D277"/>
      <c r="E277"/>
      <c r="F277"/>
      <c r="G277"/>
      <c r="H277"/>
      <c r="I277"/>
      <c r="J277"/>
    </row>
    <row r="278" spans="2:10">
      <c r="B278"/>
      <c r="C278" s="90"/>
      <c r="D278"/>
      <c r="E278"/>
      <c r="F278"/>
      <c r="G278"/>
      <c r="H278"/>
      <c r="I278"/>
      <c r="J278"/>
    </row>
    <row r="279" spans="2:10">
      <c r="B279"/>
      <c r="C279" s="90"/>
      <c r="D279"/>
      <c r="E279"/>
      <c r="F279"/>
      <c r="G279"/>
      <c r="H279"/>
      <c r="I279"/>
      <c r="J279"/>
    </row>
    <row r="280" spans="2:10">
      <c r="B280"/>
      <c r="C280" s="90"/>
      <c r="D280"/>
      <c r="E280"/>
      <c r="F280"/>
      <c r="G280"/>
      <c r="H280"/>
      <c r="I280"/>
      <c r="J280"/>
    </row>
    <row r="281" spans="2:10">
      <c r="B281"/>
      <c r="C281" s="90"/>
      <c r="D281"/>
      <c r="E281"/>
      <c r="F281"/>
      <c r="G281"/>
      <c r="H281"/>
      <c r="I281"/>
      <c r="J281"/>
    </row>
    <row r="282" spans="2:10">
      <c r="B282"/>
      <c r="C282" s="90"/>
      <c r="D282"/>
      <c r="E282"/>
      <c r="F282"/>
      <c r="G282"/>
      <c r="H282"/>
      <c r="I282"/>
      <c r="J282"/>
    </row>
    <row r="283" spans="2:10">
      <c r="B283"/>
      <c r="C283" s="90"/>
      <c r="D283"/>
      <c r="E283"/>
      <c r="F283"/>
      <c r="G283"/>
      <c r="H283"/>
      <c r="I283"/>
      <c r="J283"/>
    </row>
    <row r="284" spans="2:10">
      <c r="B284"/>
      <c r="C284" s="90"/>
      <c r="D284"/>
      <c r="E284"/>
      <c r="F284"/>
      <c r="G284"/>
      <c r="H284"/>
      <c r="I284"/>
      <c r="J284"/>
    </row>
    <row r="285" spans="2:10">
      <c r="B285"/>
      <c r="C285" s="90"/>
      <c r="D285"/>
      <c r="E285"/>
      <c r="F285"/>
      <c r="G285"/>
      <c r="H285"/>
      <c r="I285"/>
      <c r="J285"/>
    </row>
    <row r="286" spans="2:10">
      <c r="B286"/>
      <c r="C286" s="90"/>
      <c r="D286"/>
      <c r="E286"/>
      <c r="F286"/>
      <c r="G286"/>
      <c r="H286"/>
      <c r="I286"/>
      <c r="J286"/>
    </row>
    <row r="287" spans="2:10">
      <c r="B287"/>
      <c r="C287" s="90"/>
      <c r="D287"/>
      <c r="E287"/>
      <c r="F287"/>
      <c r="G287"/>
      <c r="H287"/>
      <c r="I287"/>
      <c r="J287"/>
    </row>
    <row r="288" spans="2:10">
      <c r="B288"/>
      <c r="C288" s="90"/>
      <c r="D288"/>
      <c r="E288"/>
      <c r="F288"/>
      <c r="G288"/>
      <c r="H288"/>
      <c r="I288"/>
      <c r="J288"/>
    </row>
    <row r="289" spans="2:10">
      <c r="B289"/>
      <c r="C289" s="90"/>
      <c r="D289"/>
      <c r="E289"/>
      <c r="F289"/>
      <c r="G289"/>
      <c r="H289"/>
      <c r="I289"/>
      <c r="J289"/>
    </row>
    <row r="290" spans="2:10">
      <c r="B290"/>
      <c r="C290" s="90"/>
      <c r="D290"/>
      <c r="E290"/>
      <c r="F290"/>
      <c r="G290"/>
      <c r="H290"/>
      <c r="I290"/>
      <c r="J290"/>
    </row>
    <row r="291" spans="2:10">
      <c r="B291"/>
      <c r="C291" s="90"/>
      <c r="D291"/>
      <c r="E291"/>
      <c r="F291"/>
      <c r="G291"/>
      <c r="H291"/>
      <c r="I291"/>
      <c r="J291"/>
    </row>
    <row r="292" spans="2:10">
      <c r="B292"/>
      <c r="C292" s="90"/>
      <c r="D292"/>
      <c r="E292"/>
      <c r="F292"/>
      <c r="G292"/>
      <c r="H292"/>
      <c r="I292"/>
      <c r="J292"/>
    </row>
    <row r="293" spans="2:10">
      <c r="B293"/>
      <c r="C293" s="90"/>
      <c r="D293"/>
      <c r="E293"/>
      <c r="F293"/>
      <c r="G293"/>
      <c r="H293"/>
      <c r="I293"/>
      <c r="J293"/>
    </row>
    <row r="294" spans="2:10">
      <c r="B294"/>
      <c r="C294" s="90"/>
      <c r="D294"/>
      <c r="E294"/>
      <c r="F294"/>
      <c r="G294"/>
      <c r="H294"/>
      <c r="I294"/>
      <c r="J294"/>
    </row>
    <row r="295" spans="2:10">
      <c r="B295"/>
      <c r="C295" s="90"/>
      <c r="D295"/>
      <c r="E295"/>
      <c r="F295"/>
      <c r="G295"/>
      <c r="H295"/>
      <c r="I295"/>
      <c r="J295"/>
    </row>
    <row r="296" spans="2:10">
      <c r="B296"/>
      <c r="C296" s="90"/>
      <c r="D296"/>
      <c r="E296"/>
      <c r="F296"/>
      <c r="G296"/>
      <c r="H296"/>
      <c r="I296"/>
      <c r="J296"/>
    </row>
    <row r="297" spans="2:10">
      <c r="B297"/>
      <c r="C297" s="90"/>
      <c r="D297"/>
      <c r="E297"/>
      <c r="F297"/>
      <c r="G297"/>
      <c r="H297"/>
      <c r="I297"/>
      <c r="J297"/>
    </row>
    <row r="298" spans="2:10">
      <c r="B298"/>
      <c r="C298" s="90"/>
      <c r="D298"/>
      <c r="E298"/>
      <c r="F298"/>
      <c r="G298"/>
      <c r="H298"/>
      <c r="I298"/>
      <c r="J298"/>
    </row>
    <row r="299" spans="2:10">
      <c r="B299"/>
      <c r="C299" s="90"/>
      <c r="D299"/>
      <c r="E299"/>
      <c r="F299"/>
      <c r="G299"/>
      <c r="H299"/>
      <c r="I299"/>
      <c r="J299"/>
    </row>
    <row r="300" spans="2:10">
      <c r="B300"/>
      <c r="C300" s="90"/>
      <c r="D300"/>
      <c r="E300"/>
      <c r="F300"/>
      <c r="G300"/>
      <c r="H300"/>
      <c r="I300"/>
      <c r="J300"/>
    </row>
    <row r="301" spans="2:10">
      <c r="B301"/>
      <c r="C301" s="90"/>
      <c r="D301"/>
      <c r="E301"/>
      <c r="F301"/>
      <c r="G301"/>
      <c r="H301"/>
      <c r="I301"/>
      <c r="J301"/>
    </row>
    <row r="302" spans="2:10">
      <c r="B302"/>
      <c r="C302" s="90"/>
      <c r="D302"/>
      <c r="E302"/>
      <c r="F302"/>
      <c r="G302"/>
      <c r="H302"/>
      <c r="I302"/>
      <c r="J302"/>
    </row>
    <row r="303" spans="2:10">
      <c r="B303"/>
      <c r="C303" s="90"/>
      <c r="D303"/>
      <c r="E303"/>
      <c r="F303"/>
      <c r="G303"/>
      <c r="H303"/>
      <c r="I303"/>
      <c r="J303"/>
    </row>
    <row r="304" spans="2:10">
      <c r="B304"/>
      <c r="C304" s="90"/>
      <c r="D304"/>
      <c r="E304"/>
      <c r="F304"/>
      <c r="G304"/>
      <c r="H304"/>
      <c r="I304"/>
      <c r="J304"/>
    </row>
    <row r="305" spans="2:10">
      <c r="B305"/>
      <c r="C305" s="90"/>
      <c r="D305"/>
      <c r="E305"/>
      <c r="F305"/>
      <c r="G305"/>
      <c r="H305"/>
      <c r="I305"/>
      <c r="J305"/>
    </row>
    <row r="306" spans="2:10">
      <c r="B306"/>
      <c r="C306" s="90"/>
      <c r="D306"/>
      <c r="E306"/>
      <c r="F306"/>
      <c r="G306"/>
      <c r="H306"/>
      <c r="I306"/>
      <c r="J306"/>
    </row>
    <row r="307" spans="2:10">
      <c r="B307"/>
      <c r="C307" s="90"/>
      <c r="D307"/>
      <c r="E307"/>
      <c r="F307"/>
      <c r="G307"/>
      <c r="H307"/>
      <c r="I307"/>
      <c r="J307"/>
    </row>
    <row r="308" spans="2:10">
      <c r="B308"/>
      <c r="C308" s="90"/>
      <c r="D308"/>
      <c r="E308"/>
      <c r="F308"/>
      <c r="G308"/>
      <c r="H308"/>
      <c r="I308"/>
      <c r="J308"/>
    </row>
    <row r="309" spans="2:10">
      <c r="B309"/>
      <c r="C309" s="90"/>
      <c r="D309"/>
      <c r="E309"/>
      <c r="F309"/>
      <c r="G309"/>
      <c r="H309"/>
      <c r="I309"/>
      <c r="J309"/>
    </row>
    <row r="310" spans="2:10">
      <c r="B310"/>
      <c r="C310" s="90"/>
      <c r="D310"/>
      <c r="E310"/>
      <c r="F310"/>
      <c r="G310"/>
      <c r="H310"/>
      <c r="I310"/>
      <c r="J310"/>
    </row>
    <row r="311" spans="2:10">
      <c r="B311"/>
      <c r="C311" s="90"/>
      <c r="D311"/>
      <c r="E311"/>
      <c r="F311"/>
      <c r="G311"/>
      <c r="H311"/>
      <c r="I311"/>
      <c r="J311"/>
    </row>
    <row r="312" spans="2:10">
      <c r="B312"/>
      <c r="C312" s="90"/>
      <c r="D312"/>
      <c r="E312"/>
      <c r="F312"/>
      <c r="G312"/>
      <c r="H312"/>
      <c r="I312"/>
      <c r="J312"/>
    </row>
    <row r="313" spans="2:10">
      <c r="B313"/>
      <c r="C313" s="90"/>
      <c r="D313"/>
      <c r="E313"/>
      <c r="F313"/>
      <c r="G313"/>
      <c r="H313"/>
      <c r="I313"/>
      <c r="J313"/>
    </row>
    <row r="314" spans="2:10">
      <c r="B314"/>
      <c r="C314" s="90"/>
      <c r="D314"/>
      <c r="E314"/>
      <c r="F314"/>
      <c r="G314"/>
      <c r="H314"/>
      <c r="I314"/>
      <c r="J314"/>
    </row>
    <row r="315" spans="2:10">
      <c r="B315"/>
      <c r="C315" s="90"/>
      <c r="D315"/>
      <c r="E315"/>
      <c r="F315"/>
      <c r="G315"/>
      <c r="H315"/>
      <c r="I315"/>
      <c r="J315"/>
    </row>
    <row r="316" spans="2:10">
      <c r="B316"/>
      <c r="C316" s="90"/>
      <c r="D316"/>
      <c r="E316"/>
      <c r="F316"/>
      <c r="G316"/>
      <c r="H316"/>
      <c r="I316"/>
      <c r="J316"/>
    </row>
    <row r="317" spans="2:10">
      <c r="B317"/>
      <c r="C317" s="90"/>
      <c r="D317"/>
      <c r="E317"/>
      <c r="F317"/>
      <c r="G317"/>
      <c r="H317"/>
      <c r="I317"/>
      <c r="J317"/>
    </row>
    <row r="318" spans="2:10">
      <c r="B318"/>
      <c r="C318" s="90"/>
      <c r="D318"/>
      <c r="E318"/>
      <c r="F318"/>
      <c r="G318"/>
      <c r="H318"/>
      <c r="I318"/>
      <c r="J318"/>
    </row>
    <row r="319" spans="2:10">
      <c r="B319"/>
      <c r="C319" s="90"/>
      <c r="D319"/>
      <c r="E319"/>
      <c r="F319"/>
      <c r="G319"/>
      <c r="H319"/>
      <c r="I319"/>
      <c r="J319"/>
    </row>
    <row r="320" spans="2:10">
      <c r="B320"/>
      <c r="C320" s="90"/>
      <c r="D320"/>
      <c r="E320"/>
      <c r="F320"/>
      <c r="G320"/>
      <c r="H320"/>
      <c r="I320"/>
      <c r="J320"/>
    </row>
    <row r="321" spans="2:10">
      <c r="B321"/>
      <c r="C321" s="90"/>
      <c r="D321"/>
      <c r="E321"/>
      <c r="F321"/>
      <c r="G321"/>
      <c r="H321"/>
      <c r="I321"/>
      <c r="J321"/>
    </row>
    <row r="322" spans="2:10">
      <c r="B322"/>
      <c r="C322" s="90"/>
      <c r="D322"/>
      <c r="E322"/>
      <c r="F322"/>
      <c r="G322"/>
      <c r="H322"/>
      <c r="I322"/>
      <c r="J322"/>
    </row>
    <row r="323" spans="2:10">
      <c r="B323"/>
      <c r="C323" s="90"/>
      <c r="D323"/>
      <c r="E323"/>
      <c r="F323"/>
      <c r="G323"/>
      <c r="H323"/>
      <c r="I323"/>
      <c r="J323"/>
    </row>
    <row r="324" spans="2:10">
      <c r="B324"/>
      <c r="C324" s="90"/>
      <c r="D324"/>
      <c r="E324"/>
      <c r="F324"/>
      <c r="G324"/>
      <c r="H324"/>
      <c r="I324"/>
      <c r="J324"/>
    </row>
    <row r="325" spans="2:10">
      <c r="B325"/>
      <c r="C325" s="90"/>
      <c r="D325"/>
      <c r="E325"/>
      <c r="F325"/>
      <c r="G325"/>
      <c r="H325"/>
      <c r="I325"/>
      <c r="J325"/>
    </row>
    <row r="326" spans="2:10">
      <c r="B326"/>
      <c r="C326" s="90"/>
      <c r="D326"/>
      <c r="E326"/>
      <c r="F326"/>
      <c r="G326"/>
      <c r="H326"/>
      <c r="I326"/>
      <c r="J326"/>
    </row>
    <row r="327" spans="2:10">
      <c r="B327"/>
      <c r="C327" s="90"/>
      <c r="D327"/>
      <c r="E327"/>
      <c r="F327"/>
      <c r="G327"/>
      <c r="H327"/>
      <c r="I327"/>
      <c r="J327"/>
    </row>
    <row r="328" spans="2:10">
      <c r="B328"/>
      <c r="C328" s="90"/>
      <c r="D328"/>
      <c r="E328"/>
      <c r="F328"/>
      <c r="G328"/>
      <c r="H328"/>
      <c r="I328"/>
      <c r="J328"/>
    </row>
    <row r="329" spans="2:10">
      <c r="B329"/>
      <c r="C329" s="90"/>
      <c r="D329"/>
      <c r="E329"/>
      <c r="F329"/>
      <c r="G329"/>
      <c r="H329"/>
      <c r="I329"/>
      <c r="J329"/>
    </row>
    <row r="330" spans="2:10">
      <c r="B330"/>
      <c r="C330" s="90"/>
      <c r="D330"/>
      <c r="E330"/>
      <c r="F330"/>
      <c r="G330"/>
      <c r="H330"/>
      <c r="I330"/>
      <c r="J330"/>
    </row>
    <row r="331" spans="2:10">
      <c r="B331"/>
      <c r="C331" s="90"/>
      <c r="D331"/>
      <c r="E331"/>
      <c r="F331"/>
      <c r="G331"/>
      <c r="H331"/>
      <c r="I331"/>
      <c r="J331"/>
    </row>
    <row r="332" spans="2:10">
      <c r="B332"/>
      <c r="C332" s="90"/>
      <c r="D332"/>
      <c r="E332"/>
      <c r="F332"/>
      <c r="G332"/>
      <c r="H332"/>
      <c r="I332"/>
      <c r="J332"/>
    </row>
    <row r="333" spans="2:10">
      <c r="B333"/>
      <c r="C333" s="90"/>
      <c r="D333"/>
      <c r="E333"/>
      <c r="F333"/>
      <c r="G333"/>
      <c r="H333"/>
      <c r="I333"/>
      <c r="J333"/>
    </row>
    <row r="334" spans="2:10">
      <c r="B334"/>
      <c r="C334" s="90"/>
      <c r="D334"/>
      <c r="E334"/>
      <c r="F334"/>
      <c r="G334"/>
      <c r="H334"/>
      <c r="I334"/>
      <c r="J334"/>
    </row>
    <row r="335" spans="2:10">
      <c r="B335"/>
      <c r="C335" s="90"/>
      <c r="D335"/>
      <c r="E335"/>
      <c r="F335"/>
      <c r="G335"/>
      <c r="H335"/>
      <c r="I335"/>
      <c r="J335"/>
    </row>
    <row r="336" spans="2:10">
      <c r="B336"/>
      <c r="C336" s="90"/>
      <c r="D336"/>
      <c r="E336"/>
      <c r="F336"/>
      <c r="G336"/>
      <c r="H336"/>
      <c r="I336"/>
      <c r="J336"/>
    </row>
    <row r="337" spans="2:10">
      <c r="B337"/>
      <c r="C337" s="90"/>
      <c r="D337"/>
      <c r="E337"/>
      <c r="F337"/>
      <c r="G337"/>
      <c r="H337"/>
      <c r="I337"/>
      <c r="J337"/>
    </row>
    <row r="338" spans="2:10">
      <c r="B338"/>
      <c r="C338" s="90"/>
      <c r="D338"/>
      <c r="E338"/>
      <c r="F338"/>
      <c r="G338"/>
      <c r="H338"/>
      <c r="I338"/>
      <c r="J338"/>
    </row>
    <row r="339" spans="2:10">
      <c r="B339"/>
      <c r="C339" s="90"/>
      <c r="D339"/>
      <c r="E339"/>
      <c r="F339"/>
      <c r="G339"/>
      <c r="H339"/>
      <c r="I339"/>
      <c r="J339"/>
    </row>
    <row r="340" spans="2:10">
      <c r="B340"/>
      <c r="C340" s="90"/>
      <c r="D340"/>
      <c r="E340"/>
      <c r="F340"/>
      <c r="G340"/>
      <c r="H340"/>
      <c r="I340"/>
      <c r="J340"/>
    </row>
    <row r="341" spans="2:10">
      <c r="B341"/>
      <c r="C341" s="90"/>
      <c r="D341"/>
      <c r="E341"/>
      <c r="F341"/>
      <c r="G341"/>
      <c r="H341"/>
      <c r="I341"/>
      <c r="J341"/>
    </row>
    <row r="342" spans="2:10">
      <c r="B342"/>
      <c r="C342" s="90"/>
      <c r="D342"/>
      <c r="E342"/>
      <c r="F342"/>
      <c r="G342"/>
      <c r="H342"/>
      <c r="I342"/>
      <c r="J342"/>
    </row>
    <row r="343" spans="2:10">
      <c r="B343"/>
      <c r="C343" s="90"/>
      <c r="D343"/>
      <c r="E343"/>
      <c r="F343"/>
      <c r="G343"/>
      <c r="H343"/>
      <c r="I343"/>
      <c r="J343"/>
    </row>
    <row r="344" spans="2:10">
      <c r="B344"/>
      <c r="C344" s="90"/>
      <c r="D344"/>
      <c r="E344"/>
      <c r="F344"/>
      <c r="G344"/>
      <c r="H344"/>
      <c r="I344"/>
      <c r="J344"/>
    </row>
    <row r="345" spans="2:10">
      <c r="B345"/>
      <c r="C345" s="90"/>
      <c r="D345"/>
      <c r="E345"/>
      <c r="F345"/>
      <c r="G345"/>
      <c r="H345"/>
      <c r="I345"/>
      <c r="J345"/>
    </row>
    <row r="346" spans="2:10">
      <c r="B346"/>
      <c r="C346" s="90"/>
      <c r="D346"/>
      <c r="E346"/>
      <c r="F346"/>
      <c r="G346"/>
      <c r="H346"/>
      <c r="I346"/>
      <c r="J346"/>
    </row>
    <row r="347" spans="2:10">
      <c r="B347"/>
      <c r="C347" s="90"/>
      <c r="D347"/>
      <c r="E347"/>
      <c r="F347"/>
      <c r="G347"/>
      <c r="H347"/>
      <c r="I347"/>
      <c r="J347"/>
    </row>
    <row r="348" spans="2:10">
      <c r="B348"/>
      <c r="C348" s="90"/>
      <c r="D348"/>
      <c r="E348"/>
      <c r="F348"/>
      <c r="G348"/>
      <c r="H348"/>
      <c r="I348"/>
      <c r="J348"/>
    </row>
    <row r="349" spans="2:10">
      <c r="B349"/>
      <c r="C349" s="90"/>
      <c r="D349"/>
      <c r="E349"/>
      <c r="F349"/>
      <c r="G349"/>
      <c r="H349"/>
      <c r="I349"/>
      <c r="J349"/>
    </row>
    <row r="350" spans="2:10">
      <c r="B350"/>
      <c r="C350" s="90"/>
      <c r="D350"/>
      <c r="E350"/>
      <c r="F350"/>
      <c r="G350"/>
      <c r="H350"/>
      <c r="I350"/>
      <c r="J350"/>
    </row>
    <row r="351" spans="2:10">
      <c r="B351"/>
      <c r="C351" s="90"/>
      <c r="D351"/>
      <c r="E351"/>
      <c r="F351"/>
      <c r="G351"/>
      <c r="H351"/>
      <c r="I351"/>
      <c r="J351"/>
    </row>
    <row r="352" spans="2:10">
      <c r="B352"/>
      <c r="C352" s="90"/>
      <c r="D352"/>
      <c r="E352"/>
      <c r="F352"/>
      <c r="G352"/>
      <c r="H352"/>
      <c r="I352"/>
      <c r="J352"/>
    </row>
    <row r="353" spans="2:10">
      <c r="B353"/>
      <c r="C353" s="90"/>
      <c r="D353"/>
      <c r="E353"/>
      <c r="F353"/>
      <c r="G353"/>
      <c r="H353"/>
      <c r="I353"/>
      <c r="J353"/>
    </row>
    <row r="354" spans="2:10">
      <c r="B354"/>
      <c r="C354" s="90"/>
      <c r="D354"/>
      <c r="E354"/>
      <c r="F354"/>
      <c r="G354"/>
      <c r="H354"/>
      <c r="I354"/>
      <c r="J354"/>
    </row>
    <row r="355" spans="2:10">
      <c r="B355"/>
      <c r="C355" s="90"/>
      <c r="D355"/>
      <c r="E355"/>
      <c r="F355"/>
      <c r="G355"/>
      <c r="H355"/>
      <c r="I355"/>
      <c r="J355"/>
    </row>
    <row r="356" spans="2:10">
      <c r="B356"/>
      <c r="C356" s="90"/>
      <c r="D356"/>
      <c r="E356"/>
      <c r="F356"/>
      <c r="G356"/>
      <c r="H356"/>
      <c r="I356"/>
      <c r="J356"/>
    </row>
    <row r="357" spans="2:10">
      <c r="B357"/>
      <c r="C357" s="90"/>
      <c r="D357"/>
      <c r="E357"/>
      <c r="F357"/>
      <c r="G357"/>
      <c r="H357"/>
      <c r="I357"/>
      <c r="J357"/>
    </row>
    <row r="358" spans="2:10">
      <c r="B358"/>
      <c r="C358" s="90"/>
      <c r="D358"/>
      <c r="E358"/>
      <c r="F358"/>
      <c r="G358"/>
      <c r="H358"/>
      <c r="I358"/>
      <c r="J358"/>
    </row>
    <row r="359" spans="2:10">
      <c r="B359"/>
      <c r="C359" s="90"/>
      <c r="D359"/>
      <c r="E359"/>
      <c r="F359"/>
      <c r="G359"/>
      <c r="H359"/>
      <c r="I359"/>
      <c r="J359"/>
    </row>
    <row r="360" spans="2:10">
      <c r="B360"/>
      <c r="C360" s="90"/>
      <c r="D360"/>
      <c r="E360"/>
      <c r="F360"/>
      <c r="G360"/>
      <c r="H360"/>
      <c r="I360"/>
      <c r="J360"/>
    </row>
    <row r="361" spans="2:10">
      <c r="B361"/>
      <c r="C361" s="90"/>
      <c r="D361"/>
      <c r="E361"/>
      <c r="F361"/>
      <c r="G361"/>
      <c r="H361"/>
      <c r="I361"/>
      <c r="J361"/>
    </row>
    <row r="362" spans="2:10">
      <c r="B362"/>
      <c r="C362" s="90"/>
      <c r="D362"/>
      <c r="E362"/>
      <c r="F362"/>
      <c r="G362"/>
      <c r="H362"/>
      <c r="I362"/>
      <c r="J362"/>
    </row>
    <row r="363" spans="2:10">
      <c r="B363"/>
      <c r="C363" s="90"/>
      <c r="D363"/>
      <c r="E363"/>
      <c r="F363"/>
      <c r="G363"/>
      <c r="H363"/>
      <c r="I363"/>
      <c r="J363"/>
    </row>
    <row r="364" spans="2:10">
      <c r="B364"/>
      <c r="C364" s="90"/>
      <c r="D364"/>
      <c r="E364"/>
      <c r="F364"/>
      <c r="G364"/>
      <c r="H364"/>
      <c r="I364"/>
      <c r="J364"/>
    </row>
    <row r="365" spans="2:10">
      <c r="B365"/>
      <c r="C365" s="90"/>
      <c r="D365"/>
      <c r="E365"/>
      <c r="F365"/>
      <c r="G365"/>
      <c r="H365"/>
      <c r="I365"/>
      <c r="J365"/>
    </row>
    <row r="366" spans="2:10">
      <c r="B366"/>
      <c r="C366" s="90"/>
      <c r="D366"/>
      <c r="E366"/>
      <c r="F366"/>
      <c r="G366"/>
      <c r="H366"/>
      <c r="I366"/>
      <c r="J366"/>
    </row>
    <row r="367" spans="2:10">
      <c r="B367"/>
      <c r="C367" s="90"/>
      <c r="D367"/>
      <c r="E367"/>
      <c r="F367"/>
      <c r="G367"/>
      <c r="H367"/>
      <c r="I367"/>
      <c r="J367"/>
    </row>
    <row r="368" spans="2:10">
      <c r="B368"/>
      <c r="C368" s="90"/>
      <c r="D368"/>
      <c r="E368"/>
      <c r="F368"/>
      <c r="G368"/>
      <c r="H368"/>
      <c r="I368"/>
      <c r="J368"/>
    </row>
    <row r="369" spans="2:10">
      <c r="B369"/>
      <c r="C369" s="90"/>
      <c r="D369"/>
      <c r="E369"/>
      <c r="F369"/>
      <c r="G369"/>
      <c r="H369"/>
      <c r="I369"/>
      <c r="J369"/>
    </row>
    <row r="370" spans="2:10">
      <c r="B370"/>
      <c r="C370" s="90"/>
      <c r="D370"/>
      <c r="E370"/>
      <c r="F370"/>
      <c r="G370"/>
      <c r="H370"/>
      <c r="I370"/>
      <c r="J370"/>
    </row>
    <row r="371" spans="2:10">
      <c r="B371"/>
      <c r="C371" s="90"/>
      <c r="D371"/>
      <c r="E371"/>
      <c r="F371"/>
      <c r="G371"/>
      <c r="H371"/>
      <c r="I371"/>
      <c r="J371"/>
    </row>
    <row r="372" spans="2:10">
      <c r="B372"/>
      <c r="C372" s="90"/>
      <c r="D372"/>
      <c r="E372"/>
      <c r="F372"/>
      <c r="G372"/>
      <c r="H372"/>
      <c r="I372"/>
      <c r="J372"/>
    </row>
    <row r="373" spans="2:10">
      <c r="B373"/>
      <c r="C373" s="90"/>
      <c r="D373"/>
      <c r="E373"/>
      <c r="F373"/>
      <c r="G373"/>
      <c r="H373"/>
      <c r="I373"/>
      <c r="J373"/>
    </row>
    <row r="374" spans="2:10">
      <c r="B374"/>
      <c r="C374" s="90"/>
      <c r="D374"/>
      <c r="E374"/>
      <c r="F374"/>
      <c r="G374"/>
      <c r="H374"/>
      <c r="I374"/>
      <c r="J374"/>
    </row>
    <row r="375" spans="2:10">
      <c r="B375"/>
      <c r="C375" s="90"/>
      <c r="D375"/>
      <c r="E375"/>
      <c r="F375"/>
      <c r="G375"/>
      <c r="H375"/>
      <c r="I375"/>
      <c r="J375"/>
    </row>
    <row r="376" spans="2:10">
      <c r="B376"/>
      <c r="C376" s="90"/>
      <c r="D376"/>
      <c r="E376"/>
      <c r="F376"/>
      <c r="G376"/>
      <c r="H376"/>
      <c r="I376"/>
      <c r="J376"/>
    </row>
  </sheetData>
  <phoneticPr fontId="5" type="noConversion"/>
  <pageMargins left="0.7" right="0.7" top="0.75" bottom="0.75" header="0.3" footer="0.3"/>
  <pageSetup paperSize="9" orientation="portrait" verticalDpi="0" r:id="rId2"/>
  <headerFooter>
    <oddFooter>&amp;L_x000D_&amp;1#&amp;"Aptos"&amp;11&amp;K5F5F5F S-OIL: Company Use Only</oddFooter>
  </headerFooter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C236F-C84E-43FB-80B0-FAF925712065}">
  <sheetPr codeName="Sheet7"/>
  <dimension ref="A1:C44"/>
  <sheetViews>
    <sheetView topLeftCell="A10" zoomScale="85" zoomScaleNormal="85" workbookViewId="0">
      <selection activeCell="B39" sqref="B39"/>
    </sheetView>
  </sheetViews>
  <sheetFormatPr defaultRowHeight="16.5"/>
  <cols>
    <col min="1" max="1" width="9.375" bestFit="1" customWidth="1"/>
    <col min="2" max="2" width="44.625" bestFit="1" customWidth="1"/>
    <col min="3" max="3" width="49.375" bestFit="1" customWidth="1"/>
  </cols>
  <sheetData>
    <row r="1" spans="1:3">
      <c r="A1" t="s">
        <v>1258</v>
      </c>
      <c r="B1" t="s">
        <v>1257</v>
      </c>
      <c r="C1" t="s">
        <v>1256</v>
      </c>
    </row>
    <row r="2" spans="1:3">
      <c r="A2" s="11" t="s">
        <v>1255</v>
      </c>
      <c r="B2" s="11" t="s">
        <v>1254</v>
      </c>
      <c r="C2" s="11" t="s">
        <v>1253</v>
      </c>
    </row>
    <row r="3" spans="1:3">
      <c r="A3" s="11" t="s">
        <v>1252</v>
      </c>
      <c r="B3" s="11" t="s">
        <v>1251</v>
      </c>
      <c r="C3" s="11" t="s">
        <v>1250</v>
      </c>
    </row>
    <row r="4" spans="1:3">
      <c r="A4" s="11" t="s">
        <v>1249</v>
      </c>
      <c r="B4" s="11" t="s">
        <v>1248</v>
      </c>
      <c r="C4" s="11" t="s">
        <v>1247</v>
      </c>
    </row>
    <row r="5" spans="1:3">
      <c r="A5" s="11" t="s">
        <v>1246</v>
      </c>
      <c r="B5" s="11" t="s">
        <v>1245</v>
      </c>
      <c r="C5" s="11" t="s">
        <v>1244</v>
      </c>
    </row>
    <row r="6" spans="1:3">
      <c r="A6" s="11" t="s">
        <v>1243</v>
      </c>
      <c r="B6" s="11" t="s">
        <v>1242</v>
      </c>
      <c r="C6" s="11" t="s">
        <v>1241</v>
      </c>
    </row>
    <row r="7" spans="1:3">
      <c r="A7" s="11" t="s">
        <v>1240</v>
      </c>
      <c r="B7" s="11" t="s">
        <v>1239</v>
      </c>
      <c r="C7" s="11" t="s">
        <v>1238</v>
      </c>
    </row>
    <row r="8" spans="1:3">
      <c r="A8" s="11" t="s">
        <v>1237</v>
      </c>
      <c r="B8" s="11" t="s">
        <v>1236</v>
      </c>
      <c r="C8" s="11" t="s">
        <v>1235</v>
      </c>
    </row>
    <row r="9" spans="1:3">
      <c r="A9" s="11" t="s">
        <v>1234</v>
      </c>
      <c r="B9" s="11" t="s">
        <v>1233</v>
      </c>
      <c r="C9" s="11" t="s">
        <v>1232</v>
      </c>
    </row>
    <row r="10" spans="1:3">
      <c r="A10" s="11" t="s">
        <v>1231</v>
      </c>
      <c r="B10" s="11" t="s">
        <v>1230</v>
      </c>
      <c r="C10" s="11" t="s">
        <v>1229</v>
      </c>
    </row>
    <row r="11" spans="1:3">
      <c r="A11" s="11" t="s">
        <v>1228</v>
      </c>
      <c r="B11" s="11" t="s">
        <v>1227</v>
      </c>
      <c r="C11" s="11" t="s">
        <v>1226</v>
      </c>
    </row>
    <row r="12" spans="1:3">
      <c r="A12" s="11" t="s">
        <v>1225</v>
      </c>
      <c r="B12" s="11" t="s">
        <v>1224</v>
      </c>
      <c r="C12" s="11" t="s">
        <v>1223</v>
      </c>
    </row>
    <row r="13" spans="1:3">
      <c r="A13" s="11" t="s">
        <v>1222</v>
      </c>
      <c r="B13" s="11" t="s">
        <v>1221</v>
      </c>
      <c r="C13" s="11" t="s">
        <v>1220</v>
      </c>
    </row>
    <row r="14" spans="1:3">
      <c r="A14" s="11" t="s">
        <v>1219</v>
      </c>
      <c r="B14" s="11" t="s">
        <v>1218</v>
      </c>
      <c r="C14" s="11" t="s">
        <v>1217</v>
      </c>
    </row>
    <row r="15" spans="1:3">
      <c r="A15" s="11" t="s">
        <v>1216</v>
      </c>
      <c r="B15" s="11" t="s">
        <v>1215</v>
      </c>
      <c r="C15" s="11" t="s">
        <v>1214</v>
      </c>
    </row>
    <row r="16" spans="1:3">
      <c r="A16" s="11" t="s">
        <v>1213</v>
      </c>
      <c r="B16" s="11" t="s">
        <v>1212</v>
      </c>
      <c r="C16" s="11" t="s">
        <v>1211</v>
      </c>
    </row>
    <row r="17" spans="1:3">
      <c r="A17" s="11" t="s">
        <v>1210</v>
      </c>
      <c r="B17" s="11" t="s">
        <v>1209</v>
      </c>
      <c r="C17" s="11" t="s">
        <v>1208</v>
      </c>
    </row>
    <row r="18" spans="1:3">
      <c r="A18" s="11" t="s">
        <v>1207</v>
      </c>
      <c r="B18" s="11" t="s">
        <v>1206</v>
      </c>
      <c r="C18" s="11" t="s">
        <v>1205</v>
      </c>
    </row>
    <row r="19" spans="1:3">
      <c r="A19" s="11" t="s">
        <v>1204</v>
      </c>
      <c r="B19" s="11" t="s">
        <v>1203</v>
      </c>
      <c r="C19" s="11" t="s">
        <v>1202</v>
      </c>
    </row>
    <row r="20" spans="1:3">
      <c r="A20" s="11" t="s">
        <v>1201</v>
      </c>
      <c r="B20" s="11" t="s">
        <v>1200</v>
      </c>
      <c r="C20" s="11" t="s">
        <v>1199</v>
      </c>
    </row>
    <row r="21" spans="1:3">
      <c r="A21" s="11" t="s">
        <v>1198</v>
      </c>
      <c r="B21" s="11" t="s">
        <v>1197</v>
      </c>
      <c r="C21" s="11" t="s">
        <v>1196</v>
      </c>
    </row>
    <row r="22" spans="1:3">
      <c r="A22" s="11" t="s">
        <v>1195</v>
      </c>
      <c r="B22" s="11" t="s">
        <v>1194</v>
      </c>
      <c r="C22" s="11" t="s">
        <v>1193</v>
      </c>
    </row>
    <row r="23" spans="1:3">
      <c r="A23" s="11" t="s">
        <v>1192</v>
      </c>
      <c r="B23" s="11" t="s">
        <v>1191</v>
      </c>
      <c r="C23" s="11" t="s">
        <v>1190</v>
      </c>
    </row>
    <row r="24" spans="1:3">
      <c r="A24" s="11" t="s">
        <v>1189</v>
      </c>
      <c r="B24" s="11" t="s">
        <v>1188</v>
      </c>
      <c r="C24" s="11" t="s">
        <v>1187</v>
      </c>
    </row>
    <row r="25" spans="1:3">
      <c r="A25" s="11" t="s">
        <v>1186</v>
      </c>
      <c r="B25" s="11" t="s">
        <v>1185</v>
      </c>
      <c r="C25" s="11" t="s">
        <v>1184</v>
      </c>
    </row>
    <row r="26" spans="1:3">
      <c r="A26" s="11" t="s">
        <v>1183</v>
      </c>
      <c r="B26" s="11" t="s">
        <v>1182</v>
      </c>
      <c r="C26" s="11" t="s">
        <v>1181</v>
      </c>
    </row>
    <row r="27" spans="1:3">
      <c r="A27" s="11" t="s">
        <v>1180</v>
      </c>
      <c r="B27" s="11" t="s">
        <v>1179</v>
      </c>
      <c r="C27" s="11" t="s">
        <v>1178</v>
      </c>
    </row>
    <row r="28" spans="1:3">
      <c r="A28" s="11" t="s">
        <v>1177</v>
      </c>
      <c r="B28" s="11" t="s">
        <v>1176</v>
      </c>
      <c r="C28" s="11" t="s">
        <v>1175</v>
      </c>
    </row>
    <row r="29" spans="1:3">
      <c r="A29" s="11" t="s">
        <v>1174</v>
      </c>
      <c r="B29" s="11" t="s">
        <v>1173</v>
      </c>
      <c r="C29" s="11" t="s">
        <v>1172</v>
      </c>
    </row>
    <row r="30" spans="1:3">
      <c r="A30" s="11" t="s">
        <v>1171</v>
      </c>
      <c r="B30" s="11" t="s">
        <v>1170</v>
      </c>
      <c r="C30" s="11" t="s">
        <v>1169</v>
      </c>
    </row>
    <row r="31" spans="1:3">
      <c r="A31" s="11" t="s">
        <v>1168</v>
      </c>
      <c r="B31" s="11" t="s">
        <v>1167</v>
      </c>
      <c r="C31" s="11" t="s">
        <v>1166</v>
      </c>
    </row>
    <row r="32" spans="1:3">
      <c r="A32" s="11" t="s">
        <v>1165</v>
      </c>
      <c r="B32" s="11" t="s">
        <v>1164</v>
      </c>
      <c r="C32" s="11" t="s">
        <v>1163</v>
      </c>
    </row>
    <row r="33" spans="1:3">
      <c r="A33" s="11" t="s">
        <v>1162</v>
      </c>
      <c r="B33" s="11" t="s">
        <v>1161</v>
      </c>
      <c r="C33" s="11" t="s">
        <v>1160</v>
      </c>
    </row>
    <row r="34" spans="1:3">
      <c r="A34" s="11" t="s">
        <v>1159</v>
      </c>
      <c r="B34" s="11" t="s">
        <v>1158</v>
      </c>
      <c r="C34" s="11" t="s">
        <v>1157</v>
      </c>
    </row>
    <row r="35" spans="1:3">
      <c r="A35" s="11" t="s">
        <v>1156</v>
      </c>
      <c r="B35" s="11" t="s">
        <v>1155</v>
      </c>
      <c r="C35" s="11" t="s">
        <v>1154</v>
      </c>
    </row>
    <row r="36" spans="1:3">
      <c r="A36" s="11" t="s">
        <v>1153</v>
      </c>
      <c r="B36" s="11" t="s">
        <v>1152</v>
      </c>
      <c r="C36" s="11" t="s">
        <v>1151</v>
      </c>
    </row>
    <row r="37" spans="1:3">
      <c r="A37" s="11" t="s">
        <v>1150</v>
      </c>
      <c r="B37" s="11" t="s">
        <v>1149</v>
      </c>
      <c r="C37" s="11" t="s">
        <v>1148</v>
      </c>
    </row>
    <row r="38" spans="1:3">
      <c r="A38" s="11" t="s">
        <v>1147</v>
      </c>
      <c r="B38" s="11" t="s">
        <v>1146</v>
      </c>
      <c r="C38" s="11" t="s">
        <v>1145</v>
      </c>
    </row>
    <row r="39" spans="1:3">
      <c r="A39" s="11" t="s">
        <v>1144</v>
      </c>
      <c r="B39" s="11" t="s">
        <v>1143</v>
      </c>
      <c r="C39" s="11" t="s">
        <v>1142</v>
      </c>
    </row>
    <row r="40" spans="1:3">
      <c r="A40" s="11" t="s">
        <v>1141</v>
      </c>
      <c r="B40" s="11" t="s">
        <v>1140</v>
      </c>
      <c r="C40" s="11" t="s">
        <v>1139</v>
      </c>
    </row>
    <row r="41" spans="1:3">
      <c r="A41" s="11" t="s">
        <v>1138</v>
      </c>
      <c r="B41" s="11" t="s">
        <v>1137</v>
      </c>
      <c r="C41" s="11" t="s">
        <v>1136</v>
      </c>
    </row>
    <row r="42" spans="1:3">
      <c r="A42" s="11" t="s">
        <v>1135</v>
      </c>
      <c r="B42" s="11" t="s">
        <v>1134</v>
      </c>
      <c r="C42" s="11" t="s">
        <v>1133</v>
      </c>
    </row>
    <row r="43" spans="1:3">
      <c r="A43" s="11" t="s">
        <v>1132</v>
      </c>
      <c r="B43" s="11" t="s">
        <v>1131</v>
      </c>
      <c r="C43" s="11" t="s">
        <v>1130</v>
      </c>
    </row>
    <row r="44" spans="1:3">
      <c r="A44" s="11" t="s">
        <v>1129</v>
      </c>
      <c r="B44" s="11" t="s">
        <v>1128</v>
      </c>
      <c r="C44" s="11" t="s">
        <v>1127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A0E54-C638-4CC2-B855-590537DA817D}">
  <sheetPr codeName="Sheet5"/>
  <dimension ref="A1:L466"/>
  <sheetViews>
    <sheetView topLeftCell="A413" zoomScale="85" zoomScaleNormal="85" workbookViewId="0">
      <selection activeCell="A361" sqref="A361"/>
    </sheetView>
  </sheetViews>
  <sheetFormatPr defaultRowHeight="16.5"/>
  <cols>
    <col min="1" max="4" width="8.625" customWidth="1"/>
    <col min="5" max="5" width="17.125" bestFit="1" customWidth="1"/>
    <col min="6" max="8" width="30.625" customWidth="1"/>
    <col min="9" max="9" width="13.875" bestFit="1" customWidth="1"/>
    <col min="10" max="10" width="50.625" customWidth="1"/>
    <col min="11" max="11" width="19.5" bestFit="1" customWidth="1"/>
    <col min="12" max="12" width="9.5" bestFit="1" customWidth="1"/>
  </cols>
  <sheetData>
    <row r="1" spans="1:12">
      <c r="A1" s="25" t="s">
        <v>1</v>
      </c>
      <c r="B1" s="25" t="s">
        <v>1258</v>
      </c>
      <c r="C1" s="25" t="s">
        <v>1284</v>
      </c>
      <c r="D1" s="24" t="s">
        <v>2047</v>
      </c>
      <c r="E1" s="6" t="s">
        <v>2</v>
      </c>
      <c r="F1" s="6" t="s">
        <v>2046</v>
      </c>
      <c r="G1" s="6" t="s">
        <v>1257</v>
      </c>
      <c r="H1" s="6" t="s">
        <v>2045</v>
      </c>
      <c r="I1" s="6" t="s">
        <v>2044</v>
      </c>
      <c r="J1" s="6" t="s">
        <v>2043</v>
      </c>
      <c r="K1" s="6" t="s">
        <v>2042</v>
      </c>
      <c r="L1" s="6" t="s">
        <v>2041</v>
      </c>
    </row>
    <row r="2" spans="1:12">
      <c r="A2" s="11" t="str">
        <f>_xlfn.XLOOKUP(표14[[#This Row],[material_name]],표2[material_name],표2[material_id])</f>
        <v>M002</v>
      </c>
      <c r="B2" s="11" t="str">
        <f>_xlfn.XLOOKUP(표14[[#This Row],[application_taxonomy]],표11[application_taxonomy],표11[app_id])</f>
        <v>A06</v>
      </c>
      <c r="C2" s="11" t="str">
        <f>_xlfn.XLOOKUP(표14[[#This Row],[end_use_industry]],표13[end_use_category],표13[end_use_id])</f>
        <v>E02</v>
      </c>
      <c r="D2" s="11">
        <f>_xlfn.XLOOKUP(표14[[#This Row],[importance]],표15[importance],표15[rating])</f>
        <v>0.6</v>
      </c>
      <c r="E2" s="1" t="s">
        <v>29</v>
      </c>
      <c r="F2" s="1" t="s">
        <v>2040</v>
      </c>
      <c r="G2" s="1" t="s">
        <v>1423</v>
      </c>
      <c r="H2" s="1" t="s">
        <v>1278</v>
      </c>
      <c r="I2" s="1" t="s">
        <v>1298</v>
      </c>
      <c r="J2" s="1" t="s">
        <v>2039</v>
      </c>
      <c r="K2" s="1" t="s">
        <v>1285</v>
      </c>
      <c r="L2" s="11"/>
    </row>
    <row r="3" spans="1:12">
      <c r="A3" s="11" t="str">
        <f>_xlfn.XLOOKUP(표14[[#This Row],[material_name]],표2[material_name],표2[material_id])</f>
        <v>M002</v>
      </c>
      <c r="B3" s="11" t="str">
        <f>_xlfn.XLOOKUP(표14[[#This Row],[application_taxonomy]],표11[application_taxonomy],표11[app_id])</f>
        <v>A05</v>
      </c>
      <c r="C3" s="11" t="str">
        <f>_xlfn.XLOOKUP(표14[[#This Row],[end_use_industry]],표13[end_use_category],표13[end_use_id])</f>
        <v>E02</v>
      </c>
      <c r="D3" s="11">
        <f>_xlfn.XLOOKUP(표14[[#This Row],[importance]],표15[importance],표15[rating])</f>
        <v>0.6</v>
      </c>
      <c r="E3" s="1" t="s">
        <v>29</v>
      </c>
      <c r="F3" s="1" t="s">
        <v>1898</v>
      </c>
      <c r="G3" s="1" t="s">
        <v>1322</v>
      </c>
      <c r="H3" s="1" t="s">
        <v>1278</v>
      </c>
      <c r="I3" s="1" t="s">
        <v>1298</v>
      </c>
      <c r="J3" s="1" t="s">
        <v>2038</v>
      </c>
      <c r="K3" s="1" t="s">
        <v>1285</v>
      </c>
      <c r="L3" s="11"/>
    </row>
    <row r="4" spans="1:12">
      <c r="A4" s="11" t="str">
        <f>_xlfn.XLOOKUP(표14[[#This Row],[material_name]],표2[material_name],표2[material_id])</f>
        <v>M002</v>
      </c>
      <c r="B4" s="11" t="str">
        <f>_xlfn.XLOOKUP(표14[[#This Row],[application_taxonomy]],표11[application_taxonomy],표11[app_id])</f>
        <v>A09</v>
      </c>
      <c r="C4" s="11" t="str">
        <f>_xlfn.XLOOKUP(표14[[#This Row],[end_use_industry]],표13[end_use_category],표13[end_use_id])</f>
        <v>E01</v>
      </c>
      <c r="D4" s="11">
        <f>_xlfn.XLOOKUP(표14[[#This Row],[importance]],표15[importance],표15[rating])</f>
        <v>0.6</v>
      </c>
      <c r="E4" s="1" t="s">
        <v>29</v>
      </c>
      <c r="F4" s="1" t="s">
        <v>1886</v>
      </c>
      <c r="G4" s="1" t="s">
        <v>1402</v>
      </c>
      <c r="H4" s="1" t="s">
        <v>1281</v>
      </c>
      <c r="I4" s="1" t="s">
        <v>1298</v>
      </c>
      <c r="J4" s="1" t="s">
        <v>2037</v>
      </c>
      <c r="K4" s="1" t="s">
        <v>1285</v>
      </c>
      <c r="L4" s="11"/>
    </row>
    <row r="5" spans="1:12">
      <c r="A5" s="11" t="str">
        <f>_xlfn.XLOOKUP(표14[[#This Row],[material_name]],표2[material_name],표2[material_id])</f>
        <v>M002</v>
      </c>
      <c r="B5" s="11" t="str">
        <f>_xlfn.XLOOKUP(표14[[#This Row],[application_taxonomy]],표11[application_taxonomy],표11[app_id])</f>
        <v>A04</v>
      </c>
      <c r="C5" s="11" t="str">
        <f>_xlfn.XLOOKUP(표14[[#This Row],[end_use_industry]],표13[end_use_category],표13[end_use_id])</f>
        <v>E02</v>
      </c>
      <c r="D5" s="11">
        <f>_xlfn.XLOOKUP(표14[[#This Row],[importance]],표15[importance],표15[rating])</f>
        <v>0.3</v>
      </c>
      <c r="E5" s="1" t="s">
        <v>29</v>
      </c>
      <c r="F5" s="1" t="s">
        <v>1896</v>
      </c>
      <c r="G5" s="1" t="s">
        <v>1319</v>
      </c>
      <c r="H5" s="1" t="s">
        <v>1278</v>
      </c>
      <c r="I5" s="1" t="s">
        <v>1287</v>
      </c>
      <c r="J5" s="1" t="s">
        <v>2036</v>
      </c>
      <c r="K5" s="1" t="s">
        <v>1285</v>
      </c>
      <c r="L5" s="11"/>
    </row>
    <row r="6" spans="1:12" ht="33">
      <c r="A6" s="11" t="str">
        <f>_xlfn.XLOOKUP(표14[[#This Row],[material_name]],표2[material_name],표2[material_id])</f>
        <v>M002</v>
      </c>
      <c r="B6" s="11" t="str">
        <f>_xlfn.XLOOKUP(표14[[#This Row],[application_taxonomy]],표11[application_taxonomy],표11[app_id])</f>
        <v>A09</v>
      </c>
      <c r="C6" s="11" t="str">
        <f>_xlfn.XLOOKUP(표14[[#This Row],[end_use_industry]],표13[end_use_category],표13[end_use_id])</f>
        <v>E01</v>
      </c>
      <c r="D6" s="11">
        <f>_xlfn.XLOOKUP(표14[[#This Row],[importance]],표15[importance],표15[rating])</f>
        <v>0.3</v>
      </c>
      <c r="E6" s="1" t="s">
        <v>29</v>
      </c>
      <c r="F6" s="1" t="s">
        <v>2035</v>
      </c>
      <c r="G6" s="1" t="s">
        <v>1402</v>
      </c>
      <c r="H6" s="1" t="s">
        <v>1281</v>
      </c>
      <c r="I6" s="1" t="s">
        <v>1287</v>
      </c>
      <c r="J6" s="1" t="s">
        <v>2034</v>
      </c>
      <c r="K6" s="1" t="s">
        <v>1285</v>
      </c>
      <c r="L6" s="11"/>
    </row>
    <row r="7" spans="1:12" ht="33">
      <c r="A7" s="11" t="str">
        <f>_xlfn.XLOOKUP(표14[[#This Row],[material_name]],표2[material_name],표2[material_id])</f>
        <v>M002</v>
      </c>
      <c r="B7" s="11" t="str">
        <f>_xlfn.XLOOKUP(표14[[#This Row],[application_taxonomy]],표11[application_taxonomy],표11[app_id])</f>
        <v>A16</v>
      </c>
      <c r="C7" s="11" t="str">
        <f>_xlfn.XLOOKUP(표14[[#This Row],[end_use_industry]],표13[end_use_category],표13[end_use_id])</f>
        <v>E03</v>
      </c>
      <c r="D7" s="11">
        <f>_xlfn.XLOOKUP(표14[[#This Row],[importance]],표15[importance],표15[rating])</f>
        <v>0.3</v>
      </c>
      <c r="E7" s="1" t="s">
        <v>29</v>
      </c>
      <c r="F7" s="1" t="s">
        <v>2033</v>
      </c>
      <c r="G7" s="1" t="s">
        <v>1295</v>
      </c>
      <c r="H7" s="1" t="s">
        <v>1275</v>
      </c>
      <c r="I7" s="1" t="s">
        <v>1287</v>
      </c>
      <c r="J7" s="1" t="s">
        <v>2032</v>
      </c>
      <c r="K7" s="1" t="s">
        <v>1285</v>
      </c>
      <c r="L7" s="11"/>
    </row>
    <row r="8" spans="1:12">
      <c r="A8" s="11" t="str">
        <f>_xlfn.XLOOKUP(표14[[#This Row],[material_name]],표2[material_name],표2[material_id])</f>
        <v>M003</v>
      </c>
      <c r="B8" s="11" t="str">
        <f>_xlfn.XLOOKUP(표14[[#This Row],[application_taxonomy]],표11[application_taxonomy],표11[app_id])</f>
        <v>A05</v>
      </c>
      <c r="C8" s="11" t="str">
        <f>_xlfn.XLOOKUP(표14[[#This Row],[end_use_industry]],표13[end_use_category],표13[end_use_id])</f>
        <v>E02</v>
      </c>
      <c r="D8" s="11">
        <f>_xlfn.XLOOKUP(표14[[#This Row],[importance]],표15[importance],표15[rating])</f>
        <v>0.6</v>
      </c>
      <c r="E8" s="1" t="s">
        <v>31</v>
      </c>
      <c r="F8" s="1" t="s">
        <v>1898</v>
      </c>
      <c r="G8" s="1" t="s">
        <v>1322</v>
      </c>
      <c r="H8" s="1" t="s">
        <v>1278</v>
      </c>
      <c r="I8" s="1" t="s">
        <v>1298</v>
      </c>
      <c r="J8" s="1" t="s">
        <v>2031</v>
      </c>
      <c r="K8" s="1" t="s">
        <v>1285</v>
      </c>
      <c r="L8" s="11"/>
    </row>
    <row r="9" spans="1:12">
      <c r="A9" s="11" t="str">
        <f>_xlfn.XLOOKUP(표14[[#This Row],[material_name]],표2[material_name],표2[material_id])</f>
        <v>M003</v>
      </c>
      <c r="B9" s="11" t="str">
        <f>_xlfn.XLOOKUP(표14[[#This Row],[application_taxonomy]],표11[application_taxonomy],표11[app_id])</f>
        <v>A07</v>
      </c>
      <c r="C9" s="11" t="str">
        <f>_xlfn.XLOOKUP(표14[[#This Row],[end_use_industry]],표13[end_use_category],표13[end_use_id])</f>
        <v>E02</v>
      </c>
      <c r="D9" s="11">
        <f>_xlfn.XLOOKUP(표14[[#This Row],[importance]],표15[importance],표15[rating])</f>
        <v>0.3</v>
      </c>
      <c r="E9" s="1" t="s">
        <v>31</v>
      </c>
      <c r="F9" s="1" t="s">
        <v>2030</v>
      </c>
      <c r="G9" s="1" t="s">
        <v>1420</v>
      </c>
      <c r="H9" s="1" t="s">
        <v>1278</v>
      </c>
      <c r="I9" s="1" t="s">
        <v>1287</v>
      </c>
      <c r="J9" s="1" t="s">
        <v>2029</v>
      </c>
      <c r="K9" s="1" t="s">
        <v>1285</v>
      </c>
      <c r="L9" s="11"/>
    </row>
    <row r="10" spans="1:12">
      <c r="A10" s="11" t="str">
        <f>_xlfn.XLOOKUP(표14[[#This Row],[material_name]],표2[material_name],표2[material_id])</f>
        <v>M003</v>
      </c>
      <c r="B10" s="11" t="str">
        <f>_xlfn.XLOOKUP(표14[[#This Row],[application_taxonomy]],표11[application_taxonomy],표11[app_id])</f>
        <v>A13</v>
      </c>
      <c r="C10" s="11" t="str">
        <f>_xlfn.XLOOKUP(표14[[#This Row],[end_use_industry]],표13[end_use_category],표13[end_use_id])</f>
        <v>E04</v>
      </c>
      <c r="D10" s="11">
        <f>_xlfn.XLOOKUP(표14[[#This Row],[importance]],표15[importance],표15[rating])</f>
        <v>0.3</v>
      </c>
      <c r="E10" s="1" t="s">
        <v>31</v>
      </c>
      <c r="F10" s="1" t="s">
        <v>719</v>
      </c>
      <c r="G10" s="1" t="s">
        <v>1409</v>
      </c>
      <c r="H10" s="1" t="s">
        <v>1272</v>
      </c>
      <c r="I10" s="1" t="s">
        <v>1287</v>
      </c>
      <c r="J10" s="1" t="s">
        <v>2028</v>
      </c>
      <c r="K10" s="1" t="s">
        <v>1285</v>
      </c>
      <c r="L10" s="11"/>
    </row>
    <row r="11" spans="1:12">
      <c r="A11" s="11" t="str">
        <f>_xlfn.XLOOKUP(표14[[#This Row],[material_name]],표2[material_name],표2[material_id])</f>
        <v>M003</v>
      </c>
      <c r="B11" s="11" t="str">
        <f>_xlfn.XLOOKUP(표14[[#This Row],[application_taxonomy]],표11[application_taxonomy],표11[app_id])</f>
        <v>A04</v>
      </c>
      <c r="C11" s="11" t="str">
        <f>_xlfn.XLOOKUP(표14[[#This Row],[end_use_industry]],표13[end_use_category],표13[end_use_id])</f>
        <v>E02</v>
      </c>
      <c r="D11" s="11">
        <f>_xlfn.XLOOKUP(표14[[#This Row],[importance]],표15[importance],표15[rating])</f>
        <v>0.3</v>
      </c>
      <c r="E11" s="1" t="s">
        <v>31</v>
      </c>
      <c r="F11" s="1" t="s">
        <v>1896</v>
      </c>
      <c r="G11" s="1" t="s">
        <v>1319</v>
      </c>
      <c r="H11" s="1" t="s">
        <v>1278</v>
      </c>
      <c r="I11" s="1" t="s">
        <v>1287</v>
      </c>
      <c r="J11" s="1" t="s">
        <v>2027</v>
      </c>
      <c r="K11" s="1" t="s">
        <v>1285</v>
      </c>
      <c r="L11" s="11"/>
    </row>
    <row r="12" spans="1:12" ht="33">
      <c r="A12" s="11" t="str">
        <f>_xlfn.XLOOKUP(표14[[#This Row],[material_name]],표2[material_name],표2[material_id])</f>
        <v>M003</v>
      </c>
      <c r="B12" s="11" t="str">
        <f>_xlfn.XLOOKUP(표14[[#This Row],[application_taxonomy]],표11[application_taxonomy],표11[app_id])</f>
        <v>A09</v>
      </c>
      <c r="C12" s="11" t="str">
        <f>_xlfn.XLOOKUP(표14[[#This Row],[end_use_industry]],표13[end_use_category],표13[end_use_id])</f>
        <v>E01</v>
      </c>
      <c r="D12" s="11">
        <f>_xlfn.XLOOKUP(표14[[#This Row],[importance]],표15[importance],표15[rating])</f>
        <v>0.1</v>
      </c>
      <c r="E12" s="1" t="s">
        <v>31</v>
      </c>
      <c r="F12" s="1" t="s">
        <v>1886</v>
      </c>
      <c r="G12" s="1" t="s">
        <v>1402</v>
      </c>
      <c r="H12" s="1" t="s">
        <v>1281</v>
      </c>
      <c r="I12" s="1" t="s">
        <v>1302</v>
      </c>
      <c r="J12" s="1" t="s">
        <v>2026</v>
      </c>
      <c r="K12" s="1" t="s">
        <v>1285</v>
      </c>
      <c r="L12" s="11"/>
    </row>
    <row r="13" spans="1:12" ht="33">
      <c r="A13" s="11" t="str">
        <f>_xlfn.XLOOKUP(표14[[#This Row],[material_name]],표2[material_name],표2[material_id])</f>
        <v>M003</v>
      </c>
      <c r="B13" s="11" t="str">
        <f>_xlfn.XLOOKUP(표14[[#This Row],[application_taxonomy]],표11[application_taxonomy],표11[app_id])</f>
        <v>A20</v>
      </c>
      <c r="C13" s="11" t="str">
        <f>_xlfn.XLOOKUP(표14[[#This Row],[end_use_industry]],표13[end_use_category],표13[end_use_id])</f>
        <v>E07</v>
      </c>
      <c r="D13" s="11">
        <f>_xlfn.XLOOKUP(표14[[#This Row],[importance]],표15[importance],표15[rating])</f>
        <v>0.1</v>
      </c>
      <c r="E13" s="1" t="s">
        <v>31</v>
      </c>
      <c r="F13" s="1" t="s">
        <v>1468</v>
      </c>
      <c r="G13" s="1" t="s">
        <v>1328</v>
      </c>
      <c r="H13" s="1" t="s">
        <v>1263</v>
      </c>
      <c r="I13" s="1" t="s">
        <v>1302</v>
      </c>
      <c r="J13" s="1" t="s">
        <v>2025</v>
      </c>
      <c r="K13" s="1" t="s">
        <v>1285</v>
      </c>
      <c r="L13" s="11"/>
    </row>
    <row r="14" spans="1:12">
      <c r="A14" s="11" t="str">
        <f>_xlfn.XLOOKUP(표14[[#This Row],[material_name]],표2[material_name],표2[material_id])</f>
        <v>M004</v>
      </c>
      <c r="B14" s="11" t="str">
        <f>_xlfn.XLOOKUP(표14[[#This Row],[application_taxonomy]],표11[application_taxonomy],표11[app_id])</f>
        <v>A05</v>
      </c>
      <c r="C14" s="11" t="str">
        <f>_xlfn.XLOOKUP(표14[[#This Row],[end_use_industry]],표13[end_use_category],표13[end_use_id])</f>
        <v>E02</v>
      </c>
      <c r="D14" s="11">
        <f>_xlfn.XLOOKUP(표14[[#This Row],[importance]],표15[importance],표15[rating])</f>
        <v>0.6</v>
      </c>
      <c r="E14" s="1" t="s">
        <v>32</v>
      </c>
      <c r="F14" s="1" t="s">
        <v>1898</v>
      </c>
      <c r="G14" s="1" t="s">
        <v>1322</v>
      </c>
      <c r="H14" s="1" t="s">
        <v>1278</v>
      </c>
      <c r="I14" s="1" t="s">
        <v>1298</v>
      </c>
      <c r="J14" s="1" t="s">
        <v>2024</v>
      </c>
      <c r="K14" s="1" t="s">
        <v>1285</v>
      </c>
      <c r="L14" s="11"/>
    </row>
    <row r="15" spans="1:12" ht="33">
      <c r="A15" s="11" t="str">
        <f>_xlfn.XLOOKUP(표14[[#This Row],[material_name]],표2[material_name],표2[material_id])</f>
        <v>M004</v>
      </c>
      <c r="B15" s="11" t="str">
        <f>_xlfn.XLOOKUP(표14[[#This Row],[application_taxonomy]],표11[application_taxonomy],표11[app_id])</f>
        <v>A34</v>
      </c>
      <c r="C15" s="11" t="str">
        <f>_xlfn.XLOOKUP(표14[[#This Row],[end_use_industry]],표13[end_use_category],표13[end_use_id])</f>
        <v>E06</v>
      </c>
      <c r="D15" s="11">
        <f>_xlfn.XLOOKUP(표14[[#This Row],[importance]],표15[importance],표15[rating])</f>
        <v>0.3</v>
      </c>
      <c r="E15" s="1" t="s">
        <v>32</v>
      </c>
      <c r="F15" s="1" t="s">
        <v>2023</v>
      </c>
      <c r="G15" s="1" t="s">
        <v>1797</v>
      </c>
      <c r="H15" s="1" t="s">
        <v>1266</v>
      </c>
      <c r="I15" s="1" t="s">
        <v>1287</v>
      </c>
      <c r="J15" s="1" t="s">
        <v>2022</v>
      </c>
      <c r="K15" s="1" t="s">
        <v>1285</v>
      </c>
      <c r="L15" s="11"/>
    </row>
    <row r="16" spans="1:12">
      <c r="A16" s="11" t="str">
        <f>_xlfn.XLOOKUP(표14[[#This Row],[material_name]],표2[material_name],표2[material_id])</f>
        <v>M004</v>
      </c>
      <c r="B16" s="11" t="str">
        <f>_xlfn.XLOOKUP(표14[[#This Row],[application_taxonomy]],표11[application_taxonomy],표11[app_id])</f>
        <v>A04</v>
      </c>
      <c r="C16" s="11" t="str">
        <f>_xlfn.XLOOKUP(표14[[#This Row],[end_use_industry]],표13[end_use_category],표13[end_use_id])</f>
        <v>E02</v>
      </c>
      <c r="D16" s="11">
        <f>_xlfn.XLOOKUP(표14[[#This Row],[importance]],표15[importance],표15[rating])</f>
        <v>0.3</v>
      </c>
      <c r="E16" s="1" t="s">
        <v>32</v>
      </c>
      <c r="F16" s="1" t="s">
        <v>1896</v>
      </c>
      <c r="G16" s="1" t="s">
        <v>1319</v>
      </c>
      <c r="H16" s="1" t="s">
        <v>1278</v>
      </c>
      <c r="I16" s="1" t="s">
        <v>1287</v>
      </c>
      <c r="J16" s="1" t="s">
        <v>2021</v>
      </c>
      <c r="K16" s="1" t="s">
        <v>1285</v>
      </c>
      <c r="L16" s="11"/>
    </row>
    <row r="17" spans="1:12" ht="33">
      <c r="A17" s="11" t="str">
        <f>_xlfn.XLOOKUP(표14[[#This Row],[material_name]],표2[material_name],표2[material_id])</f>
        <v>M004</v>
      </c>
      <c r="B17" s="11" t="str">
        <f>_xlfn.XLOOKUP(표14[[#This Row],[application_taxonomy]],표11[application_taxonomy],표11[app_id])</f>
        <v>A13</v>
      </c>
      <c r="C17" s="11" t="str">
        <f>_xlfn.XLOOKUP(표14[[#This Row],[end_use_industry]],표13[end_use_category],표13[end_use_id])</f>
        <v>E04</v>
      </c>
      <c r="D17" s="11">
        <f>_xlfn.XLOOKUP(표14[[#This Row],[importance]],표15[importance],표15[rating])</f>
        <v>0.1</v>
      </c>
      <c r="E17" s="1" t="s">
        <v>32</v>
      </c>
      <c r="F17" s="1" t="s">
        <v>1487</v>
      </c>
      <c r="G17" s="1" t="s">
        <v>1409</v>
      </c>
      <c r="H17" s="1" t="s">
        <v>1272</v>
      </c>
      <c r="I17" s="1" t="s">
        <v>1302</v>
      </c>
      <c r="J17" s="1" t="s">
        <v>2020</v>
      </c>
      <c r="K17" s="1" t="s">
        <v>1285</v>
      </c>
      <c r="L17" s="11"/>
    </row>
    <row r="18" spans="1:12" ht="33">
      <c r="A18" s="11" t="str">
        <f>_xlfn.XLOOKUP(표14[[#This Row],[material_name]],표2[material_name],표2[material_id])</f>
        <v>M005</v>
      </c>
      <c r="B18" s="11" t="str">
        <f>_xlfn.XLOOKUP(표14[[#This Row],[application_taxonomy]],표11[application_taxonomy],표11[app_id])</f>
        <v>A01</v>
      </c>
      <c r="C18" s="11" t="str">
        <f>_xlfn.XLOOKUP(표14[[#This Row],[end_use_industry]],표13[end_use_category],표13[end_use_id])</f>
        <v>E07</v>
      </c>
      <c r="D18" s="11">
        <f>_xlfn.XLOOKUP(표14[[#This Row],[importance]],표15[importance],표15[rating])</f>
        <v>0.6</v>
      </c>
      <c r="E18" s="1" t="s">
        <v>892</v>
      </c>
      <c r="F18" s="1" t="s">
        <v>33</v>
      </c>
      <c r="G18" s="1" t="s">
        <v>1313</v>
      </c>
      <c r="H18" s="1" t="s">
        <v>1263</v>
      </c>
      <c r="I18" s="1" t="s">
        <v>1298</v>
      </c>
      <c r="J18" s="1" t="s">
        <v>2019</v>
      </c>
      <c r="K18" s="1" t="s">
        <v>1285</v>
      </c>
      <c r="L18" s="11"/>
    </row>
    <row r="19" spans="1:12" ht="33">
      <c r="A19" s="11" t="str">
        <f>_xlfn.XLOOKUP(표14[[#This Row],[material_name]],표2[material_name],표2[material_id])</f>
        <v>M005</v>
      </c>
      <c r="B19" s="11" t="str">
        <f>_xlfn.XLOOKUP(표14[[#This Row],[application_taxonomy]],표11[application_taxonomy],표11[app_id])</f>
        <v>A02</v>
      </c>
      <c r="C19" s="11" t="str">
        <f>_xlfn.XLOOKUP(표14[[#This Row],[end_use_industry]],표13[end_use_category],표13[end_use_id])</f>
        <v>E07</v>
      </c>
      <c r="D19" s="11">
        <f>_xlfn.XLOOKUP(표14[[#This Row],[importance]],표15[importance],표15[rating])</f>
        <v>0.1</v>
      </c>
      <c r="E19" s="1" t="s">
        <v>892</v>
      </c>
      <c r="F19" s="1" t="s">
        <v>2018</v>
      </c>
      <c r="G19" s="1" t="s">
        <v>1308</v>
      </c>
      <c r="H19" s="1" t="s">
        <v>1263</v>
      </c>
      <c r="I19" s="1" t="s">
        <v>1302</v>
      </c>
      <c r="J19" s="1" t="s">
        <v>2017</v>
      </c>
      <c r="K19" s="1" t="s">
        <v>1285</v>
      </c>
      <c r="L19" s="11"/>
    </row>
    <row r="20" spans="1:12" ht="33">
      <c r="A20" s="11" t="str">
        <f>_xlfn.XLOOKUP(표14[[#This Row],[material_name]],표2[material_name],표2[material_id])</f>
        <v>M005</v>
      </c>
      <c r="B20" s="11" t="str">
        <f>_xlfn.XLOOKUP(표14[[#This Row],[application_taxonomy]],표11[application_taxonomy],표11[app_id])</f>
        <v>A02</v>
      </c>
      <c r="C20" s="11" t="str">
        <f>_xlfn.XLOOKUP(표14[[#This Row],[end_use_industry]],표13[end_use_category],표13[end_use_id])</f>
        <v>E07</v>
      </c>
      <c r="D20" s="11">
        <f>_xlfn.XLOOKUP(표14[[#This Row],[importance]],표15[importance],표15[rating])</f>
        <v>0.1</v>
      </c>
      <c r="E20" s="1" t="s">
        <v>892</v>
      </c>
      <c r="F20" s="1" t="s">
        <v>1977</v>
      </c>
      <c r="G20" s="1" t="s">
        <v>1308</v>
      </c>
      <c r="H20" s="1" t="s">
        <v>1263</v>
      </c>
      <c r="I20" s="1" t="s">
        <v>1302</v>
      </c>
      <c r="J20" s="1" t="s">
        <v>2016</v>
      </c>
      <c r="K20" s="1" t="s">
        <v>1285</v>
      </c>
      <c r="L20" s="11"/>
    </row>
    <row r="21" spans="1:12" ht="33">
      <c r="A21" s="11" t="str">
        <f>_xlfn.XLOOKUP(표14[[#This Row],[material_name]],표2[material_name],표2[material_id])</f>
        <v>M006</v>
      </c>
      <c r="B21" s="11" t="str">
        <f>_xlfn.XLOOKUP(표14[[#This Row],[application_taxonomy]],표11[application_taxonomy],표11[app_id])</f>
        <v>A01</v>
      </c>
      <c r="C21" s="11" t="str">
        <f>_xlfn.XLOOKUP(표14[[#This Row],[end_use_industry]],표13[end_use_category],표13[end_use_id])</f>
        <v>E07</v>
      </c>
      <c r="D21" s="11">
        <f>_xlfn.XLOOKUP(표14[[#This Row],[importance]],표15[importance],표15[rating])</f>
        <v>0.6</v>
      </c>
      <c r="E21" s="1" t="s">
        <v>893</v>
      </c>
      <c r="F21" s="1" t="s">
        <v>2015</v>
      </c>
      <c r="G21" s="1" t="s">
        <v>1313</v>
      </c>
      <c r="H21" s="1" t="s">
        <v>1263</v>
      </c>
      <c r="I21" s="1" t="s">
        <v>1298</v>
      </c>
      <c r="J21" s="1" t="s">
        <v>2014</v>
      </c>
      <c r="K21" s="1" t="s">
        <v>1285</v>
      </c>
      <c r="L21" s="11"/>
    </row>
    <row r="22" spans="1:12" ht="33">
      <c r="A22" s="11" t="str">
        <f>_xlfn.XLOOKUP(표14[[#This Row],[material_name]],표2[material_name],표2[material_id])</f>
        <v>M006</v>
      </c>
      <c r="B22" s="11" t="str">
        <f>_xlfn.XLOOKUP(표14[[#This Row],[application_taxonomy]],표11[application_taxonomy],표11[app_id])</f>
        <v>A03</v>
      </c>
      <c r="C22" s="11" t="str">
        <f>_xlfn.XLOOKUP(표14[[#This Row],[end_use_industry]],표13[end_use_category],표13[end_use_id])</f>
        <v>E07</v>
      </c>
      <c r="D22" s="11">
        <f>_xlfn.XLOOKUP(표14[[#This Row],[importance]],표15[importance],표15[rating])</f>
        <v>0.1</v>
      </c>
      <c r="E22" s="1" t="s">
        <v>893</v>
      </c>
      <c r="F22" s="1" t="s">
        <v>2013</v>
      </c>
      <c r="G22" s="1" t="s">
        <v>1380</v>
      </c>
      <c r="H22" s="1" t="s">
        <v>1263</v>
      </c>
      <c r="I22" s="1" t="s">
        <v>1302</v>
      </c>
      <c r="J22" s="1" t="s">
        <v>2012</v>
      </c>
      <c r="K22" s="1" t="s">
        <v>1285</v>
      </c>
      <c r="L22" s="11"/>
    </row>
    <row r="23" spans="1:12">
      <c r="A23" s="11" t="str">
        <f>_xlfn.XLOOKUP(표14[[#This Row],[material_name]],표2[material_name],표2[material_id])</f>
        <v>M007</v>
      </c>
      <c r="B23" s="11" t="str">
        <f>_xlfn.XLOOKUP(표14[[#This Row],[application_taxonomy]],표11[application_taxonomy],표11[app_id])</f>
        <v>A09</v>
      </c>
      <c r="C23" s="11" t="str">
        <f>_xlfn.XLOOKUP(표14[[#This Row],[end_use_industry]],표13[end_use_category],표13[end_use_id])</f>
        <v>E01</v>
      </c>
      <c r="D23" s="11">
        <f>_xlfn.XLOOKUP(표14[[#This Row],[importance]],표15[importance],표15[rating])</f>
        <v>0.6</v>
      </c>
      <c r="E23" s="1" t="s">
        <v>34</v>
      </c>
      <c r="F23" s="1" t="s">
        <v>2011</v>
      </c>
      <c r="G23" s="1" t="s">
        <v>1402</v>
      </c>
      <c r="H23" s="1" t="s">
        <v>1281</v>
      </c>
      <c r="I23" s="1" t="s">
        <v>1298</v>
      </c>
      <c r="J23" s="1" t="s">
        <v>2010</v>
      </c>
      <c r="K23" s="1" t="s">
        <v>1285</v>
      </c>
      <c r="L23" s="11"/>
    </row>
    <row r="24" spans="1:12">
      <c r="A24" s="11" t="str">
        <f>_xlfn.XLOOKUP(표14[[#This Row],[material_name]],표2[material_name],표2[material_id])</f>
        <v>M007</v>
      </c>
      <c r="B24" s="11" t="str">
        <f>_xlfn.XLOOKUP(표14[[#This Row],[application_taxonomy]],표11[application_taxonomy],표11[app_id])</f>
        <v>A10</v>
      </c>
      <c r="C24" s="11" t="str">
        <f>_xlfn.XLOOKUP(표14[[#This Row],[end_use_industry]],표13[end_use_category],표13[end_use_id])</f>
        <v>E01</v>
      </c>
      <c r="D24" s="11">
        <f>_xlfn.XLOOKUP(표14[[#This Row],[importance]],표15[importance],표15[rating])</f>
        <v>0.6</v>
      </c>
      <c r="E24" s="1" t="s">
        <v>34</v>
      </c>
      <c r="F24" s="1" t="s">
        <v>2009</v>
      </c>
      <c r="G24" s="1" t="s">
        <v>1288</v>
      </c>
      <c r="H24" s="1" t="s">
        <v>1281</v>
      </c>
      <c r="I24" s="1" t="s">
        <v>1298</v>
      </c>
      <c r="J24" s="1" t="s">
        <v>2008</v>
      </c>
      <c r="K24" s="1" t="s">
        <v>1285</v>
      </c>
      <c r="L24" s="11"/>
    </row>
    <row r="25" spans="1:12">
      <c r="A25" s="11" t="str">
        <f>_xlfn.XLOOKUP(표14[[#This Row],[material_name]],표2[material_name],표2[material_id])</f>
        <v>M007</v>
      </c>
      <c r="B25" s="11" t="str">
        <f>_xlfn.XLOOKUP(표14[[#This Row],[application_taxonomy]],표11[application_taxonomy],표11[app_id])</f>
        <v>A13</v>
      </c>
      <c r="C25" s="11" t="str">
        <f>_xlfn.XLOOKUP(표14[[#This Row],[end_use_industry]],표13[end_use_category],표13[end_use_id])</f>
        <v>E04</v>
      </c>
      <c r="D25" s="11">
        <f>_xlfn.XLOOKUP(표14[[#This Row],[importance]],표15[importance],표15[rating])</f>
        <v>0.3</v>
      </c>
      <c r="E25" s="1" t="s">
        <v>34</v>
      </c>
      <c r="F25" s="1" t="s">
        <v>2007</v>
      </c>
      <c r="G25" s="1" t="s">
        <v>1409</v>
      </c>
      <c r="H25" s="1" t="s">
        <v>1272</v>
      </c>
      <c r="I25" s="1" t="s">
        <v>1287</v>
      </c>
      <c r="J25" s="1" t="s">
        <v>2006</v>
      </c>
      <c r="K25" s="1" t="s">
        <v>1285</v>
      </c>
      <c r="L25" s="11"/>
    </row>
    <row r="26" spans="1:12">
      <c r="A26" s="11" t="str">
        <f>_xlfn.XLOOKUP(표14[[#This Row],[material_name]],표2[material_name],표2[material_id])</f>
        <v>M007</v>
      </c>
      <c r="B26" s="11" t="str">
        <f>_xlfn.XLOOKUP(표14[[#This Row],[application_taxonomy]],표11[application_taxonomy],표11[app_id])</f>
        <v>A11</v>
      </c>
      <c r="C26" s="11" t="str">
        <f>_xlfn.XLOOKUP(표14[[#This Row],[end_use_industry]],표13[end_use_category],표13[end_use_id])</f>
        <v>E01</v>
      </c>
      <c r="D26" s="11">
        <f>_xlfn.XLOOKUP(표14[[#This Row],[importance]],표15[importance],표15[rating])</f>
        <v>0.3</v>
      </c>
      <c r="E26" s="1" t="s">
        <v>34</v>
      </c>
      <c r="F26" s="1" t="s">
        <v>2005</v>
      </c>
      <c r="G26" s="1" t="s">
        <v>1626</v>
      </c>
      <c r="H26" s="1" t="s">
        <v>1281</v>
      </c>
      <c r="I26" s="1" t="s">
        <v>1287</v>
      </c>
      <c r="J26" s="1" t="s">
        <v>2004</v>
      </c>
      <c r="K26" s="1" t="s">
        <v>1285</v>
      </c>
      <c r="L26" s="11"/>
    </row>
    <row r="27" spans="1:12">
      <c r="A27" s="11" t="str">
        <f>_xlfn.XLOOKUP(표14[[#This Row],[material_name]],표2[material_name],표2[material_id])</f>
        <v>M007</v>
      </c>
      <c r="B27" s="11" t="str">
        <f>_xlfn.XLOOKUP(표14[[#This Row],[application_taxonomy]],표11[application_taxonomy],표11[app_id])</f>
        <v>A05</v>
      </c>
      <c r="C27" s="11" t="str">
        <f>_xlfn.XLOOKUP(표14[[#This Row],[end_use_industry]],표13[end_use_category],표13[end_use_id])</f>
        <v>E02</v>
      </c>
      <c r="D27" s="11">
        <f>_xlfn.XLOOKUP(표14[[#This Row],[importance]],표15[importance],표15[rating])</f>
        <v>0.3</v>
      </c>
      <c r="E27" s="1" t="s">
        <v>34</v>
      </c>
      <c r="F27" s="1" t="s">
        <v>1898</v>
      </c>
      <c r="G27" s="1" t="s">
        <v>1322</v>
      </c>
      <c r="H27" s="1" t="s">
        <v>1278</v>
      </c>
      <c r="I27" s="1" t="s">
        <v>1287</v>
      </c>
      <c r="J27" s="1" t="s">
        <v>2003</v>
      </c>
      <c r="K27" s="1" t="s">
        <v>1285</v>
      </c>
      <c r="L27" s="11"/>
    </row>
    <row r="28" spans="1:12" ht="33">
      <c r="A28" s="11" t="str">
        <f>_xlfn.XLOOKUP(표14[[#This Row],[material_name]],표2[material_name],표2[material_id])</f>
        <v>M007</v>
      </c>
      <c r="B28" s="11" t="str">
        <f>_xlfn.XLOOKUP(표14[[#This Row],[application_taxonomy]],표11[application_taxonomy],표11[app_id])</f>
        <v>A22</v>
      </c>
      <c r="C28" s="11" t="str">
        <f>_xlfn.XLOOKUP(표14[[#This Row],[end_use_industry]],표13[end_use_category],표13[end_use_id])</f>
        <v>E07</v>
      </c>
      <c r="D28" s="11">
        <f>_xlfn.XLOOKUP(표14[[#This Row],[importance]],표15[importance],표15[rating])</f>
        <v>0.1</v>
      </c>
      <c r="E28" s="1" t="s">
        <v>34</v>
      </c>
      <c r="F28" s="1" t="s">
        <v>1631</v>
      </c>
      <c r="G28" s="1" t="s">
        <v>1292</v>
      </c>
      <c r="H28" s="1" t="s">
        <v>1263</v>
      </c>
      <c r="I28" s="1" t="s">
        <v>1302</v>
      </c>
      <c r="J28" s="1" t="s">
        <v>2002</v>
      </c>
      <c r="K28" s="1" t="s">
        <v>1285</v>
      </c>
      <c r="L28" s="11"/>
    </row>
    <row r="29" spans="1:12" ht="33">
      <c r="A29" s="11" t="str">
        <f>_xlfn.XLOOKUP(표14[[#This Row],[material_name]],표2[material_name],표2[material_id])</f>
        <v>M007</v>
      </c>
      <c r="B29" s="11" t="str">
        <f>_xlfn.XLOOKUP(표14[[#This Row],[application_taxonomy]],표11[application_taxonomy],표11[app_id])</f>
        <v>A33</v>
      </c>
      <c r="C29" s="11" t="str">
        <f>_xlfn.XLOOKUP(표14[[#This Row],[end_use_industry]],표13[end_use_category],표13[end_use_id])</f>
        <v>E05</v>
      </c>
      <c r="D29" s="11">
        <f>_xlfn.XLOOKUP(표14[[#This Row],[importance]],표15[importance],표15[rating])</f>
        <v>0.1</v>
      </c>
      <c r="E29" s="1" t="s">
        <v>34</v>
      </c>
      <c r="F29" s="1" t="s">
        <v>2001</v>
      </c>
      <c r="G29" s="1" t="s">
        <v>1333</v>
      </c>
      <c r="H29" s="1" t="s">
        <v>1269</v>
      </c>
      <c r="I29" s="1" t="s">
        <v>1302</v>
      </c>
      <c r="J29" s="1" t="s">
        <v>2000</v>
      </c>
      <c r="K29" s="1" t="s">
        <v>1285</v>
      </c>
      <c r="L29" s="11"/>
    </row>
    <row r="30" spans="1:12">
      <c r="A30" s="11" t="str">
        <f>_xlfn.XLOOKUP(표14[[#This Row],[material_name]],표2[material_name],표2[material_id])</f>
        <v>M008</v>
      </c>
      <c r="B30" s="11" t="str">
        <f>_xlfn.XLOOKUP(표14[[#This Row],[application_taxonomy]],표11[application_taxonomy],표11[app_id])</f>
        <v>A43</v>
      </c>
      <c r="C30" s="11" t="str">
        <f>_xlfn.XLOOKUP(표14[[#This Row],[end_use_industry]],표13[end_use_category],표13[end_use_id])</f>
        <v>E04</v>
      </c>
      <c r="D30" s="11">
        <f>_xlfn.XLOOKUP(표14[[#This Row],[importance]],표15[importance],표15[rating])</f>
        <v>0.6</v>
      </c>
      <c r="E30" s="1" t="s">
        <v>36</v>
      </c>
      <c r="F30" s="1" t="s">
        <v>1999</v>
      </c>
      <c r="G30" s="1" t="s">
        <v>1128</v>
      </c>
      <c r="H30" s="1" t="s">
        <v>1272</v>
      </c>
      <c r="I30" s="1" t="s">
        <v>1298</v>
      </c>
      <c r="J30" s="1" t="s">
        <v>1998</v>
      </c>
      <c r="K30" s="1" t="s">
        <v>1285</v>
      </c>
      <c r="L30" s="11"/>
    </row>
    <row r="31" spans="1:12" ht="33">
      <c r="A31" s="11" t="str">
        <f>_xlfn.XLOOKUP(표14[[#This Row],[material_name]],표2[material_name],표2[material_id])</f>
        <v>M008</v>
      </c>
      <c r="B31" s="11" t="str">
        <f>_xlfn.XLOOKUP(표14[[#This Row],[application_taxonomy]],표11[application_taxonomy],표11[app_id])</f>
        <v>A24</v>
      </c>
      <c r="C31" s="11" t="str">
        <f>_xlfn.XLOOKUP(표14[[#This Row],[end_use_industry]],표13[end_use_category],표13[end_use_id])</f>
        <v>E07</v>
      </c>
      <c r="D31" s="11">
        <f>_xlfn.XLOOKUP(표14[[#This Row],[importance]],표15[importance],표15[rating])</f>
        <v>0.3</v>
      </c>
      <c r="E31" s="1" t="s">
        <v>36</v>
      </c>
      <c r="F31" s="1" t="s">
        <v>1997</v>
      </c>
      <c r="G31" s="1" t="s">
        <v>1303</v>
      </c>
      <c r="H31" s="1" t="s">
        <v>1263</v>
      </c>
      <c r="I31" s="1" t="s">
        <v>1287</v>
      </c>
      <c r="J31" s="1" t="s">
        <v>1996</v>
      </c>
      <c r="K31" s="1" t="s">
        <v>1285</v>
      </c>
      <c r="L31" s="11"/>
    </row>
    <row r="32" spans="1:12" ht="33">
      <c r="A32" s="11" t="str">
        <f>_xlfn.XLOOKUP(표14[[#This Row],[material_name]],표2[material_name],표2[material_id])</f>
        <v>M008</v>
      </c>
      <c r="B32" s="11" t="str">
        <f>_xlfn.XLOOKUP(표14[[#This Row],[application_taxonomy]],표11[application_taxonomy],표11[app_id])</f>
        <v>A01</v>
      </c>
      <c r="C32" s="11" t="str">
        <f>_xlfn.XLOOKUP(표14[[#This Row],[end_use_industry]],표13[end_use_category],표13[end_use_id])</f>
        <v>E07</v>
      </c>
      <c r="D32" s="11">
        <f>_xlfn.XLOOKUP(표14[[#This Row],[importance]],표15[importance],표15[rating])</f>
        <v>0.3</v>
      </c>
      <c r="E32" s="1" t="s">
        <v>36</v>
      </c>
      <c r="F32" s="1" t="s">
        <v>1995</v>
      </c>
      <c r="G32" s="1" t="s">
        <v>1254</v>
      </c>
      <c r="H32" s="1" t="s">
        <v>1263</v>
      </c>
      <c r="I32" s="1" t="s">
        <v>1287</v>
      </c>
      <c r="J32" s="1" t="s">
        <v>1994</v>
      </c>
      <c r="K32" s="1" t="s">
        <v>1285</v>
      </c>
      <c r="L32" s="11"/>
    </row>
    <row r="33" spans="1:12" ht="33">
      <c r="A33" s="11" t="str">
        <f>_xlfn.XLOOKUP(표14[[#This Row],[material_name]],표2[material_name],표2[material_id])</f>
        <v>M008</v>
      </c>
      <c r="B33" s="11" t="str">
        <f>_xlfn.XLOOKUP(표14[[#This Row],[application_taxonomy]],표11[application_taxonomy],표11[app_id])</f>
        <v>A14</v>
      </c>
      <c r="C33" s="11" t="str">
        <f>_xlfn.XLOOKUP(표14[[#This Row],[end_use_industry]],표13[end_use_category],표13[end_use_id])</f>
        <v>E04</v>
      </c>
      <c r="D33" s="11">
        <f>_xlfn.XLOOKUP(표14[[#This Row],[importance]],표15[importance],표15[rating])</f>
        <v>0.1</v>
      </c>
      <c r="E33" s="1" t="s">
        <v>36</v>
      </c>
      <c r="F33" s="1" t="s">
        <v>1993</v>
      </c>
      <c r="G33" s="1" t="s">
        <v>1491</v>
      </c>
      <c r="H33" s="1" t="s">
        <v>1272</v>
      </c>
      <c r="I33" s="1" t="s">
        <v>1302</v>
      </c>
      <c r="J33" s="1" t="s">
        <v>1992</v>
      </c>
      <c r="K33" s="1" t="s">
        <v>1285</v>
      </c>
      <c r="L33" s="11"/>
    </row>
    <row r="34" spans="1:12" ht="33">
      <c r="A34" s="11" t="str">
        <f>_xlfn.XLOOKUP(표14[[#This Row],[material_name]],표2[material_name],표2[material_id])</f>
        <v>M010</v>
      </c>
      <c r="B34" s="11" t="str">
        <f>_xlfn.XLOOKUP(표14[[#This Row],[application_taxonomy]],표11[application_taxonomy],표11[app_id])</f>
        <v>A22</v>
      </c>
      <c r="C34" s="11" t="str">
        <f>_xlfn.XLOOKUP(표14[[#This Row],[end_use_industry]],표13[end_use_category],표13[end_use_id])</f>
        <v>E07</v>
      </c>
      <c r="D34" s="11">
        <f>_xlfn.XLOOKUP(표14[[#This Row],[importance]],표15[importance],표15[rating])</f>
        <v>0.6</v>
      </c>
      <c r="E34" s="1" t="s">
        <v>1987</v>
      </c>
      <c r="F34" s="1" t="s">
        <v>1470</v>
      </c>
      <c r="G34" s="1" t="s">
        <v>1292</v>
      </c>
      <c r="H34" s="1" t="s">
        <v>1263</v>
      </c>
      <c r="I34" s="1" t="s">
        <v>1298</v>
      </c>
      <c r="J34" s="1" t="s">
        <v>1991</v>
      </c>
      <c r="K34" s="1" t="s">
        <v>1285</v>
      </c>
      <c r="L34" s="11"/>
    </row>
    <row r="35" spans="1:12">
      <c r="A35" s="11" t="str">
        <f>_xlfn.XLOOKUP(표14[[#This Row],[material_name]],표2[material_name],표2[material_id])</f>
        <v>M010</v>
      </c>
      <c r="B35" s="11" t="str">
        <f>_xlfn.XLOOKUP(표14[[#This Row],[application_taxonomy]],표11[application_taxonomy],표11[app_id])</f>
        <v>A23</v>
      </c>
      <c r="C35" s="11" t="str">
        <f>_xlfn.XLOOKUP(표14[[#This Row],[end_use_industry]],표13[end_use_category],표13[end_use_id])</f>
        <v>E02</v>
      </c>
      <c r="D35" s="11">
        <f>_xlfn.XLOOKUP(표14[[#This Row],[importance]],표15[importance],표15[rating])</f>
        <v>0.3</v>
      </c>
      <c r="E35" s="1" t="s">
        <v>1987</v>
      </c>
      <c r="F35" s="1" t="s">
        <v>1757</v>
      </c>
      <c r="G35" s="1" t="s">
        <v>1566</v>
      </c>
      <c r="H35" s="1" t="s">
        <v>1278</v>
      </c>
      <c r="I35" s="1" t="s">
        <v>1287</v>
      </c>
      <c r="J35" s="1" t="s">
        <v>1990</v>
      </c>
      <c r="K35" s="1" t="s">
        <v>1285</v>
      </c>
      <c r="L35" s="11"/>
    </row>
    <row r="36" spans="1:12" ht="33">
      <c r="A36" s="11" t="str">
        <f>_xlfn.XLOOKUP(표14[[#This Row],[material_name]],표2[material_name],표2[material_id])</f>
        <v>M010</v>
      </c>
      <c r="B36" s="11" t="str">
        <f>_xlfn.XLOOKUP(표14[[#This Row],[application_taxonomy]],표11[application_taxonomy],표11[app_id])</f>
        <v>A24</v>
      </c>
      <c r="C36" s="11" t="str">
        <f>_xlfn.XLOOKUP(표14[[#This Row],[end_use_industry]],표13[end_use_category],표13[end_use_id])</f>
        <v>E07</v>
      </c>
      <c r="D36" s="11">
        <f>_xlfn.XLOOKUP(표14[[#This Row],[importance]],표15[importance],표15[rating])</f>
        <v>0.3</v>
      </c>
      <c r="E36" s="1" t="s">
        <v>1987</v>
      </c>
      <c r="F36" s="1" t="s">
        <v>1989</v>
      </c>
      <c r="G36" s="1" t="s">
        <v>1303</v>
      </c>
      <c r="H36" s="1" t="s">
        <v>1263</v>
      </c>
      <c r="I36" s="1" t="s">
        <v>1287</v>
      </c>
      <c r="J36" s="1" t="s">
        <v>1988</v>
      </c>
      <c r="K36" s="1" t="s">
        <v>1285</v>
      </c>
      <c r="L36" s="11"/>
    </row>
    <row r="37" spans="1:12" ht="33">
      <c r="A37" s="11" t="str">
        <f>_xlfn.XLOOKUP(표14[[#This Row],[material_name]],표2[material_name],표2[material_id])</f>
        <v>M010</v>
      </c>
      <c r="B37" s="11" t="str">
        <f>_xlfn.XLOOKUP(표14[[#This Row],[application_taxonomy]],표11[application_taxonomy],표11[app_id])</f>
        <v>A20</v>
      </c>
      <c r="C37" s="11" t="str">
        <f>_xlfn.XLOOKUP(표14[[#This Row],[end_use_industry]],표13[end_use_category],표13[end_use_id])</f>
        <v>E07</v>
      </c>
      <c r="D37" s="11">
        <f>_xlfn.XLOOKUP(표14[[#This Row],[importance]],표15[importance],표15[rating])</f>
        <v>0.3</v>
      </c>
      <c r="E37" s="1" t="s">
        <v>1987</v>
      </c>
      <c r="F37" s="1" t="s">
        <v>1439</v>
      </c>
      <c r="G37" s="1" t="s">
        <v>1328</v>
      </c>
      <c r="H37" s="1" t="s">
        <v>1263</v>
      </c>
      <c r="I37" s="1" t="s">
        <v>1287</v>
      </c>
      <c r="J37" s="1" t="s">
        <v>1986</v>
      </c>
      <c r="K37" s="1" t="s">
        <v>1285</v>
      </c>
      <c r="L37" s="11"/>
    </row>
    <row r="38" spans="1:12" ht="33">
      <c r="A38" s="11" t="str">
        <f>_xlfn.XLOOKUP(표14[[#This Row],[material_name]],표2[material_name],표2[material_id])</f>
        <v>M012</v>
      </c>
      <c r="B38" s="11" t="str">
        <f>_xlfn.XLOOKUP(표14[[#This Row],[application_taxonomy]],표11[application_taxonomy],표11[app_id])</f>
        <v>A01</v>
      </c>
      <c r="C38" s="11" t="str">
        <f>_xlfn.XLOOKUP(표14[[#This Row],[end_use_industry]],표13[end_use_category],표13[end_use_id])</f>
        <v>E07</v>
      </c>
      <c r="D38" s="11">
        <f>_xlfn.XLOOKUP(표14[[#This Row],[importance]],표15[importance],표15[rating])</f>
        <v>0.6</v>
      </c>
      <c r="E38" s="1" t="s">
        <v>894</v>
      </c>
      <c r="F38" s="1" t="s">
        <v>1985</v>
      </c>
      <c r="G38" s="1" t="s">
        <v>1313</v>
      </c>
      <c r="H38" s="1" t="s">
        <v>1263</v>
      </c>
      <c r="I38" s="1" t="s">
        <v>1298</v>
      </c>
      <c r="J38" s="1" t="s">
        <v>1984</v>
      </c>
      <c r="K38" s="1" t="s">
        <v>1285</v>
      </c>
      <c r="L38" s="11"/>
    </row>
    <row r="39" spans="1:12">
      <c r="A39" s="11" t="str">
        <f>_xlfn.XLOOKUP(표14[[#This Row],[material_name]],표2[material_name],표2[material_id])</f>
        <v>M012</v>
      </c>
      <c r="B39" s="11" t="str">
        <f>_xlfn.XLOOKUP(표14[[#This Row],[application_taxonomy]],표11[application_taxonomy],표11[app_id])</f>
        <v>A30</v>
      </c>
      <c r="C39" s="11" t="str">
        <f>_xlfn.XLOOKUP(표14[[#This Row],[end_use_industry]],표13[end_use_category],표13[end_use_id])</f>
        <v>E02</v>
      </c>
      <c r="D39" s="11">
        <f>_xlfn.XLOOKUP(표14[[#This Row],[importance]],표15[importance],표15[rating])</f>
        <v>0.3</v>
      </c>
      <c r="E39" s="1" t="s">
        <v>894</v>
      </c>
      <c r="F39" s="1" t="s">
        <v>1983</v>
      </c>
      <c r="G39" s="1" t="s">
        <v>1545</v>
      </c>
      <c r="H39" s="1" t="s">
        <v>1278</v>
      </c>
      <c r="I39" s="1" t="s">
        <v>1287</v>
      </c>
      <c r="J39" s="1" t="s">
        <v>1982</v>
      </c>
      <c r="K39" s="1" t="s">
        <v>1285</v>
      </c>
      <c r="L39" s="11"/>
    </row>
    <row r="40" spans="1:12" ht="33">
      <c r="A40" s="11" t="str">
        <f>_xlfn.XLOOKUP(표14[[#This Row],[material_name]],표2[material_name],표2[material_id])</f>
        <v>M012</v>
      </c>
      <c r="B40" s="11" t="str">
        <f>_xlfn.XLOOKUP(표14[[#This Row],[application_taxonomy]],표11[application_taxonomy],표11[app_id])</f>
        <v>A01</v>
      </c>
      <c r="C40" s="11" t="str">
        <f>_xlfn.XLOOKUP(표14[[#This Row],[end_use_industry]],표13[end_use_category],표13[end_use_id])</f>
        <v>E07</v>
      </c>
      <c r="D40" s="11">
        <f>_xlfn.XLOOKUP(표14[[#This Row],[importance]],표15[importance],표15[rating])</f>
        <v>0.3</v>
      </c>
      <c r="E40" s="1" t="s">
        <v>894</v>
      </c>
      <c r="F40" s="1" t="s">
        <v>39</v>
      </c>
      <c r="G40" s="1" t="s">
        <v>1313</v>
      </c>
      <c r="H40" s="1" t="s">
        <v>1263</v>
      </c>
      <c r="I40" s="1" t="s">
        <v>1287</v>
      </c>
      <c r="J40" s="1" t="s">
        <v>1981</v>
      </c>
      <c r="K40" s="1" t="s">
        <v>1285</v>
      </c>
      <c r="L40" s="11"/>
    </row>
    <row r="41" spans="1:12" ht="33">
      <c r="A41" s="11" t="str">
        <f>_xlfn.XLOOKUP(표14[[#This Row],[material_name]],표2[material_name],표2[material_id])</f>
        <v>M012</v>
      </c>
      <c r="B41" s="11" t="str">
        <f>_xlfn.XLOOKUP(표14[[#This Row],[application_taxonomy]],표11[application_taxonomy],표11[app_id])</f>
        <v>A24</v>
      </c>
      <c r="C41" s="11" t="str">
        <f>_xlfn.XLOOKUP(표14[[#This Row],[end_use_industry]],표13[end_use_category],표13[end_use_id])</f>
        <v>E07</v>
      </c>
      <c r="D41" s="11">
        <f>_xlfn.XLOOKUP(표14[[#This Row],[importance]],표15[importance],표15[rating])</f>
        <v>0.3</v>
      </c>
      <c r="E41" s="1" t="s">
        <v>894</v>
      </c>
      <c r="F41" s="1" t="s">
        <v>1980</v>
      </c>
      <c r="G41" s="1" t="s">
        <v>1303</v>
      </c>
      <c r="H41" s="1" t="s">
        <v>1263</v>
      </c>
      <c r="I41" s="1" t="s">
        <v>1287</v>
      </c>
      <c r="J41" s="1" t="s">
        <v>1979</v>
      </c>
      <c r="K41" s="1" t="s">
        <v>1285</v>
      </c>
      <c r="L41" s="11"/>
    </row>
    <row r="42" spans="1:12">
      <c r="A42" s="11" t="str">
        <f>_xlfn.XLOOKUP(표14[[#This Row],[material_name]],표2[material_name],표2[material_id])</f>
        <v>M012</v>
      </c>
      <c r="B42" s="11" t="str">
        <f>_xlfn.XLOOKUP(표14[[#This Row],[application_taxonomy]],표11[application_taxonomy],표11[app_id])</f>
        <v>A17</v>
      </c>
      <c r="C42" s="11" t="str">
        <f>_xlfn.XLOOKUP(표14[[#This Row],[end_use_industry]],표13[end_use_category],표13[end_use_id])</f>
        <v>E02</v>
      </c>
      <c r="D42" s="11">
        <f>_xlfn.XLOOKUP(표14[[#This Row],[importance]],표15[importance],표15[rating])</f>
        <v>0.3</v>
      </c>
      <c r="E42" s="1" t="s">
        <v>894</v>
      </c>
      <c r="F42" s="1" t="s">
        <v>1875</v>
      </c>
      <c r="G42" s="1" t="s">
        <v>1398</v>
      </c>
      <c r="H42" s="1" t="s">
        <v>1278</v>
      </c>
      <c r="I42" s="1" t="s">
        <v>1287</v>
      </c>
      <c r="J42" s="1" t="s">
        <v>1978</v>
      </c>
      <c r="K42" s="1" t="s">
        <v>1285</v>
      </c>
      <c r="L42" s="11"/>
    </row>
    <row r="43" spans="1:12" ht="33">
      <c r="A43" s="11" t="str">
        <f>_xlfn.XLOOKUP(표14[[#This Row],[material_name]],표2[material_name],표2[material_id])</f>
        <v>M014</v>
      </c>
      <c r="B43" s="11" t="str">
        <f>_xlfn.XLOOKUP(표14[[#This Row],[application_taxonomy]],표11[application_taxonomy],표11[app_id])</f>
        <v>A02</v>
      </c>
      <c r="C43" s="11" t="str">
        <f>_xlfn.XLOOKUP(표14[[#This Row],[end_use_industry]],표13[end_use_category],표13[end_use_id])</f>
        <v>E07</v>
      </c>
      <c r="D43" s="11">
        <f>_xlfn.XLOOKUP(표14[[#This Row],[importance]],표15[importance],표15[rating])</f>
        <v>0.6</v>
      </c>
      <c r="E43" s="1" t="s">
        <v>40</v>
      </c>
      <c r="F43" s="1" t="s">
        <v>1977</v>
      </c>
      <c r="G43" s="1" t="s">
        <v>1308</v>
      </c>
      <c r="H43" s="1" t="s">
        <v>1263</v>
      </c>
      <c r="I43" s="1" t="s">
        <v>1298</v>
      </c>
      <c r="J43" s="1" t="s">
        <v>1976</v>
      </c>
      <c r="K43" s="1" t="s">
        <v>1285</v>
      </c>
      <c r="L43" s="11"/>
    </row>
    <row r="44" spans="1:12" ht="33">
      <c r="A44" s="11" t="str">
        <f>_xlfn.XLOOKUP(표14[[#This Row],[material_name]],표2[material_name],표2[material_id])</f>
        <v>M014</v>
      </c>
      <c r="B44" s="11" t="str">
        <f>_xlfn.XLOOKUP(표14[[#This Row],[application_taxonomy]],표11[application_taxonomy],표11[app_id])</f>
        <v>A26</v>
      </c>
      <c r="C44" s="11" t="str">
        <f>_xlfn.XLOOKUP(표14[[#This Row],[end_use_industry]],표13[end_use_category],표13[end_use_id])</f>
        <v>E04</v>
      </c>
      <c r="D44" s="11">
        <f>_xlfn.XLOOKUP(표14[[#This Row],[importance]],표15[importance],표15[rating])</f>
        <v>0.6</v>
      </c>
      <c r="E44" s="1" t="s">
        <v>40</v>
      </c>
      <c r="F44" s="1" t="s">
        <v>1975</v>
      </c>
      <c r="G44" s="1" t="s">
        <v>1974</v>
      </c>
      <c r="H44" s="1" t="s">
        <v>1272</v>
      </c>
      <c r="I44" s="1" t="s">
        <v>1298</v>
      </c>
      <c r="J44" s="1" t="s">
        <v>1973</v>
      </c>
      <c r="K44" s="1" t="s">
        <v>1285</v>
      </c>
      <c r="L44" s="11"/>
    </row>
    <row r="45" spans="1:12">
      <c r="A45" s="11" t="str">
        <f>_xlfn.XLOOKUP(표14[[#This Row],[material_name]],표2[material_name],표2[material_id])</f>
        <v>M014</v>
      </c>
      <c r="B45" s="11" t="str">
        <f>_xlfn.XLOOKUP(표14[[#This Row],[application_taxonomy]],표11[application_taxonomy],표11[app_id])</f>
        <v>A30</v>
      </c>
      <c r="C45" s="11" t="str">
        <f>_xlfn.XLOOKUP(표14[[#This Row],[end_use_industry]],표13[end_use_category],표13[end_use_id])</f>
        <v>E02</v>
      </c>
      <c r="D45" s="11">
        <f>_xlfn.XLOOKUP(표14[[#This Row],[importance]],표15[importance],표15[rating])</f>
        <v>0.3</v>
      </c>
      <c r="E45" s="1" t="s">
        <v>40</v>
      </c>
      <c r="F45" s="1" t="s">
        <v>1972</v>
      </c>
      <c r="G45" s="1" t="s">
        <v>1545</v>
      </c>
      <c r="H45" s="1" t="s">
        <v>1278</v>
      </c>
      <c r="I45" s="1" t="s">
        <v>1287</v>
      </c>
      <c r="J45" s="1" t="s">
        <v>1971</v>
      </c>
      <c r="K45" s="1" t="s">
        <v>1285</v>
      </c>
      <c r="L45" s="11"/>
    </row>
    <row r="46" spans="1:12">
      <c r="A46" s="11" t="str">
        <f>_xlfn.XLOOKUP(표14[[#This Row],[material_name]],표2[material_name],표2[material_id])</f>
        <v>M014</v>
      </c>
      <c r="B46" s="11" t="str">
        <f>_xlfn.XLOOKUP(표14[[#This Row],[application_taxonomy]],표11[application_taxonomy],표11[app_id])</f>
        <v>A02</v>
      </c>
      <c r="C46" s="11" t="str">
        <f>_xlfn.XLOOKUP(표14[[#This Row],[end_use_industry]],표13[end_use_category],표13[end_use_id])</f>
        <v>E01</v>
      </c>
      <c r="D46" s="11">
        <f>_xlfn.XLOOKUP(표14[[#This Row],[importance]],표15[importance],표15[rating])</f>
        <v>0.3</v>
      </c>
      <c r="E46" s="1" t="s">
        <v>40</v>
      </c>
      <c r="F46" s="1" t="s">
        <v>1970</v>
      </c>
      <c r="G46" s="1" t="s">
        <v>1308</v>
      </c>
      <c r="H46" s="1" t="s">
        <v>1281</v>
      </c>
      <c r="I46" s="1" t="s">
        <v>1287</v>
      </c>
      <c r="J46" s="1" t="s">
        <v>1969</v>
      </c>
      <c r="K46" s="1" t="s">
        <v>1285</v>
      </c>
      <c r="L46" s="11"/>
    </row>
    <row r="47" spans="1:12">
      <c r="A47" s="11" t="str">
        <f>_xlfn.XLOOKUP(표14[[#This Row],[material_name]],표2[material_name],표2[material_id])</f>
        <v>M015</v>
      </c>
      <c r="B47" s="11" t="str">
        <f>_xlfn.XLOOKUP(표14[[#This Row],[application_taxonomy]],표11[application_taxonomy],표11[app_id])</f>
        <v>A02</v>
      </c>
      <c r="C47" s="11" t="str">
        <f>_xlfn.XLOOKUP(표14[[#This Row],[end_use_industry]],표13[end_use_category],표13[end_use_id])</f>
        <v>E06</v>
      </c>
      <c r="D47" s="11">
        <f>_xlfn.XLOOKUP(표14[[#This Row],[importance]],표15[importance],표15[rating])</f>
        <v>0.6</v>
      </c>
      <c r="E47" s="1" t="s">
        <v>41</v>
      </c>
      <c r="F47" s="1" t="s">
        <v>1968</v>
      </c>
      <c r="G47" s="1" t="s">
        <v>1308</v>
      </c>
      <c r="H47" s="1" t="s">
        <v>1266</v>
      </c>
      <c r="I47" s="1" t="s">
        <v>1298</v>
      </c>
      <c r="J47" s="1" t="s">
        <v>1967</v>
      </c>
      <c r="K47" s="1" t="s">
        <v>1285</v>
      </c>
      <c r="L47" s="11"/>
    </row>
    <row r="48" spans="1:12">
      <c r="A48" s="11" t="str">
        <f>_xlfn.XLOOKUP(표14[[#This Row],[material_name]],표2[material_name],표2[material_id])</f>
        <v>M015</v>
      </c>
      <c r="B48" s="11" t="str">
        <f>_xlfn.XLOOKUP(표14[[#This Row],[application_taxonomy]],표11[application_taxonomy],표11[app_id])</f>
        <v>A10</v>
      </c>
      <c r="C48" s="11" t="str">
        <f>_xlfn.XLOOKUP(표14[[#This Row],[end_use_industry]],표13[end_use_category],표13[end_use_id])</f>
        <v>E01</v>
      </c>
      <c r="D48" s="11">
        <f>_xlfn.XLOOKUP(표14[[#This Row],[importance]],표15[importance],표15[rating])</f>
        <v>0.3</v>
      </c>
      <c r="E48" s="1" t="s">
        <v>41</v>
      </c>
      <c r="F48" s="1" t="s">
        <v>1966</v>
      </c>
      <c r="G48" s="1" t="s">
        <v>1288</v>
      </c>
      <c r="H48" s="1" t="s">
        <v>1281</v>
      </c>
      <c r="I48" s="1" t="s">
        <v>1287</v>
      </c>
      <c r="J48" s="1" t="s">
        <v>1965</v>
      </c>
      <c r="K48" s="1" t="s">
        <v>1285</v>
      </c>
      <c r="L48" s="11"/>
    </row>
    <row r="49" spans="1:12">
      <c r="A49" s="11" t="str">
        <f>_xlfn.XLOOKUP(표14[[#This Row],[material_name]],표2[material_name],표2[material_id])</f>
        <v>M015</v>
      </c>
      <c r="B49" s="11" t="str">
        <f>_xlfn.XLOOKUP(표14[[#This Row],[application_taxonomy]],표11[application_taxonomy],표11[app_id])</f>
        <v>A30</v>
      </c>
      <c r="C49" s="11" t="str">
        <f>_xlfn.XLOOKUP(표14[[#This Row],[end_use_industry]],표13[end_use_category],표13[end_use_id])</f>
        <v>E02</v>
      </c>
      <c r="D49" s="11">
        <f>_xlfn.XLOOKUP(표14[[#This Row],[importance]],표15[importance],표15[rating])</f>
        <v>0.3</v>
      </c>
      <c r="E49" s="1" t="s">
        <v>41</v>
      </c>
      <c r="F49" s="1" t="s">
        <v>1964</v>
      </c>
      <c r="G49" s="1" t="s">
        <v>1545</v>
      </c>
      <c r="H49" s="1" t="s">
        <v>1278</v>
      </c>
      <c r="I49" s="1" t="s">
        <v>1287</v>
      </c>
      <c r="J49" s="1" t="s">
        <v>1963</v>
      </c>
      <c r="K49" s="1" t="s">
        <v>1285</v>
      </c>
      <c r="L49" s="11"/>
    </row>
    <row r="50" spans="1:12" ht="33">
      <c r="A50" s="11" t="str">
        <f>_xlfn.XLOOKUP(표14[[#This Row],[material_name]],표2[material_name],표2[material_id])</f>
        <v>M015</v>
      </c>
      <c r="B50" s="11" t="str">
        <f>_xlfn.XLOOKUP(표14[[#This Row],[application_taxonomy]],표11[application_taxonomy],표11[app_id])</f>
        <v>A29</v>
      </c>
      <c r="C50" s="11" t="str">
        <f>_xlfn.XLOOKUP(표14[[#This Row],[end_use_industry]],표13[end_use_category],표13[end_use_id])</f>
        <v>E07</v>
      </c>
      <c r="D50" s="11">
        <f>_xlfn.XLOOKUP(표14[[#This Row],[importance]],표15[importance],표15[rating])</f>
        <v>0.1</v>
      </c>
      <c r="E50" s="1" t="s">
        <v>41</v>
      </c>
      <c r="F50" s="1" t="s">
        <v>1962</v>
      </c>
      <c r="G50" s="1" t="s">
        <v>1865</v>
      </c>
      <c r="H50" s="1" t="s">
        <v>1263</v>
      </c>
      <c r="I50" s="1" t="s">
        <v>1302</v>
      </c>
      <c r="J50" s="1" t="s">
        <v>1961</v>
      </c>
      <c r="K50" s="1" t="s">
        <v>1285</v>
      </c>
      <c r="L50" s="11"/>
    </row>
    <row r="51" spans="1:12" ht="33">
      <c r="A51" s="11" t="str">
        <f>_xlfn.XLOOKUP(표14[[#This Row],[material_name]],표2[material_name],표2[material_id])</f>
        <v>M016</v>
      </c>
      <c r="B51" s="11" t="str">
        <f>_xlfn.XLOOKUP(표14[[#This Row],[application_taxonomy]],표11[application_taxonomy],표11[app_id])</f>
        <v>A10</v>
      </c>
      <c r="C51" s="11" t="str">
        <f>_xlfn.XLOOKUP(표14[[#This Row],[end_use_industry]],표13[end_use_category],표13[end_use_id])</f>
        <v>E01</v>
      </c>
      <c r="D51" s="11">
        <f>_xlfn.XLOOKUP(표14[[#This Row],[importance]],표15[importance],표15[rating])</f>
        <v>0.6</v>
      </c>
      <c r="E51" s="1" t="s">
        <v>42</v>
      </c>
      <c r="F51" s="1" t="s">
        <v>1960</v>
      </c>
      <c r="G51" s="1" t="s">
        <v>1288</v>
      </c>
      <c r="H51" s="1" t="s">
        <v>1281</v>
      </c>
      <c r="I51" s="1" t="s">
        <v>1298</v>
      </c>
      <c r="J51" s="1" t="s">
        <v>1959</v>
      </c>
      <c r="K51" s="1" t="s">
        <v>1285</v>
      </c>
      <c r="L51" s="11"/>
    </row>
    <row r="52" spans="1:12" ht="33">
      <c r="A52" s="11" t="str">
        <f>_xlfn.XLOOKUP(표14[[#This Row],[material_name]],표2[material_name],표2[material_id])</f>
        <v>M016</v>
      </c>
      <c r="B52" s="11" t="str">
        <f>_xlfn.XLOOKUP(표14[[#This Row],[application_taxonomy]],표11[application_taxonomy],표11[app_id])</f>
        <v>A30</v>
      </c>
      <c r="C52" s="11" t="str">
        <f>_xlfn.XLOOKUP(표14[[#This Row],[end_use_industry]],표13[end_use_category],표13[end_use_id])</f>
        <v>E02</v>
      </c>
      <c r="D52" s="11">
        <f>_xlfn.XLOOKUP(표14[[#This Row],[importance]],표15[importance],표15[rating])</f>
        <v>0.6</v>
      </c>
      <c r="E52" s="1" t="s">
        <v>42</v>
      </c>
      <c r="F52" s="1" t="s">
        <v>1958</v>
      </c>
      <c r="G52" s="1" t="s">
        <v>1545</v>
      </c>
      <c r="H52" s="1" t="s">
        <v>1278</v>
      </c>
      <c r="I52" s="1" t="s">
        <v>1298</v>
      </c>
      <c r="J52" s="1" t="s">
        <v>1957</v>
      </c>
      <c r="K52" s="1" t="s">
        <v>1285</v>
      </c>
      <c r="L52" s="11"/>
    </row>
    <row r="53" spans="1:12" ht="33">
      <c r="A53" s="11" t="str">
        <f>_xlfn.XLOOKUP(표14[[#This Row],[material_name]],표2[material_name],표2[material_id])</f>
        <v>M016</v>
      </c>
      <c r="B53" s="11" t="str">
        <f>_xlfn.XLOOKUP(표14[[#This Row],[application_taxonomy]],표11[application_taxonomy],표11[app_id])</f>
        <v>A31</v>
      </c>
      <c r="C53" s="11" t="str">
        <f>_xlfn.XLOOKUP(표14[[#This Row],[end_use_industry]],표13[end_use_category],표13[end_use_id])</f>
        <v>E02</v>
      </c>
      <c r="D53" s="11">
        <f>_xlfn.XLOOKUP(표14[[#This Row],[importance]],표15[importance],표15[rating])</f>
        <v>0.3</v>
      </c>
      <c r="E53" s="1" t="s">
        <v>42</v>
      </c>
      <c r="F53" s="1" t="s">
        <v>1956</v>
      </c>
      <c r="G53" s="1" t="s">
        <v>1754</v>
      </c>
      <c r="H53" s="1" t="s">
        <v>1278</v>
      </c>
      <c r="I53" s="1" t="s">
        <v>1287</v>
      </c>
      <c r="J53" s="1" t="s">
        <v>1955</v>
      </c>
      <c r="K53" s="1" t="s">
        <v>1285</v>
      </c>
      <c r="L53" s="11"/>
    </row>
    <row r="54" spans="1:12" ht="33">
      <c r="A54" s="11" t="str">
        <f>_xlfn.XLOOKUP(표14[[#This Row],[material_name]],표2[material_name],표2[material_id])</f>
        <v>M016</v>
      </c>
      <c r="B54" s="11" t="str">
        <f>_xlfn.XLOOKUP(표14[[#This Row],[application_taxonomy]],표11[application_taxonomy],표11[app_id])</f>
        <v>A29</v>
      </c>
      <c r="C54" s="11" t="str">
        <f>_xlfn.XLOOKUP(표14[[#This Row],[end_use_industry]],표13[end_use_category],표13[end_use_id])</f>
        <v>E07</v>
      </c>
      <c r="D54" s="11">
        <f>_xlfn.XLOOKUP(표14[[#This Row],[importance]],표15[importance],표15[rating])</f>
        <v>0.3</v>
      </c>
      <c r="E54" s="1" t="s">
        <v>42</v>
      </c>
      <c r="F54" s="1" t="s">
        <v>1954</v>
      </c>
      <c r="G54" s="1" t="s">
        <v>1865</v>
      </c>
      <c r="H54" s="1" t="s">
        <v>1263</v>
      </c>
      <c r="I54" s="1" t="s">
        <v>1287</v>
      </c>
      <c r="J54" s="1" t="s">
        <v>1953</v>
      </c>
      <c r="K54" s="1" t="s">
        <v>1285</v>
      </c>
      <c r="L54" s="11"/>
    </row>
    <row r="55" spans="1:12">
      <c r="A55" s="11" t="str">
        <f>_xlfn.XLOOKUP(표14[[#This Row],[material_name]],표2[material_name],표2[material_id])</f>
        <v>M017</v>
      </c>
      <c r="B55" s="11" t="str">
        <f>_xlfn.XLOOKUP(표14[[#This Row],[application_taxonomy]],표11[application_taxonomy],표11[app_id])</f>
        <v>A01</v>
      </c>
      <c r="C55" s="11" t="str">
        <f>_xlfn.XLOOKUP(표14[[#This Row],[end_use_industry]],표13[end_use_category],표13[end_use_id])</f>
        <v>E02</v>
      </c>
      <c r="D55" s="11">
        <f>_xlfn.XLOOKUP(표14[[#This Row],[importance]],표15[importance],표15[rating])</f>
        <v>0.6</v>
      </c>
      <c r="E55" s="1" t="s">
        <v>895</v>
      </c>
      <c r="F55" s="1" t="s">
        <v>1952</v>
      </c>
      <c r="G55" s="1" t="s">
        <v>1313</v>
      </c>
      <c r="H55" s="1" t="s">
        <v>1278</v>
      </c>
      <c r="I55" s="1" t="s">
        <v>1298</v>
      </c>
      <c r="J55" s="1" t="s">
        <v>1951</v>
      </c>
      <c r="K55" s="1" t="s">
        <v>1285</v>
      </c>
      <c r="L55" s="11"/>
    </row>
    <row r="56" spans="1:12" ht="33">
      <c r="A56" s="11" t="str">
        <f>_xlfn.XLOOKUP(표14[[#This Row],[material_name]],표2[material_name],표2[material_id])</f>
        <v>M017</v>
      </c>
      <c r="B56" s="11" t="str">
        <f>_xlfn.XLOOKUP(표14[[#This Row],[application_taxonomy]],표11[application_taxonomy],표11[app_id])</f>
        <v>A15</v>
      </c>
      <c r="C56" s="11" t="str">
        <f>_xlfn.XLOOKUP(표14[[#This Row],[end_use_industry]],표13[end_use_category],표13[end_use_id])</f>
        <v>E03</v>
      </c>
      <c r="D56" s="11">
        <f>_xlfn.XLOOKUP(표14[[#This Row],[importance]],표15[importance],표15[rating])</f>
        <v>0.3</v>
      </c>
      <c r="E56" s="1" t="s">
        <v>895</v>
      </c>
      <c r="F56" s="1" t="s">
        <v>1950</v>
      </c>
      <c r="G56" s="1" t="s">
        <v>1508</v>
      </c>
      <c r="H56" s="1" t="s">
        <v>1275</v>
      </c>
      <c r="I56" s="1" t="s">
        <v>1287</v>
      </c>
      <c r="J56" s="1" t="s">
        <v>1949</v>
      </c>
      <c r="K56" s="1" t="s">
        <v>1285</v>
      </c>
      <c r="L56" s="11"/>
    </row>
    <row r="57" spans="1:12" ht="33">
      <c r="A57" s="11" t="str">
        <f>_xlfn.XLOOKUP(표14[[#This Row],[material_name]],표2[material_name],표2[material_id])</f>
        <v>M019</v>
      </c>
      <c r="B57" s="11" t="str">
        <f>_xlfn.XLOOKUP(표14[[#This Row],[application_taxonomy]],표11[application_taxonomy],표11[app_id])</f>
        <v>A01</v>
      </c>
      <c r="C57" s="11" t="str">
        <f>_xlfn.XLOOKUP(표14[[#This Row],[end_use_industry]],표13[end_use_category],표13[end_use_id])</f>
        <v>E07</v>
      </c>
      <c r="D57" s="11">
        <f>_xlfn.XLOOKUP(표14[[#This Row],[importance]],표15[importance],표15[rating])</f>
        <v>0.6</v>
      </c>
      <c r="E57" s="1" t="s">
        <v>896</v>
      </c>
      <c r="F57" s="1" t="s">
        <v>1948</v>
      </c>
      <c r="G57" s="1" t="s">
        <v>1254</v>
      </c>
      <c r="H57" s="1" t="s">
        <v>1263</v>
      </c>
      <c r="I57" s="1" t="s">
        <v>1298</v>
      </c>
      <c r="J57" s="1" t="s">
        <v>1947</v>
      </c>
      <c r="K57" s="1" t="s">
        <v>1285</v>
      </c>
      <c r="L57" s="11"/>
    </row>
    <row r="58" spans="1:12" ht="33">
      <c r="A58" s="11" t="str">
        <f>_xlfn.XLOOKUP(표14[[#This Row],[material_name]],표2[material_name],표2[material_id])</f>
        <v>M019</v>
      </c>
      <c r="B58" s="11" t="str">
        <f>_xlfn.XLOOKUP(표14[[#This Row],[application_taxonomy]],표11[application_taxonomy],표11[app_id])</f>
        <v>A01</v>
      </c>
      <c r="C58" s="11" t="str">
        <f>_xlfn.XLOOKUP(표14[[#This Row],[end_use_industry]],표13[end_use_category],표13[end_use_id])</f>
        <v>E07</v>
      </c>
      <c r="D58" s="11">
        <f>_xlfn.XLOOKUP(표14[[#This Row],[importance]],표15[importance],표15[rating])</f>
        <v>0.6</v>
      </c>
      <c r="E58" s="1" t="s">
        <v>896</v>
      </c>
      <c r="F58" s="1" t="s">
        <v>1946</v>
      </c>
      <c r="G58" s="1" t="s">
        <v>1254</v>
      </c>
      <c r="H58" s="1" t="s">
        <v>1263</v>
      </c>
      <c r="I58" s="1" t="s">
        <v>1298</v>
      </c>
      <c r="J58" s="1" t="s">
        <v>1945</v>
      </c>
      <c r="K58" s="1" t="s">
        <v>1285</v>
      </c>
      <c r="L58" s="11"/>
    </row>
    <row r="59" spans="1:12" ht="33">
      <c r="A59" s="11" t="str">
        <f>_xlfn.XLOOKUP(표14[[#This Row],[material_name]],표2[material_name],표2[material_id])</f>
        <v>M019</v>
      </c>
      <c r="B59" s="11" t="str">
        <f>_xlfn.XLOOKUP(표14[[#This Row],[application_taxonomy]],표11[application_taxonomy],표11[app_id])</f>
        <v>A01</v>
      </c>
      <c r="C59" s="11" t="str">
        <f>_xlfn.XLOOKUP(표14[[#This Row],[end_use_industry]],표13[end_use_category],표13[end_use_id])</f>
        <v>E07</v>
      </c>
      <c r="D59" s="11">
        <f>_xlfn.XLOOKUP(표14[[#This Row],[importance]],표15[importance],표15[rating])</f>
        <v>0.3</v>
      </c>
      <c r="E59" s="1" t="s">
        <v>896</v>
      </c>
      <c r="F59" s="1" t="s">
        <v>1944</v>
      </c>
      <c r="G59" s="1" t="s">
        <v>1313</v>
      </c>
      <c r="H59" s="1" t="s">
        <v>1263</v>
      </c>
      <c r="I59" s="1" t="s">
        <v>1287</v>
      </c>
      <c r="J59" s="1" t="s">
        <v>1943</v>
      </c>
      <c r="K59" s="1" t="s">
        <v>1285</v>
      </c>
      <c r="L59" s="11"/>
    </row>
    <row r="60" spans="1:12">
      <c r="A60" s="11" t="str">
        <f>_xlfn.XLOOKUP(표14[[#This Row],[material_name]],표2[material_name],표2[material_id])</f>
        <v>M019</v>
      </c>
      <c r="B60" s="11" t="str">
        <f>_xlfn.XLOOKUP(표14[[#This Row],[application_taxonomy]],표11[application_taxonomy],표11[app_id])</f>
        <v>A01</v>
      </c>
      <c r="C60" s="11" t="str">
        <f>_xlfn.XLOOKUP(표14[[#This Row],[end_use_industry]],표13[end_use_category],표13[end_use_id])</f>
        <v>E02</v>
      </c>
      <c r="D60" s="11">
        <f>_xlfn.XLOOKUP(표14[[#This Row],[importance]],표15[importance],표15[rating])</f>
        <v>0.3</v>
      </c>
      <c r="E60" s="1" t="s">
        <v>896</v>
      </c>
      <c r="F60" s="1" t="s">
        <v>1942</v>
      </c>
      <c r="G60" s="1" t="s">
        <v>1254</v>
      </c>
      <c r="H60" s="1" t="s">
        <v>1278</v>
      </c>
      <c r="I60" s="1" t="s">
        <v>1287</v>
      </c>
      <c r="J60" s="1" t="s">
        <v>1941</v>
      </c>
      <c r="K60" s="1" t="s">
        <v>1285</v>
      </c>
      <c r="L60" s="11"/>
    </row>
    <row r="61" spans="1:12" ht="33">
      <c r="A61" s="11" t="str">
        <f>_xlfn.XLOOKUP(표14[[#This Row],[material_name]],표2[material_name],표2[material_id])</f>
        <v>M021</v>
      </c>
      <c r="B61" s="11" t="str">
        <f>_xlfn.XLOOKUP(표14[[#This Row],[application_taxonomy]],표11[application_taxonomy],표11[app_id])</f>
        <v>A01</v>
      </c>
      <c r="C61" s="11" t="str">
        <f>_xlfn.XLOOKUP(표14[[#This Row],[end_use_industry]],표13[end_use_category],표13[end_use_id])</f>
        <v>E07</v>
      </c>
      <c r="D61" s="11">
        <f>_xlfn.XLOOKUP(표14[[#This Row],[importance]],표15[importance],표15[rating])</f>
        <v>0.6</v>
      </c>
      <c r="E61" s="1" t="s">
        <v>897</v>
      </c>
      <c r="F61" s="1" t="s">
        <v>1748</v>
      </c>
      <c r="G61" s="23" t="s">
        <v>1254</v>
      </c>
      <c r="H61" s="1" t="s">
        <v>1263</v>
      </c>
      <c r="I61" s="1" t="s">
        <v>1298</v>
      </c>
      <c r="J61" s="1" t="s">
        <v>1940</v>
      </c>
      <c r="K61" s="1" t="s">
        <v>1285</v>
      </c>
      <c r="L61" s="11"/>
    </row>
    <row r="62" spans="1:12" ht="33">
      <c r="A62" s="11" t="str">
        <f>_xlfn.XLOOKUP(표14[[#This Row],[material_name]],표2[material_name],표2[material_id])</f>
        <v>M021</v>
      </c>
      <c r="B62" s="11" t="str">
        <f>_xlfn.XLOOKUP(표14[[#This Row],[application_taxonomy]],표11[application_taxonomy],표11[app_id])</f>
        <v>A02</v>
      </c>
      <c r="C62" s="11" t="str">
        <f>_xlfn.XLOOKUP(표14[[#This Row],[end_use_industry]],표13[end_use_category],표13[end_use_id])</f>
        <v>E07</v>
      </c>
      <c r="D62" s="11">
        <f>_xlfn.XLOOKUP(표14[[#This Row],[importance]],표15[importance],표15[rating])</f>
        <v>0.6</v>
      </c>
      <c r="E62" s="1" t="s">
        <v>897</v>
      </c>
      <c r="F62" s="1" t="s">
        <v>1939</v>
      </c>
      <c r="G62" s="1" t="s">
        <v>1308</v>
      </c>
      <c r="H62" s="1" t="s">
        <v>1263</v>
      </c>
      <c r="I62" s="1" t="s">
        <v>1298</v>
      </c>
      <c r="J62" s="1" t="s">
        <v>1938</v>
      </c>
      <c r="K62" s="1" t="s">
        <v>1285</v>
      </c>
      <c r="L62" s="11"/>
    </row>
    <row r="63" spans="1:12">
      <c r="A63" s="11" t="str">
        <f>_xlfn.XLOOKUP(표14[[#This Row],[material_name]],표2[material_name],표2[material_id])</f>
        <v>M021</v>
      </c>
      <c r="B63" s="11" t="str">
        <f>_xlfn.XLOOKUP(표14[[#This Row],[application_taxonomy]],표11[application_taxonomy],표11[app_id])</f>
        <v>A03</v>
      </c>
      <c r="C63" s="11" t="str">
        <f>_xlfn.XLOOKUP(표14[[#This Row],[end_use_industry]],표13[end_use_category],표13[end_use_id])</f>
        <v>E02</v>
      </c>
      <c r="D63" s="11">
        <f>_xlfn.XLOOKUP(표14[[#This Row],[importance]],표15[importance],표15[rating])</f>
        <v>0.6</v>
      </c>
      <c r="E63" s="1" t="s">
        <v>897</v>
      </c>
      <c r="F63" s="1" t="s">
        <v>1937</v>
      </c>
      <c r="G63" s="1" t="s">
        <v>1380</v>
      </c>
      <c r="H63" s="1" t="s">
        <v>1278</v>
      </c>
      <c r="I63" s="1" t="s">
        <v>1298</v>
      </c>
      <c r="J63" s="1" t="s">
        <v>1936</v>
      </c>
      <c r="K63" s="1" t="s">
        <v>1285</v>
      </c>
      <c r="L63" s="11"/>
    </row>
    <row r="64" spans="1:12" ht="33">
      <c r="A64" s="11" t="str">
        <f>_xlfn.XLOOKUP(표14[[#This Row],[material_name]],표2[material_name],표2[material_id])</f>
        <v>M021</v>
      </c>
      <c r="B64" s="11" t="str">
        <f>_xlfn.XLOOKUP(표14[[#This Row],[application_taxonomy]],표11[application_taxonomy],표11[app_id])</f>
        <v>A01</v>
      </c>
      <c r="C64" s="11" t="str">
        <f>_xlfn.XLOOKUP(표14[[#This Row],[end_use_industry]],표13[end_use_category],표13[end_use_id])</f>
        <v>E07</v>
      </c>
      <c r="D64" s="11">
        <f>_xlfn.XLOOKUP(표14[[#This Row],[importance]],표15[importance],표15[rating])</f>
        <v>0.3</v>
      </c>
      <c r="E64" s="1" t="s">
        <v>897</v>
      </c>
      <c r="F64" s="1" t="s">
        <v>1935</v>
      </c>
      <c r="G64" s="23" t="s">
        <v>1254</v>
      </c>
      <c r="H64" s="1" t="s">
        <v>1263</v>
      </c>
      <c r="I64" s="1" t="s">
        <v>1287</v>
      </c>
      <c r="J64" s="1" t="s">
        <v>1934</v>
      </c>
      <c r="K64" s="1" t="s">
        <v>1285</v>
      </c>
      <c r="L64" s="11"/>
    </row>
    <row r="65" spans="1:12" ht="33">
      <c r="A65" s="11" t="str">
        <f>_xlfn.XLOOKUP(표14[[#This Row],[material_name]],표2[material_name],표2[material_id])</f>
        <v>M021</v>
      </c>
      <c r="B65" s="11" t="str">
        <f>_xlfn.XLOOKUP(표14[[#This Row],[application_taxonomy]],표11[application_taxonomy],표11[app_id])</f>
        <v>A01</v>
      </c>
      <c r="C65" s="11" t="str">
        <f>_xlfn.XLOOKUP(표14[[#This Row],[end_use_industry]],표13[end_use_category],표13[end_use_id])</f>
        <v>E03</v>
      </c>
      <c r="D65" s="11">
        <f>_xlfn.XLOOKUP(표14[[#This Row],[importance]],표15[importance],표15[rating])</f>
        <v>0.1</v>
      </c>
      <c r="E65" s="1" t="s">
        <v>897</v>
      </c>
      <c r="F65" s="1" t="s">
        <v>1933</v>
      </c>
      <c r="G65" s="23" t="s">
        <v>1254</v>
      </c>
      <c r="H65" s="1" t="s">
        <v>1275</v>
      </c>
      <c r="I65" s="1" t="s">
        <v>1302</v>
      </c>
      <c r="J65" s="1" t="s">
        <v>1932</v>
      </c>
      <c r="K65" s="1" t="s">
        <v>1285</v>
      </c>
      <c r="L65" s="11"/>
    </row>
    <row r="66" spans="1:12">
      <c r="A66" s="11" t="str">
        <f>_xlfn.XLOOKUP(표14[[#This Row],[material_name]],표2[material_name],표2[material_id])</f>
        <v>M022</v>
      </c>
      <c r="B66" s="11" t="str">
        <f>_xlfn.XLOOKUP(표14[[#This Row],[application_taxonomy]],표11[application_taxonomy],표11[app_id])</f>
        <v>A04</v>
      </c>
      <c r="C66" s="11" t="str">
        <f>_xlfn.XLOOKUP(표14[[#This Row],[end_use_industry]],표13[end_use_category],표13[end_use_id])</f>
        <v>E02</v>
      </c>
      <c r="D66" s="11">
        <f>_xlfn.XLOOKUP(표14[[#This Row],[importance]],표15[importance],표15[rating])</f>
        <v>0.6</v>
      </c>
      <c r="E66" s="1" t="s">
        <v>101</v>
      </c>
      <c r="F66" s="1" t="s">
        <v>1881</v>
      </c>
      <c r="G66" s="1" t="s">
        <v>1319</v>
      </c>
      <c r="H66" s="1" t="s">
        <v>1278</v>
      </c>
      <c r="I66" s="1" t="s">
        <v>1298</v>
      </c>
      <c r="J66" s="1" t="s">
        <v>1931</v>
      </c>
      <c r="K66" s="1" t="s">
        <v>1285</v>
      </c>
      <c r="L66" s="11"/>
    </row>
    <row r="67" spans="1:12" ht="33">
      <c r="A67" s="11" t="str">
        <f>_xlfn.XLOOKUP(표14[[#This Row],[material_name]],표2[material_name],표2[material_id])</f>
        <v>M022</v>
      </c>
      <c r="B67" s="11" t="str">
        <f>_xlfn.XLOOKUP(표14[[#This Row],[application_taxonomy]],표11[application_taxonomy],표11[app_id])</f>
        <v>A40</v>
      </c>
      <c r="C67" s="11" t="str">
        <f>_xlfn.XLOOKUP(표14[[#This Row],[end_use_industry]],표13[end_use_category],표13[end_use_id])</f>
        <v>E08</v>
      </c>
      <c r="D67" s="11">
        <f>_xlfn.XLOOKUP(표14[[#This Row],[importance]],표15[importance],표15[rating])</f>
        <v>0.6</v>
      </c>
      <c r="E67" s="1" t="s">
        <v>101</v>
      </c>
      <c r="F67" s="1" t="s">
        <v>1930</v>
      </c>
      <c r="G67" s="1" t="s">
        <v>1519</v>
      </c>
      <c r="H67" s="1" t="s">
        <v>1260</v>
      </c>
      <c r="I67" s="1" t="s">
        <v>1298</v>
      </c>
      <c r="J67" s="1" t="s">
        <v>1929</v>
      </c>
      <c r="K67" s="1" t="s">
        <v>1285</v>
      </c>
      <c r="L67" s="11"/>
    </row>
    <row r="68" spans="1:12" ht="33">
      <c r="A68" s="11" t="str">
        <f>_xlfn.XLOOKUP(표14[[#This Row],[material_name]],표2[material_name],표2[material_id])</f>
        <v>M022</v>
      </c>
      <c r="B68" s="11" t="str">
        <f>_xlfn.XLOOKUP(표14[[#This Row],[application_taxonomy]],표11[application_taxonomy],표11[app_id])</f>
        <v>A16</v>
      </c>
      <c r="C68" s="11" t="str">
        <f>_xlfn.XLOOKUP(표14[[#This Row],[end_use_industry]],표13[end_use_category],표13[end_use_id])</f>
        <v>E03</v>
      </c>
      <c r="D68" s="11">
        <f>_xlfn.XLOOKUP(표14[[#This Row],[importance]],표15[importance],표15[rating])</f>
        <v>0.3</v>
      </c>
      <c r="E68" s="1" t="s">
        <v>101</v>
      </c>
      <c r="F68" s="1" t="s">
        <v>1894</v>
      </c>
      <c r="G68" s="1" t="s">
        <v>1295</v>
      </c>
      <c r="H68" s="1" t="s">
        <v>1275</v>
      </c>
      <c r="I68" s="1" t="s">
        <v>1287</v>
      </c>
      <c r="J68" s="1" t="s">
        <v>1928</v>
      </c>
      <c r="K68" s="1" t="s">
        <v>1285</v>
      </c>
      <c r="L68" s="11"/>
    </row>
    <row r="69" spans="1:12">
      <c r="A69" s="11" t="str">
        <f>_xlfn.XLOOKUP(표14[[#This Row],[material_name]],표2[material_name],표2[material_id])</f>
        <v>M022</v>
      </c>
      <c r="B69" s="11" t="str">
        <f>_xlfn.XLOOKUP(표14[[#This Row],[application_taxonomy]],표11[application_taxonomy],표11[app_id])</f>
        <v>A10</v>
      </c>
      <c r="C69" s="11" t="str">
        <f>_xlfn.XLOOKUP(표14[[#This Row],[end_use_industry]],표13[end_use_category],표13[end_use_id])</f>
        <v>E01</v>
      </c>
      <c r="D69" s="11">
        <f>_xlfn.XLOOKUP(표14[[#This Row],[importance]],표15[importance],표15[rating])</f>
        <v>0.3</v>
      </c>
      <c r="E69" s="1" t="s">
        <v>101</v>
      </c>
      <c r="F69" s="1" t="s">
        <v>1927</v>
      </c>
      <c r="G69" s="1" t="s">
        <v>1288</v>
      </c>
      <c r="H69" s="1" t="s">
        <v>1281</v>
      </c>
      <c r="I69" s="1" t="s">
        <v>1287</v>
      </c>
      <c r="J69" s="1" t="s">
        <v>1926</v>
      </c>
      <c r="K69" s="1" t="s">
        <v>1285</v>
      </c>
      <c r="L69" s="11"/>
    </row>
    <row r="70" spans="1:12" ht="33">
      <c r="A70" s="11" t="str">
        <f>_xlfn.XLOOKUP(표14[[#This Row],[material_name]],표2[material_name],표2[material_id])</f>
        <v>M022</v>
      </c>
      <c r="B70" s="11" t="str">
        <f>_xlfn.XLOOKUP(표14[[#This Row],[application_taxonomy]],표11[application_taxonomy],표11[app_id])</f>
        <v>A38</v>
      </c>
      <c r="C70" s="11" t="str">
        <f>_xlfn.XLOOKUP(표14[[#This Row],[end_use_industry]],표13[end_use_category],표13[end_use_id])</f>
        <v>E07</v>
      </c>
      <c r="D70" s="11">
        <f>_xlfn.XLOOKUP(표14[[#This Row],[importance]],표15[importance],표15[rating])</f>
        <v>0.3</v>
      </c>
      <c r="E70" s="1" t="s">
        <v>101</v>
      </c>
      <c r="F70" s="1" t="s">
        <v>1925</v>
      </c>
      <c r="G70" s="1" t="s">
        <v>1434</v>
      </c>
      <c r="H70" s="1" t="s">
        <v>1263</v>
      </c>
      <c r="I70" s="1" t="s">
        <v>1287</v>
      </c>
      <c r="J70" s="1" t="s">
        <v>1924</v>
      </c>
      <c r="K70" s="1" t="s">
        <v>1285</v>
      </c>
      <c r="L70" s="11"/>
    </row>
    <row r="71" spans="1:12">
      <c r="A71" s="11" t="str">
        <f>_xlfn.XLOOKUP(표14[[#This Row],[material_name]],표2[material_name],표2[material_id])</f>
        <v>M023</v>
      </c>
      <c r="B71" s="11" t="str">
        <f>_xlfn.XLOOKUP(표14[[#This Row],[application_taxonomy]],표11[application_taxonomy],표11[app_id])</f>
        <v>A04</v>
      </c>
      <c r="C71" s="11" t="str">
        <f>_xlfn.XLOOKUP(표14[[#This Row],[end_use_industry]],표13[end_use_category],표13[end_use_id])</f>
        <v>E02</v>
      </c>
      <c r="D71" s="11">
        <f>_xlfn.XLOOKUP(표14[[#This Row],[importance]],표15[importance],표15[rating])</f>
        <v>0.6</v>
      </c>
      <c r="E71" s="1" t="s">
        <v>102</v>
      </c>
      <c r="F71" s="1" t="s">
        <v>1923</v>
      </c>
      <c r="G71" s="1" t="s">
        <v>1319</v>
      </c>
      <c r="H71" s="1" t="s">
        <v>1278</v>
      </c>
      <c r="I71" s="1" t="s">
        <v>1298</v>
      </c>
      <c r="J71" s="1" t="s">
        <v>1922</v>
      </c>
      <c r="K71" s="1" t="s">
        <v>1285</v>
      </c>
      <c r="L71" s="11"/>
    </row>
    <row r="72" spans="1:12" ht="33">
      <c r="A72" s="11" t="str">
        <f>_xlfn.XLOOKUP(표14[[#This Row],[material_name]],표2[material_name],표2[material_id])</f>
        <v>M023</v>
      </c>
      <c r="B72" s="11" t="str">
        <f>_xlfn.XLOOKUP(표14[[#This Row],[application_taxonomy]],표11[application_taxonomy],표11[app_id])</f>
        <v>A38</v>
      </c>
      <c r="C72" s="11" t="str">
        <f>_xlfn.XLOOKUP(표14[[#This Row],[end_use_industry]],표13[end_use_category],표13[end_use_id])</f>
        <v>E07</v>
      </c>
      <c r="D72" s="11">
        <f>_xlfn.XLOOKUP(표14[[#This Row],[importance]],표15[importance],표15[rating])</f>
        <v>0.6</v>
      </c>
      <c r="E72" s="1" t="s">
        <v>102</v>
      </c>
      <c r="F72" s="1" t="s">
        <v>1921</v>
      </c>
      <c r="G72" s="1" t="s">
        <v>1434</v>
      </c>
      <c r="H72" s="1" t="s">
        <v>1263</v>
      </c>
      <c r="I72" s="1" t="s">
        <v>1298</v>
      </c>
      <c r="J72" s="1" t="s">
        <v>1920</v>
      </c>
      <c r="K72" s="1" t="s">
        <v>1285</v>
      </c>
      <c r="L72" s="11"/>
    </row>
    <row r="73" spans="1:12">
      <c r="A73" s="11" t="str">
        <f>_xlfn.XLOOKUP(표14[[#This Row],[material_name]],표2[material_name],표2[material_id])</f>
        <v>M023</v>
      </c>
      <c r="B73" s="11" t="str">
        <f>_xlfn.XLOOKUP(표14[[#This Row],[application_taxonomy]],표11[application_taxonomy],표11[app_id])</f>
        <v>A06</v>
      </c>
      <c r="C73" s="11" t="str">
        <f>_xlfn.XLOOKUP(표14[[#This Row],[end_use_industry]],표13[end_use_category],표13[end_use_id])</f>
        <v>E02</v>
      </c>
      <c r="D73" s="11">
        <f>_xlfn.XLOOKUP(표14[[#This Row],[importance]],표15[importance],표15[rating])</f>
        <v>0.3</v>
      </c>
      <c r="E73" s="1" t="s">
        <v>102</v>
      </c>
      <c r="F73" s="1" t="s">
        <v>1919</v>
      </c>
      <c r="G73" s="1" t="s">
        <v>1423</v>
      </c>
      <c r="H73" s="1" t="s">
        <v>1278</v>
      </c>
      <c r="I73" s="1" t="s">
        <v>1287</v>
      </c>
      <c r="J73" s="1" t="s">
        <v>1918</v>
      </c>
      <c r="K73" s="1" t="s">
        <v>1285</v>
      </c>
      <c r="L73" s="11"/>
    </row>
    <row r="74" spans="1:12">
      <c r="A74" s="11" t="str">
        <f>_xlfn.XLOOKUP(표14[[#This Row],[material_name]],표2[material_name],표2[material_id])</f>
        <v>M023</v>
      </c>
      <c r="B74" s="11" t="str">
        <f>_xlfn.XLOOKUP(표14[[#This Row],[application_taxonomy]],표11[application_taxonomy],표11[app_id])</f>
        <v>A04</v>
      </c>
      <c r="C74" s="11" t="str">
        <f>_xlfn.XLOOKUP(표14[[#This Row],[end_use_industry]],표13[end_use_category],표13[end_use_id])</f>
        <v>E02</v>
      </c>
      <c r="D74" s="11">
        <f>_xlfn.XLOOKUP(표14[[#This Row],[importance]],표15[importance],표15[rating])</f>
        <v>0.3</v>
      </c>
      <c r="E74" s="1" t="s">
        <v>102</v>
      </c>
      <c r="F74" s="1" t="s">
        <v>1881</v>
      </c>
      <c r="G74" s="1" t="s">
        <v>1319</v>
      </c>
      <c r="H74" s="1" t="s">
        <v>1278</v>
      </c>
      <c r="I74" s="1" t="s">
        <v>1287</v>
      </c>
      <c r="J74" s="1" t="s">
        <v>1917</v>
      </c>
      <c r="K74" s="1" t="s">
        <v>1285</v>
      </c>
      <c r="L74" s="11"/>
    </row>
    <row r="75" spans="1:12" ht="33">
      <c r="A75" s="11" t="str">
        <f>_xlfn.XLOOKUP(표14[[#This Row],[material_name]],표2[material_name],표2[material_id])</f>
        <v>M023</v>
      </c>
      <c r="B75" s="11" t="str">
        <f>_xlfn.XLOOKUP(표14[[#This Row],[application_taxonomy]],표11[application_taxonomy],표11[app_id])</f>
        <v>A33</v>
      </c>
      <c r="C75" s="11" t="str">
        <f>_xlfn.XLOOKUP(표14[[#This Row],[end_use_industry]],표13[end_use_category],표13[end_use_id])</f>
        <v>E05</v>
      </c>
      <c r="D75" s="11">
        <f>_xlfn.XLOOKUP(표14[[#This Row],[importance]],표15[importance],표15[rating])</f>
        <v>0.1</v>
      </c>
      <c r="E75" s="1" t="s">
        <v>102</v>
      </c>
      <c r="F75" s="1" t="s">
        <v>1916</v>
      </c>
      <c r="G75" s="1" t="s">
        <v>1333</v>
      </c>
      <c r="H75" s="1" t="s">
        <v>1269</v>
      </c>
      <c r="I75" s="1" t="s">
        <v>1302</v>
      </c>
      <c r="J75" s="1" t="s">
        <v>1915</v>
      </c>
      <c r="K75" s="1" t="s">
        <v>1285</v>
      </c>
      <c r="L75" s="11"/>
    </row>
    <row r="76" spans="1:12" ht="33">
      <c r="A76" s="11" t="str">
        <f>_xlfn.XLOOKUP(표14[[#This Row],[material_name]],표2[material_name],표2[material_id])</f>
        <v>M023</v>
      </c>
      <c r="B76" s="11" t="str">
        <f>_xlfn.XLOOKUP(표14[[#This Row],[application_taxonomy]],표11[application_taxonomy],표11[app_id])</f>
        <v>A41</v>
      </c>
      <c r="C76" s="11" t="str">
        <f>_xlfn.XLOOKUP(표14[[#This Row],[end_use_industry]],표13[end_use_category],표13[end_use_id])</f>
        <v>E03</v>
      </c>
      <c r="D76" s="11">
        <f>_xlfn.XLOOKUP(표14[[#This Row],[importance]],표15[importance],표15[rating])</f>
        <v>0.1</v>
      </c>
      <c r="E76" s="1" t="s">
        <v>102</v>
      </c>
      <c r="F76" s="1" t="s">
        <v>1914</v>
      </c>
      <c r="G76" s="1" t="s">
        <v>1343</v>
      </c>
      <c r="H76" s="1" t="s">
        <v>1275</v>
      </c>
      <c r="I76" s="1" t="s">
        <v>1302</v>
      </c>
      <c r="J76" s="1" t="s">
        <v>1913</v>
      </c>
      <c r="K76" s="1" t="s">
        <v>1285</v>
      </c>
      <c r="L76" s="11"/>
    </row>
    <row r="77" spans="1:12">
      <c r="A77" s="11" t="str">
        <f>_xlfn.XLOOKUP(표14[[#This Row],[material_name]],표2[material_name],표2[material_id])</f>
        <v>M024</v>
      </c>
      <c r="B77" s="11" t="str">
        <f>_xlfn.XLOOKUP(표14[[#This Row],[application_taxonomy]],표11[application_taxonomy],표11[app_id])</f>
        <v>A33</v>
      </c>
      <c r="C77" s="11" t="str">
        <f>_xlfn.XLOOKUP(표14[[#This Row],[end_use_industry]],표13[end_use_category],표13[end_use_id])</f>
        <v>E05</v>
      </c>
      <c r="D77" s="11">
        <f>_xlfn.XLOOKUP(표14[[#This Row],[importance]],표15[importance],표15[rating])</f>
        <v>0.6</v>
      </c>
      <c r="E77" s="1" t="s">
        <v>89</v>
      </c>
      <c r="F77" s="1" t="s">
        <v>1912</v>
      </c>
      <c r="G77" s="1" t="s">
        <v>1333</v>
      </c>
      <c r="H77" s="1" t="s">
        <v>1269</v>
      </c>
      <c r="I77" s="1" t="s">
        <v>1298</v>
      </c>
      <c r="J77" s="1" t="s">
        <v>1911</v>
      </c>
      <c r="K77" s="1" t="s">
        <v>1285</v>
      </c>
      <c r="L77" s="11"/>
    </row>
    <row r="78" spans="1:12" ht="33">
      <c r="A78" s="11" t="str">
        <f>_xlfn.XLOOKUP(표14[[#This Row],[material_name]],표2[material_name],표2[material_id])</f>
        <v>M024</v>
      </c>
      <c r="B78" s="11" t="str">
        <f>_xlfn.XLOOKUP(표14[[#This Row],[application_taxonomy]],표11[application_taxonomy],표11[app_id])</f>
        <v>A18</v>
      </c>
      <c r="C78" s="11" t="str">
        <f>_xlfn.XLOOKUP(표14[[#This Row],[end_use_industry]],표13[end_use_category],표13[end_use_id])</f>
        <v>E03</v>
      </c>
      <c r="D78" s="11">
        <f>_xlfn.XLOOKUP(표14[[#This Row],[importance]],표15[importance],표15[rating])</f>
        <v>0.6</v>
      </c>
      <c r="E78" s="1" t="s">
        <v>89</v>
      </c>
      <c r="F78" s="1" t="s">
        <v>1910</v>
      </c>
      <c r="G78" s="1" t="s">
        <v>1388</v>
      </c>
      <c r="H78" s="1" t="s">
        <v>1275</v>
      </c>
      <c r="I78" s="1" t="s">
        <v>1298</v>
      </c>
      <c r="J78" s="1" t="s">
        <v>1909</v>
      </c>
      <c r="K78" s="1" t="s">
        <v>1285</v>
      </c>
      <c r="L78" s="11"/>
    </row>
    <row r="79" spans="1:12" ht="33">
      <c r="A79" s="11" t="str">
        <f>_xlfn.XLOOKUP(표14[[#This Row],[material_name]],표2[material_name],표2[material_id])</f>
        <v>M024</v>
      </c>
      <c r="B79" s="11" t="str">
        <f>_xlfn.XLOOKUP(표14[[#This Row],[application_taxonomy]],표11[application_taxonomy],표11[app_id])</f>
        <v>A19</v>
      </c>
      <c r="C79" s="11" t="str">
        <f>_xlfn.XLOOKUP(표14[[#This Row],[end_use_industry]],표13[end_use_category],표13[end_use_id])</f>
        <v>E07</v>
      </c>
      <c r="D79" s="11">
        <f>_xlfn.XLOOKUP(표14[[#This Row],[importance]],표15[importance],표15[rating])</f>
        <v>0.3</v>
      </c>
      <c r="E79" s="1" t="s">
        <v>89</v>
      </c>
      <c r="F79" s="1" t="s">
        <v>1908</v>
      </c>
      <c r="G79" s="1" t="s">
        <v>1340</v>
      </c>
      <c r="H79" s="1" t="s">
        <v>1263</v>
      </c>
      <c r="I79" s="1" t="s">
        <v>1287</v>
      </c>
      <c r="J79" s="1" t="s">
        <v>1907</v>
      </c>
      <c r="K79" s="1" t="s">
        <v>1285</v>
      </c>
      <c r="L79" s="11"/>
    </row>
    <row r="80" spans="1:12">
      <c r="A80" s="11" t="str">
        <f>_xlfn.XLOOKUP(표14[[#This Row],[material_name]],표2[material_name],표2[material_id])</f>
        <v>M024</v>
      </c>
      <c r="B80" s="11" t="str">
        <f>_xlfn.XLOOKUP(표14[[#This Row],[application_taxonomy]],표11[application_taxonomy],표11[app_id])</f>
        <v>A13</v>
      </c>
      <c r="C80" s="11" t="str">
        <f>_xlfn.XLOOKUP(표14[[#This Row],[end_use_industry]],표13[end_use_category],표13[end_use_id])</f>
        <v>E04</v>
      </c>
      <c r="D80" s="11">
        <f>_xlfn.XLOOKUP(표14[[#This Row],[importance]],표15[importance],표15[rating])</f>
        <v>0.3</v>
      </c>
      <c r="E80" s="1" t="s">
        <v>89</v>
      </c>
      <c r="F80" s="1" t="s">
        <v>1906</v>
      </c>
      <c r="G80" s="1" t="s">
        <v>1409</v>
      </c>
      <c r="H80" s="1" t="s">
        <v>1272</v>
      </c>
      <c r="I80" s="1" t="s">
        <v>1287</v>
      </c>
      <c r="J80" s="1" t="s">
        <v>1905</v>
      </c>
      <c r="K80" s="1" t="s">
        <v>1285</v>
      </c>
      <c r="L80" s="11"/>
    </row>
    <row r="81" spans="1:12" ht="33">
      <c r="A81" s="11" t="str">
        <f>_xlfn.XLOOKUP(표14[[#This Row],[material_name]],표2[material_name],표2[material_id])</f>
        <v>M024</v>
      </c>
      <c r="B81" s="11" t="str">
        <f>_xlfn.XLOOKUP(표14[[#This Row],[application_taxonomy]],표11[application_taxonomy],표11[app_id])</f>
        <v>A20</v>
      </c>
      <c r="C81" s="11" t="str">
        <f>_xlfn.XLOOKUP(표14[[#This Row],[end_use_industry]],표13[end_use_category],표13[end_use_id])</f>
        <v>E07</v>
      </c>
      <c r="D81" s="11">
        <f>_xlfn.XLOOKUP(표14[[#This Row],[importance]],표15[importance],표15[rating])</f>
        <v>0.3</v>
      </c>
      <c r="E81" s="1" t="s">
        <v>89</v>
      </c>
      <c r="F81" s="1" t="s">
        <v>1439</v>
      </c>
      <c r="G81" s="1" t="s">
        <v>1328</v>
      </c>
      <c r="H81" s="1" t="s">
        <v>1263</v>
      </c>
      <c r="I81" s="1" t="s">
        <v>1287</v>
      </c>
      <c r="J81" s="1" t="s">
        <v>1904</v>
      </c>
      <c r="K81" s="1" t="s">
        <v>1285</v>
      </c>
      <c r="L81" s="11"/>
    </row>
    <row r="82" spans="1:12" ht="33">
      <c r="A82" s="11" t="str">
        <f>_xlfn.XLOOKUP(표14[[#This Row],[material_name]],표2[material_name],표2[material_id])</f>
        <v>M024</v>
      </c>
      <c r="B82" s="11" t="str">
        <f>_xlfn.XLOOKUP(표14[[#This Row],[application_taxonomy]],표11[application_taxonomy],표11[app_id])</f>
        <v>A38</v>
      </c>
      <c r="C82" s="11" t="str">
        <f>_xlfn.XLOOKUP(표14[[#This Row],[end_use_industry]],표13[end_use_category],표13[end_use_id])</f>
        <v>E07</v>
      </c>
      <c r="D82" s="11">
        <f>_xlfn.XLOOKUP(표14[[#This Row],[importance]],표15[importance],표15[rating])</f>
        <v>0.3</v>
      </c>
      <c r="E82" s="1" t="s">
        <v>89</v>
      </c>
      <c r="F82" s="1" t="s">
        <v>1903</v>
      </c>
      <c r="G82" s="1" t="s">
        <v>1434</v>
      </c>
      <c r="H82" s="1" t="s">
        <v>1263</v>
      </c>
      <c r="I82" s="1" t="s">
        <v>1287</v>
      </c>
      <c r="J82" s="1" t="s">
        <v>1902</v>
      </c>
      <c r="K82" s="1" t="s">
        <v>1285</v>
      </c>
      <c r="L82" s="11"/>
    </row>
    <row r="83" spans="1:12" ht="33">
      <c r="A83" s="11" t="str">
        <f>_xlfn.XLOOKUP(표14[[#This Row],[material_name]],표2[material_name],표2[material_id])</f>
        <v>M024</v>
      </c>
      <c r="B83" s="11" t="str">
        <f>_xlfn.XLOOKUP(표14[[#This Row],[application_taxonomy]],표11[application_taxonomy],표11[app_id])</f>
        <v>A21</v>
      </c>
      <c r="C83" s="11" t="str">
        <f>_xlfn.XLOOKUP(표14[[#This Row],[end_use_industry]],표13[end_use_category],표13[end_use_id])</f>
        <v>E04</v>
      </c>
      <c r="D83" s="11">
        <f>_xlfn.XLOOKUP(표14[[#This Row],[importance]],표15[importance],표15[rating])</f>
        <v>0.1</v>
      </c>
      <c r="E83" s="1" t="s">
        <v>89</v>
      </c>
      <c r="F83" s="1" t="s">
        <v>1901</v>
      </c>
      <c r="G83" s="1" t="s">
        <v>1194</v>
      </c>
      <c r="H83" s="1" t="s">
        <v>1900</v>
      </c>
      <c r="I83" s="1" t="s">
        <v>1302</v>
      </c>
      <c r="J83" s="1" t="s">
        <v>1899</v>
      </c>
      <c r="K83" s="1" t="s">
        <v>1285</v>
      </c>
      <c r="L83" s="11"/>
    </row>
    <row r="84" spans="1:12">
      <c r="A84" s="11" t="str">
        <f>_xlfn.XLOOKUP(표14[[#This Row],[material_name]],표2[material_name],표2[material_id])</f>
        <v>M025</v>
      </c>
      <c r="B84" s="11" t="str">
        <f>_xlfn.XLOOKUP(표14[[#This Row],[application_taxonomy]],표11[application_taxonomy],표11[app_id])</f>
        <v>A05</v>
      </c>
      <c r="C84" s="11" t="str">
        <f>_xlfn.XLOOKUP(표14[[#This Row],[end_use_industry]],표13[end_use_category],표13[end_use_id])</f>
        <v>E02</v>
      </c>
      <c r="D84" s="11">
        <f>_xlfn.XLOOKUP(표14[[#This Row],[importance]],표15[importance],표15[rating])</f>
        <v>0.6</v>
      </c>
      <c r="E84" s="1" t="s">
        <v>898</v>
      </c>
      <c r="F84" s="1" t="s">
        <v>1898</v>
      </c>
      <c r="G84" s="1" t="s">
        <v>1322</v>
      </c>
      <c r="H84" s="1" t="s">
        <v>1278</v>
      </c>
      <c r="I84" s="1" t="s">
        <v>1298</v>
      </c>
      <c r="J84" s="1" t="s">
        <v>1897</v>
      </c>
      <c r="K84" s="1" t="s">
        <v>1285</v>
      </c>
      <c r="L84" s="11"/>
    </row>
    <row r="85" spans="1:12">
      <c r="A85" s="11" t="str">
        <f>_xlfn.XLOOKUP(표14[[#This Row],[material_name]],표2[material_name],표2[material_id])</f>
        <v>M025</v>
      </c>
      <c r="B85" s="11" t="str">
        <f>_xlfn.XLOOKUP(표14[[#This Row],[application_taxonomy]],표11[application_taxonomy],표11[app_id])</f>
        <v>A04</v>
      </c>
      <c r="C85" s="11" t="str">
        <f>_xlfn.XLOOKUP(표14[[#This Row],[end_use_industry]],표13[end_use_category],표13[end_use_id])</f>
        <v>E02</v>
      </c>
      <c r="D85" s="11">
        <f>_xlfn.XLOOKUP(표14[[#This Row],[importance]],표15[importance],표15[rating])</f>
        <v>0.6</v>
      </c>
      <c r="E85" s="1" t="s">
        <v>898</v>
      </c>
      <c r="F85" s="1" t="s">
        <v>1896</v>
      </c>
      <c r="G85" s="1" t="s">
        <v>1319</v>
      </c>
      <c r="H85" s="1" t="s">
        <v>1278</v>
      </c>
      <c r="I85" s="1" t="s">
        <v>1298</v>
      </c>
      <c r="J85" s="1" t="s">
        <v>1895</v>
      </c>
      <c r="K85" s="1" t="s">
        <v>1285</v>
      </c>
      <c r="L85" s="11"/>
    </row>
    <row r="86" spans="1:12" ht="33">
      <c r="A86" s="11" t="str">
        <f>_xlfn.XLOOKUP(표14[[#This Row],[material_name]],표2[material_name],표2[material_id])</f>
        <v>M025</v>
      </c>
      <c r="B86" s="11" t="str">
        <f>_xlfn.XLOOKUP(표14[[#This Row],[application_taxonomy]],표11[application_taxonomy],표11[app_id])</f>
        <v>A16</v>
      </c>
      <c r="C86" s="11" t="str">
        <f>_xlfn.XLOOKUP(표14[[#This Row],[end_use_industry]],표13[end_use_category],표13[end_use_id])</f>
        <v>E03</v>
      </c>
      <c r="D86" s="11">
        <f>_xlfn.XLOOKUP(표14[[#This Row],[importance]],표15[importance],표15[rating])</f>
        <v>0.6</v>
      </c>
      <c r="E86" s="1" t="s">
        <v>898</v>
      </c>
      <c r="F86" s="1" t="s">
        <v>1894</v>
      </c>
      <c r="G86" s="1" t="s">
        <v>1295</v>
      </c>
      <c r="H86" s="1" t="s">
        <v>1275</v>
      </c>
      <c r="I86" s="1" t="s">
        <v>1298</v>
      </c>
      <c r="J86" s="1" t="s">
        <v>1893</v>
      </c>
      <c r="K86" s="1" t="s">
        <v>1285</v>
      </c>
      <c r="L86" s="11"/>
    </row>
    <row r="87" spans="1:12">
      <c r="A87" s="11" t="str">
        <f>_xlfn.XLOOKUP(표14[[#This Row],[material_name]],표2[material_name],표2[material_id])</f>
        <v>M025</v>
      </c>
      <c r="B87" s="11" t="str">
        <f>_xlfn.XLOOKUP(표14[[#This Row],[application_taxonomy]],표11[application_taxonomy],표11[app_id])</f>
        <v>A05</v>
      </c>
      <c r="C87" s="11" t="str">
        <f>_xlfn.XLOOKUP(표14[[#This Row],[end_use_industry]],표13[end_use_category],표13[end_use_id])</f>
        <v>E02</v>
      </c>
      <c r="D87" s="11">
        <f>_xlfn.XLOOKUP(표14[[#This Row],[importance]],표15[importance],표15[rating])</f>
        <v>0.6</v>
      </c>
      <c r="E87" s="1" t="s">
        <v>898</v>
      </c>
      <c r="F87" s="1" t="s">
        <v>1892</v>
      </c>
      <c r="G87" s="1" t="s">
        <v>1322</v>
      </c>
      <c r="H87" s="1" t="s">
        <v>1278</v>
      </c>
      <c r="I87" s="1" t="s">
        <v>1298</v>
      </c>
      <c r="J87" s="1" t="s">
        <v>1891</v>
      </c>
      <c r="K87" s="1" t="s">
        <v>1285</v>
      </c>
      <c r="L87" s="11"/>
    </row>
    <row r="88" spans="1:12">
      <c r="A88" s="11" t="str">
        <f>_xlfn.XLOOKUP(표14[[#This Row],[material_name]],표2[material_name],표2[material_id])</f>
        <v>M025</v>
      </c>
      <c r="B88" s="11" t="str">
        <f>_xlfn.XLOOKUP(표14[[#This Row],[application_taxonomy]],표11[application_taxonomy],표11[app_id])</f>
        <v>A32</v>
      </c>
      <c r="C88" s="11" t="str">
        <f>_xlfn.XLOOKUP(표14[[#This Row],[end_use_industry]],표13[end_use_category],표13[end_use_id])</f>
        <v>E05</v>
      </c>
      <c r="D88" s="11">
        <f>_xlfn.XLOOKUP(표14[[#This Row],[importance]],표15[importance],표15[rating])</f>
        <v>0.3</v>
      </c>
      <c r="E88" s="1" t="s">
        <v>898</v>
      </c>
      <c r="F88" s="1" t="s">
        <v>1890</v>
      </c>
      <c r="G88" s="1" t="s">
        <v>1801</v>
      </c>
      <c r="H88" s="1" t="s">
        <v>1269</v>
      </c>
      <c r="I88" s="1" t="s">
        <v>1287</v>
      </c>
      <c r="J88" s="1" t="s">
        <v>1889</v>
      </c>
      <c r="K88" s="1" t="s">
        <v>1285</v>
      </c>
      <c r="L88" s="11"/>
    </row>
    <row r="89" spans="1:12">
      <c r="A89" s="11" t="str">
        <f>_xlfn.XLOOKUP(표14[[#This Row],[material_name]],표2[material_name],표2[material_id])</f>
        <v>M025</v>
      </c>
      <c r="B89" s="11" t="str">
        <f>_xlfn.XLOOKUP(표14[[#This Row],[application_taxonomy]],표11[application_taxonomy],표11[app_id])</f>
        <v>A06</v>
      </c>
      <c r="C89" s="11" t="str">
        <f>_xlfn.XLOOKUP(표14[[#This Row],[end_use_industry]],표13[end_use_category],표13[end_use_id])</f>
        <v>E02</v>
      </c>
      <c r="D89" s="11">
        <f>_xlfn.XLOOKUP(표14[[#This Row],[importance]],표15[importance],표15[rating])</f>
        <v>0.3</v>
      </c>
      <c r="E89" s="1" t="s">
        <v>898</v>
      </c>
      <c r="F89" s="1" t="s">
        <v>1888</v>
      </c>
      <c r="G89" s="1" t="s">
        <v>1423</v>
      </c>
      <c r="H89" s="1" t="s">
        <v>1278</v>
      </c>
      <c r="I89" s="1" t="s">
        <v>1287</v>
      </c>
      <c r="J89" s="1" t="s">
        <v>1887</v>
      </c>
      <c r="K89" s="1" t="s">
        <v>1285</v>
      </c>
      <c r="L89" s="11"/>
    </row>
    <row r="90" spans="1:12">
      <c r="A90" s="11" t="str">
        <f>_xlfn.XLOOKUP(표14[[#This Row],[material_name]],표2[material_name],표2[material_id])</f>
        <v>M025</v>
      </c>
      <c r="B90" s="11" t="str">
        <f>_xlfn.XLOOKUP(표14[[#This Row],[application_taxonomy]],표11[application_taxonomy],표11[app_id])</f>
        <v>A09</v>
      </c>
      <c r="C90" s="11" t="str">
        <f>_xlfn.XLOOKUP(표14[[#This Row],[end_use_industry]],표13[end_use_category],표13[end_use_id])</f>
        <v>E01</v>
      </c>
      <c r="D90" s="11">
        <f>_xlfn.XLOOKUP(표14[[#This Row],[importance]],표15[importance],표15[rating])</f>
        <v>0.3</v>
      </c>
      <c r="E90" s="1" t="s">
        <v>898</v>
      </c>
      <c r="F90" s="1" t="s">
        <v>1886</v>
      </c>
      <c r="G90" s="1" t="s">
        <v>1402</v>
      </c>
      <c r="H90" s="1" t="s">
        <v>1281</v>
      </c>
      <c r="I90" s="1" t="s">
        <v>1287</v>
      </c>
      <c r="J90" s="1" t="s">
        <v>1885</v>
      </c>
      <c r="K90" s="1" t="s">
        <v>1285</v>
      </c>
      <c r="L90" s="11"/>
    </row>
    <row r="91" spans="1:12">
      <c r="A91" s="11" t="str">
        <f>_xlfn.XLOOKUP(표14[[#This Row],[material_name]],표2[material_name],표2[material_id])</f>
        <v>M025</v>
      </c>
      <c r="B91" s="11" t="str">
        <f>_xlfn.XLOOKUP(표14[[#This Row],[application_taxonomy]],표11[application_taxonomy],표11[app_id])</f>
        <v>A13</v>
      </c>
      <c r="C91" s="11" t="str">
        <f>_xlfn.XLOOKUP(표14[[#This Row],[end_use_industry]],표13[end_use_category],표13[end_use_id])</f>
        <v>E04</v>
      </c>
      <c r="D91" s="11">
        <f>_xlfn.XLOOKUP(표14[[#This Row],[importance]],표15[importance],표15[rating])</f>
        <v>0.3</v>
      </c>
      <c r="E91" s="1" t="s">
        <v>898</v>
      </c>
      <c r="F91" s="1" t="s">
        <v>1487</v>
      </c>
      <c r="G91" s="1" t="s">
        <v>1409</v>
      </c>
      <c r="H91" s="1" t="s">
        <v>1272</v>
      </c>
      <c r="I91" s="1" t="s">
        <v>1287</v>
      </c>
      <c r="J91" s="1" t="s">
        <v>1884</v>
      </c>
      <c r="K91" s="1" t="s">
        <v>1285</v>
      </c>
      <c r="L91" s="11"/>
    </row>
    <row r="92" spans="1:12" ht="33">
      <c r="A92" s="11" t="str">
        <f>_xlfn.XLOOKUP(표14[[#This Row],[material_name]],표2[material_name],표2[material_id])</f>
        <v>M025</v>
      </c>
      <c r="B92" s="11" t="str">
        <f>_xlfn.XLOOKUP(표14[[#This Row],[application_taxonomy]],표11[application_taxonomy],표11[app_id])</f>
        <v>A33</v>
      </c>
      <c r="C92" s="11" t="str">
        <f>_xlfn.XLOOKUP(표14[[#This Row],[end_use_industry]],표13[end_use_category],표13[end_use_id])</f>
        <v>E05</v>
      </c>
      <c r="D92" s="11">
        <f>_xlfn.XLOOKUP(표14[[#This Row],[importance]],표15[importance],표15[rating])</f>
        <v>0.3</v>
      </c>
      <c r="E92" s="1" t="s">
        <v>898</v>
      </c>
      <c r="F92" s="1" t="s">
        <v>1883</v>
      </c>
      <c r="G92" s="1" t="s">
        <v>1333</v>
      </c>
      <c r="H92" s="1" t="s">
        <v>1269</v>
      </c>
      <c r="I92" s="1" t="s">
        <v>1287</v>
      </c>
      <c r="J92" s="1" t="s">
        <v>1882</v>
      </c>
      <c r="K92" s="1" t="s">
        <v>1285</v>
      </c>
      <c r="L92" s="11"/>
    </row>
    <row r="93" spans="1:12">
      <c r="A93" s="11" t="str">
        <f>_xlfn.XLOOKUP(표14[[#This Row],[material_name]],표2[material_name],표2[material_id])</f>
        <v>M025</v>
      </c>
      <c r="B93" s="11" t="str">
        <f>_xlfn.XLOOKUP(표14[[#This Row],[application_taxonomy]],표11[application_taxonomy],표11[app_id])</f>
        <v>A04</v>
      </c>
      <c r="C93" s="11" t="str">
        <f>_xlfn.XLOOKUP(표14[[#This Row],[end_use_industry]],표13[end_use_category],표13[end_use_id])</f>
        <v>E02</v>
      </c>
      <c r="D93" s="11">
        <f>_xlfn.XLOOKUP(표14[[#This Row],[importance]],표15[importance],표15[rating])</f>
        <v>0.3</v>
      </c>
      <c r="E93" s="1" t="s">
        <v>898</v>
      </c>
      <c r="F93" s="1" t="s">
        <v>1881</v>
      </c>
      <c r="G93" s="1" t="s">
        <v>1319</v>
      </c>
      <c r="H93" s="1" t="s">
        <v>1278</v>
      </c>
      <c r="I93" s="1" t="s">
        <v>1287</v>
      </c>
      <c r="J93" s="1" t="s">
        <v>1880</v>
      </c>
      <c r="K93" s="1" t="s">
        <v>1285</v>
      </c>
      <c r="L93" s="11"/>
    </row>
    <row r="94" spans="1:12">
      <c r="A94" s="11" t="str">
        <f>_xlfn.XLOOKUP(표14[[#This Row],[material_name]],표2[material_name],표2[material_id])</f>
        <v>M025</v>
      </c>
      <c r="B94" s="11" t="str">
        <f>_xlfn.XLOOKUP(표14[[#This Row],[application_taxonomy]],표11[application_taxonomy],표11[app_id])</f>
        <v>A04</v>
      </c>
      <c r="C94" s="11" t="str">
        <f>_xlfn.XLOOKUP(표14[[#This Row],[end_use_industry]],표13[end_use_category],표13[end_use_id])</f>
        <v>E02</v>
      </c>
      <c r="D94" s="11">
        <f>_xlfn.XLOOKUP(표14[[#This Row],[importance]],표15[importance],표15[rating])</f>
        <v>0.3</v>
      </c>
      <c r="E94" s="1" t="s">
        <v>898</v>
      </c>
      <c r="F94" s="1" t="s">
        <v>1879</v>
      </c>
      <c r="G94" s="1" t="s">
        <v>1319</v>
      </c>
      <c r="H94" s="1" t="s">
        <v>1278</v>
      </c>
      <c r="I94" s="1" t="s">
        <v>1287</v>
      </c>
      <c r="J94" s="1" t="s">
        <v>1878</v>
      </c>
      <c r="K94" s="1" t="s">
        <v>1285</v>
      </c>
      <c r="L94" s="11"/>
    </row>
    <row r="95" spans="1:12" ht="33">
      <c r="A95" s="11" t="str">
        <f>_xlfn.XLOOKUP(표14[[#This Row],[material_name]],표2[material_name],표2[material_id])</f>
        <v>M025</v>
      </c>
      <c r="B95" s="11" t="str">
        <f>_xlfn.XLOOKUP(표14[[#This Row],[application_taxonomy]],표11[application_taxonomy],표11[app_id])</f>
        <v>A40</v>
      </c>
      <c r="C95" s="11" t="str">
        <f>_xlfn.XLOOKUP(표14[[#This Row],[end_use_industry]],표13[end_use_category],표13[end_use_id])</f>
        <v>E08</v>
      </c>
      <c r="D95" s="11">
        <f>_xlfn.XLOOKUP(표14[[#This Row],[importance]],표15[importance],표15[rating])</f>
        <v>0.1</v>
      </c>
      <c r="E95" s="1" t="s">
        <v>898</v>
      </c>
      <c r="F95" s="1" t="s">
        <v>1877</v>
      </c>
      <c r="G95" s="1" t="s">
        <v>1519</v>
      </c>
      <c r="H95" s="1" t="s">
        <v>1260</v>
      </c>
      <c r="I95" s="1" t="s">
        <v>1302</v>
      </c>
      <c r="J95" s="1" t="s">
        <v>1876</v>
      </c>
      <c r="K95" s="1" t="s">
        <v>1285</v>
      </c>
      <c r="L95" s="11"/>
    </row>
    <row r="96" spans="1:12" ht="33">
      <c r="A96" s="11" t="str">
        <f>_xlfn.XLOOKUP(표14[[#This Row],[material_name]],표2[material_name],표2[material_id])</f>
        <v>M026</v>
      </c>
      <c r="B96" s="11" t="str">
        <f>_xlfn.XLOOKUP(표14[[#This Row],[application_taxonomy]],표11[application_taxonomy],표11[app_id])</f>
        <v>A01</v>
      </c>
      <c r="C96" s="11" t="str">
        <f>_xlfn.XLOOKUP(표14[[#This Row],[end_use_industry]],표13[end_use_category],표13[end_use_id])</f>
        <v>E07</v>
      </c>
      <c r="D96" s="11">
        <f>_xlfn.XLOOKUP(표14[[#This Row],[importance]],표15[importance],표15[rating])</f>
        <v>0.6</v>
      </c>
      <c r="E96" s="1" t="s">
        <v>899</v>
      </c>
      <c r="F96" s="1" t="s">
        <v>1875</v>
      </c>
      <c r="G96" s="1" t="s">
        <v>1313</v>
      </c>
      <c r="H96" s="1" t="s">
        <v>1263</v>
      </c>
      <c r="I96" s="1" t="s">
        <v>1298</v>
      </c>
      <c r="J96" s="1" t="s">
        <v>1874</v>
      </c>
      <c r="K96" s="1" t="s">
        <v>1285</v>
      </c>
      <c r="L96" s="11"/>
    </row>
    <row r="97" spans="1:12" ht="33">
      <c r="A97" s="11" t="str">
        <f>_xlfn.XLOOKUP(표14[[#This Row],[material_name]],표2[material_name],표2[material_id])</f>
        <v>M026</v>
      </c>
      <c r="B97" s="11" t="str">
        <f>_xlfn.XLOOKUP(표14[[#This Row],[application_taxonomy]],표11[application_taxonomy],표11[app_id])</f>
        <v>A01</v>
      </c>
      <c r="C97" s="11" t="str">
        <f>_xlfn.XLOOKUP(표14[[#This Row],[end_use_industry]],표13[end_use_category],표13[end_use_id])</f>
        <v>E07</v>
      </c>
      <c r="D97" s="11">
        <f>_xlfn.XLOOKUP(표14[[#This Row],[importance]],표15[importance],표15[rating])</f>
        <v>0.3</v>
      </c>
      <c r="E97" s="1" t="s">
        <v>899</v>
      </c>
      <c r="F97" s="1" t="s">
        <v>1873</v>
      </c>
      <c r="G97" s="1" t="s">
        <v>1313</v>
      </c>
      <c r="H97" s="1" t="s">
        <v>1263</v>
      </c>
      <c r="I97" s="1" t="s">
        <v>1287</v>
      </c>
      <c r="J97" s="1" t="s">
        <v>1872</v>
      </c>
      <c r="K97" s="1" t="s">
        <v>1285</v>
      </c>
      <c r="L97" s="11"/>
    </row>
    <row r="98" spans="1:12" ht="33">
      <c r="A98" s="11" t="str">
        <f>_xlfn.XLOOKUP(표14[[#This Row],[material_name]],표2[material_name],표2[material_id])</f>
        <v>M026</v>
      </c>
      <c r="B98" s="11" t="str">
        <f>_xlfn.XLOOKUP(표14[[#This Row],[application_taxonomy]],표11[application_taxonomy],표11[app_id])</f>
        <v>A02</v>
      </c>
      <c r="C98" s="11" t="str">
        <f>_xlfn.XLOOKUP(표14[[#This Row],[end_use_industry]],표13[end_use_category],표13[end_use_id])</f>
        <v>E08</v>
      </c>
      <c r="D98" s="11">
        <f>_xlfn.XLOOKUP(표14[[#This Row],[importance]],표15[importance],표15[rating])</f>
        <v>0.3</v>
      </c>
      <c r="E98" s="1" t="s">
        <v>899</v>
      </c>
      <c r="F98" s="1" t="s">
        <v>1871</v>
      </c>
      <c r="G98" s="1" t="s">
        <v>1308</v>
      </c>
      <c r="H98" s="1" t="s">
        <v>1260</v>
      </c>
      <c r="I98" s="1" t="s">
        <v>1287</v>
      </c>
      <c r="J98" s="1" t="s">
        <v>1870</v>
      </c>
      <c r="K98" s="1" t="s">
        <v>1285</v>
      </c>
      <c r="L98" s="11"/>
    </row>
    <row r="99" spans="1:12" ht="33">
      <c r="A99" s="11" t="str">
        <f>_xlfn.XLOOKUP(표14[[#This Row],[material_name]],표2[material_name],표2[material_id])</f>
        <v>M026</v>
      </c>
      <c r="B99" s="11" t="str">
        <f>_xlfn.XLOOKUP(표14[[#This Row],[application_taxonomy]],표11[application_taxonomy],표11[app_id])</f>
        <v>A02</v>
      </c>
      <c r="C99" s="11" t="str">
        <f>_xlfn.XLOOKUP(표14[[#This Row],[end_use_industry]],표13[end_use_category],표13[end_use_id])</f>
        <v>E07</v>
      </c>
      <c r="D99" s="11">
        <f>_xlfn.XLOOKUP(표14[[#This Row],[importance]],표15[importance],표15[rating])</f>
        <v>0.1</v>
      </c>
      <c r="E99" s="1" t="s">
        <v>899</v>
      </c>
      <c r="F99" s="1" t="s">
        <v>1869</v>
      </c>
      <c r="G99" s="1" t="s">
        <v>1308</v>
      </c>
      <c r="H99" s="1" t="s">
        <v>1263</v>
      </c>
      <c r="I99" s="1" t="s">
        <v>1302</v>
      </c>
      <c r="J99" s="1" t="s">
        <v>1868</v>
      </c>
      <c r="K99" s="1" t="s">
        <v>1285</v>
      </c>
      <c r="L99" s="11"/>
    </row>
    <row r="100" spans="1:12">
      <c r="A100" s="11" t="str">
        <f>_xlfn.XLOOKUP(표14[[#This Row],[material_name]],표2[material_name],표2[material_id])</f>
        <v>M027</v>
      </c>
      <c r="B100" s="11" t="str">
        <f>_xlfn.XLOOKUP(표14[[#This Row],[application_taxonomy]],표11[application_taxonomy],표11[app_id])</f>
        <v>A01</v>
      </c>
      <c r="C100" s="11" t="str">
        <f>_xlfn.XLOOKUP(표14[[#This Row],[end_use_industry]],표13[end_use_category],표13[end_use_id])</f>
        <v>E01</v>
      </c>
      <c r="D100" s="11">
        <f>_xlfn.XLOOKUP(표14[[#This Row],[importance]],표15[importance],표15[rating])</f>
        <v>0.6</v>
      </c>
      <c r="E100" s="1" t="s">
        <v>1857</v>
      </c>
      <c r="F100" s="1" t="s">
        <v>1351</v>
      </c>
      <c r="G100" s="1" t="s">
        <v>1313</v>
      </c>
      <c r="H100" s="1" t="s">
        <v>1281</v>
      </c>
      <c r="I100" s="1" t="s">
        <v>1298</v>
      </c>
      <c r="J100" s="1" t="s">
        <v>1867</v>
      </c>
      <c r="K100" s="1" t="s">
        <v>1285</v>
      </c>
      <c r="L100" s="11"/>
    </row>
    <row r="101" spans="1:12" ht="33">
      <c r="A101" s="11" t="str">
        <f>_xlfn.XLOOKUP(표14[[#This Row],[material_name]],표2[material_name],표2[material_id])</f>
        <v>M027</v>
      </c>
      <c r="B101" s="11" t="str">
        <f>_xlfn.XLOOKUP(표14[[#This Row],[application_taxonomy]],표11[application_taxonomy],표11[app_id])</f>
        <v>A29</v>
      </c>
      <c r="C101" s="11" t="str">
        <f>_xlfn.XLOOKUP(표14[[#This Row],[end_use_industry]],표13[end_use_category],표13[end_use_id])</f>
        <v>E07</v>
      </c>
      <c r="D101" s="11">
        <f>_xlfn.XLOOKUP(표14[[#This Row],[importance]],표15[importance],표15[rating])</f>
        <v>0.3</v>
      </c>
      <c r="E101" s="1" t="s">
        <v>1857</v>
      </c>
      <c r="F101" s="1" t="s">
        <v>1866</v>
      </c>
      <c r="G101" s="1" t="s">
        <v>1865</v>
      </c>
      <c r="H101" s="1" t="s">
        <v>1263</v>
      </c>
      <c r="I101" s="1" t="s">
        <v>1287</v>
      </c>
      <c r="J101" s="1" t="s">
        <v>1864</v>
      </c>
      <c r="K101" s="1" t="s">
        <v>1285</v>
      </c>
      <c r="L101" s="11"/>
    </row>
    <row r="102" spans="1:12" ht="33">
      <c r="A102" s="11" t="str">
        <f>_xlfn.XLOOKUP(표14[[#This Row],[material_name]],표2[material_name],표2[material_id])</f>
        <v>M027</v>
      </c>
      <c r="B102" s="11" t="str">
        <f>_xlfn.XLOOKUP(표14[[#This Row],[application_taxonomy]],표11[application_taxonomy],표11[app_id])</f>
        <v>A31</v>
      </c>
      <c r="C102" s="11" t="str">
        <f>_xlfn.XLOOKUP(표14[[#This Row],[end_use_industry]],표13[end_use_category],표13[end_use_id])</f>
        <v>E02</v>
      </c>
      <c r="D102" s="11">
        <f>_xlfn.XLOOKUP(표14[[#This Row],[importance]],표15[importance],표15[rating])</f>
        <v>0.3</v>
      </c>
      <c r="E102" s="1" t="s">
        <v>1857</v>
      </c>
      <c r="F102" s="1" t="s">
        <v>1863</v>
      </c>
      <c r="G102" s="1" t="s">
        <v>1754</v>
      </c>
      <c r="H102" s="1" t="s">
        <v>1278</v>
      </c>
      <c r="I102" s="1" t="s">
        <v>1287</v>
      </c>
      <c r="J102" s="1" t="s">
        <v>1862</v>
      </c>
      <c r="K102" s="1" t="s">
        <v>1285</v>
      </c>
      <c r="L102" s="11"/>
    </row>
    <row r="103" spans="1:12">
      <c r="A103" s="11" t="str">
        <f>_xlfn.XLOOKUP(표14[[#This Row],[material_name]],표2[material_name],표2[material_id])</f>
        <v>M027</v>
      </c>
      <c r="B103" s="11" t="str">
        <f>_xlfn.XLOOKUP(표14[[#This Row],[application_taxonomy]],표11[application_taxonomy],표11[app_id])</f>
        <v>A36</v>
      </c>
      <c r="C103" s="11" t="str">
        <f>_xlfn.XLOOKUP(표14[[#This Row],[end_use_industry]],표13[end_use_category],표13[end_use_id])</f>
        <v>E05</v>
      </c>
      <c r="D103" s="11">
        <f>_xlfn.XLOOKUP(표14[[#This Row],[importance]],표15[importance],표15[rating])</f>
        <v>0.3</v>
      </c>
      <c r="E103" s="1" t="s">
        <v>1857</v>
      </c>
      <c r="F103" s="1" t="s">
        <v>1861</v>
      </c>
      <c r="G103" s="1" t="s">
        <v>1582</v>
      </c>
      <c r="H103" s="1" t="s">
        <v>1269</v>
      </c>
      <c r="I103" s="1" t="s">
        <v>1287</v>
      </c>
      <c r="J103" s="1" t="s">
        <v>1860</v>
      </c>
      <c r="K103" s="1" t="s">
        <v>1285</v>
      </c>
      <c r="L103" s="11"/>
    </row>
    <row r="104" spans="1:12">
      <c r="A104" s="11" t="str">
        <f>_xlfn.XLOOKUP(표14[[#This Row],[material_name]],표2[material_name],표2[material_id])</f>
        <v>M027</v>
      </c>
      <c r="B104" s="11" t="str">
        <f>_xlfn.XLOOKUP(표14[[#This Row],[application_taxonomy]],표11[application_taxonomy],표11[app_id])</f>
        <v>A30</v>
      </c>
      <c r="C104" s="11" t="str">
        <f>_xlfn.XLOOKUP(표14[[#This Row],[end_use_industry]],표13[end_use_category],표13[end_use_id])</f>
        <v>E02</v>
      </c>
      <c r="D104" s="11">
        <f>_xlfn.XLOOKUP(표14[[#This Row],[importance]],표15[importance],표15[rating])</f>
        <v>0.3</v>
      </c>
      <c r="E104" s="1" t="s">
        <v>1857</v>
      </c>
      <c r="F104" s="1" t="s">
        <v>1859</v>
      </c>
      <c r="G104" s="1" t="s">
        <v>1545</v>
      </c>
      <c r="H104" s="1" t="s">
        <v>1278</v>
      </c>
      <c r="I104" s="1" t="s">
        <v>1287</v>
      </c>
      <c r="J104" s="1" t="s">
        <v>1858</v>
      </c>
      <c r="K104" s="1" t="s">
        <v>1285</v>
      </c>
      <c r="L104" s="11"/>
    </row>
    <row r="105" spans="1:12" ht="33">
      <c r="A105" s="11" t="str">
        <f>_xlfn.XLOOKUP(표14[[#This Row],[material_name]],표2[material_name],표2[material_id])</f>
        <v>M027</v>
      </c>
      <c r="B105" s="11" t="str">
        <f>_xlfn.XLOOKUP(표14[[#This Row],[application_taxonomy]],표11[application_taxonomy],표11[app_id])</f>
        <v>A01</v>
      </c>
      <c r="C105" s="11" t="str">
        <f>_xlfn.XLOOKUP(표14[[#This Row],[end_use_industry]],표13[end_use_category],표13[end_use_id])</f>
        <v>E07</v>
      </c>
      <c r="D105" s="11">
        <f>_xlfn.XLOOKUP(표14[[#This Row],[importance]],표15[importance],표15[rating])</f>
        <v>0.3</v>
      </c>
      <c r="E105" s="1" t="s">
        <v>1857</v>
      </c>
      <c r="F105" s="1" t="s">
        <v>1856</v>
      </c>
      <c r="G105" s="1" t="s">
        <v>1313</v>
      </c>
      <c r="H105" s="1" t="s">
        <v>1263</v>
      </c>
      <c r="I105" s="1" t="s">
        <v>1287</v>
      </c>
      <c r="J105" s="1" t="s">
        <v>1855</v>
      </c>
      <c r="K105" s="1" t="s">
        <v>1285</v>
      </c>
      <c r="L105" s="11"/>
    </row>
    <row r="106" spans="1:12" ht="33">
      <c r="A106" s="11" t="str">
        <f>_xlfn.XLOOKUP(표14[[#This Row],[material_name]],표2[material_name],표2[material_id])</f>
        <v>M028</v>
      </c>
      <c r="B106" s="11" t="str">
        <f>_xlfn.XLOOKUP(표14[[#This Row],[application_taxonomy]],표11[application_taxonomy],표11[app_id])</f>
        <v>A01</v>
      </c>
      <c r="C106" s="11" t="str">
        <f>_xlfn.XLOOKUP(표14[[#This Row],[end_use_industry]],표13[end_use_category],표13[end_use_id])</f>
        <v>E02</v>
      </c>
      <c r="D106" s="11">
        <f>_xlfn.XLOOKUP(표14[[#This Row],[importance]],표15[importance],표15[rating])</f>
        <v>0.6</v>
      </c>
      <c r="E106" s="1" t="s">
        <v>1847</v>
      </c>
      <c r="F106" s="1" t="s">
        <v>1854</v>
      </c>
      <c r="G106" s="1" t="s">
        <v>1313</v>
      </c>
      <c r="H106" s="1" t="s">
        <v>1278</v>
      </c>
      <c r="I106" s="1" t="s">
        <v>1298</v>
      </c>
      <c r="J106" s="1" t="s">
        <v>1853</v>
      </c>
      <c r="K106" s="1" t="s">
        <v>1285</v>
      </c>
      <c r="L106" s="11" t="s">
        <v>1317</v>
      </c>
    </row>
    <row r="107" spans="1:12">
      <c r="A107" s="11" t="str">
        <f>_xlfn.XLOOKUP(표14[[#This Row],[material_name]],표2[material_name],표2[material_id])</f>
        <v>M028</v>
      </c>
      <c r="B107" s="11" t="str">
        <f>_xlfn.XLOOKUP(표14[[#This Row],[application_taxonomy]],표11[application_taxonomy],표11[app_id])</f>
        <v>A01</v>
      </c>
      <c r="C107" s="11" t="str">
        <f>_xlfn.XLOOKUP(표14[[#This Row],[end_use_industry]],표13[end_use_category],표13[end_use_id])</f>
        <v>E01</v>
      </c>
      <c r="D107" s="11">
        <f>_xlfn.XLOOKUP(표14[[#This Row],[importance]],표15[importance],표15[rating])</f>
        <v>0.6</v>
      </c>
      <c r="E107" s="1" t="s">
        <v>1847</v>
      </c>
      <c r="F107" s="1" t="s">
        <v>1852</v>
      </c>
      <c r="G107" s="1" t="s">
        <v>1313</v>
      </c>
      <c r="H107" s="1" t="s">
        <v>1281</v>
      </c>
      <c r="I107" s="1" t="s">
        <v>1298</v>
      </c>
      <c r="J107" s="1" t="s">
        <v>1851</v>
      </c>
      <c r="K107" s="1" t="s">
        <v>1285</v>
      </c>
      <c r="L107" s="11" t="s">
        <v>1317</v>
      </c>
    </row>
    <row r="108" spans="1:12">
      <c r="A108" s="11" t="str">
        <f>_xlfn.XLOOKUP(표14[[#This Row],[material_name]],표2[material_name],표2[material_id])</f>
        <v>M028</v>
      </c>
      <c r="B108" s="11" t="str">
        <f>_xlfn.XLOOKUP(표14[[#This Row],[application_taxonomy]],표11[application_taxonomy],표11[app_id])</f>
        <v>A01</v>
      </c>
      <c r="C108" s="11" t="str">
        <f>_xlfn.XLOOKUP(표14[[#This Row],[end_use_industry]],표13[end_use_category],표13[end_use_id])</f>
        <v>E03</v>
      </c>
      <c r="D108" s="11">
        <f>_xlfn.XLOOKUP(표14[[#This Row],[importance]],표15[importance],표15[rating])</f>
        <v>0.3</v>
      </c>
      <c r="E108" s="1" t="s">
        <v>1847</v>
      </c>
      <c r="F108" s="1" t="s">
        <v>1850</v>
      </c>
      <c r="G108" s="1" t="s">
        <v>1313</v>
      </c>
      <c r="H108" s="1" t="s">
        <v>1275</v>
      </c>
      <c r="I108" s="1" t="s">
        <v>1287</v>
      </c>
      <c r="J108" s="1" t="s">
        <v>1849</v>
      </c>
      <c r="K108" s="1" t="s">
        <v>1285</v>
      </c>
      <c r="L108" s="11" t="s">
        <v>1317</v>
      </c>
    </row>
    <row r="109" spans="1:12" ht="33">
      <c r="A109" s="11" t="str">
        <f>_xlfn.XLOOKUP(표14[[#This Row],[material_name]],표2[material_name],표2[material_id])</f>
        <v>M028</v>
      </c>
      <c r="B109" s="11" t="str">
        <f>_xlfn.XLOOKUP(표14[[#This Row],[application_taxonomy]],표11[application_taxonomy],표11[app_id])</f>
        <v>A01</v>
      </c>
      <c r="C109" s="11" t="str">
        <f>_xlfn.XLOOKUP(표14[[#This Row],[end_use_industry]],표13[end_use_category],표13[end_use_id])</f>
        <v>E07</v>
      </c>
      <c r="D109" s="11">
        <f>_xlfn.XLOOKUP(표14[[#This Row],[importance]],표15[importance],표15[rating])</f>
        <v>0.3</v>
      </c>
      <c r="E109" s="1" t="s">
        <v>1847</v>
      </c>
      <c r="F109" s="1" t="s">
        <v>1468</v>
      </c>
      <c r="G109" s="1" t="s">
        <v>1313</v>
      </c>
      <c r="H109" s="1" t="s">
        <v>1263</v>
      </c>
      <c r="I109" s="1" t="s">
        <v>1287</v>
      </c>
      <c r="J109" s="1" t="s">
        <v>1848</v>
      </c>
      <c r="K109" s="1" t="s">
        <v>1285</v>
      </c>
      <c r="L109" s="11" t="s">
        <v>1317</v>
      </c>
    </row>
    <row r="110" spans="1:12" ht="33">
      <c r="A110" s="11" t="str">
        <f>_xlfn.XLOOKUP(표14[[#This Row],[material_name]],표2[material_name],표2[material_id])</f>
        <v>M028</v>
      </c>
      <c r="B110" s="11" t="str">
        <f>_xlfn.XLOOKUP(표14[[#This Row],[application_taxonomy]],표11[application_taxonomy],표11[app_id])</f>
        <v>A01</v>
      </c>
      <c r="C110" s="11" t="str">
        <f>_xlfn.XLOOKUP(표14[[#This Row],[end_use_industry]],표13[end_use_category],표13[end_use_id])</f>
        <v>E07</v>
      </c>
      <c r="D110" s="11">
        <f>_xlfn.XLOOKUP(표14[[#This Row],[importance]],표15[importance],표15[rating])</f>
        <v>0.3</v>
      </c>
      <c r="E110" s="1" t="s">
        <v>1847</v>
      </c>
      <c r="F110" s="1" t="s">
        <v>1470</v>
      </c>
      <c r="G110" s="1" t="s">
        <v>1313</v>
      </c>
      <c r="H110" s="1" t="s">
        <v>1263</v>
      </c>
      <c r="I110" s="1" t="s">
        <v>1287</v>
      </c>
      <c r="J110" s="1" t="s">
        <v>1846</v>
      </c>
      <c r="K110" s="1" t="s">
        <v>1285</v>
      </c>
      <c r="L110" s="11" t="s">
        <v>1317</v>
      </c>
    </row>
    <row r="111" spans="1:12" ht="33">
      <c r="A111" s="11" t="str">
        <f>_xlfn.XLOOKUP(표14[[#This Row],[material_name]],표2[material_name],표2[material_id])</f>
        <v>M029</v>
      </c>
      <c r="B111" s="11" t="str">
        <f>_xlfn.XLOOKUP(표14[[#This Row],[application_taxonomy]],표11[application_taxonomy],표11[app_id])</f>
        <v>A01</v>
      </c>
      <c r="C111" s="11" t="str">
        <f>_xlfn.XLOOKUP(표14[[#This Row],[end_use_industry]],표13[end_use_category],표13[end_use_id])</f>
        <v>E01</v>
      </c>
      <c r="D111" s="11">
        <f>_xlfn.XLOOKUP(표14[[#This Row],[importance]],표15[importance],표15[rating])</f>
        <v>0.6</v>
      </c>
      <c r="E111" s="1" t="s">
        <v>1119</v>
      </c>
      <c r="F111" s="1" t="s">
        <v>1845</v>
      </c>
      <c r="G111" s="1" t="s">
        <v>1313</v>
      </c>
      <c r="H111" s="1" t="s">
        <v>1281</v>
      </c>
      <c r="I111" s="1" t="s">
        <v>1298</v>
      </c>
      <c r="J111" s="1" t="s">
        <v>1844</v>
      </c>
      <c r="K111" s="1" t="s">
        <v>1285</v>
      </c>
      <c r="L111" s="11"/>
    </row>
    <row r="112" spans="1:12" ht="33">
      <c r="A112" s="11" t="str">
        <f>_xlfn.XLOOKUP(표14[[#This Row],[material_name]],표2[material_name],표2[material_id])</f>
        <v>M029</v>
      </c>
      <c r="B112" s="11" t="str">
        <f>_xlfn.XLOOKUP(표14[[#This Row],[application_taxonomy]],표11[application_taxonomy],표11[app_id])</f>
        <v>A01</v>
      </c>
      <c r="C112" s="11" t="str">
        <f>_xlfn.XLOOKUP(표14[[#This Row],[end_use_industry]],표13[end_use_category],표13[end_use_id])</f>
        <v>E07</v>
      </c>
      <c r="D112" s="11">
        <f>_xlfn.XLOOKUP(표14[[#This Row],[importance]],표15[importance],표15[rating])</f>
        <v>0.6</v>
      </c>
      <c r="E112" s="1" t="s">
        <v>1119</v>
      </c>
      <c r="F112" s="1" t="s">
        <v>1843</v>
      </c>
      <c r="G112" s="1" t="s">
        <v>1313</v>
      </c>
      <c r="H112" s="1" t="s">
        <v>1263</v>
      </c>
      <c r="I112" s="1" t="s">
        <v>1298</v>
      </c>
      <c r="J112" s="1" t="s">
        <v>1842</v>
      </c>
      <c r="K112" s="1" t="s">
        <v>1285</v>
      </c>
      <c r="L112" s="11"/>
    </row>
    <row r="113" spans="1:12" ht="33">
      <c r="A113" s="11" t="str">
        <f>_xlfn.XLOOKUP(표14[[#This Row],[material_name]],표2[material_name],표2[material_id])</f>
        <v>M029</v>
      </c>
      <c r="B113" s="11" t="str">
        <f>_xlfn.XLOOKUP(표14[[#This Row],[application_taxonomy]],표11[application_taxonomy],표11[app_id])</f>
        <v>A01</v>
      </c>
      <c r="C113" s="11" t="str">
        <f>_xlfn.XLOOKUP(표14[[#This Row],[end_use_industry]],표13[end_use_category],표13[end_use_id])</f>
        <v>E07</v>
      </c>
      <c r="D113" s="11">
        <f>_xlfn.XLOOKUP(표14[[#This Row],[importance]],표15[importance],표15[rating])</f>
        <v>0.3</v>
      </c>
      <c r="E113" s="1" t="s">
        <v>1119</v>
      </c>
      <c r="F113" s="1" t="s">
        <v>1470</v>
      </c>
      <c r="G113" s="1" t="s">
        <v>1313</v>
      </c>
      <c r="H113" s="1" t="s">
        <v>1263</v>
      </c>
      <c r="I113" s="1" t="s">
        <v>1287</v>
      </c>
      <c r="J113" s="1" t="s">
        <v>1841</v>
      </c>
      <c r="K113" s="1" t="s">
        <v>1285</v>
      </c>
      <c r="L113" s="11"/>
    </row>
    <row r="114" spans="1:12" ht="33">
      <c r="A114" s="11" t="str">
        <f>_xlfn.XLOOKUP(표14[[#This Row],[material_name]],표2[material_name],표2[material_id])</f>
        <v>M029</v>
      </c>
      <c r="B114" s="11" t="str">
        <f>_xlfn.XLOOKUP(표14[[#This Row],[application_taxonomy]],표11[application_taxonomy],표11[app_id])</f>
        <v>A01</v>
      </c>
      <c r="C114" s="11" t="str">
        <f>_xlfn.XLOOKUP(표14[[#This Row],[end_use_industry]],표13[end_use_category],표13[end_use_id])</f>
        <v>E07</v>
      </c>
      <c r="D114" s="11">
        <f>_xlfn.XLOOKUP(표14[[#This Row],[importance]],표15[importance],표15[rating])</f>
        <v>0.3</v>
      </c>
      <c r="E114" s="1" t="s">
        <v>1119</v>
      </c>
      <c r="F114" s="1" t="s">
        <v>1468</v>
      </c>
      <c r="G114" s="1" t="s">
        <v>1313</v>
      </c>
      <c r="H114" s="1" t="s">
        <v>1263</v>
      </c>
      <c r="I114" s="1" t="s">
        <v>1287</v>
      </c>
      <c r="J114" s="1" t="s">
        <v>1840</v>
      </c>
      <c r="K114" s="1" t="s">
        <v>1285</v>
      </c>
      <c r="L114" s="11"/>
    </row>
    <row r="115" spans="1:12">
      <c r="A115" s="11" t="str">
        <f>_xlfn.XLOOKUP(표14[[#This Row],[material_name]],표2[material_name],표2[material_id])</f>
        <v>M029</v>
      </c>
      <c r="B115" s="11" t="str">
        <f>_xlfn.XLOOKUP(표14[[#This Row],[application_taxonomy]],표11[application_taxonomy],표11[app_id])</f>
        <v>A01</v>
      </c>
      <c r="C115" s="11" t="str">
        <f>_xlfn.XLOOKUP(표14[[#This Row],[end_use_industry]],표13[end_use_category],표13[end_use_id])</f>
        <v>E02</v>
      </c>
      <c r="D115" s="11">
        <f>_xlfn.XLOOKUP(표14[[#This Row],[importance]],표15[importance],표15[rating])</f>
        <v>0.3</v>
      </c>
      <c r="E115" s="1" t="s">
        <v>1119</v>
      </c>
      <c r="F115" s="1" t="s">
        <v>1839</v>
      </c>
      <c r="G115" s="1" t="s">
        <v>1313</v>
      </c>
      <c r="H115" s="1" t="s">
        <v>1278</v>
      </c>
      <c r="I115" s="1" t="s">
        <v>1287</v>
      </c>
      <c r="J115" s="1" t="s">
        <v>1838</v>
      </c>
      <c r="K115" s="1" t="s">
        <v>1285</v>
      </c>
      <c r="L115" s="11"/>
    </row>
    <row r="116" spans="1:12" ht="33">
      <c r="A116" s="11" t="str">
        <f>_xlfn.XLOOKUP(표14[[#This Row],[material_name]],표2[material_name],표2[material_id])</f>
        <v>M030</v>
      </c>
      <c r="B116" s="11" t="str">
        <f>_xlfn.XLOOKUP(표14[[#This Row],[application_taxonomy]],표11[application_taxonomy],표11[app_id])</f>
        <v>A17</v>
      </c>
      <c r="C116" s="11" t="str">
        <f>_xlfn.XLOOKUP(표14[[#This Row],[end_use_industry]],표13[end_use_category],표13[end_use_id])</f>
        <v>E02</v>
      </c>
      <c r="D116" s="11">
        <f>_xlfn.XLOOKUP(표14[[#This Row],[importance]],표15[importance],표15[rating])</f>
        <v>0.6</v>
      </c>
      <c r="E116" s="1" t="s">
        <v>973</v>
      </c>
      <c r="F116" s="1" t="s">
        <v>1837</v>
      </c>
      <c r="G116" s="1" t="s">
        <v>1398</v>
      </c>
      <c r="H116" s="1" t="s">
        <v>1278</v>
      </c>
      <c r="I116" s="1" t="s">
        <v>1298</v>
      </c>
      <c r="J116" s="1" t="s">
        <v>1836</v>
      </c>
      <c r="K116" s="1" t="s">
        <v>1285</v>
      </c>
      <c r="L116" s="11"/>
    </row>
    <row r="117" spans="1:12" ht="33">
      <c r="A117" s="11" t="str">
        <f>_xlfn.XLOOKUP(표14[[#This Row],[material_name]],표2[material_name],표2[material_id])</f>
        <v>M030</v>
      </c>
      <c r="B117" s="11" t="str">
        <f>_xlfn.XLOOKUP(표14[[#This Row],[application_taxonomy]],표11[application_taxonomy],표11[app_id])</f>
        <v>A12</v>
      </c>
      <c r="C117" s="11" t="str">
        <f>_xlfn.XLOOKUP(표14[[#This Row],[end_use_industry]],표13[end_use_category],표13[end_use_id])</f>
        <v>E01</v>
      </c>
      <c r="D117" s="11">
        <f>_xlfn.XLOOKUP(표14[[#This Row],[importance]],표15[importance],표15[rating])</f>
        <v>0.6</v>
      </c>
      <c r="E117" s="1" t="s">
        <v>973</v>
      </c>
      <c r="F117" s="1" t="s">
        <v>1835</v>
      </c>
      <c r="G117" s="1" t="s">
        <v>1667</v>
      </c>
      <c r="H117" s="1" t="s">
        <v>1281</v>
      </c>
      <c r="I117" s="1" t="s">
        <v>1298</v>
      </c>
      <c r="J117" s="1" t="s">
        <v>1834</v>
      </c>
      <c r="K117" s="1" t="s">
        <v>1285</v>
      </c>
      <c r="L117" s="11"/>
    </row>
    <row r="118" spans="1:12">
      <c r="A118" s="11" t="str">
        <f>_xlfn.XLOOKUP(표14[[#This Row],[material_name]],표2[material_name],표2[material_id])</f>
        <v>M030</v>
      </c>
      <c r="B118" s="11" t="str">
        <f>_xlfn.XLOOKUP(표14[[#This Row],[application_taxonomy]],표11[application_taxonomy],표11[app_id])</f>
        <v>A18</v>
      </c>
      <c r="C118" s="11" t="str">
        <f>_xlfn.XLOOKUP(표14[[#This Row],[end_use_industry]],표13[end_use_category],표13[end_use_id])</f>
        <v>E02</v>
      </c>
      <c r="D118" s="11">
        <f>_xlfn.XLOOKUP(표14[[#This Row],[importance]],표15[importance],표15[rating])</f>
        <v>0.6</v>
      </c>
      <c r="E118" s="1" t="s">
        <v>973</v>
      </c>
      <c r="F118" s="1" t="s">
        <v>1833</v>
      </c>
      <c r="G118" s="1" t="s">
        <v>1388</v>
      </c>
      <c r="H118" s="1" t="s">
        <v>1278</v>
      </c>
      <c r="I118" s="1" t="s">
        <v>1298</v>
      </c>
      <c r="J118" s="1" t="s">
        <v>1832</v>
      </c>
      <c r="K118" s="1" t="s">
        <v>1285</v>
      </c>
      <c r="L118" s="11"/>
    </row>
    <row r="119" spans="1:12" ht="33">
      <c r="A119" s="11" t="str">
        <f>_xlfn.XLOOKUP(표14[[#This Row],[material_name]],표2[material_name],표2[material_id])</f>
        <v>M030</v>
      </c>
      <c r="B119" s="11" t="str">
        <f>_xlfn.XLOOKUP(표14[[#This Row],[application_taxonomy]],표11[application_taxonomy],표11[app_id])</f>
        <v>A16</v>
      </c>
      <c r="C119" s="11" t="str">
        <f>_xlfn.XLOOKUP(표14[[#This Row],[end_use_industry]],표13[end_use_category],표13[end_use_id])</f>
        <v>E03</v>
      </c>
      <c r="D119" s="11">
        <f>_xlfn.XLOOKUP(표14[[#This Row],[importance]],표15[importance],표15[rating])</f>
        <v>0.3</v>
      </c>
      <c r="E119" s="1" t="s">
        <v>973</v>
      </c>
      <c r="F119" s="1" t="s">
        <v>1831</v>
      </c>
      <c r="G119" s="1" t="s">
        <v>1295</v>
      </c>
      <c r="H119" s="1" t="s">
        <v>1830</v>
      </c>
      <c r="I119" s="1" t="s">
        <v>1287</v>
      </c>
      <c r="J119" s="1" t="s">
        <v>1829</v>
      </c>
      <c r="K119" s="1" t="s">
        <v>1285</v>
      </c>
      <c r="L119" s="11"/>
    </row>
    <row r="120" spans="1:12" ht="33">
      <c r="A120" s="11" t="str">
        <f>_xlfn.XLOOKUP(표14[[#This Row],[material_name]],표2[material_name],표2[material_id])</f>
        <v>M030</v>
      </c>
      <c r="B120" s="11" t="str">
        <f>_xlfn.XLOOKUP(표14[[#This Row],[application_taxonomy]],표11[application_taxonomy],표11[app_id])</f>
        <v>A19</v>
      </c>
      <c r="C120" s="11" t="str">
        <f>_xlfn.XLOOKUP(표14[[#This Row],[end_use_industry]],표13[end_use_category],표13[end_use_id])</f>
        <v>E07</v>
      </c>
      <c r="D120" s="11">
        <f>_xlfn.XLOOKUP(표14[[#This Row],[importance]],표15[importance],표15[rating])</f>
        <v>0.3</v>
      </c>
      <c r="E120" s="1" t="s">
        <v>973</v>
      </c>
      <c r="F120" s="1" t="s">
        <v>1828</v>
      </c>
      <c r="G120" s="1" t="s">
        <v>1340</v>
      </c>
      <c r="H120" s="1" t="s">
        <v>1263</v>
      </c>
      <c r="I120" s="1" t="s">
        <v>1287</v>
      </c>
      <c r="J120" s="1" t="s">
        <v>1827</v>
      </c>
      <c r="K120" s="1" t="s">
        <v>1285</v>
      </c>
      <c r="L120" s="11"/>
    </row>
    <row r="121" spans="1:12" ht="33">
      <c r="A121" s="11" t="str">
        <f>_xlfn.XLOOKUP(표14[[#This Row],[material_name]],표2[material_name],표2[material_id])</f>
        <v>M030</v>
      </c>
      <c r="B121" s="11" t="str">
        <f>_xlfn.XLOOKUP(표14[[#This Row],[application_taxonomy]],표11[application_taxonomy],표11[app_id])</f>
        <v>A18</v>
      </c>
      <c r="C121" s="11" t="str">
        <f>_xlfn.XLOOKUP(표14[[#This Row],[end_use_industry]],표13[end_use_category],표13[end_use_id])</f>
        <v>E07</v>
      </c>
      <c r="D121" s="11">
        <f>_xlfn.XLOOKUP(표14[[#This Row],[importance]],표15[importance],표15[rating])</f>
        <v>0.3</v>
      </c>
      <c r="E121" s="1" t="s">
        <v>973</v>
      </c>
      <c r="F121" s="1" t="s">
        <v>1826</v>
      </c>
      <c r="G121" s="1" t="s">
        <v>1388</v>
      </c>
      <c r="H121" s="1" t="s">
        <v>1263</v>
      </c>
      <c r="I121" s="1" t="s">
        <v>1287</v>
      </c>
      <c r="J121" s="1" t="s">
        <v>1825</v>
      </c>
      <c r="K121" s="1" t="s">
        <v>1285</v>
      </c>
      <c r="L121" s="11"/>
    </row>
    <row r="122" spans="1:12" ht="33">
      <c r="A122" s="11" t="str">
        <f>_xlfn.XLOOKUP(표14[[#This Row],[material_name]],표2[material_name],표2[material_id])</f>
        <v>M030</v>
      </c>
      <c r="B122" s="11" t="str">
        <f>_xlfn.XLOOKUP(표14[[#This Row],[application_taxonomy]],표11[application_taxonomy],표11[app_id])</f>
        <v>A13</v>
      </c>
      <c r="C122" s="11" t="str">
        <f>_xlfn.XLOOKUP(표14[[#This Row],[end_use_industry]],표13[end_use_category],표13[end_use_id])</f>
        <v>E04</v>
      </c>
      <c r="D122" s="11">
        <f>_xlfn.XLOOKUP(표14[[#This Row],[importance]],표15[importance],표15[rating])</f>
        <v>0.1</v>
      </c>
      <c r="E122" s="1" t="s">
        <v>973</v>
      </c>
      <c r="F122" s="1" t="s">
        <v>1824</v>
      </c>
      <c r="G122" s="1" t="s">
        <v>1409</v>
      </c>
      <c r="H122" s="1" t="s">
        <v>1272</v>
      </c>
      <c r="I122" s="1" t="s">
        <v>1302</v>
      </c>
      <c r="J122" s="1" t="s">
        <v>1823</v>
      </c>
      <c r="K122" s="1" t="s">
        <v>1285</v>
      </c>
      <c r="L122" s="11"/>
    </row>
    <row r="123" spans="1:12" ht="33">
      <c r="A123" s="11" t="str">
        <f>_xlfn.XLOOKUP(표14[[#This Row],[material_name]],표2[material_name],표2[material_id])</f>
        <v>M030</v>
      </c>
      <c r="B123" s="11" t="str">
        <f>_xlfn.XLOOKUP(표14[[#This Row],[application_taxonomy]],표11[application_taxonomy],표11[app_id])</f>
        <v>A33</v>
      </c>
      <c r="C123" s="11" t="str">
        <f>_xlfn.XLOOKUP(표14[[#This Row],[end_use_industry]],표13[end_use_category],표13[end_use_id])</f>
        <v>E05</v>
      </c>
      <c r="D123" s="11">
        <f>_xlfn.XLOOKUP(표14[[#This Row],[importance]],표15[importance],표15[rating])</f>
        <v>0.1</v>
      </c>
      <c r="E123" s="1" t="s">
        <v>973</v>
      </c>
      <c r="F123" s="1" t="s">
        <v>1822</v>
      </c>
      <c r="G123" s="1" t="s">
        <v>1333</v>
      </c>
      <c r="H123" s="1" t="s">
        <v>1269</v>
      </c>
      <c r="I123" s="1" t="s">
        <v>1302</v>
      </c>
      <c r="J123" s="1" t="s">
        <v>1821</v>
      </c>
      <c r="K123" s="1" t="s">
        <v>1285</v>
      </c>
      <c r="L123" s="11"/>
    </row>
    <row r="124" spans="1:12" ht="33">
      <c r="A124" s="11" t="str">
        <f>_xlfn.XLOOKUP(표14[[#This Row],[material_name]],표2[material_name],표2[material_id])</f>
        <v>M031</v>
      </c>
      <c r="B124" s="11" t="str">
        <f>_xlfn.XLOOKUP(표14[[#This Row],[application_taxonomy]],표11[application_taxonomy],표11[app_id])</f>
        <v>A01</v>
      </c>
      <c r="C124" s="11" t="str">
        <f>_xlfn.XLOOKUP(표14[[#This Row],[end_use_industry]],표13[end_use_category],표13[end_use_id])</f>
        <v>E07</v>
      </c>
      <c r="D124" s="11">
        <f>_xlfn.XLOOKUP(표14[[#This Row],[importance]],표15[importance],표15[rating])</f>
        <v>0.6</v>
      </c>
      <c r="E124" s="1" t="s">
        <v>1816</v>
      </c>
      <c r="F124" s="1" t="s">
        <v>1820</v>
      </c>
      <c r="G124" s="1" t="s">
        <v>1254</v>
      </c>
      <c r="H124" s="1" t="s">
        <v>1263</v>
      </c>
      <c r="I124" s="1" t="s">
        <v>1298</v>
      </c>
      <c r="J124" s="1" t="s">
        <v>1819</v>
      </c>
      <c r="K124" s="1" t="s">
        <v>1285</v>
      </c>
      <c r="L124" s="11"/>
    </row>
    <row r="125" spans="1:12">
      <c r="A125" s="11" t="str">
        <f>_xlfn.XLOOKUP(표14[[#This Row],[material_name]],표2[material_name],표2[material_id])</f>
        <v>M031</v>
      </c>
      <c r="B125" s="11" t="str">
        <f>_xlfn.XLOOKUP(표14[[#This Row],[application_taxonomy]],표11[application_taxonomy],표11[app_id])</f>
        <v>A01</v>
      </c>
      <c r="C125" s="11" t="str">
        <f>_xlfn.XLOOKUP(표14[[#This Row],[end_use_industry]],표13[end_use_category],표13[end_use_id])</f>
        <v>E02</v>
      </c>
      <c r="D125" s="11">
        <f>_xlfn.XLOOKUP(표14[[#This Row],[importance]],표15[importance],표15[rating])</f>
        <v>0.6</v>
      </c>
      <c r="E125" s="1" t="s">
        <v>1816</v>
      </c>
      <c r="F125" s="1" t="s">
        <v>1818</v>
      </c>
      <c r="G125" s="1" t="s">
        <v>1254</v>
      </c>
      <c r="H125" s="1" t="s">
        <v>1278</v>
      </c>
      <c r="I125" s="1" t="s">
        <v>1298</v>
      </c>
      <c r="J125" s="1" t="s">
        <v>1817</v>
      </c>
      <c r="K125" s="1" t="s">
        <v>1285</v>
      </c>
      <c r="L125" s="11"/>
    </row>
    <row r="126" spans="1:12" ht="33">
      <c r="A126" s="11" t="str">
        <f>_xlfn.XLOOKUP(표14[[#This Row],[material_name]],표2[material_name],표2[material_id])</f>
        <v>M031</v>
      </c>
      <c r="B126" s="11" t="str">
        <f>_xlfn.XLOOKUP(표14[[#This Row],[application_taxonomy]],표11[application_taxonomy],표11[app_id])</f>
        <v>A27</v>
      </c>
      <c r="C126" s="11" t="str">
        <f>_xlfn.XLOOKUP(표14[[#This Row],[end_use_industry]],표13[end_use_category],표13[end_use_id])</f>
        <v>E07</v>
      </c>
      <c r="D126" s="11">
        <f>_xlfn.XLOOKUP(표14[[#This Row],[importance]],표15[importance],표15[rating])</f>
        <v>0.3</v>
      </c>
      <c r="E126" s="1" t="s">
        <v>1816</v>
      </c>
      <c r="F126" s="1" t="s">
        <v>1815</v>
      </c>
      <c r="G126" s="1" t="s">
        <v>1391</v>
      </c>
      <c r="H126" s="1" t="s">
        <v>1263</v>
      </c>
      <c r="I126" s="1" t="s">
        <v>1287</v>
      </c>
      <c r="J126" s="1" t="s">
        <v>1814</v>
      </c>
      <c r="K126" s="1" t="s">
        <v>1285</v>
      </c>
      <c r="L126" s="11"/>
    </row>
    <row r="127" spans="1:12" ht="33">
      <c r="A127" s="11" t="str">
        <f>_xlfn.XLOOKUP(표14[[#This Row],[material_name]],표2[material_name],표2[material_id])</f>
        <v>M033</v>
      </c>
      <c r="B127" s="11" t="str">
        <f>_xlfn.XLOOKUP(표14[[#This Row],[application_taxonomy]],표11[application_taxonomy],표11[app_id])</f>
        <v>A22</v>
      </c>
      <c r="C127" s="11" t="str">
        <f>_xlfn.XLOOKUP(표14[[#This Row],[end_use_industry]],표13[end_use_category],표13[end_use_id])</f>
        <v>E01</v>
      </c>
      <c r="D127" s="11">
        <f>_xlfn.XLOOKUP(표14[[#This Row],[importance]],표15[importance],표15[rating])</f>
        <v>0.6</v>
      </c>
      <c r="E127" s="1" t="s">
        <v>1809</v>
      </c>
      <c r="F127" s="1" t="s">
        <v>1470</v>
      </c>
      <c r="G127" s="1" t="s">
        <v>1292</v>
      </c>
      <c r="H127" s="1" t="s">
        <v>1281</v>
      </c>
      <c r="I127" s="1" t="s">
        <v>1298</v>
      </c>
      <c r="J127" s="1" t="s">
        <v>1813</v>
      </c>
      <c r="K127" s="1" t="s">
        <v>1285</v>
      </c>
      <c r="L127" s="11"/>
    </row>
    <row r="128" spans="1:12" ht="33">
      <c r="A128" s="11" t="str">
        <f>_xlfn.XLOOKUP(표14[[#This Row],[material_name]],표2[material_name],표2[material_id])</f>
        <v>M033</v>
      </c>
      <c r="B128" s="11" t="str">
        <f>_xlfn.XLOOKUP(표14[[#This Row],[application_taxonomy]],표11[application_taxonomy],표11[app_id])</f>
        <v>A20</v>
      </c>
      <c r="C128" s="11" t="str">
        <f>_xlfn.XLOOKUP(표14[[#This Row],[end_use_industry]],표13[end_use_category],표13[end_use_id])</f>
        <v>E02</v>
      </c>
      <c r="D128" s="11">
        <f>_xlfn.XLOOKUP(표14[[#This Row],[importance]],표15[importance],표15[rating])</f>
        <v>0.6</v>
      </c>
      <c r="E128" s="1" t="s">
        <v>1809</v>
      </c>
      <c r="F128" s="1" t="s">
        <v>1468</v>
      </c>
      <c r="G128" s="1" t="s">
        <v>1328</v>
      </c>
      <c r="H128" s="1" t="s">
        <v>1278</v>
      </c>
      <c r="I128" s="1" t="s">
        <v>1298</v>
      </c>
      <c r="J128" s="1" t="s">
        <v>1812</v>
      </c>
      <c r="K128" s="1" t="s">
        <v>1285</v>
      </c>
      <c r="L128" s="11"/>
    </row>
    <row r="129" spans="1:12" ht="33">
      <c r="A129" s="11" t="str">
        <f>_xlfn.XLOOKUP(표14[[#This Row],[material_name]],표2[material_name],표2[material_id])</f>
        <v>M033</v>
      </c>
      <c r="B129" s="11" t="str">
        <f>_xlfn.XLOOKUP(표14[[#This Row],[application_taxonomy]],표11[application_taxonomy],표11[app_id])</f>
        <v>A22</v>
      </c>
      <c r="C129" s="11" t="str">
        <f>_xlfn.XLOOKUP(표14[[#This Row],[end_use_industry]],표13[end_use_category],표13[end_use_id])</f>
        <v>E07</v>
      </c>
      <c r="D129" s="11">
        <f>_xlfn.XLOOKUP(표14[[#This Row],[importance]],표15[importance],표15[rating])</f>
        <v>0.3</v>
      </c>
      <c r="E129" s="1" t="s">
        <v>1809</v>
      </c>
      <c r="F129" s="1" t="s">
        <v>1811</v>
      </c>
      <c r="G129" s="1" t="s">
        <v>1292</v>
      </c>
      <c r="H129" s="1" t="s">
        <v>1263</v>
      </c>
      <c r="I129" s="1" t="s">
        <v>1287</v>
      </c>
      <c r="J129" s="1" t="s">
        <v>1810</v>
      </c>
      <c r="K129" s="1" t="s">
        <v>1285</v>
      </c>
      <c r="L129" s="11"/>
    </row>
    <row r="130" spans="1:12" ht="33">
      <c r="A130" s="11" t="str">
        <f>_xlfn.XLOOKUP(표14[[#This Row],[material_name]],표2[material_name],표2[material_id])</f>
        <v>M033</v>
      </c>
      <c r="B130" s="11" t="str">
        <f>_xlfn.XLOOKUP(표14[[#This Row],[application_taxonomy]],표11[application_taxonomy],표11[app_id])</f>
        <v>A38</v>
      </c>
      <c r="C130" s="11" t="str">
        <f>_xlfn.XLOOKUP(표14[[#This Row],[end_use_industry]],표13[end_use_category],표13[end_use_id])</f>
        <v>E07</v>
      </c>
      <c r="D130" s="11">
        <f>_xlfn.XLOOKUP(표14[[#This Row],[importance]],표15[importance],표15[rating])</f>
        <v>0.3</v>
      </c>
      <c r="E130" s="1" t="s">
        <v>1809</v>
      </c>
      <c r="F130" s="1" t="s">
        <v>1808</v>
      </c>
      <c r="G130" s="1" t="s">
        <v>1434</v>
      </c>
      <c r="H130" s="1" t="s">
        <v>1263</v>
      </c>
      <c r="I130" s="1" t="s">
        <v>1287</v>
      </c>
      <c r="J130" s="1" t="s">
        <v>1807</v>
      </c>
      <c r="K130" s="1" t="s">
        <v>1285</v>
      </c>
      <c r="L130" s="11"/>
    </row>
    <row r="131" spans="1:12" ht="33">
      <c r="A131" s="11" t="str">
        <f>_xlfn.XLOOKUP(표14[[#This Row],[material_name]],표2[material_name],표2[material_id])</f>
        <v>M034</v>
      </c>
      <c r="B131" s="11" t="str">
        <f>_xlfn.XLOOKUP(표14[[#This Row],[application_taxonomy]],표11[application_taxonomy],표11[app_id])</f>
        <v>A32</v>
      </c>
      <c r="C131" s="11" t="str">
        <f>_xlfn.XLOOKUP(표14[[#This Row],[end_use_industry]],표13[end_use_category],표13[end_use_id])</f>
        <v>E02</v>
      </c>
      <c r="D131" s="11">
        <f>_xlfn.XLOOKUP(표14[[#This Row],[importance]],표15[importance],표15[rating])</f>
        <v>0.6</v>
      </c>
      <c r="E131" s="1" t="s">
        <v>1799</v>
      </c>
      <c r="F131" s="1" t="s">
        <v>1806</v>
      </c>
      <c r="G131" s="1" t="s">
        <v>1801</v>
      </c>
      <c r="H131" s="1" t="s">
        <v>1278</v>
      </c>
      <c r="I131" s="1" t="s">
        <v>1298</v>
      </c>
      <c r="J131" s="1" t="s">
        <v>1805</v>
      </c>
      <c r="K131" s="1" t="s">
        <v>1285</v>
      </c>
      <c r="L131" s="11"/>
    </row>
    <row r="132" spans="1:12">
      <c r="A132" s="11" t="str">
        <f>_xlfn.XLOOKUP(표14[[#This Row],[material_name]],표2[material_name],표2[material_id])</f>
        <v>M034</v>
      </c>
      <c r="B132" s="11" t="str">
        <f>_xlfn.XLOOKUP(표14[[#This Row],[application_taxonomy]],표11[application_taxonomy],표11[app_id])</f>
        <v>A32</v>
      </c>
      <c r="C132" s="11" t="str">
        <f>_xlfn.XLOOKUP(표14[[#This Row],[end_use_industry]],표13[end_use_category],표13[end_use_id])</f>
        <v>E05</v>
      </c>
      <c r="D132" s="11">
        <f>_xlfn.XLOOKUP(표14[[#This Row],[importance]],표15[importance],표15[rating])</f>
        <v>0.3</v>
      </c>
      <c r="E132" s="1" t="s">
        <v>1799</v>
      </c>
      <c r="F132" s="1" t="s">
        <v>1804</v>
      </c>
      <c r="G132" s="1" t="s">
        <v>1801</v>
      </c>
      <c r="H132" s="1" t="s">
        <v>1269</v>
      </c>
      <c r="I132" s="1" t="s">
        <v>1287</v>
      </c>
      <c r="J132" s="1" t="s">
        <v>1803</v>
      </c>
      <c r="K132" s="1" t="s">
        <v>1285</v>
      </c>
      <c r="L132" s="11"/>
    </row>
    <row r="133" spans="1:12">
      <c r="A133" s="11" t="str">
        <f>_xlfn.XLOOKUP(표14[[#This Row],[material_name]],표2[material_name],표2[material_id])</f>
        <v>M034</v>
      </c>
      <c r="B133" s="11" t="str">
        <f>_xlfn.XLOOKUP(표14[[#This Row],[application_taxonomy]],표11[application_taxonomy],표11[app_id])</f>
        <v>A32</v>
      </c>
      <c r="C133" s="11" t="str">
        <f>_xlfn.XLOOKUP(표14[[#This Row],[end_use_industry]],표13[end_use_category],표13[end_use_id])</f>
        <v>E02</v>
      </c>
      <c r="D133" s="11">
        <f>_xlfn.XLOOKUP(표14[[#This Row],[importance]],표15[importance],표15[rating])</f>
        <v>0.3</v>
      </c>
      <c r="E133" s="1" t="s">
        <v>1799</v>
      </c>
      <c r="F133" s="1" t="s">
        <v>1802</v>
      </c>
      <c r="G133" s="1" t="s">
        <v>1801</v>
      </c>
      <c r="H133" s="1" t="s">
        <v>1278</v>
      </c>
      <c r="I133" s="1" t="s">
        <v>1287</v>
      </c>
      <c r="J133" s="1" t="s">
        <v>1800</v>
      </c>
      <c r="K133" s="1" t="s">
        <v>1285</v>
      </c>
      <c r="L133" s="11"/>
    </row>
    <row r="134" spans="1:12" ht="33">
      <c r="A134" s="11" t="str">
        <f>_xlfn.XLOOKUP(표14[[#This Row],[material_name]],표2[material_name],표2[material_id])</f>
        <v>M034</v>
      </c>
      <c r="B134" s="11" t="str">
        <f>_xlfn.XLOOKUP(표14[[#This Row],[application_taxonomy]],표11[application_taxonomy],표11[app_id])</f>
        <v>A34</v>
      </c>
      <c r="C134" s="11" t="str">
        <f>_xlfn.XLOOKUP(표14[[#This Row],[end_use_industry]],표13[end_use_category],표13[end_use_id])</f>
        <v>E06</v>
      </c>
      <c r="D134" s="11">
        <f>_xlfn.XLOOKUP(표14[[#This Row],[importance]],표15[importance],표15[rating])</f>
        <v>0.1</v>
      </c>
      <c r="E134" s="1" t="s">
        <v>1799</v>
      </c>
      <c r="F134" s="1" t="s">
        <v>1798</v>
      </c>
      <c r="G134" s="1" t="s">
        <v>1797</v>
      </c>
      <c r="H134" s="1" t="s">
        <v>1266</v>
      </c>
      <c r="I134" s="1" t="s">
        <v>1302</v>
      </c>
      <c r="J134" s="1" t="s">
        <v>1796</v>
      </c>
      <c r="K134" s="1" t="s">
        <v>1285</v>
      </c>
      <c r="L134" s="11"/>
    </row>
    <row r="135" spans="1:12" ht="33">
      <c r="A135" s="11" t="str">
        <f>_xlfn.XLOOKUP(표14[[#This Row],[material_name]],표2[material_name],표2[material_id])</f>
        <v>M035</v>
      </c>
      <c r="B135" s="11" t="str">
        <f>_xlfn.XLOOKUP(표14[[#This Row],[application_taxonomy]],표11[application_taxonomy],표11[app_id])</f>
        <v>A01</v>
      </c>
      <c r="C135" s="11" t="str">
        <f>_xlfn.XLOOKUP(표14[[#This Row],[end_use_industry]],표13[end_use_category],표13[end_use_id])</f>
        <v>E07</v>
      </c>
      <c r="D135" s="11">
        <f>_xlfn.XLOOKUP(표14[[#This Row],[importance]],표15[importance],표15[rating])</f>
        <v>0.6</v>
      </c>
      <c r="E135" s="1" t="s">
        <v>1034</v>
      </c>
      <c r="F135" s="1" t="s">
        <v>1095</v>
      </c>
      <c r="G135" s="1" t="s">
        <v>1313</v>
      </c>
      <c r="H135" s="1" t="s">
        <v>1263</v>
      </c>
      <c r="I135" s="1" t="s">
        <v>1298</v>
      </c>
      <c r="J135" s="1" t="s">
        <v>1795</v>
      </c>
      <c r="K135" s="1" t="s">
        <v>1285</v>
      </c>
      <c r="L135" s="11"/>
    </row>
    <row r="136" spans="1:12" ht="33">
      <c r="A136" s="11" t="str">
        <f>_xlfn.XLOOKUP(표14[[#This Row],[material_name]],표2[material_name],표2[material_id])</f>
        <v>M035</v>
      </c>
      <c r="B136" s="11" t="str">
        <f>_xlfn.XLOOKUP(표14[[#This Row],[application_taxonomy]],표11[application_taxonomy],표11[app_id])</f>
        <v>A01</v>
      </c>
      <c r="C136" s="11" t="str">
        <f>_xlfn.XLOOKUP(표14[[#This Row],[end_use_industry]],표13[end_use_category],표13[end_use_id])</f>
        <v>E07</v>
      </c>
      <c r="D136" s="11">
        <f>_xlfn.XLOOKUP(표14[[#This Row],[importance]],표15[importance],표15[rating])</f>
        <v>0.6</v>
      </c>
      <c r="E136" s="1" t="s">
        <v>1034</v>
      </c>
      <c r="F136" s="1" t="s">
        <v>1794</v>
      </c>
      <c r="G136" s="1" t="s">
        <v>1313</v>
      </c>
      <c r="H136" s="1" t="s">
        <v>1263</v>
      </c>
      <c r="I136" s="1" t="s">
        <v>1298</v>
      </c>
      <c r="J136" s="1" t="s">
        <v>1793</v>
      </c>
      <c r="K136" s="1" t="s">
        <v>1285</v>
      </c>
      <c r="L136" s="11"/>
    </row>
    <row r="137" spans="1:12" ht="33">
      <c r="A137" s="11" t="str">
        <f>_xlfn.XLOOKUP(표14[[#This Row],[material_name]],표2[material_name],표2[material_id])</f>
        <v>M035</v>
      </c>
      <c r="B137" s="11" t="str">
        <f>_xlfn.XLOOKUP(표14[[#This Row],[application_taxonomy]],표11[application_taxonomy],표11[app_id])</f>
        <v>A02</v>
      </c>
      <c r="C137" s="11" t="str">
        <f>_xlfn.XLOOKUP(표14[[#This Row],[end_use_industry]],표13[end_use_category],표13[end_use_id])</f>
        <v>E07</v>
      </c>
      <c r="D137" s="11">
        <f>_xlfn.XLOOKUP(표14[[#This Row],[importance]],표15[importance],표15[rating])</f>
        <v>0.3</v>
      </c>
      <c r="E137" s="1" t="s">
        <v>1034</v>
      </c>
      <c r="F137" s="1" t="s">
        <v>1792</v>
      </c>
      <c r="G137" s="1" t="s">
        <v>1308</v>
      </c>
      <c r="H137" s="1" t="s">
        <v>1263</v>
      </c>
      <c r="I137" s="1" t="s">
        <v>1287</v>
      </c>
      <c r="J137" s="1" t="s">
        <v>1791</v>
      </c>
      <c r="K137" s="1" t="s">
        <v>1285</v>
      </c>
      <c r="L137" s="11"/>
    </row>
    <row r="138" spans="1:12" ht="33">
      <c r="A138" s="11" t="str">
        <f>_xlfn.XLOOKUP(표14[[#This Row],[material_name]],표2[material_name],표2[material_id])</f>
        <v>M035</v>
      </c>
      <c r="B138" s="11" t="str">
        <f>_xlfn.XLOOKUP(표14[[#This Row],[application_taxonomy]],표11[application_taxonomy],표11[app_id])</f>
        <v>A02</v>
      </c>
      <c r="C138" s="11" t="str">
        <f>_xlfn.XLOOKUP(표14[[#This Row],[end_use_industry]],표13[end_use_category],표13[end_use_id])</f>
        <v>E07</v>
      </c>
      <c r="D138" s="11">
        <f>_xlfn.XLOOKUP(표14[[#This Row],[importance]],표15[importance],표15[rating])</f>
        <v>0.6</v>
      </c>
      <c r="E138" s="1" t="s">
        <v>1034</v>
      </c>
      <c r="F138" s="1" t="s">
        <v>1316</v>
      </c>
      <c r="G138" s="1" t="s">
        <v>1308</v>
      </c>
      <c r="H138" s="1" t="s">
        <v>1263</v>
      </c>
      <c r="I138" s="1" t="s">
        <v>1298</v>
      </c>
      <c r="J138" s="1" t="s">
        <v>1790</v>
      </c>
      <c r="K138" s="1" t="s">
        <v>1285</v>
      </c>
      <c r="L138" s="11"/>
    </row>
    <row r="139" spans="1:12" ht="33">
      <c r="A139" s="11" t="str">
        <f>_xlfn.XLOOKUP(표14[[#This Row],[material_name]],표2[material_name],표2[material_id])</f>
        <v>M035</v>
      </c>
      <c r="B139" s="11" t="str">
        <f>_xlfn.XLOOKUP(표14[[#This Row],[application_taxonomy]],표11[application_taxonomy],표11[app_id])</f>
        <v>A01</v>
      </c>
      <c r="C139" s="11" t="str">
        <f>_xlfn.XLOOKUP(표14[[#This Row],[end_use_industry]],표13[end_use_category],표13[end_use_id])</f>
        <v>E07</v>
      </c>
      <c r="D139" s="11">
        <f>_xlfn.XLOOKUP(표14[[#This Row],[importance]],표15[importance],표15[rating])</f>
        <v>0.3</v>
      </c>
      <c r="E139" s="1" t="s">
        <v>1034</v>
      </c>
      <c r="F139" s="1" t="s">
        <v>1314</v>
      </c>
      <c r="G139" s="1" t="s">
        <v>1313</v>
      </c>
      <c r="H139" s="1" t="s">
        <v>1263</v>
      </c>
      <c r="I139" s="1" t="s">
        <v>1287</v>
      </c>
      <c r="J139" s="1" t="s">
        <v>1789</v>
      </c>
      <c r="K139" s="1" t="s">
        <v>1285</v>
      </c>
      <c r="L139" s="11"/>
    </row>
    <row r="140" spans="1:12" ht="33">
      <c r="A140" s="11" t="str">
        <f>_xlfn.XLOOKUP(표14[[#This Row],[material_name]],표2[material_name],표2[material_id])</f>
        <v>M036</v>
      </c>
      <c r="B140" s="11" t="str">
        <f>_xlfn.XLOOKUP(표14[[#This Row],[application_taxonomy]],표11[application_taxonomy],표11[app_id])</f>
        <v>A38</v>
      </c>
      <c r="C140" s="11" t="str">
        <f>_xlfn.XLOOKUP(표14[[#This Row],[end_use_industry]],표13[end_use_category],표13[end_use_id])</f>
        <v>E01</v>
      </c>
      <c r="D140" s="11">
        <f>_xlfn.XLOOKUP(표14[[#This Row],[importance]],표15[importance],표15[rating])</f>
        <v>0.6</v>
      </c>
      <c r="E140" s="1" t="s">
        <v>1787</v>
      </c>
      <c r="F140" s="1" t="s">
        <v>1543</v>
      </c>
      <c r="G140" s="1" t="s">
        <v>1434</v>
      </c>
      <c r="H140" s="1" t="s">
        <v>1281</v>
      </c>
      <c r="I140" s="1" t="s">
        <v>1298</v>
      </c>
      <c r="J140" s="1" t="s">
        <v>1788</v>
      </c>
      <c r="K140" s="1" t="s">
        <v>1285</v>
      </c>
      <c r="L140" s="11"/>
    </row>
    <row r="141" spans="1:12" ht="33">
      <c r="A141" s="11" t="str">
        <f>_xlfn.XLOOKUP(표14[[#This Row],[material_name]],표2[material_name],표2[material_id])</f>
        <v>M036</v>
      </c>
      <c r="B141" s="11" t="str">
        <f>_xlfn.XLOOKUP(표14[[#This Row],[application_taxonomy]],표11[application_taxonomy],표11[app_id])</f>
        <v>A03</v>
      </c>
      <c r="C141" s="11" t="str">
        <f>_xlfn.XLOOKUP(표14[[#This Row],[end_use_industry]],표13[end_use_category],표13[end_use_id])</f>
        <v>E07</v>
      </c>
      <c r="D141" s="11">
        <f>_xlfn.XLOOKUP(표14[[#This Row],[importance]],표15[importance],표15[rating])</f>
        <v>0.6</v>
      </c>
      <c r="E141" s="1" t="s">
        <v>1787</v>
      </c>
      <c r="F141" s="1" t="s">
        <v>1786</v>
      </c>
      <c r="G141" s="1" t="s">
        <v>1380</v>
      </c>
      <c r="H141" s="1" t="s">
        <v>1263</v>
      </c>
      <c r="I141" s="1" t="s">
        <v>1298</v>
      </c>
      <c r="J141" s="1" t="s">
        <v>1785</v>
      </c>
      <c r="K141" s="1" t="s">
        <v>1285</v>
      </c>
      <c r="L141" s="11"/>
    </row>
    <row r="142" spans="1:12" ht="33">
      <c r="A142" s="11" t="str">
        <f>_xlfn.XLOOKUP(표14[[#This Row],[material_name]],표2[material_name],표2[material_id])</f>
        <v>M037</v>
      </c>
      <c r="B142" s="11" t="str">
        <f>_xlfn.XLOOKUP(표14[[#This Row],[application_taxonomy]],표11[application_taxonomy],표11[app_id])</f>
        <v>A01</v>
      </c>
      <c r="C142" s="11" t="str">
        <f>_xlfn.XLOOKUP(표14[[#This Row],[end_use_industry]],표13[end_use_category],표13[end_use_id])</f>
        <v>E07</v>
      </c>
      <c r="D142" s="11">
        <f>_xlfn.XLOOKUP(표14[[#This Row],[importance]],표15[importance],표15[rating])</f>
        <v>0.6</v>
      </c>
      <c r="E142" s="1" t="s">
        <v>1782</v>
      </c>
      <c r="F142" s="1" t="s">
        <v>1784</v>
      </c>
      <c r="G142" s="1" t="s">
        <v>1254</v>
      </c>
      <c r="H142" s="1" t="s">
        <v>1263</v>
      </c>
      <c r="I142" s="1" t="s">
        <v>1298</v>
      </c>
      <c r="J142" s="1" t="s">
        <v>1783</v>
      </c>
      <c r="K142" s="1" t="s">
        <v>1285</v>
      </c>
      <c r="L142" s="11"/>
    </row>
    <row r="143" spans="1:12" ht="33">
      <c r="A143" s="11" t="str">
        <f>_xlfn.XLOOKUP(표14[[#This Row],[material_name]],표2[material_name],표2[material_id])</f>
        <v>M037</v>
      </c>
      <c r="B143" s="11" t="str">
        <f>_xlfn.XLOOKUP(표14[[#This Row],[application_taxonomy]],표11[application_taxonomy],표11[app_id])</f>
        <v>A24</v>
      </c>
      <c r="C143" s="11" t="str">
        <f>_xlfn.XLOOKUP(표14[[#This Row],[end_use_industry]],표13[end_use_category],표13[end_use_id])</f>
        <v>E07</v>
      </c>
      <c r="D143" s="11">
        <f>_xlfn.XLOOKUP(표14[[#This Row],[importance]],표15[importance],표15[rating])</f>
        <v>0.6</v>
      </c>
      <c r="E143" s="1" t="s">
        <v>1782</v>
      </c>
      <c r="F143" s="1" t="s">
        <v>1781</v>
      </c>
      <c r="G143" s="1" t="s">
        <v>1303</v>
      </c>
      <c r="H143" s="1" t="s">
        <v>1263</v>
      </c>
      <c r="I143" s="1" t="s">
        <v>1298</v>
      </c>
      <c r="J143" s="1" t="s">
        <v>1780</v>
      </c>
      <c r="K143" s="1" t="s">
        <v>1285</v>
      </c>
      <c r="L143" s="11"/>
    </row>
    <row r="144" spans="1:12" ht="33">
      <c r="A144" s="11" t="str">
        <f>_xlfn.XLOOKUP(표14[[#This Row],[material_name]],표2[material_name],표2[material_id])</f>
        <v>M038</v>
      </c>
      <c r="B144" s="11" t="str">
        <f>_xlfn.XLOOKUP(표14[[#This Row],[application_taxonomy]],표11[application_taxonomy],표11[app_id])</f>
        <v>A24</v>
      </c>
      <c r="C144" s="11" t="str">
        <f>_xlfn.XLOOKUP(표14[[#This Row],[end_use_industry]],표13[end_use_category],표13[end_use_id])</f>
        <v>E07</v>
      </c>
      <c r="D144" s="11">
        <f>_xlfn.XLOOKUP(표14[[#This Row],[importance]],표15[importance],표15[rating])</f>
        <v>0.6</v>
      </c>
      <c r="E144" s="1" t="s">
        <v>1779</v>
      </c>
      <c r="F144" s="1" t="s">
        <v>1778</v>
      </c>
      <c r="G144" s="1" t="s">
        <v>1303</v>
      </c>
      <c r="H144" s="1" t="s">
        <v>1263</v>
      </c>
      <c r="I144" s="1" t="s">
        <v>1298</v>
      </c>
      <c r="J144" s="1" t="s">
        <v>1777</v>
      </c>
      <c r="K144" s="1" t="s">
        <v>1285</v>
      </c>
      <c r="L144" s="11"/>
    </row>
    <row r="145" spans="1:12" ht="33">
      <c r="A145" s="11" t="str">
        <f>_xlfn.XLOOKUP(표14[[#This Row],[material_name]],표2[material_name],표2[material_id])</f>
        <v>M039</v>
      </c>
      <c r="B145" s="11" t="str">
        <f>_xlfn.XLOOKUP(표14[[#This Row],[application_taxonomy]],표11[application_taxonomy],표11[app_id])</f>
        <v>A01</v>
      </c>
      <c r="C145" s="11" t="str">
        <f>_xlfn.XLOOKUP(표14[[#This Row],[end_use_industry]],표13[end_use_category],표13[end_use_id])</f>
        <v>E07</v>
      </c>
      <c r="D145" s="11">
        <f>_xlfn.XLOOKUP(표14[[#This Row],[importance]],표15[importance],표15[rating])</f>
        <v>0.6</v>
      </c>
      <c r="E145" s="1" t="s">
        <v>1773</v>
      </c>
      <c r="F145" s="1" t="s">
        <v>105</v>
      </c>
      <c r="G145" s="1" t="s">
        <v>1254</v>
      </c>
      <c r="H145" s="1" t="s">
        <v>1263</v>
      </c>
      <c r="I145" s="1" t="s">
        <v>1298</v>
      </c>
      <c r="J145" s="1" t="s">
        <v>1776</v>
      </c>
      <c r="K145" s="1" t="s">
        <v>1285</v>
      </c>
      <c r="L145" s="11"/>
    </row>
    <row r="146" spans="1:12" ht="33">
      <c r="A146" s="11" t="str">
        <f>_xlfn.XLOOKUP(표14[[#This Row],[material_name]],표2[material_name],표2[material_id])</f>
        <v>M039</v>
      </c>
      <c r="B146" s="11" t="str">
        <f>_xlfn.XLOOKUP(표14[[#This Row],[application_taxonomy]],표11[application_taxonomy],표11[app_id])</f>
        <v>A28</v>
      </c>
      <c r="C146" s="11" t="str">
        <f>_xlfn.XLOOKUP(표14[[#This Row],[end_use_industry]],표13[end_use_category],표13[end_use_id])</f>
        <v>E07</v>
      </c>
      <c r="D146" s="11">
        <f>_xlfn.XLOOKUP(표14[[#This Row],[importance]],표15[importance],표15[rating])</f>
        <v>0.6</v>
      </c>
      <c r="E146" s="1" t="s">
        <v>1773</v>
      </c>
      <c r="F146" s="1" t="s">
        <v>1775</v>
      </c>
      <c r="G146" s="1" t="s">
        <v>1360</v>
      </c>
      <c r="H146" s="1" t="s">
        <v>1263</v>
      </c>
      <c r="I146" s="1" t="s">
        <v>1298</v>
      </c>
      <c r="J146" s="1" t="s">
        <v>1774</v>
      </c>
      <c r="K146" s="1" t="s">
        <v>1285</v>
      </c>
      <c r="L146" s="11"/>
    </row>
    <row r="147" spans="1:12" ht="33">
      <c r="A147" s="11" t="str">
        <f>_xlfn.XLOOKUP(표14[[#This Row],[material_name]],표2[material_name],표2[material_id])</f>
        <v>M039</v>
      </c>
      <c r="B147" s="11" t="str">
        <f>_xlfn.XLOOKUP(표14[[#This Row],[application_taxonomy]],표11[application_taxonomy],표11[app_id])</f>
        <v>A24</v>
      </c>
      <c r="C147" s="11" t="str">
        <f>_xlfn.XLOOKUP(표14[[#This Row],[end_use_industry]],표13[end_use_category],표13[end_use_id])</f>
        <v>E07</v>
      </c>
      <c r="D147" s="11">
        <f>_xlfn.XLOOKUP(표14[[#This Row],[importance]],표15[importance],표15[rating])</f>
        <v>0.3</v>
      </c>
      <c r="E147" s="1" t="s">
        <v>1773</v>
      </c>
      <c r="F147" s="1" t="s">
        <v>1772</v>
      </c>
      <c r="G147" s="1" t="s">
        <v>1303</v>
      </c>
      <c r="H147" s="1" t="s">
        <v>1263</v>
      </c>
      <c r="I147" s="1" t="s">
        <v>1287</v>
      </c>
      <c r="J147" s="1" t="s">
        <v>1771</v>
      </c>
      <c r="K147" s="1" t="s">
        <v>1285</v>
      </c>
      <c r="L147" s="11"/>
    </row>
    <row r="148" spans="1:12" ht="33">
      <c r="A148" s="11" t="str">
        <f>_xlfn.XLOOKUP(표14[[#This Row],[material_name]],표2[material_name],표2[material_id])</f>
        <v>M040</v>
      </c>
      <c r="B148" s="11" t="str">
        <f>_xlfn.XLOOKUP(표14[[#This Row],[application_taxonomy]],표11[application_taxonomy],표11[app_id])</f>
        <v>A24</v>
      </c>
      <c r="C148" s="11" t="str">
        <f>_xlfn.XLOOKUP(표14[[#This Row],[end_use_industry]],표13[end_use_category],표13[end_use_id])</f>
        <v>E07</v>
      </c>
      <c r="D148" s="11">
        <f>_xlfn.XLOOKUP(표14[[#This Row],[importance]],표15[importance],표15[rating])</f>
        <v>0.6</v>
      </c>
      <c r="E148" s="1" t="s">
        <v>1770</v>
      </c>
      <c r="F148" s="1" t="s">
        <v>1470</v>
      </c>
      <c r="G148" s="1" t="s">
        <v>1303</v>
      </c>
      <c r="H148" s="1" t="s">
        <v>1263</v>
      </c>
      <c r="I148" s="1" t="s">
        <v>1298</v>
      </c>
      <c r="J148" s="1" t="s">
        <v>1769</v>
      </c>
      <c r="K148" s="1" t="s">
        <v>1285</v>
      </c>
      <c r="L148" s="11"/>
    </row>
    <row r="149" spans="1:12" ht="49.5">
      <c r="A149" s="11" t="str">
        <f>_xlfn.XLOOKUP(표14[[#This Row],[material_name]],표2[material_name],표2[material_id])</f>
        <v>M041</v>
      </c>
      <c r="B149" s="11" t="str">
        <f>_xlfn.XLOOKUP(표14[[#This Row],[application_taxonomy]],표11[application_taxonomy],표11[app_id])</f>
        <v>A24</v>
      </c>
      <c r="C149" s="11" t="str">
        <f>_xlfn.XLOOKUP(표14[[#This Row],[end_use_industry]],표13[end_use_category],표13[end_use_id])</f>
        <v>E07</v>
      </c>
      <c r="D149" s="11">
        <f>_xlfn.XLOOKUP(표14[[#This Row],[importance]],표15[importance],표15[rating])</f>
        <v>0.6</v>
      </c>
      <c r="E149" s="1" t="s">
        <v>970</v>
      </c>
      <c r="F149" s="1" t="s">
        <v>1768</v>
      </c>
      <c r="G149" s="1" t="s">
        <v>1303</v>
      </c>
      <c r="H149" s="1" t="s">
        <v>1263</v>
      </c>
      <c r="I149" s="1" t="s">
        <v>1298</v>
      </c>
      <c r="J149" s="1" t="s">
        <v>1767</v>
      </c>
      <c r="K149" s="1" t="s">
        <v>1285</v>
      </c>
      <c r="L149" s="11"/>
    </row>
    <row r="150" spans="1:12" ht="49.5">
      <c r="A150" s="11" t="str">
        <f>_xlfn.XLOOKUP(표14[[#This Row],[material_name]],표2[material_name],표2[material_id])</f>
        <v>M041</v>
      </c>
      <c r="B150" s="11" t="str">
        <f>_xlfn.XLOOKUP(표14[[#This Row],[application_taxonomy]],표11[application_taxonomy],표11[app_id])</f>
        <v>A40</v>
      </c>
      <c r="C150" s="11" t="str">
        <f>_xlfn.XLOOKUP(표14[[#This Row],[end_use_industry]],표13[end_use_category],표13[end_use_id])</f>
        <v>E08</v>
      </c>
      <c r="D150" s="11">
        <f>_xlfn.XLOOKUP(표14[[#This Row],[importance]],표15[importance],표15[rating])</f>
        <v>0.1</v>
      </c>
      <c r="E150" s="1" t="s">
        <v>970</v>
      </c>
      <c r="F150" s="1" t="s">
        <v>1766</v>
      </c>
      <c r="G150" s="1" t="s">
        <v>1519</v>
      </c>
      <c r="H150" s="1" t="s">
        <v>1260</v>
      </c>
      <c r="I150" s="1" t="s">
        <v>1428</v>
      </c>
      <c r="J150" s="1" t="s">
        <v>1765</v>
      </c>
      <c r="K150" s="1" t="s">
        <v>1285</v>
      </c>
      <c r="L150" s="11"/>
    </row>
    <row r="151" spans="1:12" ht="33">
      <c r="A151" s="11" t="str">
        <f>_xlfn.XLOOKUP(표14[[#This Row],[material_name]],표2[material_name],표2[material_id])</f>
        <v>M041</v>
      </c>
      <c r="B151" s="11" t="str">
        <f>_xlfn.XLOOKUP(표14[[#This Row],[application_taxonomy]],표11[application_taxonomy],표11[app_id])</f>
        <v>A01</v>
      </c>
      <c r="C151" s="11" t="str">
        <f>_xlfn.XLOOKUP(표14[[#This Row],[end_use_industry]],표13[end_use_category],표13[end_use_id])</f>
        <v>E07</v>
      </c>
      <c r="D151" s="11">
        <f>_xlfn.XLOOKUP(표14[[#This Row],[importance]],표15[importance],표15[rating])</f>
        <v>0.3</v>
      </c>
      <c r="E151" s="1" t="s">
        <v>970</v>
      </c>
      <c r="F151" s="1" t="s">
        <v>106</v>
      </c>
      <c r="G151" s="1" t="s">
        <v>1254</v>
      </c>
      <c r="H151" s="1" t="s">
        <v>1263</v>
      </c>
      <c r="I151" s="1" t="s">
        <v>1287</v>
      </c>
      <c r="J151" s="1" t="s">
        <v>1764</v>
      </c>
      <c r="K151" s="1" t="s">
        <v>1285</v>
      </c>
      <c r="L151" s="11"/>
    </row>
    <row r="152" spans="1:12" ht="49.5">
      <c r="A152" s="11" t="str">
        <f>_xlfn.XLOOKUP(표14[[#This Row],[material_name]],표2[material_name],표2[material_id])</f>
        <v>M041</v>
      </c>
      <c r="B152" s="11" t="str">
        <f>_xlfn.XLOOKUP(표14[[#This Row],[application_taxonomy]],표11[application_taxonomy],표11[app_id])</f>
        <v>A31</v>
      </c>
      <c r="C152" s="11" t="str">
        <f>_xlfn.XLOOKUP(표14[[#This Row],[end_use_industry]],표13[end_use_category],표13[end_use_id])</f>
        <v>E02</v>
      </c>
      <c r="D152" s="11">
        <f>_xlfn.XLOOKUP(표14[[#This Row],[importance]],표15[importance],표15[rating])</f>
        <v>0.3</v>
      </c>
      <c r="E152" s="1" t="s">
        <v>970</v>
      </c>
      <c r="F152" s="1" t="s">
        <v>1763</v>
      </c>
      <c r="G152" s="1" t="s">
        <v>1754</v>
      </c>
      <c r="H152" s="1" t="s">
        <v>1278</v>
      </c>
      <c r="I152" s="1" t="s">
        <v>1287</v>
      </c>
      <c r="J152" s="1" t="s">
        <v>1762</v>
      </c>
      <c r="K152" s="1" t="s">
        <v>1285</v>
      </c>
      <c r="L152" s="11"/>
    </row>
    <row r="153" spans="1:12" ht="33">
      <c r="A153" s="11" t="str">
        <f>_xlfn.XLOOKUP(표14[[#This Row],[material_name]],표2[material_name],표2[material_id])</f>
        <v>M041</v>
      </c>
      <c r="B153" s="11" t="str">
        <f>_xlfn.XLOOKUP(표14[[#This Row],[application_taxonomy]],표11[application_taxonomy],표11[app_id])</f>
        <v>A33</v>
      </c>
      <c r="C153" s="11" t="str">
        <f>_xlfn.XLOOKUP(표14[[#This Row],[end_use_industry]],표13[end_use_category],표13[end_use_id])</f>
        <v>E05</v>
      </c>
      <c r="D153" s="11">
        <f>_xlfn.XLOOKUP(표14[[#This Row],[importance]],표15[importance],표15[rating])</f>
        <v>0.3</v>
      </c>
      <c r="E153" s="1" t="s">
        <v>970</v>
      </c>
      <c r="F153" s="1" t="s">
        <v>1761</v>
      </c>
      <c r="G153" s="1" t="s">
        <v>1333</v>
      </c>
      <c r="H153" s="1" t="s">
        <v>1269</v>
      </c>
      <c r="I153" s="1" t="s">
        <v>1287</v>
      </c>
      <c r="J153" s="1" t="s">
        <v>1760</v>
      </c>
      <c r="K153" s="1" t="s">
        <v>1285</v>
      </c>
      <c r="L153" s="11"/>
    </row>
    <row r="154" spans="1:12" ht="33">
      <c r="A154" s="11" t="str">
        <f>_xlfn.XLOOKUP(표14[[#This Row],[material_name]],표2[material_name],표2[material_id])</f>
        <v>M042</v>
      </c>
      <c r="B154" s="11" t="str">
        <f>_xlfn.XLOOKUP(표14[[#This Row],[application_taxonomy]],표11[application_taxonomy],표11[app_id])</f>
        <v>A24</v>
      </c>
      <c r="C154" s="11" t="str">
        <f>_xlfn.XLOOKUP(표14[[#This Row],[end_use_industry]],표13[end_use_category],표13[end_use_id])</f>
        <v>E07</v>
      </c>
      <c r="D154" s="11">
        <f>_xlfn.XLOOKUP(표14[[#This Row],[importance]],표15[importance],표15[rating])</f>
        <v>0.6</v>
      </c>
      <c r="E154" s="1" t="s">
        <v>106</v>
      </c>
      <c r="F154" s="1" t="s">
        <v>1759</v>
      </c>
      <c r="G154" s="1" t="s">
        <v>1303</v>
      </c>
      <c r="H154" s="1" t="s">
        <v>1263</v>
      </c>
      <c r="I154" s="1" t="s">
        <v>1298</v>
      </c>
      <c r="J154" s="1" t="s">
        <v>1758</v>
      </c>
      <c r="K154" s="1" t="s">
        <v>1285</v>
      </c>
      <c r="L154" s="11"/>
    </row>
    <row r="155" spans="1:12" ht="33">
      <c r="A155" s="11" t="str">
        <f>_xlfn.XLOOKUP(표14[[#This Row],[material_name]],표2[material_name],표2[material_id])</f>
        <v>M042</v>
      </c>
      <c r="B155" s="11" t="str">
        <f>_xlfn.XLOOKUP(표14[[#This Row],[application_taxonomy]],표11[application_taxonomy],표11[app_id])</f>
        <v>A23</v>
      </c>
      <c r="C155" s="11" t="str">
        <f>_xlfn.XLOOKUP(표14[[#This Row],[end_use_industry]],표13[end_use_category],표13[end_use_id])</f>
        <v>E07</v>
      </c>
      <c r="D155" s="11">
        <f>_xlfn.XLOOKUP(표14[[#This Row],[importance]],표15[importance],표15[rating])</f>
        <v>0.3</v>
      </c>
      <c r="E155" s="1" t="s">
        <v>106</v>
      </c>
      <c r="F155" s="1" t="s">
        <v>1757</v>
      </c>
      <c r="G155" s="1" t="s">
        <v>1566</v>
      </c>
      <c r="H155" s="1" t="s">
        <v>1263</v>
      </c>
      <c r="I155" s="1" t="s">
        <v>1287</v>
      </c>
      <c r="J155" s="1" t="s">
        <v>1756</v>
      </c>
      <c r="K155" s="1" t="s">
        <v>1285</v>
      </c>
      <c r="L155" s="11"/>
    </row>
    <row r="156" spans="1:12" ht="33">
      <c r="A156" s="11" t="str">
        <f>_xlfn.XLOOKUP(표14[[#This Row],[material_name]],표2[material_name],표2[material_id])</f>
        <v>M042</v>
      </c>
      <c r="B156" s="11" t="str">
        <f>_xlfn.XLOOKUP(표14[[#This Row],[application_taxonomy]],표11[application_taxonomy],표11[app_id])</f>
        <v>A31</v>
      </c>
      <c r="C156" s="11" t="str">
        <f>_xlfn.XLOOKUP(표14[[#This Row],[end_use_industry]],표13[end_use_category],표13[end_use_id])</f>
        <v>E02</v>
      </c>
      <c r="D156" s="11">
        <f>_xlfn.XLOOKUP(표14[[#This Row],[importance]],표15[importance],표15[rating])</f>
        <v>0.1</v>
      </c>
      <c r="E156" s="1" t="s">
        <v>106</v>
      </c>
      <c r="F156" s="1" t="s">
        <v>1755</v>
      </c>
      <c r="G156" s="1" t="s">
        <v>1754</v>
      </c>
      <c r="H156" s="1" t="s">
        <v>1278</v>
      </c>
      <c r="I156" s="1" t="s">
        <v>1302</v>
      </c>
      <c r="J156" s="1" t="s">
        <v>1753</v>
      </c>
      <c r="K156" s="1" t="s">
        <v>1285</v>
      </c>
      <c r="L156" s="11"/>
    </row>
    <row r="157" spans="1:12" ht="33">
      <c r="A157" s="11" t="str">
        <f>_xlfn.XLOOKUP(표14[[#This Row],[material_name]],표2[material_name],표2[material_id])</f>
        <v>M043</v>
      </c>
      <c r="B157" s="11" t="str">
        <f>_xlfn.XLOOKUP(표14[[#This Row],[application_taxonomy]],표11[application_taxonomy],표11[app_id])</f>
        <v>A01</v>
      </c>
      <c r="C157" s="11" t="str">
        <f>_xlfn.XLOOKUP(표14[[#This Row],[end_use_industry]],표13[end_use_category],표13[end_use_id])</f>
        <v>E07</v>
      </c>
      <c r="D157" s="11">
        <f>_xlfn.XLOOKUP(표14[[#This Row],[importance]],표15[importance],표15[rating])</f>
        <v>0.6</v>
      </c>
      <c r="E157" s="1" t="s">
        <v>25</v>
      </c>
      <c r="F157" s="1" t="s">
        <v>1752</v>
      </c>
      <c r="G157" s="1" t="s">
        <v>1254</v>
      </c>
      <c r="H157" s="1" t="s">
        <v>1263</v>
      </c>
      <c r="I157" s="1" t="s">
        <v>1298</v>
      </c>
      <c r="J157" s="1" t="s">
        <v>1751</v>
      </c>
      <c r="K157" s="1" t="s">
        <v>1285</v>
      </c>
      <c r="L157" s="11"/>
    </row>
    <row r="158" spans="1:12" ht="33">
      <c r="A158" s="11" t="str">
        <f>_xlfn.XLOOKUP(표14[[#This Row],[material_name]],표2[material_name],표2[material_id])</f>
        <v>M043</v>
      </c>
      <c r="B158" s="11" t="str">
        <f>_xlfn.XLOOKUP(표14[[#This Row],[application_taxonomy]],표11[application_taxonomy],표11[app_id])</f>
        <v>A01</v>
      </c>
      <c r="C158" s="11" t="str">
        <f>_xlfn.XLOOKUP(표14[[#This Row],[end_use_industry]],표13[end_use_category],표13[end_use_id])</f>
        <v>E07</v>
      </c>
      <c r="D158" s="11">
        <f>_xlfn.XLOOKUP(표14[[#This Row],[importance]],표15[importance],표15[rating])</f>
        <v>0.6</v>
      </c>
      <c r="E158" s="1" t="s">
        <v>25</v>
      </c>
      <c r="F158" s="1" t="s">
        <v>1750</v>
      </c>
      <c r="G158" s="1" t="s">
        <v>1254</v>
      </c>
      <c r="H158" s="1" t="s">
        <v>1263</v>
      </c>
      <c r="I158" s="1" t="s">
        <v>1298</v>
      </c>
      <c r="J158" s="1" t="s">
        <v>1749</v>
      </c>
      <c r="K158" s="1" t="s">
        <v>1285</v>
      </c>
      <c r="L158" s="11"/>
    </row>
    <row r="159" spans="1:12" ht="33">
      <c r="A159" s="11" t="str">
        <f>_xlfn.XLOOKUP(표14[[#This Row],[material_name]],표2[material_name],표2[material_id])</f>
        <v>M043</v>
      </c>
      <c r="B159" s="11" t="str">
        <f>_xlfn.XLOOKUP(표14[[#This Row],[application_taxonomy]],표11[application_taxonomy],표11[app_id])</f>
        <v>A01</v>
      </c>
      <c r="C159" s="11" t="str">
        <f>_xlfn.XLOOKUP(표14[[#This Row],[end_use_industry]],표13[end_use_category],표13[end_use_id])</f>
        <v>E07</v>
      </c>
      <c r="D159" s="11">
        <f>_xlfn.XLOOKUP(표14[[#This Row],[importance]],표15[importance],표15[rating])</f>
        <v>0.3</v>
      </c>
      <c r="E159" s="1" t="s">
        <v>25</v>
      </c>
      <c r="F159" s="1" t="s">
        <v>1748</v>
      </c>
      <c r="G159" s="1" t="s">
        <v>1254</v>
      </c>
      <c r="H159" s="1" t="s">
        <v>1263</v>
      </c>
      <c r="I159" s="1" t="s">
        <v>1287</v>
      </c>
      <c r="J159" s="1" t="s">
        <v>1747</v>
      </c>
      <c r="K159" s="1" t="s">
        <v>1285</v>
      </c>
      <c r="L159" s="11"/>
    </row>
    <row r="160" spans="1:12" ht="33">
      <c r="A160" s="11" t="str">
        <f>_xlfn.XLOOKUP(표14[[#This Row],[material_name]],표2[material_name],표2[material_id])</f>
        <v>M043</v>
      </c>
      <c r="B160" s="11" t="str">
        <f>_xlfn.XLOOKUP(표14[[#This Row],[application_taxonomy]],표11[application_taxonomy],표11[app_id])</f>
        <v>A01</v>
      </c>
      <c r="C160" s="11" t="str">
        <f>_xlfn.XLOOKUP(표14[[#This Row],[end_use_industry]],표13[end_use_category],표13[end_use_id])</f>
        <v>E07</v>
      </c>
      <c r="D160" s="11">
        <f>_xlfn.XLOOKUP(표14[[#This Row],[importance]],표15[importance],표15[rating])</f>
        <v>0.3</v>
      </c>
      <c r="E160" s="1" t="s">
        <v>25</v>
      </c>
      <c r="F160" s="1" t="s">
        <v>1746</v>
      </c>
      <c r="G160" s="1" t="s">
        <v>1254</v>
      </c>
      <c r="H160" s="1" t="s">
        <v>1263</v>
      </c>
      <c r="I160" s="1" t="s">
        <v>1287</v>
      </c>
      <c r="J160" s="1" t="s">
        <v>1745</v>
      </c>
      <c r="K160" s="1" t="s">
        <v>1285</v>
      </c>
      <c r="L160" s="11"/>
    </row>
    <row r="161" spans="1:12" ht="33">
      <c r="A161" s="11" t="str">
        <f>_xlfn.XLOOKUP(표14[[#This Row],[material_name]],표2[material_name],표2[material_id])</f>
        <v>M043</v>
      </c>
      <c r="B161" s="11" t="str">
        <f>_xlfn.XLOOKUP(표14[[#This Row],[application_taxonomy]],표11[application_taxonomy],표11[app_id])</f>
        <v>A01</v>
      </c>
      <c r="C161" s="11" t="str">
        <f>_xlfn.XLOOKUP(표14[[#This Row],[end_use_industry]],표13[end_use_category],표13[end_use_id])</f>
        <v>E07</v>
      </c>
      <c r="D161" s="11">
        <f>_xlfn.XLOOKUP(표14[[#This Row],[importance]],표15[importance],표15[rating])</f>
        <v>0.3</v>
      </c>
      <c r="E161" s="1" t="s">
        <v>25</v>
      </c>
      <c r="F161" s="1" t="s">
        <v>1682</v>
      </c>
      <c r="G161" s="1" t="s">
        <v>1254</v>
      </c>
      <c r="H161" s="1" t="s">
        <v>1263</v>
      </c>
      <c r="I161" s="1" t="s">
        <v>1287</v>
      </c>
      <c r="J161" s="1" t="s">
        <v>1744</v>
      </c>
      <c r="K161" s="1" t="s">
        <v>1285</v>
      </c>
      <c r="L161" s="11"/>
    </row>
    <row r="162" spans="1:12" ht="33">
      <c r="A162" s="11" t="str">
        <f>_xlfn.XLOOKUP(표14[[#This Row],[material_name]],표2[material_name],표2[material_id])</f>
        <v>M043</v>
      </c>
      <c r="B162" s="11" t="str">
        <f>_xlfn.XLOOKUP(표14[[#This Row],[application_taxonomy]],표11[application_taxonomy],표11[app_id])</f>
        <v>A01</v>
      </c>
      <c r="C162" s="11" t="str">
        <f>_xlfn.XLOOKUP(표14[[#This Row],[end_use_industry]],표13[end_use_category],표13[end_use_id])</f>
        <v>E07</v>
      </c>
      <c r="D162" s="11">
        <f>_xlfn.XLOOKUP(표14[[#This Row],[importance]],표15[importance],표15[rating])</f>
        <v>0.3</v>
      </c>
      <c r="E162" s="1" t="s">
        <v>25</v>
      </c>
      <c r="F162" s="1" t="s">
        <v>1743</v>
      </c>
      <c r="G162" s="1" t="s">
        <v>1254</v>
      </c>
      <c r="H162" s="1" t="s">
        <v>1263</v>
      </c>
      <c r="I162" s="1" t="s">
        <v>1287</v>
      </c>
      <c r="J162" s="1" t="s">
        <v>1742</v>
      </c>
      <c r="K162" s="1" t="s">
        <v>1285</v>
      </c>
      <c r="L162" s="11"/>
    </row>
    <row r="163" spans="1:12">
      <c r="A163" s="11" t="str">
        <f>_xlfn.XLOOKUP(표14[[#This Row],[material_name]],표2[material_name],표2[material_id])</f>
        <v>M044</v>
      </c>
      <c r="B163" s="11" t="str">
        <f>_xlfn.XLOOKUP(표14[[#This Row],[application_taxonomy]],표11[application_taxonomy],표11[app_id])</f>
        <v>A19</v>
      </c>
      <c r="C163" s="11" t="str">
        <f>_xlfn.XLOOKUP(표14[[#This Row],[end_use_industry]],표13[end_use_category],표13[end_use_id])</f>
        <v>E03</v>
      </c>
      <c r="D163" s="11">
        <f>_xlfn.XLOOKUP(표14[[#This Row],[importance]],표15[importance],표15[rating])</f>
        <v>0.6</v>
      </c>
      <c r="E163" s="1" t="s">
        <v>1737</v>
      </c>
      <c r="F163" s="1" t="s">
        <v>1741</v>
      </c>
      <c r="G163" s="1" t="s">
        <v>1340</v>
      </c>
      <c r="H163" s="1" t="s">
        <v>1275</v>
      </c>
      <c r="I163" s="1" t="s">
        <v>1298</v>
      </c>
      <c r="J163" s="1" t="s">
        <v>1740</v>
      </c>
      <c r="K163" s="1" t="s">
        <v>1285</v>
      </c>
      <c r="L163" s="11"/>
    </row>
    <row r="164" spans="1:12">
      <c r="A164" s="11" t="str">
        <f>_xlfn.XLOOKUP(표14[[#This Row],[material_name]],표2[material_name],표2[material_id])</f>
        <v>M044</v>
      </c>
      <c r="B164" s="11" t="str">
        <f>_xlfn.XLOOKUP(표14[[#This Row],[application_taxonomy]],표11[application_taxonomy],표11[app_id])</f>
        <v>A38</v>
      </c>
      <c r="C164" s="11" t="str">
        <f>_xlfn.XLOOKUP(표14[[#This Row],[end_use_industry]],표13[end_use_category],표13[end_use_id])</f>
        <v>E02</v>
      </c>
      <c r="D164" s="11">
        <f>_xlfn.XLOOKUP(표14[[#This Row],[importance]],표15[importance],표15[rating])</f>
        <v>0.3</v>
      </c>
      <c r="E164" s="1" t="s">
        <v>1737</v>
      </c>
      <c r="F164" s="1" t="s">
        <v>1739</v>
      </c>
      <c r="G164" s="1" t="s">
        <v>1434</v>
      </c>
      <c r="H164" s="1" t="s">
        <v>1278</v>
      </c>
      <c r="I164" s="1" t="s">
        <v>1287</v>
      </c>
      <c r="J164" s="1" t="s">
        <v>1738</v>
      </c>
      <c r="K164" s="1" t="s">
        <v>1285</v>
      </c>
      <c r="L164" s="11"/>
    </row>
    <row r="165" spans="1:12" ht="33">
      <c r="A165" s="11" t="str">
        <f>_xlfn.XLOOKUP(표14[[#This Row],[material_name]],표2[material_name],표2[material_id])</f>
        <v>M044</v>
      </c>
      <c r="B165" s="11" t="str">
        <f>_xlfn.XLOOKUP(표14[[#This Row],[application_taxonomy]],표11[application_taxonomy],표11[app_id])</f>
        <v>A19</v>
      </c>
      <c r="C165" s="11" t="str">
        <f>_xlfn.XLOOKUP(표14[[#This Row],[end_use_industry]],표13[end_use_category],표13[end_use_id])</f>
        <v>E07</v>
      </c>
      <c r="D165" s="11">
        <f>_xlfn.XLOOKUP(표14[[#This Row],[importance]],표15[importance],표15[rating])</f>
        <v>0.3</v>
      </c>
      <c r="E165" s="1" t="s">
        <v>1737</v>
      </c>
      <c r="F165" s="1" t="s">
        <v>1736</v>
      </c>
      <c r="G165" s="1" t="s">
        <v>1340</v>
      </c>
      <c r="H165" s="1" t="s">
        <v>1263</v>
      </c>
      <c r="I165" s="1" t="s">
        <v>1287</v>
      </c>
      <c r="J165" s="1" t="s">
        <v>1735</v>
      </c>
      <c r="K165" s="1" t="s">
        <v>1285</v>
      </c>
      <c r="L165" s="11"/>
    </row>
    <row r="166" spans="1:12">
      <c r="A166" s="11" t="str">
        <f>_xlfn.XLOOKUP(표14[[#This Row],[material_name]],표2[material_name],표2[material_id])</f>
        <v>M045</v>
      </c>
      <c r="B166" s="11" t="str">
        <f>_xlfn.XLOOKUP(표14[[#This Row],[application_taxonomy]],표11[application_taxonomy],표11[app_id])</f>
        <v>A19</v>
      </c>
      <c r="C166" s="11" t="str">
        <f>_xlfn.XLOOKUP(표14[[#This Row],[end_use_industry]],표13[end_use_category],표13[end_use_id])</f>
        <v>E03</v>
      </c>
      <c r="D166" s="11">
        <f>_xlfn.XLOOKUP(표14[[#This Row],[importance]],표15[importance],표15[rating])</f>
        <v>0.6</v>
      </c>
      <c r="E166" s="1" t="s">
        <v>108</v>
      </c>
      <c r="F166" s="1" t="s">
        <v>1734</v>
      </c>
      <c r="G166" s="1" t="s">
        <v>1340</v>
      </c>
      <c r="H166" s="1" t="s">
        <v>1275</v>
      </c>
      <c r="I166" s="1" t="s">
        <v>1298</v>
      </c>
      <c r="J166" s="1" t="s">
        <v>1733</v>
      </c>
      <c r="K166" s="1" t="s">
        <v>1285</v>
      </c>
      <c r="L166" s="11"/>
    </row>
    <row r="167" spans="1:12" ht="33">
      <c r="A167" s="11" t="str">
        <f>_xlfn.XLOOKUP(표14[[#This Row],[material_name]],표2[material_name],표2[material_id])</f>
        <v>M045</v>
      </c>
      <c r="B167" s="11" t="str">
        <f>_xlfn.XLOOKUP(표14[[#This Row],[application_taxonomy]],표11[application_taxonomy],표11[app_id])</f>
        <v>A19</v>
      </c>
      <c r="C167" s="11" t="str">
        <f>_xlfn.XLOOKUP(표14[[#This Row],[end_use_industry]],표13[end_use_category],표13[end_use_id])</f>
        <v>E07</v>
      </c>
      <c r="D167" s="11">
        <f>_xlfn.XLOOKUP(표14[[#This Row],[importance]],표15[importance],표15[rating])</f>
        <v>0.3</v>
      </c>
      <c r="E167" s="1" t="s">
        <v>108</v>
      </c>
      <c r="F167" s="1" t="s">
        <v>1732</v>
      </c>
      <c r="G167" s="1" t="s">
        <v>1340</v>
      </c>
      <c r="H167" s="1" t="s">
        <v>1263</v>
      </c>
      <c r="I167" s="1" t="s">
        <v>1287</v>
      </c>
      <c r="J167" s="1" t="s">
        <v>1731</v>
      </c>
      <c r="K167" s="1" t="s">
        <v>1285</v>
      </c>
      <c r="L167" s="11"/>
    </row>
    <row r="168" spans="1:12" ht="33">
      <c r="A168" s="11" t="str">
        <f>_xlfn.XLOOKUP(표14[[#This Row],[material_name]],표2[material_name],표2[material_id])</f>
        <v>M045</v>
      </c>
      <c r="B168" s="11" t="str">
        <f>_xlfn.XLOOKUP(표14[[#This Row],[application_taxonomy]],표11[application_taxonomy],표11[app_id])</f>
        <v>A16</v>
      </c>
      <c r="C168" s="11" t="str">
        <f>_xlfn.XLOOKUP(표14[[#This Row],[end_use_industry]],표13[end_use_category],표13[end_use_id])</f>
        <v>E03</v>
      </c>
      <c r="D168" s="11">
        <f>_xlfn.XLOOKUP(표14[[#This Row],[importance]],표15[importance],표15[rating])</f>
        <v>0.3</v>
      </c>
      <c r="E168" s="1" t="s">
        <v>108</v>
      </c>
      <c r="F168" s="1" t="s">
        <v>1730</v>
      </c>
      <c r="G168" s="1" t="s">
        <v>1295</v>
      </c>
      <c r="H168" s="1" t="s">
        <v>1275</v>
      </c>
      <c r="I168" s="1" t="s">
        <v>1287</v>
      </c>
      <c r="J168" s="1" t="s">
        <v>1729</v>
      </c>
      <c r="K168" s="1" t="s">
        <v>1285</v>
      </c>
      <c r="L168" s="11"/>
    </row>
    <row r="169" spans="1:12" ht="33">
      <c r="A169" s="11" t="str">
        <f>_xlfn.XLOOKUP(표14[[#This Row],[material_name]],표2[material_name],표2[material_id])</f>
        <v>M045</v>
      </c>
      <c r="B169" s="11" t="str">
        <f>_xlfn.XLOOKUP(표14[[#This Row],[application_taxonomy]],표11[application_taxonomy],표11[app_id])</f>
        <v>A20</v>
      </c>
      <c r="C169" s="11" t="str">
        <f>_xlfn.XLOOKUP(표14[[#This Row],[end_use_industry]],표13[end_use_category],표13[end_use_id])</f>
        <v>E02</v>
      </c>
      <c r="D169" s="11">
        <f>_xlfn.XLOOKUP(표14[[#This Row],[importance]],표15[importance],표15[rating])</f>
        <v>0.1</v>
      </c>
      <c r="E169" s="1" t="s">
        <v>108</v>
      </c>
      <c r="F169" s="1" t="s">
        <v>1728</v>
      </c>
      <c r="G169" s="1" t="s">
        <v>1328</v>
      </c>
      <c r="H169" s="1" t="s">
        <v>1278</v>
      </c>
      <c r="I169" s="1" t="s">
        <v>1302</v>
      </c>
      <c r="J169" s="1" t="s">
        <v>1727</v>
      </c>
      <c r="K169" s="1" t="s">
        <v>1285</v>
      </c>
      <c r="L169" s="11"/>
    </row>
    <row r="170" spans="1:12" ht="33">
      <c r="A170" s="11" t="str">
        <f>_xlfn.XLOOKUP(표14[[#This Row],[material_name]],표2[material_name],표2[material_id])</f>
        <v>M046</v>
      </c>
      <c r="B170" s="11" t="str">
        <f>_xlfn.XLOOKUP(표14[[#This Row],[application_taxonomy]],표11[application_taxonomy],표11[app_id])</f>
        <v>A01</v>
      </c>
      <c r="C170" s="11" t="str">
        <f>_xlfn.XLOOKUP(표14[[#This Row],[end_use_industry]],표13[end_use_category],표13[end_use_id])</f>
        <v>E07</v>
      </c>
      <c r="D170" s="11">
        <f>_xlfn.XLOOKUP(표14[[#This Row],[importance]],표15[importance],표15[rating])</f>
        <v>0.6</v>
      </c>
      <c r="E170" s="1" t="s">
        <v>26</v>
      </c>
      <c r="F170" s="1" t="s">
        <v>111</v>
      </c>
      <c r="G170" s="1" t="s">
        <v>1254</v>
      </c>
      <c r="H170" s="1" t="s">
        <v>1263</v>
      </c>
      <c r="I170" s="1" t="s">
        <v>1298</v>
      </c>
      <c r="J170" s="1" t="s">
        <v>1726</v>
      </c>
      <c r="K170" s="1" t="s">
        <v>1285</v>
      </c>
      <c r="L170" s="11"/>
    </row>
    <row r="171" spans="1:12" ht="33">
      <c r="A171" s="11" t="str">
        <f>_xlfn.XLOOKUP(표14[[#This Row],[material_name]],표2[material_name],표2[material_id])</f>
        <v>M046</v>
      </c>
      <c r="B171" s="11" t="str">
        <f>_xlfn.XLOOKUP(표14[[#This Row],[application_taxonomy]],표11[application_taxonomy],표11[app_id])</f>
        <v>A01</v>
      </c>
      <c r="C171" s="11" t="str">
        <f>_xlfn.XLOOKUP(표14[[#This Row],[end_use_industry]],표13[end_use_category],표13[end_use_id])</f>
        <v>E07</v>
      </c>
      <c r="D171" s="11">
        <f>_xlfn.XLOOKUP(표14[[#This Row],[importance]],표15[importance],표15[rating])</f>
        <v>0.3</v>
      </c>
      <c r="E171" s="1" t="s">
        <v>26</v>
      </c>
      <c r="F171" s="1" t="s">
        <v>1725</v>
      </c>
      <c r="G171" s="1" t="s">
        <v>1254</v>
      </c>
      <c r="H171" s="1" t="s">
        <v>1263</v>
      </c>
      <c r="I171" s="1" t="s">
        <v>1287</v>
      </c>
      <c r="J171" s="1" t="s">
        <v>1724</v>
      </c>
      <c r="K171" s="1" t="s">
        <v>1285</v>
      </c>
      <c r="L171" s="11"/>
    </row>
    <row r="172" spans="1:12">
      <c r="A172" s="11" t="str">
        <f>_xlfn.XLOOKUP(표14[[#This Row],[material_name]],표2[material_name],표2[material_id])</f>
        <v>M046</v>
      </c>
      <c r="B172" s="11" t="str">
        <f>_xlfn.XLOOKUP(표14[[#This Row],[application_taxonomy]],표11[application_taxonomy],표11[app_id])</f>
        <v>A43</v>
      </c>
      <c r="C172" s="11" t="str">
        <f>_xlfn.XLOOKUP(표14[[#This Row],[end_use_industry]],표13[end_use_category],표13[end_use_id])</f>
        <v>E04</v>
      </c>
      <c r="D172" s="11">
        <f>_xlfn.XLOOKUP(표14[[#This Row],[importance]],표15[importance],표15[rating])</f>
        <v>0.3</v>
      </c>
      <c r="E172" s="1" t="s">
        <v>26</v>
      </c>
      <c r="F172" s="1" t="s">
        <v>1723</v>
      </c>
      <c r="G172" s="1" t="s">
        <v>1709</v>
      </c>
      <c r="H172" s="1" t="s">
        <v>1272</v>
      </c>
      <c r="I172" s="1" t="s">
        <v>1287</v>
      </c>
      <c r="J172" s="1" t="s">
        <v>1722</v>
      </c>
      <c r="K172" s="1" t="s">
        <v>1285</v>
      </c>
      <c r="L172" s="11"/>
    </row>
    <row r="173" spans="1:12" ht="33">
      <c r="A173" s="11" t="str">
        <f>_xlfn.XLOOKUP(표14[[#This Row],[material_name]],표2[material_name],표2[material_id])</f>
        <v>M047</v>
      </c>
      <c r="B173" s="11" t="str">
        <f>_xlfn.XLOOKUP(표14[[#This Row],[application_taxonomy]],표11[application_taxonomy],표11[app_id])</f>
        <v>A28</v>
      </c>
      <c r="C173" s="11" t="str">
        <f>_xlfn.XLOOKUP(표14[[#This Row],[end_use_industry]],표13[end_use_category],표13[end_use_id])</f>
        <v>E07</v>
      </c>
      <c r="D173" s="11">
        <f>_xlfn.XLOOKUP(표14[[#This Row],[importance]],표15[importance],표15[rating])</f>
        <v>0.6</v>
      </c>
      <c r="E173" s="1" t="s">
        <v>110</v>
      </c>
      <c r="F173" s="1" t="s">
        <v>1721</v>
      </c>
      <c r="G173" s="1" t="s">
        <v>1360</v>
      </c>
      <c r="H173" s="1" t="s">
        <v>1263</v>
      </c>
      <c r="I173" s="1" t="s">
        <v>1298</v>
      </c>
      <c r="J173" s="1" t="s">
        <v>1720</v>
      </c>
      <c r="K173" s="1" t="s">
        <v>1285</v>
      </c>
      <c r="L173" s="11" t="s">
        <v>1317</v>
      </c>
    </row>
    <row r="174" spans="1:12" ht="33">
      <c r="A174" s="11" t="str">
        <f>_xlfn.XLOOKUP(표14[[#This Row],[material_name]],표2[material_name],표2[material_id])</f>
        <v>M047</v>
      </c>
      <c r="B174" s="11" t="str">
        <f>_xlfn.XLOOKUP(표14[[#This Row],[application_taxonomy]],표11[application_taxonomy],표11[app_id])</f>
        <v>A20</v>
      </c>
      <c r="C174" s="11" t="str">
        <f>_xlfn.XLOOKUP(표14[[#This Row],[end_use_industry]],표13[end_use_category],표13[end_use_id])</f>
        <v>E07</v>
      </c>
      <c r="D174" s="11">
        <f>_xlfn.XLOOKUP(표14[[#This Row],[importance]],표15[importance],표15[rating])</f>
        <v>0.3</v>
      </c>
      <c r="E174" s="1" t="s">
        <v>110</v>
      </c>
      <c r="F174" s="1" t="s">
        <v>1468</v>
      </c>
      <c r="G174" s="1" t="s">
        <v>1328</v>
      </c>
      <c r="H174" s="1" t="s">
        <v>1263</v>
      </c>
      <c r="I174" s="1" t="s">
        <v>1287</v>
      </c>
      <c r="J174" s="1" t="s">
        <v>1719</v>
      </c>
      <c r="K174" s="1" t="s">
        <v>1285</v>
      </c>
      <c r="L174" s="11" t="s">
        <v>1317</v>
      </c>
    </row>
    <row r="175" spans="1:12">
      <c r="A175" s="11" t="str">
        <f>_xlfn.XLOOKUP(표14[[#This Row],[material_name]],표2[material_name],표2[material_id])</f>
        <v>M047</v>
      </c>
      <c r="B175" s="11" t="str">
        <f>_xlfn.XLOOKUP(표14[[#This Row],[application_taxonomy]],표11[application_taxonomy],표11[app_id])</f>
        <v>A13</v>
      </c>
      <c r="C175" s="11" t="str">
        <f>_xlfn.XLOOKUP(표14[[#This Row],[end_use_industry]],표13[end_use_category],표13[end_use_id])</f>
        <v>E04</v>
      </c>
      <c r="D175" s="11">
        <f>_xlfn.XLOOKUP(표14[[#This Row],[importance]],표15[importance],표15[rating])</f>
        <v>0.3</v>
      </c>
      <c r="E175" s="1" t="s">
        <v>110</v>
      </c>
      <c r="F175" s="1" t="s">
        <v>1718</v>
      </c>
      <c r="G175" s="1" t="s">
        <v>1409</v>
      </c>
      <c r="H175" s="1" t="s">
        <v>1272</v>
      </c>
      <c r="I175" s="1" t="s">
        <v>1287</v>
      </c>
      <c r="J175" s="1" t="s">
        <v>1717</v>
      </c>
      <c r="K175" s="1" t="s">
        <v>1285</v>
      </c>
      <c r="L175" s="11" t="s">
        <v>1317</v>
      </c>
    </row>
    <row r="176" spans="1:12">
      <c r="A176" s="11" t="str">
        <f>_xlfn.XLOOKUP(표14[[#This Row],[material_name]],표2[material_name],표2[material_id])</f>
        <v>M048</v>
      </c>
      <c r="B176" s="11" t="str">
        <f>_xlfn.XLOOKUP(표14[[#This Row],[application_taxonomy]],표11[application_taxonomy],표11[app_id])</f>
        <v>A09</v>
      </c>
      <c r="C176" s="11" t="str">
        <f>_xlfn.XLOOKUP(표14[[#This Row],[end_use_industry]],표13[end_use_category],표13[end_use_id])</f>
        <v>E01</v>
      </c>
      <c r="D176" s="11">
        <f>_xlfn.XLOOKUP(표14[[#This Row],[importance]],표15[importance],표15[rating])</f>
        <v>0.6</v>
      </c>
      <c r="E176" s="1" t="s">
        <v>115</v>
      </c>
      <c r="F176" s="1" t="s">
        <v>1716</v>
      </c>
      <c r="G176" s="1" t="s">
        <v>1402</v>
      </c>
      <c r="H176" s="1" t="s">
        <v>1281</v>
      </c>
      <c r="I176" s="1" t="s">
        <v>1298</v>
      </c>
      <c r="J176" s="1" t="s">
        <v>1715</v>
      </c>
      <c r="K176" s="1" t="s">
        <v>1285</v>
      </c>
      <c r="L176" s="11" t="s">
        <v>1317</v>
      </c>
    </row>
    <row r="177" spans="1:12" ht="33">
      <c r="A177" s="11" t="str">
        <f>_xlfn.XLOOKUP(표14[[#This Row],[material_name]],표2[material_name],표2[material_id])</f>
        <v>M048</v>
      </c>
      <c r="B177" s="11" t="str">
        <f>_xlfn.XLOOKUP(표14[[#This Row],[application_taxonomy]],표11[application_taxonomy],표11[app_id])</f>
        <v>A05</v>
      </c>
      <c r="C177" s="11" t="str">
        <f>_xlfn.XLOOKUP(표14[[#This Row],[end_use_industry]],표13[end_use_category],표13[end_use_id])</f>
        <v>E02</v>
      </c>
      <c r="D177" s="11">
        <f>_xlfn.XLOOKUP(표14[[#This Row],[importance]],표15[importance],표15[rating])</f>
        <v>0.3</v>
      </c>
      <c r="E177" s="1" t="s">
        <v>115</v>
      </c>
      <c r="F177" s="1" t="s">
        <v>1714</v>
      </c>
      <c r="G177" s="1" t="s">
        <v>1322</v>
      </c>
      <c r="H177" s="1" t="s">
        <v>1278</v>
      </c>
      <c r="I177" s="1" t="s">
        <v>1287</v>
      </c>
      <c r="J177" s="1" t="s">
        <v>1713</v>
      </c>
      <c r="K177" s="1" t="s">
        <v>1285</v>
      </c>
      <c r="L177" s="11" t="s">
        <v>1317</v>
      </c>
    </row>
    <row r="178" spans="1:12">
      <c r="A178" s="11" t="str">
        <f>_xlfn.XLOOKUP(표14[[#This Row],[material_name]],표2[material_name],표2[material_id])</f>
        <v>M048</v>
      </c>
      <c r="B178" s="11" t="str">
        <f>_xlfn.XLOOKUP(표14[[#This Row],[application_taxonomy]],표11[application_taxonomy],표11[app_id])</f>
        <v>A20</v>
      </c>
      <c r="C178" s="11" t="str">
        <f>_xlfn.XLOOKUP(표14[[#This Row],[end_use_industry]],표13[end_use_category],표13[end_use_id])</f>
        <v>E02</v>
      </c>
      <c r="D178" s="11">
        <f>_xlfn.XLOOKUP(표14[[#This Row],[importance]],표15[importance],표15[rating])</f>
        <v>0.3</v>
      </c>
      <c r="E178" s="1" t="s">
        <v>115</v>
      </c>
      <c r="F178" s="1" t="s">
        <v>1712</v>
      </c>
      <c r="G178" s="1" t="s">
        <v>1328</v>
      </c>
      <c r="H178" s="1" t="s">
        <v>1278</v>
      </c>
      <c r="I178" s="1" t="s">
        <v>1287</v>
      </c>
      <c r="J178" s="1" t="s">
        <v>1711</v>
      </c>
      <c r="K178" s="1" t="s">
        <v>1285</v>
      </c>
      <c r="L178" s="11" t="s">
        <v>1317</v>
      </c>
    </row>
    <row r="179" spans="1:12">
      <c r="A179" s="11" t="str">
        <f>_xlfn.XLOOKUP(표14[[#This Row],[material_name]],표2[material_name],표2[material_id])</f>
        <v>M049</v>
      </c>
      <c r="B179" s="11" t="str">
        <f>_xlfn.XLOOKUP(표14[[#This Row],[application_taxonomy]],표11[application_taxonomy],표11[app_id])</f>
        <v>A43</v>
      </c>
      <c r="C179" s="11" t="str">
        <f>_xlfn.XLOOKUP(표14[[#This Row],[end_use_industry]],표13[end_use_category],표13[end_use_id])</f>
        <v>E04</v>
      </c>
      <c r="D179" s="11">
        <f>_xlfn.XLOOKUP(표14[[#This Row],[importance]],표15[importance],표15[rating])</f>
        <v>0.6</v>
      </c>
      <c r="E179" s="1" t="s">
        <v>111</v>
      </c>
      <c r="F179" s="1" t="s">
        <v>1710</v>
      </c>
      <c r="G179" s="1" t="s">
        <v>1709</v>
      </c>
      <c r="H179" s="1" t="s">
        <v>1272</v>
      </c>
      <c r="I179" s="1" t="s">
        <v>1298</v>
      </c>
      <c r="J179" s="1" t="s">
        <v>1708</v>
      </c>
      <c r="K179" s="1" t="s">
        <v>1285</v>
      </c>
      <c r="L179" s="11"/>
    </row>
    <row r="180" spans="1:12" ht="33">
      <c r="A180" s="11" t="str">
        <f>_xlfn.XLOOKUP(표14[[#This Row],[material_name]],표2[material_name],표2[material_id])</f>
        <v>M049</v>
      </c>
      <c r="B180" s="11" t="str">
        <f>_xlfn.XLOOKUP(표14[[#This Row],[application_taxonomy]],표11[application_taxonomy],표11[app_id])</f>
        <v>A01</v>
      </c>
      <c r="C180" s="11" t="str">
        <f>_xlfn.XLOOKUP(표14[[#This Row],[end_use_industry]],표13[end_use_category],표13[end_use_id])</f>
        <v>E07</v>
      </c>
      <c r="D180" s="11">
        <f>_xlfn.XLOOKUP(표14[[#This Row],[importance]],표15[importance],표15[rating])</f>
        <v>0.3</v>
      </c>
      <c r="E180" s="1" t="s">
        <v>111</v>
      </c>
      <c r="F180" s="1" t="s">
        <v>1707</v>
      </c>
      <c r="G180" s="1" t="s">
        <v>1254</v>
      </c>
      <c r="H180" s="1" t="s">
        <v>1263</v>
      </c>
      <c r="I180" s="1" t="s">
        <v>1287</v>
      </c>
      <c r="J180" s="1" t="s">
        <v>1706</v>
      </c>
      <c r="K180" s="1" t="s">
        <v>1285</v>
      </c>
      <c r="L180" s="11"/>
    </row>
    <row r="181" spans="1:12" ht="33">
      <c r="A181" s="11" t="str">
        <f>_xlfn.XLOOKUP(표14[[#This Row],[material_name]],표2[material_name],표2[material_id])</f>
        <v>M049</v>
      </c>
      <c r="B181" s="11" t="str">
        <f>_xlfn.XLOOKUP(표14[[#This Row],[application_taxonomy]],표11[application_taxonomy],표11[app_id])</f>
        <v>A24</v>
      </c>
      <c r="C181" s="11" t="str">
        <f>_xlfn.XLOOKUP(표14[[#This Row],[end_use_industry]],표13[end_use_category],표13[end_use_id])</f>
        <v>E05</v>
      </c>
      <c r="D181" s="11">
        <f>_xlfn.XLOOKUP(표14[[#This Row],[importance]],표15[importance],표15[rating])</f>
        <v>0.1</v>
      </c>
      <c r="E181" s="1" t="s">
        <v>111</v>
      </c>
      <c r="F181" s="1" t="s">
        <v>1705</v>
      </c>
      <c r="G181" s="1" t="s">
        <v>1303</v>
      </c>
      <c r="H181" s="1" t="s">
        <v>1269</v>
      </c>
      <c r="I181" s="1" t="s">
        <v>1302</v>
      </c>
      <c r="J181" s="1" t="s">
        <v>1704</v>
      </c>
      <c r="K181" s="1" t="s">
        <v>1285</v>
      </c>
      <c r="L181" s="11"/>
    </row>
    <row r="182" spans="1:12" ht="33">
      <c r="A182" s="11" t="str">
        <f>_xlfn.XLOOKUP(표14[[#This Row],[material_name]],표2[material_name],표2[material_id])</f>
        <v>M050</v>
      </c>
      <c r="B182" s="11" t="str">
        <f>_xlfn.XLOOKUP(표14[[#This Row],[application_taxonomy]],표11[application_taxonomy],표11[app_id])</f>
        <v>A19</v>
      </c>
      <c r="C182" s="11" t="str">
        <f>_xlfn.XLOOKUP(표14[[#This Row],[end_use_industry]],표13[end_use_category],표13[end_use_id])</f>
        <v>E03</v>
      </c>
      <c r="D182" s="11">
        <f>_xlfn.XLOOKUP(표14[[#This Row],[importance]],표15[importance],표15[rating])</f>
        <v>0.6</v>
      </c>
      <c r="E182" s="1" t="s">
        <v>113</v>
      </c>
      <c r="F182" s="1" t="s">
        <v>1703</v>
      </c>
      <c r="G182" s="1" t="s">
        <v>1340</v>
      </c>
      <c r="H182" s="1" t="s">
        <v>1275</v>
      </c>
      <c r="I182" s="1" t="s">
        <v>1298</v>
      </c>
      <c r="J182" s="1" t="s">
        <v>1702</v>
      </c>
      <c r="K182" s="1" t="s">
        <v>1285</v>
      </c>
      <c r="L182" s="11"/>
    </row>
    <row r="183" spans="1:12" ht="33">
      <c r="A183" s="11" t="str">
        <f>_xlfn.XLOOKUP(표14[[#This Row],[material_name]],표2[material_name],표2[material_id])</f>
        <v>M050</v>
      </c>
      <c r="B183" s="11" t="str">
        <f>_xlfn.XLOOKUP(표14[[#This Row],[application_taxonomy]],표11[application_taxonomy],표11[app_id])</f>
        <v>A33</v>
      </c>
      <c r="C183" s="11" t="str">
        <f>_xlfn.XLOOKUP(표14[[#This Row],[end_use_industry]],표13[end_use_category],표13[end_use_id])</f>
        <v>E05</v>
      </c>
      <c r="D183" s="11">
        <f>_xlfn.XLOOKUP(표14[[#This Row],[importance]],표15[importance],표15[rating])</f>
        <v>0.3</v>
      </c>
      <c r="E183" s="1" t="s">
        <v>113</v>
      </c>
      <c r="F183" s="1" t="s">
        <v>1701</v>
      </c>
      <c r="G183" s="1" t="s">
        <v>1333</v>
      </c>
      <c r="H183" s="1" t="s">
        <v>1269</v>
      </c>
      <c r="I183" s="1" t="s">
        <v>1287</v>
      </c>
      <c r="J183" s="1" t="s">
        <v>1700</v>
      </c>
      <c r="K183" s="1" t="s">
        <v>1285</v>
      </c>
      <c r="L183" s="11"/>
    </row>
    <row r="184" spans="1:12" ht="33">
      <c r="A184" s="11" t="str">
        <f>_xlfn.XLOOKUP(표14[[#This Row],[material_name]],표2[material_name],표2[material_id])</f>
        <v>M050</v>
      </c>
      <c r="B184" s="11" t="str">
        <f>_xlfn.XLOOKUP(표14[[#This Row],[application_taxonomy]],표11[application_taxonomy],표11[app_id])</f>
        <v>A20</v>
      </c>
      <c r="C184" s="11" t="str">
        <f>_xlfn.XLOOKUP(표14[[#This Row],[end_use_industry]],표13[end_use_category],표13[end_use_id])</f>
        <v>E07</v>
      </c>
      <c r="D184" s="11">
        <f>_xlfn.XLOOKUP(표14[[#This Row],[importance]],표15[importance],표15[rating])</f>
        <v>0.3</v>
      </c>
      <c r="E184" s="1" t="s">
        <v>113</v>
      </c>
      <c r="F184" s="1" t="s">
        <v>1468</v>
      </c>
      <c r="G184" s="1" t="s">
        <v>1328</v>
      </c>
      <c r="H184" s="1" t="s">
        <v>1263</v>
      </c>
      <c r="I184" s="1" t="s">
        <v>1287</v>
      </c>
      <c r="J184" s="1" t="s">
        <v>1699</v>
      </c>
      <c r="K184" s="1" t="s">
        <v>1285</v>
      </c>
      <c r="L184" s="11"/>
    </row>
    <row r="185" spans="1:12" ht="33">
      <c r="A185" s="11" t="str">
        <f>_xlfn.XLOOKUP(표14[[#This Row],[material_name]],표2[material_name],표2[material_id])</f>
        <v>M050</v>
      </c>
      <c r="B185" s="11" t="str">
        <f>_xlfn.XLOOKUP(표14[[#This Row],[application_taxonomy]],표11[application_taxonomy],표11[app_id])</f>
        <v>A18</v>
      </c>
      <c r="C185" s="11" t="str">
        <f>_xlfn.XLOOKUP(표14[[#This Row],[end_use_industry]],표13[end_use_category],표13[end_use_id])</f>
        <v>E03</v>
      </c>
      <c r="D185" s="11">
        <f>_xlfn.XLOOKUP(표14[[#This Row],[importance]],표15[importance],표15[rating])</f>
        <v>0.3</v>
      </c>
      <c r="E185" s="1" t="s">
        <v>113</v>
      </c>
      <c r="F185" s="1" t="s">
        <v>1698</v>
      </c>
      <c r="G185" s="1" t="s">
        <v>1388</v>
      </c>
      <c r="H185" s="1" t="s">
        <v>1275</v>
      </c>
      <c r="I185" s="1" t="s">
        <v>1287</v>
      </c>
      <c r="J185" s="1" t="s">
        <v>1697</v>
      </c>
      <c r="K185" s="1" t="s">
        <v>1285</v>
      </c>
      <c r="L185" s="11"/>
    </row>
    <row r="186" spans="1:12">
      <c r="A186" s="11" t="str">
        <f>_xlfn.XLOOKUP(표14[[#This Row],[material_name]],표2[material_name],표2[material_id])</f>
        <v>M052</v>
      </c>
      <c r="B186" s="11" t="str">
        <f>_xlfn.XLOOKUP(표14[[#This Row],[application_taxonomy]],표11[application_taxonomy],표11[app_id])</f>
        <v>A03</v>
      </c>
      <c r="C186" s="11" t="str">
        <f>_xlfn.XLOOKUP(표14[[#This Row],[end_use_industry]],표13[end_use_category],표13[end_use_id])</f>
        <v>E02</v>
      </c>
      <c r="D186" s="11">
        <f>_xlfn.XLOOKUP(표14[[#This Row],[importance]],표15[importance],표15[rating])</f>
        <v>0.6</v>
      </c>
      <c r="E186" s="1" t="s">
        <v>15</v>
      </c>
      <c r="F186" s="1" t="s">
        <v>1696</v>
      </c>
      <c r="G186" s="1" t="s">
        <v>1380</v>
      </c>
      <c r="H186" s="1" t="s">
        <v>1278</v>
      </c>
      <c r="I186" s="1" t="s">
        <v>1298</v>
      </c>
      <c r="J186" s="1" t="s">
        <v>1695</v>
      </c>
      <c r="K186" s="1" t="s">
        <v>1285</v>
      </c>
      <c r="L186" s="11"/>
    </row>
    <row r="187" spans="1:12" ht="33">
      <c r="A187" s="11" t="str">
        <f>_xlfn.XLOOKUP(표14[[#This Row],[material_name]],표2[material_name],표2[material_id])</f>
        <v>M052</v>
      </c>
      <c r="B187" s="11" t="str">
        <f>_xlfn.XLOOKUP(표14[[#This Row],[application_taxonomy]],표11[application_taxonomy],표11[app_id])</f>
        <v>A01</v>
      </c>
      <c r="C187" s="11" t="str">
        <f>_xlfn.XLOOKUP(표14[[#This Row],[end_use_industry]],표13[end_use_category],표13[end_use_id])</f>
        <v>E07</v>
      </c>
      <c r="D187" s="11">
        <f>_xlfn.XLOOKUP(표14[[#This Row],[importance]],표15[importance],표15[rating])</f>
        <v>0.3</v>
      </c>
      <c r="E187" s="1" t="s">
        <v>15</v>
      </c>
      <c r="F187" s="1" t="s">
        <v>1694</v>
      </c>
      <c r="G187" s="1" t="s">
        <v>1254</v>
      </c>
      <c r="H187" s="1" t="s">
        <v>1263</v>
      </c>
      <c r="I187" s="1" t="s">
        <v>1287</v>
      </c>
      <c r="J187" s="1" t="s">
        <v>1693</v>
      </c>
      <c r="K187" s="1" t="s">
        <v>1285</v>
      </c>
      <c r="L187" s="11"/>
    </row>
    <row r="188" spans="1:12" ht="33">
      <c r="A188" s="11" t="str">
        <f>_xlfn.XLOOKUP(표14[[#This Row],[material_name]],표2[material_name],표2[material_id])</f>
        <v>M055</v>
      </c>
      <c r="B188" s="11" t="str">
        <f>_xlfn.XLOOKUP(표14[[#This Row],[application_taxonomy]],표11[application_taxonomy],표11[app_id])</f>
        <v>A01</v>
      </c>
      <c r="C188" s="11" t="str">
        <f>_xlfn.XLOOKUP(표14[[#This Row],[end_use_industry]],표13[end_use_category],표13[end_use_id])</f>
        <v>E07</v>
      </c>
      <c r="D188" s="11">
        <f>_xlfn.XLOOKUP(표14[[#This Row],[importance]],표15[importance],표15[rating])</f>
        <v>0.6</v>
      </c>
      <c r="E188" s="1" t="s">
        <v>19</v>
      </c>
      <c r="F188" s="1" t="s">
        <v>1692</v>
      </c>
      <c r="G188" s="1" t="s">
        <v>1313</v>
      </c>
      <c r="H188" s="1" t="s">
        <v>1263</v>
      </c>
      <c r="I188" s="1" t="s">
        <v>1298</v>
      </c>
      <c r="J188" s="1" t="s">
        <v>1691</v>
      </c>
      <c r="K188" s="1" t="s">
        <v>1285</v>
      </c>
      <c r="L188" s="11"/>
    </row>
    <row r="189" spans="1:12" ht="33">
      <c r="A189" s="11" t="str">
        <f>_xlfn.XLOOKUP(표14[[#This Row],[material_name]],표2[material_name],표2[material_id])</f>
        <v>M055</v>
      </c>
      <c r="B189" s="11" t="str">
        <f>_xlfn.XLOOKUP(표14[[#This Row],[application_taxonomy]],표11[application_taxonomy],표11[app_id])</f>
        <v>A24</v>
      </c>
      <c r="C189" s="11" t="str">
        <f>_xlfn.XLOOKUP(표14[[#This Row],[end_use_industry]],표13[end_use_category],표13[end_use_id])</f>
        <v>E07</v>
      </c>
      <c r="D189" s="11">
        <f>_xlfn.XLOOKUP(표14[[#This Row],[importance]],표15[importance],표15[rating])</f>
        <v>0.1</v>
      </c>
      <c r="E189" s="1" t="s">
        <v>19</v>
      </c>
      <c r="F189" s="1" t="s">
        <v>1690</v>
      </c>
      <c r="G189" s="1" t="s">
        <v>1303</v>
      </c>
      <c r="H189" s="1" t="s">
        <v>1263</v>
      </c>
      <c r="I189" s="1" t="s">
        <v>1302</v>
      </c>
      <c r="J189" s="1" t="s">
        <v>1689</v>
      </c>
      <c r="K189" s="1" t="s">
        <v>1285</v>
      </c>
      <c r="L189" s="11"/>
    </row>
    <row r="190" spans="1:12">
      <c r="A190" s="11" t="str">
        <f>_xlfn.XLOOKUP(표14[[#This Row],[material_name]],표2[material_name],표2[material_id])</f>
        <v>M056</v>
      </c>
      <c r="B190" s="11" t="str">
        <f>_xlfn.XLOOKUP(표14[[#This Row],[application_taxonomy]],표11[application_taxonomy],표11[app_id])</f>
        <v>A01</v>
      </c>
      <c r="C190" s="11" t="str">
        <f>_xlfn.XLOOKUP(표14[[#This Row],[end_use_industry]],표13[end_use_category],표13[end_use_id])</f>
        <v>E02</v>
      </c>
      <c r="D190" s="11">
        <f>_xlfn.XLOOKUP(표14[[#This Row],[importance]],표15[importance],표15[rating])</f>
        <v>0.6</v>
      </c>
      <c r="E190" s="1" t="s">
        <v>21</v>
      </c>
      <c r="F190" s="1" t="s">
        <v>23</v>
      </c>
      <c r="G190" s="1" t="s">
        <v>1254</v>
      </c>
      <c r="H190" s="1" t="s">
        <v>1278</v>
      </c>
      <c r="I190" s="1" t="s">
        <v>1298</v>
      </c>
      <c r="J190" s="1" t="s">
        <v>1688</v>
      </c>
      <c r="K190" s="1" t="s">
        <v>1285</v>
      </c>
      <c r="L190" s="11"/>
    </row>
    <row r="191" spans="1:12" ht="33">
      <c r="A191" s="11" t="str">
        <f>_xlfn.XLOOKUP(표14[[#This Row],[material_name]],표2[material_name],표2[material_id])</f>
        <v>M056</v>
      </c>
      <c r="B191" s="11" t="str">
        <f>_xlfn.XLOOKUP(표14[[#This Row],[application_taxonomy]],표11[application_taxonomy],표11[app_id])</f>
        <v>A01</v>
      </c>
      <c r="C191" s="11" t="str">
        <f>_xlfn.XLOOKUP(표14[[#This Row],[end_use_industry]],표13[end_use_category],표13[end_use_id])</f>
        <v>E01</v>
      </c>
      <c r="D191" s="11">
        <f>_xlfn.XLOOKUP(표14[[#This Row],[importance]],표15[importance],표15[rating])</f>
        <v>0.6</v>
      </c>
      <c r="E191" s="1" t="s">
        <v>21</v>
      </c>
      <c r="F191" s="1" t="s">
        <v>1687</v>
      </c>
      <c r="G191" s="1" t="s">
        <v>1254</v>
      </c>
      <c r="H191" s="1" t="s">
        <v>1281</v>
      </c>
      <c r="I191" s="1" t="s">
        <v>1298</v>
      </c>
      <c r="J191" s="1" t="s">
        <v>1686</v>
      </c>
      <c r="K191" s="1" t="s">
        <v>1285</v>
      </c>
      <c r="L191" s="11"/>
    </row>
    <row r="192" spans="1:12" ht="33">
      <c r="A192" s="11" t="str">
        <f>_xlfn.XLOOKUP(표14[[#This Row],[material_name]],표2[material_name],표2[material_id])</f>
        <v>M056</v>
      </c>
      <c r="B192" s="11" t="str">
        <f>_xlfn.XLOOKUP(표14[[#This Row],[application_taxonomy]],표11[application_taxonomy],표11[app_id])</f>
        <v>A01</v>
      </c>
      <c r="C192" s="11" t="str">
        <f>_xlfn.XLOOKUP(표14[[#This Row],[end_use_industry]],표13[end_use_category],표13[end_use_id])</f>
        <v>E03</v>
      </c>
      <c r="D192" s="11">
        <f>_xlfn.XLOOKUP(표14[[#This Row],[importance]],표15[importance],표15[rating])</f>
        <v>0.6</v>
      </c>
      <c r="E192" s="1" t="s">
        <v>21</v>
      </c>
      <c r="F192" s="1" t="s">
        <v>1685</v>
      </c>
      <c r="G192" s="1" t="s">
        <v>1254</v>
      </c>
      <c r="H192" s="1" t="s">
        <v>1275</v>
      </c>
      <c r="I192" s="1" t="s">
        <v>1298</v>
      </c>
      <c r="J192" s="1" t="s">
        <v>1684</v>
      </c>
      <c r="K192" s="1" t="s">
        <v>1285</v>
      </c>
      <c r="L192" s="11"/>
    </row>
    <row r="193" spans="1:12" ht="33">
      <c r="A193" s="11" t="str">
        <f>_xlfn.XLOOKUP(표14[[#This Row],[material_name]],표2[material_name],표2[material_id])</f>
        <v>M056</v>
      </c>
      <c r="B193" s="11" t="str">
        <f>_xlfn.XLOOKUP(표14[[#This Row],[application_taxonomy]],표11[application_taxonomy],표11[app_id])</f>
        <v>A01</v>
      </c>
      <c r="C193" s="11" t="str">
        <f>_xlfn.XLOOKUP(표14[[#This Row],[end_use_industry]],표13[end_use_category],표13[end_use_id])</f>
        <v>E01</v>
      </c>
      <c r="D193" s="11">
        <f>_xlfn.XLOOKUP(표14[[#This Row],[importance]],표15[importance],표15[rating])</f>
        <v>0.3</v>
      </c>
      <c r="E193" s="1" t="s">
        <v>21</v>
      </c>
      <c r="F193" s="1" t="s">
        <v>1351</v>
      </c>
      <c r="G193" s="1" t="s">
        <v>1254</v>
      </c>
      <c r="H193" s="1" t="s">
        <v>1281</v>
      </c>
      <c r="I193" s="1" t="s">
        <v>1287</v>
      </c>
      <c r="J193" s="1" t="s">
        <v>1683</v>
      </c>
      <c r="K193" s="1" t="s">
        <v>1285</v>
      </c>
      <c r="L193" s="11"/>
    </row>
    <row r="194" spans="1:12" ht="33">
      <c r="A194" s="11" t="str">
        <f>_xlfn.XLOOKUP(표14[[#This Row],[material_name]],표2[material_name],표2[material_id])</f>
        <v>M056</v>
      </c>
      <c r="B194" s="11" t="str">
        <f>_xlfn.XLOOKUP(표14[[#This Row],[application_taxonomy]],표11[application_taxonomy],표11[app_id])</f>
        <v>A01</v>
      </c>
      <c r="C194" s="11" t="str">
        <f>_xlfn.XLOOKUP(표14[[#This Row],[end_use_industry]],표13[end_use_category],표13[end_use_id])</f>
        <v>E07</v>
      </c>
      <c r="D194" s="11">
        <f>_xlfn.XLOOKUP(표14[[#This Row],[importance]],표15[importance],표15[rating])</f>
        <v>0.3</v>
      </c>
      <c r="E194" s="1" t="s">
        <v>21</v>
      </c>
      <c r="F194" s="1" t="s">
        <v>1682</v>
      </c>
      <c r="G194" s="1" t="s">
        <v>1254</v>
      </c>
      <c r="H194" s="1" t="s">
        <v>1263</v>
      </c>
      <c r="I194" s="1" t="s">
        <v>1287</v>
      </c>
      <c r="J194" s="1" t="s">
        <v>1681</v>
      </c>
      <c r="K194" s="1" t="s">
        <v>1285</v>
      </c>
      <c r="L194" s="11"/>
    </row>
    <row r="195" spans="1:12">
      <c r="A195" s="11" t="str">
        <f>_xlfn.XLOOKUP(표14[[#This Row],[material_name]],표2[material_name],표2[material_id])</f>
        <v>M056</v>
      </c>
      <c r="B195" s="11" t="str">
        <f>_xlfn.XLOOKUP(표14[[#This Row],[application_taxonomy]],표11[application_taxonomy],표11[app_id])</f>
        <v>A01</v>
      </c>
      <c r="C195" s="11" t="str">
        <f>_xlfn.XLOOKUP(표14[[#This Row],[end_use_industry]],표13[end_use_category],표13[end_use_id])</f>
        <v>E03</v>
      </c>
      <c r="D195" s="11">
        <f>_xlfn.XLOOKUP(표14[[#This Row],[importance]],표15[importance],표15[rating])</f>
        <v>0.3</v>
      </c>
      <c r="E195" s="1" t="s">
        <v>21</v>
      </c>
      <c r="F195" s="1" t="s">
        <v>1680</v>
      </c>
      <c r="G195" s="1" t="s">
        <v>1254</v>
      </c>
      <c r="H195" s="1" t="s">
        <v>1275</v>
      </c>
      <c r="I195" s="1" t="s">
        <v>1287</v>
      </c>
      <c r="J195" s="1" t="s">
        <v>1679</v>
      </c>
      <c r="K195" s="1" t="s">
        <v>1285</v>
      </c>
      <c r="L195" s="11"/>
    </row>
    <row r="196" spans="1:12">
      <c r="A196" s="11" t="str">
        <f>_xlfn.XLOOKUP(표14[[#This Row],[material_name]],표2[material_name],표2[material_id])</f>
        <v>M057</v>
      </c>
      <c r="B196" s="11" t="str">
        <f>_xlfn.XLOOKUP(표14[[#This Row],[application_taxonomy]],표11[application_taxonomy],표11[app_id])</f>
        <v>A06</v>
      </c>
      <c r="C196" s="11" t="str">
        <f>_xlfn.XLOOKUP(표14[[#This Row],[end_use_industry]],표13[end_use_category],표13[end_use_id])</f>
        <v>E02</v>
      </c>
      <c r="D196" s="11">
        <f>_xlfn.XLOOKUP(표14[[#This Row],[importance]],표15[importance],표15[rating])</f>
        <v>0.6</v>
      </c>
      <c r="E196" s="1" t="s">
        <v>466</v>
      </c>
      <c r="F196" s="1" t="s">
        <v>1678</v>
      </c>
      <c r="G196" s="1" t="s">
        <v>1423</v>
      </c>
      <c r="H196" s="1" t="s">
        <v>1278</v>
      </c>
      <c r="I196" s="1" t="s">
        <v>1298</v>
      </c>
      <c r="J196" s="1" t="s">
        <v>1677</v>
      </c>
      <c r="K196" s="1" t="s">
        <v>1285</v>
      </c>
      <c r="L196" s="11"/>
    </row>
    <row r="197" spans="1:12" ht="33">
      <c r="A197" s="11" t="str">
        <f>_xlfn.XLOOKUP(표14[[#This Row],[material_name]],표2[material_name],표2[material_id])</f>
        <v>M057</v>
      </c>
      <c r="B197" s="11" t="str">
        <f>_xlfn.XLOOKUP(표14[[#This Row],[application_taxonomy]],표11[application_taxonomy],표11[app_id])</f>
        <v>A40</v>
      </c>
      <c r="C197" s="11" t="str">
        <f>_xlfn.XLOOKUP(표14[[#This Row],[end_use_industry]],표13[end_use_category],표13[end_use_id])</f>
        <v>E08</v>
      </c>
      <c r="D197" s="11">
        <f>_xlfn.XLOOKUP(표14[[#This Row],[importance]],표15[importance],표15[rating])</f>
        <v>0.6</v>
      </c>
      <c r="E197" s="1" t="s">
        <v>466</v>
      </c>
      <c r="F197" s="1" t="s">
        <v>1676</v>
      </c>
      <c r="G197" s="1" t="s">
        <v>1519</v>
      </c>
      <c r="H197" s="1" t="s">
        <v>1260</v>
      </c>
      <c r="I197" s="1" t="s">
        <v>1298</v>
      </c>
      <c r="J197" s="1" t="s">
        <v>1675</v>
      </c>
      <c r="K197" s="1" t="s">
        <v>1285</v>
      </c>
      <c r="L197" s="11"/>
    </row>
    <row r="198" spans="1:12">
      <c r="A198" s="11" t="str">
        <f>_xlfn.XLOOKUP(표14[[#This Row],[material_name]],표2[material_name],표2[material_id])</f>
        <v>M057</v>
      </c>
      <c r="B198" s="11" t="str">
        <f>_xlfn.XLOOKUP(표14[[#This Row],[application_taxonomy]],표11[application_taxonomy],표11[app_id])</f>
        <v>A04</v>
      </c>
      <c r="C198" s="11" t="str">
        <f>_xlfn.XLOOKUP(표14[[#This Row],[end_use_industry]],표13[end_use_category],표13[end_use_id])</f>
        <v>E02</v>
      </c>
      <c r="D198" s="11">
        <f>_xlfn.XLOOKUP(표14[[#This Row],[importance]],표15[importance],표15[rating])</f>
        <v>0.3</v>
      </c>
      <c r="E198" s="1" t="s">
        <v>466</v>
      </c>
      <c r="F198" s="1" t="s">
        <v>1674</v>
      </c>
      <c r="G198" s="1" t="s">
        <v>1319</v>
      </c>
      <c r="H198" s="1" t="s">
        <v>1278</v>
      </c>
      <c r="I198" s="1" t="s">
        <v>1287</v>
      </c>
      <c r="J198" s="1" t="s">
        <v>1673</v>
      </c>
      <c r="K198" s="1" t="s">
        <v>1285</v>
      </c>
      <c r="L198" s="11"/>
    </row>
    <row r="199" spans="1:12">
      <c r="A199" s="11" t="str">
        <f>_xlfn.XLOOKUP(표14[[#This Row],[material_name]],표2[material_name],표2[material_id])</f>
        <v>M057</v>
      </c>
      <c r="B199" s="11" t="str">
        <f>_xlfn.XLOOKUP(표14[[#This Row],[application_taxonomy]],표11[application_taxonomy],표11[app_id])</f>
        <v>A10</v>
      </c>
      <c r="C199" s="11" t="str">
        <f>_xlfn.XLOOKUP(표14[[#This Row],[end_use_industry]],표13[end_use_category],표13[end_use_id])</f>
        <v>E01</v>
      </c>
      <c r="D199" s="11">
        <f>_xlfn.XLOOKUP(표14[[#This Row],[importance]],표15[importance],표15[rating])</f>
        <v>0.3</v>
      </c>
      <c r="E199" s="1" t="s">
        <v>466</v>
      </c>
      <c r="F199" s="1" t="s">
        <v>1672</v>
      </c>
      <c r="G199" s="1" t="s">
        <v>1288</v>
      </c>
      <c r="H199" s="1" t="s">
        <v>1281</v>
      </c>
      <c r="I199" s="1" t="s">
        <v>1287</v>
      </c>
      <c r="J199" s="1" t="s">
        <v>1671</v>
      </c>
      <c r="K199" s="1" t="s">
        <v>1285</v>
      </c>
      <c r="L199" s="11"/>
    </row>
    <row r="200" spans="1:12" ht="33">
      <c r="A200" s="11" t="str">
        <f>_xlfn.XLOOKUP(표14[[#This Row],[material_name]],표2[material_name],표2[material_id])</f>
        <v>M057</v>
      </c>
      <c r="B200" s="11" t="str">
        <f>_xlfn.XLOOKUP(표14[[#This Row],[application_taxonomy]],표11[application_taxonomy],표11[app_id])</f>
        <v>A33</v>
      </c>
      <c r="C200" s="11" t="str">
        <f>_xlfn.XLOOKUP(표14[[#This Row],[end_use_industry]],표13[end_use_category],표13[end_use_id])</f>
        <v>E05</v>
      </c>
      <c r="D200" s="11">
        <f>_xlfn.XLOOKUP(표14[[#This Row],[importance]],표15[importance],표15[rating])</f>
        <v>0.1</v>
      </c>
      <c r="E200" s="1" t="s">
        <v>466</v>
      </c>
      <c r="F200" s="1" t="s">
        <v>1670</v>
      </c>
      <c r="G200" s="1" t="s">
        <v>1333</v>
      </c>
      <c r="H200" s="1" t="s">
        <v>1269</v>
      </c>
      <c r="I200" s="1" t="s">
        <v>1302</v>
      </c>
      <c r="J200" s="1" t="s">
        <v>1669</v>
      </c>
      <c r="K200" s="1" t="s">
        <v>1285</v>
      </c>
      <c r="L200" s="11"/>
    </row>
    <row r="201" spans="1:12">
      <c r="A201" s="11" t="str">
        <f>_xlfn.XLOOKUP(표14[[#This Row],[material_name]],표2[material_name],표2[material_id])</f>
        <v>M057</v>
      </c>
      <c r="B201" s="11" t="str">
        <f>_xlfn.XLOOKUP(표14[[#This Row],[application_taxonomy]],표11[application_taxonomy],표11[app_id])</f>
        <v>A12</v>
      </c>
      <c r="C201" s="11" t="str">
        <f>_xlfn.XLOOKUP(표14[[#This Row],[end_use_industry]],표13[end_use_category],표13[end_use_id])</f>
        <v>E01</v>
      </c>
      <c r="D201" s="11">
        <f>_xlfn.XLOOKUP(표14[[#This Row],[importance]],표15[importance],표15[rating])</f>
        <v>0.3</v>
      </c>
      <c r="E201" s="1" t="s">
        <v>466</v>
      </c>
      <c r="F201" s="1" t="s">
        <v>1668</v>
      </c>
      <c r="G201" s="1" t="s">
        <v>1667</v>
      </c>
      <c r="H201" s="1" t="s">
        <v>1281</v>
      </c>
      <c r="I201" s="1" t="s">
        <v>1287</v>
      </c>
      <c r="J201" s="1" t="s">
        <v>1666</v>
      </c>
      <c r="K201" s="1" t="s">
        <v>1285</v>
      </c>
      <c r="L201" s="11"/>
    </row>
    <row r="202" spans="1:12" ht="33">
      <c r="A202" s="11" t="str">
        <f>_xlfn.XLOOKUP(표14[[#This Row],[material_name]],표2[material_name],표2[material_id])</f>
        <v>M058</v>
      </c>
      <c r="B202" s="11" t="str">
        <f>_xlfn.XLOOKUP(표14[[#This Row],[application_taxonomy]],표11[application_taxonomy],표11[app_id])</f>
        <v>A01</v>
      </c>
      <c r="C202" s="11" t="str">
        <f>_xlfn.XLOOKUP(표14[[#This Row],[end_use_industry]],표13[end_use_category],표13[end_use_id])</f>
        <v>E07</v>
      </c>
      <c r="D202" s="11">
        <f>_xlfn.XLOOKUP(표14[[#This Row],[importance]],표15[importance],표15[rating])</f>
        <v>0.6</v>
      </c>
      <c r="E202" s="1" t="s">
        <v>28</v>
      </c>
      <c r="F202" s="1" t="s">
        <v>1665</v>
      </c>
      <c r="G202" s="1" t="s">
        <v>1313</v>
      </c>
      <c r="H202" s="1" t="s">
        <v>1263</v>
      </c>
      <c r="I202" s="1" t="s">
        <v>1298</v>
      </c>
      <c r="J202" s="1" t="s">
        <v>1664</v>
      </c>
      <c r="K202" s="1" t="s">
        <v>1285</v>
      </c>
      <c r="L202" s="11"/>
    </row>
    <row r="203" spans="1:12" ht="33">
      <c r="A203" s="11" t="str">
        <f>_xlfn.XLOOKUP(표14[[#This Row],[material_name]],표2[material_name],표2[material_id])</f>
        <v>M058</v>
      </c>
      <c r="B203" s="11" t="str">
        <f>_xlfn.XLOOKUP(표14[[#This Row],[application_taxonomy]],표11[application_taxonomy],표11[app_id])</f>
        <v>A24</v>
      </c>
      <c r="C203" s="11" t="str">
        <f>_xlfn.XLOOKUP(표14[[#This Row],[end_use_industry]],표13[end_use_category],표13[end_use_id])</f>
        <v>E07</v>
      </c>
      <c r="D203" s="11">
        <f>_xlfn.XLOOKUP(표14[[#This Row],[importance]],표15[importance],표15[rating])</f>
        <v>0.1</v>
      </c>
      <c r="E203" s="1" t="s">
        <v>28</v>
      </c>
      <c r="F203" s="1" t="s">
        <v>1663</v>
      </c>
      <c r="G203" s="1" t="s">
        <v>1303</v>
      </c>
      <c r="H203" s="1" t="s">
        <v>1263</v>
      </c>
      <c r="I203" s="1" t="s">
        <v>1302</v>
      </c>
      <c r="J203" s="1" t="s">
        <v>1662</v>
      </c>
      <c r="K203" s="1" t="s">
        <v>1285</v>
      </c>
      <c r="L203" s="11"/>
    </row>
    <row r="204" spans="1:12" ht="33">
      <c r="A204" s="11" t="str">
        <f>_xlfn.XLOOKUP(표14[[#This Row],[material_name]],표2[material_name],표2[material_id])</f>
        <v>M059</v>
      </c>
      <c r="B204" s="11" t="str">
        <f>_xlfn.XLOOKUP(표14[[#This Row],[application_taxonomy]],표11[application_taxonomy],표11[app_id])</f>
        <v>A01</v>
      </c>
      <c r="C204" s="11" t="str">
        <f>_xlfn.XLOOKUP(표14[[#This Row],[end_use_industry]],표13[end_use_category],표13[end_use_id])</f>
        <v>E07</v>
      </c>
      <c r="D204" s="11">
        <f>_xlfn.XLOOKUP(표14[[#This Row],[importance]],표15[importance],표15[rating])</f>
        <v>0.6</v>
      </c>
      <c r="E204" s="1" t="s">
        <v>95</v>
      </c>
      <c r="F204" s="1" t="s">
        <v>1652</v>
      </c>
      <c r="G204" s="1" t="s">
        <v>1313</v>
      </c>
      <c r="H204" s="1" t="s">
        <v>1263</v>
      </c>
      <c r="I204" s="1" t="s">
        <v>1298</v>
      </c>
      <c r="J204" s="1" t="s">
        <v>1661</v>
      </c>
      <c r="K204" s="1" t="s">
        <v>1285</v>
      </c>
      <c r="L204" s="11"/>
    </row>
    <row r="205" spans="1:12" ht="33">
      <c r="A205" s="11" t="str">
        <f>_xlfn.XLOOKUP(표14[[#This Row],[material_name]],표2[material_name],표2[material_id])</f>
        <v>M059</v>
      </c>
      <c r="B205" s="11" t="str">
        <f>_xlfn.XLOOKUP(표14[[#This Row],[application_taxonomy]],표11[application_taxonomy],표11[app_id])</f>
        <v>A03</v>
      </c>
      <c r="C205" s="11" t="str">
        <f>_xlfn.XLOOKUP(표14[[#This Row],[end_use_industry]],표13[end_use_category],표13[end_use_id])</f>
        <v>E01</v>
      </c>
      <c r="D205" s="11">
        <f>_xlfn.XLOOKUP(표14[[#This Row],[importance]],표15[importance],표15[rating])</f>
        <v>0.6</v>
      </c>
      <c r="E205" s="1" t="s">
        <v>95</v>
      </c>
      <c r="F205" s="1" t="s">
        <v>1660</v>
      </c>
      <c r="G205" s="1" t="s">
        <v>1380</v>
      </c>
      <c r="H205" s="1" t="s">
        <v>1281</v>
      </c>
      <c r="I205" s="1" t="s">
        <v>1298</v>
      </c>
      <c r="J205" s="1" t="s">
        <v>1659</v>
      </c>
      <c r="K205" s="1" t="s">
        <v>1285</v>
      </c>
      <c r="L205" s="11"/>
    </row>
    <row r="206" spans="1:12" ht="33">
      <c r="A206" s="11" t="str">
        <f>_xlfn.XLOOKUP(표14[[#This Row],[material_name]],표2[material_name],표2[material_id])</f>
        <v>M059</v>
      </c>
      <c r="B206" s="11" t="str">
        <f>_xlfn.XLOOKUP(표14[[#This Row],[application_taxonomy]],표11[application_taxonomy],표11[app_id])</f>
        <v>A01</v>
      </c>
      <c r="C206" s="11" t="str">
        <f>_xlfn.XLOOKUP(표14[[#This Row],[end_use_industry]],표13[end_use_category],표13[end_use_id])</f>
        <v>E03</v>
      </c>
      <c r="D206" s="11">
        <f>_xlfn.XLOOKUP(표14[[#This Row],[importance]],표15[importance],표15[rating])</f>
        <v>0.3</v>
      </c>
      <c r="E206" s="1" t="s">
        <v>95</v>
      </c>
      <c r="F206" s="1" t="s">
        <v>1658</v>
      </c>
      <c r="G206" s="1" t="s">
        <v>1254</v>
      </c>
      <c r="H206" s="1" t="s">
        <v>1275</v>
      </c>
      <c r="I206" s="1" t="s">
        <v>1287</v>
      </c>
      <c r="J206" s="1" t="s">
        <v>1657</v>
      </c>
      <c r="K206" s="1" t="s">
        <v>1285</v>
      </c>
      <c r="L206" s="11"/>
    </row>
    <row r="207" spans="1:12" ht="33">
      <c r="A207" s="11" t="str">
        <f>_xlfn.XLOOKUP(표14[[#This Row],[material_name]],표2[material_name],표2[material_id])</f>
        <v>M059</v>
      </c>
      <c r="B207" s="11" t="str">
        <f>_xlfn.XLOOKUP(표14[[#This Row],[application_taxonomy]],표11[application_taxonomy],표11[app_id])</f>
        <v>A02</v>
      </c>
      <c r="C207" s="11" t="str">
        <f>_xlfn.XLOOKUP(표14[[#This Row],[end_use_industry]],표13[end_use_category],표13[end_use_id])</f>
        <v>E07</v>
      </c>
      <c r="D207" s="11">
        <f>_xlfn.XLOOKUP(표14[[#This Row],[importance]],표15[importance],표15[rating])</f>
        <v>0.1</v>
      </c>
      <c r="E207" s="1" t="s">
        <v>95</v>
      </c>
      <c r="F207" s="1" t="s">
        <v>1656</v>
      </c>
      <c r="G207" s="1" t="s">
        <v>1308</v>
      </c>
      <c r="H207" s="1" t="s">
        <v>1263</v>
      </c>
      <c r="I207" s="1" t="s">
        <v>1302</v>
      </c>
      <c r="J207" s="1" t="s">
        <v>1655</v>
      </c>
      <c r="K207" s="1" t="s">
        <v>1285</v>
      </c>
      <c r="L207" s="11"/>
    </row>
    <row r="208" spans="1:12" ht="33">
      <c r="A208" s="11" t="str">
        <f>_xlfn.XLOOKUP(표14[[#This Row],[material_name]],표2[material_name],표2[material_id])</f>
        <v>M060</v>
      </c>
      <c r="B208" s="11" t="str">
        <f>_xlfn.XLOOKUP(표14[[#This Row],[application_taxonomy]],표11[application_taxonomy],표11[app_id])</f>
        <v>A24</v>
      </c>
      <c r="C208" s="11" t="str">
        <f>_xlfn.XLOOKUP(표14[[#This Row],[end_use_industry]],표13[end_use_category],표13[end_use_id])</f>
        <v>E07</v>
      </c>
      <c r="D208" s="11">
        <f>_xlfn.XLOOKUP(표14[[#This Row],[importance]],표15[importance],표15[rating])</f>
        <v>0.6</v>
      </c>
      <c r="E208" s="1" t="s">
        <v>96</v>
      </c>
      <c r="F208" s="1" t="s">
        <v>1654</v>
      </c>
      <c r="G208" s="1" t="s">
        <v>1303</v>
      </c>
      <c r="H208" s="1" t="s">
        <v>1263</v>
      </c>
      <c r="I208" s="1" t="s">
        <v>1298</v>
      </c>
      <c r="J208" s="1" t="s">
        <v>1653</v>
      </c>
      <c r="K208" s="1" t="s">
        <v>1285</v>
      </c>
      <c r="L208" s="11"/>
    </row>
    <row r="209" spans="1:12" ht="33">
      <c r="A209" s="11" t="str">
        <f>_xlfn.XLOOKUP(표14[[#This Row],[material_name]],표2[material_name],표2[material_id])</f>
        <v>M060</v>
      </c>
      <c r="B209" s="11" t="str">
        <f>_xlfn.XLOOKUP(표14[[#This Row],[application_taxonomy]],표11[application_taxonomy],표11[app_id])</f>
        <v>A01</v>
      </c>
      <c r="C209" s="11" t="str">
        <f>_xlfn.XLOOKUP(표14[[#This Row],[end_use_industry]],표13[end_use_category],표13[end_use_id])</f>
        <v>E07</v>
      </c>
      <c r="D209" s="11">
        <f>_xlfn.XLOOKUP(표14[[#This Row],[importance]],표15[importance],표15[rating])</f>
        <v>0.6</v>
      </c>
      <c r="E209" s="1" t="s">
        <v>96</v>
      </c>
      <c r="F209" s="1" t="s">
        <v>1652</v>
      </c>
      <c r="G209" s="1" t="s">
        <v>1313</v>
      </c>
      <c r="H209" s="1" t="s">
        <v>1263</v>
      </c>
      <c r="I209" s="1" t="s">
        <v>1298</v>
      </c>
      <c r="J209" s="1" t="s">
        <v>1651</v>
      </c>
      <c r="K209" s="1" t="s">
        <v>1285</v>
      </c>
      <c r="L209" s="11"/>
    </row>
    <row r="210" spans="1:12" ht="33">
      <c r="A210" s="11" t="str">
        <f>_xlfn.XLOOKUP(표14[[#This Row],[material_name]],표2[material_name],표2[material_id])</f>
        <v>M060</v>
      </c>
      <c r="B210" s="11" t="str">
        <f>_xlfn.XLOOKUP(표14[[#This Row],[application_taxonomy]],표11[application_taxonomy],표11[app_id])</f>
        <v>A01</v>
      </c>
      <c r="C210" s="11" t="str">
        <f>_xlfn.XLOOKUP(표14[[#This Row],[end_use_industry]],표13[end_use_category],표13[end_use_id])</f>
        <v>E07</v>
      </c>
      <c r="D210" s="11">
        <f>_xlfn.XLOOKUP(표14[[#This Row],[importance]],표15[importance],표15[rating])</f>
        <v>0.3</v>
      </c>
      <c r="E210" s="1" t="s">
        <v>96</v>
      </c>
      <c r="F210" s="1" t="s">
        <v>1650</v>
      </c>
      <c r="G210" s="1" t="s">
        <v>1313</v>
      </c>
      <c r="H210" s="1" t="s">
        <v>1263</v>
      </c>
      <c r="I210" s="1" t="s">
        <v>1287</v>
      </c>
      <c r="J210" s="1" t="s">
        <v>1649</v>
      </c>
      <c r="K210" s="1" t="s">
        <v>1285</v>
      </c>
      <c r="L210" s="11"/>
    </row>
    <row r="211" spans="1:12" ht="33">
      <c r="A211" s="11" t="str">
        <f>_xlfn.XLOOKUP(표14[[#This Row],[material_name]],표2[material_name],표2[material_id])</f>
        <v>M060</v>
      </c>
      <c r="B211" s="11" t="str">
        <f>_xlfn.XLOOKUP(표14[[#This Row],[application_taxonomy]],표11[application_taxonomy],표11[app_id])</f>
        <v>A02</v>
      </c>
      <c r="C211" s="11" t="str">
        <f>_xlfn.XLOOKUP(표14[[#This Row],[end_use_industry]],표13[end_use_category],표13[end_use_id])</f>
        <v>E07</v>
      </c>
      <c r="D211" s="11">
        <f>_xlfn.XLOOKUP(표14[[#This Row],[importance]],표15[importance],표15[rating])</f>
        <v>0.1</v>
      </c>
      <c r="E211" s="1" t="s">
        <v>96</v>
      </c>
      <c r="F211" s="1" t="s">
        <v>1648</v>
      </c>
      <c r="G211" s="1" t="s">
        <v>1308</v>
      </c>
      <c r="H211" s="1" t="s">
        <v>1263</v>
      </c>
      <c r="I211" s="1" t="s">
        <v>1302</v>
      </c>
      <c r="J211" s="1" t="s">
        <v>1647</v>
      </c>
      <c r="K211" s="1" t="s">
        <v>1285</v>
      </c>
      <c r="L211" s="11"/>
    </row>
    <row r="212" spans="1:12" ht="33">
      <c r="A212" s="11" t="str">
        <f>_xlfn.XLOOKUP(표14[[#This Row],[material_name]],표2[material_name],표2[material_id])</f>
        <v>M061</v>
      </c>
      <c r="B212" s="11" t="str">
        <f>_xlfn.XLOOKUP(표14[[#This Row],[application_taxonomy]],표11[application_taxonomy],표11[app_id])</f>
        <v>A01</v>
      </c>
      <c r="C212" s="11" t="str">
        <f>_xlfn.XLOOKUP(표14[[#This Row],[end_use_industry]],표13[end_use_category],표13[end_use_id])</f>
        <v>E07</v>
      </c>
      <c r="D212" s="11">
        <f>_xlfn.XLOOKUP(표14[[#This Row],[importance]],표15[importance],표15[rating])</f>
        <v>0.6</v>
      </c>
      <c r="E212" s="1" t="s">
        <v>467</v>
      </c>
      <c r="F212" s="1" t="s">
        <v>1646</v>
      </c>
      <c r="G212" s="1" t="s">
        <v>1313</v>
      </c>
      <c r="H212" s="1" t="s">
        <v>1263</v>
      </c>
      <c r="I212" s="1" t="s">
        <v>1298</v>
      </c>
      <c r="J212" s="1" t="s">
        <v>1645</v>
      </c>
      <c r="K212" s="1" t="s">
        <v>1285</v>
      </c>
      <c r="L212" s="11"/>
    </row>
    <row r="213" spans="1:12" ht="33">
      <c r="A213" s="11" t="str">
        <f>_xlfn.XLOOKUP(표14[[#This Row],[material_name]],표2[material_name],표2[material_id])</f>
        <v>M061</v>
      </c>
      <c r="B213" s="11" t="str">
        <f>_xlfn.XLOOKUP(표14[[#This Row],[application_taxonomy]],표11[application_taxonomy],표11[app_id])</f>
        <v>A01</v>
      </c>
      <c r="C213" s="11" t="str">
        <f>_xlfn.XLOOKUP(표14[[#This Row],[end_use_industry]],표13[end_use_category],표13[end_use_id])</f>
        <v>E07</v>
      </c>
      <c r="D213" s="11">
        <f>_xlfn.XLOOKUP(표14[[#This Row],[importance]],표15[importance],표15[rating])</f>
        <v>0.6</v>
      </c>
      <c r="E213" s="1" t="s">
        <v>467</v>
      </c>
      <c r="F213" s="1" t="s">
        <v>1396</v>
      </c>
      <c r="G213" s="1" t="s">
        <v>1313</v>
      </c>
      <c r="H213" s="1" t="s">
        <v>1263</v>
      </c>
      <c r="I213" s="1" t="s">
        <v>1298</v>
      </c>
      <c r="J213" s="1" t="s">
        <v>1644</v>
      </c>
      <c r="K213" s="1" t="s">
        <v>1285</v>
      </c>
      <c r="L213" s="11"/>
    </row>
    <row r="214" spans="1:12" ht="49.5">
      <c r="A214" s="11" t="str">
        <f>_xlfn.XLOOKUP(표14[[#This Row],[material_name]],표2[material_name],표2[material_id])</f>
        <v>M061</v>
      </c>
      <c r="B214" s="11" t="str">
        <f>_xlfn.XLOOKUP(표14[[#This Row],[application_taxonomy]],표11[application_taxonomy],표11[app_id])</f>
        <v>A02</v>
      </c>
      <c r="C214" s="11" t="str">
        <f>_xlfn.XLOOKUP(표14[[#This Row],[end_use_industry]],표13[end_use_category],표13[end_use_id])</f>
        <v>E07</v>
      </c>
      <c r="D214" s="11">
        <f>_xlfn.XLOOKUP(표14[[#This Row],[importance]],표15[importance],표15[rating])</f>
        <v>0.1</v>
      </c>
      <c r="E214" s="1" t="s">
        <v>467</v>
      </c>
      <c r="F214" s="1" t="s">
        <v>1643</v>
      </c>
      <c r="G214" s="1" t="s">
        <v>1308</v>
      </c>
      <c r="H214" s="1" t="s">
        <v>1263</v>
      </c>
      <c r="I214" s="1" t="s">
        <v>1302</v>
      </c>
      <c r="J214" s="1" t="s">
        <v>1642</v>
      </c>
      <c r="K214" s="1" t="s">
        <v>1285</v>
      </c>
      <c r="L214" s="11"/>
    </row>
    <row r="215" spans="1:12" ht="33">
      <c r="A215" s="11" t="str">
        <f>_xlfn.XLOOKUP(표14[[#This Row],[material_name]],표2[material_name],표2[material_id])</f>
        <v>M062</v>
      </c>
      <c r="B215" s="11" t="str">
        <f>_xlfn.XLOOKUP(표14[[#This Row],[application_taxonomy]],표11[application_taxonomy],표11[app_id])</f>
        <v>A40</v>
      </c>
      <c r="C215" s="11" t="str">
        <f>_xlfn.XLOOKUP(표14[[#This Row],[end_use_industry]],표13[end_use_category],표13[end_use_id])</f>
        <v>E08</v>
      </c>
      <c r="D215" s="11">
        <f>_xlfn.XLOOKUP(표14[[#This Row],[importance]],표15[importance],표15[rating])</f>
        <v>0.6</v>
      </c>
      <c r="E215" s="1" t="s">
        <v>468</v>
      </c>
      <c r="F215" s="1" t="s">
        <v>1641</v>
      </c>
      <c r="G215" s="1" t="s">
        <v>1137</v>
      </c>
      <c r="H215" s="1" t="s">
        <v>1260</v>
      </c>
      <c r="I215" s="1" t="s">
        <v>1298</v>
      </c>
      <c r="J215" s="1" t="s">
        <v>1640</v>
      </c>
      <c r="K215" s="1" t="s">
        <v>1285</v>
      </c>
      <c r="L215" s="11"/>
    </row>
    <row r="216" spans="1:12" ht="33">
      <c r="A216" s="11" t="str">
        <f>_xlfn.XLOOKUP(표14[[#This Row],[material_name]],표2[material_name],표2[material_id])</f>
        <v>M062</v>
      </c>
      <c r="B216" s="11" t="str">
        <f>_xlfn.XLOOKUP(표14[[#This Row],[application_taxonomy]],표11[application_taxonomy],표11[app_id])</f>
        <v>A16</v>
      </c>
      <c r="C216" s="11" t="str">
        <f>_xlfn.XLOOKUP(표14[[#This Row],[end_use_industry]],표13[end_use_category],표13[end_use_id])</f>
        <v>E03</v>
      </c>
      <c r="D216" s="11">
        <f>_xlfn.XLOOKUP(표14[[#This Row],[importance]],표15[importance],표15[rating])</f>
        <v>0.6</v>
      </c>
      <c r="E216" s="1" t="s">
        <v>468</v>
      </c>
      <c r="F216" s="1" t="s">
        <v>1639</v>
      </c>
      <c r="G216" s="1" t="s">
        <v>1295</v>
      </c>
      <c r="H216" s="1" t="s">
        <v>1275</v>
      </c>
      <c r="I216" s="1" t="s">
        <v>1298</v>
      </c>
      <c r="J216" s="1" t="s">
        <v>1638</v>
      </c>
      <c r="K216" s="1" t="s">
        <v>1285</v>
      </c>
      <c r="L216" s="11"/>
    </row>
    <row r="217" spans="1:12" ht="33">
      <c r="A217" s="11" t="str">
        <f>_xlfn.XLOOKUP(표14[[#This Row],[material_name]],표2[material_name],표2[material_id])</f>
        <v>M062</v>
      </c>
      <c r="B217" s="11" t="str">
        <f>_xlfn.XLOOKUP(표14[[#This Row],[application_taxonomy]],표11[application_taxonomy],표11[app_id])</f>
        <v>A10</v>
      </c>
      <c r="C217" s="11" t="str">
        <f>_xlfn.XLOOKUP(표14[[#This Row],[end_use_industry]],표13[end_use_category],표13[end_use_id])</f>
        <v>E01</v>
      </c>
      <c r="D217" s="11">
        <f>_xlfn.XLOOKUP(표14[[#This Row],[importance]],표15[importance],표15[rating])</f>
        <v>0.3</v>
      </c>
      <c r="E217" s="1" t="s">
        <v>468</v>
      </c>
      <c r="F217" s="1" t="s">
        <v>1637</v>
      </c>
      <c r="G217" s="1" t="s">
        <v>1288</v>
      </c>
      <c r="H217" s="1" t="s">
        <v>1281</v>
      </c>
      <c r="I217" s="1" t="s">
        <v>1287</v>
      </c>
      <c r="J217" s="1" t="s">
        <v>1636</v>
      </c>
      <c r="K217" s="1" t="s">
        <v>1285</v>
      </c>
      <c r="L217" s="11"/>
    </row>
    <row r="218" spans="1:12">
      <c r="A218" s="11" t="str">
        <f>_xlfn.XLOOKUP(표14[[#This Row],[material_name]],표2[material_name],표2[material_id])</f>
        <v>M062</v>
      </c>
      <c r="B218" s="11" t="str">
        <f>_xlfn.XLOOKUP(표14[[#This Row],[application_taxonomy]],표11[application_taxonomy],표11[app_id])</f>
        <v>A04</v>
      </c>
      <c r="C218" s="11" t="str">
        <f>_xlfn.XLOOKUP(표14[[#This Row],[end_use_industry]],표13[end_use_category],표13[end_use_id])</f>
        <v>E02</v>
      </c>
      <c r="D218" s="11">
        <f>_xlfn.XLOOKUP(표14[[#This Row],[importance]],표15[importance],표15[rating])</f>
        <v>0.3</v>
      </c>
      <c r="E218" s="1" t="s">
        <v>468</v>
      </c>
      <c r="F218" s="1" t="s">
        <v>1635</v>
      </c>
      <c r="G218" s="1" t="s">
        <v>1319</v>
      </c>
      <c r="H218" s="1" t="s">
        <v>1278</v>
      </c>
      <c r="I218" s="1" t="s">
        <v>1287</v>
      </c>
      <c r="J218" s="1" t="s">
        <v>1634</v>
      </c>
      <c r="K218" s="1" t="s">
        <v>1285</v>
      </c>
      <c r="L218" s="11"/>
    </row>
    <row r="219" spans="1:12" ht="33">
      <c r="A219" s="11" t="str">
        <f>_xlfn.XLOOKUP(표14[[#This Row],[material_name]],표2[material_name],표2[material_id])</f>
        <v>M062</v>
      </c>
      <c r="B219" s="11" t="str">
        <f>_xlfn.XLOOKUP(표14[[#This Row],[application_taxonomy]],표11[application_taxonomy],표11[app_id])</f>
        <v>A33</v>
      </c>
      <c r="C219" s="11" t="str">
        <f>_xlfn.XLOOKUP(표14[[#This Row],[end_use_industry]],표13[end_use_category],표13[end_use_id])</f>
        <v>E05</v>
      </c>
      <c r="D219" s="11">
        <f>_xlfn.XLOOKUP(표14[[#This Row],[importance]],표15[importance],표15[rating])</f>
        <v>0.1</v>
      </c>
      <c r="E219" s="1" t="s">
        <v>468</v>
      </c>
      <c r="F219" s="1" t="s">
        <v>1633</v>
      </c>
      <c r="G219" s="1" t="s">
        <v>1333</v>
      </c>
      <c r="H219" s="1" t="s">
        <v>1269</v>
      </c>
      <c r="I219" s="1" t="s">
        <v>1302</v>
      </c>
      <c r="J219" s="1" t="s">
        <v>1632</v>
      </c>
      <c r="K219" s="1" t="s">
        <v>1285</v>
      </c>
      <c r="L219" s="11"/>
    </row>
    <row r="220" spans="1:12" ht="33">
      <c r="A220" s="11" t="str">
        <f>_xlfn.XLOOKUP(표14[[#This Row],[material_name]],표2[material_name],표2[material_id])</f>
        <v>M063</v>
      </c>
      <c r="B220" s="11" t="str">
        <f>_xlfn.XLOOKUP(표14[[#This Row],[application_taxonomy]],표11[application_taxonomy],표11[app_id])</f>
        <v>A22</v>
      </c>
      <c r="C220" s="11" t="str">
        <f>_xlfn.XLOOKUP(표14[[#This Row],[end_use_industry]],표13[end_use_category],표13[end_use_id])</f>
        <v>E07</v>
      </c>
      <c r="D220" s="11">
        <f>_xlfn.XLOOKUP(표14[[#This Row],[importance]],표15[importance],표15[rating])</f>
        <v>0.6</v>
      </c>
      <c r="E220" s="1" t="s">
        <v>122</v>
      </c>
      <c r="F220" s="1" t="s">
        <v>1631</v>
      </c>
      <c r="G220" s="1" t="s">
        <v>1292</v>
      </c>
      <c r="H220" s="1" t="s">
        <v>1263</v>
      </c>
      <c r="I220" s="1" t="s">
        <v>1298</v>
      </c>
      <c r="J220" s="1" t="s">
        <v>1630</v>
      </c>
      <c r="K220" s="1" t="s">
        <v>1285</v>
      </c>
      <c r="L220" s="11"/>
    </row>
    <row r="221" spans="1:12" ht="33">
      <c r="A221" s="11" t="str">
        <f>_xlfn.XLOOKUP(표14[[#This Row],[material_name]],표2[material_name],표2[material_id])</f>
        <v>M063</v>
      </c>
      <c r="B221" s="11" t="str">
        <f>_xlfn.XLOOKUP(표14[[#This Row],[application_taxonomy]],표11[application_taxonomy],표11[app_id])</f>
        <v>A40</v>
      </c>
      <c r="C221" s="11" t="str">
        <f>_xlfn.XLOOKUP(표14[[#This Row],[end_use_industry]],표13[end_use_category],표13[end_use_id])</f>
        <v>E08</v>
      </c>
      <c r="D221" s="11">
        <f>_xlfn.XLOOKUP(표14[[#This Row],[importance]],표15[importance],표15[rating])</f>
        <v>0.6</v>
      </c>
      <c r="E221" s="1" t="s">
        <v>122</v>
      </c>
      <c r="F221" s="1" t="s">
        <v>1629</v>
      </c>
      <c r="G221" s="1" t="s">
        <v>1519</v>
      </c>
      <c r="H221" s="1" t="s">
        <v>1260</v>
      </c>
      <c r="I221" s="1" t="s">
        <v>1298</v>
      </c>
      <c r="J221" s="1" t="s">
        <v>1628</v>
      </c>
      <c r="K221" s="1" t="s">
        <v>1285</v>
      </c>
      <c r="L221" s="11"/>
    </row>
    <row r="222" spans="1:12" ht="33">
      <c r="A222" s="11" t="str">
        <f>_xlfn.XLOOKUP(표14[[#This Row],[material_name]],표2[material_name],표2[material_id])</f>
        <v>M063</v>
      </c>
      <c r="B222" s="11" t="str">
        <f>_xlfn.XLOOKUP(표14[[#This Row],[application_taxonomy]],표11[application_taxonomy],표11[app_id])</f>
        <v>A11</v>
      </c>
      <c r="C222" s="11" t="str">
        <f>_xlfn.XLOOKUP(표14[[#This Row],[end_use_industry]],표13[end_use_category],표13[end_use_id])</f>
        <v>E01</v>
      </c>
      <c r="D222" s="11">
        <f>_xlfn.XLOOKUP(표14[[#This Row],[importance]],표15[importance],표15[rating])</f>
        <v>0.3</v>
      </c>
      <c r="E222" s="1" t="s">
        <v>122</v>
      </c>
      <c r="F222" s="1" t="s">
        <v>1627</v>
      </c>
      <c r="G222" s="1" t="s">
        <v>1626</v>
      </c>
      <c r="H222" s="1" t="s">
        <v>1281</v>
      </c>
      <c r="I222" s="1" t="s">
        <v>1287</v>
      </c>
      <c r="J222" s="1" t="s">
        <v>1625</v>
      </c>
      <c r="K222" s="1" t="s">
        <v>1285</v>
      </c>
      <c r="L222" s="11"/>
    </row>
    <row r="223" spans="1:12">
      <c r="A223" s="11" t="str">
        <f>_xlfn.XLOOKUP(표14[[#This Row],[material_name]],표2[material_name],표2[material_id])</f>
        <v>M063</v>
      </c>
      <c r="B223" s="11" t="str">
        <f>_xlfn.XLOOKUP(표14[[#This Row],[application_taxonomy]],표11[application_taxonomy],표11[app_id])</f>
        <v>A42</v>
      </c>
      <c r="C223" s="11" t="str">
        <f>_xlfn.XLOOKUP(표14[[#This Row],[end_use_industry]],표13[end_use_category],표13[end_use_id])</f>
        <v>E03</v>
      </c>
      <c r="D223" s="11">
        <f>_xlfn.XLOOKUP(표14[[#This Row],[importance]],표15[importance],표15[rating])</f>
        <v>0.3</v>
      </c>
      <c r="E223" s="1" t="s">
        <v>122</v>
      </c>
      <c r="F223" s="1" t="s">
        <v>1624</v>
      </c>
      <c r="G223" s="1" t="s">
        <v>1131</v>
      </c>
      <c r="H223" s="1" t="s">
        <v>1275</v>
      </c>
      <c r="I223" s="1" t="s">
        <v>1287</v>
      </c>
      <c r="J223" s="1" t="s">
        <v>1623</v>
      </c>
      <c r="K223" s="1" t="s">
        <v>1285</v>
      </c>
      <c r="L223" s="11"/>
    </row>
    <row r="224" spans="1:12" ht="33">
      <c r="A224" s="11" t="str">
        <f>_xlfn.XLOOKUP(표14[[#This Row],[material_name]],표2[material_name],표2[material_id])</f>
        <v>M063</v>
      </c>
      <c r="B224" s="11" t="str">
        <f>_xlfn.XLOOKUP(표14[[#This Row],[application_taxonomy]],표11[application_taxonomy],표11[app_id])</f>
        <v>A20</v>
      </c>
      <c r="C224" s="11" t="str">
        <f>_xlfn.XLOOKUP(표14[[#This Row],[end_use_industry]],표13[end_use_category],표13[end_use_id])</f>
        <v>E07</v>
      </c>
      <c r="D224" s="11">
        <f>_xlfn.XLOOKUP(표14[[#This Row],[importance]],표15[importance],표15[rating])</f>
        <v>0.3</v>
      </c>
      <c r="E224" s="1" t="s">
        <v>122</v>
      </c>
      <c r="F224" s="1" t="s">
        <v>1439</v>
      </c>
      <c r="G224" s="1" t="s">
        <v>1328</v>
      </c>
      <c r="H224" s="1" t="s">
        <v>1263</v>
      </c>
      <c r="I224" s="1" t="s">
        <v>1287</v>
      </c>
      <c r="J224" s="1" t="s">
        <v>1622</v>
      </c>
      <c r="K224" s="1" t="s">
        <v>1285</v>
      </c>
      <c r="L224" s="11"/>
    </row>
    <row r="225" spans="1:12" ht="33">
      <c r="A225" s="11" t="str">
        <f>_xlfn.XLOOKUP(표14[[#This Row],[material_name]],표2[material_name],표2[material_id])</f>
        <v>M064</v>
      </c>
      <c r="B225" s="11" t="str">
        <f>_xlfn.XLOOKUP(표14[[#This Row],[application_taxonomy]],표11[application_taxonomy],표11[app_id])</f>
        <v>A01</v>
      </c>
      <c r="C225" s="11" t="str">
        <f>_xlfn.XLOOKUP(표14[[#This Row],[end_use_industry]],표13[end_use_category],표13[end_use_id])</f>
        <v>E07</v>
      </c>
      <c r="D225" s="11">
        <f>_xlfn.XLOOKUP(표14[[#This Row],[importance]],표15[importance],표15[rating])</f>
        <v>0.6</v>
      </c>
      <c r="E225" s="1" t="s">
        <v>119</v>
      </c>
      <c r="F225" s="1" t="s">
        <v>1621</v>
      </c>
      <c r="G225" s="1" t="s">
        <v>1313</v>
      </c>
      <c r="H225" s="1" t="s">
        <v>1263</v>
      </c>
      <c r="I225" s="1" t="s">
        <v>1298</v>
      </c>
      <c r="J225" s="1" t="s">
        <v>1620</v>
      </c>
      <c r="K225" s="1" t="s">
        <v>1285</v>
      </c>
      <c r="L225" s="11"/>
    </row>
    <row r="226" spans="1:12" ht="33">
      <c r="A226" s="11" t="str">
        <f>_xlfn.XLOOKUP(표14[[#This Row],[material_name]],표2[material_name],표2[material_id])</f>
        <v>M064</v>
      </c>
      <c r="B226" s="11" t="str">
        <f>_xlfn.XLOOKUP(표14[[#This Row],[application_taxonomy]],표11[application_taxonomy],표11[app_id])</f>
        <v>A01</v>
      </c>
      <c r="C226" s="11" t="str">
        <f>_xlfn.XLOOKUP(표14[[#This Row],[end_use_industry]],표13[end_use_category],표13[end_use_id])</f>
        <v>E07</v>
      </c>
      <c r="D226" s="11">
        <f>_xlfn.XLOOKUP(표14[[#This Row],[importance]],표15[importance],표15[rating])</f>
        <v>0.6</v>
      </c>
      <c r="E226" s="1" t="s">
        <v>119</v>
      </c>
      <c r="F226" s="1" t="s">
        <v>1619</v>
      </c>
      <c r="G226" s="1" t="s">
        <v>1313</v>
      </c>
      <c r="H226" s="1" t="s">
        <v>1263</v>
      </c>
      <c r="I226" s="1" t="s">
        <v>1298</v>
      </c>
      <c r="J226" s="1" t="s">
        <v>1618</v>
      </c>
      <c r="K226" s="1" t="s">
        <v>1285</v>
      </c>
      <c r="L226" s="11"/>
    </row>
    <row r="227" spans="1:12" ht="33">
      <c r="A227" s="11" t="str">
        <f>_xlfn.XLOOKUP(표14[[#This Row],[material_name]],표2[material_name],표2[material_id])</f>
        <v>M064</v>
      </c>
      <c r="B227" s="11" t="str">
        <f>_xlfn.XLOOKUP(표14[[#This Row],[application_taxonomy]],표11[application_taxonomy],표11[app_id])</f>
        <v>A24</v>
      </c>
      <c r="C227" s="11" t="str">
        <f>_xlfn.XLOOKUP(표14[[#This Row],[end_use_industry]],표13[end_use_category],표13[end_use_id])</f>
        <v>E07</v>
      </c>
      <c r="D227" s="11">
        <f>_xlfn.XLOOKUP(표14[[#This Row],[importance]],표15[importance],표15[rating])</f>
        <v>0.1</v>
      </c>
      <c r="E227" s="1" t="s">
        <v>119</v>
      </c>
      <c r="F227" s="1" t="s">
        <v>1617</v>
      </c>
      <c r="G227" s="1" t="s">
        <v>1303</v>
      </c>
      <c r="H227" s="1" t="s">
        <v>1263</v>
      </c>
      <c r="I227" s="1" t="s">
        <v>1428</v>
      </c>
      <c r="J227" s="1" t="s">
        <v>1616</v>
      </c>
      <c r="K227" s="1" t="s">
        <v>1285</v>
      </c>
      <c r="L227" s="11"/>
    </row>
    <row r="228" spans="1:12" ht="33">
      <c r="A228" s="11" t="str">
        <f>_xlfn.XLOOKUP(표14[[#This Row],[material_name]],표2[material_name],표2[material_id])</f>
        <v>M065</v>
      </c>
      <c r="B228" s="11" t="str">
        <f>_xlfn.XLOOKUP(표14[[#This Row],[application_taxonomy]],표11[application_taxonomy],표11[app_id])</f>
        <v>A01</v>
      </c>
      <c r="C228" s="11" t="str">
        <f>_xlfn.XLOOKUP(표14[[#This Row],[end_use_industry]],표13[end_use_category],표13[end_use_id])</f>
        <v>E07</v>
      </c>
      <c r="D228" s="11">
        <f>_xlfn.XLOOKUP(표14[[#This Row],[importance]],표15[importance],표15[rating])</f>
        <v>0.6</v>
      </c>
      <c r="E228" s="1" t="s">
        <v>118</v>
      </c>
      <c r="F228" s="1" t="s">
        <v>1615</v>
      </c>
      <c r="G228" s="1" t="s">
        <v>1313</v>
      </c>
      <c r="H228" s="1" t="s">
        <v>1263</v>
      </c>
      <c r="I228" s="1" t="s">
        <v>1298</v>
      </c>
      <c r="J228" s="1" t="s">
        <v>1614</v>
      </c>
      <c r="K228" s="1" t="s">
        <v>1285</v>
      </c>
      <c r="L228" s="11"/>
    </row>
    <row r="229" spans="1:12">
      <c r="A229" s="11" t="str">
        <f>_xlfn.XLOOKUP(표14[[#This Row],[material_name]],표2[material_name],표2[material_id])</f>
        <v>M065</v>
      </c>
      <c r="B229" s="11" t="str">
        <f>_xlfn.XLOOKUP(표14[[#This Row],[application_taxonomy]],표11[application_taxonomy],표11[app_id])</f>
        <v>A19</v>
      </c>
      <c r="C229" s="11" t="str">
        <f>_xlfn.XLOOKUP(표14[[#This Row],[end_use_industry]],표13[end_use_category],표13[end_use_id])</f>
        <v>E03</v>
      </c>
      <c r="D229" s="11">
        <f>_xlfn.XLOOKUP(표14[[#This Row],[importance]],표15[importance],표15[rating])</f>
        <v>0.3</v>
      </c>
      <c r="E229" s="1" t="s">
        <v>118</v>
      </c>
      <c r="F229" s="1" t="s">
        <v>1613</v>
      </c>
      <c r="G229" s="1" t="s">
        <v>1340</v>
      </c>
      <c r="H229" s="1" t="s">
        <v>1275</v>
      </c>
      <c r="I229" s="1" t="s">
        <v>1287</v>
      </c>
      <c r="J229" s="1" t="s">
        <v>1612</v>
      </c>
      <c r="K229" s="1" t="s">
        <v>1285</v>
      </c>
      <c r="L229" s="11"/>
    </row>
    <row r="230" spans="1:12" ht="33">
      <c r="A230" s="11" t="str">
        <f>_xlfn.XLOOKUP(표14[[#This Row],[material_name]],표2[material_name],표2[material_id])</f>
        <v>M065</v>
      </c>
      <c r="B230" s="11" t="str">
        <f>_xlfn.XLOOKUP(표14[[#This Row],[application_taxonomy]],표11[application_taxonomy],표11[app_id])</f>
        <v>A23</v>
      </c>
      <c r="C230" s="11" t="str">
        <f>_xlfn.XLOOKUP(표14[[#This Row],[end_use_industry]],표13[end_use_category],표13[end_use_id])</f>
        <v>E07</v>
      </c>
      <c r="D230" s="11">
        <f>_xlfn.XLOOKUP(표14[[#This Row],[importance]],표15[importance],표15[rating])</f>
        <v>0.3</v>
      </c>
      <c r="E230" s="1" t="s">
        <v>118</v>
      </c>
      <c r="F230" s="1" t="s">
        <v>1611</v>
      </c>
      <c r="G230" s="1" t="s">
        <v>1566</v>
      </c>
      <c r="H230" s="1" t="s">
        <v>1263</v>
      </c>
      <c r="I230" s="1" t="s">
        <v>1287</v>
      </c>
      <c r="J230" s="1" t="s">
        <v>1610</v>
      </c>
      <c r="K230" s="1" t="s">
        <v>1285</v>
      </c>
      <c r="L230" s="11"/>
    </row>
    <row r="231" spans="1:12" ht="33">
      <c r="A231" s="11" t="str">
        <f>_xlfn.XLOOKUP(표14[[#This Row],[material_name]],표2[material_name],표2[material_id])</f>
        <v>M065</v>
      </c>
      <c r="B231" s="11" t="str">
        <f>_xlfn.XLOOKUP(표14[[#This Row],[application_taxonomy]],표11[application_taxonomy],표11[app_id])</f>
        <v>A33</v>
      </c>
      <c r="C231" s="11" t="str">
        <f>_xlfn.XLOOKUP(표14[[#This Row],[end_use_industry]],표13[end_use_category],표13[end_use_id])</f>
        <v>E05</v>
      </c>
      <c r="D231" s="11">
        <f>_xlfn.XLOOKUP(표14[[#This Row],[importance]],표15[importance],표15[rating])</f>
        <v>0.1</v>
      </c>
      <c r="E231" s="1" t="s">
        <v>118</v>
      </c>
      <c r="F231" s="1" t="s">
        <v>1609</v>
      </c>
      <c r="G231" s="1" t="s">
        <v>1333</v>
      </c>
      <c r="H231" s="1" t="s">
        <v>1269</v>
      </c>
      <c r="I231" s="1" t="s">
        <v>1302</v>
      </c>
      <c r="J231" s="1" t="s">
        <v>1608</v>
      </c>
      <c r="K231" s="1" t="s">
        <v>1285</v>
      </c>
      <c r="L231" s="11"/>
    </row>
    <row r="232" spans="1:12" ht="33">
      <c r="A232" s="11" t="str">
        <f>_xlfn.XLOOKUP(표14[[#This Row],[material_name]],표2[material_name],표2[material_id])</f>
        <v>M065</v>
      </c>
      <c r="B232" s="11" t="str">
        <f>_xlfn.XLOOKUP(표14[[#This Row],[application_taxonomy]],표11[application_taxonomy],표11[app_id])</f>
        <v>A35</v>
      </c>
      <c r="C232" s="11" t="str">
        <f>_xlfn.XLOOKUP(표14[[#This Row],[end_use_industry]],표13[end_use_category],표13[end_use_id])</f>
        <v>E06</v>
      </c>
      <c r="D232" s="11">
        <f>_xlfn.XLOOKUP(표14[[#This Row],[importance]],표15[importance],표15[rating])</f>
        <v>0.1</v>
      </c>
      <c r="E232" s="1" t="s">
        <v>118</v>
      </c>
      <c r="F232" s="1" t="s">
        <v>1607</v>
      </c>
      <c r="G232" s="1" t="s">
        <v>1577</v>
      </c>
      <c r="H232" s="1" t="s">
        <v>1266</v>
      </c>
      <c r="I232" s="1" t="s">
        <v>1302</v>
      </c>
      <c r="J232" s="1" t="s">
        <v>1606</v>
      </c>
      <c r="K232" s="1" t="s">
        <v>1285</v>
      </c>
      <c r="L232" s="11"/>
    </row>
    <row r="233" spans="1:12" ht="33">
      <c r="A233" s="11" t="str">
        <f>_xlfn.XLOOKUP(표14[[#This Row],[material_name]],표2[material_name],표2[material_id])</f>
        <v>M066</v>
      </c>
      <c r="B233" s="11" t="str">
        <f>_xlfn.XLOOKUP(표14[[#This Row],[application_taxonomy]],표11[application_taxonomy],표11[app_id])</f>
        <v>A01</v>
      </c>
      <c r="C233" s="11" t="str">
        <f>_xlfn.XLOOKUP(표14[[#This Row],[end_use_industry]],표13[end_use_category],표13[end_use_id])</f>
        <v>E07</v>
      </c>
      <c r="D233" s="11">
        <f>_xlfn.XLOOKUP(표14[[#This Row],[importance]],표15[importance],표15[rating])</f>
        <v>0.6</v>
      </c>
      <c r="E233" s="1" t="s">
        <v>966</v>
      </c>
      <c r="F233" s="1" t="s">
        <v>1605</v>
      </c>
      <c r="G233" s="1" t="s">
        <v>1313</v>
      </c>
      <c r="H233" s="1" t="s">
        <v>1263</v>
      </c>
      <c r="I233" s="1" t="s">
        <v>1298</v>
      </c>
      <c r="J233" s="1" t="s">
        <v>1604</v>
      </c>
      <c r="K233" s="1" t="s">
        <v>1285</v>
      </c>
      <c r="L233" s="11"/>
    </row>
    <row r="234" spans="1:12" ht="33">
      <c r="A234" s="11" t="str">
        <f>_xlfn.XLOOKUP(표14[[#This Row],[material_name]],표2[material_name],표2[material_id])</f>
        <v>M066</v>
      </c>
      <c r="B234" s="11" t="str">
        <f>_xlfn.XLOOKUP(표14[[#This Row],[application_taxonomy]],표11[application_taxonomy],표11[app_id])</f>
        <v>A30</v>
      </c>
      <c r="C234" s="11" t="str">
        <f>_xlfn.XLOOKUP(표14[[#This Row],[end_use_industry]],표13[end_use_category],표13[end_use_id])</f>
        <v>E02</v>
      </c>
      <c r="D234" s="11">
        <f>_xlfn.XLOOKUP(표14[[#This Row],[importance]],표15[importance],표15[rating])</f>
        <v>0.6</v>
      </c>
      <c r="E234" s="1" t="s">
        <v>966</v>
      </c>
      <c r="F234" s="1" t="s">
        <v>1603</v>
      </c>
      <c r="G234" s="1" t="s">
        <v>1545</v>
      </c>
      <c r="H234" s="1" t="s">
        <v>1278</v>
      </c>
      <c r="I234" s="1" t="s">
        <v>1298</v>
      </c>
      <c r="J234" s="1" t="s">
        <v>1602</v>
      </c>
      <c r="K234" s="1" t="s">
        <v>1285</v>
      </c>
      <c r="L234" s="11"/>
    </row>
    <row r="235" spans="1:12" ht="33">
      <c r="A235" s="11" t="str">
        <f>_xlfn.XLOOKUP(표14[[#This Row],[material_name]],표2[material_name],표2[material_id])</f>
        <v>M066</v>
      </c>
      <c r="B235" s="11" t="str">
        <f>_xlfn.XLOOKUP(표14[[#This Row],[application_taxonomy]],표11[application_taxonomy],표11[app_id])</f>
        <v>A28</v>
      </c>
      <c r="C235" s="11" t="str">
        <f>_xlfn.XLOOKUP(표14[[#This Row],[end_use_industry]],표13[end_use_category],표13[end_use_id])</f>
        <v>E07</v>
      </c>
      <c r="D235" s="11">
        <f>_xlfn.XLOOKUP(표14[[#This Row],[importance]],표15[importance],표15[rating])</f>
        <v>0.1</v>
      </c>
      <c r="E235" s="1" t="s">
        <v>966</v>
      </c>
      <c r="F235" s="1" t="s">
        <v>1601</v>
      </c>
      <c r="G235" s="1" t="s">
        <v>1360</v>
      </c>
      <c r="H235" s="1" t="s">
        <v>1263</v>
      </c>
      <c r="I235" s="1" t="s">
        <v>1302</v>
      </c>
      <c r="J235" s="1" t="s">
        <v>1600</v>
      </c>
      <c r="K235" s="1" t="s">
        <v>1285</v>
      </c>
      <c r="L235" s="11"/>
    </row>
    <row r="236" spans="1:12" ht="33">
      <c r="A236" s="11" t="str">
        <f>_xlfn.XLOOKUP(표14[[#This Row],[material_name]],표2[material_name],표2[material_id])</f>
        <v>M067</v>
      </c>
      <c r="B236" s="11" t="str">
        <f>_xlfn.XLOOKUP(표14[[#This Row],[application_taxonomy]],표11[application_taxonomy],표11[app_id])</f>
        <v>A01</v>
      </c>
      <c r="C236" s="11" t="str">
        <f>_xlfn.XLOOKUP(표14[[#This Row],[end_use_industry]],표13[end_use_category],표13[end_use_id])</f>
        <v>E07</v>
      </c>
      <c r="D236" s="11">
        <f>_xlfn.XLOOKUP(표14[[#This Row],[importance]],표15[importance],표15[rating])</f>
        <v>0.6</v>
      </c>
      <c r="E236" s="1" t="s">
        <v>967</v>
      </c>
      <c r="F236" s="1" t="s">
        <v>1599</v>
      </c>
      <c r="G236" s="1" t="s">
        <v>1313</v>
      </c>
      <c r="H236" s="1" t="s">
        <v>1263</v>
      </c>
      <c r="I236" s="1" t="s">
        <v>1298</v>
      </c>
      <c r="J236" s="1" t="s">
        <v>1598</v>
      </c>
      <c r="K236" s="1" t="s">
        <v>1285</v>
      </c>
      <c r="L236" s="11"/>
    </row>
    <row r="237" spans="1:12" ht="33">
      <c r="A237" s="11" t="str">
        <f>_xlfn.XLOOKUP(표14[[#This Row],[material_name]],표2[material_name],표2[material_id])</f>
        <v>M067</v>
      </c>
      <c r="B237" s="11" t="str">
        <f>_xlfn.XLOOKUP(표14[[#This Row],[application_taxonomy]],표11[application_taxonomy],표11[app_id])</f>
        <v>A24</v>
      </c>
      <c r="C237" s="11" t="str">
        <f>_xlfn.XLOOKUP(표14[[#This Row],[end_use_industry]],표13[end_use_category],표13[end_use_id])</f>
        <v>E07</v>
      </c>
      <c r="D237" s="11">
        <f>_xlfn.XLOOKUP(표14[[#This Row],[importance]],표15[importance],표15[rating])</f>
        <v>0.1</v>
      </c>
      <c r="E237" s="1" t="s">
        <v>967</v>
      </c>
      <c r="F237" s="1" t="s">
        <v>1597</v>
      </c>
      <c r="G237" s="1" t="s">
        <v>1303</v>
      </c>
      <c r="H237" s="1" t="s">
        <v>1263</v>
      </c>
      <c r="I237" s="1" t="s">
        <v>1302</v>
      </c>
      <c r="J237" s="1" t="s">
        <v>1596</v>
      </c>
      <c r="K237" s="1" t="s">
        <v>1285</v>
      </c>
      <c r="L237" s="11"/>
    </row>
    <row r="238" spans="1:12" ht="33">
      <c r="A238" s="11" t="str">
        <f>_xlfn.XLOOKUP(표14[[#This Row],[material_name]],표2[material_name],표2[material_id])</f>
        <v>M067</v>
      </c>
      <c r="B238" s="11" t="str">
        <f>_xlfn.XLOOKUP(표14[[#This Row],[application_taxonomy]],표11[application_taxonomy],표11[app_id])</f>
        <v>A02</v>
      </c>
      <c r="C238" s="11" t="str">
        <f>_xlfn.XLOOKUP(표14[[#This Row],[end_use_industry]],표13[end_use_category],표13[end_use_id])</f>
        <v>E06</v>
      </c>
      <c r="D238" s="11">
        <f>_xlfn.XLOOKUP(표14[[#This Row],[importance]],표15[importance],표15[rating])</f>
        <v>0.1</v>
      </c>
      <c r="E238" s="1" t="s">
        <v>967</v>
      </c>
      <c r="F238" s="1" t="s">
        <v>1595</v>
      </c>
      <c r="G238" s="1" t="s">
        <v>1308</v>
      </c>
      <c r="H238" s="1" t="s">
        <v>1594</v>
      </c>
      <c r="I238" s="1" t="s">
        <v>1302</v>
      </c>
      <c r="J238" s="1" t="s">
        <v>1593</v>
      </c>
      <c r="K238" s="1" t="s">
        <v>1285</v>
      </c>
      <c r="L238" s="11"/>
    </row>
    <row r="239" spans="1:12" ht="33">
      <c r="A239" s="11" t="str">
        <f>_xlfn.XLOOKUP(표14[[#This Row],[material_name]],표2[material_name],표2[material_id])</f>
        <v>M068</v>
      </c>
      <c r="B239" s="11" t="str">
        <f>_xlfn.XLOOKUP(표14[[#This Row],[application_taxonomy]],표11[application_taxonomy],표11[app_id])</f>
        <v>A01</v>
      </c>
      <c r="C239" s="11" t="str">
        <f>_xlfn.XLOOKUP(표14[[#This Row],[end_use_industry]],표13[end_use_category],표13[end_use_id])</f>
        <v>E01</v>
      </c>
      <c r="D239" s="11">
        <f>_xlfn.XLOOKUP(표14[[#This Row],[importance]],표15[importance],표15[rating])</f>
        <v>0.6</v>
      </c>
      <c r="E239" s="1" t="s">
        <v>971</v>
      </c>
      <c r="F239" s="1" t="s">
        <v>1351</v>
      </c>
      <c r="G239" s="1" t="s">
        <v>1254</v>
      </c>
      <c r="H239" s="1" t="s">
        <v>1281</v>
      </c>
      <c r="I239" s="1" t="s">
        <v>1298</v>
      </c>
      <c r="J239" s="1" t="s">
        <v>1592</v>
      </c>
      <c r="K239" s="1" t="s">
        <v>1285</v>
      </c>
      <c r="L239" s="11"/>
    </row>
    <row r="240" spans="1:12" ht="33">
      <c r="A240" s="11" t="str">
        <f>_xlfn.XLOOKUP(표14[[#This Row],[material_name]],표2[material_name],표2[material_id])</f>
        <v>M068</v>
      </c>
      <c r="B240" s="11" t="str">
        <f>_xlfn.XLOOKUP(표14[[#This Row],[application_taxonomy]],표11[application_taxonomy],표11[app_id])</f>
        <v>A02</v>
      </c>
      <c r="C240" s="11" t="str">
        <f>_xlfn.XLOOKUP(표14[[#This Row],[end_use_industry]],표13[end_use_category],표13[end_use_id])</f>
        <v>E07</v>
      </c>
      <c r="D240" s="11">
        <f>_xlfn.XLOOKUP(표14[[#This Row],[importance]],표15[importance],표15[rating])</f>
        <v>0.3</v>
      </c>
      <c r="E240" s="1" t="s">
        <v>971</v>
      </c>
      <c r="F240" s="1" t="s">
        <v>1591</v>
      </c>
      <c r="G240" s="1" t="s">
        <v>1308</v>
      </c>
      <c r="H240" s="1" t="s">
        <v>1263</v>
      </c>
      <c r="I240" s="1" t="s">
        <v>1287</v>
      </c>
      <c r="J240" s="1" t="s">
        <v>1590</v>
      </c>
      <c r="K240" s="1" t="s">
        <v>1285</v>
      </c>
      <c r="L240" s="11"/>
    </row>
    <row r="241" spans="1:12" ht="33">
      <c r="A241" s="11" t="str">
        <f>_xlfn.XLOOKUP(표14[[#This Row],[material_name]],표2[material_name],표2[material_id])</f>
        <v>M068</v>
      </c>
      <c r="B241" s="11" t="str">
        <f>_xlfn.XLOOKUP(표14[[#This Row],[application_taxonomy]],표11[application_taxonomy],표11[app_id])</f>
        <v>A28</v>
      </c>
      <c r="C241" s="11" t="str">
        <f>_xlfn.XLOOKUP(표14[[#This Row],[end_use_industry]],표13[end_use_category],표13[end_use_id])</f>
        <v>E07</v>
      </c>
      <c r="D241" s="11">
        <f>_xlfn.XLOOKUP(표14[[#This Row],[importance]],표15[importance],표15[rating])</f>
        <v>0.3</v>
      </c>
      <c r="E241" s="1" t="s">
        <v>971</v>
      </c>
      <c r="F241" s="1" t="s">
        <v>1589</v>
      </c>
      <c r="G241" s="1" t="s">
        <v>1360</v>
      </c>
      <c r="H241" s="1" t="s">
        <v>1263</v>
      </c>
      <c r="I241" s="1" t="s">
        <v>1287</v>
      </c>
      <c r="J241" s="1" t="s">
        <v>1588</v>
      </c>
      <c r="K241" s="1" t="s">
        <v>1285</v>
      </c>
      <c r="L241" s="11"/>
    </row>
    <row r="242" spans="1:12" ht="33">
      <c r="A242" s="11" t="str">
        <f>_xlfn.XLOOKUP(표14[[#This Row],[material_name]],표2[material_name],표2[material_id])</f>
        <v>M068</v>
      </c>
      <c r="B242" s="11" t="str">
        <f>_xlfn.XLOOKUP(표14[[#This Row],[application_taxonomy]],표11[application_taxonomy],표11[app_id])</f>
        <v>A38</v>
      </c>
      <c r="C242" s="11" t="str">
        <f>_xlfn.XLOOKUP(표14[[#This Row],[end_use_industry]],표13[end_use_category],표13[end_use_id])</f>
        <v>E07</v>
      </c>
      <c r="D242" s="11">
        <f>_xlfn.XLOOKUP(표14[[#This Row],[importance]],표15[importance],표15[rating])</f>
        <v>0.3</v>
      </c>
      <c r="E242" s="1" t="s">
        <v>971</v>
      </c>
      <c r="F242" s="1" t="s">
        <v>1587</v>
      </c>
      <c r="G242" s="1" t="s">
        <v>1434</v>
      </c>
      <c r="H242" s="1" t="s">
        <v>1263</v>
      </c>
      <c r="I242" s="1" t="s">
        <v>1287</v>
      </c>
      <c r="J242" s="1" t="s">
        <v>1586</v>
      </c>
      <c r="K242" s="1" t="s">
        <v>1285</v>
      </c>
      <c r="L242" s="11"/>
    </row>
    <row r="243" spans="1:12" ht="33">
      <c r="A243" s="11" t="str">
        <f>_xlfn.XLOOKUP(표14[[#This Row],[material_name]],표2[material_name],표2[material_id])</f>
        <v>M068</v>
      </c>
      <c r="B243" s="11" t="str">
        <f>_xlfn.XLOOKUP(표14[[#This Row],[application_taxonomy]],표11[application_taxonomy],표11[app_id])</f>
        <v>A27</v>
      </c>
      <c r="C243" s="11" t="str">
        <f>_xlfn.XLOOKUP(표14[[#This Row],[end_use_industry]],표13[end_use_category],표13[end_use_id])</f>
        <v>E07</v>
      </c>
      <c r="D243" s="11">
        <f>_xlfn.XLOOKUP(표14[[#This Row],[importance]],표15[importance],표15[rating])</f>
        <v>0.3</v>
      </c>
      <c r="E243" s="1" t="s">
        <v>971</v>
      </c>
      <c r="F243" s="1" t="s">
        <v>1585</v>
      </c>
      <c r="G243" s="1" t="s">
        <v>1391</v>
      </c>
      <c r="H243" s="1" t="s">
        <v>1263</v>
      </c>
      <c r="I243" s="1" t="s">
        <v>1287</v>
      </c>
      <c r="J243" s="1" t="s">
        <v>1584</v>
      </c>
      <c r="K243" s="1" t="s">
        <v>1285</v>
      </c>
      <c r="L243" s="11"/>
    </row>
    <row r="244" spans="1:12" ht="33">
      <c r="A244" s="11" t="str">
        <f>_xlfn.XLOOKUP(표14[[#This Row],[material_name]],표2[material_name],표2[material_id])</f>
        <v>M068</v>
      </c>
      <c r="B244" s="11" t="str">
        <f>_xlfn.XLOOKUP(표14[[#This Row],[application_taxonomy]],표11[application_taxonomy],표11[app_id])</f>
        <v>A36</v>
      </c>
      <c r="C244" s="11" t="str">
        <f>_xlfn.XLOOKUP(표14[[#This Row],[end_use_industry]],표13[end_use_category],표13[end_use_id])</f>
        <v>E02</v>
      </c>
      <c r="D244" s="11">
        <f>_xlfn.XLOOKUP(표14[[#This Row],[importance]],표15[importance],표15[rating])</f>
        <v>0.3</v>
      </c>
      <c r="E244" s="1" t="s">
        <v>971</v>
      </c>
      <c r="F244" s="1" t="s">
        <v>1583</v>
      </c>
      <c r="G244" s="1" t="s">
        <v>1582</v>
      </c>
      <c r="H244" s="1" t="s">
        <v>1278</v>
      </c>
      <c r="I244" s="1" t="s">
        <v>1287</v>
      </c>
      <c r="J244" s="1" t="s">
        <v>1581</v>
      </c>
      <c r="K244" s="1" t="s">
        <v>1285</v>
      </c>
      <c r="L244" s="11"/>
    </row>
    <row r="245" spans="1:12" ht="33">
      <c r="A245" s="11" t="str">
        <f>_xlfn.XLOOKUP(표14[[#This Row],[material_name]],표2[material_name],표2[material_id])</f>
        <v>M068</v>
      </c>
      <c r="B245" s="11" t="str">
        <f>_xlfn.XLOOKUP(표14[[#This Row],[application_taxonomy]],표11[application_taxonomy],표11[app_id])</f>
        <v>A22</v>
      </c>
      <c r="C245" s="11" t="str">
        <f>_xlfn.XLOOKUP(표14[[#This Row],[end_use_industry]],표13[end_use_category],표13[end_use_id])</f>
        <v>E07</v>
      </c>
      <c r="D245" s="11">
        <f>_xlfn.XLOOKUP(표14[[#This Row],[importance]],표15[importance],표15[rating])</f>
        <v>0.3</v>
      </c>
      <c r="E245" s="1" t="s">
        <v>971</v>
      </c>
      <c r="F245" s="1" t="s">
        <v>1580</v>
      </c>
      <c r="G245" s="1" t="s">
        <v>1292</v>
      </c>
      <c r="H245" s="1" t="s">
        <v>1263</v>
      </c>
      <c r="I245" s="1" t="s">
        <v>1287</v>
      </c>
      <c r="J245" s="1" t="s">
        <v>1579</v>
      </c>
      <c r="K245" s="1" t="s">
        <v>1285</v>
      </c>
      <c r="L245" s="11"/>
    </row>
    <row r="246" spans="1:12" ht="33">
      <c r="A246" s="11" t="str">
        <f>_xlfn.XLOOKUP(표14[[#This Row],[material_name]],표2[material_name],표2[material_id])</f>
        <v>M068</v>
      </c>
      <c r="B246" s="11" t="str">
        <f>_xlfn.XLOOKUP(표14[[#This Row],[application_taxonomy]],표11[application_taxonomy],표11[app_id])</f>
        <v>A35</v>
      </c>
      <c r="C246" s="11" t="str">
        <f>_xlfn.XLOOKUP(표14[[#This Row],[end_use_industry]],표13[end_use_category],표13[end_use_id])</f>
        <v>E06</v>
      </c>
      <c r="D246" s="11">
        <f>_xlfn.XLOOKUP(표14[[#This Row],[importance]],표15[importance],표15[rating])</f>
        <v>0.1</v>
      </c>
      <c r="E246" s="1" t="s">
        <v>971</v>
      </c>
      <c r="F246" s="1" t="s">
        <v>1578</v>
      </c>
      <c r="G246" s="1" t="s">
        <v>1577</v>
      </c>
      <c r="H246" s="1" t="s">
        <v>1266</v>
      </c>
      <c r="I246" s="1" t="s">
        <v>1302</v>
      </c>
      <c r="J246" s="1" t="s">
        <v>1576</v>
      </c>
      <c r="K246" s="1" t="s">
        <v>1285</v>
      </c>
      <c r="L246" s="11"/>
    </row>
    <row r="247" spans="1:12" ht="49.5">
      <c r="A247" s="11" t="str">
        <f>_xlfn.XLOOKUP(표14[[#This Row],[material_name]],표2[material_name],표2[material_id])</f>
        <v>M069</v>
      </c>
      <c r="B247" s="11" t="str">
        <f>_xlfn.XLOOKUP(표14[[#This Row],[application_taxonomy]],표11[application_taxonomy],표11[app_id])</f>
        <v>A01</v>
      </c>
      <c r="C247" s="11" t="str">
        <f>_xlfn.XLOOKUP(표14[[#This Row],[end_use_industry]],표13[end_use_category],표13[end_use_id])</f>
        <v>E07</v>
      </c>
      <c r="D247" s="11">
        <f>_xlfn.XLOOKUP(표14[[#This Row],[importance]],표15[importance],표15[rating])</f>
        <v>0.6</v>
      </c>
      <c r="E247" s="1" t="s">
        <v>852</v>
      </c>
      <c r="F247" s="1" t="s">
        <v>886</v>
      </c>
      <c r="G247" s="1" t="s">
        <v>1313</v>
      </c>
      <c r="H247" s="1" t="s">
        <v>1263</v>
      </c>
      <c r="I247" s="1" t="s">
        <v>1298</v>
      </c>
      <c r="J247" s="1" t="s">
        <v>4057</v>
      </c>
      <c r="K247" s="1" t="s">
        <v>1285</v>
      </c>
      <c r="L247" s="11"/>
    </row>
    <row r="248" spans="1:12" ht="33">
      <c r="A248" s="11" t="str">
        <f>_xlfn.XLOOKUP(표14[[#This Row],[material_name]],표2[material_name],표2[material_id])</f>
        <v>M069</v>
      </c>
      <c r="B248" s="11" t="str">
        <f>_xlfn.XLOOKUP(표14[[#This Row],[application_taxonomy]],표11[application_taxonomy],표11[app_id])</f>
        <v>A01</v>
      </c>
      <c r="C248" s="11" t="str">
        <f>_xlfn.XLOOKUP(표14[[#This Row],[end_use_industry]],표13[end_use_category],표13[end_use_id])</f>
        <v>E07</v>
      </c>
      <c r="D248" s="11">
        <f>_xlfn.XLOOKUP(표14[[#This Row],[importance]],표15[importance],표15[rating])</f>
        <v>0.6</v>
      </c>
      <c r="E248" s="1" t="s">
        <v>852</v>
      </c>
      <c r="F248" s="1" t="s">
        <v>4058</v>
      </c>
      <c r="G248" s="1" t="s">
        <v>1313</v>
      </c>
      <c r="H248" s="1" t="s">
        <v>1263</v>
      </c>
      <c r="I248" s="1" t="s">
        <v>1298</v>
      </c>
      <c r="J248" s="1" t="s">
        <v>4059</v>
      </c>
      <c r="K248" s="1" t="s">
        <v>1285</v>
      </c>
      <c r="L248" s="11"/>
    </row>
    <row r="249" spans="1:12" ht="33">
      <c r="A249" s="11" t="str">
        <f>_xlfn.XLOOKUP(표14[[#This Row],[material_name]],표2[material_name],표2[material_id])</f>
        <v>M069</v>
      </c>
      <c r="B249" s="11" t="str">
        <f>_xlfn.XLOOKUP(표14[[#This Row],[application_taxonomy]],표11[application_taxonomy],표11[app_id])</f>
        <v>A01</v>
      </c>
      <c r="C249" s="11" t="str">
        <f>_xlfn.XLOOKUP(표14[[#This Row],[end_use_industry]],표13[end_use_category],표13[end_use_id])</f>
        <v>E07</v>
      </c>
      <c r="D249" s="11">
        <f>_xlfn.XLOOKUP(표14[[#This Row],[importance]],표15[importance],표15[rating])</f>
        <v>0.3</v>
      </c>
      <c r="E249" s="1" t="s">
        <v>852</v>
      </c>
      <c r="F249" s="1" t="s">
        <v>903</v>
      </c>
      <c r="G249" s="1" t="s">
        <v>1313</v>
      </c>
      <c r="H249" s="1" t="s">
        <v>1263</v>
      </c>
      <c r="I249" s="1" t="s">
        <v>1287</v>
      </c>
      <c r="J249" s="1" t="s">
        <v>4060</v>
      </c>
      <c r="K249" s="1" t="s">
        <v>1285</v>
      </c>
      <c r="L249" s="11"/>
    </row>
    <row r="250" spans="1:12" ht="33">
      <c r="A250" s="11" t="str">
        <f>_xlfn.XLOOKUP(표14[[#This Row],[material_name]],표2[material_name],표2[material_id])</f>
        <v>M069</v>
      </c>
      <c r="B250" s="11" t="str">
        <f>_xlfn.XLOOKUP(표14[[#This Row],[application_taxonomy]],표11[application_taxonomy],표11[app_id])</f>
        <v>A43</v>
      </c>
      <c r="C250" s="11" t="str">
        <f>_xlfn.XLOOKUP(표14[[#This Row],[end_use_industry]],표13[end_use_category],표13[end_use_id])</f>
        <v>E04</v>
      </c>
      <c r="D250" s="11">
        <f>_xlfn.XLOOKUP(표14[[#This Row],[importance]],표15[importance],표15[rating])</f>
        <v>0.3</v>
      </c>
      <c r="E250" s="1" t="s">
        <v>852</v>
      </c>
      <c r="F250" s="1" t="s">
        <v>4061</v>
      </c>
      <c r="G250" s="1" t="s">
        <v>1709</v>
      </c>
      <c r="H250" s="1" t="s">
        <v>1272</v>
      </c>
      <c r="I250" s="1" t="s">
        <v>1287</v>
      </c>
      <c r="J250" s="1" t="s">
        <v>4062</v>
      </c>
      <c r="K250" s="1" t="s">
        <v>1285</v>
      </c>
      <c r="L250" s="11"/>
    </row>
    <row r="251" spans="1:12" ht="33">
      <c r="A251" s="11" t="str">
        <f>_xlfn.XLOOKUP(표14[[#This Row],[material_name]],표2[material_name],표2[material_id])</f>
        <v>M069</v>
      </c>
      <c r="B251" s="11" t="str">
        <f>_xlfn.XLOOKUP(표14[[#This Row],[application_taxonomy]],표11[application_taxonomy],표11[app_id])</f>
        <v>A43</v>
      </c>
      <c r="C251" s="11" t="str">
        <f>_xlfn.XLOOKUP(표14[[#This Row],[end_use_industry]],표13[end_use_category],표13[end_use_id])</f>
        <v>E04</v>
      </c>
      <c r="D251" s="11">
        <f>_xlfn.XLOOKUP(표14[[#This Row],[importance]],표15[importance],표15[rating])</f>
        <v>0.3</v>
      </c>
      <c r="E251" s="1" t="s">
        <v>852</v>
      </c>
      <c r="F251" s="1" t="s">
        <v>4063</v>
      </c>
      <c r="G251" s="1" t="s">
        <v>1709</v>
      </c>
      <c r="H251" s="1" t="s">
        <v>1272</v>
      </c>
      <c r="I251" s="1" t="s">
        <v>1287</v>
      </c>
      <c r="J251" s="1" t="s">
        <v>4064</v>
      </c>
      <c r="K251" s="1" t="s">
        <v>1285</v>
      </c>
      <c r="L251" s="11"/>
    </row>
    <row r="252" spans="1:12">
      <c r="A252" s="11" t="str">
        <f>_xlfn.XLOOKUP(표14[[#This Row],[material_name]],표2[material_name],표2[material_id])</f>
        <v>M069</v>
      </c>
      <c r="B252" s="11" t="str">
        <f>_xlfn.XLOOKUP(표14[[#This Row],[application_taxonomy]],표11[application_taxonomy],표11[app_id])</f>
        <v>A43</v>
      </c>
      <c r="C252" s="11" t="str">
        <f>_xlfn.XLOOKUP(표14[[#This Row],[end_use_industry]],표13[end_use_category],표13[end_use_id])</f>
        <v>E04</v>
      </c>
      <c r="D252" s="11">
        <f>_xlfn.XLOOKUP(표14[[#This Row],[importance]],표15[importance],표15[rating])</f>
        <v>0.3</v>
      </c>
      <c r="E252" s="1" t="s">
        <v>852</v>
      </c>
      <c r="F252" s="1" t="s">
        <v>4065</v>
      </c>
      <c r="G252" s="1" t="s">
        <v>1709</v>
      </c>
      <c r="H252" s="1" t="s">
        <v>1272</v>
      </c>
      <c r="I252" s="1" t="s">
        <v>1287</v>
      </c>
      <c r="J252" s="1" t="s">
        <v>4066</v>
      </c>
      <c r="K252" s="1" t="s">
        <v>1285</v>
      </c>
      <c r="L252" s="11"/>
    </row>
    <row r="253" spans="1:12">
      <c r="A253" s="11" t="str">
        <f>_xlfn.XLOOKUP(표14[[#This Row],[material_name]],표2[material_name],표2[material_id])</f>
        <v>M069</v>
      </c>
      <c r="B253" s="11" t="str">
        <f>_xlfn.XLOOKUP(표14[[#This Row],[application_taxonomy]],표11[application_taxonomy],표11[app_id])</f>
        <v>A43</v>
      </c>
      <c r="C253" s="11" t="str">
        <f>_xlfn.XLOOKUP(표14[[#This Row],[end_use_industry]],표13[end_use_category],표13[end_use_id])</f>
        <v>E04</v>
      </c>
      <c r="D253" s="11">
        <f>_xlfn.XLOOKUP(표14[[#This Row],[importance]],표15[importance],표15[rating])</f>
        <v>0.3</v>
      </c>
      <c r="E253" s="1" t="s">
        <v>852</v>
      </c>
      <c r="F253" s="1" t="s">
        <v>4067</v>
      </c>
      <c r="G253" s="1" t="s">
        <v>1709</v>
      </c>
      <c r="H253" s="1" t="s">
        <v>1272</v>
      </c>
      <c r="I253" s="1" t="s">
        <v>1287</v>
      </c>
      <c r="J253" s="1" t="s">
        <v>4068</v>
      </c>
      <c r="K253" s="1" t="s">
        <v>1285</v>
      </c>
      <c r="L253" s="11"/>
    </row>
    <row r="254" spans="1:12" ht="33">
      <c r="A254" s="11" t="str">
        <f>_xlfn.XLOOKUP(표14[[#This Row],[material_name]],표2[material_name],표2[material_id])</f>
        <v>M069</v>
      </c>
      <c r="B254" s="11" t="str">
        <f>_xlfn.XLOOKUP(표14[[#This Row],[application_taxonomy]],표11[application_taxonomy],표11[app_id])</f>
        <v>A43</v>
      </c>
      <c r="C254" s="11" t="str">
        <f>_xlfn.XLOOKUP(표14[[#This Row],[end_use_industry]],표13[end_use_category],표13[end_use_id])</f>
        <v>E04</v>
      </c>
      <c r="D254" s="11">
        <f>_xlfn.XLOOKUP(표14[[#This Row],[importance]],표15[importance],표15[rating])</f>
        <v>0.3</v>
      </c>
      <c r="E254" s="1" t="s">
        <v>852</v>
      </c>
      <c r="F254" s="1" t="s">
        <v>4069</v>
      </c>
      <c r="G254" s="1" t="s">
        <v>1709</v>
      </c>
      <c r="H254" s="1" t="s">
        <v>1272</v>
      </c>
      <c r="I254" s="1" t="s">
        <v>1287</v>
      </c>
      <c r="J254" s="1" t="s">
        <v>4070</v>
      </c>
      <c r="K254" s="1" t="s">
        <v>1285</v>
      </c>
      <c r="L254" s="11"/>
    </row>
    <row r="255" spans="1:12" ht="33">
      <c r="A255" s="11" t="str">
        <f>_xlfn.XLOOKUP(표14[[#This Row],[material_name]],표2[material_name],표2[material_id])</f>
        <v>M069</v>
      </c>
      <c r="B255" s="11" t="str">
        <f>_xlfn.XLOOKUP(표14[[#This Row],[application_taxonomy]],표11[application_taxonomy],표11[app_id])</f>
        <v>A01</v>
      </c>
      <c r="C255" s="11" t="str">
        <f>_xlfn.XLOOKUP(표14[[#This Row],[end_use_industry]],표13[end_use_category],표13[end_use_id])</f>
        <v>E07</v>
      </c>
      <c r="D255" s="11">
        <f>_xlfn.XLOOKUP(표14[[#This Row],[importance]],표15[importance],표15[rating])</f>
        <v>0.3</v>
      </c>
      <c r="E255" s="1" t="s">
        <v>852</v>
      </c>
      <c r="F255" s="1" t="s">
        <v>1650</v>
      </c>
      <c r="G255" s="1" t="s">
        <v>1313</v>
      </c>
      <c r="H255" s="1" t="s">
        <v>1263</v>
      </c>
      <c r="I255" s="1" t="s">
        <v>1287</v>
      </c>
      <c r="J255" s="1" t="s">
        <v>4071</v>
      </c>
      <c r="K255" s="1" t="s">
        <v>1285</v>
      </c>
      <c r="L255" s="11"/>
    </row>
    <row r="256" spans="1:12" ht="33">
      <c r="A256" s="11" t="str">
        <f>_xlfn.XLOOKUP(표14[[#This Row],[material_name]],표2[material_name],표2[material_id])</f>
        <v>M069</v>
      </c>
      <c r="B256" s="11" t="str">
        <f>_xlfn.XLOOKUP(표14[[#This Row],[application_taxonomy]],표11[application_taxonomy],표11[app_id])</f>
        <v>A02</v>
      </c>
      <c r="C256" s="11" t="str">
        <f>_xlfn.XLOOKUP(표14[[#This Row],[end_use_industry]],표13[end_use_category],표13[end_use_id])</f>
        <v>E07</v>
      </c>
      <c r="D256" s="11">
        <f>_xlfn.XLOOKUP(표14[[#This Row],[importance]],표15[importance],표15[rating])</f>
        <v>0.3</v>
      </c>
      <c r="E256" s="1" t="s">
        <v>852</v>
      </c>
      <c r="F256" s="1" t="s">
        <v>4072</v>
      </c>
      <c r="G256" s="1" t="s">
        <v>1308</v>
      </c>
      <c r="H256" s="1" t="s">
        <v>1263</v>
      </c>
      <c r="I256" s="1" t="s">
        <v>1287</v>
      </c>
      <c r="J256" s="1" t="s">
        <v>4073</v>
      </c>
      <c r="K256" s="1" t="s">
        <v>1285</v>
      </c>
      <c r="L256" s="11"/>
    </row>
    <row r="257" spans="1:12" ht="33">
      <c r="A257" s="11" t="str">
        <f>_xlfn.XLOOKUP(표14[[#This Row],[material_name]],표2[material_name],표2[material_id])</f>
        <v>M069</v>
      </c>
      <c r="B257" s="11" t="str">
        <f>_xlfn.XLOOKUP(표14[[#This Row],[application_taxonomy]],표11[application_taxonomy],표11[app_id])</f>
        <v>A02</v>
      </c>
      <c r="C257" s="11" t="str">
        <f>_xlfn.XLOOKUP(표14[[#This Row],[end_use_industry]],표13[end_use_category],표13[end_use_id])</f>
        <v>E07</v>
      </c>
      <c r="D257" s="11">
        <f>_xlfn.XLOOKUP(표14[[#This Row],[importance]],표15[importance],표15[rating])</f>
        <v>0.3</v>
      </c>
      <c r="E257" s="1" t="s">
        <v>852</v>
      </c>
      <c r="F257" s="1" t="s">
        <v>4074</v>
      </c>
      <c r="G257" s="1" t="s">
        <v>1308</v>
      </c>
      <c r="H257" s="1" t="s">
        <v>1263</v>
      </c>
      <c r="I257" s="1" t="s">
        <v>1287</v>
      </c>
      <c r="J257" s="1" t="s">
        <v>4075</v>
      </c>
      <c r="K257" s="1" t="s">
        <v>1285</v>
      </c>
      <c r="L257" s="11"/>
    </row>
    <row r="258" spans="1:12" ht="33">
      <c r="A258" s="11" t="str">
        <f>_xlfn.XLOOKUP(표14[[#This Row],[material_name]],표2[material_name],표2[material_id])</f>
        <v>M069</v>
      </c>
      <c r="B258" s="11" t="str">
        <f>_xlfn.XLOOKUP(표14[[#This Row],[application_taxonomy]],표11[application_taxonomy],표11[app_id])</f>
        <v>A24</v>
      </c>
      <c r="C258" s="11" t="str">
        <f>_xlfn.XLOOKUP(표14[[#This Row],[end_use_industry]],표13[end_use_category],표13[end_use_id])</f>
        <v>E07</v>
      </c>
      <c r="D258" s="11">
        <f>_xlfn.XLOOKUP(표14[[#This Row],[importance]],표15[importance],표15[rating])</f>
        <v>0.3</v>
      </c>
      <c r="E258" s="1" t="s">
        <v>852</v>
      </c>
      <c r="F258" s="1" t="s">
        <v>1506</v>
      </c>
      <c r="G258" s="1" t="s">
        <v>1303</v>
      </c>
      <c r="H258" s="1" t="s">
        <v>1263</v>
      </c>
      <c r="I258" s="1" t="s">
        <v>1287</v>
      </c>
      <c r="J258" s="1" t="s">
        <v>4076</v>
      </c>
      <c r="K258" s="1" t="s">
        <v>1285</v>
      </c>
      <c r="L258" s="11"/>
    </row>
    <row r="259" spans="1:12" ht="33">
      <c r="A259" s="11" t="str">
        <f>_xlfn.XLOOKUP(표14[[#This Row],[material_name]],표2[material_name],표2[material_id])</f>
        <v>M069</v>
      </c>
      <c r="B259" s="11" t="str">
        <f>_xlfn.XLOOKUP(표14[[#This Row],[application_taxonomy]],표11[application_taxonomy],표11[app_id])</f>
        <v>A02</v>
      </c>
      <c r="C259" s="11" t="str">
        <f>_xlfn.XLOOKUP(표14[[#This Row],[end_use_industry]],표13[end_use_category],표13[end_use_id])</f>
        <v>E07</v>
      </c>
      <c r="D259" s="11">
        <f>_xlfn.XLOOKUP(표14[[#This Row],[importance]],표15[importance],표15[rating])</f>
        <v>0.1</v>
      </c>
      <c r="E259" s="1" t="s">
        <v>852</v>
      </c>
      <c r="F259" s="1" t="s">
        <v>1451</v>
      </c>
      <c r="G259" s="1" t="s">
        <v>1308</v>
      </c>
      <c r="H259" s="1" t="s">
        <v>1263</v>
      </c>
      <c r="I259" s="1" t="s">
        <v>1302</v>
      </c>
      <c r="J259" s="1" t="s">
        <v>4077</v>
      </c>
      <c r="K259" s="1" t="s">
        <v>1285</v>
      </c>
      <c r="L259" s="11"/>
    </row>
    <row r="260" spans="1:12" ht="33">
      <c r="A260" s="11" t="str">
        <f>_xlfn.XLOOKUP(표14[[#This Row],[material_name]],표2[material_name],표2[material_id])</f>
        <v>M069</v>
      </c>
      <c r="B260" s="11" t="str">
        <f>_xlfn.XLOOKUP(표14[[#This Row],[application_taxonomy]],표11[application_taxonomy],표11[app_id])</f>
        <v>A15</v>
      </c>
      <c r="C260" s="11" t="str">
        <f>_xlfn.XLOOKUP(표14[[#This Row],[end_use_industry]],표13[end_use_category],표13[end_use_id])</f>
        <v>E07</v>
      </c>
      <c r="D260" s="11">
        <f>_xlfn.XLOOKUP(표14[[#This Row],[importance]],표15[importance],표15[rating])</f>
        <v>0.1</v>
      </c>
      <c r="E260" s="1" t="s">
        <v>852</v>
      </c>
      <c r="F260" s="1" t="s">
        <v>1950</v>
      </c>
      <c r="G260" s="1" t="s">
        <v>1212</v>
      </c>
      <c r="H260" s="1" t="s">
        <v>1263</v>
      </c>
      <c r="I260" s="1" t="s">
        <v>1302</v>
      </c>
      <c r="J260" s="1" t="s">
        <v>4078</v>
      </c>
      <c r="K260" s="1" t="s">
        <v>1285</v>
      </c>
      <c r="L260" s="11"/>
    </row>
    <row r="261" spans="1:12" ht="33">
      <c r="A261" s="11" t="str">
        <f>_xlfn.XLOOKUP(표14[[#This Row],[material_name]],표2[material_name],표2[material_id])</f>
        <v>M069</v>
      </c>
      <c r="B261" s="11" t="str">
        <f>_xlfn.XLOOKUP(표14[[#This Row],[application_taxonomy]],표11[application_taxonomy],표11[app_id])</f>
        <v>A24</v>
      </c>
      <c r="C261" s="11" t="str">
        <f>_xlfn.XLOOKUP(표14[[#This Row],[end_use_industry]],표13[end_use_category],표13[end_use_id])</f>
        <v>E07</v>
      </c>
      <c r="D261" s="11">
        <f>_xlfn.XLOOKUP(표14[[#This Row],[importance]],표15[importance],표15[rating])</f>
        <v>0.1</v>
      </c>
      <c r="E261" s="1" t="s">
        <v>852</v>
      </c>
      <c r="F261" s="1" t="s">
        <v>4079</v>
      </c>
      <c r="G261" s="1" t="s">
        <v>1303</v>
      </c>
      <c r="H261" s="1" t="s">
        <v>1263</v>
      </c>
      <c r="I261" s="1" t="s">
        <v>1302</v>
      </c>
      <c r="J261" s="1" t="s">
        <v>4080</v>
      </c>
      <c r="K261" s="1" t="s">
        <v>1285</v>
      </c>
      <c r="L261" s="11"/>
    </row>
    <row r="262" spans="1:12" ht="33">
      <c r="A262" s="11" t="str">
        <f>_xlfn.XLOOKUP(표14[[#This Row],[material_name]],표2[material_name],표2[material_id])</f>
        <v>M070</v>
      </c>
      <c r="B262" s="11" t="str">
        <f>_xlfn.XLOOKUP(표14[[#This Row],[application_taxonomy]],표11[application_taxonomy],표11[app_id])</f>
        <v>A01</v>
      </c>
      <c r="C262" s="11" t="str">
        <f>_xlfn.XLOOKUP(표14[[#This Row],[end_use_industry]],표13[end_use_category],표13[end_use_id])</f>
        <v>E07</v>
      </c>
      <c r="D262" s="11">
        <f>_xlfn.XLOOKUP(표14[[#This Row],[importance]],표15[importance],표15[rating])</f>
        <v>0.6</v>
      </c>
      <c r="E262" s="1" t="s">
        <v>903</v>
      </c>
      <c r="F262" s="1" t="s">
        <v>4083</v>
      </c>
      <c r="G262" s="1" t="s">
        <v>1313</v>
      </c>
      <c r="H262" s="1" t="s">
        <v>1263</v>
      </c>
      <c r="I262" s="1" t="s">
        <v>1298</v>
      </c>
      <c r="J262" s="1" t="s">
        <v>4084</v>
      </c>
      <c r="K262" s="1" t="s">
        <v>1285</v>
      </c>
      <c r="L262" s="11"/>
    </row>
    <row r="263" spans="1:12" ht="33">
      <c r="A263" s="11" t="str">
        <f>_xlfn.XLOOKUP(표14[[#This Row],[material_name]],표2[material_name],표2[material_id])</f>
        <v>M070</v>
      </c>
      <c r="B263" s="11" t="str">
        <f>_xlfn.XLOOKUP(표14[[#This Row],[application_taxonomy]],표11[application_taxonomy],표11[app_id])</f>
        <v>A01</v>
      </c>
      <c r="C263" s="11" t="str">
        <f>_xlfn.XLOOKUP(표14[[#This Row],[end_use_industry]],표13[end_use_category],표13[end_use_id])</f>
        <v>E07</v>
      </c>
      <c r="D263" s="11">
        <f>_xlfn.XLOOKUP(표14[[#This Row],[importance]],표15[importance],표15[rating])</f>
        <v>0.6</v>
      </c>
      <c r="E263" s="1" t="s">
        <v>903</v>
      </c>
      <c r="F263" s="1" t="s">
        <v>1453</v>
      </c>
      <c r="G263" s="1" t="s">
        <v>1313</v>
      </c>
      <c r="H263" s="1" t="s">
        <v>1263</v>
      </c>
      <c r="I263" s="1" t="s">
        <v>1298</v>
      </c>
      <c r="J263" s="1" t="s">
        <v>4085</v>
      </c>
      <c r="K263" s="1" t="s">
        <v>1285</v>
      </c>
      <c r="L263" s="11"/>
    </row>
    <row r="264" spans="1:12" ht="33">
      <c r="A264" s="11" t="str">
        <f>_xlfn.XLOOKUP(표14[[#This Row],[material_name]],표2[material_name],표2[material_id])</f>
        <v>M070</v>
      </c>
      <c r="B264" s="11" t="str">
        <f>_xlfn.XLOOKUP(표14[[#This Row],[application_taxonomy]],표11[application_taxonomy],표11[app_id])</f>
        <v>A01</v>
      </c>
      <c r="C264" s="11" t="str">
        <f>_xlfn.XLOOKUP(표14[[#This Row],[end_use_industry]],표13[end_use_category],표13[end_use_id])</f>
        <v>E07</v>
      </c>
      <c r="D264" s="11">
        <f>_xlfn.XLOOKUP(표14[[#This Row],[importance]],표15[importance],표15[rating])</f>
        <v>0.6</v>
      </c>
      <c r="E264" s="1" t="s">
        <v>903</v>
      </c>
      <c r="F264" s="1" t="s">
        <v>4086</v>
      </c>
      <c r="G264" s="1" t="s">
        <v>1313</v>
      </c>
      <c r="H264" s="1" t="s">
        <v>1263</v>
      </c>
      <c r="I264" s="1" t="s">
        <v>1298</v>
      </c>
      <c r="J264" s="1" t="s">
        <v>4087</v>
      </c>
      <c r="K264" s="1" t="s">
        <v>1285</v>
      </c>
      <c r="L264" s="11"/>
    </row>
    <row r="265" spans="1:12" ht="33">
      <c r="A265" s="11" t="str">
        <f>_xlfn.XLOOKUP(표14[[#This Row],[material_name]],표2[material_name],표2[material_id])</f>
        <v>M070</v>
      </c>
      <c r="B265" s="11" t="str">
        <f>_xlfn.XLOOKUP(표14[[#This Row],[application_taxonomy]],표11[application_taxonomy],표11[app_id])</f>
        <v>A24</v>
      </c>
      <c r="C265" s="11" t="str">
        <f>_xlfn.XLOOKUP(표14[[#This Row],[end_use_industry]],표13[end_use_category],표13[end_use_id])</f>
        <v>E07</v>
      </c>
      <c r="D265" s="11">
        <f>_xlfn.XLOOKUP(표14[[#This Row],[importance]],표15[importance],표15[rating])</f>
        <v>0.3</v>
      </c>
      <c r="E265" s="1" t="s">
        <v>903</v>
      </c>
      <c r="F265" s="1" t="s">
        <v>1987</v>
      </c>
      <c r="G265" s="1" t="s">
        <v>1303</v>
      </c>
      <c r="H265" s="1" t="s">
        <v>1263</v>
      </c>
      <c r="I265" s="1" t="s">
        <v>1287</v>
      </c>
      <c r="J265" s="1" t="s">
        <v>4088</v>
      </c>
      <c r="K265" s="1" t="s">
        <v>1285</v>
      </c>
      <c r="L265" s="11"/>
    </row>
    <row r="266" spans="1:12" ht="33">
      <c r="A266" s="11" t="str">
        <f>_xlfn.XLOOKUP(표14[[#This Row],[material_name]],표2[material_name],표2[material_id])</f>
        <v>M070</v>
      </c>
      <c r="B266" s="11" t="str">
        <f>_xlfn.XLOOKUP(표14[[#This Row],[application_taxonomy]],표11[application_taxonomy],표11[app_id])</f>
        <v>A24</v>
      </c>
      <c r="C266" s="11" t="str">
        <f>_xlfn.XLOOKUP(표14[[#This Row],[end_use_industry]],표13[end_use_category],표13[end_use_id])</f>
        <v>E07</v>
      </c>
      <c r="D266" s="11">
        <f>_xlfn.XLOOKUP(표14[[#This Row],[importance]],표15[importance],표15[rating])</f>
        <v>0.3</v>
      </c>
      <c r="E266" s="1" t="s">
        <v>903</v>
      </c>
      <c r="F266" s="1" t="s">
        <v>104</v>
      </c>
      <c r="G266" s="1" t="s">
        <v>1303</v>
      </c>
      <c r="H266" s="1" t="s">
        <v>1263</v>
      </c>
      <c r="I266" s="1" t="s">
        <v>1287</v>
      </c>
      <c r="J266" s="1" t="s">
        <v>4089</v>
      </c>
      <c r="K266" s="1" t="s">
        <v>1285</v>
      </c>
      <c r="L266" s="11"/>
    </row>
    <row r="267" spans="1:12" ht="33">
      <c r="A267" s="11" t="str">
        <f>_xlfn.XLOOKUP(표14[[#This Row],[material_name]],표2[material_name],표2[material_id])</f>
        <v>M070</v>
      </c>
      <c r="B267" s="11" t="str">
        <f>_xlfn.XLOOKUP(표14[[#This Row],[application_taxonomy]],표11[application_taxonomy],표11[app_id])</f>
        <v>A24</v>
      </c>
      <c r="C267" s="11" t="str">
        <f>_xlfn.XLOOKUP(표14[[#This Row],[end_use_industry]],표13[end_use_category],표13[end_use_id])</f>
        <v>E07</v>
      </c>
      <c r="D267" s="11">
        <f>_xlfn.XLOOKUP(표14[[#This Row],[importance]],표15[importance],표15[rating])</f>
        <v>0.3</v>
      </c>
      <c r="E267" s="1" t="s">
        <v>903</v>
      </c>
      <c r="F267" s="1" t="s">
        <v>4090</v>
      </c>
      <c r="G267" s="1" t="s">
        <v>1303</v>
      </c>
      <c r="H267" s="1" t="s">
        <v>1263</v>
      </c>
      <c r="I267" s="1" t="s">
        <v>1287</v>
      </c>
      <c r="J267" s="1" t="s">
        <v>4091</v>
      </c>
      <c r="K267" s="1" t="s">
        <v>1285</v>
      </c>
      <c r="L267" s="11"/>
    </row>
    <row r="268" spans="1:12" ht="33">
      <c r="A268" s="11" t="str">
        <f>_xlfn.XLOOKUP(표14[[#This Row],[material_name]],표2[material_name],표2[material_id])</f>
        <v>M070</v>
      </c>
      <c r="B268" s="11" t="str">
        <f>_xlfn.XLOOKUP(표14[[#This Row],[application_taxonomy]],표11[application_taxonomy],표11[app_id])</f>
        <v>A24</v>
      </c>
      <c r="C268" s="11" t="str">
        <f>_xlfn.XLOOKUP(표14[[#This Row],[end_use_industry]],표13[end_use_category],표13[end_use_id])</f>
        <v>E07</v>
      </c>
      <c r="D268" s="11">
        <f>_xlfn.XLOOKUP(표14[[#This Row],[importance]],표15[importance],표15[rating])</f>
        <v>0.3</v>
      </c>
      <c r="E268" s="1" t="s">
        <v>903</v>
      </c>
      <c r="F268" s="1" t="s">
        <v>4092</v>
      </c>
      <c r="G268" s="1" t="s">
        <v>1303</v>
      </c>
      <c r="H268" s="1" t="s">
        <v>1263</v>
      </c>
      <c r="I268" s="1" t="s">
        <v>1287</v>
      </c>
      <c r="J268" s="1" t="s">
        <v>4093</v>
      </c>
      <c r="K268" s="1" t="s">
        <v>1285</v>
      </c>
      <c r="L268" s="11"/>
    </row>
    <row r="269" spans="1:12" ht="33">
      <c r="A269" s="11" t="str">
        <f>_xlfn.XLOOKUP(표14[[#This Row],[material_name]],표2[material_name],표2[material_id])</f>
        <v>M070</v>
      </c>
      <c r="B269" s="11" t="str">
        <f>_xlfn.XLOOKUP(표14[[#This Row],[application_taxonomy]],표11[application_taxonomy],표11[app_id])</f>
        <v>A02</v>
      </c>
      <c r="C269" s="11" t="str">
        <f>_xlfn.XLOOKUP(표14[[#This Row],[end_use_industry]],표13[end_use_category],표13[end_use_id])</f>
        <v>E07</v>
      </c>
      <c r="D269" s="11">
        <f>_xlfn.XLOOKUP(표14[[#This Row],[importance]],표15[importance],표15[rating])</f>
        <v>0.3</v>
      </c>
      <c r="E269" s="1" t="s">
        <v>903</v>
      </c>
      <c r="F269" s="1" t="s">
        <v>4094</v>
      </c>
      <c r="G269" s="1" t="s">
        <v>1308</v>
      </c>
      <c r="H269" s="1" t="s">
        <v>1263</v>
      </c>
      <c r="I269" s="1" t="s">
        <v>1287</v>
      </c>
      <c r="J269" s="1" t="s">
        <v>4095</v>
      </c>
      <c r="K269" s="1" t="s">
        <v>1285</v>
      </c>
      <c r="L269" s="11"/>
    </row>
    <row r="270" spans="1:12" ht="33">
      <c r="A270" s="11" t="str">
        <f>_xlfn.XLOOKUP(표14[[#This Row],[material_name]],표2[material_name],표2[material_id])</f>
        <v>M070</v>
      </c>
      <c r="B270" s="11" t="str">
        <f>_xlfn.XLOOKUP(표14[[#This Row],[application_taxonomy]],표11[application_taxonomy],표11[app_id])</f>
        <v>A02</v>
      </c>
      <c r="C270" s="11" t="str">
        <f>_xlfn.XLOOKUP(표14[[#This Row],[end_use_industry]],표13[end_use_category],표13[end_use_id])</f>
        <v>E07</v>
      </c>
      <c r="D270" s="11">
        <f>_xlfn.XLOOKUP(표14[[#This Row],[importance]],표15[importance],표15[rating])</f>
        <v>0.1</v>
      </c>
      <c r="E270" s="1" t="s">
        <v>903</v>
      </c>
      <c r="F270" s="1" t="s">
        <v>4096</v>
      </c>
      <c r="G270" s="1" t="s">
        <v>1308</v>
      </c>
      <c r="H270" s="1" t="s">
        <v>1263</v>
      </c>
      <c r="I270" s="1" t="s">
        <v>1302</v>
      </c>
      <c r="J270" s="1" t="s">
        <v>4097</v>
      </c>
      <c r="K270" s="1" t="s">
        <v>1285</v>
      </c>
      <c r="L270" s="11"/>
    </row>
    <row r="271" spans="1:12" ht="33">
      <c r="A271" s="11" t="str">
        <f>_xlfn.XLOOKUP(표14[[#This Row],[material_name]],표2[material_name],표2[material_id])</f>
        <v>M070</v>
      </c>
      <c r="B271" s="11" t="str">
        <f>_xlfn.XLOOKUP(표14[[#This Row],[application_taxonomy]],표11[application_taxonomy],표11[app_id])</f>
        <v>A24</v>
      </c>
      <c r="C271" s="11" t="str">
        <f>_xlfn.XLOOKUP(표14[[#This Row],[end_use_industry]],표13[end_use_category],표13[end_use_id])</f>
        <v>E07</v>
      </c>
      <c r="D271" s="11">
        <f>_xlfn.XLOOKUP(표14[[#This Row],[importance]],표15[importance],표15[rating])</f>
        <v>0.1</v>
      </c>
      <c r="E271" s="1" t="s">
        <v>903</v>
      </c>
      <c r="F271" s="1" t="s">
        <v>4098</v>
      </c>
      <c r="G271" s="1" t="s">
        <v>1303</v>
      </c>
      <c r="H271" s="1" t="s">
        <v>1263</v>
      </c>
      <c r="I271" s="1" t="s">
        <v>1302</v>
      </c>
      <c r="J271" s="1" t="s">
        <v>4099</v>
      </c>
      <c r="K271" s="1" t="s">
        <v>1285</v>
      </c>
      <c r="L271" s="11"/>
    </row>
    <row r="272" spans="1:12" ht="33">
      <c r="A272" s="11" t="str">
        <f>_xlfn.XLOOKUP(표14[[#This Row],[material_name]],표2[material_name],표2[material_id])</f>
        <v>M070</v>
      </c>
      <c r="B272" s="11" t="str">
        <f>_xlfn.XLOOKUP(표14[[#This Row],[application_taxonomy]],표11[application_taxonomy],표11[app_id])</f>
        <v>A02</v>
      </c>
      <c r="C272" s="11" t="str">
        <f>_xlfn.XLOOKUP(표14[[#This Row],[end_use_industry]],표13[end_use_category],표13[end_use_id])</f>
        <v>E07</v>
      </c>
      <c r="D272" s="11">
        <f>_xlfn.XLOOKUP(표14[[#This Row],[importance]],표15[importance],표15[rating])</f>
        <v>0.1</v>
      </c>
      <c r="E272" s="1" t="s">
        <v>903</v>
      </c>
      <c r="F272" s="1" t="s">
        <v>4100</v>
      </c>
      <c r="G272" s="1" t="s">
        <v>1308</v>
      </c>
      <c r="H272" s="1" t="s">
        <v>1263</v>
      </c>
      <c r="I272" s="1" t="s">
        <v>1302</v>
      </c>
      <c r="J272" s="1" t="s">
        <v>4101</v>
      </c>
      <c r="K272" s="1" t="s">
        <v>1285</v>
      </c>
      <c r="L272" s="11"/>
    </row>
    <row r="273" spans="1:12" ht="49.5">
      <c r="A273" s="11" t="str">
        <f>_xlfn.XLOOKUP(표14[[#This Row],[material_name]],표2[material_name],표2[material_id])</f>
        <v>M070</v>
      </c>
      <c r="B273" s="11" t="str">
        <f>_xlfn.XLOOKUP(표14[[#This Row],[application_taxonomy]],표11[application_taxonomy],표11[app_id])</f>
        <v>A02</v>
      </c>
      <c r="C273" s="11" t="str">
        <f>_xlfn.XLOOKUP(표14[[#This Row],[end_use_industry]],표13[end_use_category],표13[end_use_id])</f>
        <v>E07</v>
      </c>
      <c r="D273" s="11">
        <f>_xlfn.XLOOKUP(표14[[#This Row],[importance]],표15[importance],표15[rating])</f>
        <v>0.1</v>
      </c>
      <c r="E273" s="1" t="s">
        <v>903</v>
      </c>
      <c r="F273" s="1" t="s">
        <v>4102</v>
      </c>
      <c r="G273" s="1" t="s">
        <v>1308</v>
      </c>
      <c r="H273" s="1" t="s">
        <v>1263</v>
      </c>
      <c r="I273" s="1" t="s">
        <v>1302</v>
      </c>
      <c r="J273" s="1" t="s">
        <v>4104</v>
      </c>
      <c r="K273" s="1" t="s">
        <v>1285</v>
      </c>
      <c r="L273" s="11"/>
    </row>
    <row r="274" spans="1:12" ht="33">
      <c r="A274" s="11" t="str">
        <f>_xlfn.XLOOKUP(표14[[#This Row],[material_name]],표2[material_name],표2[material_id])</f>
        <v>M070</v>
      </c>
      <c r="B274" s="11" t="str">
        <f>_xlfn.XLOOKUP(표14[[#This Row],[application_taxonomy]],표11[application_taxonomy],표11[app_id])</f>
        <v>A36</v>
      </c>
      <c r="C274" s="11" t="str">
        <f>_xlfn.XLOOKUP(표14[[#This Row],[end_use_industry]],표13[end_use_category],표13[end_use_id])</f>
        <v>E02</v>
      </c>
      <c r="D274" s="11">
        <f>_xlfn.XLOOKUP(표14[[#This Row],[importance]],표15[importance],표15[rating])</f>
        <v>0.1</v>
      </c>
      <c r="E274" s="1" t="s">
        <v>903</v>
      </c>
      <c r="F274" s="1" t="s">
        <v>4103</v>
      </c>
      <c r="G274" s="1" t="s">
        <v>1582</v>
      </c>
      <c r="H274" s="1" t="s">
        <v>1278</v>
      </c>
      <c r="I274" s="1" t="s">
        <v>1302</v>
      </c>
      <c r="J274" s="1" t="s">
        <v>4105</v>
      </c>
      <c r="K274" s="1" t="s">
        <v>1285</v>
      </c>
      <c r="L274" s="11"/>
    </row>
    <row r="275" spans="1:12" ht="49.5">
      <c r="A275" s="11" t="str">
        <f>_xlfn.XLOOKUP(표14[[#This Row],[material_name]],표2[material_name],표2[material_id])</f>
        <v>M070</v>
      </c>
      <c r="B275" s="11" t="str">
        <f>_xlfn.XLOOKUP(표14[[#This Row],[application_taxonomy]],표11[application_taxonomy],표11[app_id])</f>
        <v>A02</v>
      </c>
      <c r="C275" s="11" t="str">
        <f>_xlfn.XLOOKUP(표14[[#This Row],[end_use_industry]],표13[end_use_category],표13[end_use_id])</f>
        <v>E05</v>
      </c>
      <c r="D275" s="11">
        <f>_xlfn.XLOOKUP(표14[[#This Row],[importance]],표15[importance],표15[rating])</f>
        <v>0.1</v>
      </c>
      <c r="E275" s="1" t="s">
        <v>903</v>
      </c>
      <c r="F275" s="1" t="s">
        <v>1609</v>
      </c>
      <c r="G275" s="1" t="s">
        <v>1308</v>
      </c>
      <c r="H275" s="1" t="s">
        <v>1269</v>
      </c>
      <c r="I275" s="1" t="s">
        <v>1302</v>
      </c>
      <c r="J275" s="1" t="s">
        <v>4106</v>
      </c>
      <c r="K275" s="1" t="s">
        <v>1285</v>
      </c>
      <c r="L275" s="11"/>
    </row>
    <row r="276" spans="1:12" ht="33">
      <c r="A276" s="11" t="str">
        <f>_xlfn.XLOOKUP(표14[[#This Row],[material_name]],표2[material_name],표2[material_id])</f>
        <v>M073</v>
      </c>
      <c r="B276" s="11" t="str">
        <f>_xlfn.XLOOKUP(표14[[#This Row],[application_taxonomy]],표11[application_taxonomy],표11[app_id])</f>
        <v>A38</v>
      </c>
      <c r="C276" s="11" t="str">
        <f>_xlfn.XLOOKUP(표14[[#This Row],[end_use_industry]],표13[end_use_category],표13[end_use_id])</f>
        <v>E07</v>
      </c>
      <c r="D276" s="11">
        <f>_xlfn.XLOOKUP(표14[[#This Row],[importance]],표15[importance],표15[rating])</f>
        <v>0.6</v>
      </c>
      <c r="E276" s="1" t="s">
        <v>1564</v>
      </c>
      <c r="F276" s="1" t="s">
        <v>1575</v>
      </c>
      <c r="G276" s="1" t="s">
        <v>1434</v>
      </c>
      <c r="H276" s="1" t="s">
        <v>1263</v>
      </c>
      <c r="I276" s="1" t="s">
        <v>1298</v>
      </c>
      <c r="J276" s="1" t="s">
        <v>1574</v>
      </c>
      <c r="K276" s="1" t="s">
        <v>1285</v>
      </c>
      <c r="L276" s="11"/>
    </row>
    <row r="277" spans="1:12" ht="33">
      <c r="A277" s="11" t="str">
        <f>_xlfn.XLOOKUP(표14[[#This Row],[material_name]],표2[material_name],표2[material_id])</f>
        <v>M073</v>
      </c>
      <c r="B277" s="11" t="str">
        <f>_xlfn.XLOOKUP(표14[[#This Row],[application_taxonomy]],표11[application_taxonomy],표11[app_id])</f>
        <v>A38</v>
      </c>
      <c r="C277" s="11" t="str">
        <f>_xlfn.XLOOKUP(표14[[#This Row],[end_use_industry]],표13[end_use_category],표13[end_use_id])</f>
        <v>E01</v>
      </c>
      <c r="D277" s="11">
        <f>_xlfn.XLOOKUP(표14[[#This Row],[importance]],표15[importance],표15[rating])</f>
        <v>0.6</v>
      </c>
      <c r="E277" s="1" t="s">
        <v>1564</v>
      </c>
      <c r="F277" s="1" t="s">
        <v>1573</v>
      </c>
      <c r="G277" s="1" t="s">
        <v>1434</v>
      </c>
      <c r="H277" s="1" t="s">
        <v>1281</v>
      </c>
      <c r="I277" s="1" t="s">
        <v>1298</v>
      </c>
      <c r="J277" s="1" t="s">
        <v>1572</v>
      </c>
      <c r="K277" s="1" t="s">
        <v>1285</v>
      </c>
      <c r="L277" s="11"/>
    </row>
    <row r="278" spans="1:12" ht="33">
      <c r="A278" s="11" t="str">
        <f>_xlfn.XLOOKUP(표14[[#This Row],[material_name]],표2[material_name],표2[material_id])</f>
        <v>M073</v>
      </c>
      <c r="B278" s="11" t="str">
        <f>_xlfn.XLOOKUP(표14[[#This Row],[application_taxonomy]],표11[application_taxonomy],표11[app_id])</f>
        <v>A22</v>
      </c>
      <c r="C278" s="11" t="str">
        <f>_xlfn.XLOOKUP(표14[[#This Row],[end_use_industry]],표13[end_use_category],표13[end_use_id])</f>
        <v>E07</v>
      </c>
      <c r="D278" s="11">
        <f>_xlfn.XLOOKUP(표14[[#This Row],[importance]],표15[importance],표15[rating])</f>
        <v>0.3</v>
      </c>
      <c r="E278" s="1" t="s">
        <v>1564</v>
      </c>
      <c r="F278" s="1" t="s">
        <v>1571</v>
      </c>
      <c r="G278" s="1" t="s">
        <v>1292</v>
      </c>
      <c r="H278" s="1" t="s">
        <v>1263</v>
      </c>
      <c r="I278" s="1" t="s">
        <v>1287</v>
      </c>
      <c r="J278" s="1" t="s">
        <v>1570</v>
      </c>
      <c r="K278" s="1" t="s">
        <v>1285</v>
      </c>
      <c r="L278" s="11"/>
    </row>
    <row r="279" spans="1:12" ht="33">
      <c r="A279" s="11" t="str">
        <f>_xlfn.XLOOKUP(표14[[#This Row],[material_name]],표2[material_name],표2[material_id])</f>
        <v>M073</v>
      </c>
      <c r="B279" s="11" t="str">
        <f>_xlfn.XLOOKUP(표14[[#This Row],[application_taxonomy]],표11[application_taxonomy],표11[app_id])</f>
        <v>A01</v>
      </c>
      <c r="C279" s="11" t="str">
        <f>_xlfn.XLOOKUP(표14[[#This Row],[end_use_industry]],표13[end_use_category],표13[end_use_id])</f>
        <v>E07</v>
      </c>
      <c r="D279" s="11">
        <f>_xlfn.XLOOKUP(표14[[#This Row],[importance]],표15[importance],표15[rating])</f>
        <v>0.3</v>
      </c>
      <c r="E279" s="1" t="s">
        <v>1564</v>
      </c>
      <c r="F279" s="1" t="s">
        <v>1569</v>
      </c>
      <c r="G279" s="1" t="s">
        <v>1254</v>
      </c>
      <c r="H279" s="1" t="s">
        <v>1263</v>
      </c>
      <c r="I279" s="1" t="s">
        <v>1287</v>
      </c>
      <c r="J279" s="1" t="s">
        <v>1568</v>
      </c>
      <c r="K279" s="1" t="s">
        <v>1285</v>
      </c>
      <c r="L279" s="11"/>
    </row>
    <row r="280" spans="1:12" ht="33">
      <c r="A280" s="11" t="str">
        <f>_xlfn.XLOOKUP(표14[[#This Row],[material_name]],표2[material_name],표2[material_id])</f>
        <v>M073</v>
      </c>
      <c r="B280" s="11" t="str">
        <f>_xlfn.XLOOKUP(표14[[#This Row],[application_taxonomy]],표11[application_taxonomy],표11[app_id])</f>
        <v>A23</v>
      </c>
      <c r="C280" s="11" t="str">
        <f>_xlfn.XLOOKUP(표14[[#This Row],[end_use_industry]],표13[end_use_category],표13[end_use_id])</f>
        <v>E07</v>
      </c>
      <c r="D280" s="11">
        <f>_xlfn.XLOOKUP(표14[[#This Row],[importance]],표15[importance],표15[rating])</f>
        <v>0.1</v>
      </c>
      <c r="E280" s="1" t="s">
        <v>1564</v>
      </c>
      <c r="F280" s="1" t="s">
        <v>1567</v>
      </c>
      <c r="G280" s="1" t="s">
        <v>1566</v>
      </c>
      <c r="H280" s="1" t="s">
        <v>1263</v>
      </c>
      <c r="I280" s="1" t="s">
        <v>1302</v>
      </c>
      <c r="J280" s="1" t="s">
        <v>1565</v>
      </c>
      <c r="K280" s="1" t="s">
        <v>1285</v>
      </c>
      <c r="L280" s="11"/>
    </row>
    <row r="281" spans="1:12" ht="33">
      <c r="A281" s="11" t="str">
        <f>_xlfn.XLOOKUP(표14[[#This Row],[material_name]],표2[material_name],표2[material_id])</f>
        <v>M073</v>
      </c>
      <c r="B281" s="11" t="str">
        <f>_xlfn.XLOOKUP(표14[[#This Row],[application_taxonomy]],표11[application_taxonomy],표11[app_id])</f>
        <v>A39</v>
      </c>
      <c r="C281" s="11" t="str">
        <f>_xlfn.XLOOKUP(표14[[#This Row],[end_use_industry]],표13[end_use_category],표13[end_use_id])</f>
        <v>E07</v>
      </c>
      <c r="D281" s="11">
        <f>_xlfn.XLOOKUP(표14[[#This Row],[importance]],표15[importance],표15[rating])</f>
        <v>0.1</v>
      </c>
      <c r="E281" s="1" t="s">
        <v>1564</v>
      </c>
      <c r="F281" s="1" t="s">
        <v>1563</v>
      </c>
      <c r="G281" s="1" t="s">
        <v>1562</v>
      </c>
      <c r="H281" s="1" t="s">
        <v>1263</v>
      </c>
      <c r="I281" s="1" t="s">
        <v>1302</v>
      </c>
      <c r="J281" s="1" t="s">
        <v>1561</v>
      </c>
      <c r="K281" s="1" t="s">
        <v>1285</v>
      </c>
      <c r="L281" s="11"/>
    </row>
    <row r="282" spans="1:12">
      <c r="A282" s="11" t="str">
        <f>_xlfn.XLOOKUP(표14[[#This Row],[material_name]],표2[material_name],표2[material_id])</f>
        <v>M074</v>
      </c>
      <c r="B282" s="11" t="str">
        <f>_xlfn.XLOOKUP(표14[[#This Row],[application_taxonomy]],표11[application_taxonomy],표11[app_id])</f>
        <v>A03</v>
      </c>
      <c r="C282" s="11" t="str">
        <f>_xlfn.XLOOKUP(표14[[#This Row],[end_use_industry]],표13[end_use_category],표13[end_use_id])</f>
        <v>E02</v>
      </c>
      <c r="D282" s="11">
        <f>_xlfn.XLOOKUP(표14[[#This Row],[importance]],표15[importance],표15[rating])</f>
        <v>0.6</v>
      </c>
      <c r="E282" s="1" t="s">
        <v>917</v>
      </c>
      <c r="F282" s="1" t="s">
        <v>1560</v>
      </c>
      <c r="G282" s="1" t="s">
        <v>1380</v>
      </c>
      <c r="H282" s="1" t="s">
        <v>1278</v>
      </c>
      <c r="I282" s="1" t="s">
        <v>1298</v>
      </c>
      <c r="J282" s="1" t="s">
        <v>1559</v>
      </c>
      <c r="K282" s="1" t="s">
        <v>1285</v>
      </c>
      <c r="L282" s="11"/>
    </row>
    <row r="283" spans="1:12">
      <c r="A283" s="11" t="str">
        <f>_xlfn.XLOOKUP(표14[[#This Row],[material_name]],표2[material_name],표2[material_id])</f>
        <v>M074</v>
      </c>
      <c r="B283" s="11" t="str">
        <f>_xlfn.XLOOKUP(표14[[#This Row],[application_taxonomy]],표11[application_taxonomy],표11[app_id])</f>
        <v>A03</v>
      </c>
      <c r="C283" s="11" t="str">
        <f>_xlfn.XLOOKUP(표14[[#This Row],[end_use_industry]],표13[end_use_category],표13[end_use_id])</f>
        <v>E03</v>
      </c>
      <c r="D283" s="11">
        <f>_xlfn.XLOOKUP(표14[[#This Row],[importance]],표15[importance],표15[rating])</f>
        <v>0.6</v>
      </c>
      <c r="E283" s="1" t="s">
        <v>917</v>
      </c>
      <c r="F283" s="1" t="s">
        <v>1558</v>
      </c>
      <c r="G283" s="1" t="s">
        <v>1380</v>
      </c>
      <c r="H283" s="1" t="s">
        <v>1275</v>
      </c>
      <c r="I283" s="1" t="s">
        <v>1298</v>
      </c>
      <c r="J283" s="1" t="s">
        <v>1557</v>
      </c>
      <c r="K283" s="1" t="s">
        <v>1285</v>
      </c>
      <c r="L283" s="11"/>
    </row>
    <row r="284" spans="1:12" ht="33">
      <c r="A284" s="11" t="str">
        <f>_xlfn.XLOOKUP(표14[[#This Row],[material_name]],표2[material_name],표2[material_id])</f>
        <v>M074</v>
      </c>
      <c r="B284" s="11" t="str">
        <f>_xlfn.XLOOKUP(표14[[#This Row],[application_taxonomy]],표11[application_taxonomy],표11[app_id])</f>
        <v>A07</v>
      </c>
      <c r="C284" s="11" t="str">
        <f>_xlfn.XLOOKUP(표14[[#This Row],[end_use_industry]],표13[end_use_category],표13[end_use_id])</f>
        <v>E02</v>
      </c>
      <c r="D284" s="11">
        <f>_xlfn.XLOOKUP(표14[[#This Row],[importance]],표15[importance],표15[rating])</f>
        <v>0.3</v>
      </c>
      <c r="E284" s="1" t="s">
        <v>917</v>
      </c>
      <c r="F284" s="1" t="s">
        <v>1556</v>
      </c>
      <c r="G284" s="1" t="s">
        <v>1420</v>
      </c>
      <c r="H284" s="1" t="s">
        <v>1278</v>
      </c>
      <c r="I284" s="1" t="s">
        <v>1287</v>
      </c>
      <c r="J284" s="1" t="s">
        <v>1555</v>
      </c>
      <c r="K284" s="1" t="s">
        <v>1285</v>
      </c>
      <c r="L284" s="11"/>
    </row>
    <row r="285" spans="1:12" ht="33">
      <c r="A285" s="11" t="str">
        <f>_xlfn.XLOOKUP(표14[[#This Row],[material_name]],표2[material_name],표2[material_id])</f>
        <v>M074</v>
      </c>
      <c r="B285" s="11" t="str">
        <f>_xlfn.XLOOKUP(표14[[#This Row],[application_taxonomy]],표11[application_taxonomy],표11[app_id])</f>
        <v>A13</v>
      </c>
      <c r="C285" s="11" t="str">
        <f>_xlfn.XLOOKUP(표14[[#This Row],[end_use_industry]],표13[end_use_category],표13[end_use_id])</f>
        <v>E08</v>
      </c>
      <c r="D285" s="11">
        <f>_xlfn.XLOOKUP(표14[[#This Row],[importance]],표15[importance],표15[rating])</f>
        <v>0.3</v>
      </c>
      <c r="E285" s="1" t="s">
        <v>917</v>
      </c>
      <c r="F285" s="1" t="s">
        <v>1554</v>
      </c>
      <c r="G285" s="1" t="s">
        <v>1409</v>
      </c>
      <c r="H285" s="1" t="s">
        <v>1260</v>
      </c>
      <c r="I285" s="1" t="s">
        <v>1287</v>
      </c>
      <c r="J285" s="1" t="s">
        <v>1553</v>
      </c>
      <c r="K285" s="1" t="s">
        <v>1285</v>
      </c>
      <c r="L285" s="11"/>
    </row>
    <row r="286" spans="1:12">
      <c r="A286" s="11" t="str">
        <f>_xlfn.XLOOKUP(표14[[#This Row],[material_name]],표2[material_name],표2[material_id])</f>
        <v>M074</v>
      </c>
      <c r="B286" s="11" t="str">
        <f>_xlfn.XLOOKUP(표14[[#This Row],[application_taxonomy]],표11[application_taxonomy],표11[app_id])</f>
        <v>A19</v>
      </c>
      <c r="C286" s="11" t="str">
        <f>_xlfn.XLOOKUP(표14[[#This Row],[end_use_industry]],표13[end_use_category],표13[end_use_id])</f>
        <v>E03</v>
      </c>
      <c r="D286" s="11">
        <f>_xlfn.XLOOKUP(표14[[#This Row],[importance]],표15[importance],표15[rating])</f>
        <v>0.3</v>
      </c>
      <c r="E286" s="1" t="s">
        <v>917</v>
      </c>
      <c r="F286" s="1" t="s">
        <v>1552</v>
      </c>
      <c r="G286" s="1" t="s">
        <v>1340</v>
      </c>
      <c r="H286" s="1" t="s">
        <v>1275</v>
      </c>
      <c r="I286" s="1" t="s">
        <v>1287</v>
      </c>
      <c r="J286" s="1" t="s">
        <v>1551</v>
      </c>
      <c r="K286" s="1" t="s">
        <v>1285</v>
      </c>
      <c r="L286" s="11"/>
    </row>
    <row r="287" spans="1:12">
      <c r="A287" s="11" t="str">
        <f>_xlfn.XLOOKUP(표14[[#This Row],[material_name]],표2[material_name],표2[material_id])</f>
        <v>M075</v>
      </c>
      <c r="B287" s="11" t="str">
        <f>_xlfn.XLOOKUP(표14[[#This Row],[application_taxonomy]],표11[application_taxonomy],표11[app_id])</f>
        <v>A01</v>
      </c>
      <c r="C287" s="11" t="str">
        <f>_xlfn.XLOOKUP(표14[[#This Row],[end_use_industry]],표13[end_use_category],표13[end_use_id])</f>
        <v>E02</v>
      </c>
      <c r="D287" s="11">
        <f>_xlfn.XLOOKUP(표14[[#This Row],[importance]],표15[importance],표15[rating])</f>
        <v>0.6</v>
      </c>
      <c r="E287" s="1" t="s">
        <v>548</v>
      </c>
      <c r="F287" s="1" t="s">
        <v>1550</v>
      </c>
      <c r="G287" s="1" t="s">
        <v>1254</v>
      </c>
      <c r="H287" s="1" t="s">
        <v>1278</v>
      </c>
      <c r="I287" s="1" t="s">
        <v>1298</v>
      </c>
      <c r="J287" s="1" t="s">
        <v>1549</v>
      </c>
      <c r="K287" s="1" t="s">
        <v>1285</v>
      </c>
      <c r="L287" s="11" t="s">
        <v>1317</v>
      </c>
    </row>
    <row r="288" spans="1:12" ht="33">
      <c r="A288" s="11" t="str">
        <f>_xlfn.XLOOKUP(표14[[#This Row],[material_name]],표2[material_name],표2[material_id])</f>
        <v>M075</v>
      </c>
      <c r="B288" s="11" t="str">
        <f>_xlfn.XLOOKUP(표14[[#This Row],[application_taxonomy]],표11[application_taxonomy],표11[app_id])</f>
        <v>A01</v>
      </c>
      <c r="C288" s="11" t="str">
        <f>_xlfn.XLOOKUP(표14[[#This Row],[end_use_industry]],표13[end_use_category],표13[end_use_id])</f>
        <v>E07</v>
      </c>
      <c r="D288" s="11">
        <f>_xlfn.XLOOKUP(표14[[#This Row],[importance]],표15[importance],표15[rating])</f>
        <v>0.6</v>
      </c>
      <c r="E288" s="1" t="s">
        <v>548</v>
      </c>
      <c r="F288" s="1" t="s">
        <v>1548</v>
      </c>
      <c r="G288" s="1" t="s">
        <v>1313</v>
      </c>
      <c r="H288" s="1" t="s">
        <v>1263</v>
      </c>
      <c r="I288" s="1" t="s">
        <v>1298</v>
      </c>
      <c r="J288" s="1" t="s">
        <v>1547</v>
      </c>
      <c r="K288" s="1" t="s">
        <v>1285</v>
      </c>
      <c r="L288" s="11" t="s">
        <v>1317</v>
      </c>
    </row>
    <row r="289" spans="1:12">
      <c r="A289" s="11" t="str">
        <f>_xlfn.XLOOKUP(표14[[#This Row],[material_name]],표2[material_name],표2[material_id])</f>
        <v>M075</v>
      </c>
      <c r="B289" s="11" t="str">
        <f>_xlfn.XLOOKUP(표14[[#This Row],[application_taxonomy]],표11[application_taxonomy],표11[app_id])</f>
        <v>A30</v>
      </c>
      <c r="C289" s="11" t="str">
        <f>_xlfn.XLOOKUP(표14[[#This Row],[end_use_industry]],표13[end_use_category],표13[end_use_id])</f>
        <v>E02</v>
      </c>
      <c r="D289" s="11">
        <f>_xlfn.XLOOKUP(표14[[#This Row],[importance]],표15[importance],표15[rating])</f>
        <v>0.3</v>
      </c>
      <c r="E289" s="1" t="s">
        <v>548</v>
      </c>
      <c r="F289" s="1" t="s">
        <v>1546</v>
      </c>
      <c r="G289" s="1" t="s">
        <v>1545</v>
      </c>
      <c r="H289" s="1" t="s">
        <v>1278</v>
      </c>
      <c r="I289" s="1" t="s">
        <v>1287</v>
      </c>
      <c r="J289" s="1" t="s">
        <v>1544</v>
      </c>
      <c r="K289" s="1" t="s">
        <v>1285</v>
      </c>
      <c r="L289" s="11" t="s">
        <v>1317</v>
      </c>
    </row>
    <row r="290" spans="1:12" ht="33">
      <c r="A290" s="11" t="str">
        <f>_xlfn.XLOOKUP(표14[[#This Row],[material_name]],표2[material_name],표2[material_id])</f>
        <v>M075</v>
      </c>
      <c r="B290" s="11" t="str">
        <f>_xlfn.XLOOKUP(표14[[#This Row],[application_taxonomy]],표11[application_taxonomy],표11[app_id])</f>
        <v>A38</v>
      </c>
      <c r="C290" s="11" t="str">
        <f>_xlfn.XLOOKUP(표14[[#This Row],[end_use_industry]],표13[end_use_category],표13[end_use_id])</f>
        <v>E07</v>
      </c>
      <c r="D290" s="11">
        <f>_xlfn.XLOOKUP(표14[[#This Row],[importance]],표15[importance],표15[rating])</f>
        <v>0.3</v>
      </c>
      <c r="E290" s="1" t="s">
        <v>548</v>
      </c>
      <c r="F290" s="1" t="s">
        <v>1543</v>
      </c>
      <c r="G290" s="1" t="s">
        <v>1434</v>
      </c>
      <c r="H290" s="1" t="s">
        <v>1263</v>
      </c>
      <c r="I290" s="1" t="s">
        <v>1287</v>
      </c>
      <c r="J290" s="1" t="s">
        <v>1542</v>
      </c>
      <c r="K290" s="1" t="s">
        <v>1285</v>
      </c>
      <c r="L290" s="11" t="s">
        <v>1317</v>
      </c>
    </row>
    <row r="291" spans="1:12" ht="33">
      <c r="A291" s="11" t="str">
        <f>_xlfn.XLOOKUP(표14[[#This Row],[material_name]],표2[material_name],표2[material_id])</f>
        <v>M077</v>
      </c>
      <c r="B291" s="11" t="str">
        <f>_xlfn.XLOOKUP(표14[[#This Row],[application_taxonomy]],표11[application_taxonomy],표11[app_id])</f>
        <v>A28</v>
      </c>
      <c r="C291" s="11" t="str">
        <f>_xlfn.XLOOKUP(표14[[#This Row],[end_use_industry]],표13[end_use_category],표13[end_use_id])</f>
        <v>E03</v>
      </c>
      <c r="D291" s="11">
        <f>_xlfn.XLOOKUP(표14[[#This Row],[importance]],표15[importance],표15[rating])</f>
        <v>0.6</v>
      </c>
      <c r="E291" s="1" t="s">
        <v>1539</v>
      </c>
      <c r="F291" s="1" t="s">
        <v>1541</v>
      </c>
      <c r="G291" s="1" t="s">
        <v>1360</v>
      </c>
      <c r="H291" s="1" t="s">
        <v>1275</v>
      </c>
      <c r="I291" s="1" t="s">
        <v>1298</v>
      </c>
      <c r="J291" s="1" t="s">
        <v>1540</v>
      </c>
      <c r="K291" s="1" t="s">
        <v>1285</v>
      </c>
      <c r="L291" s="11" t="s">
        <v>1317</v>
      </c>
    </row>
    <row r="292" spans="1:12" ht="33">
      <c r="A292" s="11" t="str">
        <f>_xlfn.XLOOKUP(표14[[#This Row],[material_name]],표2[material_name],표2[material_id])</f>
        <v>M077</v>
      </c>
      <c r="B292" s="11" t="str">
        <f>_xlfn.XLOOKUP(표14[[#This Row],[application_taxonomy]],표11[application_taxonomy],표11[app_id])</f>
        <v>A28</v>
      </c>
      <c r="C292" s="11" t="str">
        <f>_xlfn.XLOOKUP(표14[[#This Row],[end_use_industry]],표13[end_use_category],표13[end_use_id])</f>
        <v>E07</v>
      </c>
      <c r="D292" s="11">
        <f>_xlfn.XLOOKUP(표14[[#This Row],[importance]],표15[importance],표15[rating])</f>
        <v>0.6</v>
      </c>
      <c r="E292" s="1" t="s">
        <v>1539</v>
      </c>
      <c r="F292" s="1" t="s">
        <v>1538</v>
      </c>
      <c r="G292" s="1" t="s">
        <v>1360</v>
      </c>
      <c r="H292" s="1" t="s">
        <v>1263</v>
      </c>
      <c r="I292" s="1" t="s">
        <v>1298</v>
      </c>
      <c r="J292" s="1" t="s">
        <v>1537</v>
      </c>
      <c r="K292" s="1" t="s">
        <v>1285</v>
      </c>
      <c r="L292" s="11" t="s">
        <v>1317</v>
      </c>
    </row>
    <row r="293" spans="1:12" ht="33">
      <c r="A293" s="11" t="str">
        <f>_xlfn.XLOOKUP(표14[[#This Row],[material_name]],표2[material_name],표2[material_id])</f>
        <v>M078</v>
      </c>
      <c r="B293" s="11" t="str">
        <f>_xlfn.XLOOKUP(표14[[#This Row],[application_taxonomy]],표11[application_taxonomy],표11[app_id])</f>
        <v>A01</v>
      </c>
      <c r="C293" s="11" t="str">
        <f>_xlfn.XLOOKUP(표14[[#This Row],[end_use_industry]],표13[end_use_category],표13[end_use_id])</f>
        <v>E07</v>
      </c>
      <c r="D293" s="11">
        <f>_xlfn.XLOOKUP(표14[[#This Row],[importance]],표15[importance],표15[rating])</f>
        <v>0.6</v>
      </c>
      <c r="E293" s="1" t="s">
        <v>580</v>
      </c>
      <c r="F293" s="1" t="s">
        <v>1536</v>
      </c>
      <c r="G293" s="1" t="s">
        <v>1254</v>
      </c>
      <c r="H293" s="1" t="s">
        <v>1263</v>
      </c>
      <c r="I293" s="1" t="s">
        <v>1298</v>
      </c>
      <c r="J293" s="1" t="s">
        <v>1535</v>
      </c>
      <c r="K293" s="1" t="s">
        <v>1285</v>
      </c>
      <c r="L293" s="11" t="s">
        <v>1317</v>
      </c>
    </row>
    <row r="294" spans="1:12" ht="33">
      <c r="A294" s="11" t="str">
        <f>_xlfn.XLOOKUP(표14[[#This Row],[material_name]],표2[material_name],표2[material_id])</f>
        <v>M078</v>
      </c>
      <c r="B294" s="11" t="str">
        <f>_xlfn.XLOOKUP(표14[[#This Row],[application_taxonomy]],표11[application_taxonomy],표11[app_id])</f>
        <v>A20</v>
      </c>
      <c r="C294" s="11" t="str">
        <f>_xlfn.XLOOKUP(표14[[#This Row],[end_use_industry]],표13[end_use_category],표13[end_use_id])</f>
        <v>E07</v>
      </c>
      <c r="D294" s="11">
        <f>_xlfn.XLOOKUP(표14[[#This Row],[importance]],표15[importance],표15[rating])</f>
        <v>0.3</v>
      </c>
      <c r="E294" s="1" t="s">
        <v>580</v>
      </c>
      <c r="F294" s="1" t="s">
        <v>1439</v>
      </c>
      <c r="G294" s="1" t="s">
        <v>1328</v>
      </c>
      <c r="H294" s="1" t="s">
        <v>1263</v>
      </c>
      <c r="I294" s="1" t="s">
        <v>1287</v>
      </c>
      <c r="J294" s="1" t="s">
        <v>1534</v>
      </c>
      <c r="K294" s="1" t="s">
        <v>1285</v>
      </c>
      <c r="L294" s="11" t="s">
        <v>1317</v>
      </c>
    </row>
    <row r="295" spans="1:12" ht="33">
      <c r="A295" s="11" t="str">
        <f>_xlfn.XLOOKUP(표14[[#This Row],[material_name]],표2[material_name],표2[material_id])</f>
        <v>M078</v>
      </c>
      <c r="B295" s="11" t="str">
        <f>_xlfn.XLOOKUP(표14[[#This Row],[application_taxonomy]],표11[application_taxonomy],표11[app_id])</f>
        <v>A42</v>
      </c>
      <c r="C295" s="11" t="str">
        <f>_xlfn.XLOOKUP(표14[[#This Row],[end_use_industry]],표13[end_use_category],표13[end_use_id])</f>
        <v>E01</v>
      </c>
      <c r="D295" s="11">
        <f>_xlfn.XLOOKUP(표14[[#This Row],[importance]],표15[importance],표15[rating])</f>
        <v>0.1</v>
      </c>
      <c r="E295" s="1" t="s">
        <v>580</v>
      </c>
      <c r="F295" s="1" t="s">
        <v>1533</v>
      </c>
      <c r="G295" s="1" t="s">
        <v>1299</v>
      </c>
      <c r="H295" s="1" t="s">
        <v>1281</v>
      </c>
      <c r="I295" s="1" t="s">
        <v>1302</v>
      </c>
      <c r="J295" s="1" t="s">
        <v>1532</v>
      </c>
      <c r="K295" s="1" t="s">
        <v>1285</v>
      </c>
      <c r="L295" s="11" t="s">
        <v>1317</v>
      </c>
    </row>
    <row r="296" spans="1:12">
      <c r="A296" s="11" t="str">
        <f>_xlfn.XLOOKUP(표14[[#This Row],[material_name]],표2[material_name],표2[material_id])</f>
        <v>M079</v>
      </c>
      <c r="B296" s="11" t="str">
        <f>_xlfn.XLOOKUP(표14[[#This Row],[application_taxonomy]],표11[application_taxonomy],표11[app_id])</f>
        <v>A41</v>
      </c>
      <c r="C296" s="11" t="str">
        <f>_xlfn.XLOOKUP(표14[[#This Row],[end_use_industry]],표13[end_use_category],표13[end_use_id])</f>
        <v>E01</v>
      </c>
      <c r="D296" s="11">
        <f>_xlfn.XLOOKUP(표14[[#This Row],[importance]],표15[importance],표15[rating])</f>
        <v>0.6</v>
      </c>
      <c r="E296" s="1" t="s">
        <v>1521</v>
      </c>
      <c r="F296" s="1" t="s">
        <v>1531</v>
      </c>
      <c r="G296" s="1" t="s">
        <v>1343</v>
      </c>
      <c r="H296" s="1" t="s">
        <v>1281</v>
      </c>
      <c r="I296" s="1" t="s">
        <v>1298</v>
      </c>
      <c r="J296" s="1" t="s">
        <v>1530</v>
      </c>
      <c r="K296" s="1" t="s">
        <v>1285</v>
      </c>
      <c r="L296" s="11" t="s">
        <v>1317</v>
      </c>
    </row>
    <row r="297" spans="1:12">
      <c r="A297" s="11" t="str">
        <f>_xlfn.XLOOKUP(표14[[#This Row],[material_name]],표2[material_name],표2[material_id])</f>
        <v>M079</v>
      </c>
      <c r="B297" s="11" t="str">
        <f>_xlfn.XLOOKUP(표14[[#This Row],[application_taxonomy]],표11[application_taxonomy],표11[app_id])</f>
        <v>A41</v>
      </c>
      <c r="C297" s="11" t="str">
        <f>_xlfn.XLOOKUP(표14[[#This Row],[end_use_industry]],표13[end_use_category],표13[end_use_id])</f>
        <v>E03</v>
      </c>
      <c r="D297" s="11">
        <f>_xlfn.XLOOKUP(표14[[#This Row],[importance]],표15[importance],표15[rating])</f>
        <v>0.6</v>
      </c>
      <c r="E297" s="1" t="s">
        <v>1521</v>
      </c>
      <c r="F297" s="1" t="s">
        <v>1529</v>
      </c>
      <c r="G297" s="1" t="s">
        <v>1343</v>
      </c>
      <c r="H297" s="1" t="s">
        <v>1275</v>
      </c>
      <c r="I297" s="1" t="s">
        <v>1298</v>
      </c>
      <c r="J297" s="1" t="s">
        <v>1528</v>
      </c>
      <c r="K297" s="1" t="s">
        <v>1285</v>
      </c>
      <c r="L297" s="11" t="s">
        <v>1317</v>
      </c>
    </row>
    <row r="298" spans="1:12" ht="33">
      <c r="A298" s="11" t="str">
        <f>_xlfn.XLOOKUP(표14[[#This Row],[material_name]],표2[material_name],표2[material_id])</f>
        <v>M079</v>
      </c>
      <c r="B298" s="11" t="str">
        <f>_xlfn.XLOOKUP(표14[[#This Row],[application_taxonomy]],표11[application_taxonomy],표11[app_id])</f>
        <v>A41</v>
      </c>
      <c r="C298" s="11" t="str">
        <f>_xlfn.XLOOKUP(표14[[#This Row],[end_use_industry]],표13[end_use_category],표13[end_use_id])</f>
        <v>E08</v>
      </c>
      <c r="D298" s="11">
        <f>_xlfn.XLOOKUP(표14[[#This Row],[importance]],표15[importance],표15[rating])</f>
        <v>0.3</v>
      </c>
      <c r="E298" s="1" t="s">
        <v>1521</v>
      </c>
      <c r="F298" s="1" t="s">
        <v>1527</v>
      </c>
      <c r="G298" s="1" t="s">
        <v>1343</v>
      </c>
      <c r="H298" s="1" t="s">
        <v>1260</v>
      </c>
      <c r="I298" s="1" t="s">
        <v>1287</v>
      </c>
      <c r="J298" s="1" t="s">
        <v>1526</v>
      </c>
      <c r="K298" s="1" t="s">
        <v>1285</v>
      </c>
      <c r="L298" s="11" t="s">
        <v>1317</v>
      </c>
    </row>
    <row r="299" spans="1:12">
      <c r="A299" s="11" t="str">
        <f>_xlfn.XLOOKUP(표14[[#This Row],[material_name]],표2[material_name],표2[material_id])</f>
        <v>M079</v>
      </c>
      <c r="B299" s="11" t="str">
        <f>_xlfn.XLOOKUP(표14[[#This Row],[application_taxonomy]],표11[application_taxonomy],표11[app_id])</f>
        <v>A33</v>
      </c>
      <c r="C299" s="11" t="str">
        <f>_xlfn.XLOOKUP(표14[[#This Row],[end_use_industry]],표13[end_use_category],표13[end_use_id])</f>
        <v>E05</v>
      </c>
      <c r="D299" s="11">
        <f>_xlfn.XLOOKUP(표14[[#This Row],[importance]],표15[importance],표15[rating])</f>
        <v>0.3</v>
      </c>
      <c r="E299" s="1" t="s">
        <v>1521</v>
      </c>
      <c r="F299" s="1" t="s">
        <v>1525</v>
      </c>
      <c r="G299" s="1" t="s">
        <v>1333</v>
      </c>
      <c r="H299" s="1" t="s">
        <v>1269</v>
      </c>
      <c r="I299" s="1" t="s">
        <v>1287</v>
      </c>
      <c r="J299" s="1" t="s">
        <v>1524</v>
      </c>
      <c r="K299" s="1" t="s">
        <v>1285</v>
      </c>
      <c r="L299" s="11" t="s">
        <v>1317</v>
      </c>
    </row>
    <row r="300" spans="1:12">
      <c r="A300" s="11" t="str">
        <f>_xlfn.XLOOKUP(표14[[#This Row],[material_name]],표2[material_name],표2[material_id])</f>
        <v>M079</v>
      </c>
      <c r="B300" s="11" t="str">
        <f>_xlfn.XLOOKUP(표14[[#This Row],[application_taxonomy]],표11[application_taxonomy],표11[app_id])</f>
        <v>A41</v>
      </c>
      <c r="C300" s="11" t="str">
        <f>_xlfn.XLOOKUP(표14[[#This Row],[end_use_industry]],표13[end_use_category],표13[end_use_id])</f>
        <v>E02</v>
      </c>
      <c r="D300" s="11">
        <f>_xlfn.XLOOKUP(표14[[#This Row],[importance]],표15[importance],표15[rating])</f>
        <v>0.3</v>
      </c>
      <c r="E300" s="1" t="s">
        <v>1521</v>
      </c>
      <c r="F300" s="1" t="s">
        <v>1523</v>
      </c>
      <c r="G300" s="1" t="s">
        <v>1343</v>
      </c>
      <c r="H300" s="1" t="s">
        <v>1278</v>
      </c>
      <c r="I300" s="1" t="s">
        <v>1287</v>
      </c>
      <c r="J300" s="1" t="s">
        <v>1522</v>
      </c>
      <c r="K300" s="1" t="s">
        <v>1285</v>
      </c>
      <c r="L300" s="11" t="s">
        <v>1317</v>
      </c>
    </row>
    <row r="301" spans="1:12" ht="33">
      <c r="A301" s="11" t="str">
        <f>_xlfn.XLOOKUP(표14[[#This Row],[material_name]],표2[material_name],표2[material_id])</f>
        <v>M079</v>
      </c>
      <c r="B301" s="11" t="str">
        <f>_xlfn.XLOOKUP(표14[[#This Row],[application_taxonomy]],표11[application_taxonomy],표11[app_id])</f>
        <v>A40</v>
      </c>
      <c r="C301" s="11" t="str">
        <f>_xlfn.XLOOKUP(표14[[#This Row],[end_use_industry]],표13[end_use_category],표13[end_use_id])</f>
        <v>E08</v>
      </c>
      <c r="D301" s="11">
        <f>_xlfn.XLOOKUP(표14[[#This Row],[importance]],표15[importance],표15[rating])</f>
        <v>0.1</v>
      </c>
      <c r="E301" s="1" t="s">
        <v>1521</v>
      </c>
      <c r="F301" s="1" t="s">
        <v>1520</v>
      </c>
      <c r="G301" s="1" t="s">
        <v>1519</v>
      </c>
      <c r="H301" s="1" t="s">
        <v>1260</v>
      </c>
      <c r="I301" s="1" t="s">
        <v>1302</v>
      </c>
      <c r="J301" s="1" t="s">
        <v>1518</v>
      </c>
      <c r="K301" s="1" t="s">
        <v>1285</v>
      </c>
      <c r="L301" s="11" t="s">
        <v>1317</v>
      </c>
    </row>
    <row r="302" spans="1:12" ht="82.5">
      <c r="A302" s="11" t="str">
        <f>_xlfn.XLOOKUP(표14[[#This Row],[material_name]],표2[material_name],표2[material_id])</f>
        <v>M080</v>
      </c>
      <c r="B302" s="11" t="str">
        <f>_xlfn.XLOOKUP(표14[[#This Row],[application_taxonomy]],표11[application_taxonomy],표11[app_id])</f>
        <v>A20</v>
      </c>
      <c r="C302" s="11" t="str">
        <f>_xlfn.XLOOKUP(표14[[#This Row],[end_use_industry]],표13[end_use_category],표13[end_use_id])</f>
        <v>E01</v>
      </c>
      <c r="D302" s="11">
        <f>_xlfn.XLOOKUP(표14[[#This Row],[importance]],표15[importance],표15[rating])</f>
        <v>0.6</v>
      </c>
      <c r="E302" s="1" t="s">
        <v>886</v>
      </c>
      <c r="F302" s="1" t="s">
        <v>4039</v>
      </c>
      <c r="G302" s="1" t="s">
        <v>1328</v>
      </c>
      <c r="H302" s="1" t="s">
        <v>1281</v>
      </c>
      <c r="I302" s="1" t="s">
        <v>1298</v>
      </c>
      <c r="J302" s="1" t="s">
        <v>4043</v>
      </c>
      <c r="K302" s="1" t="s">
        <v>1285</v>
      </c>
      <c r="L302" s="11"/>
    </row>
    <row r="303" spans="1:12" ht="33">
      <c r="A303" s="11" t="str">
        <f>_xlfn.XLOOKUP(표14[[#This Row],[material_name]],표2[material_name],표2[material_id])</f>
        <v>M080</v>
      </c>
      <c r="B303" s="11" t="str">
        <f>_xlfn.XLOOKUP(표14[[#This Row],[application_taxonomy]],표11[application_taxonomy],표11[app_id])</f>
        <v>A04</v>
      </c>
      <c r="C303" s="11" t="str">
        <f>_xlfn.XLOOKUP(표14[[#This Row],[end_use_industry]],표13[end_use_category],표13[end_use_id])</f>
        <v>E07</v>
      </c>
      <c r="D303" s="11">
        <f>_xlfn.XLOOKUP(표14[[#This Row],[importance]],표15[importance],표15[rating])</f>
        <v>0.3</v>
      </c>
      <c r="E303" s="1" t="s">
        <v>886</v>
      </c>
      <c r="F303" s="1" t="s">
        <v>4040</v>
      </c>
      <c r="G303" s="1" t="s">
        <v>1319</v>
      </c>
      <c r="H303" s="1" t="s">
        <v>1263</v>
      </c>
      <c r="I303" s="1" t="s">
        <v>1287</v>
      </c>
      <c r="J303" s="1" t="s">
        <v>4044</v>
      </c>
      <c r="K303" s="1" t="s">
        <v>1285</v>
      </c>
      <c r="L303" s="11"/>
    </row>
    <row r="304" spans="1:12" ht="49.5">
      <c r="A304" s="11" t="str">
        <f>_xlfn.XLOOKUP(표14[[#This Row],[material_name]],표2[material_name],표2[material_id])</f>
        <v>M080</v>
      </c>
      <c r="B304" s="11" t="str">
        <f>_xlfn.XLOOKUP(표14[[#This Row],[application_taxonomy]],표11[application_taxonomy],표11[app_id])</f>
        <v>A01</v>
      </c>
      <c r="C304" s="11" t="str">
        <f>_xlfn.XLOOKUP(표14[[#This Row],[end_use_industry]],표13[end_use_category],표13[end_use_id])</f>
        <v>E07</v>
      </c>
      <c r="D304" s="11">
        <f>_xlfn.XLOOKUP(표14[[#This Row],[importance]],표15[importance],표15[rating])</f>
        <v>0.3</v>
      </c>
      <c r="E304" s="1" t="s">
        <v>886</v>
      </c>
      <c r="F304" s="1" t="s">
        <v>4045</v>
      </c>
      <c r="G304" s="1" t="s">
        <v>1313</v>
      </c>
      <c r="H304" s="1" t="s">
        <v>1263</v>
      </c>
      <c r="I304" s="1" t="s">
        <v>1287</v>
      </c>
      <c r="J304" s="1" t="s">
        <v>4046</v>
      </c>
      <c r="K304" s="1" t="s">
        <v>1285</v>
      </c>
      <c r="L304" s="11"/>
    </row>
    <row r="305" spans="1:12" ht="33">
      <c r="A305" s="11" t="str">
        <f>_xlfn.XLOOKUP(표14[[#This Row],[material_name]],표2[material_name],표2[material_id])</f>
        <v>M080</v>
      </c>
      <c r="B305" s="11" t="str">
        <f>_xlfn.XLOOKUP(표14[[#This Row],[application_taxonomy]],표11[application_taxonomy],표11[app_id])</f>
        <v>A01</v>
      </c>
      <c r="C305" s="11" t="str">
        <f>_xlfn.XLOOKUP(표14[[#This Row],[end_use_industry]],표13[end_use_category],표13[end_use_id])</f>
        <v>E07</v>
      </c>
      <c r="D305" s="11">
        <f>_xlfn.XLOOKUP(표14[[#This Row],[importance]],표15[importance],표15[rating])</f>
        <v>0.3</v>
      </c>
      <c r="E305" s="1" t="s">
        <v>886</v>
      </c>
      <c r="F305" s="1" t="s">
        <v>4047</v>
      </c>
      <c r="G305" s="1" t="s">
        <v>1313</v>
      </c>
      <c r="H305" s="1" t="s">
        <v>1263</v>
      </c>
      <c r="I305" s="1" t="s">
        <v>1287</v>
      </c>
      <c r="J305" s="1" t="s">
        <v>4048</v>
      </c>
      <c r="K305" s="1" t="s">
        <v>1285</v>
      </c>
      <c r="L305" s="11"/>
    </row>
    <row r="306" spans="1:12" ht="33">
      <c r="A306" s="11" t="str">
        <f>_xlfn.XLOOKUP(표14[[#This Row],[material_name]],표2[material_name],표2[material_id])</f>
        <v>M080</v>
      </c>
      <c r="B306" s="11" t="str">
        <f>_xlfn.XLOOKUP(표14[[#This Row],[application_taxonomy]],표11[application_taxonomy],표11[app_id])</f>
        <v>A02</v>
      </c>
      <c r="C306" s="11" t="str">
        <f>_xlfn.XLOOKUP(표14[[#This Row],[end_use_industry]],표13[end_use_category],표13[end_use_id])</f>
        <v>E07</v>
      </c>
      <c r="D306" s="11">
        <f>_xlfn.XLOOKUP(표14[[#This Row],[importance]],표15[importance],표15[rating])</f>
        <v>0.3</v>
      </c>
      <c r="E306" s="1" t="s">
        <v>886</v>
      </c>
      <c r="F306" s="1" t="s">
        <v>4041</v>
      </c>
      <c r="G306" s="1" t="s">
        <v>1308</v>
      </c>
      <c r="H306" s="1" t="s">
        <v>1263</v>
      </c>
      <c r="I306" s="1" t="s">
        <v>1287</v>
      </c>
      <c r="J306" s="1" t="s">
        <v>4049</v>
      </c>
      <c r="K306" s="1" t="s">
        <v>1285</v>
      </c>
      <c r="L306" s="11"/>
    </row>
    <row r="307" spans="1:12" ht="49.5">
      <c r="A307" s="11" t="str">
        <f>_xlfn.XLOOKUP(표14[[#This Row],[material_name]],표2[material_name],표2[material_id])</f>
        <v>M080</v>
      </c>
      <c r="B307" s="11" t="str">
        <f>_xlfn.XLOOKUP(표14[[#This Row],[application_taxonomy]],표11[application_taxonomy],표11[app_id])</f>
        <v>A02</v>
      </c>
      <c r="C307" s="11" t="str">
        <f>_xlfn.XLOOKUP(표14[[#This Row],[end_use_industry]],표13[end_use_category],표13[end_use_id])</f>
        <v>E07</v>
      </c>
      <c r="D307" s="11">
        <f>_xlfn.XLOOKUP(표14[[#This Row],[importance]],표15[importance],표15[rating])</f>
        <v>0.1</v>
      </c>
      <c r="E307" s="1" t="s">
        <v>886</v>
      </c>
      <c r="F307" s="1" t="s">
        <v>4042</v>
      </c>
      <c r="G307" s="1" t="s">
        <v>1308</v>
      </c>
      <c r="H307" s="1" t="s">
        <v>1263</v>
      </c>
      <c r="I307" s="1" t="s">
        <v>1302</v>
      </c>
      <c r="J307" s="1" t="s">
        <v>4050</v>
      </c>
      <c r="K307" s="1" t="s">
        <v>1285</v>
      </c>
      <c r="L307" s="11"/>
    </row>
    <row r="308" spans="1:12" ht="33">
      <c r="A308" s="11" t="str">
        <f>_xlfn.XLOOKUP(표14[[#This Row],[material_name]],표2[material_name],표2[material_id])</f>
        <v>M080</v>
      </c>
      <c r="B308" s="11" t="str">
        <f>_xlfn.XLOOKUP(표14[[#This Row],[application_taxonomy]],표11[application_taxonomy],표11[app_id])</f>
        <v>A02</v>
      </c>
      <c r="C308" s="11" t="str">
        <f>_xlfn.XLOOKUP(표14[[#This Row],[end_use_industry]],표13[end_use_category],표13[end_use_id])</f>
        <v>E07</v>
      </c>
      <c r="D308" s="11">
        <f>_xlfn.XLOOKUP(표14[[#This Row],[importance]],표15[importance],표15[rating])</f>
        <v>0.1</v>
      </c>
      <c r="E308" s="1" t="s">
        <v>886</v>
      </c>
      <c r="F308" s="1" t="s">
        <v>4051</v>
      </c>
      <c r="G308" s="1" t="s">
        <v>1308</v>
      </c>
      <c r="H308" s="1" t="s">
        <v>1263</v>
      </c>
      <c r="I308" s="1" t="s">
        <v>1302</v>
      </c>
      <c r="J308" s="1" t="s">
        <v>4052</v>
      </c>
      <c r="K308" s="1" t="s">
        <v>1285</v>
      </c>
      <c r="L308" s="11"/>
    </row>
    <row r="309" spans="1:12" ht="33">
      <c r="A309" s="11" t="str">
        <f>_xlfn.XLOOKUP(표14[[#This Row],[material_name]],표2[material_name],표2[material_id])</f>
        <v>M080</v>
      </c>
      <c r="B309" s="11" t="str">
        <f>_xlfn.XLOOKUP(표14[[#This Row],[application_taxonomy]],표11[application_taxonomy],표11[app_id])</f>
        <v>A34</v>
      </c>
      <c r="C309" s="11" t="str">
        <f>_xlfn.XLOOKUP(표14[[#This Row],[end_use_industry]],표13[end_use_category],표13[end_use_id])</f>
        <v>E06</v>
      </c>
      <c r="D309" s="11">
        <f>_xlfn.XLOOKUP(표14[[#This Row],[importance]],표15[importance],표15[rating])</f>
        <v>0.1</v>
      </c>
      <c r="E309" s="1" t="s">
        <v>886</v>
      </c>
      <c r="F309" s="1" t="s">
        <v>4053</v>
      </c>
      <c r="G309" s="1" t="s">
        <v>1797</v>
      </c>
      <c r="H309" s="1" t="s">
        <v>1266</v>
      </c>
      <c r="I309" s="1" t="s">
        <v>1302</v>
      </c>
      <c r="J309" s="1" t="s">
        <v>4054</v>
      </c>
      <c r="K309" s="1" t="s">
        <v>1285</v>
      </c>
      <c r="L309" s="11"/>
    </row>
    <row r="310" spans="1:12" ht="33">
      <c r="A310" s="11" t="str">
        <f>_xlfn.XLOOKUP(표14[[#This Row],[material_name]],표2[material_name],표2[material_id])</f>
        <v>M080</v>
      </c>
      <c r="B310" s="11" t="str">
        <f>_xlfn.XLOOKUP(표14[[#This Row],[application_taxonomy]],표11[application_taxonomy],표11[app_id])</f>
        <v>A35</v>
      </c>
      <c r="C310" s="11" t="str">
        <f>_xlfn.XLOOKUP(표14[[#This Row],[end_use_industry]],표13[end_use_category],표13[end_use_id])</f>
        <v>E06</v>
      </c>
      <c r="D310" s="11">
        <f>_xlfn.XLOOKUP(표14[[#This Row],[importance]],표15[importance],표15[rating])</f>
        <v>0.1</v>
      </c>
      <c r="E310" s="1" t="s">
        <v>886</v>
      </c>
      <c r="F310" s="1" t="s">
        <v>4055</v>
      </c>
      <c r="G310" s="1" t="s">
        <v>1577</v>
      </c>
      <c r="H310" s="1" t="s">
        <v>1266</v>
      </c>
      <c r="I310" s="1" t="s">
        <v>1302</v>
      </c>
      <c r="J310" s="1" t="s">
        <v>4056</v>
      </c>
      <c r="K310" s="1" t="s">
        <v>1285</v>
      </c>
      <c r="L310" s="11"/>
    </row>
    <row r="311" spans="1:12" ht="33">
      <c r="A311" s="11" t="str">
        <f>_xlfn.XLOOKUP(표14[[#This Row],[material_name]],표2[material_name],표2[material_id])</f>
        <v>M081</v>
      </c>
      <c r="B311" s="11" t="str">
        <f>_xlfn.XLOOKUP(표14[[#This Row],[application_taxonomy]],표11[application_taxonomy],표11[app_id])</f>
        <v>A15</v>
      </c>
      <c r="C311" s="11" t="str">
        <f>_xlfn.XLOOKUP(표14[[#This Row],[end_use_industry]],표13[end_use_category],표13[end_use_id])</f>
        <v>E03</v>
      </c>
      <c r="D311" s="11">
        <f>_xlfn.XLOOKUP(표14[[#This Row],[importance]],표15[importance],표15[rating])</f>
        <v>0.6</v>
      </c>
      <c r="E311" s="1" t="s">
        <v>598</v>
      </c>
      <c r="F311" s="1" t="s">
        <v>1517</v>
      </c>
      <c r="G311" s="1" t="s">
        <v>1508</v>
      </c>
      <c r="H311" s="1" t="s">
        <v>1275</v>
      </c>
      <c r="I311" s="1" t="s">
        <v>1298</v>
      </c>
      <c r="J311" s="1" t="s">
        <v>1516</v>
      </c>
      <c r="K311" s="1" t="s">
        <v>1285</v>
      </c>
      <c r="L311" s="11" t="s">
        <v>1317</v>
      </c>
    </row>
    <row r="312" spans="1:12" ht="33">
      <c r="A312" s="11" t="str">
        <f>_xlfn.XLOOKUP(표14[[#This Row],[material_name]],표2[material_name],표2[material_id])</f>
        <v>M081</v>
      </c>
      <c r="B312" s="11" t="str">
        <f>_xlfn.XLOOKUP(표14[[#This Row],[application_taxonomy]],표11[application_taxonomy],표11[app_id])</f>
        <v>A24</v>
      </c>
      <c r="C312" s="11" t="str">
        <f>_xlfn.XLOOKUP(표14[[#This Row],[end_use_industry]],표13[end_use_category],표13[end_use_id])</f>
        <v>E07</v>
      </c>
      <c r="D312" s="11">
        <f>_xlfn.XLOOKUP(표14[[#This Row],[importance]],표15[importance],표15[rating])</f>
        <v>0.3</v>
      </c>
      <c r="E312" s="1" t="s">
        <v>598</v>
      </c>
      <c r="F312" s="1" t="s">
        <v>1515</v>
      </c>
      <c r="G312" s="1" t="s">
        <v>1303</v>
      </c>
      <c r="H312" s="1" t="s">
        <v>1263</v>
      </c>
      <c r="I312" s="1" t="s">
        <v>1287</v>
      </c>
      <c r="J312" s="1" t="s">
        <v>1514</v>
      </c>
      <c r="K312" s="1" t="s">
        <v>1285</v>
      </c>
      <c r="L312" s="11" t="s">
        <v>1317</v>
      </c>
    </row>
    <row r="313" spans="1:12" ht="33">
      <c r="A313" s="11" t="str">
        <f>_xlfn.XLOOKUP(표14[[#This Row],[material_name]],표2[material_name],표2[material_id])</f>
        <v>M081</v>
      </c>
      <c r="B313" s="11" t="str">
        <f>_xlfn.XLOOKUP(표14[[#This Row],[application_taxonomy]],표11[application_taxonomy],표11[app_id])</f>
        <v>A38</v>
      </c>
      <c r="C313" s="11" t="str">
        <f>_xlfn.XLOOKUP(표14[[#This Row],[end_use_industry]],표13[end_use_category],표13[end_use_id])</f>
        <v>E07</v>
      </c>
      <c r="D313" s="11">
        <f>_xlfn.XLOOKUP(표14[[#This Row],[importance]],표15[importance],표15[rating])</f>
        <v>0.3</v>
      </c>
      <c r="E313" s="1" t="s">
        <v>598</v>
      </c>
      <c r="F313" s="1" t="s">
        <v>1513</v>
      </c>
      <c r="G313" s="1" t="s">
        <v>1434</v>
      </c>
      <c r="H313" s="1" t="s">
        <v>1263</v>
      </c>
      <c r="I313" s="1" t="s">
        <v>1287</v>
      </c>
      <c r="J313" s="1" t="s">
        <v>1512</v>
      </c>
      <c r="K313" s="1" t="s">
        <v>1285</v>
      </c>
      <c r="L313" s="11" t="s">
        <v>1317</v>
      </c>
    </row>
    <row r="314" spans="1:12" ht="33">
      <c r="A314" s="11" t="str">
        <f>_xlfn.XLOOKUP(표14[[#This Row],[material_name]],표2[material_name],표2[material_id])</f>
        <v>M082</v>
      </c>
      <c r="B314" s="11" t="str">
        <f>_xlfn.XLOOKUP(표14[[#This Row],[application_taxonomy]],표11[application_taxonomy],표11[app_id])</f>
        <v>A01</v>
      </c>
      <c r="C314" s="11" t="str">
        <f>_xlfn.XLOOKUP(표14[[#This Row],[end_use_industry]],표13[end_use_category],표13[end_use_id])</f>
        <v>E07</v>
      </c>
      <c r="D314" s="11">
        <f>_xlfn.XLOOKUP(표14[[#This Row],[importance]],표15[importance],표15[rating])</f>
        <v>0.6</v>
      </c>
      <c r="E314" s="1" t="s">
        <v>600</v>
      </c>
      <c r="F314" s="1" t="s">
        <v>1511</v>
      </c>
      <c r="G314" s="1" t="s">
        <v>1313</v>
      </c>
      <c r="H314" s="1" t="s">
        <v>1263</v>
      </c>
      <c r="I314" s="1" t="s">
        <v>1298</v>
      </c>
      <c r="J314" s="1" t="s">
        <v>1510</v>
      </c>
      <c r="K314" s="1" t="s">
        <v>1285</v>
      </c>
      <c r="L314" s="11" t="s">
        <v>1317</v>
      </c>
    </row>
    <row r="315" spans="1:12" ht="33">
      <c r="A315" s="11" t="str">
        <f>_xlfn.XLOOKUP(표14[[#This Row],[material_name]],표2[material_name],표2[material_id])</f>
        <v>M082</v>
      </c>
      <c r="B315" s="11" t="str">
        <f>_xlfn.XLOOKUP(표14[[#This Row],[application_taxonomy]],표11[application_taxonomy],표11[app_id])</f>
        <v>A15</v>
      </c>
      <c r="C315" s="11" t="str">
        <f>_xlfn.XLOOKUP(표14[[#This Row],[end_use_industry]],표13[end_use_category],표13[end_use_id])</f>
        <v>E03</v>
      </c>
      <c r="D315" s="11">
        <f>_xlfn.XLOOKUP(표14[[#This Row],[importance]],표15[importance],표15[rating])</f>
        <v>0.6</v>
      </c>
      <c r="E315" s="1" t="s">
        <v>600</v>
      </c>
      <c r="F315" s="1" t="s">
        <v>1509</v>
      </c>
      <c r="G315" s="1" t="s">
        <v>1508</v>
      </c>
      <c r="H315" s="1" t="s">
        <v>1275</v>
      </c>
      <c r="I315" s="1" t="s">
        <v>1298</v>
      </c>
      <c r="J315" s="1" t="s">
        <v>1507</v>
      </c>
      <c r="K315" s="1" t="s">
        <v>1285</v>
      </c>
      <c r="L315" s="11" t="s">
        <v>1317</v>
      </c>
    </row>
    <row r="316" spans="1:12" ht="33">
      <c r="A316" s="11" t="str">
        <f>_xlfn.XLOOKUP(표14[[#This Row],[material_name]],표2[material_name],표2[material_id])</f>
        <v>M082</v>
      </c>
      <c r="B316" s="11" t="str">
        <f>_xlfn.XLOOKUP(표14[[#This Row],[application_taxonomy]],표11[application_taxonomy],표11[app_id])</f>
        <v>A24</v>
      </c>
      <c r="C316" s="11" t="str">
        <f>_xlfn.XLOOKUP(표14[[#This Row],[end_use_industry]],표13[end_use_category],표13[end_use_id])</f>
        <v>E07</v>
      </c>
      <c r="D316" s="11">
        <f>_xlfn.XLOOKUP(표14[[#This Row],[importance]],표15[importance],표15[rating])</f>
        <v>0.3</v>
      </c>
      <c r="E316" s="1" t="s">
        <v>600</v>
      </c>
      <c r="F316" s="1" t="s">
        <v>1506</v>
      </c>
      <c r="G316" s="1" t="s">
        <v>1303</v>
      </c>
      <c r="H316" s="1" t="s">
        <v>1263</v>
      </c>
      <c r="I316" s="1" t="s">
        <v>1287</v>
      </c>
      <c r="J316" s="1" t="s">
        <v>1505</v>
      </c>
      <c r="K316" s="1" t="s">
        <v>1285</v>
      </c>
      <c r="L316" s="11" t="s">
        <v>1317</v>
      </c>
    </row>
    <row r="317" spans="1:12" ht="33">
      <c r="A317" s="11" t="str">
        <f>_xlfn.XLOOKUP(표14[[#This Row],[material_name]],표2[material_name],표2[material_id])</f>
        <v>M083</v>
      </c>
      <c r="B317" s="11" t="str">
        <f>_xlfn.XLOOKUP(표14[[#This Row],[application_taxonomy]],표11[application_taxonomy],표11[app_id])</f>
        <v>A02</v>
      </c>
      <c r="C317" s="11" t="str">
        <f>_xlfn.XLOOKUP(표14[[#This Row],[end_use_industry]],표13[end_use_category],표13[end_use_id])</f>
        <v>E07</v>
      </c>
      <c r="D317" s="11">
        <f>_xlfn.XLOOKUP(표14[[#This Row],[importance]],표15[importance],표15[rating])</f>
        <v>0.6</v>
      </c>
      <c r="E317" s="1" t="s">
        <v>1495</v>
      </c>
      <c r="F317" s="1" t="s">
        <v>1504</v>
      </c>
      <c r="G317" s="1" t="s">
        <v>1308</v>
      </c>
      <c r="H317" s="1" t="s">
        <v>1263</v>
      </c>
      <c r="I317" s="1" t="s">
        <v>1298</v>
      </c>
      <c r="J317" s="1" t="s">
        <v>1503</v>
      </c>
      <c r="K317" s="1" t="s">
        <v>1285</v>
      </c>
      <c r="L317" s="11"/>
    </row>
    <row r="318" spans="1:12" ht="33">
      <c r="A318" s="11" t="str">
        <f>_xlfn.XLOOKUP(표14[[#This Row],[material_name]],표2[material_name],표2[material_id])</f>
        <v>M083</v>
      </c>
      <c r="B318" s="11" t="str">
        <f>_xlfn.XLOOKUP(표14[[#This Row],[application_taxonomy]],표11[application_taxonomy],표11[app_id])</f>
        <v>A02</v>
      </c>
      <c r="C318" s="11" t="str">
        <f>_xlfn.XLOOKUP(표14[[#This Row],[end_use_industry]],표13[end_use_category],표13[end_use_id])</f>
        <v>E03</v>
      </c>
      <c r="D318" s="11">
        <f>_xlfn.XLOOKUP(표14[[#This Row],[importance]],표15[importance],표15[rating])</f>
        <v>0.6</v>
      </c>
      <c r="E318" s="1" t="s">
        <v>1495</v>
      </c>
      <c r="F318" s="1" t="s">
        <v>1502</v>
      </c>
      <c r="G318" s="1" t="s">
        <v>1308</v>
      </c>
      <c r="H318" s="1" t="s">
        <v>1275</v>
      </c>
      <c r="I318" s="1" t="s">
        <v>1298</v>
      </c>
      <c r="J318" s="1" t="s">
        <v>1501</v>
      </c>
      <c r="K318" s="1" t="s">
        <v>1285</v>
      </c>
      <c r="L318" s="11"/>
    </row>
    <row r="319" spans="1:12" ht="33">
      <c r="A319" s="11" t="str">
        <f>_xlfn.XLOOKUP(표14[[#This Row],[material_name]],표2[material_name],표2[material_id])</f>
        <v>M083</v>
      </c>
      <c r="B319" s="11" t="str">
        <f>_xlfn.XLOOKUP(표14[[#This Row],[application_taxonomy]],표11[application_taxonomy],표11[app_id])</f>
        <v>A20</v>
      </c>
      <c r="C319" s="11" t="str">
        <f>_xlfn.XLOOKUP(표14[[#This Row],[end_use_industry]],표13[end_use_category],표13[end_use_id])</f>
        <v>E07</v>
      </c>
      <c r="D319" s="11">
        <f>_xlfn.XLOOKUP(표14[[#This Row],[importance]],표15[importance],표15[rating])</f>
        <v>0.3</v>
      </c>
      <c r="E319" s="1" t="s">
        <v>1495</v>
      </c>
      <c r="F319" s="1" t="s">
        <v>1439</v>
      </c>
      <c r="G319" s="1" t="s">
        <v>1328</v>
      </c>
      <c r="H319" s="1" t="s">
        <v>1263</v>
      </c>
      <c r="I319" s="1" t="s">
        <v>1287</v>
      </c>
      <c r="J319" s="1" t="s">
        <v>1500</v>
      </c>
      <c r="K319" s="1" t="s">
        <v>1285</v>
      </c>
      <c r="L319" s="11"/>
    </row>
    <row r="320" spans="1:12">
      <c r="A320" s="11" t="str">
        <f>_xlfn.XLOOKUP(표14[[#This Row],[material_name]],표2[material_name],표2[material_id])</f>
        <v>M083</v>
      </c>
      <c r="B320" s="11" t="str">
        <f>_xlfn.XLOOKUP(표14[[#This Row],[application_taxonomy]],표11[application_taxonomy],표11[app_id])</f>
        <v>A22</v>
      </c>
      <c r="C320" s="11" t="str">
        <f>_xlfn.XLOOKUP(표14[[#This Row],[end_use_industry]],표13[end_use_category],표13[end_use_id])</f>
        <v>E02</v>
      </c>
      <c r="D320" s="11">
        <f>_xlfn.XLOOKUP(표14[[#This Row],[importance]],표15[importance],표15[rating])</f>
        <v>0.3</v>
      </c>
      <c r="E320" s="1" t="s">
        <v>1495</v>
      </c>
      <c r="F320" s="1" t="s">
        <v>1499</v>
      </c>
      <c r="G320" s="1" t="s">
        <v>1292</v>
      </c>
      <c r="H320" s="1" t="s">
        <v>1278</v>
      </c>
      <c r="I320" s="1" t="s">
        <v>1287</v>
      </c>
      <c r="J320" s="1" t="s">
        <v>1498</v>
      </c>
      <c r="K320" s="1" t="s">
        <v>1285</v>
      </c>
      <c r="L320" s="11"/>
    </row>
    <row r="321" spans="1:12">
      <c r="A321" s="11" t="str">
        <f>_xlfn.XLOOKUP(표14[[#This Row],[material_name]],표2[material_name],표2[material_id])</f>
        <v>M083</v>
      </c>
      <c r="B321" s="11" t="str">
        <f>_xlfn.XLOOKUP(표14[[#This Row],[application_taxonomy]],표11[application_taxonomy],표11[app_id])</f>
        <v>A22</v>
      </c>
      <c r="C321" s="11" t="str">
        <f>_xlfn.XLOOKUP(표14[[#This Row],[end_use_industry]],표13[end_use_category],표13[end_use_id])</f>
        <v>E02</v>
      </c>
      <c r="D321" s="11">
        <f>_xlfn.XLOOKUP(표14[[#This Row],[importance]],표15[importance],표15[rating])</f>
        <v>0.3</v>
      </c>
      <c r="E321" s="1" t="s">
        <v>1495</v>
      </c>
      <c r="F321" s="1" t="s">
        <v>1497</v>
      </c>
      <c r="G321" s="1" t="s">
        <v>1292</v>
      </c>
      <c r="H321" s="1" t="s">
        <v>1278</v>
      </c>
      <c r="I321" s="1" t="s">
        <v>1287</v>
      </c>
      <c r="J321" s="1" t="s">
        <v>1496</v>
      </c>
      <c r="K321" s="1" t="s">
        <v>1285</v>
      </c>
      <c r="L321" s="11"/>
    </row>
    <row r="322" spans="1:12" ht="33">
      <c r="A322" s="11" t="str">
        <f>_xlfn.XLOOKUP(표14[[#This Row],[material_name]],표2[material_name],표2[material_id])</f>
        <v>M083</v>
      </c>
      <c r="B322" s="11" t="str">
        <f>_xlfn.XLOOKUP(표14[[#This Row],[application_taxonomy]],표11[application_taxonomy],표11[app_id])</f>
        <v>A07</v>
      </c>
      <c r="C322" s="11" t="str">
        <f>_xlfn.XLOOKUP(표14[[#This Row],[end_use_industry]],표13[end_use_category],표13[end_use_id])</f>
        <v>E02</v>
      </c>
      <c r="D322" s="11">
        <f>_xlfn.XLOOKUP(표14[[#This Row],[importance]],표15[importance],표15[rating])</f>
        <v>0.1</v>
      </c>
      <c r="E322" s="1" t="s">
        <v>1495</v>
      </c>
      <c r="F322" s="1" t="s">
        <v>1494</v>
      </c>
      <c r="G322" s="1" t="s">
        <v>1420</v>
      </c>
      <c r="H322" s="1" t="s">
        <v>1278</v>
      </c>
      <c r="I322" s="1" t="s">
        <v>1302</v>
      </c>
      <c r="J322" s="1" t="s">
        <v>1493</v>
      </c>
      <c r="K322" s="1" t="s">
        <v>1285</v>
      </c>
      <c r="L322" s="11"/>
    </row>
    <row r="323" spans="1:12" ht="33">
      <c r="A323" s="11" t="str">
        <f>_xlfn.XLOOKUP(표14[[#This Row],[material_name]],표2[material_name],표2[material_id])</f>
        <v>M084</v>
      </c>
      <c r="B323" s="11" t="str">
        <f>_xlfn.XLOOKUP(표14[[#This Row],[application_taxonomy]],표11[application_taxonomy],표11[app_id])</f>
        <v>A14</v>
      </c>
      <c r="C323" s="11" t="str">
        <f>_xlfn.XLOOKUP(표14[[#This Row],[end_use_industry]],표13[end_use_category],표13[end_use_id])</f>
        <v>E04</v>
      </c>
      <c r="D323" s="11">
        <f>_xlfn.XLOOKUP(표14[[#This Row],[importance]],표15[importance],표15[rating])</f>
        <v>0.6</v>
      </c>
      <c r="E323" s="1" t="s">
        <v>968</v>
      </c>
      <c r="F323" s="1" t="s">
        <v>1492</v>
      </c>
      <c r="G323" s="1" t="s">
        <v>1491</v>
      </c>
      <c r="H323" s="1" t="s">
        <v>1272</v>
      </c>
      <c r="I323" s="1" t="s">
        <v>1298</v>
      </c>
      <c r="J323" s="1" t="s">
        <v>1490</v>
      </c>
      <c r="K323" s="1" t="s">
        <v>1285</v>
      </c>
      <c r="L323" s="11"/>
    </row>
    <row r="324" spans="1:12">
      <c r="A324" s="11" t="str">
        <f>_xlfn.XLOOKUP(표14[[#This Row],[material_name]],표2[material_name],표2[material_id])</f>
        <v>M084</v>
      </c>
      <c r="B324" s="11" t="str">
        <f>_xlfn.XLOOKUP(표14[[#This Row],[application_taxonomy]],표11[application_taxonomy],표11[app_id])</f>
        <v>A17</v>
      </c>
      <c r="C324" s="11" t="str">
        <f>_xlfn.XLOOKUP(표14[[#This Row],[end_use_industry]],표13[end_use_category],표13[end_use_id])</f>
        <v>E02</v>
      </c>
      <c r="D324" s="11">
        <f>_xlfn.XLOOKUP(표14[[#This Row],[importance]],표15[importance],표15[rating])</f>
        <v>0.3</v>
      </c>
      <c r="E324" s="1" t="s">
        <v>968</v>
      </c>
      <c r="F324" s="1" t="s">
        <v>1489</v>
      </c>
      <c r="G324" s="1" t="s">
        <v>1398</v>
      </c>
      <c r="H324" s="1" t="s">
        <v>1278</v>
      </c>
      <c r="I324" s="1" t="s">
        <v>1287</v>
      </c>
      <c r="J324" s="1" t="s">
        <v>1488</v>
      </c>
      <c r="K324" s="1" t="s">
        <v>1285</v>
      </c>
      <c r="L324" s="11"/>
    </row>
    <row r="325" spans="1:12" ht="33">
      <c r="A325" s="11" t="str">
        <f>_xlfn.XLOOKUP(표14[[#This Row],[material_name]],표2[material_name],표2[material_id])</f>
        <v>M084</v>
      </c>
      <c r="B325" s="11" t="str">
        <f>_xlfn.XLOOKUP(표14[[#This Row],[application_taxonomy]],표11[application_taxonomy],표11[app_id])</f>
        <v>A13</v>
      </c>
      <c r="C325" s="11" t="str">
        <f>_xlfn.XLOOKUP(표14[[#This Row],[end_use_industry]],표13[end_use_category],표13[end_use_id])</f>
        <v>E04</v>
      </c>
      <c r="D325" s="11">
        <f>_xlfn.XLOOKUP(표14[[#This Row],[importance]],표15[importance],표15[rating])</f>
        <v>0.1</v>
      </c>
      <c r="E325" s="1" t="s">
        <v>968</v>
      </c>
      <c r="F325" s="1" t="s">
        <v>1487</v>
      </c>
      <c r="G325" s="1" t="s">
        <v>1409</v>
      </c>
      <c r="H325" s="1" t="s">
        <v>1272</v>
      </c>
      <c r="I325" s="1" t="s">
        <v>1428</v>
      </c>
      <c r="J325" s="1" t="s">
        <v>1486</v>
      </c>
      <c r="K325" s="1" t="s">
        <v>1285</v>
      </c>
      <c r="L325" s="11"/>
    </row>
    <row r="326" spans="1:12" ht="33">
      <c r="A326" s="11" t="str">
        <f>_xlfn.XLOOKUP(표14[[#This Row],[material_name]],표2[material_name],표2[material_id])</f>
        <v>M084</v>
      </c>
      <c r="B326" s="11" t="str">
        <f>_xlfn.XLOOKUP(표14[[#This Row],[application_taxonomy]],표11[application_taxonomy],표11[app_id])</f>
        <v>A20</v>
      </c>
      <c r="C326" s="11" t="str">
        <f>_xlfn.XLOOKUP(표14[[#This Row],[end_use_industry]],표13[end_use_category],표13[end_use_id])</f>
        <v>E07</v>
      </c>
      <c r="D326" s="11">
        <f>_xlfn.XLOOKUP(표14[[#This Row],[importance]],표15[importance],표15[rating])</f>
        <v>0.1</v>
      </c>
      <c r="E326" s="1" t="s">
        <v>968</v>
      </c>
      <c r="F326" s="1" t="s">
        <v>1485</v>
      </c>
      <c r="G326" s="1" t="s">
        <v>1328</v>
      </c>
      <c r="H326" s="1" t="s">
        <v>1263</v>
      </c>
      <c r="I326" s="1" t="s">
        <v>1428</v>
      </c>
      <c r="J326" s="1" t="s">
        <v>1484</v>
      </c>
      <c r="K326" s="1" t="s">
        <v>1285</v>
      </c>
      <c r="L326" s="11"/>
    </row>
    <row r="327" spans="1:12" ht="33">
      <c r="A327" s="11" t="str">
        <f>_xlfn.XLOOKUP(표14[[#This Row],[material_name]],표2[material_name],표2[material_id])</f>
        <v>M084</v>
      </c>
      <c r="B327" s="11" t="str">
        <f>_xlfn.XLOOKUP(표14[[#This Row],[application_taxonomy]],표11[application_taxonomy],표11[app_id])</f>
        <v>A05</v>
      </c>
      <c r="C327" s="11" t="str">
        <f>_xlfn.XLOOKUP(표14[[#This Row],[end_use_industry]],표13[end_use_category],표13[end_use_id])</f>
        <v>E02</v>
      </c>
      <c r="D327" s="11">
        <f>_xlfn.XLOOKUP(표14[[#This Row],[importance]],표15[importance],표15[rating])</f>
        <v>0.1</v>
      </c>
      <c r="E327" s="1" t="s">
        <v>968</v>
      </c>
      <c r="F327" s="1" t="s">
        <v>1483</v>
      </c>
      <c r="G327" s="1" t="s">
        <v>1322</v>
      </c>
      <c r="H327" s="1" t="s">
        <v>1278</v>
      </c>
      <c r="I327" s="1" t="s">
        <v>1428</v>
      </c>
      <c r="J327" s="1" t="s">
        <v>1482</v>
      </c>
      <c r="K327" s="1" t="s">
        <v>1285</v>
      </c>
      <c r="L327" s="11"/>
    </row>
    <row r="328" spans="1:12" ht="33">
      <c r="A328" s="11" t="str">
        <f>_xlfn.XLOOKUP(표14[[#This Row],[material_name]],표2[material_name],표2[material_id])</f>
        <v>M085</v>
      </c>
      <c r="B328" s="11" t="str">
        <f>_xlfn.XLOOKUP(표14[[#This Row],[application_taxonomy]],표11[application_taxonomy],표11[app_id])</f>
        <v>A01</v>
      </c>
      <c r="C328" s="11" t="str">
        <f>_xlfn.XLOOKUP(표14[[#This Row],[end_use_industry]],표13[end_use_category],표13[end_use_id])</f>
        <v>E01</v>
      </c>
      <c r="D328" s="11">
        <f>_xlfn.XLOOKUP(표14[[#This Row],[importance]],표15[importance],표15[rating])</f>
        <v>0.6</v>
      </c>
      <c r="E328" s="1" t="s">
        <v>1476</v>
      </c>
      <c r="F328" s="1" t="s">
        <v>1481</v>
      </c>
      <c r="G328" s="1" t="s">
        <v>1254</v>
      </c>
      <c r="H328" s="1" t="s">
        <v>1281</v>
      </c>
      <c r="I328" s="1" t="s">
        <v>1298</v>
      </c>
      <c r="J328" s="1" t="s">
        <v>1480</v>
      </c>
      <c r="K328" s="1" t="s">
        <v>1285</v>
      </c>
      <c r="L328" s="11"/>
    </row>
    <row r="329" spans="1:12" ht="33">
      <c r="A329" s="11" t="str">
        <f>_xlfn.XLOOKUP(표14[[#This Row],[material_name]],표2[material_name],표2[material_id])</f>
        <v>M085</v>
      </c>
      <c r="B329" s="11" t="str">
        <f>_xlfn.XLOOKUP(표14[[#This Row],[application_taxonomy]],표11[application_taxonomy],표11[app_id])</f>
        <v>A01</v>
      </c>
      <c r="C329" s="11" t="str">
        <f>_xlfn.XLOOKUP(표14[[#This Row],[end_use_industry]],표13[end_use_category],표13[end_use_id])</f>
        <v>E02</v>
      </c>
      <c r="D329" s="11">
        <f>_xlfn.XLOOKUP(표14[[#This Row],[importance]],표15[importance],표15[rating])</f>
        <v>0.3</v>
      </c>
      <c r="E329" s="1" t="s">
        <v>1476</v>
      </c>
      <c r="F329" s="1" t="s">
        <v>1474</v>
      </c>
      <c r="G329" s="1" t="s">
        <v>1254</v>
      </c>
      <c r="H329" s="1" t="s">
        <v>1278</v>
      </c>
      <c r="I329" s="1" t="s">
        <v>1287</v>
      </c>
      <c r="J329" s="1" t="s">
        <v>1479</v>
      </c>
      <c r="K329" s="1" t="s">
        <v>1285</v>
      </c>
      <c r="L329" s="11"/>
    </row>
    <row r="330" spans="1:12" ht="33">
      <c r="A330" s="11" t="str">
        <f>_xlfn.XLOOKUP(표14[[#This Row],[material_name]],표2[material_name],표2[material_id])</f>
        <v>M085</v>
      </c>
      <c r="B330" s="11" t="str">
        <f>_xlfn.XLOOKUP(표14[[#This Row],[application_taxonomy]],표11[application_taxonomy],표11[app_id])</f>
        <v>A01</v>
      </c>
      <c r="C330" s="11" t="str">
        <f>_xlfn.XLOOKUP(표14[[#This Row],[end_use_industry]],표13[end_use_category],표13[end_use_id])</f>
        <v>E07</v>
      </c>
      <c r="D330" s="11">
        <f>_xlfn.XLOOKUP(표14[[#This Row],[importance]],표15[importance],표15[rating])</f>
        <v>0.3</v>
      </c>
      <c r="E330" s="1" t="s">
        <v>1476</v>
      </c>
      <c r="F330" s="1" t="s">
        <v>1465</v>
      </c>
      <c r="G330" s="1" t="s">
        <v>1254</v>
      </c>
      <c r="H330" s="1" t="s">
        <v>1263</v>
      </c>
      <c r="I330" s="1" t="s">
        <v>1287</v>
      </c>
      <c r="J330" s="1" t="s">
        <v>1478</v>
      </c>
      <c r="K330" s="1" t="s">
        <v>1285</v>
      </c>
      <c r="L330" s="11"/>
    </row>
    <row r="331" spans="1:12" ht="33">
      <c r="A331" s="11" t="str">
        <f>_xlfn.XLOOKUP(표14[[#This Row],[material_name]],표2[material_name],표2[material_id])</f>
        <v>M085</v>
      </c>
      <c r="B331" s="11" t="str">
        <f>_xlfn.XLOOKUP(표14[[#This Row],[application_taxonomy]],표11[application_taxonomy],표11[app_id])</f>
        <v>A01</v>
      </c>
      <c r="C331" s="11" t="str">
        <f>_xlfn.XLOOKUP(표14[[#This Row],[end_use_industry]],표13[end_use_category],표13[end_use_id])</f>
        <v>E07</v>
      </c>
      <c r="D331" s="11">
        <f>_xlfn.XLOOKUP(표14[[#This Row],[importance]],표15[importance],표15[rating])</f>
        <v>0.3</v>
      </c>
      <c r="E331" s="1" t="s">
        <v>1476</v>
      </c>
      <c r="F331" s="1" t="s">
        <v>1468</v>
      </c>
      <c r="G331" s="1" t="s">
        <v>1254</v>
      </c>
      <c r="H331" s="1" t="s">
        <v>1263</v>
      </c>
      <c r="I331" s="1" t="s">
        <v>1287</v>
      </c>
      <c r="J331" s="1" t="s">
        <v>1477</v>
      </c>
      <c r="K331" s="1" t="s">
        <v>1285</v>
      </c>
      <c r="L331" s="11"/>
    </row>
    <row r="332" spans="1:12" ht="33">
      <c r="A332" s="11" t="str">
        <f>_xlfn.XLOOKUP(표14[[#This Row],[material_name]],표2[material_name],표2[material_id])</f>
        <v>M085</v>
      </c>
      <c r="B332" s="11" t="str">
        <f>_xlfn.XLOOKUP(표14[[#This Row],[application_taxonomy]],표11[application_taxonomy],표11[app_id])</f>
        <v>A01</v>
      </c>
      <c r="C332" s="11" t="str">
        <f>_xlfn.XLOOKUP(표14[[#This Row],[end_use_industry]],표13[end_use_category],표13[end_use_id])</f>
        <v>E07</v>
      </c>
      <c r="D332" s="11">
        <f>_xlfn.XLOOKUP(표14[[#This Row],[importance]],표15[importance],표15[rating])</f>
        <v>0.3</v>
      </c>
      <c r="E332" s="1" t="s">
        <v>1476</v>
      </c>
      <c r="F332" s="1" t="s">
        <v>1470</v>
      </c>
      <c r="G332" s="1" t="s">
        <v>1254</v>
      </c>
      <c r="H332" s="1" t="s">
        <v>1263</v>
      </c>
      <c r="I332" s="1" t="s">
        <v>1287</v>
      </c>
      <c r="J332" s="1" t="s">
        <v>1475</v>
      </c>
      <c r="K332" s="1" t="s">
        <v>1285</v>
      </c>
      <c r="L332" s="11"/>
    </row>
    <row r="333" spans="1:12">
      <c r="A333" s="11" t="str">
        <f>_xlfn.XLOOKUP(표14[[#This Row],[material_name]],표2[material_name],표2[material_id])</f>
        <v>M086</v>
      </c>
      <c r="B333" s="11" t="str">
        <f>_xlfn.XLOOKUP(표14[[#This Row],[application_taxonomy]],표11[application_taxonomy],표11[app_id])</f>
        <v>A01</v>
      </c>
      <c r="C333" s="11" t="str">
        <f>_xlfn.XLOOKUP(표14[[#This Row],[end_use_industry]],표13[end_use_category],표13[end_use_id])</f>
        <v>E02</v>
      </c>
      <c r="D333" s="11">
        <f>_xlfn.XLOOKUP(표14[[#This Row],[importance]],표15[importance],표15[rating])</f>
        <v>0.6</v>
      </c>
      <c r="E333" s="1" t="s">
        <v>1466</v>
      </c>
      <c r="F333" s="1" t="s">
        <v>1474</v>
      </c>
      <c r="G333" s="1" t="s">
        <v>1254</v>
      </c>
      <c r="H333" s="1" t="s">
        <v>1278</v>
      </c>
      <c r="I333" s="1" t="s">
        <v>1298</v>
      </c>
      <c r="J333" s="1" t="s">
        <v>1473</v>
      </c>
      <c r="K333" s="1" t="s">
        <v>1285</v>
      </c>
      <c r="L333" s="11"/>
    </row>
    <row r="334" spans="1:12" ht="33">
      <c r="A334" s="11" t="str">
        <f>_xlfn.XLOOKUP(표14[[#This Row],[material_name]],표2[material_name],표2[material_id])</f>
        <v>M086</v>
      </c>
      <c r="B334" s="11" t="str">
        <f>_xlfn.XLOOKUP(표14[[#This Row],[application_taxonomy]],표11[application_taxonomy],표11[app_id])</f>
        <v>A01</v>
      </c>
      <c r="C334" s="11" t="str">
        <f>_xlfn.XLOOKUP(표14[[#This Row],[end_use_industry]],표13[end_use_category],표13[end_use_id])</f>
        <v>E02</v>
      </c>
      <c r="D334" s="11">
        <f>_xlfn.XLOOKUP(표14[[#This Row],[importance]],표15[importance],표15[rating])</f>
        <v>0.6</v>
      </c>
      <c r="E334" s="1" t="s">
        <v>1466</v>
      </c>
      <c r="F334" s="1" t="s">
        <v>1472</v>
      </c>
      <c r="G334" s="1" t="s">
        <v>1254</v>
      </c>
      <c r="H334" s="1" t="s">
        <v>1278</v>
      </c>
      <c r="I334" s="1" t="s">
        <v>1298</v>
      </c>
      <c r="J334" s="1" t="s">
        <v>1471</v>
      </c>
      <c r="K334" s="1" t="s">
        <v>1285</v>
      </c>
      <c r="L334" s="11"/>
    </row>
    <row r="335" spans="1:12" ht="33">
      <c r="A335" s="11" t="str">
        <f>_xlfn.XLOOKUP(표14[[#This Row],[material_name]],표2[material_name],표2[material_id])</f>
        <v>M086</v>
      </c>
      <c r="B335" s="11" t="str">
        <f>_xlfn.XLOOKUP(표14[[#This Row],[application_taxonomy]],표11[application_taxonomy],표11[app_id])</f>
        <v>A01</v>
      </c>
      <c r="C335" s="11" t="str">
        <f>_xlfn.XLOOKUP(표14[[#This Row],[end_use_industry]],표13[end_use_category],표13[end_use_id])</f>
        <v>E07</v>
      </c>
      <c r="D335" s="11">
        <f>_xlfn.XLOOKUP(표14[[#This Row],[importance]],표15[importance],표15[rating])</f>
        <v>0.3</v>
      </c>
      <c r="E335" s="1" t="s">
        <v>1466</v>
      </c>
      <c r="F335" s="1" t="s">
        <v>1470</v>
      </c>
      <c r="G335" s="1" t="s">
        <v>1254</v>
      </c>
      <c r="H335" s="1" t="s">
        <v>1263</v>
      </c>
      <c r="I335" s="1" t="s">
        <v>1287</v>
      </c>
      <c r="J335" s="1" t="s">
        <v>1469</v>
      </c>
      <c r="K335" s="1" t="s">
        <v>1285</v>
      </c>
      <c r="L335" s="11"/>
    </row>
    <row r="336" spans="1:12" ht="33">
      <c r="A336" s="11" t="str">
        <f>_xlfn.XLOOKUP(표14[[#This Row],[material_name]],표2[material_name],표2[material_id])</f>
        <v>M086</v>
      </c>
      <c r="B336" s="11" t="str">
        <f>_xlfn.XLOOKUP(표14[[#This Row],[application_taxonomy]],표11[application_taxonomy],표11[app_id])</f>
        <v>A01</v>
      </c>
      <c r="C336" s="11" t="str">
        <f>_xlfn.XLOOKUP(표14[[#This Row],[end_use_industry]],표13[end_use_category],표13[end_use_id])</f>
        <v>E07</v>
      </c>
      <c r="D336" s="11">
        <f>_xlfn.XLOOKUP(표14[[#This Row],[importance]],표15[importance],표15[rating])</f>
        <v>0.3</v>
      </c>
      <c r="E336" s="1" t="s">
        <v>1466</v>
      </c>
      <c r="F336" s="1" t="s">
        <v>1468</v>
      </c>
      <c r="G336" s="1" t="s">
        <v>1254</v>
      </c>
      <c r="H336" s="1" t="s">
        <v>1263</v>
      </c>
      <c r="I336" s="1" t="s">
        <v>1287</v>
      </c>
      <c r="J336" s="1" t="s">
        <v>1467</v>
      </c>
      <c r="K336" s="1" t="s">
        <v>1285</v>
      </c>
      <c r="L336" s="11"/>
    </row>
    <row r="337" spans="1:12" ht="33">
      <c r="A337" s="11" t="str">
        <f>_xlfn.XLOOKUP(표14[[#This Row],[material_name]],표2[material_name],표2[material_id])</f>
        <v>M086</v>
      </c>
      <c r="B337" s="11" t="str">
        <f>_xlfn.XLOOKUP(표14[[#This Row],[application_taxonomy]],표11[application_taxonomy],표11[app_id])</f>
        <v>A01</v>
      </c>
      <c r="C337" s="11" t="str">
        <f>_xlfn.XLOOKUP(표14[[#This Row],[end_use_industry]],표13[end_use_category],표13[end_use_id])</f>
        <v>E07</v>
      </c>
      <c r="D337" s="11">
        <f>_xlfn.XLOOKUP(표14[[#This Row],[importance]],표15[importance],표15[rating])</f>
        <v>0.3</v>
      </c>
      <c r="E337" s="1" t="s">
        <v>1466</v>
      </c>
      <c r="F337" s="1" t="s">
        <v>1465</v>
      </c>
      <c r="G337" s="1" t="s">
        <v>1254</v>
      </c>
      <c r="H337" s="1" t="s">
        <v>1263</v>
      </c>
      <c r="I337" s="1" t="s">
        <v>1287</v>
      </c>
      <c r="J337" s="1" t="s">
        <v>1464</v>
      </c>
      <c r="K337" s="1" t="s">
        <v>1285</v>
      </c>
      <c r="L337" s="11"/>
    </row>
    <row r="338" spans="1:12" ht="33">
      <c r="A338" s="11" t="str">
        <f>_xlfn.XLOOKUP(표14[[#This Row],[material_name]],표2[material_name],표2[material_id])</f>
        <v>M087</v>
      </c>
      <c r="B338" s="11" t="str">
        <f>_xlfn.XLOOKUP(표14[[#This Row],[application_taxonomy]],표11[application_taxonomy],표11[app_id])</f>
        <v>A01</v>
      </c>
      <c r="C338" s="11" t="str">
        <f>_xlfn.XLOOKUP(표14[[#This Row],[end_use_industry]],표13[end_use_category],표13[end_use_id])</f>
        <v>E07</v>
      </c>
      <c r="D338" s="11">
        <f>_xlfn.XLOOKUP(표14[[#This Row],[importance]],표15[importance],표15[rating])</f>
        <v>0.6</v>
      </c>
      <c r="E338" s="1" t="s">
        <v>972</v>
      </c>
      <c r="F338" s="1" t="s">
        <v>1463</v>
      </c>
      <c r="G338" s="1" t="s">
        <v>1313</v>
      </c>
      <c r="H338" s="1" t="s">
        <v>1263</v>
      </c>
      <c r="I338" s="1" t="s">
        <v>1298</v>
      </c>
      <c r="J338" s="1" t="s">
        <v>1462</v>
      </c>
      <c r="K338" s="1" t="s">
        <v>1285</v>
      </c>
      <c r="L338" s="11"/>
    </row>
    <row r="339" spans="1:12" ht="49.5">
      <c r="A339" s="11" t="str">
        <f>_xlfn.XLOOKUP(표14[[#This Row],[material_name]],표2[material_name],표2[material_id])</f>
        <v>M087</v>
      </c>
      <c r="B339" s="11" t="str">
        <f>_xlfn.XLOOKUP(표14[[#This Row],[application_taxonomy]],표11[application_taxonomy],표11[app_id])</f>
        <v>A02</v>
      </c>
      <c r="C339" s="11" t="str">
        <f>_xlfn.XLOOKUP(표14[[#This Row],[end_use_industry]],표13[end_use_category],표13[end_use_id])</f>
        <v>E06</v>
      </c>
      <c r="D339" s="11">
        <f>_xlfn.XLOOKUP(표14[[#This Row],[importance]],표15[importance],표15[rating])</f>
        <v>0.1</v>
      </c>
      <c r="E339" s="1" t="s">
        <v>972</v>
      </c>
      <c r="F339" s="1" t="s">
        <v>1461</v>
      </c>
      <c r="G339" s="1" t="s">
        <v>1308</v>
      </c>
      <c r="H339" s="1" t="s">
        <v>1266</v>
      </c>
      <c r="I339" s="1" t="s">
        <v>1302</v>
      </c>
      <c r="J339" s="1" t="s">
        <v>1460</v>
      </c>
      <c r="K339" s="1" t="s">
        <v>1285</v>
      </c>
      <c r="L339" s="11"/>
    </row>
    <row r="340" spans="1:12" ht="33">
      <c r="A340" s="11" t="str">
        <f>_xlfn.XLOOKUP(표14[[#This Row],[material_name]],표2[material_name],표2[material_id])</f>
        <v>M088</v>
      </c>
      <c r="B340" s="11" t="str">
        <f>_xlfn.XLOOKUP(표14[[#This Row],[application_taxonomy]],표11[application_taxonomy],표11[app_id])</f>
        <v>A01</v>
      </c>
      <c r="C340" s="11" t="str">
        <f>_xlfn.XLOOKUP(표14[[#This Row],[end_use_industry]],표13[end_use_category],표13[end_use_id])</f>
        <v>E07</v>
      </c>
      <c r="D340" s="11">
        <f>_xlfn.XLOOKUP(표14[[#This Row],[importance]],표15[importance],표15[rating])</f>
        <v>0.6</v>
      </c>
      <c r="E340" s="1" t="s">
        <v>969</v>
      </c>
      <c r="F340" s="1" t="s">
        <v>1459</v>
      </c>
      <c r="G340" s="1" t="s">
        <v>1313</v>
      </c>
      <c r="H340" s="1" t="s">
        <v>1263</v>
      </c>
      <c r="I340" s="1" t="s">
        <v>1298</v>
      </c>
      <c r="J340" s="1" t="s">
        <v>1458</v>
      </c>
      <c r="K340" s="1" t="s">
        <v>1285</v>
      </c>
      <c r="L340" s="11"/>
    </row>
    <row r="341" spans="1:12" ht="33">
      <c r="A341" s="11" t="str">
        <f>_xlfn.XLOOKUP(표14[[#This Row],[material_name]],표2[material_name],표2[material_id])</f>
        <v>M088</v>
      </c>
      <c r="B341" s="11" t="str">
        <f>_xlfn.XLOOKUP(표14[[#This Row],[application_taxonomy]],표11[application_taxonomy],표11[app_id])</f>
        <v>A02</v>
      </c>
      <c r="C341" s="11" t="str">
        <f>_xlfn.XLOOKUP(표14[[#This Row],[end_use_industry]],표13[end_use_category],표13[end_use_id])</f>
        <v>E07</v>
      </c>
      <c r="D341" s="11">
        <f>_xlfn.XLOOKUP(표14[[#This Row],[importance]],표15[importance],표15[rating])</f>
        <v>0.3</v>
      </c>
      <c r="E341" s="1" t="s">
        <v>969</v>
      </c>
      <c r="F341" s="1" t="s">
        <v>1457</v>
      </c>
      <c r="G341" s="1" t="s">
        <v>1308</v>
      </c>
      <c r="H341" s="1" t="s">
        <v>1263</v>
      </c>
      <c r="I341" s="1" t="s">
        <v>1287</v>
      </c>
      <c r="J341" s="1" t="s">
        <v>1456</v>
      </c>
      <c r="K341" s="1" t="s">
        <v>1285</v>
      </c>
      <c r="L341" s="11"/>
    </row>
    <row r="342" spans="1:12" ht="33">
      <c r="A342" s="11" t="str">
        <f>_xlfn.XLOOKUP(표14[[#This Row],[material_name]],표2[material_name],표2[material_id])</f>
        <v>M088</v>
      </c>
      <c r="B342" s="11" t="str">
        <f>_xlfn.XLOOKUP(표14[[#This Row],[application_taxonomy]],표11[application_taxonomy],표11[app_id])</f>
        <v>A42</v>
      </c>
      <c r="C342" s="11" t="str">
        <f>_xlfn.XLOOKUP(표14[[#This Row],[end_use_industry]],표13[end_use_category],표13[end_use_id])</f>
        <v>E07</v>
      </c>
      <c r="D342" s="11">
        <f>_xlfn.XLOOKUP(표14[[#This Row],[importance]],표15[importance],표15[rating])</f>
        <v>0.1</v>
      </c>
      <c r="E342" s="1" t="s">
        <v>969</v>
      </c>
      <c r="F342" s="1" t="s">
        <v>1455</v>
      </c>
      <c r="G342" s="1" t="s">
        <v>1299</v>
      </c>
      <c r="H342" s="1" t="s">
        <v>1263</v>
      </c>
      <c r="I342" s="1" t="s">
        <v>1302</v>
      </c>
      <c r="J342" s="1" t="s">
        <v>1454</v>
      </c>
      <c r="K342" s="1" t="s">
        <v>1285</v>
      </c>
      <c r="L342" s="11"/>
    </row>
    <row r="343" spans="1:12" ht="33">
      <c r="A343" s="11" t="str">
        <f>_xlfn.XLOOKUP(표14[[#This Row],[material_name]],표2[material_name],표2[material_id])</f>
        <v>M089</v>
      </c>
      <c r="B343" s="11" t="str">
        <f>_xlfn.XLOOKUP(표14[[#This Row],[application_taxonomy]],표11[application_taxonomy],표11[app_id])</f>
        <v>A01</v>
      </c>
      <c r="C343" s="11" t="str">
        <f>_xlfn.XLOOKUP(표14[[#This Row],[end_use_industry]],표13[end_use_category],표13[end_use_id])</f>
        <v>E07</v>
      </c>
      <c r="D343" s="11">
        <f>_xlfn.XLOOKUP(표14[[#This Row],[importance]],표15[importance],표15[rating])</f>
        <v>0.6</v>
      </c>
      <c r="E343" s="1" t="s">
        <v>906</v>
      </c>
      <c r="F343" s="1" t="s">
        <v>1453</v>
      </c>
      <c r="G343" s="1" t="s">
        <v>1313</v>
      </c>
      <c r="H343" s="1" t="s">
        <v>1263</v>
      </c>
      <c r="I343" s="1" t="s">
        <v>1298</v>
      </c>
      <c r="J343" s="1" t="s">
        <v>1452</v>
      </c>
      <c r="K343" s="1" t="s">
        <v>1285</v>
      </c>
      <c r="L343" s="11"/>
    </row>
    <row r="344" spans="1:12" ht="33">
      <c r="A344" s="11" t="str">
        <f>_xlfn.XLOOKUP(표14[[#This Row],[material_name]],표2[material_name],표2[material_id])</f>
        <v>M089</v>
      </c>
      <c r="B344" s="11" t="str">
        <f>_xlfn.XLOOKUP(표14[[#This Row],[application_taxonomy]],표11[application_taxonomy],표11[app_id])</f>
        <v>A01</v>
      </c>
      <c r="C344" s="11" t="str">
        <f>_xlfn.XLOOKUP(표14[[#This Row],[end_use_industry]],표13[end_use_category],표13[end_use_id])</f>
        <v>E07</v>
      </c>
      <c r="D344" s="11">
        <f>_xlfn.XLOOKUP(표14[[#This Row],[importance]],표15[importance],표15[rating])</f>
        <v>0.1</v>
      </c>
      <c r="E344" s="1" t="s">
        <v>906</v>
      </c>
      <c r="F344" s="1" t="s">
        <v>1451</v>
      </c>
      <c r="G344" s="1" t="s">
        <v>1313</v>
      </c>
      <c r="H344" s="1" t="s">
        <v>1263</v>
      </c>
      <c r="I344" s="1" t="s">
        <v>1302</v>
      </c>
      <c r="J344" s="1" t="s">
        <v>1450</v>
      </c>
      <c r="K344" s="1" t="s">
        <v>1285</v>
      </c>
      <c r="L344" s="11"/>
    </row>
    <row r="345" spans="1:12" ht="33">
      <c r="A345" s="11" t="str">
        <f>_xlfn.XLOOKUP(표14[[#This Row],[material_name]],표2[material_name],표2[material_id])</f>
        <v>M090</v>
      </c>
      <c r="B345" s="11" t="str">
        <f>_xlfn.XLOOKUP(표14[[#This Row],[application_taxonomy]],표11[application_taxonomy],표11[app_id])</f>
        <v>A38</v>
      </c>
      <c r="C345" s="11" t="str">
        <f>_xlfn.XLOOKUP(표14[[#This Row],[end_use_industry]],표13[end_use_category],표13[end_use_id])</f>
        <v>E02</v>
      </c>
      <c r="D345" s="11">
        <f>_xlfn.XLOOKUP(표14[[#This Row],[importance]],표15[importance],표15[rating])</f>
        <v>0.6</v>
      </c>
      <c r="E345" s="1" t="s">
        <v>1440</v>
      </c>
      <c r="F345" s="1" t="s">
        <v>1449</v>
      </c>
      <c r="G345" s="1" t="s">
        <v>1434</v>
      </c>
      <c r="H345" s="1" t="s">
        <v>1278</v>
      </c>
      <c r="I345" s="1" t="s">
        <v>1298</v>
      </c>
      <c r="J345" s="1" t="s">
        <v>1448</v>
      </c>
      <c r="K345" s="1" t="s">
        <v>1285</v>
      </c>
      <c r="L345" s="11"/>
    </row>
    <row r="346" spans="1:12" ht="33">
      <c r="A346" s="11" t="str">
        <f>_xlfn.XLOOKUP(표14[[#This Row],[material_name]],표2[material_name],표2[material_id])</f>
        <v>M090</v>
      </c>
      <c r="B346" s="11" t="str">
        <f>_xlfn.XLOOKUP(표14[[#This Row],[application_taxonomy]],표11[application_taxonomy],표11[app_id])</f>
        <v>A01</v>
      </c>
      <c r="C346" s="11" t="str">
        <f>_xlfn.XLOOKUP(표14[[#This Row],[end_use_industry]],표13[end_use_category],표13[end_use_id])</f>
        <v>E07</v>
      </c>
      <c r="D346" s="11">
        <f>_xlfn.XLOOKUP(표14[[#This Row],[importance]],표15[importance],표15[rating])</f>
        <v>0.3</v>
      </c>
      <c r="E346" s="1" t="s">
        <v>1440</v>
      </c>
      <c r="F346" s="1" t="s">
        <v>1351</v>
      </c>
      <c r="G346" s="1" t="s">
        <v>1254</v>
      </c>
      <c r="H346" s="1" t="s">
        <v>1263</v>
      </c>
      <c r="I346" s="1" t="s">
        <v>1287</v>
      </c>
      <c r="J346" s="1" t="s">
        <v>1447</v>
      </c>
      <c r="K346" s="1" t="s">
        <v>1285</v>
      </c>
      <c r="L346" s="11"/>
    </row>
    <row r="347" spans="1:12" ht="33">
      <c r="A347" s="11" t="str">
        <f>_xlfn.XLOOKUP(표14[[#This Row],[material_name]],표2[material_name],표2[material_id])</f>
        <v>M090</v>
      </c>
      <c r="B347" s="11" t="str">
        <f>_xlfn.XLOOKUP(표14[[#This Row],[application_taxonomy]],표11[application_taxonomy],표11[app_id])</f>
        <v>A22</v>
      </c>
      <c r="C347" s="11" t="str">
        <f>_xlfn.XLOOKUP(표14[[#This Row],[end_use_industry]],표13[end_use_category],표13[end_use_id])</f>
        <v>E07</v>
      </c>
      <c r="D347" s="11">
        <f>_xlfn.XLOOKUP(표14[[#This Row],[importance]],표15[importance],표15[rating])</f>
        <v>0.3</v>
      </c>
      <c r="E347" s="1" t="s">
        <v>1440</v>
      </c>
      <c r="F347" s="1" t="s">
        <v>1446</v>
      </c>
      <c r="G347" s="1" t="s">
        <v>1292</v>
      </c>
      <c r="H347" s="1" t="s">
        <v>1263</v>
      </c>
      <c r="I347" s="1" t="s">
        <v>1287</v>
      </c>
      <c r="J347" s="1" t="s">
        <v>1445</v>
      </c>
      <c r="K347" s="1" t="s">
        <v>1285</v>
      </c>
      <c r="L347" s="11"/>
    </row>
    <row r="348" spans="1:12" ht="33">
      <c r="A348" s="11" t="str">
        <f>_xlfn.XLOOKUP(표14[[#This Row],[material_name]],표2[material_name],표2[material_id])</f>
        <v>M090</v>
      </c>
      <c r="B348" s="11" t="str">
        <f>_xlfn.XLOOKUP(표14[[#This Row],[application_taxonomy]],표11[application_taxonomy],표11[app_id])</f>
        <v>A02</v>
      </c>
      <c r="C348" s="11" t="str">
        <f>_xlfn.XLOOKUP(표14[[#This Row],[end_use_industry]],표13[end_use_category],표13[end_use_id])</f>
        <v>E07</v>
      </c>
      <c r="D348" s="11">
        <f>_xlfn.XLOOKUP(표14[[#This Row],[importance]],표15[importance],표15[rating])</f>
        <v>0.1</v>
      </c>
      <c r="E348" s="1" t="s">
        <v>1440</v>
      </c>
      <c r="F348" s="1" t="s">
        <v>1444</v>
      </c>
      <c r="G348" s="1" t="s">
        <v>1308</v>
      </c>
      <c r="H348" s="1" t="s">
        <v>1263</v>
      </c>
      <c r="I348" s="1" t="s">
        <v>1302</v>
      </c>
      <c r="J348" s="1" t="s">
        <v>1443</v>
      </c>
      <c r="K348" s="1" t="s">
        <v>1285</v>
      </c>
      <c r="L348" s="11"/>
    </row>
    <row r="349" spans="1:12" ht="33">
      <c r="A349" s="11" t="str">
        <f>_xlfn.XLOOKUP(표14[[#This Row],[material_name]],표2[material_name],표2[material_id])</f>
        <v>M090</v>
      </c>
      <c r="B349" s="11" t="str">
        <f>_xlfn.XLOOKUP(표14[[#This Row],[application_taxonomy]],표11[application_taxonomy],표11[app_id])</f>
        <v>A04</v>
      </c>
      <c r="C349" s="11" t="str">
        <f>_xlfn.XLOOKUP(표14[[#This Row],[end_use_industry]],표13[end_use_category],표13[end_use_id])</f>
        <v>E02</v>
      </c>
      <c r="D349" s="11">
        <f>_xlfn.XLOOKUP(표14[[#This Row],[importance]],표15[importance],표15[rating])</f>
        <v>0.1</v>
      </c>
      <c r="E349" s="1" t="s">
        <v>1440</v>
      </c>
      <c r="F349" s="1" t="s">
        <v>1442</v>
      </c>
      <c r="G349" s="1" t="s">
        <v>1319</v>
      </c>
      <c r="H349" s="1" t="s">
        <v>1278</v>
      </c>
      <c r="I349" s="1" t="s">
        <v>1302</v>
      </c>
      <c r="J349" s="1" t="s">
        <v>1441</v>
      </c>
      <c r="K349" s="1" t="s">
        <v>1285</v>
      </c>
      <c r="L349" s="11"/>
    </row>
    <row r="350" spans="1:12" ht="33">
      <c r="A350" s="11" t="str">
        <f>_xlfn.XLOOKUP(표14[[#This Row],[material_name]],표2[material_name],표2[material_id])</f>
        <v>M090</v>
      </c>
      <c r="B350" s="11" t="str">
        <f>_xlfn.XLOOKUP(표14[[#This Row],[application_taxonomy]],표11[application_taxonomy],표11[app_id])</f>
        <v>A20</v>
      </c>
      <c r="C350" s="11" t="str">
        <f>_xlfn.XLOOKUP(표14[[#This Row],[end_use_industry]],표13[end_use_category],표13[end_use_id])</f>
        <v>E07</v>
      </c>
      <c r="D350" s="11">
        <f>_xlfn.XLOOKUP(표14[[#This Row],[importance]],표15[importance],표15[rating])</f>
        <v>0.1</v>
      </c>
      <c r="E350" s="1" t="s">
        <v>1440</v>
      </c>
      <c r="F350" s="1" t="s">
        <v>1439</v>
      </c>
      <c r="G350" s="1" t="s">
        <v>1328</v>
      </c>
      <c r="H350" s="1" t="s">
        <v>1263</v>
      </c>
      <c r="I350" s="1" t="s">
        <v>1302</v>
      </c>
      <c r="J350" s="1" t="s">
        <v>1438</v>
      </c>
      <c r="K350" s="1" t="s">
        <v>1285</v>
      </c>
      <c r="L350" s="11"/>
    </row>
    <row r="351" spans="1:12" ht="33">
      <c r="A351" s="11" t="str">
        <f>_xlfn.XLOOKUP(표14[[#This Row],[material_name]],표2[material_name],표2[material_id])</f>
        <v>M091</v>
      </c>
      <c r="B351" s="11" t="str">
        <f>_xlfn.XLOOKUP(표14[[#This Row],[application_taxonomy]],표11[application_taxonomy],표11[app_id])</f>
        <v>A01</v>
      </c>
      <c r="C351" s="11" t="str">
        <f>_xlfn.XLOOKUP(표14[[#This Row],[end_use_industry]],표13[end_use_category],표13[end_use_id])</f>
        <v>E02</v>
      </c>
      <c r="D351" s="11">
        <f>_xlfn.XLOOKUP(표14[[#This Row],[importance]],표15[importance],표15[rating])</f>
        <v>0.6</v>
      </c>
      <c r="E351" s="1" t="s">
        <v>907</v>
      </c>
      <c r="F351" s="1" t="s">
        <v>1432</v>
      </c>
      <c r="G351" s="1" t="s">
        <v>1254</v>
      </c>
      <c r="H351" s="1" t="s">
        <v>1278</v>
      </c>
      <c r="I351" s="1" t="s">
        <v>1298</v>
      </c>
      <c r="J351" s="1" t="s">
        <v>1437</v>
      </c>
      <c r="K351" s="1" t="s">
        <v>1285</v>
      </c>
      <c r="L351" s="11"/>
    </row>
    <row r="352" spans="1:12" ht="33">
      <c r="A352" s="11" t="str">
        <f>_xlfn.XLOOKUP(표14[[#This Row],[material_name]],표2[material_name],표2[material_id])</f>
        <v>M091</v>
      </c>
      <c r="B352" s="11" t="str">
        <f>_xlfn.XLOOKUP(표14[[#This Row],[application_taxonomy]],표11[application_taxonomy],표11[app_id])</f>
        <v>A04</v>
      </c>
      <c r="C352" s="11" t="str">
        <f>_xlfn.XLOOKUP(표14[[#This Row],[end_use_industry]],표13[end_use_category],표13[end_use_id])</f>
        <v>E08</v>
      </c>
      <c r="D352" s="11">
        <f>_xlfn.XLOOKUP(표14[[#This Row],[importance]],표15[importance],표15[rating])</f>
        <v>0.1</v>
      </c>
      <c r="E352" s="1" t="s">
        <v>907</v>
      </c>
      <c r="F352" s="1" t="s">
        <v>1429</v>
      </c>
      <c r="G352" s="1" t="s">
        <v>1319</v>
      </c>
      <c r="H352" s="1" t="s">
        <v>1260</v>
      </c>
      <c r="I352" s="1" t="s">
        <v>1428</v>
      </c>
      <c r="J352" s="1" t="s">
        <v>1436</v>
      </c>
      <c r="K352" s="1" t="s">
        <v>1285</v>
      </c>
      <c r="L352" s="11"/>
    </row>
    <row r="353" spans="1:12" ht="33">
      <c r="A353" s="11" t="str">
        <f>_xlfn.XLOOKUP(표14[[#This Row],[material_name]],표2[material_name],표2[material_id])</f>
        <v>M091</v>
      </c>
      <c r="B353" s="11" t="str">
        <f>_xlfn.XLOOKUP(표14[[#This Row],[application_taxonomy]],표11[application_taxonomy],표11[app_id])</f>
        <v>A38</v>
      </c>
      <c r="C353" s="11" t="str">
        <f>_xlfn.XLOOKUP(표14[[#This Row],[end_use_industry]],표13[end_use_category],표13[end_use_id])</f>
        <v>E07</v>
      </c>
      <c r="D353" s="11">
        <f>_xlfn.XLOOKUP(표14[[#This Row],[importance]],표15[importance],표15[rating])</f>
        <v>0.1</v>
      </c>
      <c r="E353" s="1" t="s">
        <v>907</v>
      </c>
      <c r="F353" s="1" t="s">
        <v>1435</v>
      </c>
      <c r="G353" s="1" t="s">
        <v>1434</v>
      </c>
      <c r="H353" s="1" t="s">
        <v>1263</v>
      </c>
      <c r="I353" s="1" t="s">
        <v>1428</v>
      </c>
      <c r="J353" s="1" t="s">
        <v>1433</v>
      </c>
      <c r="K353" s="1" t="s">
        <v>1285</v>
      </c>
      <c r="L353" s="11"/>
    </row>
    <row r="354" spans="1:12" ht="33">
      <c r="A354" s="11" t="str">
        <f>_xlfn.XLOOKUP(표14[[#This Row],[material_name]],표2[material_name],표2[material_id])</f>
        <v>M092</v>
      </c>
      <c r="B354" s="11" t="str">
        <f>_xlfn.XLOOKUP(표14[[#This Row],[application_taxonomy]],표11[application_taxonomy],표11[app_id])</f>
        <v>A01</v>
      </c>
      <c r="C354" s="11" t="str">
        <f>_xlfn.XLOOKUP(표14[[#This Row],[end_use_industry]],표13[end_use_category],표13[end_use_id])</f>
        <v>E02</v>
      </c>
      <c r="D354" s="11">
        <f>_xlfn.XLOOKUP(표14[[#This Row],[importance]],표15[importance],표15[rating])</f>
        <v>0.6</v>
      </c>
      <c r="E354" s="1" t="s">
        <v>1430</v>
      </c>
      <c r="F354" s="1" t="s">
        <v>1432</v>
      </c>
      <c r="G354" s="1" t="s">
        <v>1254</v>
      </c>
      <c r="H354" s="1" t="s">
        <v>1278</v>
      </c>
      <c r="I354" s="1" t="s">
        <v>1298</v>
      </c>
      <c r="J354" s="1" t="s">
        <v>1431</v>
      </c>
      <c r="K354" s="1" t="s">
        <v>1285</v>
      </c>
      <c r="L354" s="11"/>
    </row>
    <row r="355" spans="1:12" ht="33">
      <c r="A355" s="11" t="str">
        <f>_xlfn.XLOOKUP(표14[[#This Row],[material_name]],표2[material_name],표2[material_id])</f>
        <v>M092</v>
      </c>
      <c r="B355" s="11" t="str">
        <f>_xlfn.XLOOKUP(표14[[#This Row],[application_taxonomy]],표11[application_taxonomy],표11[app_id])</f>
        <v>A04</v>
      </c>
      <c r="C355" s="11" t="str">
        <f>_xlfn.XLOOKUP(표14[[#This Row],[end_use_industry]],표13[end_use_category],표13[end_use_id])</f>
        <v>E08</v>
      </c>
      <c r="D355" s="11">
        <f>_xlfn.XLOOKUP(표14[[#This Row],[importance]],표15[importance],표15[rating])</f>
        <v>0.1</v>
      </c>
      <c r="E355" s="1" t="s">
        <v>1430</v>
      </c>
      <c r="F355" s="1" t="s">
        <v>1429</v>
      </c>
      <c r="G355" s="1" t="s">
        <v>1319</v>
      </c>
      <c r="H355" s="1" t="s">
        <v>1260</v>
      </c>
      <c r="I355" s="1" t="s">
        <v>1428</v>
      </c>
      <c r="J355" s="1" t="s">
        <v>1427</v>
      </c>
      <c r="K355" s="1" t="s">
        <v>1285</v>
      </c>
      <c r="L355" s="11"/>
    </row>
    <row r="356" spans="1:12">
      <c r="A356" s="11" t="str">
        <f>_xlfn.XLOOKUP(표14[[#This Row],[material_name]],표2[material_name],표2[material_id])</f>
        <v>M093</v>
      </c>
      <c r="B356" s="11" t="str">
        <f>_xlfn.XLOOKUP(표14[[#This Row],[application_taxonomy]],표11[application_taxonomy],표11[app_id])</f>
        <v>A06</v>
      </c>
      <c r="C356" s="11" t="str">
        <f>_xlfn.XLOOKUP(표14[[#This Row],[end_use_industry]],표13[end_use_category],표13[end_use_id])</f>
        <v>E02</v>
      </c>
      <c r="D356" s="11">
        <f>_xlfn.XLOOKUP(표14[[#This Row],[importance]],표15[importance],표15[rating])</f>
        <v>0.6</v>
      </c>
      <c r="E356" s="1" t="s">
        <v>908</v>
      </c>
      <c r="F356" s="1" t="s">
        <v>1426</v>
      </c>
      <c r="G356" s="1" t="s">
        <v>1423</v>
      </c>
      <c r="H356" s="1" t="s">
        <v>1278</v>
      </c>
      <c r="I356" s="1" t="s">
        <v>1298</v>
      </c>
      <c r="J356" s="1" t="s">
        <v>1425</v>
      </c>
      <c r="K356" s="1" t="s">
        <v>1285</v>
      </c>
      <c r="L356" s="11"/>
    </row>
    <row r="357" spans="1:12">
      <c r="A357" s="11" t="str">
        <f>_xlfn.XLOOKUP(표14[[#This Row],[material_name]],표2[material_name],표2[material_id])</f>
        <v>M093</v>
      </c>
      <c r="B357" s="11" t="str">
        <f>_xlfn.XLOOKUP(표14[[#This Row],[application_taxonomy]],표11[application_taxonomy],표11[app_id])</f>
        <v>A06</v>
      </c>
      <c r="C357" s="11" t="str">
        <f>_xlfn.XLOOKUP(표14[[#This Row],[end_use_industry]],표13[end_use_category],표13[end_use_id])</f>
        <v>E02</v>
      </c>
      <c r="D357" s="11">
        <f>_xlfn.XLOOKUP(표14[[#This Row],[importance]],표15[importance],표15[rating])</f>
        <v>0.3</v>
      </c>
      <c r="E357" s="1" t="s">
        <v>908</v>
      </c>
      <c r="F357" s="1" t="s">
        <v>1424</v>
      </c>
      <c r="G357" s="1" t="s">
        <v>1423</v>
      </c>
      <c r="H357" s="1" t="s">
        <v>1278</v>
      </c>
      <c r="I357" s="1" t="s">
        <v>1287</v>
      </c>
      <c r="J357" s="1" t="s">
        <v>1422</v>
      </c>
      <c r="K357" s="1" t="s">
        <v>1285</v>
      </c>
      <c r="L357" s="11"/>
    </row>
    <row r="358" spans="1:12">
      <c r="A358" s="11" t="str">
        <f>_xlfn.XLOOKUP(표14[[#This Row],[material_name]],표2[material_name],표2[material_id])</f>
        <v>M093</v>
      </c>
      <c r="B358" s="11" t="str">
        <f>_xlfn.XLOOKUP(표14[[#This Row],[application_taxonomy]],표11[application_taxonomy],표11[app_id])</f>
        <v>A07</v>
      </c>
      <c r="C358" s="11" t="str">
        <f>_xlfn.XLOOKUP(표14[[#This Row],[end_use_industry]],표13[end_use_category],표13[end_use_id])</f>
        <v>E02</v>
      </c>
      <c r="D358" s="11">
        <f>_xlfn.XLOOKUP(표14[[#This Row],[importance]],표15[importance],표15[rating])</f>
        <v>0.3</v>
      </c>
      <c r="E358" s="1" t="s">
        <v>908</v>
      </c>
      <c r="F358" s="1" t="s">
        <v>1421</v>
      </c>
      <c r="G358" s="1" t="s">
        <v>1420</v>
      </c>
      <c r="H358" s="1" t="s">
        <v>1278</v>
      </c>
      <c r="I358" s="1" t="s">
        <v>1287</v>
      </c>
      <c r="J358" s="1" t="s">
        <v>1419</v>
      </c>
      <c r="K358" s="1" t="s">
        <v>1285</v>
      </c>
      <c r="L358" s="11"/>
    </row>
    <row r="359" spans="1:12">
      <c r="A359" s="11" t="str">
        <f>_xlfn.XLOOKUP(표14[[#This Row],[material_name]],표2[material_name],표2[material_id])</f>
        <v>M093</v>
      </c>
      <c r="B359" s="11" t="str">
        <f>_xlfn.XLOOKUP(표14[[#This Row],[application_taxonomy]],표11[application_taxonomy],표11[app_id])</f>
        <v>A04</v>
      </c>
      <c r="C359" s="11" t="str">
        <f>_xlfn.XLOOKUP(표14[[#This Row],[end_use_industry]],표13[end_use_category],표13[end_use_id])</f>
        <v>E02</v>
      </c>
      <c r="D359" s="11">
        <f>_xlfn.XLOOKUP(표14[[#This Row],[importance]],표15[importance],표15[rating])</f>
        <v>0.6</v>
      </c>
      <c r="E359" s="1" t="s">
        <v>908</v>
      </c>
      <c r="F359" s="1" t="s">
        <v>1418</v>
      </c>
      <c r="G359" t="s">
        <v>1319</v>
      </c>
      <c r="H359" s="1" t="s">
        <v>1278</v>
      </c>
      <c r="I359" s="1" t="s">
        <v>1298</v>
      </c>
      <c r="J359" s="1" t="s">
        <v>1417</v>
      </c>
      <c r="K359" s="1" t="s">
        <v>1285</v>
      </c>
      <c r="L359" s="11"/>
    </row>
    <row r="360" spans="1:12" ht="49.5">
      <c r="A360" s="11" t="str">
        <f>_xlfn.XLOOKUP(표14[[#This Row],[material_name]],표2[material_name],표2[material_id])</f>
        <v>M097</v>
      </c>
      <c r="B360" s="11" t="str">
        <f>_xlfn.XLOOKUP(표14[[#This Row],[application_taxonomy]],표11[application_taxonomy],표11[app_id])</f>
        <v>A18</v>
      </c>
      <c r="C360" s="11" t="str">
        <f>_xlfn.XLOOKUP(표14[[#This Row],[end_use_industry]],표13[end_use_category],표13[end_use_id])</f>
        <v>E03</v>
      </c>
      <c r="D360" s="11">
        <f>_xlfn.XLOOKUP(표14[[#This Row],[importance]],표15[importance],표15[rating])</f>
        <v>0.6</v>
      </c>
      <c r="E360" s="1" t="s">
        <v>1400</v>
      </c>
      <c r="F360" s="1" t="s">
        <v>1416</v>
      </c>
      <c r="G360" s="1" t="s">
        <v>1388</v>
      </c>
      <c r="H360" s="1" t="s">
        <v>1275</v>
      </c>
      <c r="I360" s="1" t="s">
        <v>1298</v>
      </c>
      <c r="J360" s="1" t="s">
        <v>1415</v>
      </c>
      <c r="K360" s="1" t="s">
        <v>1285</v>
      </c>
      <c r="L360" s="11"/>
    </row>
    <row r="361" spans="1:12" ht="49.5">
      <c r="A361" s="11" t="str">
        <f>_xlfn.XLOOKUP(표14[[#This Row],[material_name]],표2[material_name],표2[material_id])</f>
        <v>M097</v>
      </c>
      <c r="B361" s="11" t="str">
        <f>_xlfn.XLOOKUP(표14[[#This Row],[application_taxonomy]],표11[application_taxonomy],표11[app_id])</f>
        <v>A38</v>
      </c>
      <c r="C361" s="11" t="str">
        <f>_xlfn.XLOOKUP(표14[[#This Row],[end_use_industry]],표13[end_use_category],표13[end_use_id])</f>
        <v>E07</v>
      </c>
      <c r="D361" s="11">
        <f>_xlfn.XLOOKUP(표14[[#This Row],[importance]],표15[importance],표15[rating])</f>
        <v>0.6</v>
      </c>
      <c r="E361" s="1" t="s">
        <v>1400</v>
      </c>
      <c r="F361" s="1" t="s">
        <v>1414</v>
      </c>
      <c r="G361" s="11" t="s">
        <v>1143</v>
      </c>
      <c r="H361" s="1" t="s">
        <v>1263</v>
      </c>
      <c r="I361" s="1" t="s">
        <v>1298</v>
      </c>
      <c r="J361" s="1" t="s">
        <v>1413</v>
      </c>
      <c r="K361" s="1" t="s">
        <v>1285</v>
      </c>
      <c r="L361" s="11"/>
    </row>
    <row r="362" spans="1:12" ht="33">
      <c r="A362" s="11" t="str">
        <f>_xlfn.XLOOKUP(표14[[#This Row],[material_name]],표2[material_name],표2[material_id])</f>
        <v>M097</v>
      </c>
      <c r="B362" s="11" t="str">
        <f>_xlfn.XLOOKUP(표14[[#This Row],[application_taxonomy]],표11[application_taxonomy],표11[app_id])</f>
        <v>A21</v>
      </c>
      <c r="C362" s="11" t="str">
        <f>_xlfn.XLOOKUP(표14[[#This Row],[end_use_industry]],표13[end_use_category],표13[end_use_id])</f>
        <v>E01</v>
      </c>
      <c r="D362" s="11">
        <f>_xlfn.XLOOKUP(표14[[#This Row],[importance]],표15[importance],표15[rating])</f>
        <v>0.6</v>
      </c>
      <c r="E362" s="1" t="s">
        <v>1400</v>
      </c>
      <c r="F362" s="1" t="s">
        <v>1412</v>
      </c>
      <c r="G362" s="1" t="s">
        <v>1325</v>
      </c>
      <c r="H362" s="1" t="s">
        <v>1281</v>
      </c>
      <c r="I362" s="1" t="s">
        <v>1298</v>
      </c>
      <c r="J362" s="1" t="s">
        <v>1411</v>
      </c>
      <c r="K362" s="1" t="s">
        <v>1285</v>
      </c>
      <c r="L362" s="11"/>
    </row>
    <row r="363" spans="1:12" ht="33">
      <c r="A363" s="11" t="str">
        <f>_xlfn.XLOOKUP(표14[[#This Row],[material_name]],표2[material_name],표2[material_id])</f>
        <v>M097</v>
      </c>
      <c r="B363" s="11" t="str">
        <f>_xlfn.XLOOKUP(표14[[#This Row],[application_taxonomy]],표11[application_taxonomy],표11[app_id])</f>
        <v>A13</v>
      </c>
      <c r="C363" s="11" t="str">
        <f>_xlfn.XLOOKUP(표14[[#This Row],[end_use_industry]],표13[end_use_category],표13[end_use_id])</f>
        <v>E08</v>
      </c>
      <c r="D363" s="11">
        <f>_xlfn.XLOOKUP(표14[[#This Row],[importance]],표15[importance],표15[rating])</f>
        <v>0.3</v>
      </c>
      <c r="E363" s="1" t="s">
        <v>1400</v>
      </c>
      <c r="F363" s="1" t="s">
        <v>1410</v>
      </c>
      <c r="G363" s="1" t="s">
        <v>1409</v>
      </c>
      <c r="H363" s="1" t="s">
        <v>1260</v>
      </c>
      <c r="I363" s="1" t="s">
        <v>1287</v>
      </c>
      <c r="J363" s="1" t="s">
        <v>1408</v>
      </c>
      <c r="K363" s="1" t="s">
        <v>1285</v>
      </c>
      <c r="L363" s="11"/>
    </row>
    <row r="364" spans="1:12" ht="33">
      <c r="A364" s="11" t="str">
        <f>_xlfn.XLOOKUP(표14[[#This Row],[material_name]],표2[material_name],표2[material_id])</f>
        <v>M097</v>
      </c>
      <c r="B364" s="11" t="str">
        <f>_xlfn.XLOOKUP(표14[[#This Row],[application_taxonomy]],표11[application_taxonomy],표11[app_id])</f>
        <v>A28</v>
      </c>
      <c r="C364" s="11" t="str">
        <f>_xlfn.XLOOKUP(표14[[#This Row],[end_use_industry]],표13[end_use_category],표13[end_use_id])</f>
        <v>E03</v>
      </c>
      <c r="D364" s="11">
        <f>_xlfn.XLOOKUP(표14[[#This Row],[importance]],표15[importance],표15[rating])</f>
        <v>0.3</v>
      </c>
      <c r="E364" s="1" t="s">
        <v>1400</v>
      </c>
      <c r="F364" s="1" t="s">
        <v>1407</v>
      </c>
      <c r="G364" s="1" t="s">
        <v>1360</v>
      </c>
      <c r="H364" s="1" t="s">
        <v>1275</v>
      </c>
      <c r="I364" s="1" t="s">
        <v>1287</v>
      </c>
      <c r="J364" s="1" t="s">
        <v>1406</v>
      </c>
      <c r="K364" s="1" t="s">
        <v>1285</v>
      </c>
      <c r="L364" s="11"/>
    </row>
    <row r="365" spans="1:12" ht="33">
      <c r="A365" s="11" t="str">
        <f>_xlfn.XLOOKUP(표14[[#This Row],[material_name]],표2[material_name],표2[material_id])</f>
        <v>M097</v>
      </c>
      <c r="B365" s="11" t="str">
        <f>_xlfn.XLOOKUP(표14[[#This Row],[application_taxonomy]],표11[application_taxonomy],표11[app_id])</f>
        <v>A18</v>
      </c>
      <c r="C365" s="11" t="str">
        <f>_xlfn.XLOOKUP(표14[[#This Row],[end_use_industry]],표13[end_use_category],표13[end_use_id])</f>
        <v>E02</v>
      </c>
      <c r="D365" s="11">
        <f>_xlfn.XLOOKUP(표14[[#This Row],[importance]],표15[importance],표15[rating])</f>
        <v>0.3</v>
      </c>
      <c r="E365" s="1" t="s">
        <v>1400</v>
      </c>
      <c r="F365" s="1" t="s">
        <v>1405</v>
      </c>
      <c r="G365" s="1" t="s">
        <v>1388</v>
      </c>
      <c r="H365" s="1" t="s">
        <v>1278</v>
      </c>
      <c r="I365" s="1" t="s">
        <v>1287</v>
      </c>
      <c r="J365" s="1" t="s">
        <v>1404</v>
      </c>
      <c r="K365" s="1" t="s">
        <v>1285</v>
      </c>
      <c r="L365" s="11"/>
    </row>
    <row r="366" spans="1:12" ht="33">
      <c r="A366" s="11" t="str">
        <f>_xlfn.XLOOKUP(표14[[#This Row],[material_name]],표2[material_name],표2[material_id])</f>
        <v>M097</v>
      </c>
      <c r="B366" s="11" t="str">
        <f>_xlfn.XLOOKUP(표14[[#This Row],[application_taxonomy]],표11[application_taxonomy],표11[app_id])</f>
        <v>A09</v>
      </c>
      <c r="C366" s="11" t="str">
        <f>_xlfn.XLOOKUP(표14[[#This Row],[end_use_industry]],표13[end_use_category],표13[end_use_id])</f>
        <v>E07</v>
      </c>
      <c r="D366" s="11">
        <f>_xlfn.XLOOKUP(표14[[#This Row],[importance]],표15[importance],표15[rating])</f>
        <v>0.3</v>
      </c>
      <c r="E366" s="1" t="s">
        <v>1400</v>
      </c>
      <c r="F366" s="1" t="s">
        <v>1403</v>
      </c>
      <c r="G366" s="1" t="s">
        <v>1402</v>
      </c>
      <c r="H366" s="1" t="s">
        <v>1263</v>
      </c>
      <c r="I366" s="1" t="s">
        <v>1287</v>
      </c>
      <c r="J366" s="1" t="s">
        <v>1401</v>
      </c>
      <c r="K366" s="1" t="s">
        <v>1285</v>
      </c>
      <c r="L366" s="11"/>
    </row>
    <row r="367" spans="1:12" ht="33">
      <c r="A367" s="11" t="str">
        <f>_xlfn.XLOOKUP(표14[[#This Row],[material_name]],표2[material_name],표2[material_id])</f>
        <v>M097</v>
      </c>
      <c r="B367" s="11" t="str">
        <f>_xlfn.XLOOKUP(표14[[#This Row],[application_taxonomy]],표11[application_taxonomy],표11[app_id])</f>
        <v>A17</v>
      </c>
      <c r="C367" s="11" t="str">
        <f>_xlfn.XLOOKUP(표14[[#This Row],[end_use_industry]],표13[end_use_category],표13[end_use_id])</f>
        <v>E02</v>
      </c>
      <c r="D367" s="11">
        <f>_xlfn.XLOOKUP(표14[[#This Row],[importance]],표15[importance],표15[rating])</f>
        <v>0.1</v>
      </c>
      <c r="E367" s="1" t="s">
        <v>1400</v>
      </c>
      <c r="F367" s="1" t="s">
        <v>1399</v>
      </c>
      <c r="G367" s="1" t="s">
        <v>1398</v>
      </c>
      <c r="H367" s="1" t="s">
        <v>1278</v>
      </c>
      <c r="I367" s="1" t="s">
        <v>1302</v>
      </c>
      <c r="J367" s="1" t="s">
        <v>1397</v>
      </c>
      <c r="K367" s="1" t="s">
        <v>1285</v>
      </c>
      <c r="L367" s="11"/>
    </row>
    <row r="368" spans="1:12" ht="33">
      <c r="A368" s="11" t="str">
        <f>_xlfn.XLOOKUP(표14[[#This Row],[material_name]],표2[material_name],표2[material_id])</f>
        <v>M098</v>
      </c>
      <c r="B368" s="11" t="str">
        <f>_xlfn.XLOOKUP(표14[[#This Row],[application_taxonomy]],표11[application_taxonomy],표11[app_id])</f>
        <v>A01</v>
      </c>
      <c r="C368" s="11" t="str">
        <f>_xlfn.XLOOKUP(표14[[#This Row],[end_use_industry]],표13[end_use_category],표13[end_use_id])</f>
        <v>E07</v>
      </c>
      <c r="D368" s="11">
        <f>_xlfn.XLOOKUP(표14[[#This Row],[importance]],표15[importance],표15[rating])</f>
        <v>0.6</v>
      </c>
      <c r="E368" s="1" t="s">
        <v>1384</v>
      </c>
      <c r="F368" s="1" t="s">
        <v>1396</v>
      </c>
      <c r="G368" s="1" t="s">
        <v>1254</v>
      </c>
      <c r="H368" s="1" t="s">
        <v>1263</v>
      </c>
      <c r="I368" s="1" t="s">
        <v>1298</v>
      </c>
      <c r="J368" s="1" t="s">
        <v>1395</v>
      </c>
      <c r="K368" s="1" t="s">
        <v>1285</v>
      </c>
      <c r="L368" s="11"/>
    </row>
    <row r="369" spans="1:12" ht="33">
      <c r="A369" s="11" t="str">
        <f>_xlfn.XLOOKUP(표14[[#This Row],[material_name]],표2[material_name],표2[material_id])</f>
        <v>M098</v>
      </c>
      <c r="B369" s="11" t="str">
        <f>_xlfn.XLOOKUP(표14[[#This Row],[application_taxonomy]],표11[application_taxonomy],표11[app_id])</f>
        <v>A02</v>
      </c>
      <c r="C369" s="11" t="str">
        <f>_xlfn.XLOOKUP(표14[[#This Row],[end_use_industry]],표13[end_use_category],표13[end_use_id])</f>
        <v>E07</v>
      </c>
      <c r="D369" s="11">
        <f>_xlfn.XLOOKUP(표14[[#This Row],[importance]],표15[importance],표15[rating])</f>
        <v>0.1</v>
      </c>
      <c r="E369" s="1" t="s">
        <v>1384</v>
      </c>
      <c r="F369" s="1" t="s">
        <v>1394</v>
      </c>
      <c r="G369" s="1" t="s">
        <v>1308</v>
      </c>
      <c r="H369" s="1" t="s">
        <v>1263</v>
      </c>
      <c r="I369" s="1" t="s">
        <v>1302</v>
      </c>
      <c r="J369" s="1" t="s">
        <v>1393</v>
      </c>
      <c r="K369" s="1" t="s">
        <v>1285</v>
      </c>
      <c r="L369" s="11"/>
    </row>
    <row r="370" spans="1:12" ht="33">
      <c r="A370" s="11" t="str">
        <f>_xlfn.XLOOKUP(표14[[#This Row],[material_name]],표2[material_name],표2[material_id])</f>
        <v>M098</v>
      </c>
      <c r="B370" s="11" t="str">
        <f>_xlfn.XLOOKUP(표14[[#This Row],[application_taxonomy]],표11[application_taxonomy],표11[app_id])</f>
        <v>A27</v>
      </c>
      <c r="C370" s="11" t="str">
        <f>_xlfn.XLOOKUP(표14[[#This Row],[end_use_industry]],표13[end_use_category],표13[end_use_id])</f>
        <v>E07</v>
      </c>
      <c r="D370" s="11">
        <f>_xlfn.XLOOKUP(표14[[#This Row],[importance]],표15[importance],표15[rating])</f>
        <v>0.1</v>
      </c>
      <c r="E370" s="1" t="s">
        <v>1384</v>
      </c>
      <c r="F370" s="1" t="s">
        <v>1392</v>
      </c>
      <c r="G370" s="1" t="s">
        <v>1391</v>
      </c>
      <c r="H370" s="1" t="s">
        <v>1263</v>
      </c>
      <c r="I370" s="1" t="s">
        <v>1302</v>
      </c>
      <c r="J370" s="1" t="s">
        <v>1390</v>
      </c>
      <c r="K370" s="1" t="s">
        <v>1285</v>
      </c>
      <c r="L370" s="11"/>
    </row>
    <row r="371" spans="1:12" ht="33">
      <c r="A371" s="11" t="str">
        <f>_xlfn.XLOOKUP(표14[[#This Row],[material_name]],표2[material_name],표2[material_id])</f>
        <v>M098</v>
      </c>
      <c r="B371" s="11" t="str">
        <f>_xlfn.XLOOKUP(표14[[#This Row],[application_taxonomy]],표11[application_taxonomy],표11[app_id])</f>
        <v>A18</v>
      </c>
      <c r="C371" s="11" t="str">
        <f>_xlfn.XLOOKUP(표14[[#This Row],[end_use_industry]],표13[end_use_category],표13[end_use_id])</f>
        <v>E03</v>
      </c>
      <c r="D371" s="11">
        <f>_xlfn.XLOOKUP(표14[[#This Row],[importance]],표15[importance],표15[rating])</f>
        <v>0.1</v>
      </c>
      <c r="E371" s="1" t="s">
        <v>1384</v>
      </c>
      <c r="F371" s="1" t="s">
        <v>1389</v>
      </c>
      <c r="G371" s="1" t="s">
        <v>1388</v>
      </c>
      <c r="H371" s="1" t="s">
        <v>1275</v>
      </c>
      <c r="I371" s="1" t="s">
        <v>1302</v>
      </c>
      <c r="J371" s="1" t="s">
        <v>1387</v>
      </c>
      <c r="K371" s="1" t="s">
        <v>1285</v>
      </c>
      <c r="L371" s="11"/>
    </row>
    <row r="372" spans="1:12" ht="33">
      <c r="A372" s="11" t="str">
        <f>_xlfn.XLOOKUP(표14[[#This Row],[material_name]],표2[material_name],표2[material_id])</f>
        <v>M098</v>
      </c>
      <c r="B372" s="11" t="str">
        <f>_xlfn.XLOOKUP(표14[[#This Row],[application_taxonomy]],표11[application_taxonomy],표11[app_id])</f>
        <v>A02</v>
      </c>
      <c r="C372" s="11" t="str">
        <f>_xlfn.XLOOKUP(표14[[#This Row],[end_use_industry]],표13[end_use_category],표13[end_use_id])</f>
        <v>E07</v>
      </c>
      <c r="D372" s="11">
        <f>_xlfn.XLOOKUP(표14[[#This Row],[importance]],표15[importance],표15[rating])</f>
        <v>0.1</v>
      </c>
      <c r="E372" s="1" t="s">
        <v>1384</v>
      </c>
      <c r="F372" s="1" t="s">
        <v>1386</v>
      </c>
      <c r="G372" s="1" t="s">
        <v>1308</v>
      </c>
      <c r="H372" s="1" t="s">
        <v>1263</v>
      </c>
      <c r="I372" s="1" t="s">
        <v>1302</v>
      </c>
      <c r="J372" s="1" t="s">
        <v>1385</v>
      </c>
      <c r="K372" s="1" t="s">
        <v>1285</v>
      </c>
      <c r="L372" s="11"/>
    </row>
    <row r="373" spans="1:12" ht="33">
      <c r="A373" s="11" t="str">
        <f>_xlfn.XLOOKUP(표14[[#This Row],[material_name]],표2[material_name],표2[material_id])</f>
        <v>M098</v>
      </c>
      <c r="B373" s="11" t="str">
        <f>_xlfn.XLOOKUP(표14[[#This Row],[application_taxonomy]],표11[application_taxonomy],표11[app_id])</f>
        <v>A03</v>
      </c>
      <c r="C373" s="11" t="str">
        <f>_xlfn.XLOOKUP(표14[[#This Row],[end_use_industry]],표13[end_use_category],표13[end_use_id])</f>
        <v>E07</v>
      </c>
      <c r="D373" s="11">
        <f>_xlfn.XLOOKUP(표14[[#This Row],[importance]],표15[importance],표15[rating])</f>
        <v>0.1</v>
      </c>
      <c r="E373" s="1" t="s">
        <v>1384</v>
      </c>
      <c r="F373" s="1" t="s">
        <v>1383</v>
      </c>
      <c r="G373" s="1" t="s">
        <v>1380</v>
      </c>
      <c r="H373" s="1" t="s">
        <v>1263</v>
      </c>
      <c r="I373" s="1" t="s">
        <v>1302</v>
      </c>
      <c r="J373" s="1" t="s">
        <v>1382</v>
      </c>
      <c r="K373" s="1" t="s">
        <v>1285</v>
      </c>
      <c r="L373" s="11"/>
    </row>
    <row r="374" spans="1:12">
      <c r="A374" s="11" t="str">
        <f>_xlfn.XLOOKUP(표14[[#This Row],[material_name]],표2[material_name],표2[material_id])</f>
        <v>M100</v>
      </c>
      <c r="B374" s="11" t="str">
        <f>_xlfn.XLOOKUP(표14[[#This Row],[application_taxonomy]],표11[application_taxonomy],표11[app_id])</f>
        <v>A03</v>
      </c>
      <c r="C374" s="11" t="str">
        <f>_xlfn.XLOOKUP(표14[[#This Row],[end_use_industry]],표13[end_use_category],표13[end_use_id])</f>
        <v>E03</v>
      </c>
      <c r="D374" s="11">
        <f>_xlfn.XLOOKUP(표14[[#This Row],[importance]],표15[importance],표15[rating])</f>
        <v>0.6</v>
      </c>
      <c r="E374" s="1" t="s">
        <v>915</v>
      </c>
      <c r="F374" s="23" t="s">
        <v>1381</v>
      </c>
      <c r="G374" s="1" t="s">
        <v>1380</v>
      </c>
      <c r="H374" s="1" t="s">
        <v>1275</v>
      </c>
      <c r="I374" s="1" t="s">
        <v>1298</v>
      </c>
      <c r="J374" s="1" t="s">
        <v>1379</v>
      </c>
      <c r="K374" s="1" t="s">
        <v>1285</v>
      </c>
      <c r="L374" s="11"/>
    </row>
    <row r="375" spans="1:12">
      <c r="A375" s="11" t="str">
        <f>_xlfn.XLOOKUP(표14[[#This Row],[material_name]],표2[material_name],표2[material_id])</f>
        <v>M100</v>
      </c>
      <c r="B375" s="11" t="str">
        <f>_xlfn.XLOOKUP(표14[[#This Row],[application_taxonomy]],표11[application_taxonomy],표11[app_id])</f>
        <v>A02</v>
      </c>
      <c r="C375" s="11" t="str">
        <f>_xlfn.XLOOKUP(표14[[#This Row],[end_use_industry]],표13[end_use_category],표13[end_use_id])</f>
        <v>E01</v>
      </c>
      <c r="D375" s="11">
        <f>_xlfn.XLOOKUP(표14[[#This Row],[importance]],표15[importance],표15[rating])</f>
        <v>0.3</v>
      </c>
      <c r="E375" s="1" t="s">
        <v>915</v>
      </c>
      <c r="F375" s="1" t="s">
        <v>1378</v>
      </c>
      <c r="G375" s="1" t="s">
        <v>1308</v>
      </c>
      <c r="H375" s="1" t="s">
        <v>1281</v>
      </c>
      <c r="I375" s="1" t="s">
        <v>1287</v>
      </c>
      <c r="J375" s="1" t="s">
        <v>1377</v>
      </c>
      <c r="K375" s="1" t="s">
        <v>1285</v>
      </c>
      <c r="L375" s="11"/>
    </row>
    <row r="376" spans="1:12">
      <c r="A376" s="11" t="str">
        <f>_xlfn.XLOOKUP(표14[[#This Row],[material_name]],표2[material_name],표2[material_id])</f>
        <v>M100</v>
      </c>
      <c r="B376" s="11" t="str">
        <f>_xlfn.XLOOKUP(표14[[#This Row],[application_taxonomy]],표11[application_taxonomy],표11[app_id])</f>
        <v>A38</v>
      </c>
      <c r="C376" s="11" t="str">
        <f>_xlfn.XLOOKUP(표14[[#This Row],[end_use_industry]],표13[end_use_category],표13[end_use_id])</f>
        <v>E01</v>
      </c>
      <c r="D376" s="11">
        <f>_xlfn.XLOOKUP(표14[[#This Row],[importance]],표15[importance],표15[rating])</f>
        <v>0.3</v>
      </c>
      <c r="E376" s="1" t="s">
        <v>915</v>
      </c>
      <c r="F376" s="1" t="s">
        <v>1376</v>
      </c>
      <c r="G376" t="s">
        <v>1143</v>
      </c>
      <c r="H376" s="1" t="s">
        <v>1281</v>
      </c>
      <c r="I376" s="1" t="s">
        <v>1287</v>
      </c>
      <c r="J376" s="1" t="s">
        <v>1375</v>
      </c>
      <c r="K376" s="1" t="s">
        <v>1285</v>
      </c>
      <c r="L376" s="11"/>
    </row>
    <row r="377" spans="1:12" ht="33">
      <c r="A377" s="11" t="str">
        <f>_xlfn.XLOOKUP(표14[[#This Row],[material_name]],표2[material_name],표2[material_id])</f>
        <v>M100</v>
      </c>
      <c r="B377" s="11" t="str">
        <f>_xlfn.XLOOKUP(표14[[#This Row],[application_taxonomy]],표11[application_taxonomy],표11[app_id])</f>
        <v>A36</v>
      </c>
      <c r="C377" s="11" t="str">
        <f>_xlfn.XLOOKUP(표14[[#This Row],[end_use_industry]],표13[end_use_category],표13[end_use_id])</f>
        <v>E02</v>
      </c>
      <c r="D377" s="11">
        <f>_xlfn.XLOOKUP(표14[[#This Row],[importance]],표15[importance],표15[rating])</f>
        <v>0.1</v>
      </c>
      <c r="E377" s="1" t="s">
        <v>915</v>
      </c>
      <c r="F377" s="1" t="s">
        <v>1374</v>
      </c>
      <c r="G377" s="1" t="s">
        <v>1149</v>
      </c>
      <c r="H377" s="1" t="s">
        <v>1373</v>
      </c>
      <c r="I377" s="1" t="s">
        <v>1302</v>
      </c>
      <c r="J377" s="1" t="s">
        <v>1372</v>
      </c>
      <c r="K377" s="1" t="s">
        <v>1285</v>
      </c>
      <c r="L377" s="11"/>
    </row>
    <row r="378" spans="1:12" ht="33">
      <c r="A378" s="11" t="str">
        <f>_xlfn.XLOOKUP(표14[[#This Row],[material_name]],표2[material_name],표2[material_id])</f>
        <v>M100</v>
      </c>
      <c r="B378" s="11" t="str">
        <f>_xlfn.XLOOKUP(표14[[#This Row],[application_taxonomy]],표11[application_taxonomy],표11[app_id])</f>
        <v>A01</v>
      </c>
      <c r="C378" s="11" t="str">
        <f>_xlfn.XLOOKUP(표14[[#This Row],[end_use_industry]],표13[end_use_category],표13[end_use_id])</f>
        <v>E07</v>
      </c>
      <c r="D378" s="11">
        <f>_xlfn.XLOOKUP(표14[[#This Row],[importance]],표15[importance],표15[rating])</f>
        <v>0.1</v>
      </c>
      <c r="E378" s="1" t="s">
        <v>915</v>
      </c>
      <c r="F378" s="1" t="s">
        <v>1371</v>
      </c>
      <c r="G378" s="1" t="s">
        <v>1254</v>
      </c>
      <c r="H378" s="1" t="s">
        <v>1263</v>
      </c>
      <c r="I378" s="1" t="s">
        <v>1302</v>
      </c>
      <c r="J378" s="1" t="s">
        <v>1370</v>
      </c>
      <c r="K378" s="1" t="s">
        <v>1285</v>
      </c>
      <c r="L378" s="11"/>
    </row>
    <row r="379" spans="1:12" ht="33">
      <c r="A379" s="11" t="str">
        <f>_xlfn.XLOOKUP(표14[[#This Row],[material_name]],표2[material_name],표2[material_id])</f>
        <v>M100</v>
      </c>
      <c r="B379" s="11" t="str">
        <f>_xlfn.XLOOKUP(표14[[#This Row],[application_taxonomy]],표11[application_taxonomy],표11[app_id])</f>
        <v>A33</v>
      </c>
      <c r="C379" s="11" t="str">
        <f>_xlfn.XLOOKUP(표14[[#This Row],[end_use_industry]],표13[end_use_category],표13[end_use_id])</f>
        <v>E05</v>
      </c>
      <c r="D379" s="11">
        <f>_xlfn.XLOOKUP(표14[[#This Row],[importance]],표15[importance],표15[rating])</f>
        <v>0.1</v>
      </c>
      <c r="E379" s="1" t="s">
        <v>915</v>
      </c>
      <c r="F379" s="1" t="s">
        <v>1369</v>
      </c>
      <c r="G379" s="1" t="s">
        <v>1333</v>
      </c>
      <c r="H379" s="1" t="s">
        <v>1269</v>
      </c>
      <c r="I379" s="1" t="s">
        <v>1302</v>
      </c>
      <c r="J379" s="1" t="s">
        <v>1368</v>
      </c>
      <c r="K379" s="1" t="s">
        <v>1285</v>
      </c>
      <c r="L379" s="11"/>
    </row>
    <row r="380" spans="1:12" ht="33">
      <c r="A380" s="11" t="str">
        <f>_xlfn.XLOOKUP(표14[[#This Row],[material_name]],표2[material_name],표2[material_id])</f>
        <v>M101</v>
      </c>
      <c r="B380" s="11" t="str">
        <f>_xlfn.XLOOKUP(표14[[#This Row],[application_taxonomy]],표11[application_taxonomy],표11[app_id])</f>
        <v>A01</v>
      </c>
      <c r="C380" s="11" t="str">
        <f>_xlfn.XLOOKUP(표14[[#This Row],[end_use_industry]],표13[end_use_category],표13[end_use_id])</f>
        <v>E07</v>
      </c>
      <c r="D380" s="11">
        <f>_xlfn.XLOOKUP(표14[[#This Row],[importance]],표15[importance],표15[rating])</f>
        <v>0.6</v>
      </c>
      <c r="E380" s="1" t="s">
        <v>4016</v>
      </c>
      <c r="F380" s="1" t="s">
        <v>4017</v>
      </c>
      <c r="G380" s="1" t="s">
        <v>1313</v>
      </c>
      <c r="H380" s="1" t="s">
        <v>1263</v>
      </c>
      <c r="I380" s="1" t="s">
        <v>1298</v>
      </c>
      <c r="J380" s="1" t="s">
        <v>4018</v>
      </c>
      <c r="K380" s="1" t="s">
        <v>1285</v>
      </c>
      <c r="L380" s="11" t="s">
        <v>1317</v>
      </c>
    </row>
    <row r="381" spans="1:12" ht="33">
      <c r="A381" s="11" t="str">
        <f>_xlfn.XLOOKUP(표14[[#This Row],[material_name]],표2[material_name],표2[material_id])</f>
        <v>M101</v>
      </c>
      <c r="B381" s="11" t="str">
        <f>_xlfn.XLOOKUP(표14[[#This Row],[application_taxonomy]],표11[application_taxonomy],표11[app_id])</f>
        <v>A01</v>
      </c>
      <c r="C381" s="11" t="str">
        <f>_xlfn.XLOOKUP(표14[[#This Row],[end_use_industry]],표13[end_use_category],표13[end_use_id])</f>
        <v>E07</v>
      </c>
      <c r="D381" s="11">
        <f>_xlfn.XLOOKUP(표14[[#This Row],[importance]],표15[importance],표15[rating])</f>
        <v>0.6</v>
      </c>
      <c r="E381" s="1" t="s">
        <v>4016</v>
      </c>
      <c r="F381" s="1" t="s">
        <v>4019</v>
      </c>
      <c r="G381" s="1" t="s">
        <v>1313</v>
      </c>
      <c r="H381" s="1" t="s">
        <v>1263</v>
      </c>
      <c r="I381" s="1" t="s">
        <v>1298</v>
      </c>
      <c r="J381" s="1" t="s">
        <v>4020</v>
      </c>
      <c r="K381" s="1" t="s">
        <v>1285</v>
      </c>
      <c r="L381" s="11" t="s">
        <v>1317</v>
      </c>
    </row>
    <row r="382" spans="1:12" ht="33">
      <c r="A382" s="11" t="str">
        <f>_xlfn.XLOOKUP(표14[[#This Row],[material_name]],표2[material_name],표2[material_id])</f>
        <v>M101</v>
      </c>
      <c r="B382" s="11" t="str">
        <f>_xlfn.XLOOKUP(표14[[#This Row],[application_taxonomy]],표11[application_taxonomy],표11[app_id])</f>
        <v>A01</v>
      </c>
      <c r="C382" s="11" t="str">
        <f>_xlfn.XLOOKUP(표14[[#This Row],[end_use_industry]],표13[end_use_category],표13[end_use_id])</f>
        <v>E07</v>
      </c>
      <c r="D382" s="11">
        <f>_xlfn.XLOOKUP(표14[[#This Row],[importance]],표15[importance],표15[rating])</f>
        <v>0.3</v>
      </c>
      <c r="E382" s="1" t="s">
        <v>4016</v>
      </c>
      <c r="F382" s="1" t="s">
        <v>4021</v>
      </c>
      <c r="G382" s="1" t="s">
        <v>1313</v>
      </c>
      <c r="H382" s="1" t="s">
        <v>1263</v>
      </c>
      <c r="I382" s="1" t="s">
        <v>1287</v>
      </c>
      <c r="J382" s="1" t="s">
        <v>4022</v>
      </c>
      <c r="K382" s="1" t="s">
        <v>1285</v>
      </c>
      <c r="L382" s="11" t="s">
        <v>1317</v>
      </c>
    </row>
    <row r="383" spans="1:12">
      <c r="A383" s="11" t="str">
        <f>_xlfn.XLOOKUP(표14[[#This Row],[material_name]],표2[material_name],표2[material_id])</f>
        <v>M101</v>
      </c>
      <c r="B383" s="11" t="str">
        <f>_xlfn.XLOOKUP(표14[[#This Row],[application_taxonomy]],표11[application_taxonomy],표11[app_id])</f>
        <v>A43</v>
      </c>
      <c r="C383" s="11" t="str">
        <f>_xlfn.XLOOKUP(표14[[#This Row],[end_use_industry]],표13[end_use_category],표13[end_use_id])</f>
        <v>E04</v>
      </c>
      <c r="D383" s="11">
        <f>_xlfn.XLOOKUP(표14[[#This Row],[importance]],표15[importance],표15[rating])</f>
        <v>0.3</v>
      </c>
      <c r="E383" s="1" t="s">
        <v>4016</v>
      </c>
      <c r="F383" s="1" t="s">
        <v>4023</v>
      </c>
      <c r="G383" s="1" t="s">
        <v>1709</v>
      </c>
      <c r="H383" s="1" t="s">
        <v>1272</v>
      </c>
      <c r="I383" s="1" t="s">
        <v>1287</v>
      </c>
      <c r="J383" s="1" t="s">
        <v>4024</v>
      </c>
      <c r="K383" s="1" t="s">
        <v>1285</v>
      </c>
      <c r="L383" s="11" t="s">
        <v>1317</v>
      </c>
    </row>
    <row r="384" spans="1:12">
      <c r="A384" s="11" t="str">
        <f>_xlfn.XLOOKUP(표14[[#This Row],[material_name]],표2[material_name],표2[material_id])</f>
        <v>M101</v>
      </c>
      <c r="B384" s="11" t="str">
        <f>_xlfn.XLOOKUP(표14[[#This Row],[application_taxonomy]],표11[application_taxonomy],표11[app_id])</f>
        <v>A43</v>
      </c>
      <c r="C384" s="11" t="str">
        <f>_xlfn.XLOOKUP(표14[[#This Row],[end_use_industry]],표13[end_use_category],표13[end_use_id])</f>
        <v>E04</v>
      </c>
      <c r="D384" s="11">
        <f>_xlfn.XLOOKUP(표14[[#This Row],[importance]],표15[importance],표15[rating])</f>
        <v>0.3</v>
      </c>
      <c r="E384" s="1" t="s">
        <v>4016</v>
      </c>
      <c r="F384" s="1" t="s">
        <v>4025</v>
      </c>
      <c r="G384" s="1" t="s">
        <v>1709</v>
      </c>
      <c r="H384" s="1" t="s">
        <v>1272</v>
      </c>
      <c r="I384" s="1" t="s">
        <v>1287</v>
      </c>
      <c r="J384" s="1" t="s">
        <v>4026</v>
      </c>
      <c r="K384" s="1" t="s">
        <v>1285</v>
      </c>
      <c r="L384" s="11" t="s">
        <v>1317</v>
      </c>
    </row>
    <row r="385" spans="1:12" ht="33">
      <c r="A385" s="11" t="str">
        <f>_xlfn.XLOOKUP(표14[[#This Row],[material_name]],표2[material_name],표2[material_id])</f>
        <v>M101</v>
      </c>
      <c r="B385" s="11" t="str">
        <f>_xlfn.XLOOKUP(표14[[#This Row],[application_taxonomy]],표11[application_taxonomy],표11[app_id])</f>
        <v>A43</v>
      </c>
      <c r="C385" s="11" t="str">
        <f>_xlfn.XLOOKUP(표14[[#This Row],[end_use_industry]],표13[end_use_category],표13[end_use_id])</f>
        <v>E02</v>
      </c>
      <c r="D385" s="11">
        <f>_xlfn.XLOOKUP(표14[[#This Row],[importance]],표15[importance],표15[rating])</f>
        <v>0.1</v>
      </c>
      <c r="E385" s="1" t="s">
        <v>4016</v>
      </c>
      <c r="F385" s="1" t="s">
        <v>4027</v>
      </c>
      <c r="G385" s="1" t="s">
        <v>1709</v>
      </c>
      <c r="H385" s="1" t="s">
        <v>1278</v>
      </c>
      <c r="I385" s="1" t="s">
        <v>1302</v>
      </c>
      <c r="J385" s="1" t="s">
        <v>4028</v>
      </c>
      <c r="K385" s="1" t="s">
        <v>1285</v>
      </c>
      <c r="L385" s="11" t="s">
        <v>1317</v>
      </c>
    </row>
    <row r="386" spans="1:12" ht="33">
      <c r="A386" s="11" t="str">
        <f>_xlfn.XLOOKUP(표14[[#This Row],[material_name]],표2[material_name],표2[material_id])</f>
        <v>M101</v>
      </c>
      <c r="B386" s="11" t="str">
        <f>_xlfn.XLOOKUP(표14[[#This Row],[application_taxonomy]],표11[application_taxonomy],표11[app_id])</f>
        <v>A01</v>
      </c>
      <c r="C386" s="11" t="str">
        <f>_xlfn.XLOOKUP(표14[[#This Row],[end_use_industry]],표13[end_use_category],표13[end_use_id])</f>
        <v>E07</v>
      </c>
      <c r="D386" s="11">
        <f>_xlfn.XLOOKUP(표14[[#This Row],[importance]],표15[importance],표15[rating])</f>
        <v>0.1</v>
      </c>
      <c r="E386" s="1" t="s">
        <v>4016</v>
      </c>
      <c r="F386" s="1" t="s">
        <v>4029</v>
      </c>
      <c r="G386" s="1" t="s">
        <v>1313</v>
      </c>
      <c r="H386" s="1" t="s">
        <v>1263</v>
      </c>
      <c r="I386" s="1" t="s">
        <v>1302</v>
      </c>
      <c r="J386" s="1" t="s">
        <v>4030</v>
      </c>
      <c r="K386" s="1" t="s">
        <v>1285</v>
      </c>
      <c r="L386" s="11" t="s">
        <v>1317</v>
      </c>
    </row>
    <row r="387" spans="1:12" ht="33">
      <c r="A387" s="11" t="str">
        <f>_xlfn.XLOOKUP(표14[[#This Row],[material_name]],표2[material_name],표2[material_id])</f>
        <v>M102</v>
      </c>
      <c r="B387" s="11" t="str">
        <f>_xlfn.XLOOKUP(표14[[#This Row],[application_taxonomy]],표11[application_taxonomy],표11[app_id])</f>
        <v>A01</v>
      </c>
      <c r="C387" s="11" t="str">
        <f>_xlfn.XLOOKUP(표14[[#This Row],[end_use_industry]],표13[end_use_category],표13[end_use_id])</f>
        <v>E03</v>
      </c>
      <c r="D387" s="11">
        <f>_xlfn.XLOOKUP(표14[[#This Row],[importance]],표15[importance],표15[rating])</f>
        <v>0.6</v>
      </c>
      <c r="E387" s="1" t="s">
        <v>1356</v>
      </c>
      <c r="F387" s="1" t="s">
        <v>1367</v>
      </c>
      <c r="G387" s="1" t="s">
        <v>1254</v>
      </c>
      <c r="H387" s="1" t="s">
        <v>1275</v>
      </c>
      <c r="I387" s="1" t="s">
        <v>1298</v>
      </c>
      <c r="J387" s="1" t="s">
        <v>1366</v>
      </c>
      <c r="K387" s="1" t="s">
        <v>1285</v>
      </c>
      <c r="L387" s="11"/>
    </row>
    <row r="388" spans="1:12" ht="33">
      <c r="A388" s="11" t="str">
        <f>_xlfn.XLOOKUP(표14[[#This Row],[material_name]],표2[material_name],표2[material_id])</f>
        <v>M102</v>
      </c>
      <c r="B388" s="11" t="str">
        <f>_xlfn.XLOOKUP(표14[[#This Row],[application_taxonomy]],표11[application_taxonomy],표11[app_id])</f>
        <v>A01</v>
      </c>
      <c r="C388" s="11" t="str">
        <f>_xlfn.XLOOKUP(표14[[#This Row],[end_use_industry]],표13[end_use_category],표13[end_use_id])</f>
        <v>E02</v>
      </c>
      <c r="D388" s="11">
        <f>_xlfn.XLOOKUP(표14[[#This Row],[importance]],표15[importance],표15[rating])</f>
        <v>0.6</v>
      </c>
      <c r="E388" s="1" t="s">
        <v>1356</v>
      </c>
      <c r="F388" s="1" t="s">
        <v>1365</v>
      </c>
      <c r="G388" s="1" t="s">
        <v>1254</v>
      </c>
      <c r="H388" s="1" t="s">
        <v>1278</v>
      </c>
      <c r="I388" s="1" t="s">
        <v>1298</v>
      </c>
      <c r="J388" s="1" t="s">
        <v>1364</v>
      </c>
      <c r="K388" s="1" t="s">
        <v>1285</v>
      </c>
      <c r="L388" s="11"/>
    </row>
    <row r="389" spans="1:12" ht="33">
      <c r="A389" s="11" t="str">
        <f>_xlfn.XLOOKUP(표14[[#This Row],[material_name]],표2[material_name],표2[material_id])</f>
        <v>M102</v>
      </c>
      <c r="B389" s="11" t="str">
        <f>_xlfn.XLOOKUP(표14[[#This Row],[application_taxonomy]],표11[application_taxonomy],표11[app_id])</f>
        <v>A01</v>
      </c>
      <c r="C389" s="11" t="str">
        <f>_xlfn.XLOOKUP(표14[[#This Row],[end_use_industry]],표13[end_use_category],표13[end_use_id])</f>
        <v>E03</v>
      </c>
      <c r="D389" s="11">
        <f>_xlfn.XLOOKUP(표14[[#This Row],[importance]],표15[importance],표15[rating])</f>
        <v>0.3</v>
      </c>
      <c r="E389" s="1" t="s">
        <v>1356</v>
      </c>
      <c r="F389" s="1" t="s">
        <v>1363</v>
      </c>
      <c r="G389" s="1" t="s">
        <v>1254</v>
      </c>
      <c r="H389" s="1" t="s">
        <v>1275</v>
      </c>
      <c r="I389" s="1" t="s">
        <v>1287</v>
      </c>
      <c r="J389" s="1" t="s">
        <v>1362</v>
      </c>
      <c r="K389" s="1" t="s">
        <v>1285</v>
      </c>
      <c r="L389" s="11"/>
    </row>
    <row r="390" spans="1:12" ht="33">
      <c r="A390" s="11" t="str">
        <f>_xlfn.XLOOKUP(표14[[#This Row],[material_name]],표2[material_name],표2[material_id])</f>
        <v>M102</v>
      </c>
      <c r="B390" s="11" t="str">
        <f>_xlfn.XLOOKUP(표14[[#This Row],[application_taxonomy]],표11[application_taxonomy],표11[app_id])</f>
        <v>A28</v>
      </c>
      <c r="C390" s="11" t="str">
        <f>_xlfn.XLOOKUP(표14[[#This Row],[end_use_industry]],표13[end_use_category],표13[end_use_id])</f>
        <v>E03</v>
      </c>
      <c r="D390" s="11">
        <f>_xlfn.XLOOKUP(표14[[#This Row],[importance]],표15[importance],표15[rating])</f>
        <v>0.1</v>
      </c>
      <c r="E390" s="1" t="s">
        <v>1356</v>
      </c>
      <c r="F390" s="1" t="s">
        <v>1361</v>
      </c>
      <c r="G390" s="1" t="s">
        <v>1360</v>
      </c>
      <c r="H390" s="1" t="s">
        <v>1275</v>
      </c>
      <c r="I390" s="1" t="s">
        <v>1302</v>
      </c>
      <c r="J390" s="1" t="s">
        <v>1359</v>
      </c>
      <c r="K390" s="1" t="s">
        <v>1285</v>
      </c>
      <c r="L390" s="11"/>
    </row>
    <row r="391" spans="1:12" ht="49.5">
      <c r="A391" s="11" t="str">
        <f>_xlfn.XLOOKUP(표14[[#This Row],[material_name]],표2[material_name],표2[material_id])</f>
        <v>M102</v>
      </c>
      <c r="B391" s="11" t="str">
        <f>_xlfn.XLOOKUP(표14[[#This Row],[application_taxonomy]],표11[application_taxonomy],표11[app_id])</f>
        <v>A02</v>
      </c>
      <c r="C391" s="11" t="str">
        <f>_xlfn.XLOOKUP(표14[[#This Row],[end_use_industry]],표13[end_use_category],표13[end_use_id])</f>
        <v>E05</v>
      </c>
      <c r="D391" s="11">
        <f>_xlfn.XLOOKUP(표14[[#This Row],[importance]],표15[importance],표15[rating])</f>
        <v>0.1</v>
      </c>
      <c r="E391" s="1" t="s">
        <v>1356</v>
      </c>
      <c r="F391" s="1" t="s">
        <v>1358</v>
      </c>
      <c r="G391" s="1" t="s">
        <v>1308</v>
      </c>
      <c r="H391" s="1" t="s">
        <v>1269</v>
      </c>
      <c r="I391" s="1" t="s">
        <v>1302</v>
      </c>
      <c r="J391" s="1" t="s">
        <v>1357</v>
      </c>
      <c r="K391" s="1" t="s">
        <v>1285</v>
      </c>
      <c r="L391" s="11"/>
    </row>
    <row r="392" spans="1:12" ht="33">
      <c r="A392" s="11" t="str">
        <f>_xlfn.XLOOKUP(표14[[#This Row],[material_name]],표2[material_name],표2[material_id])</f>
        <v>M102</v>
      </c>
      <c r="B392" s="11" t="str">
        <f>_xlfn.XLOOKUP(표14[[#This Row],[application_taxonomy]],표11[application_taxonomy],표11[app_id])</f>
        <v>A02</v>
      </c>
      <c r="C392" s="11" t="str">
        <f>_xlfn.XLOOKUP(표14[[#This Row],[end_use_industry]],표13[end_use_category],표13[end_use_id])</f>
        <v>E07</v>
      </c>
      <c r="D392" s="11">
        <f>_xlfn.XLOOKUP(표14[[#This Row],[importance]],표15[importance],표15[rating])</f>
        <v>0.1</v>
      </c>
      <c r="E392" s="1" t="s">
        <v>1356</v>
      </c>
      <c r="F392" s="1" t="s">
        <v>1355</v>
      </c>
      <c r="G392" s="1" t="s">
        <v>1308</v>
      </c>
      <c r="H392" s="1" t="s">
        <v>1263</v>
      </c>
      <c r="I392" s="1" t="s">
        <v>1302</v>
      </c>
      <c r="J392" s="1" t="s">
        <v>1354</v>
      </c>
      <c r="K392" s="1" t="s">
        <v>1285</v>
      </c>
      <c r="L392" s="11"/>
    </row>
    <row r="393" spans="1:12" ht="33">
      <c r="A393" s="11" t="str">
        <f>_xlfn.XLOOKUP(표14[[#This Row],[material_name]],표2[material_name],표2[material_id])</f>
        <v>M103</v>
      </c>
      <c r="B393" s="11" t="str">
        <f>_xlfn.XLOOKUP(표14[[#This Row],[application_taxonomy]],표11[application_taxonomy],표11[app_id])</f>
        <v>A03</v>
      </c>
      <c r="C393" s="11" t="str">
        <f>_xlfn.XLOOKUP(표14[[#This Row],[end_use_industry]],표13[end_use_category],표13[end_use_id])</f>
        <v>E07</v>
      </c>
      <c r="D393" s="11">
        <f>_xlfn.XLOOKUP(표14[[#This Row],[importance]],표15[importance],표15[rating])</f>
        <v>0.6</v>
      </c>
      <c r="E393" s="1" t="s">
        <v>2062</v>
      </c>
      <c r="F393" s="1" t="s">
        <v>2134</v>
      </c>
      <c r="G393" s="1" t="s">
        <v>1380</v>
      </c>
      <c r="H393" s="1" t="s">
        <v>1263</v>
      </c>
      <c r="I393" s="1" t="s">
        <v>1298</v>
      </c>
      <c r="J393" s="1" t="s">
        <v>2135</v>
      </c>
      <c r="K393" s="1" t="s">
        <v>1285</v>
      </c>
      <c r="L393" s="11" t="s">
        <v>1317</v>
      </c>
    </row>
    <row r="394" spans="1:12" ht="33">
      <c r="A394" s="11" t="str">
        <f>_xlfn.XLOOKUP(표14[[#This Row],[material_name]],표2[material_name],표2[material_id])</f>
        <v>M103</v>
      </c>
      <c r="B394" s="11" t="str">
        <f>_xlfn.XLOOKUP(표14[[#This Row],[application_taxonomy]],표11[application_taxonomy],표11[app_id])</f>
        <v>A20</v>
      </c>
      <c r="C394" s="11" t="str">
        <f>_xlfn.XLOOKUP(표14[[#This Row],[end_use_industry]],표13[end_use_category],표13[end_use_id])</f>
        <v>E07</v>
      </c>
      <c r="D394" s="11">
        <f>_xlfn.XLOOKUP(표14[[#This Row],[importance]],표15[importance],표15[rating])</f>
        <v>0.6</v>
      </c>
      <c r="E394" s="1" t="s">
        <v>2062</v>
      </c>
      <c r="F394" s="1" t="s">
        <v>2136</v>
      </c>
      <c r="G394" s="1" t="s">
        <v>1328</v>
      </c>
      <c r="H394" s="1" t="s">
        <v>1263</v>
      </c>
      <c r="I394" s="1" t="s">
        <v>1298</v>
      </c>
      <c r="J394" s="1" t="s">
        <v>2137</v>
      </c>
      <c r="K394" s="1" t="s">
        <v>1285</v>
      </c>
      <c r="L394" s="11" t="s">
        <v>1317</v>
      </c>
    </row>
    <row r="395" spans="1:12" ht="33">
      <c r="A395" s="11" t="str">
        <f>_xlfn.XLOOKUP(표14[[#This Row],[material_name]],표2[material_name],표2[material_id])</f>
        <v>M103</v>
      </c>
      <c r="B395" s="11" t="str">
        <f>_xlfn.XLOOKUP(표14[[#This Row],[application_taxonomy]],표11[application_taxonomy],표11[app_id])</f>
        <v>A20</v>
      </c>
      <c r="C395" s="11" t="str">
        <f>_xlfn.XLOOKUP(표14[[#This Row],[end_use_industry]],표13[end_use_category],표13[end_use_id])</f>
        <v>E02</v>
      </c>
      <c r="D395" s="11">
        <f>_xlfn.XLOOKUP(표14[[#This Row],[importance]],표15[importance],표15[rating])</f>
        <v>0.3</v>
      </c>
      <c r="E395" s="1" t="s">
        <v>2062</v>
      </c>
      <c r="F395" s="1" t="s">
        <v>2138</v>
      </c>
      <c r="G395" s="1" t="s">
        <v>1328</v>
      </c>
      <c r="H395" s="1" t="s">
        <v>1278</v>
      </c>
      <c r="I395" s="1" t="s">
        <v>1287</v>
      </c>
      <c r="J395" s="1" t="s">
        <v>2139</v>
      </c>
      <c r="K395" s="1" t="s">
        <v>1285</v>
      </c>
      <c r="L395" s="11" t="s">
        <v>1317</v>
      </c>
    </row>
    <row r="396" spans="1:12">
      <c r="A396" s="11" t="str">
        <f>_xlfn.XLOOKUP(표14[[#This Row],[material_name]],표2[material_name],표2[material_id])</f>
        <v>M103</v>
      </c>
      <c r="B396" s="11" t="str">
        <f>_xlfn.XLOOKUP(표14[[#This Row],[application_taxonomy]],표11[application_taxonomy],표11[app_id])</f>
        <v>A19</v>
      </c>
      <c r="C396" s="11" t="str">
        <f>_xlfn.XLOOKUP(표14[[#This Row],[end_use_industry]],표13[end_use_category],표13[end_use_id])</f>
        <v>E03</v>
      </c>
      <c r="D396" s="11">
        <f>_xlfn.XLOOKUP(표14[[#This Row],[importance]],표15[importance],표15[rating])</f>
        <v>0.3</v>
      </c>
      <c r="E396" s="1" t="s">
        <v>2062</v>
      </c>
      <c r="F396" s="1" t="s">
        <v>2140</v>
      </c>
      <c r="G396" s="1" t="s">
        <v>1340</v>
      </c>
      <c r="H396" s="1" t="s">
        <v>1275</v>
      </c>
      <c r="I396" s="1" t="s">
        <v>1287</v>
      </c>
      <c r="J396" s="1" t="s">
        <v>2141</v>
      </c>
      <c r="K396" s="1" t="s">
        <v>1285</v>
      </c>
      <c r="L396" s="11" t="s">
        <v>1317</v>
      </c>
    </row>
    <row r="397" spans="1:12" ht="33">
      <c r="A397" s="11" t="str">
        <f>_xlfn.XLOOKUP(표14[[#This Row],[material_name]],표2[material_name],표2[material_id])</f>
        <v>M103</v>
      </c>
      <c r="B397" s="11" t="str">
        <f>_xlfn.XLOOKUP(표14[[#This Row],[application_taxonomy]],표11[application_taxonomy],표11[app_id])</f>
        <v>A03</v>
      </c>
      <c r="C397" s="11" t="str">
        <f>_xlfn.XLOOKUP(표14[[#This Row],[end_use_industry]],표13[end_use_category],표13[end_use_id])</f>
        <v>E07</v>
      </c>
      <c r="D397" s="11">
        <f>_xlfn.XLOOKUP(표14[[#This Row],[importance]],표15[importance],표15[rating])</f>
        <v>0.3</v>
      </c>
      <c r="E397" s="1" t="s">
        <v>2062</v>
      </c>
      <c r="F397" s="1" t="s">
        <v>2142</v>
      </c>
      <c r="G397" s="1" t="s">
        <v>1380</v>
      </c>
      <c r="H397" s="1" t="s">
        <v>1263</v>
      </c>
      <c r="I397" s="1" t="s">
        <v>1287</v>
      </c>
      <c r="J397" s="1" t="s">
        <v>2143</v>
      </c>
      <c r="K397" s="1" t="s">
        <v>1285</v>
      </c>
      <c r="L397" s="11" t="s">
        <v>1317</v>
      </c>
    </row>
    <row r="398" spans="1:12" ht="33">
      <c r="A398" s="11" t="str">
        <f>_xlfn.XLOOKUP(표14[[#This Row],[material_name]],표2[material_name],표2[material_id])</f>
        <v>M103</v>
      </c>
      <c r="B398" s="11" t="str">
        <f>_xlfn.XLOOKUP(표14[[#This Row],[application_taxonomy]],표11[application_taxonomy],표11[app_id])</f>
        <v>A21</v>
      </c>
      <c r="C398" s="11" t="str">
        <f>_xlfn.XLOOKUP(표14[[#This Row],[end_use_industry]],표13[end_use_category],표13[end_use_id])</f>
        <v>E01</v>
      </c>
      <c r="D398" s="11">
        <f>_xlfn.XLOOKUP(표14[[#This Row],[importance]],표15[importance],표15[rating])</f>
        <v>0.3</v>
      </c>
      <c r="E398" s="1" t="s">
        <v>2062</v>
      </c>
      <c r="F398" s="1" t="s">
        <v>2144</v>
      </c>
      <c r="G398" s="1" t="s">
        <v>1325</v>
      </c>
      <c r="H398" s="1" t="s">
        <v>1281</v>
      </c>
      <c r="I398" s="1" t="s">
        <v>1287</v>
      </c>
      <c r="J398" s="1" t="s">
        <v>2145</v>
      </c>
      <c r="K398" s="1" t="s">
        <v>1285</v>
      </c>
      <c r="L398" s="11" t="s">
        <v>1317</v>
      </c>
    </row>
    <row r="399" spans="1:12" ht="33">
      <c r="A399" s="11" t="str">
        <f>_xlfn.XLOOKUP(표14[[#This Row],[material_name]],표2[material_name],표2[material_id])</f>
        <v>M103</v>
      </c>
      <c r="B399" s="11" t="str">
        <f>_xlfn.XLOOKUP(표14[[#This Row],[application_taxonomy]],표11[application_taxonomy],표11[app_id])</f>
        <v>A23</v>
      </c>
      <c r="C399" s="11" t="str">
        <f>_xlfn.XLOOKUP(표14[[#This Row],[end_use_industry]],표13[end_use_category],표13[end_use_id])</f>
        <v>E02</v>
      </c>
      <c r="D399" s="11">
        <f>_xlfn.XLOOKUP(표14[[#This Row],[importance]],표15[importance],표15[rating])</f>
        <v>0.1</v>
      </c>
      <c r="E399" s="1" t="s">
        <v>2062</v>
      </c>
      <c r="F399" s="1" t="s">
        <v>2146</v>
      </c>
      <c r="G399" s="1" t="s">
        <v>1566</v>
      </c>
      <c r="H399" s="1" t="s">
        <v>1278</v>
      </c>
      <c r="I399" s="1" t="s">
        <v>1302</v>
      </c>
      <c r="J399" s="1" t="s">
        <v>2147</v>
      </c>
      <c r="K399" s="1" t="s">
        <v>1285</v>
      </c>
      <c r="L399" s="11" t="s">
        <v>1317</v>
      </c>
    </row>
    <row r="400" spans="1:12" ht="33">
      <c r="A400" s="11" t="str">
        <f>_xlfn.XLOOKUP(표14[[#This Row],[material_name]],표2[material_name],표2[material_id])</f>
        <v>M103</v>
      </c>
      <c r="B400" s="11" t="str">
        <f>_xlfn.XLOOKUP(표14[[#This Row],[application_taxonomy]],표11[application_taxonomy],표11[app_id])</f>
        <v>A22</v>
      </c>
      <c r="C400" s="11" t="str">
        <f>_xlfn.XLOOKUP(표14[[#This Row],[end_use_industry]],표13[end_use_category],표13[end_use_id])</f>
        <v>E07</v>
      </c>
      <c r="D400" s="11">
        <f>_xlfn.XLOOKUP(표14[[#This Row],[importance]],표15[importance],표15[rating])</f>
        <v>0.1</v>
      </c>
      <c r="E400" s="1" t="s">
        <v>2062</v>
      </c>
      <c r="F400" s="1" t="s">
        <v>2148</v>
      </c>
      <c r="G400" s="1" t="s">
        <v>1292</v>
      </c>
      <c r="H400" s="1" t="s">
        <v>1263</v>
      </c>
      <c r="I400" s="1" t="s">
        <v>1302</v>
      </c>
      <c r="J400" s="1" t="s">
        <v>2149</v>
      </c>
      <c r="K400" s="1" t="s">
        <v>1285</v>
      </c>
      <c r="L400" s="11" t="s">
        <v>1317</v>
      </c>
    </row>
    <row r="401" spans="1:12" ht="33">
      <c r="A401" s="11" t="str">
        <f>_xlfn.XLOOKUP(표14[[#This Row],[material_name]],표2[material_name],표2[material_id])</f>
        <v>M104</v>
      </c>
      <c r="B401" s="11" t="str">
        <f>_xlfn.XLOOKUP(표14[[#This Row],[application_taxonomy]],표11[application_taxonomy],표11[app_id])</f>
        <v>A20</v>
      </c>
      <c r="C401" s="11" t="str">
        <f>_xlfn.XLOOKUP(표14[[#This Row],[end_use_industry]],표13[end_use_category],표13[end_use_id])</f>
        <v>E02</v>
      </c>
      <c r="D401" s="11">
        <f>_xlfn.XLOOKUP(표14[[#This Row],[importance]],표15[importance],표15[rating])</f>
        <v>0.6</v>
      </c>
      <c r="E401" s="1" t="s">
        <v>1345</v>
      </c>
      <c r="F401" s="1" t="s">
        <v>1353</v>
      </c>
      <c r="G401" s="1" t="s">
        <v>1328</v>
      </c>
      <c r="H401" s="1" t="s">
        <v>1278</v>
      </c>
      <c r="I401" s="1" t="s">
        <v>1298</v>
      </c>
      <c r="J401" s="1" t="s">
        <v>1352</v>
      </c>
      <c r="K401" s="1" t="s">
        <v>1285</v>
      </c>
      <c r="L401" s="11"/>
    </row>
    <row r="402" spans="1:12" ht="33">
      <c r="A402" s="11" t="str">
        <f>_xlfn.XLOOKUP(표14[[#This Row],[material_name]],표2[material_name],표2[material_id])</f>
        <v>M104</v>
      </c>
      <c r="B402" s="11" t="str">
        <f>_xlfn.XLOOKUP(표14[[#This Row],[application_taxonomy]],표11[application_taxonomy],표11[app_id])</f>
        <v>A01</v>
      </c>
      <c r="C402" s="11" t="str">
        <f>_xlfn.XLOOKUP(표14[[#This Row],[end_use_industry]],표13[end_use_category],표13[end_use_id])</f>
        <v>E07</v>
      </c>
      <c r="D402" s="11">
        <f>_xlfn.XLOOKUP(표14[[#This Row],[importance]],표15[importance],표15[rating])</f>
        <v>0.6</v>
      </c>
      <c r="E402" s="1" t="s">
        <v>1345</v>
      </c>
      <c r="F402" s="1" t="s">
        <v>1351</v>
      </c>
      <c r="G402" s="1" t="s">
        <v>1254</v>
      </c>
      <c r="H402" s="1" t="s">
        <v>1263</v>
      </c>
      <c r="I402" s="1" t="s">
        <v>1298</v>
      </c>
      <c r="J402" s="1" t="s">
        <v>1350</v>
      </c>
      <c r="K402" s="1" t="s">
        <v>1285</v>
      </c>
      <c r="L402" s="11"/>
    </row>
    <row r="403" spans="1:12" ht="33">
      <c r="A403" s="11" t="str">
        <f>_xlfn.XLOOKUP(표14[[#This Row],[material_name]],표2[material_name],표2[material_id])</f>
        <v>M104</v>
      </c>
      <c r="B403" s="11" t="str">
        <f>_xlfn.XLOOKUP(표14[[#This Row],[application_taxonomy]],표11[application_taxonomy],표11[app_id])</f>
        <v>A02</v>
      </c>
      <c r="C403" s="11" t="str">
        <f>_xlfn.XLOOKUP(표14[[#This Row],[end_use_industry]],표13[end_use_category],표13[end_use_id])</f>
        <v>E03</v>
      </c>
      <c r="D403" s="11">
        <f>_xlfn.XLOOKUP(표14[[#This Row],[importance]],표15[importance],표15[rating])</f>
        <v>0.3</v>
      </c>
      <c r="E403" s="1" t="s">
        <v>1345</v>
      </c>
      <c r="F403" s="1" t="s">
        <v>1349</v>
      </c>
      <c r="G403" s="1" t="s">
        <v>1308</v>
      </c>
      <c r="H403" s="1" t="s">
        <v>1275</v>
      </c>
      <c r="I403" s="1" t="s">
        <v>1287</v>
      </c>
      <c r="J403" s="1" t="s">
        <v>1348</v>
      </c>
      <c r="K403" s="1" t="s">
        <v>1285</v>
      </c>
      <c r="L403" s="11"/>
    </row>
    <row r="404" spans="1:12" ht="33">
      <c r="A404" s="11" t="str">
        <f>_xlfn.XLOOKUP(표14[[#This Row],[material_name]],표2[material_name],표2[material_id])</f>
        <v>M104</v>
      </c>
      <c r="B404" s="11" t="str">
        <f>_xlfn.XLOOKUP(표14[[#This Row],[application_taxonomy]],표11[application_taxonomy],표11[app_id])</f>
        <v>A04</v>
      </c>
      <c r="C404" s="11" t="str">
        <f>_xlfn.XLOOKUP(표14[[#This Row],[end_use_industry]],표13[end_use_category],표13[end_use_id])</f>
        <v>E07</v>
      </c>
      <c r="D404" s="11">
        <f>_xlfn.XLOOKUP(표14[[#This Row],[importance]],표15[importance],표15[rating])</f>
        <v>0.1</v>
      </c>
      <c r="E404" s="1" t="s">
        <v>1345</v>
      </c>
      <c r="F404" s="1" t="s">
        <v>1347</v>
      </c>
      <c r="G404" s="1" t="s">
        <v>1319</v>
      </c>
      <c r="H404" s="1" t="s">
        <v>1263</v>
      </c>
      <c r="I404" s="1" t="s">
        <v>1302</v>
      </c>
      <c r="J404" s="1" t="s">
        <v>1346</v>
      </c>
      <c r="K404" s="1" t="s">
        <v>1285</v>
      </c>
      <c r="L404" s="11"/>
    </row>
    <row r="405" spans="1:12" ht="33">
      <c r="A405" s="11" t="str">
        <f>_xlfn.XLOOKUP(표14[[#This Row],[material_name]],표2[material_name],표2[material_id])</f>
        <v>M104</v>
      </c>
      <c r="B405" s="11" t="str">
        <f>_xlfn.XLOOKUP(표14[[#This Row],[application_taxonomy]],표11[application_taxonomy],표11[app_id])</f>
        <v>A41</v>
      </c>
      <c r="C405" s="11" t="str">
        <f>_xlfn.XLOOKUP(표14[[#This Row],[end_use_industry]],표13[end_use_category],표13[end_use_id])</f>
        <v>E08</v>
      </c>
      <c r="D405" s="11">
        <f>_xlfn.XLOOKUP(표14[[#This Row],[importance]],표15[importance],표15[rating])</f>
        <v>0.1</v>
      </c>
      <c r="E405" s="1" t="s">
        <v>1345</v>
      </c>
      <c r="F405" s="1" t="s">
        <v>1344</v>
      </c>
      <c r="G405" s="1" t="s">
        <v>1343</v>
      </c>
      <c r="H405" s="1" t="s">
        <v>1260</v>
      </c>
      <c r="I405" s="1" t="s">
        <v>1302</v>
      </c>
      <c r="J405" s="1" t="s">
        <v>1342</v>
      </c>
      <c r="K405" s="1" t="s">
        <v>1285</v>
      </c>
      <c r="L405" s="11"/>
    </row>
    <row r="406" spans="1:12" ht="33">
      <c r="A406" s="11" t="str">
        <f>_xlfn.XLOOKUP(표14[[#This Row],[material_name]],표2[material_name],표2[material_id])</f>
        <v>M105</v>
      </c>
      <c r="B406" s="11" t="str">
        <f>_xlfn.XLOOKUP(표14[[#This Row],[application_taxonomy]],표11[application_taxonomy],표11[app_id])</f>
        <v>A19</v>
      </c>
      <c r="C406" s="11" t="str">
        <f>_xlfn.XLOOKUP(표14[[#This Row],[end_use_industry]],표13[end_use_category],표13[end_use_id])</f>
        <v>E03</v>
      </c>
      <c r="D406" s="11">
        <f>_xlfn.XLOOKUP(표14[[#This Row],[importance]],표15[importance],표15[rating])</f>
        <v>0.6</v>
      </c>
      <c r="E406" s="1" t="s">
        <v>1007</v>
      </c>
      <c r="F406" s="1" t="s">
        <v>1341</v>
      </c>
      <c r="G406" s="1" t="s">
        <v>1340</v>
      </c>
      <c r="H406" s="1" t="s">
        <v>1275</v>
      </c>
      <c r="I406" s="1" t="s">
        <v>1298</v>
      </c>
      <c r="J406" s="1" t="s">
        <v>1339</v>
      </c>
      <c r="K406" s="1" t="s">
        <v>1285</v>
      </c>
      <c r="L406" s="11" t="s">
        <v>1317</v>
      </c>
    </row>
    <row r="407" spans="1:12" ht="33">
      <c r="A407" s="11" t="str">
        <f>_xlfn.XLOOKUP(표14[[#This Row],[material_name]],표2[material_name],표2[material_id])</f>
        <v>M105</v>
      </c>
      <c r="B407" s="11" t="str">
        <f>_xlfn.XLOOKUP(표14[[#This Row],[application_taxonomy]],표11[application_taxonomy],표11[app_id])</f>
        <v>A33</v>
      </c>
      <c r="C407" s="11" t="str">
        <f>_xlfn.XLOOKUP(표14[[#This Row],[end_use_industry]],표13[end_use_category],표13[end_use_id])</f>
        <v>E05</v>
      </c>
      <c r="D407" s="11">
        <f>_xlfn.XLOOKUP(표14[[#This Row],[importance]],표15[importance],표15[rating])</f>
        <v>0.3</v>
      </c>
      <c r="E407" s="1" t="s">
        <v>1007</v>
      </c>
      <c r="F407" s="1" t="s">
        <v>1338</v>
      </c>
      <c r="G407" s="1" t="s">
        <v>1333</v>
      </c>
      <c r="H407" s="1" t="s">
        <v>1269</v>
      </c>
      <c r="I407" s="1" t="s">
        <v>1287</v>
      </c>
      <c r="J407" s="1" t="s">
        <v>1337</v>
      </c>
      <c r="K407" s="1" t="s">
        <v>1285</v>
      </c>
      <c r="L407" s="11" t="s">
        <v>1317</v>
      </c>
    </row>
    <row r="408" spans="1:12">
      <c r="A408" s="11" t="str">
        <f>_xlfn.XLOOKUP(표14[[#This Row],[material_name]],표2[material_name],표2[material_id])</f>
        <v>M105</v>
      </c>
      <c r="B408" s="11" t="str">
        <f>_xlfn.XLOOKUP(표14[[#This Row],[application_taxonomy]],표11[application_taxonomy],표11[app_id])</f>
        <v>A20</v>
      </c>
      <c r="C408" s="11" t="str">
        <f>_xlfn.XLOOKUP(표14[[#This Row],[end_use_industry]],표13[end_use_category],표13[end_use_id])</f>
        <v>E02</v>
      </c>
      <c r="D408" s="11">
        <f>_xlfn.XLOOKUP(표14[[#This Row],[importance]],표15[importance],표15[rating])</f>
        <v>0.3</v>
      </c>
      <c r="E408" s="1" t="s">
        <v>1007</v>
      </c>
      <c r="F408" s="1" t="s">
        <v>1336</v>
      </c>
      <c r="G408" s="1" t="s">
        <v>1328</v>
      </c>
      <c r="H408" s="1" t="s">
        <v>1278</v>
      </c>
      <c r="I408" s="1" t="s">
        <v>1287</v>
      </c>
      <c r="J408" s="1" t="s">
        <v>1335</v>
      </c>
      <c r="K408" s="1" t="s">
        <v>1285</v>
      </c>
      <c r="L408" s="11" t="s">
        <v>1317</v>
      </c>
    </row>
    <row r="409" spans="1:12" ht="33">
      <c r="A409" s="11" t="str">
        <f>_xlfn.XLOOKUP(표14[[#This Row],[material_name]],표2[material_name],표2[material_id])</f>
        <v>M105</v>
      </c>
      <c r="B409" s="11" t="str">
        <f>_xlfn.XLOOKUP(표14[[#This Row],[application_taxonomy]],표11[application_taxonomy],표11[app_id])</f>
        <v>A33</v>
      </c>
      <c r="C409" s="11" t="str">
        <f>_xlfn.XLOOKUP(표14[[#This Row],[end_use_industry]],표13[end_use_category],표13[end_use_id])</f>
        <v>E05</v>
      </c>
      <c r="D409" s="11">
        <f>_xlfn.XLOOKUP(표14[[#This Row],[importance]],표15[importance],표15[rating])</f>
        <v>0.1</v>
      </c>
      <c r="E409" s="1" t="s">
        <v>1007</v>
      </c>
      <c r="F409" s="1" t="s">
        <v>1334</v>
      </c>
      <c r="G409" s="1" t="s">
        <v>1333</v>
      </c>
      <c r="H409" s="1" t="s">
        <v>1269</v>
      </c>
      <c r="I409" s="1" t="s">
        <v>1302</v>
      </c>
      <c r="J409" s="1" t="s">
        <v>1332</v>
      </c>
      <c r="K409" s="1" t="s">
        <v>1285</v>
      </c>
      <c r="L409" s="11" t="s">
        <v>1317</v>
      </c>
    </row>
    <row r="410" spans="1:12" ht="33">
      <c r="A410" s="11" t="str">
        <f>_xlfn.XLOOKUP(표14[[#This Row],[material_name]],표2[material_name],표2[material_id])</f>
        <v>M106</v>
      </c>
      <c r="B410" s="11" t="str">
        <f>_xlfn.XLOOKUP(표14[[#This Row],[application_taxonomy]],표11[application_taxonomy],표11[app_id])</f>
        <v>A20</v>
      </c>
      <c r="C410" s="11" t="str">
        <f>_xlfn.XLOOKUP(표14[[#This Row],[end_use_industry]],표13[end_use_category],표13[end_use_id])</f>
        <v>E02</v>
      </c>
      <c r="D410" s="11">
        <f>_xlfn.XLOOKUP(표14[[#This Row],[importance]],표15[importance],표15[rating])</f>
        <v>0.6</v>
      </c>
      <c r="E410" s="1" t="s">
        <v>1010</v>
      </c>
      <c r="F410" s="1" t="s">
        <v>1331</v>
      </c>
      <c r="G410" s="1" t="s">
        <v>1328</v>
      </c>
      <c r="H410" s="1" t="s">
        <v>1278</v>
      </c>
      <c r="I410" s="1" t="s">
        <v>1298</v>
      </c>
      <c r="J410" s="1" t="s">
        <v>1330</v>
      </c>
      <c r="K410" s="1" t="s">
        <v>1285</v>
      </c>
      <c r="L410" s="11" t="s">
        <v>1317</v>
      </c>
    </row>
    <row r="411" spans="1:12" ht="33">
      <c r="A411" s="11" t="str">
        <f>_xlfn.XLOOKUP(표14[[#This Row],[material_name]],표2[material_name],표2[material_id])</f>
        <v>M106</v>
      </c>
      <c r="B411" s="11" t="str">
        <f>_xlfn.XLOOKUP(표14[[#This Row],[application_taxonomy]],표11[application_taxonomy],표11[app_id])</f>
        <v>A20</v>
      </c>
      <c r="C411" s="11" t="str">
        <f>_xlfn.XLOOKUP(표14[[#This Row],[end_use_industry]],표13[end_use_category],표13[end_use_id])</f>
        <v>E02</v>
      </c>
      <c r="D411" s="11">
        <f>_xlfn.XLOOKUP(표14[[#This Row],[importance]],표15[importance],표15[rating])</f>
        <v>0.6</v>
      </c>
      <c r="E411" s="1" t="s">
        <v>1010</v>
      </c>
      <c r="F411" s="1" t="s">
        <v>1329</v>
      </c>
      <c r="G411" s="1" t="s">
        <v>1328</v>
      </c>
      <c r="H411" s="1" t="s">
        <v>1278</v>
      </c>
      <c r="I411" s="1" t="s">
        <v>1298</v>
      </c>
      <c r="J411" s="1" t="s">
        <v>1327</v>
      </c>
      <c r="K411" s="1" t="s">
        <v>1285</v>
      </c>
      <c r="L411" s="11" t="s">
        <v>1317</v>
      </c>
    </row>
    <row r="412" spans="1:12" ht="33">
      <c r="A412" s="11" t="str">
        <f>_xlfn.XLOOKUP(표14[[#This Row],[material_name]],표2[material_name],표2[material_id])</f>
        <v>M106</v>
      </c>
      <c r="B412" s="11" t="str">
        <f>_xlfn.XLOOKUP(표14[[#This Row],[application_taxonomy]],표11[application_taxonomy],표11[app_id])</f>
        <v>A21</v>
      </c>
      <c r="C412" s="11" t="str">
        <f>_xlfn.XLOOKUP(표14[[#This Row],[end_use_industry]],표13[end_use_category],표13[end_use_id])</f>
        <v>E01</v>
      </c>
      <c r="D412" s="11">
        <f>_xlfn.XLOOKUP(표14[[#This Row],[importance]],표15[importance],표15[rating])</f>
        <v>0.3</v>
      </c>
      <c r="E412" s="1" t="s">
        <v>1010</v>
      </c>
      <c r="F412" s="1" t="s">
        <v>1326</v>
      </c>
      <c r="G412" s="1" t="s">
        <v>1325</v>
      </c>
      <c r="H412" s="1" t="s">
        <v>1281</v>
      </c>
      <c r="I412" s="1" t="s">
        <v>1287</v>
      </c>
      <c r="J412" s="1" t="s">
        <v>1324</v>
      </c>
      <c r="K412" s="1" t="s">
        <v>1285</v>
      </c>
      <c r="L412" s="11" t="s">
        <v>1317</v>
      </c>
    </row>
    <row r="413" spans="1:12">
      <c r="A413" s="11" t="str">
        <f>_xlfn.XLOOKUP(표14[[#This Row],[material_name]],표2[material_name],표2[material_id])</f>
        <v>M106</v>
      </c>
      <c r="B413" s="11" t="str">
        <f>_xlfn.XLOOKUP(표14[[#This Row],[application_taxonomy]],표11[application_taxonomy],표11[app_id])</f>
        <v>A05</v>
      </c>
      <c r="C413" s="11" t="str">
        <f>_xlfn.XLOOKUP(표14[[#This Row],[end_use_industry]],표13[end_use_category],표13[end_use_id])</f>
        <v>E02</v>
      </c>
      <c r="D413" s="11">
        <f>_xlfn.XLOOKUP(표14[[#This Row],[importance]],표15[importance],표15[rating])</f>
        <v>0.3</v>
      </c>
      <c r="E413" s="1" t="s">
        <v>1010</v>
      </c>
      <c r="F413" s="1" t="s">
        <v>1323</v>
      </c>
      <c r="G413" s="1" t="s">
        <v>1322</v>
      </c>
      <c r="H413" s="1" t="s">
        <v>1278</v>
      </c>
      <c r="I413" s="1" t="s">
        <v>1287</v>
      </c>
      <c r="J413" s="1" t="s">
        <v>1321</v>
      </c>
      <c r="K413" s="1" t="s">
        <v>1285</v>
      </c>
      <c r="L413" s="11" t="s">
        <v>1317</v>
      </c>
    </row>
    <row r="414" spans="1:12" ht="33">
      <c r="A414" s="11" t="str">
        <f>_xlfn.XLOOKUP(표14[[#This Row],[material_name]],표2[material_name],표2[material_id])</f>
        <v>M106</v>
      </c>
      <c r="B414" s="11" t="str">
        <f>_xlfn.XLOOKUP(표14[[#This Row],[application_taxonomy]],표11[application_taxonomy],표11[app_id])</f>
        <v>A04</v>
      </c>
      <c r="C414" s="11" t="str">
        <f>_xlfn.XLOOKUP(표14[[#This Row],[end_use_industry]],표13[end_use_category],표13[end_use_id])</f>
        <v>E07</v>
      </c>
      <c r="D414" s="11">
        <f>_xlfn.XLOOKUP(표14[[#This Row],[importance]],표15[importance],표15[rating])</f>
        <v>0.3</v>
      </c>
      <c r="E414" s="1" t="s">
        <v>1010</v>
      </c>
      <c r="F414" s="1" t="s">
        <v>1320</v>
      </c>
      <c r="G414" s="1" t="s">
        <v>1319</v>
      </c>
      <c r="H414" s="1" t="s">
        <v>1263</v>
      </c>
      <c r="I414" s="1" t="s">
        <v>1287</v>
      </c>
      <c r="J414" s="1" t="s">
        <v>1318</v>
      </c>
      <c r="K414" s="1" t="s">
        <v>1285</v>
      </c>
      <c r="L414" s="11" t="s">
        <v>1317</v>
      </c>
    </row>
    <row r="415" spans="1:12" ht="33">
      <c r="A415" s="11" t="str">
        <f>_xlfn.XLOOKUP(표14[[#This Row],[material_name]],표2[material_name],표2[material_id])</f>
        <v>M107</v>
      </c>
      <c r="B415" s="11" t="str">
        <f>_xlfn.XLOOKUP(표14[[#This Row],[application_taxonomy]],표11[application_taxonomy],표11[app_id])</f>
        <v>A02</v>
      </c>
      <c r="C415" s="11" t="str">
        <f>_xlfn.XLOOKUP(표14[[#This Row],[end_use_industry]],표13[end_use_category],표13[end_use_id])</f>
        <v>E07</v>
      </c>
      <c r="D415" s="11">
        <f>_xlfn.XLOOKUP(표14[[#This Row],[importance]],표15[importance],표15[rating])</f>
        <v>0.6</v>
      </c>
      <c r="E415" s="1" t="s">
        <v>1305</v>
      </c>
      <c r="F415" s="1" t="s">
        <v>1316</v>
      </c>
      <c r="G415" s="1" t="s">
        <v>1308</v>
      </c>
      <c r="H415" s="1" t="s">
        <v>1263</v>
      </c>
      <c r="I415" s="1" t="s">
        <v>1298</v>
      </c>
      <c r="J415" s="1" t="s">
        <v>1315</v>
      </c>
      <c r="K415" s="1" t="s">
        <v>1285</v>
      </c>
      <c r="L415" s="11"/>
    </row>
    <row r="416" spans="1:12" ht="33">
      <c r="A416" s="11" t="str">
        <f>_xlfn.XLOOKUP(표14[[#This Row],[material_name]],표2[material_name],표2[material_id])</f>
        <v>M107</v>
      </c>
      <c r="B416" s="11" t="str">
        <f>_xlfn.XLOOKUP(표14[[#This Row],[application_taxonomy]],표11[application_taxonomy],표11[app_id])</f>
        <v>A01</v>
      </c>
      <c r="C416" s="11" t="str">
        <f>_xlfn.XLOOKUP(표14[[#This Row],[end_use_industry]],표13[end_use_category],표13[end_use_id])</f>
        <v>E07</v>
      </c>
      <c r="D416" s="11">
        <f>_xlfn.XLOOKUP(표14[[#This Row],[importance]],표15[importance],표15[rating])</f>
        <v>0.6</v>
      </c>
      <c r="E416" s="1" t="s">
        <v>1305</v>
      </c>
      <c r="F416" s="1" t="s">
        <v>1314</v>
      </c>
      <c r="G416" s="1" t="s">
        <v>1313</v>
      </c>
      <c r="H416" s="1" t="s">
        <v>1263</v>
      </c>
      <c r="I416" s="1" t="s">
        <v>1298</v>
      </c>
      <c r="J416" s="1" t="s">
        <v>1312</v>
      </c>
      <c r="K416" s="1" t="s">
        <v>1285</v>
      </c>
      <c r="L416" s="11"/>
    </row>
    <row r="417" spans="1:12" ht="33">
      <c r="A417" s="11" t="str">
        <f>_xlfn.XLOOKUP(표14[[#This Row],[material_name]],표2[material_name],표2[material_id])</f>
        <v>M107</v>
      </c>
      <c r="B417" s="11" t="str">
        <f>_xlfn.XLOOKUP(표14[[#This Row],[application_taxonomy]],표11[application_taxonomy],표11[app_id])</f>
        <v>A02</v>
      </c>
      <c r="C417" s="11" t="str">
        <f>_xlfn.XLOOKUP(표14[[#This Row],[end_use_industry]],표13[end_use_category],표13[end_use_id])</f>
        <v>E07</v>
      </c>
      <c r="D417" s="11">
        <f>_xlfn.XLOOKUP(표14[[#This Row],[importance]],표15[importance],표15[rating])</f>
        <v>0.6</v>
      </c>
      <c r="E417" s="1" t="s">
        <v>1305</v>
      </c>
      <c r="F417" s="1" t="s">
        <v>1311</v>
      </c>
      <c r="G417" s="1" t="s">
        <v>1308</v>
      </c>
      <c r="H417" s="1" t="s">
        <v>1263</v>
      </c>
      <c r="I417" s="1" t="s">
        <v>1298</v>
      </c>
      <c r="J417" s="1" t="s">
        <v>1310</v>
      </c>
      <c r="K417" s="1" t="s">
        <v>1285</v>
      </c>
      <c r="L417" s="11"/>
    </row>
    <row r="418" spans="1:12" ht="33">
      <c r="A418" s="11" t="str">
        <f>_xlfn.XLOOKUP(표14[[#This Row],[material_name]],표2[material_name],표2[material_id])</f>
        <v>M107</v>
      </c>
      <c r="B418" s="11" t="str">
        <f>_xlfn.XLOOKUP(표14[[#This Row],[application_taxonomy]],표11[application_taxonomy],표11[app_id])</f>
        <v>A02</v>
      </c>
      <c r="C418" s="11" t="str">
        <f>_xlfn.XLOOKUP(표14[[#This Row],[end_use_industry]],표13[end_use_category],표13[end_use_id])</f>
        <v>E07</v>
      </c>
      <c r="D418" s="11">
        <f>_xlfn.XLOOKUP(표14[[#This Row],[importance]],표15[importance],표15[rating])</f>
        <v>0.3</v>
      </c>
      <c r="E418" s="1" t="s">
        <v>1305</v>
      </c>
      <c r="F418" s="1" t="s">
        <v>1309</v>
      </c>
      <c r="G418" s="1" t="s">
        <v>1308</v>
      </c>
      <c r="H418" s="1" t="s">
        <v>1263</v>
      </c>
      <c r="I418" s="1" t="s">
        <v>1287</v>
      </c>
      <c r="J418" s="1" t="s">
        <v>1307</v>
      </c>
      <c r="K418" s="1" t="s">
        <v>1285</v>
      </c>
      <c r="L418" s="11"/>
    </row>
    <row r="419" spans="1:12" ht="33">
      <c r="A419" s="11" t="str">
        <f>_xlfn.XLOOKUP(표14[[#This Row],[material_name]],표2[material_name],표2[material_id])</f>
        <v>M107</v>
      </c>
      <c r="B419" s="11" t="str">
        <f>_xlfn.XLOOKUP(표14[[#This Row],[application_taxonomy]],표11[application_taxonomy],표11[app_id])</f>
        <v>A01</v>
      </c>
      <c r="C419" s="11" t="str">
        <f>_xlfn.XLOOKUP(표14[[#This Row],[end_use_industry]],표13[end_use_category],표13[end_use_id])</f>
        <v>E07</v>
      </c>
      <c r="D419" s="11">
        <f>_xlfn.XLOOKUP(표14[[#This Row],[importance]],표15[importance],표15[rating])</f>
        <v>0.3</v>
      </c>
      <c r="E419" s="1" t="s">
        <v>1305</v>
      </c>
      <c r="F419" s="1" t="s">
        <v>105</v>
      </c>
      <c r="G419" s="1" t="s">
        <v>1254</v>
      </c>
      <c r="H419" s="1" t="s">
        <v>1263</v>
      </c>
      <c r="I419" s="1" t="s">
        <v>1287</v>
      </c>
      <c r="J419" s="1" t="s">
        <v>1306</v>
      </c>
      <c r="K419" s="1" t="s">
        <v>1285</v>
      </c>
      <c r="L419" s="11"/>
    </row>
    <row r="420" spans="1:12" ht="33">
      <c r="A420" s="11" t="str">
        <f>_xlfn.XLOOKUP(표14[[#This Row],[material_name]],표2[material_name],표2[material_id])</f>
        <v>M107</v>
      </c>
      <c r="B420" s="11" t="str">
        <f>_xlfn.XLOOKUP(표14[[#This Row],[application_taxonomy]],표11[application_taxonomy],표11[app_id])</f>
        <v>A24</v>
      </c>
      <c r="C420" s="11" t="str">
        <f>_xlfn.XLOOKUP(표14[[#This Row],[end_use_industry]],표13[end_use_category],표13[end_use_id])</f>
        <v>E07</v>
      </c>
      <c r="D420" s="11">
        <f>_xlfn.XLOOKUP(표14[[#This Row],[importance]],표15[importance],표15[rating])</f>
        <v>0.1</v>
      </c>
      <c r="E420" s="1" t="s">
        <v>1305</v>
      </c>
      <c r="F420" s="1" t="s">
        <v>1304</v>
      </c>
      <c r="G420" s="1" t="s">
        <v>1303</v>
      </c>
      <c r="H420" s="1" t="s">
        <v>1263</v>
      </c>
      <c r="I420" s="1" t="s">
        <v>1302</v>
      </c>
      <c r="J420" s="1" t="s">
        <v>1301</v>
      </c>
      <c r="K420" s="1" t="s">
        <v>1285</v>
      </c>
      <c r="L420" s="11"/>
    </row>
    <row r="421" spans="1:12" ht="33">
      <c r="A421" s="11" t="str">
        <f>_xlfn.XLOOKUP(표14[[#This Row],[material_name]],표2[material_name],표2[material_id])</f>
        <v>M108</v>
      </c>
      <c r="B421" s="11" t="str">
        <f>_xlfn.XLOOKUP(표14[[#This Row],[application_taxonomy]],표11[application_taxonomy],표11[app_id])</f>
        <v>A20</v>
      </c>
      <c r="C421" s="11" t="str">
        <f>_xlfn.XLOOKUP(표14[[#This Row],[end_use_industry]],표13[end_use_category],표13[end_use_id])</f>
        <v>E07</v>
      </c>
      <c r="D421" s="11">
        <f>_xlfn.XLOOKUP(표14[[#This Row],[importance]],표15[importance],표15[rating])</f>
        <v>0.6</v>
      </c>
      <c r="E421" s="1" t="s">
        <v>3955</v>
      </c>
      <c r="F421" s="1" t="s">
        <v>3956</v>
      </c>
      <c r="G421" s="1" t="s">
        <v>1328</v>
      </c>
      <c r="H421" s="1" t="s">
        <v>1263</v>
      </c>
      <c r="I421" s="1" t="s">
        <v>1298</v>
      </c>
      <c r="J421" s="1" t="s">
        <v>3957</v>
      </c>
      <c r="K421" s="1" t="s">
        <v>1285</v>
      </c>
      <c r="L421" s="11" t="s">
        <v>1317</v>
      </c>
    </row>
    <row r="422" spans="1:12" ht="33">
      <c r="A422" s="11" t="str">
        <f>_xlfn.XLOOKUP(표14[[#This Row],[material_name]],표2[material_name],표2[material_id])</f>
        <v>M108</v>
      </c>
      <c r="B422" s="11" t="str">
        <f>_xlfn.XLOOKUP(표14[[#This Row],[application_taxonomy]],표11[application_taxonomy],표11[app_id])</f>
        <v>A20</v>
      </c>
      <c r="C422" s="11" t="str">
        <f>_xlfn.XLOOKUP(표14[[#This Row],[end_use_industry]],표13[end_use_category],표13[end_use_id])</f>
        <v>E02</v>
      </c>
      <c r="D422" s="11">
        <f>_xlfn.XLOOKUP(표14[[#This Row],[importance]],표15[importance],표15[rating])</f>
        <v>0.6</v>
      </c>
      <c r="E422" s="1" t="s">
        <v>3955</v>
      </c>
      <c r="F422" s="1" t="s">
        <v>3958</v>
      </c>
      <c r="G422" s="1" t="s">
        <v>1328</v>
      </c>
      <c r="H422" s="1" t="s">
        <v>1278</v>
      </c>
      <c r="I422" s="1" t="s">
        <v>1298</v>
      </c>
      <c r="J422" s="1" t="s">
        <v>3959</v>
      </c>
      <c r="K422" s="1" t="s">
        <v>1285</v>
      </c>
      <c r="L422" s="11" t="s">
        <v>1317</v>
      </c>
    </row>
    <row r="423" spans="1:12">
      <c r="A423" s="11" t="str">
        <f>_xlfn.XLOOKUP(표14[[#This Row],[material_name]],표2[material_name],표2[material_id])</f>
        <v>M108</v>
      </c>
      <c r="B423" s="11" t="str">
        <f>_xlfn.XLOOKUP(표14[[#This Row],[application_taxonomy]],표11[application_taxonomy],표11[app_id])</f>
        <v>A22</v>
      </c>
      <c r="C423" s="11" t="str">
        <f>_xlfn.XLOOKUP(표14[[#This Row],[end_use_industry]],표13[end_use_category],표13[end_use_id])</f>
        <v>E01</v>
      </c>
      <c r="D423" s="11">
        <f>_xlfn.XLOOKUP(표14[[#This Row],[importance]],표15[importance],표15[rating])</f>
        <v>0.3</v>
      </c>
      <c r="E423" s="1" t="s">
        <v>3955</v>
      </c>
      <c r="F423" s="1" t="s">
        <v>3960</v>
      </c>
      <c r="G423" s="1" t="s">
        <v>1292</v>
      </c>
      <c r="H423" s="1" t="s">
        <v>1281</v>
      </c>
      <c r="I423" s="1" t="s">
        <v>1287</v>
      </c>
      <c r="J423" s="1" t="s">
        <v>3961</v>
      </c>
      <c r="K423" s="1" t="s">
        <v>1285</v>
      </c>
      <c r="L423" s="11" t="s">
        <v>1317</v>
      </c>
    </row>
    <row r="424" spans="1:12" ht="33">
      <c r="A424" s="11" t="str">
        <f>_xlfn.XLOOKUP(표14[[#This Row],[material_name]],표2[material_name],표2[material_id])</f>
        <v>M108</v>
      </c>
      <c r="B424" s="11" t="str">
        <f>_xlfn.XLOOKUP(표14[[#This Row],[application_taxonomy]],표11[application_taxonomy],표11[app_id])</f>
        <v>A22</v>
      </c>
      <c r="C424" s="11" t="str">
        <f>_xlfn.XLOOKUP(표14[[#This Row],[end_use_industry]],표13[end_use_category],표13[end_use_id])</f>
        <v>E07</v>
      </c>
      <c r="D424" s="11">
        <f>_xlfn.XLOOKUP(표14[[#This Row],[importance]],표15[importance],표15[rating])</f>
        <v>0.3</v>
      </c>
      <c r="E424" s="1" t="s">
        <v>3955</v>
      </c>
      <c r="F424" s="1" t="s">
        <v>3962</v>
      </c>
      <c r="G424" s="1" t="s">
        <v>1292</v>
      </c>
      <c r="H424" s="1" t="s">
        <v>1263</v>
      </c>
      <c r="I424" s="1" t="s">
        <v>1287</v>
      </c>
      <c r="J424" s="1" t="s">
        <v>3963</v>
      </c>
      <c r="K424" s="1" t="s">
        <v>1285</v>
      </c>
      <c r="L424" s="11" t="s">
        <v>1317</v>
      </c>
    </row>
    <row r="425" spans="1:12">
      <c r="A425" s="11" t="str">
        <f>_xlfn.XLOOKUP(표14[[#This Row],[material_name]],표2[material_name],표2[material_id])</f>
        <v>M108</v>
      </c>
      <c r="B425" s="11" t="str">
        <f>_xlfn.XLOOKUP(표14[[#This Row],[application_taxonomy]],표11[application_taxonomy],표11[app_id])</f>
        <v>A23</v>
      </c>
      <c r="C425" s="11" t="str">
        <f>_xlfn.XLOOKUP(표14[[#This Row],[end_use_industry]],표13[end_use_category],표13[end_use_id])</f>
        <v>E02</v>
      </c>
      <c r="D425" s="11">
        <f>_xlfn.XLOOKUP(표14[[#This Row],[importance]],표15[importance],표15[rating])</f>
        <v>0.3</v>
      </c>
      <c r="E425" s="1" t="s">
        <v>3955</v>
      </c>
      <c r="F425" s="1" t="s">
        <v>1757</v>
      </c>
      <c r="G425" s="1" t="s">
        <v>1566</v>
      </c>
      <c r="H425" s="1" t="s">
        <v>1278</v>
      </c>
      <c r="I425" s="1" t="s">
        <v>1287</v>
      </c>
      <c r="J425" s="1" t="s">
        <v>3964</v>
      </c>
      <c r="K425" s="1" t="s">
        <v>1285</v>
      </c>
      <c r="L425" s="11" t="s">
        <v>1317</v>
      </c>
    </row>
    <row r="426" spans="1:12" ht="33">
      <c r="A426" s="11" t="str">
        <f>_xlfn.XLOOKUP(표14[[#This Row],[material_name]],표2[material_name],표2[material_id])</f>
        <v>M108</v>
      </c>
      <c r="B426" s="11" t="str">
        <f>_xlfn.XLOOKUP(표14[[#This Row],[application_taxonomy]],표11[application_taxonomy],표11[app_id])</f>
        <v>A19</v>
      </c>
      <c r="C426" s="11" t="str">
        <f>_xlfn.XLOOKUP(표14[[#This Row],[end_use_industry]],표13[end_use_category],표13[end_use_id])</f>
        <v>E03</v>
      </c>
      <c r="D426" s="11">
        <f>_xlfn.XLOOKUP(표14[[#This Row],[importance]],표15[importance],표15[rating])</f>
        <v>0.3</v>
      </c>
      <c r="E426" s="1" t="s">
        <v>3955</v>
      </c>
      <c r="F426" s="1" t="s">
        <v>3965</v>
      </c>
      <c r="G426" s="1" t="s">
        <v>1340</v>
      </c>
      <c r="H426" s="1" t="s">
        <v>1275</v>
      </c>
      <c r="I426" s="1" t="s">
        <v>1287</v>
      </c>
      <c r="J426" s="1" t="s">
        <v>3966</v>
      </c>
      <c r="K426" s="1" t="s">
        <v>1285</v>
      </c>
      <c r="L426" s="11" t="s">
        <v>1317</v>
      </c>
    </row>
    <row r="427" spans="1:12">
      <c r="A427" s="11" t="str">
        <f>_xlfn.XLOOKUP(표14[[#This Row],[material_name]],표2[material_name],표2[material_id])</f>
        <v>M108</v>
      </c>
      <c r="B427" s="11" t="str">
        <f>_xlfn.XLOOKUP(표14[[#This Row],[application_taxonomy]],표11[application_taxonomy],표11[app_id])</f>
        <v>A21</v>
      </c>
      <c r="C427" s="11" t="str">
        <f>_xlfn.XLOOKUP(표14[[#This Row],[end_use_industry]],표13[end_use_category],표13[end_use_id])</f>
        <v>E01</v>
      </c>
      <c r="D427" s="11">
        <f>_xlfn.XLOOKUP(표14[[#This Row],[importance]],표15[importance],표15[rating])</f>
        <v>0.3</v>
      </c>
      <c r="E427" s="1" t="s">
        <v>3955</v>
      </c>
      <c r="F427" s="1" t="s">
        <v>3967</v>
      </c>
      <c r="G427" s="1" t="s">
        <v>1325</v>
      </c>
      <c r="H427" s="1" t="s">
        <v>1281</v>
      </c>
      <c r="I427" s="1" t="s">
        <v>1287</v>
      </c>
      <c r="J427" s="1" t="s">
        <v>3968</v>
      </c>
      <c r="K427" s="1" t="s">
        <v>1285</v>
      </c>
      <c r="L427" s="11" t="s">
        <v>1317</v>
      </c>
    </row>
    <row r="428" spans="1:12" ht="33">
      <c r="A428" s="11" t="str">
        <f>_xlfn.XLOOKUP(표14[[#This Row],[material_name]],표2[material_name],표2[material_id])</f>
        <v>M108</v>
      </c>
      <c r="B428" s="11" t="str">
        <f>_xlfn.XLOOKUP(표14[[#This Row],[application_taxonomy]],표11[application_taxonomy],표11[app_id])</f>
        <v>A42</v>
      </c>
      <c r="C428" s="11" t="str">
        <f>_xlfn.XLOOKUP(표14[[#This Row],[end_use_industry]],표13[end_use_category],표13[end_use_id])</f>
        <v>E07</v>
      </c>
      <c r="D428" s="11">
        <f>_xlfn.XLOOKUP(표14[[#This Row],[importance]],표15[importance],표15[rating])</f>
        <v>0.1</v>
      </c>
      <c r="E428" s="1" t="s">
        <v>3955</v>
      </c>
      <c r="F428" s="1" t="s">
        <v>3969</v>
      </c>
      <c r="G428" s="1" t="s">
        <v>1299</v>
      </c>
      <c r="H428" s="1" t="s">
        <v>1263</v>
      </c>
      <c r="I428" s="1" t="s">
        <v>1302</v>
      </c>
      <c r="J428" s="1" t="s">
        <v>3970</v>
      </c>
      <c r="K428" s="1" t="s">
        <v>1285</v>
      </c>
      <c r="L428" s="11" t="s">
        <v>1317</v>
      </c>
    </row>
    <row r="429" spans="1:12" ht="33">
      <c r="A429" s="11" t="str">
        <f>_xlfn.XLOOKUP(표14[[#This Row],[material_name]],표2[material_name],표2[material_id])</f>
        <v>M109</v>
      </c>
      <c r="B429" s="11" t="str">
        <f>_xlfn.XLOOKUP(표14[[#This Row],[application_taxonomy]],표11[application_taxonomy],표11[app_id])</f>
        <v>A42</v>
      </c>
      <c r="C429" s="11" t="str">
        <f>_xlfn.XLOOKUP(표14[[#This Row],[end_use_industry]],표13[end_use_category],표13[end_use_id])</f>
        <v>E01</v>
      </c>
      <c r="D429" s="11">
        <f>_xlfn.XLOOKUP(표14[[#This Row],[importance]],표15[importance],표15[rating])</f>
        <v>0.6</v>
      </c>
      <c r="E429" s="1" t="s">
        <v>1290</v>
      </c>
      <c r="F429" s="1" t="s">
        <v>1300</v>
      </c>
      <c r="G429" s="1" t="s">
        <v>1299</v>
      </c>
      <c r="H429" s="1" t="s">
        <v>1281</v>
      </c>
      <c r="I429" s="1" t="s">
        <v>1298</v>
      </c>
      <c r="J429" s="1" t="s">
        <v>1297</v>
      </c>
      <c r="K429" s="1" t="s">
        <v>1285</v>
      </c>
      <c r="L429" s="11"/>
    </row>
    <row r="430" spans="1:12" ht="33">
      <c r="A430" s="11" t="str">
        <f>_xlfn.XLOOKUP(표14[[#This Row],[material_name]],표2[material_name],표2[material_id])</f>
        <v>M109</v>
      </c>
      <c r="B430" s="11" t="str">
        <f>_xlfn.XLOOKUP(표14[[#This Row],[application_taxonomy]],표11[application_taxonomy],표11[app_id])</f>
        <v>A16</v>
      </c>
      <c r="C430" s="11" t="str">
        <f>_xlfn.XLOOKUP(표14[[#This Row],[end_use_industry]],표13[end_use_category],표13[end_use_id])</f>
        <v>E03</v>
      </c>
      <c r="D430" s="11">
        <f>_xlfn.XLOOKUP(표14[[#This Row],[importance]],표15[importance],표15[rating])</f>
        <v>0.3</v>
      </c>
      <c r="E430" s="1" t="s">
        <v>1290</v>
      </c>
      <c r="F430" s="1" t="s">
        <v>1296</v>
      </c>
      <c r="G430" s="1" t="s">
        <v>1295</v>
      </c>
      <c r="H430" s="1" t="s">
        <v>1275</v>
      </c>
      <c r="I430" s="1" t="s">
        <v>1287</v>
      </c>
      <c r="J430" s="1" t="s">
        <v>1294</v>
      </c>
      <c r="K430" s="1" t="s">
        <v>1285</v>
      </c>
      <c r="L430" s="11"/>
    </row>
    <row r="431" spans="1:12" ht="33">
      <c r="A431" s="11" t="str">
        <f>_xlfn.XLOOKUP(표14[[#This Row],[material_name]],표2[material_name],표2[material_id])</f>
        <v>M109</v>
      </c>
      <c r="B431" s="11" t="str">
        <f>_xlfn.XLOOKUP(표14[[#This Row],[application_taxonomy]],표11[application_taxonomy],표11[app_id])</f>
        <v>A22</v>
      </c>
      <c r="C431" s="11" t="str">
        <f>_xlfn.XLOOKUP(표14[[#This Row],[end_use_industry]],표13[end_use_category],표13[end_use_id])</f>
        <v>E07</v>
      </c>
      <c r="D431" s="11">
        <f>_xlfn.XLOOKUP(표14[[#This Row],[importance]],표15[importance],표15[rating])</f>
        <v>0.3</v>
      </c>
      <c r="E431" s="1" t="s">
        <v>1290</v>
      </c>
      <c r="F431" s="1" t="s">
        <v>1293</v>
      </c>
      <c r="G431" s="1" t="s">
        <v>1292</v>
      </c>
      <c r="H431" s="1" t="s">
        <v>1263</v>
      </c>
      <c r="I431" s="1" t="s">
        <v>1287</v>
      </c>
      <c r="J431" s="1" t="s">
        <v>1291</v>
      </c>
      <c r="K431" s="1" t="s">
        <v>1285</v>
      </c>
      <c r="L431" s="11"/>
    </row>
    <row r="432" spans="1:12" ht="33">
      <c r="A432" s="11" t="str">
        <f>_xlfn.XLOOKUP(표14[[#This Row],[material_name]],표2[material_name],표2[material_id])</f>
        <v>M109</v>
      </c>
      <c r="B432" s="11" t="str">
        <f>_xlfn.XLOOKUP(표14[[#This Row],[application_taxonomy]],표11[application_taxonomy],표11[app_id])</f>
        <v>A10</v>
      </c>
      <c r="C432" s="11" t="str">
        <f>_xlfn.XLOOKUP(표14[[#This Row],[end_use_industry]],표13[end_use_category],표13[end_use_id])</f>
        <v>E01</v>
      </c>
      <c r="D432" s="11">
        <f>_xlfn.XLOOKUP(표14[[#This Row],[importance]],표15[importance],표15[rating])</f>
        <v>0.3</v>
      </c>
      <c r="E432" s="1" t="s">
        <v>1290</v>
      </c>
      <c r="F432" s="1" t="s">
        <v>1289</v>
      </c>
      <c r="G432" s="1" t="s">
        <v>1288</v>
      </c>
      <c r="H432" s="1" t="s">
        <v>1281</v>
      </c>
      <c r="I432" s="1" t="s">
        <v>1287</v>
      </c>
      <c r="J432" s="1" t="s">
        <v>1286</v>
      </c>
      <c r="K432" s="1" t="s">
        <v>1285</v>
      </c>
      <c r="L432" s="11"/>
    </row>
    <row r="433" spans="1:12" ht="33">
      <c r="A433" s="11" t="str">
        <f>_xlfn.XLOOKUP(표14[[#This Row],[material_name]],표2[material_name],표2[material_id])</f>
        <v>M110</v>
      </c>
      <c r="B433" s="11" t="str">
        <f>_xlfn.XLOOKUP(표14[[#This Row],[application_taxonomy]],표11[application_taxonomy],표11[app_id])</f>
        <v>A01</v>
      </c>
      <c r="C433" s="11" t="str">
        <f>_xlfn.XLOOKUP(표14[[#This Row],[end_use_industry]],표13[end_use_category],표13[end_use_id])</f>
        <v>E07</v>
      </c>
      <c r="D433" s="11">
        <f>_xlfn.XLOOKUP(표14[[#This Row],[importance]],표15[importance],표15[rating])</f>
        <v>0.6</v>
      </c>
      <c r="E433" s="1" t="s">
        <v>1056</v>
      </c>
      <c r="F433" s="1" t="s">
        <v>3971</v>
      </c>
      <c r="G433" s="1" t="s">
        <v>1254</v>
      </c>
      <c r="H433" s="1" t="s">
        <v>1263</v>
      </c>
      <c r="I433" s="1" t="s">
        <v>1298</v>
      </c>
      <c r="J433" s="1" t="s">
        <v>3972</v>
      </c>
      <c r="K433" s="1" t="s">
        <v>1285</v>
      </c>
      <c r="L433" s="11" t="s">
        <v>1317</v>
      </c>
    </row>
    <row r="434" spans="1:12" ht="33">
      <c r="A434" s="11" t="str">
        <f>_xlfn.XLOOKUP(표14[[#This Row],[material_name]],표2[material_name],표2[material_id])</f>
        <v>M110</v>
      </c>
      <c r="B434" s="11" t="str">
        <f>_xlfn.XLOOKUP(표14[[#This Row],[application_taxonomy]],표11[application_taxonomy],표11[app_id])</f>
        <v>A02</v>
      </c>
      <c r="C434" s="11" t="str">
        <f>_xlfn.XLOOKUP(표14[[#This Row],[end_use_industry]],표13[end_use_category],표13[end_use_id])</f>
        <v>E07</v>
      </c>
      <c r="D434" s="11">
        <f>_xlfn.XLOOKUP(표14[[#This Row],[importance]],표15[importance],표15[rating])</f>
        <v>0.3</v>
      </c>
      <c r="E434" s="1" t="s">
        <v>1056</v>
      </c>
      <c r="F434" s="1" t="s">
        <v>3973</v>
      </c>
      <c r="G434" s="1" t="s">
        <v>1308</v>
      </c>
      <c r="H434" s="1" t="s">
        <v>1263</v>
      </c>
      <c r="I434" s="1" t="s">
        <v>1287</v>
      </c>
      <c r="J434" s="1" t="s">
        <v>3974</v>
      </c>
      <c r="K434" s="1" t="s">
        <v>1285</v>
      </c>
      <c r="L434" s="11" t="s">
        <v>1317</v>
      </c>
    </row>
    <row r="435" spans="1:12" ht="33">
      <c r="A435" s="11" t="str">
        <f>_xlfn.XLOOKUP(표14[[#This Row],[material_name]],표2[material_name],표2[material_id])</f>
        <v>M110</v>
      </c>
      <c r="B435" s="11" t="str">
        <f>_xlfn.XLOOKUP(표14[[#This Row],[application_taxonomy]],표11[application_taxonomy],표11[app_id])</f>
        <v>A02</v>
      </c>
      <c r="C435" s="11" t="str">
        <f>_xlfn.XLOOKUP(표14[[#This Row],[end_use_industry]],표13[end_use_category],표13[end_use_id])</f>
        <v>E07</v>
      </c>
      <c r="D435" s="11">
        <f>_xlfn.XLOOKUP(표14[[#This Row],[importance]],표15[importance],표15[rating])</f>
        <v>0.1</v>
      </c>
      <c r="E435" s="1" t="s">
        <v>1056</v>
      </c>
      <c r="F435" s="1" t="s">
        <v>3975</v>
      </c>
      <c r="G435" s="1" t="s">
        <v>1308</v>
      </c>
      <c r="H435" s="1" t="s">
        <v>1263</v>
      </c>
      <c r="I435" s="1" t="s">
        <v>1302</v>
      </c>
      <c r="J435" s="1" t="s">
        <v>3976</v>
      </c>
      <c r="K435" s="1" t="s">
        <v>1285</v>
      </c>
      <c r="L435" s="11" t="s">
        <v>1317</v>
      </c>
    </row>
    <row r="436" spans="1:12" ht="33">
      <c r="A436" s="11" t="str">
        <f>_xlfn.XLOOKUP(표14[[#This Row],[material_name]],표2[material_name],표2[material_id])</f>
        <v>M111</v>
      </c>
      <c r="B436" s="11" t="str">
        <f>_xlfn.XLOOKUP(표14[[#This Row],[application_taxonomy]],표11[application_taxonomy],표11[app_id])</f>
        <v>A42</v>
      </c>
      <c r="C436" s="11" t="str">
        <f>_xlfn.XLOOKUP(표14[[#This Row],[end_use_industry]],표13[end_use_category],표13[end_use_id])</f>
        <v>E07</v>
      </c>
      <c r="D436" s="11">
        <f>_xlfn.XLOOKUP(표14[[#This Row],[importance]],표15[importance],표15[rating])</f>
        <v>0.6</v>
      </c>
      <c r="E436" s="1" t="s">
        <v>3977</v>
      </c>
      <c r="F436" s="1" t="s">
        <v>3978</v>
      </c>
      <c r="G436" s="1" t="s">
        <v>1299</v>
      </c>
      <c r="H436" s="1" t="s">
        <v>1263</v>
      </c>
      <c r="I436" s="1" t="s">
        <v>1298</v>
      </c>
      <c r="J436" s="1" t="s">
        <v>3979</v>
      </c>
      <c r="K436" s="1" t="s">
        <v>1285</v>
      </c>
      <c r="L436" s="11" t="s">
        <v>1317</v>
      </c>
    </row>
    <row r="437" spans="1:12" ht="33">
      <c r="A437" s="11" t="str">
        <f>_xlfn.XLOOKUP(표14[[#This Row],[material_name]],표2[material_name],표2[material_id])</f>
        <v>M111</v>
      </c>
      <c r="B437" s="11" t="str">
        <f>_xlfn.XLOOKUP(표14[[#This Row],[application_taxonomy]],표11[application_taxonomy],표11[app_id])</f>
        <v>A16</v>
      </c>
      <c r="C437" s="11" t="str">
        <f>_xlfn.XLOOKUP(표14[[#This Row],[end_use_industry]],표13[end_use_category],표13[end_use_id])</f>
        <v>E03</v>
      </c>
      <c r="D437" s="11">
        <f>_xlfn.XLOOKUP(표14[[#This Row],[importance]],표15[importance],표15[rating])</f>
        <v>0.6</v>
      </c>
      <c r="E437" s="1" t="s">
        <v>3977</v>
      </c>
      <c r="F437" s="1" t="s">
        <v>3980</v>
      </c>
      <c r="G437" s="1" t="s">
        <v>1295</v>
      </c>
      <c r="H437" s="1" t="s">
        <v>1275</v>
      </c>
      <c r="I437" s="1" t="s">
        <v>1298</v>
      </c>
      <c r="J437" s="1" t="s">
        <v>3981</v>
      </c>
      <c r="K437" s="1" t="s">
        <v>1285</v>
      </c>
      <c r="L437" s="11" t="s">
        <v>1317</v>
      </c>
    </row>
    <row r="438" spans="1:12" ht="33">
      <c r="A438" s="11" t="str">
        <f>_xlfn.XLOOKUP(표14[[#This Row],[material_name]],표2[material_name],표2[material_id])</f>
        <v>M111</v>
      </c>
      <c r="B438" s="11" t="str">
        <f>_xlfn.XLOOKUP(표14[[#This Row],[application_taxonomy]],표11[application_taxonomy],표11[app_id])</f>
        <v>A16</v>
      </c>
      <c r="C438" s="11" t="str">
        <f>_xlfn.XLOOKUP(표14[[#This Row],[end_use_industry]],표13[end_use_category],표13[end_use_id])</f>
        <v>E01</v>
      </c>
      <c r="D438" s="11">
        <f>_xlfn.XLOOKUP(표14[[#This Row],[importance]],표15[importance],표15[rating])</f>
        <v>0.3</v>
      </c>
      <c r="E438" s="1" t="s">
        <v>3977</v>
      </c>
      <c r="F438" s="1" t="s">
        <v>3982</v>
      </c>
      <c r="G438" s="1" t="s">
        <v>1295</v>
      </c>
      <c r="H438" s="1" t="s">
        <v>1281</v>
      </c>
      <c r="I438" s="1" t="s">
        <v>1287</v>
      </c>
      <c r="J438" s="1" t="s">
        <v>3983</v>
      </c>
      <c r="K438" s="1" t="s">
        <v>1285</v>
      </c>
      <c r="L438" s="11" t="s">
        <v>1317</v>
      </c>
    </row>
    <row r="439" spans="1:12" ht="33">
      <c r="A439" s="11" t="str">
        <f>_xlfn.XLOOKUP(표14[[#This Row],[material_name]],표2[material_name],표2[material_id])</f>
        <v>M111</v>
      </c>
      <c r="B439" s="11" t="str">
        <f>_xlfn.XLOOKUP(표14[[#This Row],[application_taxonomy]],표11[application_taxonomy],표11[app_id])</f>
        <v>A42</v>
      </c>
      <c r="C439" s="11" t="str">
        <f>_xlfn.XLOOKUP(표14[[#This Row],[end_use_industry]],표13[end_use_category],표13[end_use_id])</f>
        <v>E07</v>
      </c>
      <c r="D439" s="11">
        <f>_xlfn.XLOOKUP(표14[[#This Row],[importance]],표15[importance],표15[rating])</f>
        <v>0.3</v>
      </c>
      <c r="E439" s="1" t="s">
        <v>3977</v>
      </c>
      <c r="F439" s="1" t="s">
        <v>3984</v>
      </c>
      <c r="G439" s="1" t="s">
        <v>1299</v>
      </c>
      <c r="H439" s="1" t="s">
        <v>1263</v>
      </c>
      <c r="I439" s="1" t="s">
        <v>1287</v>
      </c>
      <c r="J439" s="1" t="s">
        <v>3985</v>
      </c>
      <c r="K439" s="1" t="s">
        <v>1285</v>
      </c>
      <c r="L439" s="11" t="s">
        <v>1317</v>
      </c>
    </row>
    <row r="440" spans="1:12" ht="33">
      <c r="A440" s="11" t="str">
        <f>_xlfn.XLOOKUP(표14[[#This Row],[material_name]],표2[material_name],표2[material_id])</f>
        <v>M111</v>
      </c>
      <c r="B440" s="11" t="str">
        <f>_xlfn.XLOOKUP(표14[[#This Row],[application_taxonomy]],표11[application_taxonomy],표11[app_id])</f>
        <v>A42</v>
      </c>
      <c r="C440" s="11" t="str">
        <f>_xlfn.XLOOKUP(표14[[#This Row],[end_use_industry]],표13[end_use_category],표13[end_use_id])</f>
        <v>E07</v>
      </c>
      <c r="D440" s="11">
        <f>_xlfn.XLOOKUP(표14[[#This Row],[importance]],표15[importance],표15[rating])</f>
        <v>0.3</v>
      </c>
      <c r="E440" s="1" t="s">
        <v>3977</v>
      </c>
      <c r="F440" s="1" t="s">
        <v>3986</v>
      </c>
      <c r="G440" s="1" t="s">
        <v>1299</v>
      </c>
      <c r="H440" s="1" t="s">
        <v>1263</v>
      </c>
      <c r="I440" s="1" t="s">
        <v>1287</v>
      </c>
      <c r="J440" s="1" t="s">
        <v>3987</v>
      </c>
      <c r="K440" s="1" t="s">
        <v>1285</v>
      </c>
      <c r="L440" s="11" t="s">
        <v>1317</v>
      </c>
    </row>
    <row r="441" spans="1:12" ht="33">
      <c r="A441" s="11" t="str">
        <f>_xlfn.XLOOKUP(표14[[#This Row],[material_name]],표2[material_name],표2[material_id])</f>
        <v>M111</v>
      </c>
      <c r="B441" s="11" t="str">
        <f>_xlfn.XLOOKUP(표14[[#This Row],[application_taxonomy]],표11[application_taxonomy],표11[app_id])</f>
        <v>A42</v>
      </c>
      <c r="C441" s="11" t="str">
        <f>_xlfn.XLOOKUP(표14[[#This Row],[end_use_industry]],표13[end_use_category],표13[end_use_id])</f>
        <v>E07</v>
      </c>
      <c r="D441" s="11">
        <f>_xlfn.XLOOKUP(표14[[#This Row],[importance]],표15[importance],표15[rating])</f>
        <v>0.1</v>
      </c>
      <c r="E441" s="1" t="s">
        <v>3977</v>
      </c>
      <c r="F441" s="1" t="s">
        <v>3988</v>
      </c>
      <c r="G441" s="1" t="s">
        <v>1299</v>
      </c>
      <c r="H441" s="1" t="s">
        <v>1263</v>
      </c>
      <c r="I441" s="1" t="s">
        <v>1302</v>
      </c>
      <c r="J441" s="1" t="s">
        <v>3989</v>
      </c>
      <c r="K441" s="1" t="s">
        <v>1285</v>
      </c>
      <c r="L441" s="11" t="s">
        <v>1317</v>
      </c>
    </row>
    <row r="442" spans="1:12" ht="33">
      <c r="A442" s="11" t="str">
        <f>_xlfn.XLOOKUP(표14[[#This Row],[material_name]],표2[material_name],표2[material_id])</f>
        <v>M112</v>
      </c>
      <c r="B442" s="11" t="str">
        <f>_xlfn.XLOOKUP(표14[[#This Row],[application_taxonomy]],표11[application_taxonomy],표11[app_id])</f>
        <v>A41</v>
      </c>
      <c r="C442" s="11" t="str">
        <f>_xlfn.XLOOKUP(표14[[#This Row],[end_use_industry]],표13[end_use_category],표13[end_use_id])</f>
        <v>E08</v>
      </c>
      <c r="D442" s="11">
        <f>_xlfn.XLOOKUP(표14[[#This Row],[importance]],표15[importance],표15[rating])</f>
        <v>0.6</v>
      </c>
      <c r="E442" s="1" t="s">
        <v>1058</v>
      </c>
      <c r="F442" s="1" t="s">
        <v>3990</v>
      </c>
      <c r="G442" s="1" t="s">
        <v>1343</v>
      </c>
      <c r="H442" s="1" t="s">
        <v>1260</v>
      </c>
      <c r="I442" s="1" t="s">
        <v>1298</v>
      </c>
      <c r="J442" s="1" t="s">
        <v>3991</v>
      </c>
      <c r="K442" s="1" t="s">
        <v>1285</v>
      </c>
      <c r="L442" s="11" t="s">
        <v>1317</v>
      </c>
    </row>
    <row r="443" spans="1:12" ht="33">
      <c r="A443" s="11" t="str">
        <f>_xlfn.XLOOKUP(표14[[#This Row],[material_name]],표2[material_name],표2[material_id])</f>
        <v>M112</v>
      </c>
      <c r="B443" s="11" t="str">
        <f>_xlfn.XLOOKUP(표14[[#This Row],[application_taxonomy]],표11[application_taxonomy],표11[app_id])</f>
        <v>A41</v>
      </c>
      <c r="C443" s="11" t="str">
        <f>_xlfn.XLOOKUP(표14[[#This Row],[end_use_industry]],표13[end_use_category],표13[end_use_id])</f>
        <v>E08</v>
      </c>
      <c r="D443" s="11">
        <f>_xlfn.XLOOKUP(표14[[#This Row],[importance]],표15[importance],표15[rating])</f>
        <v>0.6</v>
      </c>
      <c r="E443" s="1" t="s">
        <v>1058</v>
      </c>
      <c r="F443" s="1" t="s">
        <v>3992</v>
      </c>
      <c r="G443" s="1" t="s">
        <v>1343</v>
      </c>
      <c r="H443" s="1" t="s">
        <v>1260</v>
      </c>
      <c r="I443" s="1" t="s">
        <v>1298</v>
      </c>
      <c r="J443" s="1" t="s">
        <v>3993</v>
      </c>
      <c r="K443" s="1" t="s">
        <v>1285</v>
      </c>
      <c r="L443" s="11" t="s">
        <v>1317</v>
      </c>
    </row>
    <row r="444" spans="1:12" ht="33">
      <c r="A444" s="11" t="str">
        <f>_xlfn.XLOOKUP(표14[[#This Row],[material_name]],표2[material_name],표2[material_id])</f>
        <v>M112</v>
      </c>
      <c r="B444" s="11" t="str">
        <f>_xlfn.XLOOKUP(표14[[#This Row],[application_taxonomy]],표11[application_taxonomy],표11[app_id])</f>
        <v>A33</v>
      </c>
      <c r="C444" s="11" t="str">
        <f>_xlfn.XLOOKUP(표14[[#This Row],[end_use_industry]],표13[end_use_category],표13[end_use_id])</f>
        <v>E05</v>
      </c>
      <c r="D444" s="11">
        <f>_xlfn.XLOOKUP(표14[[#This Row],[importance]],표15[importance],표15[rating])</f>
        <v>0.6</v>
      </c>
      <c r="E444" s="1" t="s">
        <v>1058</v>
      </c>
      <c r="F444" s="1" t="s">
        <v>3994</v>
      </c>
      <c r="G444" s="1" t="s">
        <v>1333</v>
      </c>
      <c r="H444" s="1" t="s">
        <v>1269</v>
      </c>
      <c r="I444" s="1" t="s">
        <v>1298</v>
      </c>
      <c r="J444" s="1" t="s">
        <v>3995</v>
      </c>
      <c r="K444" s="1" t="s">
        <v>1285</v>
      </c>
      <c r="L444" s="11" t="s">
        <v>1317</v>
      </c>
    </row>
    <row r="445" spans="1:12" ht="33">
      <c r="A445" s="11" t="str">
        <f>_xlfn.XLOOKUP(표14[[#This Row],[material_name]],표2[material_name],표2[material_id])</f>
        <v>M112</v>
      </c>
      <c r="B445" s="11" t="str">
        <f>_xlfn.XLOOKUP(표14[[#This Row],[application_taxonomy]],표11[application_taxonomy],표11[app_id])</f>
        <v>A07</v>
      </c>
      <c r="C445" s="11" t="str">
        <f>_xlfn.XLOOKUP(표14[[#This Row],[end_use_industry]],표13[end_use_category],표13[end_use_id])</f>
        <v>E05</v>
      </c>
      <c r="D445" s="11">
        <f>_xlfn.XLOOKUP(표14[[#This Row],[importance]],표15[importance],표15[rating])</f>
        <v>0.3</v>
      </c>
      <c r="E445" s="1" t="s">
        <v>1058</v>
      </c>
      <c r="F445" s="1" t="s">
        <v>3996</v>
      </c>
      <c r="G445" s="1" t="s">
        <v>1420</v>
      </c>
      <c r="H445" s="1" t="s">
        <v>1269</v>
      </c>
      <c r="I445" s="1" t="s">
        <v>1287</v>
      </c>
      <c r="J445" s="1" t="s">
        <v>3997</v>
      </c>
      <c r="K445" s="1" t="s">
        <v>1285</v>
      </c>
      <c r="L445" s="11" t="s">
        <v>1317</v>
      </c>
    </row>
    <row r="446" spans="1:12" ht="33">
      <c r="A446" s="11" t="str">
        <f>_xlfn.XLOOKUP(표14[[#This Row],[material_name]],표2[material_name],표2[material_id])</f>
        <v>M112</v>
      </c>
      <c r="B446" s="11" t="str">
        <f>_xlfn.XLOOKUP(표14[[#This Row],[application_taxonomy]],표11[application_taxonomy],표11[app_id])</f>
        <v>A33</v>
      </c>
      <c r="C446" s="11" t="str">
        <f>_xlfn.XLOOKUP(표14[[#This Row],[end_use_industry]],표13[end_use_category],표13[end_use_id])</f>
        <v>E05</v>
      </c>
      <c r="D446" s="11">
        <f>_xlfn.XLOOKUP(표14[[#This Row],[importance]],표15[importance],표15[rating])</f>
        <v>0.3</v>
      </c>
      <c r="E446" s="1" t="s">
        <v>1058</v>
      </c>
      <c r="F446" s="1" t="s">
        <v>3998</v>
      </c>
      <c r="G446" s="1" t="s">
        <v>1333</v>
      </c>
      <c r="H446" s="1" t="s">
        <v>1269</v>
      </c>
      <c r="I446" s="1" t="s">
        <v>1287</v>
      </c>
      <c r="J446" s="1" t="s">
        <v>3999</v>
      </c>
      <c r="K446" s="1" t="s">
        <v>1285</v>
      </c>
      <c r="L446" s="11" t="s">
        <v>1317</v>
      </c>
    </row>
    <row r="447" spans="1:12" ht="33">
      <c r="A447" s="11" t="str">
        <f>_xlfn.XLOOKUP(표14[[#This Row],[material_name]],표2[material_name],표2[material_id])</f>
        <v>M112</v>
      </c>
      <c r="B447" s="11" t="str">
        <f>_xlfn.XLOOKUP(표14[[#This Row],[application_taxonomy]],표11[application_taxonomy],표11[app_id])</f>
        <v>A41</v>
      </c>
      <c r="C447" s="11" t="str">
        <f>_xlfn.XLOOKUP(표14[[#This Row],[end_use_industry]],표13[end_use_category],표13[end_use_id])</f>
        <v>E08</v>
      </c>
      <c r="D447" s="11">
        <f>_xlfn.XLOOKUP(표14[[#This Row],[importance]],표15[importance],표15[rating])</f>
        <v>0.3</v>
      </c>
      <c r="E447" s="1" t="s">
        <v>1058</v>
      </c>
      <c r="F447" s="1" t="s">
        <v>4000</v>
      </c>
      <c r="G447" s="1" t="s">
        <v>1343</v>
      </c>
      <c r="H447" s="1" t="s">
        <v>1260</v>
      </c>
      <c r="I447" s="1" t="s">
        <v>1287</v>
      </c>
      <c r="J447" s="1" t="s">
        <v>4001</v>
      </c>
      <c r="K447" s="1" t="s">
        <v>1285</v>
      </c>
      <c r="L447" s="11" t="s">
        <v>1317</v>
      </c>
    </row>
    <row r="448" spans="1:12" ht="33">
      <c r="A448" s="11" t="str">
        <f>_xlfn.XLOOKUP(표14[[#This Row],[material_name]],표2[material_name],표2[material_id])</f>
        <v>M112</v>
      </c>
      <c r="B448" s="11" t="str">
        <f>_xlfn.XLOOKUP(표14[[#This Row],[application_taxonomy]],표11[application_taxonomy],표11[app_id])</f>
        <v>A41</v>
      </c>
      <c r="C448" s="11" t="str">
        <f>_xlfn.XLOOKUP(표14[[#This Row],[end_use_industry]],표13[end_use_category],표13[end_use_id])</f>
        <v>E08</v>
      </c>
      <c r="D448" s="11">
        <f>_xlfn.XLOOKUP(표14[[#This Row],[importance]],표15[importance],표15[rating])</f>
        <v>0.3</v>
      </c>
      <c r="E448" s="1" t="s">
        <v>1058</v>
      </c>
      <c r="F448" s="1" t="s">
        <v>4002</v>
      </c>
      <c r="G448" s="1" t="s">
        <v>1343</v>
      </c>
      <c r="H448" s="1" t="s">
        <v>1260</v>
      </c>
      <c r="I448" s="1" t="s">
        <v>1287</v>
      </c>
      <c r="J448" s="1" t="s">
        <v>4003</v>
      </c>
      <c r="K448" s="1" t="s">
        <v>1285</v>
      </c>
      <c r="L448" s="11" t="s">
        <v>1317</v>
      </c>
    </row>
    <row r="449" spans="1:12" ht="33">
      <c r="A449" s="11" t="str">
        <f>_xlfn.XLOOKUP(표14[[#This Row],[material_name]],표2[material_name],표2[material_id])</f>
        <v>M113</v>
      </c>
      <c r="B449" s="11" t="str">
        <f>_xlfn.XLOOKUP(표14[[#This Row],[application_taxonomy]],표11[application_taxonomy],표11[app_id])</f>
        <v>A20</v>
      </c>
      <c r="C449" s="11" t="str">
        <f>_xlfn.XLOOKUP(표14[[#This Row],[end_use_industry]],표13[end_use_category],표13[end_use_id])</f>
        <v>E07</v>
      </c>
      <c r="D449" s="11">
        <f>_xlfn.XLOOKUP(표14[[#This Row],[importance]],표15[importance],표15[rating])</f>
        <v>0.6</v>
      </c>
      <c r="E449" s="1" t="s">
        <v>4004</v>
      </c>
      <c r="F449" s="1" t="s">
        <v>1485</v>
      </c>
      <c r="G449" s="1" t="s">
        <v>1328</v>
      </c>
      <c r="H449" s="1" t="s">
        <v>1263</v>
      </c>
      <c r="I449" s="1" t="s">
        <v>1298</v>
      </c>
      <c r="J449" s="1" t="s">
        <v>4005</v>
      </c>
      <c r="K449" s="1" t="s">
        <v>1285</v>
      </c>
      <c r="L449" s="11" t="s">
        <v>1317</v>
      </c>
    </row>
    <row r="450" spans="1:12" ht="33">
      <c r="A450" s="11" t="str">
        <f>_xlfn.XLOOKUP(표14[[#This Row],[material_name]],표2[material_name],표2[material_id])</f>
        <v>M113</v>
      </c>
      <c r="B450" s="11" t="str">
        <f>_xlfn.XLOOKUP(표14[[#This Row],[application_taxonomy]],표11[application_taxonomy],표11[app_id])</f>
        <v>A20</v>
      </c>
      <c r="C450" s="11" t="str">
        <f>_xlfn.XLOOKUP(표14[[#This Row],[end_use_industry]],표13[end_use_category],표13[end_use_id])</f>
        <v>E02</v>
      </c>
      <c r="D450" s="11">
        <f>_xlfn.XLOOKUP(표14[[#This Row],[importance]],표15[importance],표15[rating])</f>
        <v>0.6</v>
      </c>
      <c r="E450" s="1" t="s">
        <v>4004</v>
      </c>
      <c r="F450" s="1" t="s">
        <v>3958</v>
      </c>
      <c r="G450" s="1" t="s">
        <v>1328</v>
      </c>
      <c r="H450" s="1" t="s">
        <v>1278</v>
      </c>
      <c r="I450" s="1" t="s">
        <v>1298</v>
      </c>
      <c r="J450" s="1" t="s">
        <v>4006</v>
      </c>
      <c r="K450" s="1" t="s">
        <v>1285</v>
      </c>
      <c r="L450" s="11" t="s">
        <v>1317</v>
      </c>
    </row>
    <row r="451" spans="1:12">
      <c r="A451" s="11" t="str">
        <f>_xlfn.XLOOKUP(표14[[#This Row],[material_name]],표2[material_name],표2[material_id])</f>
        <v>M113</v>
      </c>
      <c r="B451" s="11" t="str">
        <f>_xlfn.XLOOKUP(표14[[#This Row],[application_taxonomy]],표11[application_taxonomy],표11[app_id])</f>
        <v>A20</v>
      </c>
      <c r="C451" s="11" t="str">
        <f>_xlfn.XLOOKUP(표14[[#This Row],[end_use_industry]],표13[end_use_category],표13[end_use_id])</f>
        <v>E02</v>
      </c>
      <c r="D451" s="11">
        <f>_xlfn.XLOOKUP(표14[[#This Row],[importance]],표15[importance],표15[rating])</f>
        <v>0.6</v>
      </c>
      <c r="E451" s="1" t="s">
        <v>4004</v>
      </c>
      <c r="F451" s="1" t="s">
        <v>1331</v>
      </c>
      <c r="G451" s="1" t="s">
        <v>1328</v>
      </c>
      <c r="H451" s="1" t="s">
        <v>1278</v>
      </c>
      <c r="I451" s="1" t="s">
        <v>1298</v>
      </c>
      <c r="J451" s="1" t="s">
        <v>4007</v>
      </c>
      <c r="K451" s="1" t="s">
        <v>1285</v>
      </c>
      <c r="L451" s="11" t="s">
        <v>1317</v>
      </c>
    </row>
    <row r="452" spans="1:12">
      <c r="A452" s="11" t="str">
        <f>_xlfn.XLOOKUP(표14[[#This Row],[material_name]],표2[material_name],표2[material_id])</f>
        <v>M113</v>
      </c>
      <c r="B452" s="11" t="str">
        <f>_xlfn.XLOOKUP(표14[[#This Row],[application_taxonomy]],표11[application_taxonomy],표11[app_id])</f>
        <v>A19</v>
      </c>
      <c r="C452" s="11" t="str">
        <f>_xlfn.XLOOKUP(표14[[#This Row],[end_use_industry]],표13[end_use_category],표13[end_use_id])</f>
        <v>E03</v>
      </c>
      <c r="D452" s="11">
        <f>_xlfn.XLOOKUP(표14[[#This Row],[importance]],표15[importance],표15[rating])</f>
        <v>0.3</v>
      </c>
      <c r="E452" s="1" t="s">
        <v>4004</v>
      </c>
      <c r="F452" s="1" t="s">
        <v>3965</v>
      </c>
      <c r="G452" s="1" t="s">
        <v>1340</v>
      </c>
      <c r="H452" s="1" t="s">
        <v>1275</v>
      </c>
      <c r="I452" s="1" t="s">
        <v>1287</v>
      </c>
      <c r="J452" s="1" t="s">
        <v>4008</v>
      </c>
      <c r="K452" s="1" t="s">
        <v>1285</v>
      </c>
      <c r="L452" s="11" t="s">
        <v>1317</v>
      </c>
    </row>
    <row r="453" spans="1:12">
      <c r="A453" s="11" t="str">
        <f>_xlfn.XLOOKUP(표14[[#This Row],[material_name]],표2[material_name],표2[material_id])</f>
        <v>M113</v>
      </c>
      <c r="B453" s="11" t="str">
        <f>_xlfn.XLOOKUP(표14[[#This Row],[application_taxonomy]],표11[application_taxonomy],표11[app_id])</f>
        <v>A22</v>
      </c>
      <c r="C453" s="11" t="str">
        <f>_xlfn.XLOOKUP(표14[[#This Row],[end_use_industry]],표13[end_use_category],표13[end_use_id])</f>
        <v>E01</v>
      </c>
      <c r="D453" s="11">
        <f>_xlfn.XLOOKUP(표14[[#This Row],[importance]],표15[importance],표15[rating])</f>
        <v>0.3</v>
      </c>
      <c r="E453" s="1" t="s">
        <v>4004</v>
      </c>
      <c r="F453" s="1" t="s">
        <v>4009</v>
      </c>
      <c r="G453" s="1" t="s">
        <v>1292</v>
      </c>
      <c r="H453" s="1" t="s">
        <v>1281</v>
      </c>
      <c r="I453" s="1" t="s">
        <v>1287</v>
      </c>
      <c r="J453" s="1" t="s">
        <v>4010</v>
      </c>
      <c r="K453" s="1" t="s">
        <v>1285</v>
      </c>
      <c r="L453" s="11" t="s">
        <v>1317</v>
      </c>
    </row>
    <row r="454" spans="1:12" ht="33">
      <c r="A454" s="11" t="str">
        <f>_xlfn.XLOOKUP(표14[[#This Row],[material_name]],표2[material_name],표2[material_id])</f>
        <v>M113</v>
      </c>
      <c r="B454" s="11" t="str">
        <f>_xlfn.XLOOKUP(표14[[#This Row],[application_taxonomy]],표11[application_taxonomy],표11[app_id])</f>
        <v>A22</v>
      </c>
      <c r="C454" s="11" t="str">
        <f>_xlfn.XLOOKUP(표14[[#This Row],[end_use_industry]],표13[end_use_category],표13[end_use_id])</f>
        <v>E07</v>
      </c>
      <c r="D454" s="11">
        <f>_xlfn.XLOOKUP(표14[[#This Row],[importance]],표15[importance],표15[rating])</f>
        <v>0.3</v>
      </c>
      <c r="E454" s="1" t="s">
        <v>4004</v>
      </c>
      <c r="F454" s="1" t="s">
        <v>4011</v>
      </c>
      <c r="G454" s="1" t="s">
        <v>1292</v>
      </c>
      <c r="H454" s="1" t="s">
        <v>1263</v>
      </c>
      <c r="I454" s="1" t="s">
        <v>1287</v>
      </c>
      <c r="J454" s="1" t="s">
        <v>4012</v>
      </c>
      <c r="K454" s="1" t="s">
        <v>1285</v>
      </c>
      <c r="L454" s="11" t="s">
        <v>1317</v>
      </c>
    </row>
    <row r="455" spans="1:12">
      <c r="A455" s="11" t="str">
        <f>_xlfn.XLOOKUP(표14[[#This Row],[material_name]],표2[material_name],표2[material_id])</f>
        <v>M113</v>
      </c>
      <c r="B455" s="11" t="str">
        <f>_xlfn.XLOOKUP(표14[[#This Row],[application_taxonomy]],표11[application_taxonomy],표11[app_id])</f>
        <v>A23</v>
      </c>
      <c r="C455" s="11" t="str">
        <f>_xlfn.XLOOKUP(표14[[#This Row],[end_use_industry]],표13[end_use_category],표13[end_use_id])</f>
        <v>E02</v>
      </c>
      <c r="D455" s="11">
        <f>_xlfn.XLOOKUP(표14[[#This Row],[importance]],표15[importance],표15[rating])</f>
        <v>0.3</v>
      </c>
      <c r="E455" s="1" t="s">
        <v>4004</v>
      </c>
      <c r="F455" s="1" t="s">
        <v>1757</v>
      </c>
      <c r="G455" s="1" t="s">
        <v>1566</v>
      </c>
      <c r="H455" s="1" t="s">
        <v>1278</v>
      </c>
      <c r="I455" s="1" t="s">
        <v>1287</v>
      </c>
      <c r="J455" s="1" t="s">
        <v>3964</v>
      </c>
      <c r="K455" s="1" t="s">
        <v>1285</v>
      </c>
      <c r="L455" s="11" t="s">
        <v>1317</v>
      </c>
    </row>
    <row r="456" spans="1:12">
      <c r="A456" s="11" t="str">
        <f>_xlfn.XLOOKUP(표14[[#This Row],[material_name]],표2[material_name],표2[material_id])</f>
        <v>M113</v>
      </c>
      <c r="B456" s="11" t="str">
        <f>_xlfn.XLOOKUP(표14[[#This Row],[application_taxonomy]],표11[application_taxonomy],표11[app_id])</f>
        <v>A21</v>
      </c>
      <c r="C456" s="11" t="str">
        <f>_xlfn.XLOOKUP(표14[[#This Row],[end_use_industry]],표13[end_use_category],표13[end_use_id])</f>
        <v>E01</v>
      </c>
      <c r="D456" s="11">
        <f>_xlfn.XLOOKUP(표14[[#This Row],[importance]],표15[importance],표15[rating])</f>
        <v>0.3</v>
      </c>
      <c r="E456" s="1" t="s">
        <v>4004</v>
      </c>
      <c r="F456" s="1" t="s">
        <v>3967</v>
      </c>
      <c r="G456" s="1" t="s">
        <v>1325</v>
      </c>
      <c r="H456" s="1" t="s">
        <v>1281</v>
      </c>
      <c r="I456" s="1" t="s">
        <v>1287</v>
      </c>
      <c r="J456" s="1" t="s">
        <v>4013</v>
      </c>
      <c r="K456" s="1" t="s">
        <v>1285</v>
      </c>
      <c r="L456" s="11" t="s">
        <v>1317</v>
      </c>
    </row>
    <row r="457" spans="1:12" ht="33">
      <c r="A457" s="11" t="str">
        <f>_xlfn.XLOOKUP(표14[[#This Row],[material_name]],표2[material_name],표2[material_id])</f>
        <v>M114</v>
      </c>
      <c r="B457" s="11" t="str">
        <f>_xlfn.XLOOKUP(표14[[#This Row],[application_taxonomy]],표11[application_taxonomy],표11[app_id])</f>
        <v>A02</v>
      </c>
      <c r="C457" s="11" t="str">
        <f>_xlfn.XLOOKUP(표14[[#This Row],[end_use_industry]],표13[end_use_category],표13[end_use_id])</f>
        <v>E07</v>
      </c>
      <c r="D457" s="11">
        <f>_xlfn.XLOOKUP(표14[[#This Row],[importance]],표15[importance],표15[rating])</f>
        <v>0.6</v>
      </c>
      <c r="E457" s="1" t="s">
        <v>3827</v>
      </c>
      <c r="F457" s="1" t="s">
        <v>3839</v>
      </c>
      <c r="G457" s="1" t="s">
        <v>1308</v>
      </c>
      <c r="H457" s="1" t="s">
        <v>1263</v>
      </c>
      <c r="I457" s="1" t="s">
        <v>1298</v>
      </c>
      <c r="J457" s="1" t="s">
        <v>3840</v>
      </c>
      <c r="K457" s="1" t="s">
        <v>1285</v>
      </c>
      <c r="L457" s="11"/>
    </row>
    <row r="458" spans="1:12" ht="33">
      <c r="A458" s="11" t="str">
        <f>_xlfn.XLOOKUP(표14[[#This Row],[material_name]],표2[material_name],표2[material_id])</f>
        <v>M114</v>
      </c>
      <c r="B458" s="11" t="str">
        <f>_xlfn.XLOOKUP(표14[[#This Row],[application_taxonomy]],표11[application_taxonomy],표11[app_id])</f>
        <v>A01</v>
      </c>
      <c r="C458" s="11" t="str">
        <f>_xlfn.XLOOKUP(표14[[#This Row],[end_use_industry]],표13[end_use_category],표13[end_use_id])</f>
        <v>E08</v>
      </c>
      <c r="D458" s="11">
        <f>_xlfn.XLOOKUP(표14[[#This Row],[importance]],표15[importance],표15[rating])</f>
        <v>0.3</v>
      </c>
      <c r="E458" s="1" t="s">
        <v>3827</v>
      </c>
      <c r="F458" s="1" t="s">
        <v>2821</v>
      </c>
      <c r="G458" s="1" t="s">
        <v>1313</v>
      </c>
      <c r="H458" s="1" t="s">
        <v>1260</v>
      </c>
      <c r="I458" s="1" t="s">
        <v>1287</v>
      </c>
      <c r="J458" s="1" t="s">
        <v>3841</v>
      </c>
      <c r="K458" s="1" t="s">
        <v>1285</v>
      </c>
      <c r="L458" s="11"/>
    </row>
    <row r="459" spans="1:12" ht="33">
      <c r="A459" s="11" t="str">
        <f>_xlfn.XLOOKUP(표14[[#This Row],[material_name]],표2[material_name],표2[material_id])</f>
        <v>M114</v>
      </c>
      <c r="B459" s="11" t="str">
        <f>_xlfn.XLOOKUP(표14[[#This Row],[application_taxonomy]],표11[application_taxonomy],표11[app_id])</f>
        <v>A24</v>
      </c>
      <c r="C459" s="11" t="str">
        <f>_xlfn.XLOOKUP(표14[[#This Row],[end_use_industry]],표13[end_use_category],표13[end_use_id])</f>
        <v>E07</v>
      </c>
      <c r="D459" s="11">
        <f>_xlfn.XLOOKUP(표14[[#This Row],[importance]],표15[importance],표15[rating])</f>
        <v>0.3</v>
      </c>
      <c r="E459" s="1" t="s">
        <v>3827</v>
      </c>
      <c r="F459" s="1" t="s">
        <v>3842</v>
      </c>
      <c r="G459" s="1" t="s">
        <v>1303</v>
      </c>
      <c r="H459" s="1" t="s">
        <v>1263</v>
      </c>
      <c r="I459" s="1" t="s">
        <v>1287</v>
      </c>
      <c r="J459" s="1" t="s">
        <v>3843</v>
      </c>
      <c r="K459" s="1" t="s">
        <v>1285</v>
      </c>
      <c r="L459" s="11"/>
    </row>
    <row r="460" spans="1:12" ht="33">
      <c r="A460" s="11" t="str">
        <f>_xlfn.XLOOKUP(표14[[#This Row],[material_name]],표2[material_name],표2[material_id])</f>
        <v>M114</v>
      </c>
      <c r="B460" s="11" t="str">
        <f>_xlfn.XLOOKUP(표14[[#This Row],[application_taxonomy]],표11[application_taxonomy],표11[app_id])</f>
        <v>A02</v>
      </c>
      <c r="C460" s="11" t="str">
        <f>_xlfn.XLOOKUP(표14[[#This Row],[end_use_industry]],표13[end_use_category],표13[end_use_id])</f>
        <v>E07</v>
      </c>
      <c r="D460" s="11">
        <f>_xlfn.XLOOKUP(표14[[#This Row],[importance]],표15[importance],표15[rating])</f>
        <v>0.1</v>
      </c>
      <c r="E460" s="1" t="s">
        <v>3827</v>
      </c>
      <c r="F460" s="1" t="s">
        <v>3844</v>
      </c>
      <c r="G460" s="1" t="s">
        <v>1308</v>
      </c>
      <c r="H460" s="1" t="s">
        <v>1263</v>
      </c>
      <c r="I460" s="1" t="s">
        <v>1302</v>
      </c>
      <c r="J460" s="1" t="s">
        <v>3845</v>
      </c>
      <c r="K460" s="1" t="s">
        <v>1285</v>
      </c>
      <c r="L460" s="11"/>
    </row>
    <row r="461" spans="1:12" ht="33">
      <c r="A461" s="11" t="str">
        <f>_xlfn.XLOOKUP(표14[[#This Row],[material_name]],표2[material_name],표2[material_id])</f>
        <v>M114</v>
      </c>
      <c r="B461" s="11" t="str">
        <f>_xlfn.XLOOKUP(표14[[#This Row],[application_taxonomy]],표11[application_taxonomy],표11[app_id])</f>
        <v>A02</v>
      </c>
      <c r="C461" s="11" t="str">
        <f>_xlfn.XLOOKUP(표14[[#This Row],[end_use_industry]],표13[end_use_category],표13[end_use_id])</f>
        <v>E07</v>
      </c>
      <c r="D461" s="11">
        <f>_xlfn.XLOOKUP(표14[[#This Row],[importance]],표15[importance],표15[rating])</f>
        <v>0.3</v>
      </c>
      <c r="E461" s="1" t="s">
        <v>3827</v>
      </c>
      <c r="F461" s="1" t="s">
        <v>3846</v>
      </c>
      <c r="G461" s="1" t="s">
        <v>1308</v>
      </c>
      <c r="H461" s="1" t="s">
        <v>1263</v>
      </c>
      <c r="I461" s="1" t="s">
        <v>1287</v>
      </c>
      <c r="J461" s="1" t="s">
        <v>3847</v>
      </c>
      <c r="K461" s="1" t="s">
        <v>1285</v>
      </c>
      <c r="L461" s="11"/>
    </row>
    <row r="462" spans="1:12" ht="33">
      <c r="A462" s="11" t="str">
        <f>_xlfn.XLOOKUP(표14[[#This Row],[material_name]],표2[material_name],표2[material_id])</f>
        <v>M114</v>
      </c>
      <c r="B462" s="11" t="str">
        <f>_xlfn.XLOOKUP(표14[[#This Row],[application_taxonomy]],표11[application_taxonomy],표11[app_id])</f>
        <v>A24</v>
      </c>
      <c r="C462" s="11" t="str">
        <f>_xlfn.XLOOKUP(표14[[#This Row],[end_use_industry]],표13[end_use_category],표13[end_use_id])</f>
        <v>E07</v>
      </c>
      <c r="D462" s="11">
        <f>_xlfn.XLOOKUP(표14[[#This Row],[importance]],표15[importance],표15[rating])</f>
        <v>0.1</v>
      </c>
      <c r="E462" s="1" t="s">
        <v>3827</v>
      </c>
      <c r="F462" s="1" t="s">
        <v>3848</v>
      </c>
      <c r="G462" s="1" t="s">
        <v>1303</v>
      </c>
      <c r="H462" s="1" t="s">
        <v>1263</v>
      </c>
      <c r="I462" s="1" t="s">
        <v>1302</v>
      </c>
      <c r="J462" s="1" t="s">
        <v>3849</v>
      </c>
      <c r="K462" s="1" t="s">
        <v>1285</v>
      </c>
      <c r="L462" s="11"/>
    </row>
    <row r="463" spans="1:12" ht="33">
      <c r="A463" s="11" t="str">
        <f>_xlfn.XLOOKUP(표14[[#This Row],[material_name]],표2[material_name],표2[material_id])</f>
        <v>M114</v>
      </c>
      <c r="B463" s="11" t="str">
        <f>_xlfn.XLOOKUP(표14[[#This Row],[application_taxonomy]],표11[application_taxonomy],표11[app_id])</f>
        <v>A02</v>
      </c>
      <c r="C463" s="11" t="str">
        <f>_xlfn.XLOOKUP(표14[[#This Row],[end_use_industry]],표13[end_use_category],표13[end_use_id])</f>
        <v>E08</v>
      </c>
      <c r="D463" s="11">
        <f>_xlfn.XLOOKUP(표14[[#This Row],[importance]],표15[importance],표15[rating])</f>
        <v>0.6</v>
      </c>
      <c r="E463" s="1" t="s">
        <v>3827</v>
      </c>
      <c r="F463" s="1" t="s">
        <v>3850</v>
      </c>
      <c r="G463" s="1" t="s">
        <v>1251</v>
      </c>
      <c r="H463" s="1" t="s">
        <v>1260</v>
      </c>
      <c r="I463" s="1" t="s">
        <v>1298</v>
      </c>
      <c r="J463" s="1" t="s">
        <v>3851</v>
      </c>
      <c r="K463" s="1" t="s">
        <v>1285</v>
      </c>
      <c r="L463" s="11"/>
    </row>
    <row r="464" spans="1:12" ht="33">
      <c r="A464" s="11" t="str">
        <f>_xlfn.XLOOKUP(표14[[#This Row],[material_name]],표2[material_name],표2[material_id])</f>
        <v>M114</v>
      </c>
      <c r="B464" s="11" t="str">
        <f>_xlfn.XLOOKUP(표14[[#This Row],[application_taxonomy]],표11[application_taxonomy],표11[app_id])</f>
        <v>A35</v>
      </c>
      <c r="C464" s="11" t="str">
        <f>_xlfn.XLOOKUP(표14[[#This Row],[end_use_industry]],표13[end_use_category],표13[end_use_id])</f>
        <v>E02</v>
      </c>
      <c r="D464" s="11">
        <f>_xlfn.XLOOKUP(표14[[#This Row],[importance]],표15[importance],표15[rating])</f>
        <v>0.3</v>
      </c>
      <c r="E464" s="1" t="s">
        <v>3827</v>
      </c>
      <c r="F464" s="1" t="s">
        <v>3852</v>
      </c>
      <c r="G464" s="1" t="s">
        <v>1577</v>
      </c>
      <c r="H464" s="1" t="s">
        <v>1278</v>
      </c>
      <c r="I464" s="1" t="s">
        <v>1287</v>
      </c>
      <c r="J464" s="1" t="s">
        <v>3853</v>
      </c>
      <c r="K464" s="1" t="s">
        <v>1285</v>
      </c>
      <c r="L464" s="11"/>
    </row>
    <row r="465" spans="1:12">
      <c r="A465" s="11" t="str">
        <f>_xlfn.XLOOKUP(표14[[#This Row],[material_name]],표2[material_name],표2[material_id])</f>
        <v>M114</v>
      </c>
      <c r="B465" s="11" t="str">
        <f>_xlfn.XLOOKUP(표14[[#This Row],[application_taxonomy]],표11[application_taxonomy],표11[app_id])</f>
        <v>A02</v>
      </c>
      <c r="C465" s="11" t="str">
        <f>_xlfn.XLOOKUP(표14[[#This Row],[end_use_industry]],표13[end_use_category],표13[end_use_id])</f>
        <v>E02</v>
      </c>
      <c r="D465" s="11">
        <f>_xlfn.XLOOKUP(표14[[#This Row],[importance]],표15[importance],표15[rating])</f>
        <v>0.3</v>
      </c>
      <c r="E465" s="1" t="s">
        <v>3827</v>
      </c>
      <c r="F465" s="1" t="s">
        <v>3854</v>
      </c>
      <c r="G465" s="1" t="s">
        <v>1308</v>
      </c>
      <c r="H465" s="1" t="s">
        <v>1278</v>
      </c>
      <c r="I465" s="1" t="s">
        <v>1287</v>
      </c>
      <c r="J465" s="1" t="s">
        <v>3855</v>
      </c>
      <c r="K465" s="1" t="s">
        <v>1285</v>
      </c>
      <c r="L465" s="11"/>
    </row>
    <row r="466" spans="1:12" ht="33">
      <c r="A466" s="11" t="str">
        <f>_xlfn.XLOOKUP(표14[[#This Row],[material_name]],표2[material_name],표2[material_id])</f>
        <v>M114</v>
      </c>
      <c r="B466" s="11" t="str">
        <f>_xlfn.XLOOKUP(표14[[#This Row],[application_taxonomy]],표11[application_taxonomy],표11[app_id])</f>
        <v>A02</v>
      </c>
      <c r="C466" s="11" t="str">
        <f>_xlfn.XLOOKUP(표14[[#This Row],[end_use_industry]],표13[end_use_category],표13[end_use_id])</f>
        <v>E07</v>
      </c>
      <c r="D466" s="11">
        <f>_xlfn.XLOOKUP(표14[[#This Row],[importance]],표15[importance],표15[rating])</f>
        <v>0.1</v>
      </c>
      <c r="E466" s="1" t="s">
        <v>3827</v>
      </c>
      <c r="F466" s="1" t="s">
        <v>3856</v>
      </c>
      <c r="G466" s="1" t="s">
        <v>1308</v>
      </c>
      <c r="H466" s="1" t="s">
        <v>1263</v>
      </c>
      <c r="I466" s="1" t="s">
        <v>1302</v>
      </c>
      <c r="J466" s="1" t="s">
        <v>3857</v>
      </c>
      <c r="K466" s="1" t="s">
        <v>1285</v>
      </c>
      <c r="L466" s="11"/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03A3-A397-450C-BD79-5375C28BFA4E}">
  <dimension ref="A1:O102"/>
  <sheetViews>
    <sheetView topLeftCell="C61" zoomScale="70" zoomScaleNormal="70" workbookViewId="0">
      <selection activeCell="C78" sqref="C78"/>
    </sheetView>
  </sheetViews>
  <sheetFormatPr defaultRowHeight="16.5"/>
  <cols>
    <col min="1" max="2" width="12.75" bestFit="1" customWidth="1"/>
    <col min="3" max="3" width="30.75" bestFit="1" customWidth="1"/>
    <col min="4" max="4" width="30.25" bestFit="1" customWidth="1"/>
    <col min="5" max="5" width="33.125" bestFit="1" customWidth="1"/>
    <col min="6" max="6" width="52.125" bestFit="1" customWidth="1"/>
    <col min="7" max="7" width="25.5" bestFit="1" customWidth="1"/>
    <col min="8" max="8" width="26.875" bestFit="1" customWidth="1"/>
    <col min="9" max="9" width="44.875" bestFit="1" customWidth="1"/>
    <col min="10" max="10" width="7.5" bestFit="1" customWidth="1"/>
    <col min="12" max="12" width="11.375" customWidth="1"/>
    <col min="13" max="13" width="16.625" bestFit="1" customWidth="1"/>
    <col min="14" max="14" width="16.625" customWidth="1"/>
    <col min="15" max="15" width="11.875" customWidth="1"/>
  </cols>
  <sheetData>
    <row r="1" spans="1:15">
      <c r="B1">
        <f>_xlfn.XLOOKUP(B4,표13[end_use_category],표13[end_use_att])</f>
        <v>17.812769525290705</v>
      </c>
      <c r="C1">
        <f>_xlfn.XLOOKUP(C4,표13[end_use_category],표13[end_use_att])</f>
        <v>65.15134222692096</v>
      </c>
      <c r="D1">
        <f>_xlfn.XLOOKUP(D4,표13[end_use_category],표13[end_use_att])</f>
        <v>11.608483793679584</v>
      </c>
      <c r="E1">
        <f>_xlfn.XLOOKUP(E4,표13[end_use_category],표13[end_use_att])</f>
        <v>58.33611973622164</v>
      </c>
      <c r="F1">
        <f>_xlfn.XLOOKUP(F4,표13[end_use_category],표13[end_use_att])</f>
        <v>80.208754208754215</v>
      </c>
      <c r="G1">
        <f>_xlfn.XLOOKUP(G4,표13[end_use_category],표13[end_use_att])</f>
        <v>28.866161616161616</v>
      </c>
      <c r="H1">
        <f>_xlfn.XLOOKUP(H4,표13[end_use_category],표13[end_use_att])</f>
        <v>63.002127713405507</v>
      </c>
      <c r="I1">
        <f>_xlfn.XLOOKUP(I4,표13[end_use_category],표13[end_use_att])</f>
        <v>48.734574427294056</v>
      </c>
    </row>
    <row r="3" spans="1:15">
      <c r="A3" s="81" t="s">
        <v>3730</v>
      </c>
      <c r="B3" s="81" t="s">
        <v>3729</v>
      </c>
    </row>
    <row r="4" spans="1:15">
      <c r="A4" s="81" t="s">
        <v>3703</v>
      </c>
      <c r="B4" t="s">
        <v>1266</v>
      </c>
      <c r="C4" t="s">
        <v>1275</v>
      </c>
      <c r="D4" t="s">
        <v>1281</v>
      </c>
      <c r="E4" t="s">
        <v>1278</v>
      </c>
      <c r="F4" t="s">
        <v>1260</v>
      </c>
      <c r="G4" t="s">
        <v>1272</v>
      </c>
      <c r="H4" t="s">
        <v>1269</v>
      </c>
      <c r="I4" t="s">
        <v>1263</v>
      </c>
      <c r="J4" t="s">
        <v>3708</v>
      </c>
      <c r="L4" t="s">
        <v>1</v>
      </c>
      <c r="M4" t="s">
        <v>2</v>
      </c>
      <c r="N4" t="s">
        <v>3953</v>
      </c>
      <c r="O4" t="s">
        <v>3731</v>
      </c>
    </row>
    <row r="5" spans="1:15">
      <c r="A5" s="29" t="s">
        <v>261</v>
      </c>
      <c r="B5" s="176"/>
      <c r="C5" s="176">
        <v>0.3</v>
      </c>
      <c r="D5" s="176">
        <v>0.6</v>
      </c>
      <c r="E5" s="176">
        <v>0.6</v>
      </c>
      <c r="F5" s="176"/>
      <c r="G5" s="176"/>
      <c r="H5" s="176"/>
      <c r="I5" s="176"/>
      <c r="J5" s="176">
        <v>0.6</v>
      </c>
      <c r="L5" s="29" t="s">
        <v>261</v>
      </c>
      <c r="M5" s="29" t="str">
        <f>_xlfn.XLOOKUP(L5,표2[material_id],표2[material_name])</f>
        <v>HDPE</v>
      </c>
      <c r="N5" s="29">
        <f t="shared" ref="N5:N36" si="0">SUMPRODUCT($B$1:$I$1,B5:I5)</f>
        <v>61.512164786017024</v>
      </c>
      <c r="O5" s="116">
        <f>(표19[[#This Row],[end_use]]-MIN(표19[end_use]))/(MAX(표19[end_use])-MIN(표19[end_use]))*100</f>
        <v>39.160261468804798</v>
      </c>
    </row>
    <row r="6" spans="1:15">
      <c r="A6" s="29" t="s">
        <v>8</v>
      </c>
      <c r="B6" s="176"/>
      <c r="C6" s="176"/>
      <c r="D6" s="176">
        <v>0.1</v>
      </c>
      <c r="E6" s="176">
        <v>0.6</v>
      </c>
      <c r="F6" s="176"/>
      <c r="G6" s="176">
        <v>0.3</v>
      </c>
      <c r="H6" s="176"/>
      <c r="I6" s="176">
        <v>0.1</v>
      </c>
      <c r="J6" s="176">
        <v>0.6</v>
      </c>
      <c r="L6" s="29" t="s">
        <v>8</v>
      </c>
      <c r="M6" s="29" t="str">
        <f>_xlfn.XLOOKUP(L6,표2[material_id],표2[material_name])</f>
        <v>LDPE</v>
      </c>
      <c r="N6" s="29">
        <f t="shared" si="0"/>
        <v>49.695826148678833</v>
      </c>
      <c r="O6" s="116">
        <f>(표19[[#This Row],[end_use]]-MIN(표19[end_use]))/(MAX(표19[end_use])-MIN(표19[end_use]))*100</f>
        <v>27.029556204331882</v>
      </c>
    </row>
    <row r="7" spans="1:15">
      <c r="A7" s="29" t="s">
        <v>10</v>
      </c>
      <c r="B7" s="176">
        <v>0.3</v>
      </c>
      <c r="C7" s="176"/>
      <c r="D7" s="176"/>
      <c r="E7" s="176">
        <v>0.6</v>
      </c>
      <c r="F7" s="176"/>
      <c r="G7" s="176">
        <v>0.1</v>
      </c>
      <c r="H7" s="176"/>
      <c r="I7" s="176"/>
      <c r="J7" s="176">
        <v>0.6</v>
      </c>
      <c r="L7" s="29" t="s">
        <v>10</v>
      </c>
      <c r="M7" s="29" t="str">
        <f>_xlfn.XLOOKUP(L7,표2[material_id],표2[material_name])</f>
        <v>LLDPE</v>
      </c>
      <c r="N7" s="29">
        <f t="shared" si="0"/>
        <v>43.23211886093636</v>
      </c>
      <c r="O7" s="116">
        <f>(표19[[#This Row],[end_use]]-MIN(표19[end_use]))/(MAX(표19[end_use])-MIN(표19[end_use]))*100</f>
        <v>20.393885847385135</v>
      </c>
    </row>
    <row r="8" spans="1:15">
      <c r="A8" s="29" t="s">
        <v>11</v>
      </c>
      <c r="B8" s="176"/>
      <c r="C8" s="176"/>
      <c r="D8" s="176"/>
      <c r="E8" s="176"/>
      <c r="F8" s="176"/>
      <c r="G8" s="176"/>
      <c r="H8" s="176"/>
      <c r="I8" s="176">
        <v>0.6</v>
      </c>
      <c r="J8" s="176">
        <v>0.6</v>
      </c>
      <c r="L8" s="29" t="s">
        <v>11</v>
      </c>
      <c r="M8" s="29" t="str">
        <f>_xlfn.XLOOKUP(L8,표2[material_id],표2[material_name])</f>
        <v>EDC</v>
      </c>
      <c r="N8" s="29">
        <f t="shared" si="0"/>
        <v>29.240744656376432</v>
      </c>
      <c r="O8" s="116">
        <f>(표19[[#This Row],[end_use]]-MIN(표19[end_use]))/(MAX(표19[end_use])-MIN(표19[end_use]))*100</f>
        <v>6.0302794943855176</v>
      </c>
    </row>
    <row r="9" spans="1:15">
      <c r="A9" s="29" t="s">
        <v>12</v>
      </c>
      <c r="B9" s="176"/>
      <c r="C9" s="176"/>
      <c r="D9" s="176"/>
      <c r="E9" s="176"/>
      <c r="F9" s="176"/>
      <c r="G9" s="176"/>
      <c r="H9" s="176"/>
      <c r="I9" s="176">
        <v>0.6</v>
      </c>
      <c r="J9" s="176">
        <v>0.6</v>
      </c>
      <c r="L9" s="29" t="s">
        <v>12</v>
      </c>
      <c r="M9" s="29" t="str">
        <f>_xlfn.XLOOKUP(L9,표2[material_id],표2[material_name])</f>
        <v>VCM</v>
      </c>
      <c r="N9" s="29">
        <f t="shared" si="0"/>
        <v>29.240744656376432</v>
      </c>
      <c r="O9" s="116">
        <f>(표19[[#This Row],[end_use]]-MIN(표19[end_use]))/(MAX(표19[end_use])-MIN(표19[end_use]))*100</f>
        <v>6.0302794943855176</v>
      </c>
    </row>
    <row r="10" spans="1:15">
      <c r="A10" s="29" t="s">
        <v>14</v>
      </c>
      <c r="B10" s="176"/>
      <c r="C10" s="176"/>
      <c r="D10" s="176">
        <v>0.6</v>
      </c>
      <c r="E10" s="176">
        <v>0.3</v>
      </c>
      <c r="F10" s="176"/>
      <c r="G10" s="176">
        <v>0.3</v>
      </c>
      <c r="H10" s="176">
        <v>0.1</v>
      </c>
      <c r="I10" s="176">
        <v>0.1</v>
      </c>
      <c r="J10" s="176">
        <v>0.6</v>
      </c>
      <c r="L10" s="29" t="s">
        <v>14</v>
      </c>
      <c r="M10" s="29" t="str">
        <f>_xlfn.XLOOKUP(L10,표2[material_id],표2[material_name])</f>
        <v>PVC</v>
      </c>
      <c r="N10" s="29">
        <f t="shared" si="0"/>
        <v>44.299444895992679</v>
      </c>
      <c r="O10" s="116">
        <f>(표19[[#This Row],[end_use]]-MIN(표19[end_use]))/(MAX(표19[end_use])-MIN(표19[end_use]))*100</f>
        <v>21.489607453691715</v>
      </c>
    </row>
    <row r="11" spans="1:15">
      <c r="A11" s="29" t="s">
        <v>17</v>
      </c>
      <c r="B11" s="176"/>
      <c r="C11" s="176"/>
      <c r="D11" s="176"/>
      <c r="E11" s="176"/>
      <c r="F11" s="176"/>
      <c r="G11" s="176">
        <v>0.6</v>
      </c>
      <c r="H11" s="176"/>
      <c r="I11" s="176">
        <v>0.3</v>
      </c>
      <c r="J11" s="176">
        <v>0.6</v>
      </c>
      <c r="L11" s="29" t="s">
        <v>17</v>
      </c>
      <c r="M11" s="29" t="str">
        <f>_xlfn.XLOOKUP(L11,표2[material_id],표2[material_name])</f>
        <v>Ethanol</v>
      </c>
      <c r="N11" s="29">
        <f t="shared" si="0"/>
        <v>31.940069297885188</v>
      </c>
      <c r="O11" s="116">
        <f>(표19[[#This Row],[end_use]]-MIN(표19[end_use]))/(MAX(표19[end_use])-MIN(표19[end_use]))*100</f>
        <v>8.8014180546669945</v>
      </c>
    </row>
    <row r="12" spans="1:15">
      <c r="A12" s="29" t="s">
        <v>20</v>
      </c>
      <c r="B12" s="176"/>
      <c r="C12" s="176"/>
      <c r="D12" s="176"/>
      <c r="E12" s="176">
        <v>0.3</v>
      </c>
      <c r="F12" s="176"/>
      <c r="G12" s="176"/>
      <c r="H12" s="176"/>
      <c r="I12" s="176">
        <v>0.6</v>
      </c>
      <c r="J12" s="176">
        <v>0.6</v>
      </c>
      <c r="L12" s="29" t="s">
        <v>20</v>
      </c>
      <c r="M12" s="29" t="str">
        <f>_xlfn.XLOOKUP(L12,표2[material_id],표2[material_name])</f>
        <v>Ethyl acetate</v>
      </c>
      <c r="N12" s="29">
        <f t="shared" si="0"/>
        <v>46.741580577242928</v>
      </c>
      <c r="O12" s="116">
        <f>(표19[[#This Row],[end_use]]-MIN(표19[end_use]))/(MAX(표19[end_use])-MIN(표19[end_use]))*100</f>
        <v>23.996714695142014</v>
      </c>
    </row>
    <row r="13" spans="1:15">
      <c r="A13" s="29" t="s">
        <v>46</v>
      </c>
      <c r="B13" s="176"/>
      <c r="C13" s="176"/>
      <c r="D13" s="176"/>
      <c r="E13" s="176">
        <v>0.3</v>
      </c>
      <c r="F13" s="176"/>
      <c r="G13" s="176"/>
      <c r="H13" s="176"/>
      <c r="I13" s="176">
        <v>0.6</v>
      </c>
      <c r="J13" s="176">
        <v>0.6</v>
      </c>
      <c r="L13" s="29" t="s">
        <v>46</v>
      </c>
      <c r="M13" s="29" t="str">
        <f>_xlfn.XLOOKUP(L13,표2[material_id],표2[material_name])</f>
        <v>EO</v>
      </c>
      <c r="N13" s="29">
        <f t="shared" si="0"/>
        <v>46.741580577242928</v>
      </c>
      <c r="O13" s="116">
        <f>(표19[[#This Row],[end_use]]-MIN(표19[end_use]))/(MAX(표19[end_use])-MIN(표19[end_use]))*100</f>
        <v>23.996714695142014</v>
      </c>
    </row>
    <row r="14" spans="1:15">
      <c r="A14" s="29" t="s">
        <v>48</v>
      </c>
      <c r="B14" s="176"/>
      <c r="C14" s="176"/>
      <c r="D14" s="176">
        <v>0.3</v>
      </c>
      <c r="E14" s="176">
        <v>0.3</v>
      </c>
      <c r="F14" s="176"/>
      <c r="G14" s="176">
        <v>0.6</v>
      </c>
      <c r="H14" s="176"/>
      <c r="I14" s="176">
        <v>0.6</v>
      </c>
      <c r="J14" s="176">
        <v>0.6</v>
      </c>
      <c r="L14" s="29" t="s">
        <v>48</v>
      </c>
      <c r="M14" s="29" t="str">
        <f>_xlfn.XLOOKUP(L14,표2[material_id],표2[material_name])</f>
        <v>MEA</v>
      </c>
      <c r="N14" s="29">
        <f t="shared" si="0"/>
        <v>67.543822685043764</v>
      </c>
      <c r="O14" s="116">
        <f>(표19[[#This Row],[end_use]]-MIN(표19[end_use]))/(MAX(표19[end_use])-MIN(표19[end_use]))*100</f>
        <v>45.35238802127347</v>
      </c>
    </row>
    <row r="15" spans="1:15">
      <c r="A15" s="29" t="s">
        <v>49</v>
      </c>
      <c r="B15" s="176">
        <v>0.6</v>
      </c>
      <c r="C15" s="176"/>
      <c r="D15" s="176">
        <v>0.3</v>
      </c>
      <c r="E15" s="176">
        <v>0.3</v>
      </c>
      <c r="F15" s="176"/>
      <c r="G15" s="176"/>
      <c r="H15" s="176"/>
      <c r="I15" s="176">
        <v>0.1</v>
      </c>
      <c r="J15" s="176">
        <v>0.6</v>
      </c>
      <c r="L15" s="29" t="s">
        <v>49</v>
      </c>
      <c r="M15" s="29" t="str">
        <f>_xlfn.XLOOKUP(L15,표2[material_id],표2[material_name])</f>
        <v>DEA</v>
      </c>
      <c r="N15" s="29">
        <f t="shared" si="0"/>
        <v>36.544500216874198</v>
      </c>
      <c r="O15" s="116">
        <f>(표19[[#This Row],[end_use]]-MIN(표19[end_use]))/(MAX(표19[end_use])-MIN(표19[end_use]))*100</f>
        <v>13.528347106309679</v>
      </c>
    </row>
    <row r="16" spans="1:15">
      <c r="A16" s="29" t="s">
        <v>50</v>
      </c>
      <c r="B16" s="176"/>
      <c r="C16" s="176"/>
      <c r="D16" s="176">
        <v>0.6</v>
      </c>
      <c r="E16" s="176">
        <v>0.6</v>
      </c>
      <c r="F16" s="176"/>
      <c r="G16" s="176"/>
      <c r="H16" s="176"/>
      <c r="I16" s="176">
        <v>0.3</v>
      </c>
      <c r="J16" s="176">
        <v>0.6</v>
      </c>
      <c r="L16" s="29" t="s">
        <v>50</v>
      </c>
      <c r="M16" s="29" t="str">
        <f>_xlfn.XLOOKUP(L16,표2[material_id],표2[material_name])</f>
        <v>TEA</v>
      </c>
      <c r="N16" s="29">
        <f t="shared" si="0"/>
        <v>56.58713444612895</v>
      </c>
      <c r="O16" s="116">
        <f>(표19[[#This Row],[end_use]]-MIN(표19[end_use]))/(MAX(표19[end_use])-MIN(표19[end_use]))*100</f>
        <v>34.104203640283792</v>
      </c>
    </row>
    <row r="17" spans="1:15">
      <c r="A17" s="29" t="s">
        <v>51</v>
      </c>
      <c r="B17" s="176"/>
      <c r="C17" s="176">
        <v>0.3</v>
      </c>
      <c r="D17" s="176"/>
      <c r="E17" s="176">
        <v>0.6</v>
      </c>
      <c r="F17" s="176"/>
      <c r="G17" s="176"/>
      <c r="H17" s="176"/>
      <c r="I17" s="176"/>
      <c r="J17" s="176">
        <v>0.6</v>
      </c>
      <c r="L17" s="29" t="s">
        <v>51</v>
      </c>
      <c r="M17" s="29" t="str">
        <f>_xlfn.XLOOKUP(L17,표2[material_id],표2[material_name])</f>
        <v>MEG</v>
      </c>
      <c r="N17" s="29">
        <f t="shared" si="0"/>
        <v>54.547074509809278</v>
      </c>
      <c r="O17" s="116">
        <f>(표19[[#This Row],[end_use]]-MIN(표19[end_use]))/(MAX(표19[end_use])-MIN(표19[end_use]))*100</f>
        <v>32.009869128647949</v>
      </c>
    </row>
    <row r="18" spans="1:15">
      <c r="A18" s="29" t="s">
        <v>53</v>
      </c>
      <c r="B18" s="176"/>
      <c r="C18" s="176"/>
      <c r="D18" s="176"/>
      <c r="E18" s="176">
        <v>0.3</v>
      </c>
      <c r="F18" s="176"/>
      <c r="G18" s="176"/>
      <c r="H18" s="176"/>
      <c r="I18" s="176">
        <v>0.6</v>
      </c>
      <c r="J18" s="176">
        <v>0.6</v>
      </c>
      <c r="L18" s="29" t="s">
        <v>53</v>
      </c>
      <c r="M18" s="29" t="str">
        <f>_xlfn.XLOOKUP(L18,표2[material_id],표2[material_name])</f>
        <v>VAM</v>
      </c>
      <c r="N18" s="29">
        <f t="shared" si="0"/>
        <v>46.741580577242928</v>
      </c>
      <c r="O18" s="116">
        <f>(표19[[#This Row],[end_use]]-MIN(표19[end_use]))/(MAX(표19[end_use])-MIN(표19[end_use]))*100</f>
        <v>23.996714695142014</v>
      </c>
    </row>
    <row r="19" spans="1:15">
      <c r="A19" s="29" t="s">
        <v>55</v>
      </c>
      <c r="B19" s="176"/>
      <c r="C19" s="176">
        <v>0.1</v>
      </c>
      <c r="D19" s="176"/>
      <c r="E19" s="176">
        <v>0.6</v>
      </c>
      <c r="F19" s="176"/>
      <c r="G19" s="176"/>
      <c r="H19" s="176"/>
      <c r="I19" s="176">
        <v>0.6</v>
      </c>
      <c r="J19" s="176">
        <v>0.6</v>
      </c>
      <c r="L19" s="29" t="s">
        <v>55</v>
      </c>
      <c r="M19" s="29" t="str">
        <f>_xlfn.XLOOKUP(L19,표2[material_id],표2[material_name])</f>
        <v>AN</v>
      </c>
      <c r="N19" s="29">
        <f t="shared" si="0"/>
        <v>70.757550720801518</v>
      </c>
      <c r="O19" s="116">
        <f>(표19[[#This Row],[end_use]]-MIN(표19[end_use]))/(MAX(표19[end_use])-MIN(표19[end_use]))*100</f>
        <v>48.651615370662697</v>
      </c>
    </row>
    <row r="20" spans="1:15">
      <c r="A20" s="29" t="s">
        <v>56</v>
      </c>
      <c r="B20" s="176"/>
      <c r="C20" s="176">
        <v>0.3</v>
      </c>
      <c r="D20" s="176">
        <v>0.3</v>
      </c>
      <c r="E20" s="176">
        <v>0.6</v>
      </c>
      <c r="F20" s="176">
        <v>0.6</v>
      </c>
      <c r="G20" s="176"/>
      <c r="H20" s="176"/>
      <c r="I20" s="176">
        <v>0.3</v>
      </c>
      <c r="J20" s="176">
        <v>0.6</v>
      </c>
      <c r="L20" s="29" t="s">
        <v>56</v>
      </c>
      <c r="M20" s="29" t="str">
        <f>_xlfn.XLOOKUP(L20,표2[material_id],표2[material_name])</f>
        <v>ABS</v>
      </c>
      <c r="N20" s="29">
        <f t="shared" si="0"/>
        <v>120.77524450135388</v>
      </c>
      <c r="O20" s="116">
        <f>(표19[[#This Row],[end_use]]-MIN(표19[end_use]))/(MAX(표19[end_use])-MIN(표19[end_use]))*100</f>
        <v>100</v>
      </c>
    </row>
    <row r="21" spans="1:15">
      <c r="A21" s="29" t="s">
        <v>57</v>
      </c>
      <c r="B21" s="176"/>
      <c r="C21" s="176">
        <v>0.1</v>
      </c>
      <c r="D21" s="176"/>
      <c r="E21" s="176">
        <v>0.6</v>
      </c>
      <c r="F21" s="176"/>
      <c r="G21" s="176"/>
      <c r="H21" s="176">
        <v>0.1</v>
      </c>
      <c r="I21" s="176">
        <v>0.6</v>
      </c>
      <c r="J21" s="176">
        <v>0.6</v>
      </c>
      <c r="L21" s="29" t="s">
        <v>57</v>
      </c>
      <c r="M21" s="29" t="str">
        <f>_xlfn.XLOOKUP(L21,표2[material_id],표2[material_name])</f>
        <v>SAN</v>
      </c>
      <c r="N21" s="29">
        <f t="shared" si="0"/>
        <v>77.057763492142072</v>
      </c>
      <c r="O21" s="116">
        <f>(표19[[#This Row],[end_use]]-MIN(표19[end_use]))/(MAX(표19[end_use])-MIN(표19[end_use]))*100</f>
        <v>55.119441537314984</v>
      </c>
    </row>
    <row r="22" spans="1:15">
      <c r="A22" s="29" t="s">
        <v>58</v>
      </c>
      <c r="B22" s="176"/>
      <c r="C22" s="176">
        <v>0.6</v>
      </c>
      <c r="D22" s="176"/>
      <c r="E22" s="176"/>
      <c r="F22" s="176"/>
      <c r="G22" s="176">
        <v>0.3</v>
      </c>
      <c r="H22" s="176">
        <v>0.6</v>
      </c>
      <c r="I22" s="176">
        <v>0.3</v>
      </c>
      <c r="J22" s="176">
        <v>0.6</v>
      </c>
      <c r="L22" s="29" t="s">
        <v>58</v>
      </c>
      <c r="M22" s="29" t="str">
        <f>_xlfn.XLOOKUP(L22,표2[material_id],표2[material_name])</f>
        <v>NBR</v>
      </c>
      <c r="N22" s="29">
        <f t="shared" si="0"/>
        <v>100.17230277723257</v>
      </c>
      <c r="O22" s="116">
        <f>(표19[[#This Row],[end_use]]-MIN(표19[end_use]))/(MAX(표19[end_use])-MIN(표19[end_use]))*100</f>
        <v>78.848929325139324</v>
      </c>
    </row>
    <row r="23" spans="1:15">
      <c r="A23" s="29" t="s">
        <v>59</v>
      </c>
      <c r="B23" s="176"/>
      <c r="C23" s="176">
        <v>0.6</v>
      </c>
      <c r="D23" s="176">
        <v>0.3</v>
      </c>
      <c r="E23" s="176">
        <v>0.6</v>
      </c>
      <c r="F23" s="176">
        <v>0.1</v>
      </c>
      <c r="G23" s="176">
        <v>0.3</v>
      </c>
      <c r="H23" s="176">
        <v>0.3</v>
      </c>
      <c r="I23" s="176"/>
      <c r="J23" s="176">
        <v>0.6</v>
      </c>
      <c r="L23" s="29" t="s">
        <v>59</v>
      </c>
      <c r="M23" s="29" t="str">
        <f>_xlfn.XLOOKUP(L23,표2[material_id],표2[material_name])</f>
        <v>PP</v>
      </c>
      <c r="N23" s="29">
        <f t="shared" si="0"/>
        <v>113.15638453573499</v>
      </c>
      <c r="O23" s="116">
        <f>(표19[[#This Row],[end_use]]-MIN(표19[end_use]))/(MAX(표19[end_use])-MIN(표19[end_use]))*100</f>
        <v>92.178444818585987</v>
      </c>
    </row>
    <row r="24" spans="1:15">
      <c r="A24" s="29" t="s">
        <v>60</v>
      </c>
      <c r="B24" s="176"/>
      <c r="C24" s="176"/>
      <c r="D24" s="176"/>
      <c r="E24" s="176"/>
      <c r="F24" s="176">
        <v>0.3</v>
      </c>
      <c r="G24" s="176"/>
      <c r="H24" s="176"/>
      <c r="I24" s="176">
        <v>0.6</v>
      </c>
      <c r="J24" s="176">
        <v>0.6</v>
      </c>
      <c r="L24" s="29" t="s">
        <v>60</v>
      </c>
      <c r="M24" s="29" t="str">
        <f>_xlfn.XLOOKUP(L24,표2[material_id],표2[material_name])</f>
        <v>PO</v>
      </c>
      <c r="N24" s="29">
        <f t="shared" si="0"/>
        <v>53.303370919002695</v>
      </c>
      <c r="O24" s="116">
        <f>(표19[[#This Row],[end_use]]-MIN(표19[end_use]))/(MAX(표19[end_use])-MIN(표19[end_use]))*100</f>
        <v>30.733077547136549</v>
      </c>
    </row>
    <row r="25" spans="1:15">
      <c r="A25" s="29" t="s">
        <v>61</v>
      </c>
      <c r="B25" s="176"/>
      <c r="C25" s="176"/>
      <c r="D25" s="176">
        <v>0.6</v>
      </c>
      <c r="E25" s="176">
        <v>0.3</v>
      </c>
      <c r="F25" s="176"/>
      <c r="G25" s="176"/>
      <c r="H25" s="176">
        <v>0.3</v>
      </c>
      <c r="I25" s="176">
        <v>0.3</v>
      </c>
      <c r="J25" s="176">
        <v>0.6</v>
      </c>
      <c r="L25" s="29" t="s">
        <v>61</v>
      </c>
      <c r="M25" s="29" t="str">
        <f>_xlfn.XLOOKUP(L25,표2[material_id],표2[material_name])</f>
        <v>PG</v>
      </c>
      <c r="N25" s="29">
        <f t="shared" si="0"/>
        <v>57.986936839284112</v>
      </c>
      <c r="O25" s="116">
        <f>(표19[[#This Row],[end_use]]-MIN(표19[end_use]))/(MAX(표19[end_use])-MIN(표19[end_use]))*100</f>
        <v>35.541246939484139</v>
      </c>
    </row>
    <row r="26" spans="1:15">
      <c r="A26" s="29" t="s">
        <v>62</v>
      </c>
      <c r="B26" s="176"/>
      <c r="C26" s="176">
        <v>0.3</v>
      </c>
      <c r="D26" s="176">
        <v>0.6</v>
      </c>
      <c r="E26" s="176">
        <v>0.6</v>
      </c>
      <c r="F26" s="176"/>
      <c r="G26" s="176"/>
      <c r="H26" s="176"/>
      <c r="I26" s="176">
        <v>0.3</v>
      </c>
      <c r="J26" s="176">
        <v>0.6</v>
      </c>
      <c r="L26" s="29" t="s">
        <v>62</v>
      </c>
      <c r="M26" s="29" t="str">
        <f>_xlfn.XLOOKUP(L26,표2[material_id],표2[material_name])</f>
        <v>PPG</v>
      </c>
      <c r="N26" s="29">
        <f t="shared" si="0"/>
        <v>76.132537114205235</v>
      </c>
      <c r="O26" s="116">
        <f>(표19[[#This Row],[end_use]]-MIN(표19[end_use]))/(MAX(표19[end_use])-MIN(표19[end_use]))*100</f>
        <v>54.169600064576365</v>
      </c>
    </row>
    <row r="27" spans="1:15">
      <c r="A27" s="29" t="s">
        <v>63</v>
      </c>
      <c r="B27" s="176"/>
      <c r="C27" s="176"/>
      <c r="D27" s="176">
        <v>0.6</v>
      </c>
      <c r="E27" s="176">
        <v>0.3</v>
      </c>
      <c r="F27" s="176"/>
      <c r="G27" s="176"/>
      <c r="H27" s="176"/>
      <c r="I27" s="176">
        <v>0.6</v>
      </c>
      <c r="J27" s="176">
        <v>0.6</v>
      </c>
      <c r="L27" s="29" t="s">
        <v>63</v>
      </c>
      <c r="M27" s="29" t="str">
        <f>_xlfn.XLOOKUP(L27,표2[material_id],표2[material_name])</f>
        <v>Polyols</v>
      </c>
      <c r="N27" s="29">
        <f t="shared" si="0"/>
        <v>53.706670853450674</v>
      </c>
      <c r="O27" s="116">
        <f>(표19[[#This Row],[end_use]]-MIN(표19[end_use]))/(MAX(표19[end_use])-MIN(표19[end_use]))*100</f>
        <v>31.147107035298866</v>
      </c>
    </row>
    <row r="28" spans="1:15">
      <c r="A28" s="29" t="s">
        <v>64</v>
      </c>
      <c r="B28" s="176"/>
      <c r="C28" s="176">
        <v>0.3</v>
      </c>
      <c r="D28" s="176">
        <v>0.6</v>
      </c>
      <c r="E28" s="176">
        <v>0.6</v>
      </c>
      <c r="F28" s="176"/>
      <c r="G28" s="176">
        <v>0.1</v>
      </c>
      <c r="H28" s="176">
        <v>0.1</v>
      </c>
      <c r="I28" s="176">
        <v>0.3</v>
      </c>
      <c r="J28" s="176">
        <v>0.6</v>
      </c>
      <c r="L28" s="29" t="s">
        <v>64</v>
      </c>
      <c r="M28" s="29" t="str">
        <f>_xlfn.XLOOKUP(L28,표2[material_id],표2[material_name])</f>
        <v>PU</v>
      </c>
      <c r="N28" s="29">
        <f t="shared" si="0"/>
        <v>85.319366047161949</v>
      </c>
      <c r="O28" s="116">
        <f>(표19[[#This Row],[end_use]]-MIN(표19[end_use]))/(MAX(표19[end_use])-MIN(표19[end_use]))*100</f>
        <v>63.600839090570815</v>
      </c>
    </row>
    <row r="29" spans="1:15">
      <c r="A29" s="29" t="s">
        <v>65</v>
      </c>
      <c r="B29" s="176"/>
      <c r="C29" s="176"/>
      <c r="D29" s="176"/>
      <c r="E29" s="176">
        <v>0.6</v>
      </c>
      <c r="F29" s="176"/>
      <c r="G29" s="176"/>
      <c r="H29" s="176"/>
      <c r="I29" s="176">
        <v>0.6</v>
      </c>
      <c r="J29" s="176">
        <v>0.6</v>
      </c>
      <c r="L29" s="29" t="s">
        <v>65</v>
      </c>
      <c r="M29" s="29" t="str">
        <f>_xlfn.XLOOKUP(L29,표2[material_id],표2[material_name])</f>
        <v>Acrylic acid</v>
      </c>
      <c r="N29" s="29">
        <f t="shared" si="0"/>
        <v>64.242416498109421</v>
      </c>
      <c r="O29" s="116">
        <f>(표19[[#This Row],[end_use]]-MIN(표19[end_use]))/(MAX(표19[end_use])-MIN(표19[end_use]))*100</f>
        <v>41.963149895898503</v>
      </c>
    </row>
    <row r="30" spans="1:15">
      <c r="A30" s="29" t="s">
        <v>67</v>
      </c>
      <c r="B30" s="176"/>
      <c r="C30" s="176"/>
      <c r="D30" s="176">
        <v>0.6</v>
      </c>
      <c r="E30" s="176">
        <v>0.6</v>
      </c>
      <c r="F30" s="176"/>
      <c r="G30" s="176"/>
      <c r="H30" s="176"/>
      <c r="I30" s="176">
        <v>0.3</v>
      </c>
      <c r="J30" s="176">
        <v>0.6</v>
      </c>
      <c r="L30" s="29" t="s">
        <v>67</v>
      </c>
      <c r="M30" s="29" t="str">
        <f>_xlfn.XLOOKUP(L30,표2[material_id],표2[material_name])</f>
        <v>Acrylate ester</v>
      </c>
      <c r="N30" s="29">
        <f t="shared" si="0"/>
        <v>56.58713444612895</v>
      </c>
      <c r="O30" s="116">
        <f>(표19[[#This Row],[end_use]]-MIN(표19[end_use]))/(MAX(표19[end_use])-MIN(표19[end_use]))*100</f>
        <v>34.104203640283792</v>
      </c>
    </row>
    <row r="31" spans="1:15">
      <c r="A31" s="29" t="s">
        <v>68</v>
      </c>
      <c r="B31" s="176">
        <v>0.1</v>
      </c>
      <c r="C31" s="176"/>
      <c r="D31" s="176"/>
      <c r="E31" s="176">
        <v>0.6</v>
      </c>
      <c r="F31" s="176"/>
      <c r="G31" s="176"/>
      <c r="H31" s="176">
        <v>0.3</v>
      </c>
      <c r="I31" s="176"/>
      <c r="J31" s="176">
        <v>0.6</v>
      </c>
      <c r="L31" s="29" t="s">
        <v>68</v>
      </c>
      <c r="M31" s="29" t="str">
        <f>_xlfn.XLOOKUP(L31,표2[material_id],표2[material_name])</f>
        <v>SAP</v>
      </c>
      <c r="N31" s="29">
        <f t="shared" si="0"/>
        <v>55.683587108283703</v>
      </c>
      <c r="O31" s="116">
        <f>(표19[[#This Row],[end_use]]-MIN(표19[end_use]))/(MAX(표19[end_use])-MIN(표19[end_use]))*100</f>
        <v>33.176617965541396</v>
      </c>
    </row>
    <row r="32" spans="1:15">
      <c r="A32" s="29" t="s">
        <v>69</v>
      </c>
      <c r="B32" s="176"/>
      <c r="C32" s="176"/>
      <c r="D32" s="176"/>
      <c r="E32" s="176"/>
      <c r="F32" s="176"/>
      <c r="G32" s="176"/>
      <c r="H32" s="176"/>
      <c r="I32" s="176">
        <v>0.6</v>
      </c>
      <c r="J32" s="176">
        <v>0.6</v>
      </c>
      <c r="L32" s="29" t="s">
        <v>69</v>
      </c>
      <c r="M32" s="29" t="str">
        <f>_xlfn.XLOOKUP(L32,표2[material_id],표2[material_name])</f>
        <v>n-Butyraldehyde</v>
      </c>
      <c r="N32" s="29">
        <f t="shared" si="0"/>
        <v>29.240744656376432</v>
      </c>
      <c r="O32" s="116">
        <f>(표19[[#This Row],[end_use]]-MIN(표19[end_use]))/(MAX(표19[end_use])-MIN(표19[end_use]))*100</f>
        <v>6.0302794943855176</v>
      </c>
    </row>
    <row r="33" spans="1:15">
      <c r="A33" s="29" t="s">
        <v>70</v>
      </c>
      <c r="B33" s="176"/>
      <c r="C33" s="176"/>
      <c r="D33" s="176">
        <v>0.6</v>
      </c>
      <c r="E33" s="176"/>
      <c r="F33" s="176"/>
      <c r="G33" s="176"/>
      <c r="H33" s="176"/>
      <c r="I33" s="176">
        <v>0.6</v>
      </c>
      <c r="J33" s="176">
        <v>0.6</v>
      </c>
      <c r="L33" s="29" t="s">
        <v>70</v>
      </c>
      <c r="M33" s="29" t="str">
        <f>_xlfn.XLOOKUP(L33,표2[material_id],표2[material_name])</f>
        <v>2-Ethylhexanol</v>
      </c>
      <c r="N33" s="29">
        <f t="shared" si="0"/>
        <v>36.205834932584182</v>
      </c>
      <c r="O33" s="116">
        <f>(표19[[#This Row],[end_use]]-MIN(표19[end_use]))/(MAX(표19[end_use])-MIN(표19[end_use]))*100</f>
        <v>13.180671834542371</v>
      </c>
    </row>
    <row r="34" spans="1:15">
      <c r="A34" s="29" t="s">
        <v>71</v>
      </c>
      <c r="B34" s="176"/>
      <c r="C34" s="176"/>
      <c r="D34" s="176"/>
      <c r="E34" s="176"/>
      <c r="F34" s="176"/>
      <c r="G34" s="176"/>
      <c r="H34" s="176"/>
      <c r="I34" s="176">
        <v>0.6</v>
      </c>
      <c r="J34" s="176">
        <v>0.6</v>
      </c>
      <c r="L34" s="29" t="s">
        <v>71</v>
      </c>
      <c r="M34" s="29" t="str">
        <f>_xlfn.XLOOKUP(L34,표2[material_id],표2[material_name])</f>
        <v>n-Butanol</v>
      </c>
      <c r="N34" s="29">
        <f t="shared" si="0"/>
        <v>29.240744656376432</v>
      </c>
      <c r="O34" s="116">
        <f>(표19[[#This Row],[end_use]]-MIN(표19[end_use]))/(MAX(표19[end_use])-MIN(표19[end_use]))*100</f>
        <v>6.0302794943855176</v>
      </c>
    </row>
    <row r="35" spans="1:15">
      <c r="A35" s="29" t="s">
        <v>72</v>
      </c>
      <c r="B35" s="176"/>
      <c r="C35" s="176"/>
      <c r="D35" s="176"/>
      <c r="E35" s="176"/>
      <c r="F35" s="176"/>
      <c r="G35" s="176"/>
      <c r="H35" s="176"/>
      <c r="I35" s="176">
        <v>0.6</v>
      </c>
      <c r="J35" s="176">
        <v>0.6</v>
      </c>
      <c r="L35" s="29" t="s">
        <v>72</v>
      </c>
      <c r="M35" s="29" t="str">
        <f>_xlfn.XLOOKUP(L35,표2[material_id],표2[material_name])</f>
        <v>n-Butyl acetate</v>
      </c>
      <c r="N35" s="29">
        <f t="shared" si="0"/>
        <v>29.240744656376432</v>
      </c>
      <c r="O35" s="116">
        <f>(표19[[#This Row],[end_use]]-MIN(표19[end_use]))/(MAX(표19[end_use])-MIN(표19[end_use]))*100</f>
        <v>6.0302794943855176</v>
      </c>
    </row>
    <row r="36" spans="1:15">
      <c r="A36" s="29" t="s">
        <v>73</v>
      </c>
      <c r="B36" s="176"/>
      <c r="C36" s="176"/>
      <c r="D36" s="176"/>
      <c r="E36" s="176"/>
      <c r="F36" s="176"/>
      <c r="G36" s="176"/>
      <c r="H36" s="176"/>
      <c r="I36" s="176">
        <v>0.6</v>
      </c>
      <c r="J36" s="176">
        <v>0.6</v>
      </c>
      <c r="L36" s="29" t="s">
        <v>73</v>
      </c>
      <c r="M36" s="29" t="str">
        <f>_xlfn.XLOOKUP(L36,표2[material_id],표2[material_name])</f>
        <v>Isobutanol</v>
      </c>
      <c r="N36" s="29">
        <f t="shared" si="0"/>
        <v>29.240744656376432</v>
      </c>
      <c r="O36" s="116">
        <f>(표19[[#This Row],[end_use]]-MIN(표19[end_use]))/(MAX(표19[end_use])-MIN(표19[end_use]))*100</f>
        <v>6.0302794943855176</v>
      </c>
    </row>
    <row r="37" spans="1:15">
      <c r="A37" s="29" t="s">
        <v>74</v>
      </c>
      <c r="B37" s="176"/>
      <c r="C37" s="176"/>
      <c r="D37" s="176"/>
      <c r="E37" s="176"/>
      <c r="F37" s="176"/>
      <c r="G37" s="176"/>
      <c r="H37" s="176"/>
      <c r="I37" s="176">
        <v>0.6</v>
      </c>
      <c r="J37" s="176">
        <v>0.6</v>
      </c>
      <c r="L37" s="29" t="s">
        <v>74</v>
      </c>
      <c r="M37" s="29" t="str">
        <f>_xlfn.XLOOKUP(L37,표2[material_id],표2[material_name])</f>
        <v>Isobutyl acetate</v>
      </c>
      <c r="N37" s="29">
        <f t="shared" ref="N37:N68" si="1">SUMPRODUCT($B$1:$I$1,B37:I37)</f>
        <v>29.240744656376432</v>
      </c>
      <c r="O37" s="116">
        <f>(표19[[#This Row],[end_use]]-MIN(표19[end_use]))/(MAX(표19[end_use])-MIN(표19[end_use]))*100</f>
        <v>6.0302794943855176</v>
      </c>
    </row>
    <row r="38" spans="1:15">
      <c r="A38" s="29" t="s">
        <v>75</v>
      </c>
      <c r="B38" s="176"/>
      <c r="C38" s="176"/>
      <c r="D38" s="176"/>
      <c r="E38" s="176">
        <v>0.3</v>
      </c>
      <c r="F38" s="176">
        <v>0.1</v>
      </c>
      <c r="G38" s="176"/>
      <c r="H38" s="176">
        <v>0.3</v>
      </c>
      <c r="I38" s="176">
        <v>0.6</v>
      </c>
      <c r="J38" s="176">
        <v>0.6</v>
      </c>
      <c r="L38" s="29" t="s">
        <v>75</v>
      </c>
      <c r="M38" s="29" t="str">
        <f>_xlfn.XLOOKUP(L38,표2[material_id],표2[material_name])</f>
        <v>IPA</v>
      </c>
      <c r="N38" s="29">
        <f t="shared" si="1"/>
        <v>73.663094312140004</v>
      </c>
      <c r="O38" s="116">
        <f>(표19[[#This Row],[end_use]]-MIN(표19[end_use]))/(MAX(표19[end_use])-MIN(표19[end_use]))*100</f>
        <v>51.634459212682536</v>
      </c>
    </row>
    <row r="39" spans="1:15">
      <c r="A39" s="29" t="s">
        <v>76</v>
      </c>
      <c r="B39" s="176"/>
      <c r="C39" s="176"/>
      <c r="D39" s="176"/>
      <c r="E39" s="176">
        <v>0.1</v>
      </c>
      <c r="F39" s="176"/>
      <c r="G39" s="176"/>
      <c r="H39" s="176"/>
      <c r="I39" s="176">
        <v>0.6</v>
      </c>
      <c r="J39" s="176">
        <v>0.6</v>
      </c>
      <c r="L39" s="29" t="s">
        <v>76</v>
      </c>
      <c r="M39" s="29" t="str">
        <f>_xlfn.XLOOKUP(L39,표2[material_id],표2[material_name])</f>
        <v>Isopropyl acetate</v>
      </c>
      <c r="N39" s="29">
        <f t="shared" si="1"/>
        <v>35.074356629998597</v>
      </c>
      <c r="O39" s="116">
        <f>(표19[[#This Row],[end_use]]-MIN(표19[end_use]))/(MAX(표19[end_use])-MIN(표19[end_use]))*100</f>
        <v>12.019091227971018</v>
      </c>
    </row>
    <row r="40" spans="1:15">
      <c r="A40" s="29" t="s">
        <v>77</v>
      </c>
      <c r="B40" s="176"/>
      <c r="C40" s="176"/>
      <c r="D40" s="176"/>
      <c r="E40" s="176"/>
      <c r="F40" s="176"/>
      <c r="G40" s="176"/>
      <c r="H40" s="176"/>
      <c r="I40" s="176">
        <v>0.6</v>
      </c>
      <c r="J40" s="176">
        <v>0.6</v>
      </c>
      <c r="L40" s="29" t="s">
        <v>77</v>
      </c>
      <c r="M40" s="29" t="str">
        <f>_xlfn.XLOOKUP(L40,표2[material_id],표2[material_name])</f>
        <v>Butadiene</v>
      </c>
      <c r="N40" s="29">
        <f t="shared" si="1"/>
        <v>29.240744656376432</v>
      </c>
      <c r="O40" s="116">
        <f>(표19[[#This Row],[end_use]]-MIN(표19[end_use]))/(MAX(표19[end_use])-MIN(표19[end_use]))*100</f>
        <v>6.0302794943855176</v>
      </c>
    </row>
    <row r="41" spans="1:15">
      <c r="A41" s="29" t="s">
        <v>78</v>
      </c>
      <c r="B41" s="176"/>
      <c r="C41" s="176">
        <v>0.6</v>
      </c>
      <c r="D41" s="176"/>
      <c r="E41" s="176">
        <v>0.3</v>
      </c>
      <c r="F41" s="176"/>
      <c r="G41" s="176"/>
      <c r="H41" s="176"/>
      <c r="I41" s="176">
        <v>0.3</v>
      </c>
      <c r="J41" s="176">
        <v>0.6</v>
      </c>
      <c r="L41" s="29" t="s">
        <v>78</v>
      </c>
      <c r="M41" s="29" t="str">
        <f>_xlfn.XLOOKUP(L41,표2[material_id],표2[material_name])</f>
        <v>BR</v>
      </c>
      <c r="N41" s="29">
        <f t="shared" si="1"/>
        <v>71.212013585207288</v>
      </c>
      <c r="O41" s="116">
        <f>(표19[[#This Row],[end_use]]-MIN(표19[end_use]))/(MAX(표19[end_use])-MIN(표19[end_use]))*100</f>
        <v>49.118168947955603</v>
      </c>
    </row>
    <row r="42" spans="1:15">
      <c r="A42" s="29" t="s">
        <v>79</v>
      </c>
      <c r="B42" s="176"/>
      <c r="C42" s="176">
        <v>0.6</v>
      </c>
      <c r="D42" s="176"/>
      <c r="E42" s="176">
        <v>0.1</v>
      </c>
      <c r="F42" s="176"/>
      <c r="G42" s="176"/>
      <c r="H42" s="176"/>
      <c r="I42" s="176">
        <v>0.3</v>
      </c>
      <c r="J42" s="176">
        <v>0.6</v>
      </c>
      <c r="L42" s="29" t="s">
        <v>79</v>
      </c>
      <c r="M42" s="29" t="str">
        <f>_xlfn.XLOOKUP(L42,표2[material_id],표2[material_name])</f>
        <v>SBR</v>
      </c>
      <c r="N42" s="29">
        <f t="shared" si="1"/>
        <v>59.544789637962957</v>
      </c>
      <c r="O42" s="116">
        <f>(표19[[#This Row],[end_use]]-MIN(표19[end_use]))/(MAX(표19[end_use])-MIN(표19[end_use]))*100</f>
        <v>37.140545480784617</v>
      </c>
    </row>
    <row r="43" spans="1:15">
      <c r="A43" s="29" t="s">
        <v>80</v>
      </c>
      <c r="B43" s="176"/>
      <c r="C43" s="176"/>
      <c r="D43" s="176"/>
      <c r="E43" s="176"/>
      <c r="F43" s="176"/>
      <c r="G43" s="176">
        <v>0.3</v>
      </c>
      <c r="H43" s="176"/>
      <c r="I43" s="176">
        <v>0.6</v>
      </c>
      <c r="J43" s="176">
        <v>0.6</v>
      </c>
      <c r="L43" s="29" t="s">
        <v>80</v>
      </c>
      <c r="M43" s="29" t="str">
        <f>_xlfn.XLOOKUP(L43,표2[material_id],표2[material_name])</f>
        <v>Isobutylene</v>
      </c>
      <c r="N43" s="29">
        <f t="shared" si="1"/>
        <v>37.900593141224917</v>
      </c>
      <c r="O43" s="116">
        <f>(표19[[#This Row],[end_use]]-MIN(표19[end_use]))/(MAX(표19[end_use])-MIN(표19[end_use]))*100</f>
        <v>14.92051807241204</v>
      </c>
    </row>
    <row r="44" spans="1:15">
      <c r="A44" s="29" t="s">
        <v>81</v>
      </c>
      <c r="B44" s="176"/>
      <c r="C44" s="176"/>
      <c r="D44" s="176"/>
      <c r="E44" s="176"/>
      <c r="F44" s="176"/>
      <c r="G44" s="176">
        <v>0.3</v>
      </c>
      <c r="H44" s="176"/>
      <c r="I44" s="176">
        <v>0.6</v>
      </c>
      <c r="J44" s="176">
        <v>0.6</v>
      </c>
      <c r="L44" s="29" t="s">
        <v>81</v>
      </c>
      <c r="M44" s="29" t="str">
        <f>_xlfn.XLOOKUP(L44,표2[material_id],표2[material_name])</f>
        <v>PIB</v>
      </c>
      <c r="N44" s="29">
        <f t="shared" si="1"/>
        <v>37.900593141224917</v>
      </c>
      <c r="O44" s="116">
        <f>(표19[[#This Row],[end_use]]-MIN(표19[end_use]))/(MAX(표19[end_use])-MIN(표19[end_use]))*100</f>
        <v>14.92051807241204</v>
      </c>
    </row>
    <row r="45" spans="1:15">
      <c r="A45" s="29" t="s">
        <v>82</v>
      </c>
      <c r="B45" s="176"/>
      <c r="C45" s="176"/>
      <c r="D45" s="176">
        <v>0.6</v>
      </c>
      <c r="E45" s="176">
        <v>0.3</v>
      </c>
      <c r="F45" s="176"/>
      <c r="G45" s="176"/>
      <c r="H45" s="176"/>
      <c r="I45" s="176"/>
      <c r="J45" s="176">
        <v>0.6</v>
      </c>
      <c r="L45" s="29" t="s">
        <v>82</v>
      </c>
      <c r="M45" s="29" t="str">
        <f>_xlfn.XLOOKUP(L45,표2[material_id],표2[material_name])</f>
        <v>PB-1</v>
      </c>
      <c r="N45" s="29">
        <f t="shared" si="1"/>
        <v>24.465926197074243</v>
      </c>
      <c r="O45" s="116">
        <f>(표19[[#This Row],[end_use]]-MIN(표19[end_use]))/(MAX(표19[end_use])-MIN(표19[end_use]))*100</f>
        <v>1.128429843755725</v>
      </c>
    </row>
    <row r="46" spans="1:15">
      <c r="A46" s="29" t="s">
        <v>83</v>
      </c>
      <c r="B46" s="176"/>
      <c r="C46" s="176"/>
      <c r="D46" s="176"/>
      <c r="E46" s="176"/>
      <c r="F46" s="176"/>
      <c r="G46" s="176">
        <v>0.6</v>
      </c>
      <c r="H46" s="176">
        <v>0.1</v>
      </c>
      <c r="I46" s="176">
        <v>0.3</v>
      </c>
      <c r="J46" s="176">
        <v>0.6</v>
      </c>
      <c r="L46" s="29" t="s">
        <v>83</v>
      </c>
      <c r="M46" s="29" t="str">
        <f>_xlfn.XLOOKUP(L46,표2[material_id],표2[material_name])</f>
        <v>MTBE</v>
      </c>
      <c r="N46" s="29">
        <f t="shared" si="1"/>
        <v>38.240282069225735</v>
      </c>
      <c r="O46" s="116">
        <f>(표19[[#This Row],[end_use]]-MIN(표19[end_use]))/(MAX(표19[end_use])-MIN(표19[end_use]))*100</f>
        <v>15.269244221319273</v>
      </c>
    </row>
    <row r="47" spans="1:15">
      <c r="A47" s="29" t="s">
        <v>84</v>
      </c>
      <c r="B47" s="176"/>
      <c r="C47" s="176">
        <v>0.6</v>
      </c>
      <c r="D47" s="176"/>
      <c r="E47" s="176"/>
      <c r="F47" s="176"/>
      <c r="G47" s="176"/>
      <c r="H47" s="176">
        <v>0.3</v>
      </c>
      <c r="I47" s="176">
        <v>0.3</v>
      </c>
      <c r="J47" s="176">
        <v>0.6</v>
      </c>
      <c r="L47" s="29" t="s">
        <v>84</v>
      </c>
      <c r="M47" s="29" t="str">
        <f>_xlfn.XLOOKUP(L47,표2[material_id],표2[material_name])</f>
        <v>Butyl rubber</v>
      </c>
      <c r="N47" s="29">
        <f t="shared" si="1"/>
        <v>72.611815978362444</v>
      </c>
      <c r="O47" s="116">
        <f>(표19[[#This Row],[end_use]]-MIN(표19[end_use]))/(MAX(표19[end_use])-MIN(표19[end_use]))*100</f>
        <v>50.555212247155957</v>
      </c>
    </row>
    <row r="48" spans="1:15">
      <c r="A48" s="29" t="s">
        <v>86</v>
      </c>
      <c r="B48" s="176"/>
      <c r="C48" s="176"/>
      <c r="D48" s="176"/>
      <c r="E48" s="176">
        <v>0.6</v>
      </c>
      <c r="F48" s="176"/>
      <c r="G48" s="176"/>
      <c r="H48" s="176"/>
      <c r="I48" s="176">
        <v>0.3</v>
      </c>
      <c r="J48" s="176">
        <v>0.6</v>
      </c>
      <c r="L48" s="29" t="s">
        <v>86</v>
      </c>
      <c r="M48" s="29" t="str">
        <f>_xlfn.XLOOKUP(L48,표2[material_id],표2[material_name])</f>
        <v>1-Butene</v>
      </c>
      <c r="N48" s="29">
        <f t="shared" si="1"/>
        <v>49.622044169921203</v>
      </c>
      <c r="O48" s="116">
        <f>(표19[[#This Row],[end_use]]-MIN(표19[end_use]))/(MAX(표19[end_use])-MIN(표19[end_use]))*100</f>
        <v>26.953811300126933</v>
      </c>
    </row>
    <row r="49" spans="1:15">
      <c r="A49" s="29" t="s">
        <v>116</v>
      </c>
      <c r="B49" s="176"/>
      <c r="C49" s="176"/>
      <c r="D49" s="176"/>
      <c r="E49" s="176"/>
      <c r="F49" s="176"/>
      <c r="G49" s="176"/>
      <c r="H49" s="176"/>
      <c r="I49" s="176">
        <v>0.6</v>
      </c>
      <c r="J49" s="176">
        <v>0.6</v>
      </c>
      <c r="L49" s="29" t="s">
        <v>116</v>
      </c>
      <c r="M49" s="29" t="str">
        <f>_xlfn.XLOOKUP(L49,표2[material_id],표2[material_name])</f>
        <v>Ethylbenzene</v>
      </c>
      <c r="N49" s="29">
        <f t="shared" si="1"/>
        <v>29.240744656376432</v>
      </c>
      <c r="O49" s="116">
        <f>(표19[[#This Row],[end_use]]-MIN(표19[end_use]))/(MAX(표19[end_use])-MIN(표19[end_use]))*100</f>
        <v>6.0302794943855176</v>
      </c>
    </row>
    <row r="50" spans="1:15">
      <c r="A50" s="29" t="s">
        <v>117</v>
      </c>
      <c r="B50" s="176"/>
      <c r="C50" s="176">
        <v>0.6</v>
      </c>
      <c r="D50" s="176">
        <v>0.6</v>
      </c>
      <c r="E50" s="176">
        <v>0.6</v>
      </c>
      <c r="F50" s="176"/>
      <c r="G50" s="176"/>
      <c r="H50" s="176"/>
      <c r="I50" s="176">
        <v>0.3</v>
      </c>
      <c r="J50" s="176">
        <v>0.6</v>
      </c>
      <c r="L50" s="29" t="s">
        <v>117</v>
      </c>
      <c r="M50" s="29" t="str">
        <f>_xlfn.XLOOKUP(L50,표2[material_id],표2[material_name])</f>
        <v>Styrene</v>
      </c>
      <c r="N50" s="29">
        <f t="shared" si="1"/>
        <v>95.677939782281527</v>
      </c>
      <c r="O50" s="116">
        <f>(표19[[#This Row],[end_use]]-MIN(표19[end_use]))/(MAX(표19[end_use])-MIN(표19[end_use]))*100</f>
        <v>74.234996488868958</v>
      </c>
    </row>
    <row r="51" spans="1:15">
      <c r="A51" s="29" t="s">
        <v>123</v>
      </c>
      <c r="B51" s="176"/>
      <c r="C51" s="176"/>
      <c r="D51" s="176">
        <v>0.3</v>
      </c>
      <c r="E51" s="176">
        <v>0.6</v>
      </c>
      <c r="F51" s="176">
        <v>0.6</v>
      </c>
      <c r="G51" s="176"/>
      <c r="H51" s="176">
        <v>0.1</v>
      </c>
      <c r="I51" s="176"/>
      <c r="J51" s="176">
        <v>0.6</v>
      </c>
      <c r="L51" s="29" t="s">
        <v>123</v>
      </c>
      <c r="M51" s="29" t="str">
        <f>_xlfn.XLOOKUP(L51,표2[material_id],표2[material_name])</f>
        <v>PS</v>
      </c>
      <c r="N51" s="29">
        <f t="shared" si="1"/>
        <v>92.909682276429933</v>
      </c>
      <c r="O51" s="116">
        <f>(표19[[#This Row],[end_use]]-MIN(표19[end_use]))/(MAX(표19[end_use])-MIN(표19[end_use]))*100</f>
        <v>71.393091146588134</v>
      </c>
    </row>
    <row r="52" spans="1:15">
      <c r="A52" s="29" t="s">
        <v>124</v>
      </c>
      <c r="B52" s="176"/>
      <c r="C52" s="176"/>
      <c r="D52" s="176"/>
      <c r="E52" s="176"/>
      <c r="F52" s="176"/>
      <c r="G52" s="176"/>
      <c r="H52" s="176"/>
      <c r="I52" s="176">
        <v>0.6</v>
      </c>
      <c r="J52" s="176">
        <v>0.6</v>
      </c>
      <c r="L52" s="29" t="s">
        <v>124</v>
      </c>
      <c r="M52" s="29" t="str">
        <f>_xlfn.XLOOKUP(L52,표2[material_id],표2[material_name])</f>
        <v>Cumene</v>
      </c>
      <c r="N52" s="29">
        <f t="shared" si="1"/>
        <v>29.240744656376432</v>
      </c>
      <c r="O52" s="116">
        <f>(표19[[#This Row],[end_use]]-MIN(표19[end_use]))/(MAX(표19[end_use])-MIN(표19[end_use]))*100</f>
        <v>6.0302794943855176</v>
      </c>
    </row>
    <row r="53" spans="1:15">
      <c r="A53" s="29" t="s">
        <v>125</v>
      </c>
      <c r="B53" s="176"/>
      <c r="C53" s="176">
        <v>0.3</v>
      </c>
      <c r="D53" s="176">
        <v>0.6</v>
      </c>
      <c r="E53" s="176"/>
      <c r="F53" s="176"/>
      <c r="G53" s="176"/>
      <c r="H53" s="176"/>
      <c r="I53" s="176">
        <v>0.6</v>
      </c>
      <c r="J53" s="176">
        <v>0.6</v>
      </c>
      <c r="L53" s="29" t="s">
        <v>125</v>
      </c>
      <c r="M53" s="29" t="str">
        <f>_xlfn.XLOOKUP(L53,표2[material_id],표2[material_name])</f>
        <v>Phenol</v>
      </c>
      <c r="N53" s="29">
        <f t="shared" si="1"/>
        <v>55.751237600660474</v>
      </c>
      <c r="O53" s="116">
        <f>(표19[[#This Row],[end_use]]-MIN(표19[end_use]))/(MAX(표19[end_use])-MIN(표19[end_use]))*100</f>
        <v>33.246068258834953</v>
      </c>
    </row>
    <row r="54" spans="1:15">
      <c r="A54" s="29" t="s">
        <v>126</v>
      </c>
      <c r="B54" s="176"/>
      <c r="C54" s="176"/>
      <c r="D54" s="176"/>
      <c r="E54" s="176"/>
      <c r="F54" s="176"/>
      <c r="G54" s="176"/>
      <c r="H54" s="176"/>
      <c r="I54" s="176">
        <v>0.6</v>
      </c>
      <c r="J54" s="176">
        <v>0.6</v>
      </c>
      <c r="L54" s="29" t="s">
        <v>126</v>
      </c>
      <c r="M54" s="29" t="str">
        <f>_xlfn.XLOOKUP(L54,표2[material_id],표2[material_name])</f>
        <v>Acetone</v>
      </c>
      <c r="N54" s="29">
        <f t="shared" si="1"/>
        <v>29.240744656376432</v>
      </c>
      <c r="O54" s="116">
        <f>(표19[[#This Row],[end_use]]-MIN(표19[end_use]))/(MAX(표19[end_use])-MIN(표19[end_use]))*100</f>
        <v>6.0302794943855176</v>
      </c>
    </row>
    <row r="55" spans="1:15">
      <c r="A55" s="29" t="s">
        <v>127</v>
      </c>
      <c r="B55" s="176"/>
      <c r="C55" s="176"/>
      <c r="D55" s="176"/>
      <c r="E55" s="176"/>
      <c r="F55" s="176"/>
      <c r="G55" s="176"/>
      <c r="H55" s="176"/>
      <c r="I55" s="176">
        <v>0.6</v>
      </c>
      <c r="J55" s="176">
        <v>0.6</v>
      </c>
      <c r="L55" s="29" t="s">
        <v>127</v>
      </c>
      <c r="M55" s="29" t="str">
        <f>_xlfn.XLOOKUP(L55,표2[material_id],표2[material_name])</f>
        <v>BPA</v>
      </c>
      <c r="N55" s="29">
        <f t="shared" si="1"/>
        <v>29.240744656376432</v>
      </c>
      <c r="O55" s="116">
        <f>(표19[[#This Row],[end_use]]-MIN(표19[end_use]))/(MAX(표19[end_use])-MIN(표19[end_use]))*100</f>
        <v>6.0302794943855176</v>
      </c>
    </row>
    <row r="56" spans="1:15">
      <c r="A56" s="29" t="s">
        <v>128</v>
      </c>
      <c r="B56" s="176"/>
      <c r="C56" s="176">
        <v>0.6</v>
      </c>
      <c r="D56" s="176">
        <v>0.3</v>
      </c>
      <c r="E56" s="176">
        <v>0.3</v>
      </c>
      <c r="F56" s="176">
        <v>0.6</v>
      </c>
      <c r="G56" s="176"/>
      <c r="H56" s="176">
        <v>0.1</v>
      </c>
      <c r="I56" s="176"/>
      <c r="J56" s="176">
        <v>0.6</v>
      </c>
      <c r="L56" s="29" t="s">
        <v>128</v>
      </c>
      <c r="M56" s="29" t="str">
        <f>_xlfn.XLOOKUP(L56,표2[material_id],표2[material_name])</f>
        <v>PC</v>
      </c>
      <c r="N56" s="29">
        <f t="shared" si="1"/>
        <v>114.49965169171602</v>
      </c>
      <c r="O56" s="116">
        <f>(표19[[#This Row],[end_use]]-MIN(표19[end_use]))/(MAX(표19[end_use])-MIN(표19[end_use]))*100</f>
        <v>93.557448794416814</v>
      </c>
    </row>
    <row r="57" spans="1:15">
      <c r="A57" s="29" t="s">
        <v>129</v>
      </c>
      <c r="B57" s="176"/>
      <c r="C57" s="176">
        <v>0.3</v>
      </c>
      <c r="D57" s="176">
        <v>0.3</v>
      </c>
      <c r="E57" s="176"/>
      <c r="F57" s="176">
        <v>0.6</v>
      </c>
      <c r="G57" s="176"/>
      <c r="H57" s="176"/>
      <c r="I57" s="176">
        <v>0.6</v>
      </c>
      <c r="J57" s="176">
        <v>0.6</v>
      </c>
      <c r="L57" s="29" t="s">
        <v>129</v>
      </c>
      <c r="M57" s="29" t="str">
        <f>_xlfn.XLOOKUP(L57,표2[material_id],표2[material_name])</f>
        <v>Epoxy resin</v>
      </c>
      <c r="N57" s="29">
        <f t="shared" si="1"/>
        <v>100.39394498780912</v>
      </c>
      <c r="O57" s="116">
        <f>(표19[[#This Row],[end_use]]-MIN(표19[end_use]))/(MAX(표19[end_use])-MIN(표19[end_use]))*100</f>
        <v>79.076468194258581</v>
      </c>
    </row>
    <row r="58" spans="1:15">
      <c r="A58" s="29" t="s">
        <v>130</v>
      </c>
      <c r="B58" s="176"/>
      <c r="C58" s="176"/>
      <c r="D58" s="176"/>
      <c r="E58" s="176"/>
      <c r="F58" s="176"/>
      <c r="G58" s="176"/>
      <c r="H58" s="176"/>
      <c r="I58" s="176">
        <v>0.6</v>
      </c>
      <c r="J58" s="176">
        <v>0.6</v>
      </c>
      <c r="L58" s="29" t="s">
        <v>130</v>
      </c>
      <c r="M58" s="29" t="str">
        <f>_xlfn.XLOOKUP(L58,표2[material_id],표2[material_name])</f>
        <v>Cyclohexane</v>
      </c>
      <c r="N58" s="29">
        <f t="shared" si="1"/>
        <v>29.240744656376432</v>
      </c>
      <c r="O58" s="116">
        <f>(표19[[#This Row],[end_use]]-MIN(표19[end_use]))/(MAX(표19[end_use])-MIN(표19[end_use]))*100</f>
        <v>6.0302794943855176</v>
      </c>
    </row>
    <row r="59" spans="1:15">
      <c r="A59" s="29" t="s">
        <v>131</v>
      </c>
      <c r="B59" s="176">
        <v>0.1</v>
      </c>
      <c r="C59" s="176">
        <v>0.3</v>
      </c>
      <c r="D59" s="176"/>
      <c r="E59" s="176"/>
      <c r="F59" s="176"/>
      <c r="G59" s="176"/>
      <c r="H59" s="176">
        <v>0.1</v>
      </c>
      <c r="I59" s="176">
        <v>0.6</v>
      </c>
      <c r="J59" s="176">
        <v>0.6</v>
      </c>
      <c r="L59" s="29" t="s">
        <v>131</v>
      </c>
      <c r="M59" s="29" t="str">
        <f>_xlfn.XLOOKUP(L59,표2[material_id],표2[material_name])</f>
        <v>Aniline</v>
      </c>
      <c r="N59" s="29">
        <f t="shared" si="1"/>
        <v>56.867637048322337</v>
      </c>
      <c r="O59" s="116">
        <f>(표19[[#This Row],[end_use]]-MIN(표19[end_use]))/(MAX(표19[end_use])-MIN(표19[end_use]))*100</f>
        <v>34.392168846559571</v>
      </c>
    </row>
    <row r="60" spans="1:15">
      <c r="A60" s="29" t="s">
        <v>132</v>
      </c>
      <c r="B60" s="176"/>
      <c r="C60" s="176"/>
      <c r="D60" s="176"/>
      <c r="E60" s="176">
        <v>0.6</v>
      </c>
      <c r="F60" s="176"/>
      <c r="G60" s="176"/>
      <c r="H60" s="176"/>
      <c r="I60" s="176">
        <v>0.6</v>
      </c>
      <c r="J60" s="176">
        <v>0.6</v>
      </c>
      <c r="L60" s="29" t="s">
        <v>132</v>
      </c>
      <c r="M60" s="29" t="str">
        <f>_xlfn.XLOOKUP(L60,표2[material_id],표2[material_name])</f>
        <v>LAB</v>
      </c>
      <c r="N60" s="29">
        <f t="shared" si="1"/>
        <v>64.242416498109421</v>
      </c>
      <c r="O60" s="116">
        <f>(표19[[#This Row],[end_use]]-MIN(표19[end_use]))/(MAX(표19[end_use])-MIN(표19[end_use]))*100</f>
        <v>41.963149895898503</v>
      </c>
    </row>
    <row r="61" spans="1:15">
      <c r="A61" s="29" t="s">
        <v>3709</v>
      </c>
      <c r="B61" s="176">
        <v>0.1</v>
      </c>
      <c r="C61" s="176"/>
      <c r="D61" s="176"/>
      <c r="E61" s="176"/>
      <c r="F61" s="176"/>
      <c r="G61" s="176"/>
      <c r="H61" s="176"/>
      <c r="I61" s="176">
        <v>0.6</v>
      </c>
      <c r="J61" s="176">
        <v>0.6</v>
      </c>
      <c r="L61" s="29" t="s">
        <v>3709</v>
      </c>
      <c r="M61" s="29" t="str">
        <f>_xlfn.XLOOKUP(L61,표2[material_id],표2[material_name])</f>
        <v>Cyclohexanone</v>
      </c>
      <c r="N61" s="29">
        <f t="shared" si="1"/>
        <v>31.022021608905501</v>
      </c>
      <c r="O61" s="116">
        <f>(표19[[#This Row],[end_use]]-MIN(표19[end_use]))/(MAX(표19[end_use])-MIN(표19[end_use]))*100</f>
        <v>7.8589462556147138</v>
      </c>
    </row>
    <row r="62" spans="1:15">
      <c r="A62" s="29" t="s">
        <v>462</v>
      </c>
      <c r="B62" s="176">
        <v>0.1</v>
      </c>
      <c r="C62" s="176"/>
      <c r="D62" s="176">
        <v>0.6</v>
      </c>
      <c r="E62" s="176">
        <v>0.3</v>
      </c>
      <c r="F62" s="176"/>
      <c r="G62" s="176"/>
      <c r="H62" s="176"/>
      <c r="I62" s="176">
        <v>0.3</v>
      </c>
      <c r="J62" s="176">
        <v>0.6</v>
      </c>
      <c r="L62" s="29" t="s">
        <v>462</v>
      </c>
      <c r="M62" s="29" t="str">
        <f>_xlfn.XLOOKUP(L62,표2[material_id],표2[material_name])</f>
        <v>MA</v>
      </c>
      <c r="N62" s="29">
        <f t="shared" si="1"/>
        <v>40.867575477791533</v>
      </c>
      <c r="O62" s="116">
        <f>(표19[[#This Row],[end_use]]-MIN(표19[end_use]))/(MAX(표19[end_use])-MIN(표19[end_use]))*100</f>
        <v>17.966435200756496</v>
      </c>
    </row>
    <row r="63" spans="1:15">
      <c r="A63" s="29" t="s">
        <v>4081</v>
      </c>
      <c r="B63" s="176"/>
      <c r="C63" s="176"/>
      <c r="D63" s="176"/>
      <c r="E63" s="176"/>
      <c r="F63" s="176"/>
      <c r="G63" s="176">
        <v>0.3</v>
      </c>
      <c r="H63" s="176"/>
      <c r="I63" s="176">
        <v>0.6</v>
      </c>
      <c r="J63" s="176">
        <v>0.6</v>
      </c>
      <c r="L63" s="29" t="s">
        <v>4081</v>
      </c>
      <c r="M63" s="29" t="str">
        <f>_xlfn.XLOOKUP(L63,표2[material_id],표2[material_name])</f>
        <v>Methanol</v>
      </c>
      <c r="N63" s="29">
        <f t="shared" si="1"/>
        <v>37.900593141224917</v>
      </c>
      <c r="O63" s="116">
        <f>(표19[[#This Row],[end_use]]-MIN(표19[end_use]))/(MAX(표19[end_use])-MIN(표19[end_use]))*100</f>
        <v>14.92051807241204</v>
      </c>
    </row>
    <row r="64" spans="1:15">
      <c r="A64" s="29" t="s">
        <v>483</v>
      </c>
      <c r="B64" s="176"/>
      <c r="C64" s="176"/>
      <c r="D64" s="176"/>
      <c r="E64" s="176">
        <v>0.1</v>
      </c>
      <c r="F64" s="176"/>
      <c r="G64" s="176"/>
      <c r="H64" s="176">
        <v>0.1</v>
      </c>
      <c r="I64" s="176">
        <v>0.6</v>
      </c>
      <c r="J64" s="176">
        <v>0.6</v>
      </c>
      <c r="L64" s="29" t="s">
        <v>483</v>
      </c>
      <c r="M64" s="29" t="str">
        <f>_xlfn.XLOOKUP(L64,표2[material_id],표2[material_name])</f>
        <v>Acetic acid</v>
      </c>
      <c r="N64" s="29">
        <f t="shared" si="1"/>
        <v>41.374569401339144</v>
      </c>
      <c r="O64" s="116">
        <f>(표19[[#This Row],[end_use]]-MIN(표19[end_use]))/(MAX(표19[end_use])-MIN(표19[end_use]))*100</f>
        <v>18.486917394623294</v>
      </c>
    </row>
    <row r="65" spans="1:15">
      <c r="A65" s="29" t="s">
        <v>755</v>
      </c>
      <c r="B65" s="176"/>
      <c r="C65" s="176"/>
      <c r="D65" s="176">
        <v>0.6</v>
      </c>
      <c r="E65" s="176"/>
      <c r="F65" s="176"/>
      <c r="G65" s="176"/>
      <c r="H65" s="176"/>
      <c r="I65" s="176">
        <v>0.6</v>
      </c>
      <c r="J65" s="176">
        <v>0.6</v>
      </c>
      <c r="L65" s="29" t="s">
        <v>755</v>
      </c>
      <c r="M65" s="29" t="str">
        <f>_xlfn.XLOOKUP(L65,표2[material_id],표2[material_name])</f>
        <v>PA</v>
      </c>
      <c r="N65" s="29">
        <f t="shared" si="1"/>
        <v>36.205834932584182</v>
      </c>
      <c r="O65" s="116">
        <f>(표19[[#This Row],[end_use]]-MIN(표19[end_use]))/(MAX(표19[end_use])-MIN(표19[end_use]))*100</f>
        <v>13.180671834542371</v>
      </c>
    </row>
    <row r="66" spans="1:15">
      <c r="A66" s="29" t="s">
        <v>3710</v>
      </c>
      <c r="B66" s="176"/>
      <c r="C66" s="176">
        <v>0.6</v>
      </c>
      <c r="D66" s="176"/>
      <c r="E66" s="176">
        <v>0.6</v>
      </c>
      <c r="F66" s="176">
        <v>0.3</v>
      </c>
      <c r="G66" s="176"/>
      <c r="H66" s="176"/>
      <c r="I66" s="176"/>
      <c r="J66" s="176">
        <v>0.6</v>
      </c>
      <c r="L66" s="29" t="s">
        <v>3710</v>
      </c>
      <c r="M66" s="29" t="str">
        <f>_xlfn.XLOOKUP(L66,표2[material_id],표2[material_name])</f>
        <v>Caprolactam</v>
      </c>
      <c r="N66" s="29">
        <f t="shared" si="1"/>
        <v>98.155103440511837</v>
      </c>
      <c r="O66" s="116">
        <f>(표19[[#This Row],[end_use]]-MIN(표19[end_use]))/(MAX(표19[end_use])-MIN(표19[end_use]))*100</f>
        <v>76.778063605691571</v>
      </c>
    </row>
    <row r="67" spans="1:15">
      <c r="A67" s="29" t="s">
        <v>3711</v>
      </c>
      <c r="B67" s="176"/>
      <c r="C67" s="176"/>
      <c r="D67" s="176"/>
      <c r="E67" s="176">
        <v>0.6</v>
      </c>
      <c r="F67" s="176"/>
      <c r="G67" s="176"/>
      <c r="H67" s="176"/>
      <c r="I67" s="176">
        <v>0.6</v>
      </c>
      <c r="J67" s="176">
        <v>0.6</v>
      </c>
      <c r="L67" s="29" t="s">
        <v>3711</v>
      </c>
      <c r="M67" s="29" t="str">
        <f>_xlfn.XLOOKUP(L67,표2[material_id],표2[material_name])</f>
        <v>LAO</v>
      </c>
      <c r="N67" s="29">
        <f t="shared" si="1"/>
        <v>64.242416498109421</v>
      </c>
      <c r="O67" s="116">
        <f>(표19[[#This Row],[end_use]]-MIN(표19[end_use]))/(MAX(표19[end_use])-MIN(표19[end_use]))*100</f>
        <v>41.963149895898503</v>
      </c>
    </row>
    <row r="68" spans="1:15">
      <c r="A68" s="29" t="s">
        <v>3712</v>
      </c>
      <c r="B68" s="176"/>
      <c r="C68" s="176">
        <v>0.6</v>
      </c>
      <c r="D68" s="176"/>
      <c r="E68" s="176"/>
      <c r="F68" s="176"/>
      <c r="G68" s="176"/>
      <c r="H68" s="176"/>
      <c r="I68" s="176">
        <v>0.6</v>
      </c>
      <c r="J68" s="176">
        <v>0.6</v>
      </c>
      <c r="L68" s="29" t="s">
        <v>3712</v>
      </c>
      <c r="M68" s="29" t="str">
        <f>_xlfn.XLOOKUP(L68,표2[material_id],표2[material_name])</f>
        <v>PAO</v>
      </c>
      <c r="N68" s="29">
        <f t="shared" si="1"/>
        <v>68.331549992529006</v>
      </c>
      <c r="O68" s="116">
        <f>(표19[[#This Row],[end_use]]-MIN(표19[end_use]))/(MAX(표19[end_use])-MIN(표19[end_use]))*100</f>
        <v>46.161072342970677</v>
      </c>
    </row>
    <row r="69" spans="1:15">
      <c r="A69" s="29" t="s">
        <v>714</v>
      </c>
      <c r="B69" s="176"/>
      <c r="C69" s="176"/>
      <c r="D69" s="176">
        <v>0.1</v>
      </c>
      <c r="E69" s="176"/>
      <c r="F69" s="176"/>
      <c r="G69" s="176"/>
      <c r="H69" s="176"/>
      <c r="I69" s="176">
        <v>0.6</v>
      </c>
      <c r="J69" s="176">
        <v>0.6</v>
      </c>
      <c r="L69" s="29" t="s">
        <v>714</v>
      </c>
      <c r="M69" s="29" t="str">
        <f>_xlfn.XLOOKUP(L69,표2[material_id],표2[material_name])</f>
        <v>MMA</v>
      </c>
      <c r="N69" s="29">
        <f t="shared" ref="N69:N98" si="2">SUMPRODUCT($B$1:$I$1,B69:I69)</f>
        <v>30.401593035744391</v>
      </c>
      <c r="O69" s="116">
        <f>(표19[[#This Row],[end_use]]-MIN(표19[end_use]))/(MAX(표19[end_use])-MIN(표19[end_use]))*100</f>
        <v>7.2220115510783263</v>
      </c>
    </row>
    <row r="70" spans="1:15">
      <c r="A70" s="29" t="s">
        <v>715</v>
      </c>
      <c r="B70" s="176"/>
      <c r="C70" s="176">
        <v>0.6</v>
      </c>
      <c r="D70" s="176">
        <v>0.6</v>
      </c>
      <c r="E70" s="176">
        <v>0.3</v>
      </c>
      <c r="F70" s="176">
        <v>0.3</v>
      </c>
      <c r="G70" s="176"/>
      <c r="H70" s="176">
        <v>0.3</v>
      </c>
      <c r="I70" s="176"/>
      <c r="J70" s="176">
        <v>0.6</v>
      </c>
      <c r="L70" s="29" t="s">
        <v>715</v>
      </c>
      <c r="M70" s="29" t="str">
        <f>_xlfn.XLOOKUP(L70,표2[material_id],표2[material_name])</f>
        <v>PMMA</v>
      </c>
      <c r="N70" s="29">
        <f t="shared" si="2"/>
        <v>106.51999610987474</v>
      </c>
      <c r="O70" s="116">
        <f>(표19[[#This Row],[end_use]]-MIN(표19[end_use]))/(MAX(표19[end_use])-MIN(표19[end_use]))*100</f>
        <v>85.365499245048767</v>
      </c>
    </row>
    <row r="71" spans="1:15">
      <c r="A71" s="29" t="s">
        <v>4082</v>
      </c>
      <c r="B71" s="176">
        <v>0.1</v>
      </c>
      <c r="C71" s="176"/>
      <c r="D71" s="176">
        <v>0.6</v>
      </c>
      <c r="E71" s="176"/>
      <c r="F71" s="176"/>
      <c r="G71" s="176"/>
      <c r="H71" s="176"/>
      <c r="I71" s="176">
        <v>0.3</v>
      </c>
      <c r="J71" s="176">
        <v>0.6</v>
      </c>
      <c r="L71" s="29" t="s">
        <v>4082</v>
      </c>
      <c r="M71" s="29" t="str">
        <f>_xlfn.XLOOKUP(L71,표2[material_id],표2[material_name])</f>
        <v>Formaldehyde</v>
      </c>
      <c r="N71" s="29">
        <f t="shared" si="2"/>
        <v>23.366739556925037</v>
      </c>
      <c r="O71" s="116">
        <f>(표19[[#This Row],[end_use]]-MIN(표19[end_use]))/(MAX(표19[end_use])-MIN(표19[end_use]))*100</f>
        <v>0</v>
      </c>
    </row>
    <row r="72" spans="1:15">
      <c r="A72" s="29" t="s">
        <v>3713</v>
      </c>
      <c r="B72" s="176"/>
      <c r="C72" s="176">
        <v>0.6</v>
      </c>
      <c r="D72" s="176"/>
      <c r="E72" s="176"/>
      <c r="F72" s="176"/>
      <c r="G72" s="176"/>
      <c r="H72" s="176"/>
      <c r="I72" s="176">
        <v>0.3</v>
      </c>
      <c r="J72" s="176">
        <v>0.6</v>
      </c>
      <c r="L72" s="29" t="s">
        <v>3713</v>
      </c>
      <c r="M72" s="29" t="str">
        <f>_xlfn.XLOOKUP(L72,표2[material_id],표2[material_name])</f>
        <v>EC</v>
      </c>
      <c r="N72" s="29">
        <f t="shared" si="2"/>
        <v>53.711177664340795</v>
      </c>
      <c r="O72" s="116">
        <f>(표19[[#This Row],[end_use]]-MIN(표19[end_use]))/(MAX(표19[end_use])-MIN(표19[end_use]))*100</f>
        <v>31.151733747199117</v>
      </c>
    </row>
    <row r="73" spans="1:15">
      <c r="A73" s="29" t="s">
        <v>3714</v>
      </c>
      <c r="B73" s="176"/>
      <c r="C73" s="176">
        <v>0.6</v>
      </c>
      <c r="D73" s="176"/>
      <c r="E73" s="176"/>
      <c r="F73" s="176"/>
      <c r="G73" s="176"/>
      <c r="H73" s="176"/>
      <c r="I73" s="176">
        <v>0.6</v>
      </c>
      <c r="J73" s="176">
        <v>0.6</v>
      </c>
      <c r="L73" s="29" t="s">
        <v>3714</v>
      </c>
      <c r="M73" s="29" t="str">
        <f>_xlfn.XLOOKUP(L73,표2[material_id],표2[material_name])</f>
        <v>DMC</v>
      </c>
      <c r="N73" s="29">
        <f t="shared" si="2"/>
        <v>68.331549992529006</v>
      </c>
      <c r="O73" s="116">
        <f>(표19[[#This Row],[end_use]]-MIN(표19[end_use]))/(MAX(표19[end_use])-MIN(표19[end_use]))*100</f>
        <v>46.161072342970677</v>
      </c>
    </row>
    <row r="74" spans="1:15">
      <c r="A74" s="29" t="s">
        <v>3715</v>
      </c>
      <c r="B74" s="176"/>
      <c r="C74" s="176">
        <v>0.6</v>
      </c>
      <c r="D74" s="176"/>
      <c r="E74" s="176">
        <v>0.3</v>
      </c>
      <c r="F74" s="176"/>
      <c r="G74" s="176"/>
      <c r="H74" s="176"/>
      <c r="I74" s="176">
        <v>0.6</v>
      </c>
      <c r="J74" s="176">
        <v>0.6</v>
      </c>
      <c r="L74" s="29" t="s">
        <v>3715</v>
      </c>
      <c r="M74" s="29" t="str">
        <f>_xlfn.XLOOKUP(L74,표2[material_id],표2[material_name])</f>
        <v>PVOH</v>
      </c>
      <c r="N74" s="29">
        <f t="shared" si="2"/>
        <v>85.832385913395498</v>
      </c>
      <c r="O74" s="116">
        <f>(표19[[#This Row],[end_use]]-MIN(표19[end_use]))/(MAX(표19[end_use])-MIN(표19[end_use]))*100</f>
        <v>64.127507543727162</v>
      </c>
    </row>
    <row r="75" spans="1:15">
      <c r="A75" s="29" t="s">
        <v>3716</v>
      </c>
      <c r="B75" s="176"/>
      <c r="C75" s="176"/>
      <c r="D75" s="176"/>
      <c r="E75" s="176">
        <v>0.3</v>
      </c>
      <c r="F75" s="176"/>
      <c r="G75" s="176">
        <v>0.6</v>
      </c>
      <c r="H75" s="176"/>
      <c r="I75" s="176">
        <v>0.1</v>
      </c>
      <c r="J75" s="176">
        <v>0.6</v>
      </c>
      <c r="L75" s="29" t="s">
        <v>3716</v>
      </c>
      <c r="M75" s="29" t="str">
        <f>_xlfn.XLOOKUP(L75,표2[material_id],표2[material_name])</f>
        <v>EVA</v>
      </c>
      <c r="N75" s="29">
        <f t="shared" si="2"/>
        <v>39.693990333292867</v>
      </c>
      <c r="O75" s="116">
        <f>(표19[[#This Row],[end_use]]-MIN(표19[end_use]))/(MAX(표19[end_use])-MIN(표19[end_use]))*100</f>
        <v>16.761627524909102</v>
      </c>
    </row>
    <row r="76" spans="1:15">
      <c r="A76" s="29" t="s">
        <v>716</v>
      </c>
      <c r="B76" s="176"/>
      <c r="C76" s="176"/>
      <c r="D76" s="176">
        <v>0.6</v>
      </c>
      <c r="E76" s="176">
        <v>0.3</v>
      </c>
      <c r="F76" s="176"/>
      <c r="G76" s="176"/>
      <c r="H76" s="176"/>
      <c r="I76" s="176">
        <v>0.3</v>
      </c>
      <c r="J76" s="176">
        <v>0.6</v>
      </c>
      <c r="L76" s="29" t="s">
        <v>716</v>
      </c>
      <c r="M76" s="29" t="str">
        <f>_xlfn.XLOOKUP(L76,표2[material_id],표2[material_name])</f>
        <v>MDI</v>
      </c>
      <c r="N76" s="29">
        <f t="shared" si="2"/>
        <v>39.086298525262457</v>
      </c>
      <c r="O76" s="116">
        <f>(표19[[#This Row],[end_use]]-MIN(표19[end_use]))/(MAX(표19[end_use])-MIN(표19[end_use]))*100</f>
        <v>16.137768439527292</v>
      </c>
    </row>
    <row r="77" spans="1:15">
      <c r="A77" s="29" t="s">
        <v>717</v>
      </c>
      <c r="B77" s="176"/>
      <c r="C77" s="176"/>
      <c r="D77" s="176"/>
      <c r="E77" s="176">
        <v>0.6</v>
      </c>
      <c r="F77" s="176"/>
      <c r="G77" s="176"/>
      <c r="H77" s="176"/>
      <c r="I77" s="176">
        <v>0.3</v>
      </c>
      <c r="J77" s="176">
        <v>0.6</v>
      </c>
      <c r="L77" s="29" t="s">
        <v>717</v>
      </c>
      <c r="M77" s="29" t="str">
        <f>_xlfn.XLOOKUP(L77,표2[material_id],표2[material_name])</f>
        <v>TDI</v>
      </c>
      <c r="N77" s="29">
        <f t="shared" si="2"/>
        <v>49.622044169921203</v>
      </c>
      <c r="O77" s="116">
        <f>(표19[[#This Row],[end_use]]-MIN(표19[end_use]))/(MAX(표19[end_use])-MIN(표19[end_use]))*100</f>
        <v>26.953811300126933</v>
      </c>
    </row>
    <row r="78" spans="1:15">
      <c r="A78" s="29" t="s">
        <v>3717</v>
      </c>
      <c r="B78" s="176">
        <v>0.1</v>
      </c>
      <c r="C78" s="176"/>
      <c r="D78" s="176"/>
      <c r="E78" s="176"/>
      <c r="F78" s="176"/>
      <c r="G78" s="176"/>
      <c r="H78" s="176"/>
      <c r="I78" s="176">
        <v>0.6</v>
      </c>
      <c r="J78" s="176">
        <v>0.6</v>
      </c>
      <c r="L78" s="29" t="s">
        <v>3717</v>
      </c>
      <c r="M78" s="29" t="str">
        <f>_xlfn.XLOOKUP(L78,표2[material_id],표2[material_name])</f>
        <v>o-Xylene</v>
      </c>
      <c r="N78" s="29">
        <f t="shared" si="2"/>
        <v>31.022021608905501</v>
      </c>
      <c r="O78" s="116">
        <f>(표19[[#This Row],[end_use]]-MIN(표19[end_use]))/(MAX(표19[end_use])-MIN(표19[end_use]))*100</f>
        <v>7.8589462556147138</v>
      </c>
    </row>
    <row r="79" spans="1:15">
      <c r="A79" s="29" t="s">
        <v>3718</v>
      </c>
      <c r="B79" s="176"/>
      <c r="C79" s="176"/>
      <c r="D79" s="176"/>
      <c r="E79" s="176"/>
      <c r="F79" s="176"/>
      <c r="G79" s="176"/>
      <c r="H79" s="176"/>
      <c r="I79" s="176">
        <v>0.6</v>
      </c>
      <c r="J79" s="176">
        <v>0.6</v>
      </c>
      <c r="L79" s="29" t="s">
        <v>3718</v>
      </c>
      <c r="M79" s="29" t="str">
        <f>_xlfn.XLOOKUP(L79,표2[material_id],표2[material_name])</f>
        <v>m-Xylene</v>
      </c>
      <c r="N79" s="29">
        <f t="shared" si="2"/>
        <v>29.240744656376432</v>
      </c>
      <c r="O79" s="116">
        <f>(표19[[#This Row],[end_use]]-MIN(표19[end_use]))/(MAX(표19[end_use])-MIN(표19[end_use]))*100</f>
        <v>6.0302794943855176</v>
      </c>
    </row>
    <row r="80" spans="1:15">
      <c r="A80" s="29" t="s">
        <v>711</v>
      </c>
      <c r="B80" s="176"/>
      <c r="C80" s="176"/>
      <c r="D80" s="176"/>
      <c r="E80" s="176"/>
      <c r="F80" s="176"/>
      <c r="G80" s="176"/>
      <c r="H80" s="176"/>
      <c r="I80" s="176">
        <v>0.6</v>
      </c>
      <c r="J80" s="176">
        <v>0.6</v>
      </c>
      <c r="L80" s="29" t="s">
        <v>711</v>
      </c>
      <c r="M80" s="29" t="str">
        <f>_xlfn.XLOOKUP(L80,표2[material_id],표2[material_name])</f>
        <v>p-Xylene</v>
      </c>
      <c r="N80" s="29">
        <f t="shared" si="2"/>
        <v>29.240744656376432</v>
      </c>
      <c r="O80" s="116">
        <f>(표19[[#This Row],[end_use]]-MIN(표19[end_use]))/(MAX(표19[end_use])-MIN(표19[end_use]))*100</f>
        <v>6.0302794943855176</v>
      </c>
    </row>
    <row r="81" spans="1:15">
      <c r="A81" s="29" t="s">
        <v>663</v>
      </c>
      <c r="B81" s="176"/>
      <c r="C81" s="176"/>
      <c r="D81" s="176"/>
      <c r="E81" s="176">
        <v>0.6</v>
      </c>
      <c r="F81" s="176"/>
      <c r="G81" s="176"/>
      <c r="H81" s="176"/>
      <c r="I81" s="176">
        <v>0.3</v>
      </c>
      <c r="J81" s="176">
        <v>0.6</v>
      </c>
      <c r="L81" s="29" t="s">
        <v>663</v>
      </c>
      <c r="M81" s="29" t="str">
        <f>_xlfn.XLOOKUP(L81,표2[material_id],표2[material_name])</f>
        <v>PIA</v>
      </c>
      <c r="N81" s="29">
        <f t="shared" si="2"/>
        <v>49.622044169921203</v>
      </c>
      <c r="O81" s="116">
        <f>(표19[[#This Row],[end_use]]-MIN(표19[end_use]))/(MAX(표19[end_use])-MIN(표19[end_use]))*100</f>
        <v>26.953811300126933</v>
      </c>
    </row>
    <row r="82" spans="1:15">
      <c r="A82" s="29" t="s">
        <v>664</v>
      </c>
      <c r="B82" s="176"/>
      <c r="C82" s="176"/>
      <c r="D82" s="176"/>
      <c r="E82" s="176">
        <v>0.6</v>
      </c>
      <c r="F82" s="176">
        <v>0.1</v>
      </c>
      <c r="G82" s="176"/>
      <c r="H82" s="176"/>
      <c r="I82" s="176">
        <v>0.1</v>
      </c>
      <c r="J82" s="176">
        <v>0.6</v>
      </c>
      <c r="L82" s="29" t="s">
        <v>664</v>
      </c>
      <c r="M82" s="29" t="str">
        <f>_xlfn.XLOOKUP(L82,표2[material_id],표2[material_name])</f>
        <v>TPA</v>
      </c>
      <c r="N82" s="29">
        <f t="shared" si="2"/>
        <v>47.896004705337809</v>
      </c>
      <c r="O82" s="116">
        <f>(표19[[#This Row],[end_use]]-MIN(표19[end_use]))/(MAX(표19[end_use])-MIN(표19[end_use]))*100</f>
        <v>25.181851587196231</v>
      </c>
    </row>
    <row r="83" spans="1:15">
      <c r="A83" s="29" t="s">
        <v>665</v>
      </c>
      <c r="B83" s="176"/>
      <c r="C83" s="176"/>
      <c r="D83" s="176"/>
      <c r="E83" s="176">
        <v>0.6</v>
      </c>
      <c r="F83" s="176">
        <v>0.1</v>
      </c>
      <c r="G83" s="176"/>
      <c r="H83" s="176"/>
      <c r="I83" s="176"/>
      <c r="J83" s="176">
        <v>0.6</v>
      </c>
      <c r="L83" s="29" t="s">
        <v>665</v>
      </c>
      <c r="M83" s="29" t="str">
        <f>_xlfn.XLOOKUP(L83,표2[material_id],표2[material_name])</f>
        <v>DMT</v>
      </c>
      <c r="N83" s="29">
        <f t="shared" si="2"/>
        <v>43.022547262608406</v>
      </c>
      <c r="O83" s="116">
        <f>(표19[[#This Row],[end_use]]-MIN(표19[end_use]))/(MAX(표19[end_use])-MIN(표19[end_use]))*100</f>
        <v>20.178738721939041</v>
      </c>
    </row>
    <row r="84" spans="1:15">
      <c r="A84" s="29" t="s">
        <v>3719</v>
      </c>
      <c r="B84" s="176"/>
      <c r="C84" s="176"/>
      <c r="D84" s="176"/>
      <c r="E84" s="176">
        <v>0.6</v>
      </c>
      <c r="F84" s="176"/>
      <c r="G84" s="176"/>
      <c r="H84" s="176"/>
      <c r="I84" s="176"/>
      <c r="J84" s="176">
        <v>0.6</v>
      </c>
      <c r="L84" s="29" t="s">
        <v>3719</v>
      </c>
      <c r="M84" s="29" t="str">
        <f>_xlfn.XLOOKUP(L84,표2[material_id],표2[material_name])</f>
        <v>PET</v>
      </c>
      <c r="N84" s="29">
        <f t="shared" si="2"/>
        <v>35.001671841732986</v>
      </c>
      <c r="O84" s="116">
        <f>(표19[[#This Row],[end_use]]-MIN(표19[end_use]))/(MAX(표19[end_use])-MIN(표19[end_use]))*100</f>
        <v>11.944472704355364</v>
      </c>
    </row>
    <row r="85" spans="1:15">
      <c r="A85" s="29" t="s">
        <v>3720</v>
      </c>
      <c r="B85" s="176"/>
      <c r="C85" s="176">
        <v>0.6</v>
      </c>
      <c r="D85" s="176">
        <v>0.6</v>
      </c>
      <c r="E85" s="176">
        <v>0.3</v>
      </c>
      <c r="F85" s="176">
        <v>0.3</v>
      </c>
      <c r="G85" s="176"/>
      <c r="H85" s="176"/>
      <c r="I85" s="176">
        <v>0.6</v>
      </c>
      <c r="J85" s="176">
        <v>0.6</v>
      </c>
      <c r="L85" s="29" t="s">
        <v>3720</v>
      </c>
      <c r="M85" s="29" t="str">
        <f>_xlfn.XLOOKUP(L85,표2[material_id],표2[material_name])</f>
        <v>EPDM</v>
      </c>
      <c r="N85" s="29">
        <f t="shared" si="2"/>
        <v>116.86010245222953</v>
      </c>
      <c r="O85" s="116">
        <f>(표19[[#This Row],[end_use]]-MIN(표19[end_use]))/(MAX(표19[end_use])-MIN(표19[end_use]))*100</f>
        <v>95.980697936635067</v>
      </c>
    </row>
    <row r="86" spans="1:15">
      <c r="A86" s="29" t="s">
        <v>3721</v>
      </c>
      <c r="B86" s="176"/>
      <c r="C86" s="176">
        <v>0.1</v>
      </c>
      <c r="D86" s="176"/>
      <c r="E86" s="176"/>
      <c r="F86" s="176"/>
      <c r="G86" s="176"/>
      <c r="H86" s="176"/>
      <c r="I86" s="176">
        <v>0.6</v>
      </c>
      <c r="J86" s="176">
        <v>0.6</v>
      </c>
      <c r="L86" s="29" t="s">
        <v>3721</v>
      </c>
      <c r="M86" s="29" t="str">
        <f>_xlfn.XLOOKUP(L86,표2[material_id],표2[material_name])</f>
        <v>ECH</v>
      </c>
      <c r="N86" s="29">
        <f t="shared" si="2"/>
        <v>35.755878879068526</v>
      </c>
      <c r="O86" s="116">
        <f>(표19[[#This Row],[end_use]]-MIN(표19[end_use]))/(MAX(표19[end_use])-MIN(표19[end_use]))*100</f>
        <v>12.718744969149709</v>
      </c>
    </row>
    <row r="87" spans="1:15">
      <c r="A87" s="29" t="s">
        <v>3722</v>
      </c>
      <c r="B87" s="176"/>
      <c r="C87" s="176">
        <v>0.6</v>
      </c>
      <c r="D87" s="176">
        <v>0.3</v>
      </c>
      <c r="E87" s="176">
        <v>0.1</v>
      </c>
      <c r="F87" s="176"/>
      <c r="G87" s="176"/>
      <c r="H87" s="176">
        <v>0.1</v>
      </c>
      <c r="I87" s="176">
        <v>0.1</v>
      </c>
      <c r="J87" s="176">
        <v>0.6</v>
      </c>
      <c r="L87" s="29" t="s">
        <v>3722</v>
      </c>
      <c r="M87" s="29" t="str">
        <f>_xlfn.XLOOKUP(L87,표2[material_id],표2[material_name])</f>
        <v>Adipic Acid</v>
      </c>
      <c r="N87" s="29">
        <f t="shared" si="2"/>
        <v>59.58063266194857</v>
      </c>
      <c r="O87" s="116">
        <f>(표19[[#This Row],[end_use]]-MIN(표19[end_use]))/(MAX(표19[end_use])-MIN(표19[end_use]))*100</f>
        <v>37.177342087000937</v>
      </c>
    </row>
    <row r="88" spans="1:15">
      <c r="A88" s="29" t="s">
        <v>4031</v>
      </c>
      <c r="B88" s="176"/>
      <c r="C88" s="176"/>
      <c r="D88" s="176"/>
      <c r="E88" s="176">
        <v>0.1</v>
      </c>
      <c r="F88" s="176"/>
      <c r="G88" s="176">
        <v>0.3</v>
      </c>
      <c r="H88" s="176"/>
      <c r="I88" s="176">
        <v>0.6</v>
      </c>
      <c r="J88" s="176">
        <v>0.6</v>
      </c>
      <c r="L88" s="29" t="s">
        <v>4031</v>
      </c>
      <c r="M88" s="29" t="str">
        <f>_xlfn.XLOOKUP(L88,표2[material_id],표2[material_name])</f>
        <v>n-Butane</v>
      </c>
      <c r="N88" s="29">
        <f t="shared" si="2"/>
        <v>43.734205114847086</v>
      </c>
      <c r="O88" s="116">
        <f>(표19[[#This Row],[end_use]]-MIN(표19[end_use]))/(MAX(표19[end_use])-MIN(표19[end_use]))*100</f>
        <v>20.909329805997544</v>
      </c>
    </row>
    <row r="89" spans="1:15">
      <c r="A89" s="29" t="s">
        <v>3723</v>
      </c>
      <c r="B89" s="176"/>
      <c r="C89" s="176">
        <v>0.6</v>
      </c>
      <c r="D89" s="176"/>
      <c r="E89" s="176">
        <v>0.6</v>
      </c>
      <c r="F89" s="176"/>
      <c r="G89" s="176"/>
      <c r="H89" s="176">
        <v>0.1</v>
      </c>
      <c r="I89" s="176">
        <v>0.1</v>
      </c>
      <c r="J89" s="176">
        <v>0.6</v>
      </c>
      <c r="L89" s="29" t="s">
        <v>3723</v>
      </c>
      <c r="M89" s="29" t="str">
        <f>_xlfn.XLOOKUP(L89,표2[material_id],표2[material_name])</f>
        <v>Isoprene</v>
      </c>
      <c r="N89" s="29">
        <f t="shared" si="2"/>
        <v>85.266147391955528</v>
      </c>
      <c r="O89" s="116">
        <f>(표19[[#This Row],[end_use]]-MIN(표19[end_use]))/(MAX(표19[end_use])-MIN(표19[end_use]))*100</f>
        <v>63.54620458485001</v>
      </c>
    </row>
    <row r="90" spans="1:15">
      <c r="A90" s="29" t="s">
        <v>3724</v>
      </c>
      <c r="B90" s="176"/>
      <c r="C90" s="176">
        <v>0.3</v>
      </c>
      <c r="D90" s="176">
        <v>0.3</v>
      </c>
      <c r="E90" s="176">
        <v>0.3</v>
      </c>
      <c r="F90" s="176"/>
      <c r="G90" s="176"/>
      <c r="H90" s="176"/>
      <c r="I90" s="176">
        <v>0.6</v>
      </c>
      <c r="J90" s="176">
        <v>0.6</v>
      </c>
      <c r="L90" s="29" t="s">
        <v>3724</v>
      </c>
      <c r="M90" s="29" t="str">
        <f>_xlfn.XLOOKUP(L90,표2[material_id],표2[material_name])</f>
        <v>Piperylene</v>
      </c>
      <c r="N90" s="29">
        <f t="shared" si="2"/>
        <v>69.769528383423093</v>
      </c>
      <c r="O90" s="116">
        <f>(표19[[#This Row],[end_use]]-MIN(표19[end_use]))/(MAX(표19[end_use])-MIN(표19[end_use]))*100</f>
        <v>47.637307289513018</v>
      </c>
    </row>
    <row r="91" spans="1:15">
      <c r="A91" s="29" t="s">
        <v>3725</v>
      </c>
      <c r="B91" s="176"/>
      <c r="C91" s="176">
        <v>0.3</v>
      </c>
      <c r="D91" s="176"/>
      <c r="E91" s="176">
        <v>0.6</v>
      </c>
      <c r="F91" s="176">
        <v>0.1</v>
      </c>
      <c r="G91" s="176"/>
      <c r="H91" s="176"/>
      <c r="I91" s="176">
        <v>0.6</v>
      </c>
      <c r="J91" s="176">
        <v>0.6</v>
      </c>
      <c r="L91" s="29" t="s">
        <v>3725</v>
      </c>
      <c r="M91" s="29" t="str">
        <f>_xlfn.XLOOKUP(L91,표2[material_id],표2[material_name])</f>
        <v>DCPD</v>
      </c>
      <c r="N91" s="29">
        <f t="shared" si="2"/>
        <v>91.808694587061126</v>
      </c>
      <c r="O91" s="116">
        <f>(표19[[#This Row],[end_use]]-MIN(표19[end_use]))/(MAX(표19[end_use])-MIN(표19[end_use]))*100</f>
        <v>70.262812337774761</v>
      </c>
    </row>
    <row r="92" spans="1:15">
      <c r="A92" s="29" t="s">
        <v>3726</v>
      </c>
      <c r="B92" s="176"/>
      <c r="C92" s="176">
        <v>0.6</v>
      </c>
      <c r="D92" s="176"/>
      <c r="E92" s="176">
        <v>0.3</v>
      </c>
      <c r="F92" s="176"/>
      <c r="G92" s="176"/>
      <c r="H92" s="176">
        <v>0.3</v>
      </c>
      <c r="I92" s="176"/>
      <c r="J92" s="176">
        <v>0.6</v>
      </c>
      <c r="L92" s="29" t="s">
        <v>3726</v>
      </c>
      <c r="M92" s="29" t="str">
        <f>_xlfn.XLOOKUP(L92,표2[material_id],표2[material_name])</f>
        <v>IR</v>
      </c>
      <c r="N92" s="29">
        <f t="shared" si="2"/>
        <v>75.492279571040726</v>
      </c>
      <c r="O92" s="116">
        <f>(표19[[#This Row],[end_use]]-MIN(표19[end_use]))/(MAX(표19[end_use])-MIN(표19[end_use]))*100</f>
        <v>53.51230885214089</v>
      </c>
    </row>
    <row r="93" spans="1:15">
      <c r="A93" s="29" t="s">
        <v>3727</v>
      </c>
      <c r="B93" s="176"/>
      <c r="C93" s="176"/>
      <c r="D93" s="176">
        <v>0.3</v>
      </c>
      <c r="E93" s="176">
        <v>0.6</v>
      </c>
      <c r="F93" s="176"/>
      <c r="G93" s="176"/>
      <c r="H93" s="176"/>
      <c r="I93" s="176">
        <v>0.3</v>
      </c>
      <c r="J93" s="176">
        <v>0.6</v>
      </c>
      <c r="L93" s="29" t="s">
        <v>3727</v>
      </c>
      <c r="M93" s="29" t="str">
        <f>_xlfn.XLOOKUP(L93,표2[material_id],표2[material_name])</f>
        <v>SIS</v>
      </c>
      <c r="N93" s="29">
        <f t="shared" si="2"/>
        <v>53.104589308025076</v>
      </c>
      <c r="O93" s="116">
        <f>(표19[[#This Row],[end_use]]-MIN(표19[end_use]))/(MAX(표19[end_use])-MIN(표19[end_use]))*100</f>
        <v>30.529007470205361</v>
      </c>
    </row>
    <row r="94" spans="1:15">
      <c r="A94" s="29" t="s">
        <v>3728</v>
      </c>
      <c r="B94" s="176"/>
      <c r="C94" s="176"/>
      <c r="D94" s="176"/>
      <c r="E94" s="176"/>
      <c r="F94" s="176"/>
      <c r="G94" s="176"/>
      <c r="H94" s="176"/>
      <c r="I94" s="176">
        <v>0.6</v>
      </c>
      <c r="J94" s="176">
        <v>0.6</v>
      </c>
      <c r="L94" s="29" t="s">
        <v>3728</v>
      </c>
      <c r="M94" s="29" t="str">
        <f>_xlfn.XLOOKUP(L94,표2[material_id],표2[material_name])</f>
        <v>i-butyraldehyde</v>
      </c>
      <c r="N94" s="29">
        <f t="shared" si="2"/>
        <v>29.240744656376432</v>
      </c>
      <c r="O94" s="116">
        <f>(표19[[#This Row],[end_use]]-MIN(표19[end_use]))/(MAX(표19[end_use])-MIN(표19[end_use]))*100</f>
        <v>6.0302794943855176</v>
      </c>
    </row>
    <row r="95" spans="1:15">
      <c r="A95" s="29" t="s">
        <v>1060</v>
      </c>
      <c r="B95" s="176"/>
      <c r="C95" s="176">
        <v>0.3</v>
      </c>
      <c r="D95" s="176">
        <v>0.3</v>
      </c>
      <c r="E95" s="176">
        <v>0.6</v>
      </c>
      <c r="F95" s="176"/>
      <c r="G95" s="176"/>
      <c r="H95" s="176"/>
      <c r="I95" s="176">
        <v>0.6</v>
      </c>
      <c r="J95" s="176">
        <v>0.6</v>
      </c>
      <c r="L95" s="29" t="s">
        <v>1060</v>
      </c>
      <c r="M95" s="29" t="str">
        <f>_xlfn.XLOOKUP(L95,표2[material_id],표2[material_name])</f>
        <v>DCPD Resin</v>
      </c>
      <c r="N95" s="29">
        <f t="shared" si="2"/>
        <v>87.270364304289586</v>
      </c>
      <c r="O95" s="116">
        <f>(표19[[#This Row],[end_use]]-MIN(표19[end_use]))/(MAX(표19[end_use])-MIN(표19[end_use]))*100</f>
        <v>65.603742490269511</v>
      </c>
    </row>
    <row r="96" spans="1:15">
      <c r="A96" s="29" t="s">
        <v>1061</v>
      </c>
      <c r="B96" s="176"/>
      <c r="C96" s="176">
        <v>0.3</v>
      </c>
      <c r="D96" s="176">
        <v>0.6</v>
      </c>
      <c r="E96" s="176"/>
      <c r="F96" s="176"/>
      <c r="G96" s="176"/>
      <c r="H96" s="176"/>
      <c r="I96" s="176">
        <v>0.3</v>
      </c>
      <c r="J96" s="176">
        <v>0.6</v>
      </c>
      <c r="L96" s="29" t="s">
        <v>1061</v>
      </c>
      <c r="M96" s="29" t="str">
        <f>_xlfn.XLOOKUP(L96,표2[material_id],표2[material_name])</f>
        <v>UPR</v>
      </c>
      <c r="N96" s="29">
        <f t="shared" si="2"/>
        <v>41.130865272472256</v>
      </c>
      <c r="O96" s="116">
        <f>(표19[[#This Row],[end_use]]-MIN(표19[end_use]))/(MAX(표19[end_use])-MIN(표19[end_use]))*100</f>
        <v>18.236729663063386</v>
      </c>
    </row>
    <row r="97" spans="1:15">
      <c r="A97" s="29" t="s">
        <v>1062</v>
      </c>
      <c r="B97" s="176"/>
      <c r="C97" s="176"/>
      <c r="D97" s="176"/>
      <c r="E97" s="176"/>
      <c r="F97" s="176"/>
      <c r="G97" s="176"/>
      <c r="H97" s="176"/>
      <c r="I97" s="176">
        <v>0.6</v>
      </c>
      <c r="J97" s="176">
        <v>0.6</v>
      </c>
      <c r="L97" s="29" t="s">
        <v>1062</v>
      </c>
      <c r="M97" s="29" t="str">
        <f>_xlfn.XLOOKUP(L97,표2[material_id],표2[material_name])</f>
        <v>ENB</v>
      </c>
      <c r="N97" s="29">
        <f t="shared" si="2"/>
        <v>29.240744656376432</v>
      </c>
      <c r="O97" s="116">
        <f>(표19[[#This Row],[end_use]]-MIN(표19[end_use]))/(MAX(표19[end_use])-MIN(표19[end_use]))*100</f>
        <v>6.0302794943855176</v>
      </c>
    </row>
    <row r="98" spans="1:15">
      <c r="A98" s="29" t="s">
        <v>1063</v>
      </c>
      <c r="B98" s="176"/>
      <c r="C98" s="176">
        <v>0.6</v>
      </c>
      <c r="D98" s="176">
        <v>0.3</v>
      </c>
      <c r="E98" s="176"/>
      <c r="F98" s="176"/>
      <c r="G98" s="176"/>
      <c r="H98" s="176"/>
      <c r="I98" s="176">
        <v>0.6</v>
      </c>
      <c r="J98" s="176">
        <v>0.6</v>
      </c>
      <c r="L98" s="29" t="s">
        <v>1063</v>
      </c>
      <c r="M98" s="29" t="str">
        <f>_xlfn.XLOOKUP(L98,표2[material_id],표2[material_name])</f>
        <v>PolyDCPD</v>
      </c>
      <c r="N98" s="29">
        <f t="shared" si="2"/>
        <v>71.814095130632879</v>
      </c>
      <c r="O98" s="116">
        <f>(표19[[#This Row],[end_use]]-MIN(표19[end_use]))/(MAX(표19[end_use])-MIN(표19[end_use]))*100</f>
        <v>49.736268513049104</v>
      </c>
    </row>
    <row r="99" spans="1:15">
      <c r="A99" s="29" t="s">
        <v>1064</v>
      </c>
      <c r="B99" s="176"/>
      <c r="C99" s="176"/>
      <c r="D99" s="176"/>
      <c r="E99" s="176"/>
      <c r="F99" s="176">
        <v>0.6</v>
      </c>
      <c r="G99" s="176"/>
      <c r="H99" s="176">
        <v>0.6</v>
      </c>
      <c r="I99" s="176"/>
      <c r="J99" s="176">
        <v>0.6</v>
      </c>
      <c r="L99" s="29" t="s">
        <v>1064</v>
      </c>
      <c r="M99" s="29" t="str">
        <f>_xlfn.XLOOKUP(L99,표2[material_id],표2[material_name])</f>
        <v>COP</v>
      </c>
      <c r="N99" s="29">
        <f t="shared" ref="N99:N100" si="3">SUMPRODUCT($B$1:$I$1,B99:I99)</f>
        <v>85.926529153295832</v>
      </c>
      <c r="O99" s="116">
        <f>(표19[[#This Row],[end_use]]-MIN(표19[end_use]))/(MAX(표19[end_use])-MIN(표19[end_use]))*100</f>
        <v>64.224155408258127</v>
      </c>
    </row>
    <row r="100" spans="1:15">
      <c r="A100" s="29" t="s">
        <v>4014</v>
      </c>
      <c r="B100" s="176"/>
      <c r="C100" s="176">
        <v>0.3</v>
      </c>
      <c r="D100" s="176">
        <v>0.3</v>
      </c>
      <c r="E100" s="176">
        <v>0.6</v>
      </c>
      <c r="F100" s="176"/>
      <c r="G100" s="176"/>
      <c r="H100" s="176"/>
      <c r="I100" s="176">
        <v>0.6</v>
      </c>
      <c r="J100" s="176">
        <v>0.6</v>
      </c>
      <c r="L100" s="29" t="s">
        <v>4014</v>
      </c>
      <c r="M100" s="29" t="str">
        <f>_xlfn.XLOOKUP(L100,표2[material_id],표2[material_name])</f>
        <v>C5 Resin</v>
      </c>
      <c r="N100" s="29">
        <f t="shared" si="3"/>
        <v>87.270364304289586</v>
      </c>
      <c r="O100" s="116">
        <f>(표19[[#This Row],[end_use]]-MIN(표19[end_use]))/(MAX(표19[end_use])-MIN(표19[end_use]))*100</f>
        <v>65.603742490269511</v>
      </c>
    </row>
    <row r="101" spans="1:15">
      <c r="A101" s="29" t="s">
        <v>3952</v>
      </c>
      <c r="B101" s="176"/>
      <c r="C101" s="176"/>
      <c r="D101" s="176"/>
      <c r="E101" s="176">
        <v>0.3</v>
      </c>
      <c r="F101" s="176">
        <v>0.6</v>
      </c>
      <c r="G101" s="176"/>
      <c r="H101" s="176"/>
      <c r="I101" s="176">
        <v>0.6</v>
      </c>
      <c r="J101" s="176">
        <v>0.6</v>
      </c>
      <c r="L101" s="29" t="s">
        <v>3952</v>
      </c>
      <c r="M101" s="29" t="str">
        <f>_xlfn.XLOOKUP(L101,표2[material_id],표2[material_name])</f>
        <v>Chlorobenzene</v>
      </c>
      <c r="N101" s="29">
        <f>SUMPRODUCT($B$1:$I$1,B101:I101)</f>
        <v>94.866833102495448</v>
      </c>
      <c r="O101" s="116">
        <f>(표19[[#This Row],[end_use]]-MIN(표19[end_use]))/(MAX(표19[end_use])-MIN(표19[end_use]))*100</f>
        <v>73.402310800644074</v>
      </c>
    </row>
    <row r="102" spans="1:15">
      <c r="A102" s="29" t="s">
        <v>3708</v>
      </c>
      <c r="B102" s="176">
        <v>0.6</v>
      </c>
      <c r="C102" s="176">
        <v>0.6</v>
      </c>
      <c r="D102" s="176">
        <v>0.6</v>
      </c>
      <c r="E102" s="176">
        <v>0.6</v>
      </c>
      <c r="F102" s="176">
        <v>0.6</v>
      </c>
      <c r="G102" s="176">
        <v>0.6</v>
      </c>
      <c r="H102" s="176">
        <v>0.6</v>
      </c>
      <c r="I102" s="176">
        <v>0.6</v>
      </c>
      <c r="J102" s="176">
        <v>0.6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39A12-0738-40A1-8E55-B0DA119084F5}">
  <sheetPr codeName="Sheet8"/>
  <dimension ref="A1:J104"/>
  <sheetViews>
    <sheetView topLeftCell="A4" zoomScale="85" zoomScaleNormal="85" workbookViewId="0">
      <selection activeCell="D22" sqref="D22"/>
    </sheetView>
  </sheetViews>
  <sheetFormatPr defaultRowHeight="16.5"/>
  <cols>
    <col min="1" max="1" width="11.375" bestFit="1" customWidth="1"/>
    <col min="2" max="2" width="24.125" bestFit="1" customWidth="1"/>
    <col min="3" max="3" width="16.625" bestFit="1" customWidth="1"/>
    <col min="9" max="9" width="14.125" customWidth="1"/>
    <col min="10" max="10" width="15.875" customWidth="1"/>
    <col min="11" max="11" width="14.625" bestFit="1" customWidth="1"/>
    <col min="13" max="13" width="17.875" customWidth="1"/>
    <col min="14" max="14" width="15.875" bestFit="1" customWidth="1"/>
  </cols>
  <sheetData>
    <row r="1" spans="1:10">
      <c r="A1" t="s">
        <v>2048</v>
      </c>
      <c r="B1" t="s">
        <v>2049</v>
      </c>
      <c r="C1" t="s">
        <v>2052</v>
      </c>
      <c r="D1" t="s">
        <v>1</v>
      </c>
      <c r="E1" t="s">
        <v>3938</v>
      </c>
      <c r="F1" t="s">
        <v>3939</v>
      </c>
      <c r="G1" t="s">
        <v>3731</v>
      </c>
      <c r="H1" t="s">
        <v>4518</v>
      </c>
      <c r="I1" t="s">
        <v>4519</v>
      </c>
      <c r="J1" t="s">
        <v>3903</v>
      </c>
    </row>
    <row r="2" spans="1:10">
      <c r="A2" t="s">
        <v>2070</v>
      </c>
      <c r="B2" s="1" t="s">
        <v>3742</v>
      </c>
      <c r="C2" t="s">
        <v>267</v>
      </c>
      <c r="D2" t="str">
        <f>_xlfn.XLOOKUP(Group[[#This Row],[material]],표2[material_name],표2[material_id])</f>
        <v>M025</v>
      </c>
      <c r="E2" t="s">
        <v>7</v>
      </c>
      <c r="F2" t="s">
        <v>7</v>
      </c>
      <c r="G2" s="157">
        <f>_xlfn.XLOOKUP(Group[[#This Row],[material_id]],표19[material_id],표19[end_use_att])</f>
        <v>92.178444818585987</v>
      </c>
      <c r="H2" s="108">
        <f>_xlfn.XLOOKUP(Group[[#This Row],[material]],표22[material],표22[Total])</f>
        <v>68</v>
      </c>
      <c r="I2" s="158">
        <f>Group[[#This Row],[end_use_att]]+Group[[#This Row],[supply_value_overall_score]]</f>
        <v>160.178444818586</v>
      </c>
      <c r="J2" s="158">
        <f>AVERAGEIF(Group[group_name],Group[[#This Row],[group_name]],Group[total_score])</f>
        <v>160.178444818586</v>
      </c>
    </row>
    <row r="3" spans="1:10">
      <c r="A3" t="s">
        <v>2068</v>
      </c>
      <c r="B3" s="1" t="s">
        <v>3740</v>
      </c>
      <c r="C3" t="s">
        <v>548</v>
      </c>
      <c r="D3" t="str">
        <f>_xlfn.XLOOKUP(Group[[#This Row],[material]],표2[material_name],표2[material_id])</f>
        <v>M075</v>
      </c>
      <c r="E3" t="s">
        <v>548</v>
      </c>
      <c r="F3" t="s">
        <v>5</v>
      </c>
      <c r="G3" s="157">
        <f>_xlfn.XLOOKUP(Group[[#This Row],[material_id]],표19[material_id],표19[end_use_att])</f>
        <v>41.963149895898503</v>
      </c>
      <c r="H3" s="107">
        <f>_xlfn.XLOOKUP(Group[[#This Row],[material]],표22[material],표22[Total])</f>
        <v>100</v>
      </c>
      <c r="I3" s="158">
        <f>Group[[#This Row],[end_use_att]]+Group[[#This Row],[supply_value_overall_score]]</f>
        <v>141.96314989589851</v>
      </c>
      <c r="J3" s="158">
        <f>AVERAGEIF(Group[group_name],Group[[#This Row],[group_name]],Group[total_score])</f>
        <v>136.56211111943458</v>
      </c>
    </row>
    <row r="4" spans="1:10">
      <c r="A4" t="s">
        <v>2092</v>
      </c>
      <c r="B4" s="1" t="s">
        <v>3740</v>
      </c>
      <c r="C4" t="s">
        <v>567</v>
      </c>
      <c r="D4" t="str">
        <f>_xlfn.XLOOKUP(Group[[#This Row],[material]],표2[material_name],표2[material_id])</f>
        <v>M077</v>
      </c>
      <c r="E4" t="s">
        <v>548</v>
      </c>
      <c r="F4" t="s">
        <v>5</v>
      </c>
      <c r="G4" s="157">
        <f>_xlfn.XLOOKUP(Group[[#This Row],[material_id]],표19[material_id],표19[end_use_att])</f>
        <v>46.161072342970677</v>
      </c>
      <c r="H4" s="107">
        <f>_xlfn.XLOOKUP(Group[[#This Row],[material]],표22[material],표22[Total])</f>
        <v>85</v>
      </c>
      <c r="I4" s="158">
        <f>Group[[#This Row],[end_use_att]]+Group[[#This Row],[supply_value_overall_score]]</f>
        <v>131.16107234297067</v>
      </c>
      <c r="J4" s="158">
        <f>AVERAGEIF(Group[group_name],Group[[#This Row],[group_name]],Group[total_score])</f>
        <v>136.56211111943458</v>
      </c>
    </row>
    <row r="5" spans="1:10">
      <c r="A5" t="s">
        <v>4035</v>
      </c>
      <c r="B5" t="s">
        <v>4037</v>
      </c>
      <c r="C5" t="s">
        <v>1002</v>
      </c>
      <c r="D5" t="str">
        <f>_xlfn.XLOOKUP(Group[[#This Row],[material]],표2[material_name],표2[material_id])</f>
        <v>M103</v>
      </c>
      <c r="E5" t="s">
        <v>1002</v>
      </c>
      <c r="F5" t="s">
        <v>1002</v>
      </c>
      <c r="G5" s="157">
        <f>_xlfn.XLOOKUP(Group[[#This Row],[material_id]],표19[material_id],표19[end_use_att])</f>
        <v>47.637307289513018</v>
      </c>
      <c r="H5" s="108">
        <f>_xlfn.XLOOKUP(Group[[#This Row],[material]],표22[material],표22[Total])</f>
        <v>78</v>
      </c>
      <c r="I5" s="158">
        <f>Group[[#This Row],[end_use_att]]+Group[[#This Row],[supply_value_overall_score]]</f>
        <v>125.63730728951302</v>
      </c>
      <c r="J5" s="158">
        <f>AVERAGEIF(Group[group_name],Group[[#This Row],[group_name]],Group[total_score])</f>
        <v>129.62052488989127</v>
      </c>
    </row>
    <row r="6" spans="1:10">
      <c r="A6" t="s">
        <v>4035</v>
      </c>
      <c r="B6" t="s">
        <v>4037</v>
      </c>
      <c r="C6" t="s">
        <v>1083</v>
      </c>
      <c r="D6" t="str">
        <f>_xlfn.XLOOKUP(Group[[#This Row],[material]],표2[material_name],표2[material_id])</f>
        <v>M113</v>
      </c>
      <c r="E6" t="s">
        <v>1002</v>
      </c>
      <c r="F6" t="s">
        <v>1002</v>
      </c>
      <c r="G6" s="157">
        <f>_xlfn.XLOOKUP(Group[[#This Row],[material_id]],표19[material_id],표19[end_use_att])</f>
        <v>65.603742490269511</v>
      </c>
      <c r="H6" s="108">
        <f>_xlfn.XLOOKUP(Group[[#This Row],[material]],표22[material],표22[Total])</f>
        <v>68</v>
      </c>
      <c r="I6" s="158">
        <f>Group[[#This Row],[end_use_att]]+Group[[#This Row],[supply_value_overall_score]]</f>
        <v>133.6037424902695</v>
      </c>
      <c r="J6" s="158">
        <f>AVERAGEIF(Group[group_name],Group[[#This Row],[group_name]],Group[total_score])</f>
        <v>129.62052488989127</v>
      </c>
    </row>
    <row r="7" spans="1:10">
      <c r="A7" t="s">
        <v>2119</v>
      </c>
      <c r="B7" s="1" t="s">
        <v>3755</v>
      </c>
      <c r="C7" t="s">
        <v>113</v>
      </c>
      <c r="D7" t="str">
        <f>_xlfn.XLOOKUP(Group[[#This Row],[material]],표2[material_name],표2[material_id])</f>
        <v>M050</v>
      </c>
      <c r="E7" t="s">
        <v>4038</v>
      </c>
      <c r="F7" t="s">
        <v>4038</v>
      </c>
      <c r="G7" s="157">
        <f>_xlfn.XLOOKUP(Group[[#This Row],[material_id]],표19[material_id],표19[end_use_att])</f>
        <v>50.555212247155957</v>
      </c>
      <c r="H7" s="108">
        <f>_xlfn.XLOOKUP(Group[[#This Row],[material]],표22[material],표22[Total])</f>
        <v>71</v>
      </c>
      <c r="I7" s="158">
        <f>Group[[#This Row],[end_use_att]]+Group[[#This Row],[supply_value_overall_score]]</f>
        <v>121.55521224715596</v>
      </c>
      <c r="J7" s="158">
        <f>AVERAGEIF(Group[group_name],Group[[#This Row],[group_name]],Group[total_score])</f>
        <v>128.18872989272552</v>
      </c>
    </row>
    <row r="8" spans="1:10">
      <c r="A8" t="s">
        <v>2119</v>
      </c>
      <c r="B8" s="1" t="s">
        <v>3755</v>
      </c>
      <c r="C8" t="s">
        <v>1056</v>
      </c>
      <c r="D8" t="str">
        <f>_xlfn.XLOOKUP(Group[[#This Row],[material]],표2[material_name],표2[material_id])</f>
        <v>M110</v>
      </c>
      <c r="E8" t="s">
        <v>4038</v>
      </c>
      <c r="F8" t="s">
        <v>4038</v>
      </c>
      <c r="G8" s="157">
        <f>_xlfn.XLOOKUP(Group[[#This Row],[material_id]],표19[material_id],표19[end_use_att])</f>
        <v>6.0302794943855176</v>
      </c>
      <c r="H8" s="108">
        <f>_xlfn.XLOOKUP(Group[[#This Row],[material]],표22[material],표22[Total])</f>
        <v>93</v>
      </c>
      <c r="I8" s="158">
        <f>Group[[#This Row],[end_use_att]]+Group[[#This Row],[supply_value_overall_score]]</f>
        <v>99.030279494385525</v>
      </c>
      <c r="J8" s="158">
        <f>AVERAGEIF(Group[group_name],Group[[#This Row],[group_name]],Group[total_score])</f>
        <v>128.18872989272552</v>
      </c>
    </row>
    <row r="9" spans="1:10">
      <c r="A9" t="s">
        <v>2118</v>
      </c>
      <c r="B9" s="1" t="s">
        <v>3755</v>
      </c>
      <c r="C9" t="s">
        <v>1400</v>
      </c>
      <c r="D9" t="str">
        <f>_xlfn.XLOOKUP(Group[[#This Row],[material]],표2[material_name],표2[material_id])</f>
        <v>M097</v>
      </c>
      <c r="E9" t="s">
        <v>4038</v>
      </c>
      <c r="F9" t="s">
        <v>4038</v>
      </c>
      <c r="G9" s="157">
        <f>_xlfn.XLOOKUP(Group[[#This Row],[material_id]],표19[material_id],표19[end_use_att])</f>
        <v>95.980697936635067</v>
      </c>
      <c r="H9" s="108">
        <f>_xlfn.XLOOKUP(Group[[#This Row],[material]],표22[material],표22[Total])</f>
        <v>68</v>
      </c>
      <c r="I9" s="158">
        <f>Group[[#This Row],[end_use_att]]+Group[[#This Row],[supply_value_overall_score]]</f>
        <v>163.98069793663507</v>
      </c>
      <c r="J9" s="158">
        <f>AVERAGEIF(Group[group_name],Group[[#This Row],[group_name]],Group[total_score])</f>
        <v>128.18872989272552</v>
      </c>
    </row>
    <row r="10" spans="1:10">
      <c r="A10" t="s">
        <v>2115</v>
      </c>
      <c r="B10" t="s">
        <v>4036</v>
      </c>
      <c r="C10" t="s">
        <v>1345</v>
      </c>
      <c r="D10" t="str">
        <f>_xlfn.XLOOKUP(Group[[#This Row],[material]],표2[material_name],표2[material_id])</f>
        <v>M104</v>
      </c>
      <c r="E10" t="s">
        <v>1005</v>
      </c>
      <c r="F10" t="s">
        <v>1005</v>
      </c>
      <c r="G10" s="157">
        <f>_xlfn.XLOOKUP(Group[[#This Row],[material_id]],표19[material_id],표19[end_use_att])</f>
        <v>70.262812337774761</v>
      </c>
      <c r="H10" s="108">
        <f>_xlfn.XLOOKUP(Group[[#This Row],[material]],표22[material],표22[Total])</f>
        <v>78</v>
      </c>
      <c r="I10" s="158">
        <f>Group[[#This Row],[end_use_att]]+Group[[#This Row],[supply_value_overall_score]]</f>
        <v>148.26281233777476</v>
      </c>
      <c r="J10" s="158">
        <f>AVERAGEIF(Group[group_name],Group[[#This Row],[group_name]],Group[total_score])</f>
        <v>123.81274168248301</v>
      </c>
    </row>
    <row r="11" spans="1:10">
      <c r="A11" t="s">
        <v>2115</v>
      </c>
      <c r="B11" t="s">
        <v>4036</v>
      </c>
      <c r="C11" t="s">
        <v>1054</v>
      </c>
      <c r="D11" t="str">
        <f>_xlfn.XLOOKUP(Group[[#This Row],[material]],표2[material_name],표2[material_id])</f>
        <v>M108</v>
      </c>
      <c r="E11" t="s">
        <v>1005</v>
      </c>
      <c r="F11" t="s">
        <v>1005</v>
      </c>
      <c r="G11" s="157">
        <f>_xlfn.XLOOKUP(Group[[#This Row],[material_id]],표19[material_id],표19[end_use_att])</f>
        <v>65.603742490269511</v>
      </c>
      <c r="H11" s="108">
        <f>_xlfn.XLOOKUP(Group[[#This Row],[material]],표22[material],표22[Total])</f>
        <v>68</v>
      </c>
      <c r="I11" s="158">
        <f>Group[[#This Row],[end_use_att]]+Group[[#This Row],[supply_value_overall_score]]</f>
        <v>133.6037424902695</v>
      </c>
      <c r="J11" s="158">
        <f>AVERAGEIF(Group[group_name],Group[[#This Row],[group_name]],Group[total_score])</f>
        <v>123.81274168248301</v>
      </c>
    </row>
    <row r="12" spans="1:10">
      <c r="A12" t="s">
        <v>2115</v>
      </c>
      <c r="B12" t="s">
        <v>4036</v>
      </c>
      <c r="C12" t="s">
        <v>1057</v>
      </c>
      <c r="D12" t="str">
        <f>_xlfn.XLOOKUP(Group[[#This Row],[material]],표2[material_name],표2[material_id])</f>
        <v>M111</v>
      </c>
      <c r="E12" t="s">
        <v>1005</v>
      </c>
      <c r="F12" t="s">
        <v>1005</v>
      </c>
      <c r="G12" s="157">
        <f>_xlfn.XLOOKUP(Group[[#This Row],[material_id]],표19[material_id],표19[end_use_att])</f>
        <v>49.736268513049104</v>
      </c>
      <c r="H12" s="108">
        <f>_xlfn.XLOOKUP(Group[[#This Row],[material]],표22[material],표22[Total])</f>
        <v>85</v>
      </c>
      <c r="I12" s="158">
        <f>Group[[#This Row],[end_use_att]]+Group[[#This Row],[supply_value_overall_score]]</f>
        <v>134.73626851304911</v>
      </c>
      <c r="J12" s="158">
        <f>AVERAGEIF(Group[group_name],Group[[#This Row],[group_name]],Group[total_score])</f>
        <v>123.81274168248301</v>
      </c>
    </row>
    <row r="13" spans="1:10">
      <c r="A13" t="s">
        <v>2115</v>
      </c>
      <c r="B13" t="s">
        <v>4036</v>
      </c>
      <c r="C13" t="s">
        <v>1058</v>
      </c>
      <c r="D13" t="str">
        <f>_xlfn.XLOOKUP(Group[[#This Row],[material]],표2[material_name],표2[material_id])</f>
        <v>M112</v>
      </c>
      <c r="E13" t="s">
        <v>1005</v>
      </c>
      <c r="F13" t="s">
        <v>1005</v>
      </c>
      <c r="G13" s="157">
        <f>_xlfn.XLOOKUP(Group[[#This Row],[material_id]],표19[material_id],표19[end_use_att])</f>
        <v>64.224155408258127</v>
      </c>
      <c r="H13" s="108">
        <f>_xlfn.XLOOKUP(Group[[#This Row],[material]],표22[material],표22[Total])</f>
        <v>70</v>
      </c>
      <c r="I13" s="158">
        <f>Group[[#This Row],[end_use_att]]+Group[[#This Row],[supply_value_overall_score]]</f>
        <v>134.22415540825813</v>
      </c>
      <c r="J13" s="158">
        <f>AVERAGEIF(Group[group_name],Group[[#This Row],[group_name]],Group[total_score])</f>
        <v>123.81274168248301</v>
      </c>
    </row>
    <row r="14" spans="1:10">
      <c r="A14" t="s">
        <v>2114</v>
      </c>
      <c r="B14" t="s">
        <v>4036</v>
      </c>
      <c r="C14" t="s">
        <v>1290</v>
      </c>
      <c r="D14" t="str">
        <f>_xlfn.XLOOKUP(Group[[#This Row],[material]],표2[material_name],표2[material_id])</f>
        <v>M109</v>
      </c>
      <c r="E14" t="s">
        <v>1005</v>
      </c>
      <c r="F14" t="s">
        <v>1005</v>
      </c>
      <c r="G14" s="157">
        <f>_xlfn.XLOOKUP(Group[[#This Row],[material_id]],표19[material_id],표19[end_use_att])</f>
        <v>18.236729663063386</v>
      </c>
      <c r="H14" s="108">
        <f>_xlfn.XLOOKUP(Group[[#This Row],[material]],표22[material],표22[Total])</f>
        <v>50</v>
      </c>
      <c r="I14" s="158">
        <f>Group[[#This Row],[end_use_att]]+Group[[#This Row],[supply_value_overall_score]]</f>
        <v>68.236729663063386</v>
      </c>
      <c r="J14" s="158">
        <f>AVERAGEIF(Group[group_name],Group[[#This Row],[group_name]],Group[total_score])</f>
        <v>123.81274168248301</v>
      </c>
    </row>
    <row r="15" spans="1:10">
      <c r="A15" t="s">
        <v>2094</v>
      </c>
      <c r="B15" s="1" t="s">
        <v>3743</v>
      </c>
      <c r="C15" t="s">
        <v>2058</v>
      </c>
      <c r="D15" t="str">
        <f>_xlfn.XLOOKUP(Group[[#This Row],[material]],표2[material_name],표2[material_id])</f>
        <v>M022</v>
      </c>
      <c r="E15" t="s">
        <v>459</v>
      </c>
      <c r="F15" t="s">
        <v>7</v>
      </c>
      <c r="G15" s="157">
        <f>_xlfn.XLOOKUP(Group[[#This Row],[material_id]],표19[material_id],표19[end_use_att])</f>
        <v>100</v>
      </c>
      <c r="H15" s="108">
        <f>_xlfn.XLOOKUP(Group[[#This Row],[material]],표22[material],표22[Total])</f>
        <v>53</v>
      </c>
      <c r="I15" s="158">
        <f>Group[[#This Row],[end_use_att]]+Group[[#This Row],[supply_value_overall_score]]</f>
        <v>153</v>
      </c>
      <c r="J15" s="158">
        <f>AVERAGEIF(Group[group_name],Group[[#This Row],[group_name]],Group[total_score])</f>
        <v>123.65499655827924</v>
      </c>
    </row>
    <row r="16" spans="1:10">
      <c r="A16" t="s">
        <v>2071</v>
      </c>
      <c r="B16" s="1" t="s">
        <v>3743</v>
      </c>
      <c r="C16" t="s">
        <v>459</v>
      </c>
      <c r="D16" t="str">
        <f>_xlfn.XLOOKUP(Group[[#This Row],[material]],표2[material_name],표2[material_id])</f>
        <v>M021</v>
      </c>
      <c r="E16" t="s">
        <v>459</v>
      </c>
      <c r="F16" t="s">
        <v>7</v>
      </c>
      <c r="G16" s="157">
        <f>_xlfn.XLOOKUP(Group[[#This Row],[material_id]],표19[material_id],표19[end_use_att])</f>
        <v>48.651615370662697</v>
      </c>
      <c r="H16" s="108">
        <f>_xlfn.XLOOKUP(Group[[#This Row],[material]],표22[material],표22[Total])</f>
        <v>53</v>
      </c>
      <c r="I16" s="158">
        <f>Group[[#This Row],[end_use_att]]+Group[[#This Row],[supply_value_overall_score]]</f>
        <v>101.6516153706627</v>
      </c>
      <c r="J16" s="158">
        <f>AVERAGEIF(Group[group_name],Group[[#This Row],[group_name]],Group[total_score])</f>
        <v>123.65499655827924</v>
      </c>
    </row>
    <row r="17" spans="1:10">
      <c r="A17" t="s">
        <v>2094</v>
      </c>
      <c r="B17" s="1" t="s">
        <v>3743</v>
      </c>
      <c r="C17" t="s">
        <v>1115</v>
      </c>
      <c r="D17" t="str">
        <f>_xlfn.XLOOKUP(Group[[#This Row],[material]],표2[material_name],표2[material_id])</f>
        <v>M024</v>
      </c>
      <c r="E17" t="s">
        <v>459</v>
      </c>
      <c r="F17" t="s">
        <v>7</v>
      </c>
      <c r="G17" s="157">
        <f>_xlfn.XLOOKUP(Group[[#This Row],[material_id]],표19[material_id],표19[end_use_att])</f>
        <v>78.848929325139324</v>
      </c>
      <c r="H17" s="108">
        <f>_xlfn.XLOOKUP(Group[[#This Row],[material]],표22[material],표22[Total])</f>
        <v>53</v>
      </c>
      <c r="I17" s="158">
        <f>Group[[#This Row],[end_use_att]]+Group[[#This Row],[supply_value_overall_score]]</f>
        <v>131.84892932513932</v>
      </c>
      <c r="J17" s="158">
        <f>AVERAGEIF(Group[group_name],Group[[#This Row],[group_name]],Group[total_score])</f>
        <v>123.65499655827924</v>
      </c>
    </row>
    <row r="18" spans="1:10">
      <c r="A18" t="s">
        <v>2094</v>
      </c>
      <c r="B18" s="1" t="s">
        <v>3743</v>
      </c>
      <c r="C18" t="s">
        <v>1113</v>
      </c>
      <c r="D18" t="str">
        <f>_xlfn.XLOOKUP(Group[[#This Row],[material]],표2[material_name],표2[material_id])</f>
        <v>M023</v>
      </c>
      <c r="E18" t="s">
        <v>459</v>
      </c>
      <c r="F18" t="s">
        <v>7</v>
      </c>
      <c r="G18" s="157">
        <f>_xlfn.XLOOKUP(Group[[#This Row],[material_id]],표19[material_id],표19[end_use_att])</f>
        <v>55.119441537314984</v>
      </c>
      <c r="H18" s="108">
        <f>_xlfn.XLOOKUP(Group[[#This Row],[material]],표22[material],표22[Total])</f>
        <v>53</v>
      </c>
      <c r="I18" s="158">
        <f>Group[[#This Row],[end_use_att]]+Group[[#This Row],[supply_value_overall_score]]</f>
        <v>108.11944153731498</v>
      </c>
      <c r="J18" s="158">
        <f>AVERAGEIF(Group[group_name],Group[[#This Row],[group_name]],Group[total_score])</f>
        <v>123.65499655827924</v>
      </c>
    </row>
    <row r="19" spans="1:10">
      <c r="A19" t="s">
        <v>2112</v>
      </c>
      <c r="B19" s="1" t="s">
        <v>3754</v>
      </c>
      <c r="C19" t="s">
        <v>2060</v>
      </c>
      <c r="D19" t="str">
        <f>_xlfn.XLOOKUP(Group[[#This Row],[material]],표2[material_name],표2[material_id])</f>
        <v>M105</v>
      </c>
      <c r="E19" t="s">
        <v>1001</v>
      </c>
      <c r="F19" t="s">
        <v>1001</v>
      </c>
      <c r="G19" s="157">
        <f>_xlfn.XLOOKUP(Group[[#This Row],[material_id]],표19[material_id],표19[end_use_att])</f>
        <v>53.51230885214089</v>
      </c>
      <c r="H19" s="108">
        <f>_xlfn.XLOOKUP(Group[[#This Row],[material]],표22[material],표22[Total])</f>
        <v>63</v>
      </c>
      <c r="I19" s="158">
        <f>Group[[#This Row],[end_use_att]]+Group[[#This Row],[supply_value_overall_score]]</f>
        <v>116.51230885214089</v>
      </c>
      <c r="J19" s="158">
        <f>AVERAGEIF(Group[group_name],Group[[#This Row],[group_name]],Group[total_score])</f>
        <v>117.19584030239874</v>
      </c>
    </row>
    <row r="20" spans="1:10">
      <c r="A20" t="s">
        <v>2113</v>
      </c>
      <c r="B20" s="1" t="s">
        <v>3754</v>
      </c>
      <c r="C20" t="s">
        <v>1356</v>
      </c>
      <c r="D20" t="str">
        <f>_xlfn.XLOOKUP(Group[[#This Row],[material]],표2[material_name],표2[material_id])</f>
        <v>M102</v>
      </c>
      <c r="E20" t="s">
        <v>1001</v>
      </c>
      <c r="F20" t="s">
        <v>1001</v>
      </c>
      <c r="G20" s="157">
        <f>_xlfn.XLOOKUP(Group[[#This Row],[material_id]],표19[material_id],표19[end_use_att])</f>
        <v>63.54620458485001</v>
      </c>
      <c r="H20" s="108">
        <f>_xlfn.XLOOKUP(Group[[#This Row],[material]],표22[material],표22[Total])</f>
        <v>78</v>
      </c>
      <c r="I20" s="158">
        <f>Group[[#This Row],[end_use_att]]+Group[[#This Row],[supply_value_overall_score]]</f>
        <v>141.54620458485002</v>
      </c>
      <c r="J20" s="158">
        <f>AVERAGEIF(Group[group_name],Group[[#This Row],[group_name]],Group[total_score])</f>
        <v>117.19584030239874</v>
      </c>
    </row>
    <row r="21" spans="1:10">
      <c r="A21" t="s">
        <v>2112</v>
      </c>
      <c r="B21" s="1" t="s">
        <v>3754</v>
      </c>
      <c r="C21" t="s">
        <v>2061</v>
      </c>
      <c r="D21" t="str">
        <f>_xlfn.XLOOKUP(Group[[#This Row],[material]],표2[material_name],표2[material_id])</f>
        <v>M106</v>
      </c>
      <c r="E21" t="s">
        <v>1001</v>
      </c>
      <c r="F21" t="s">
        <v>1001</v>
      </c>
      <c r="G21" s="157">
        <f>_xlfn.XLOOKUP(Group[[#This Row],[material_id]],표19[material_id],표19[end_use_att])</f>
        <v>30.529007470205361</v>
      </c>
      <c r="H21" s="108">
        <f>_xlfn.XLOOKUP(Group[[#This Row],[material]],표22[material],표22[Total])</f>
        <v>63</v>
      </c>
      <c r="I21" s="158">
        <f>Group[[#This Row],[end_use_att]]+Group[[#This Row],[supply_value_overall_score]]</f>
        <v>93.529007470205357</v>
      </c>
      <c r="J21" s="158">
        <f>AVERAGEIF(Group[group_name],Group[[#This Row],[group_name]],Group[total_score])</f>
        <v>117.19584030239874</v>
      </c>
    </row>
    <row r="22" spans="1:10">
      <c r="A22" t="s">
        <v>2095</v>
      </c>
      <c r="B22" s="1" t="s">
        <v>3744</v>
      </c>
      <c r="C22" t="s">
        <v>264</v>
      </c>
      <c r="D22" t="str">
        <f>_xlfn.XLOOKUP(Group[[#This Row],[material]],표2[material_name],표2[material_id])</f>
        <v>M027</v>
      </c>
      <c r="E22" t="s">
        <v>7</v>
      </c>
      <c r="F22" t="s">
        <v>7</v>
      </c>
      <c r="G22" s="157">
        <f>_xlfn.XLOOKUP(Group[[#This Row],[material_id]],표19[material_id],표19[end_use_att])</f>
        <v>35.541246939484139</v>
      </c>
      <c r="H22" s="108">
        <f>_xlfn.XLOOKUP(Group[[#This Row],[material]],표22[material],표22[Total])</f>
        <v>68</v>
      </c>
      <c r="I22" s="158">
        <f>Group[[#This Row],[end_use_att]]+Group[[#This Row],[supply_value_overall_score]]</f>
        <v>103.54124693948414</v>
      </c>
      <c r="J22" s="158">
        <f>AVERAGEIF(Group[group_name],Group[[#This Row],[group_name]],Group[total_score])</f>
        <v>110.48130818373234</v>
      </c>
    </row>
    <row r="23" spans="1:10">
      <c r="A23" t="s">
        <v>2072</v>
      </c>
      <c r="B23" s="1" t="s">
        <v>3744</v>
      </c>
      <c r="C23" t="s">
        <v>266</v>
      </c>
      <c r="D23" t="str">
        <f>_xlfn.XLOOKUP(Group[[#This Row],[material]],표2[material_name],표2[material_id])</f>
        <v>M026</v>
      </c>
      <c r="E23" t="s">
        <v>7</v>
      </c>
      <c r="F23" t="s">
        <v>7</v>
      </c>
      <c r="G23" s="157">
        <f>_xlfn.XLOOKUP(Group[[#This Row],[material_id]],표19[material_id],표19[end_use_att])</f>
        <v>30.733077547136549</v>
      </c>
      <c r="H23" s="108">
        <f>_xlfn.XLOOKUP(Group[[#This Row],[material]],표22[material],표22[Total])</f>
        <v>68</v>
      </c>
      <c r="I23" s="158">
        <f>Group[[#This Row],[end_use_att]]+Group[[#This Row],[supply_value_overall_score]]</f>
        <v>98.733077547136546</v>
      </c>
      <c r="J23" s="158">
        <f>AVERAGEIF(Group[group_name],Group[[#This Row],[group_name]],Group[total_score])</f>
        <v>110.48130818373234</v>
      </c>
    </row>
    <row r="24" spans="1:10">
      <c r="A24" t="s">
        <v>2095</v>
      </c>
      <c r="B24" s="1" t="s">
        <v>3744</v>
      </c>
      <c r="C24" t="s">
        <v>265</v>
      </c>
      <c r="D24" t="str">
        <f>_xlfn.XLOOKUP(Group[[#This Row],[material]],표2[material_name],표2[material_id])</f>
        <v>M028</v>
      </c>
      <c r="E24" t="s">
        <v>7</v>
      </c>
      <c r="F24" t="s">
        <v>7</v>
      </c>
      <c r="G24" s="157">
        <f>_xlfn.XLOOKUP(Group[[#This Row],[material_id]],표19[material_id],표19[end_use_att])</f>
        <v>54.169600064576365</v>
      </c>
      <c r="H24" s="107">
        <f>_xlfn.XLOOKUP(Group[[#This Row],[material]],표22[material],표22[Total])</f>
        <v>75</v>
      </c>
      <c r="I24" s="158">
        <f>Group[[#This Row],[end_use_att]]+Group[[#This Row],[supply_value_overall_score]]</f>
        <v>129.16960006457637</v>
      </c>
      <c r="J24" s="158">
        <f>AVERAGEIF(Group[group_name],Group[[#This Row],[group_name]],Group[total_score])</f>
        <v>110.48130818373234</v>
      </c>
    </row>
    <row r="25" spans="1:10">
      <c r="A25" t="s">
        <v>2126</v>
      </c>
      <c r="B25" s="1" t="s">
        <v>3759</v>
      </c>
      <c r="C25" t="s">
        <v>966</v>
      </c>
      <c r="D25" t="str">
        <f>_xlfn.XLOOKUP(Group[[#This Row],[material]],표2[material_name],표2[material_id])</f>
        <v>M066</v>
      </c>
      <c r="E25" t="s">
        <v>455</v>
      </c>
      <c r="F25" t="s">
        <v>9</v>
      </c>
      <c r="G25" s="157">
        <f>_xlfn.XLOOKUP(Group[[#This Row],[material_id]],표19[material_id],표19[end_use_att])</f>
        <v>41.963149895898503</v>
      </c>
      <c r="H25" s="108">
        <f>_xlfn.XLOOKUP(Group[[#This Row],[material]],표22[material],표22[Total])</f>
        <v>65</v>
      </c>
      <c r="I25" s="158">
        <f>Group[[#This Row],[end_use_att]]+Group[[#This Row],[supply_value_overall_score]]</f>
        <v>106.96314989589851</v>
      </c>
      <c r="J25" s="158">
        <f>AVERAGEIF(Group[group_name],Group[[#This Row],[group_name]],Group[total_score])</f>
        <v>106.96314989589851</v>
      </c>
    </row>
    <row r="26" spans="1:10">
      <c r="A26" t="s">
        <v>2111</v>
      </c>
      <c r="B26" s="1" t="s">
        <v>3904</v>
      </c>
      <c r="C26" t="s">
        <v>905</v>
      </c>
      <c r="D26" t="str">
        <f>_xlfn.XLOOKUP(Group[[#This Row],[material]],표2[material_name],표2[material_id])</f>
        <v>M078</v>
      </c>
      <c r="E26" t="s">
        <v>580</v>
      </c>
      <c r="F26" t="s">
        <v>852</v>
      </c>
      <c r="G26" s="157">
        <f>_xlfn.XLOOKUP(Group[[#This Row],[material_id]],표19[material_id],표19[end_use_att])</f>
        <v>7.2220115510783263</v>
      </c>
      <c r="H26" s="108">
        <f>_xlfn.XLOOKUP(Group[[#This Row],[material]],표22[material],표22[Total])</f>
        <v>68</v>
      </c>
      <c r="I26" s="158">
        <f>Group[[#This Row],[end_use_att]]+Group[[#This Row],[supply_value_overall_score]]</f>
        <v>75.222011551078324</v>
      </c>
      <c r="J26" s="158">
        <f>AVERAGEIF(Group[group_name],Group[[#This Row],[group_name]],Group[total_score])</f>
        <v>106.79375539806355</v>
      </c>
    </row>
    <row r="27" spans="1:10">
      <c r="A27" t="s">
        <v>2110</v>
      </c>
      <c r="B27" s="1" t="s">
        <v>3753</v>
      </c>
      <c r="C27" t="s">
        <v>1521</v>
      </c>
      <c r="D27" t="str">
        <f>_xlfn.XLOOKUP(Group[[#This Row],[material]],표2[material_name],표2[material_id])</f>
        <v>M079</v>
      </c>
      <c r="E27" t="s">
        <v>580</v>
      </c>
      <c r="F27" t="s">
        <v>852</v>
      </c>
      <c r="G27" s="157">
        <f>_xlfn.XLOOKUP(Group[[#This Row],[material_id]],표19[material_id],표19[end_use_att])</f>
        <v>85.365499245048767</v>
      </c>
      <c r="H27" s="108">
        <f>_xlfn.XLOOKUP(Group[[#This Row],[material]],표22[material],표22[Total])</f>
        <v>53</v>
      </c>
      <c r="I27" s="158">
        <f>Group[[#This Row],[end_use_att]]+Group[[#This Row],[supply_value_overall_score]]</f>
        <v>138.36549924504877</v>
      </c>
      <c r="J27" s="158">
        <f>AVERAGEIF(Group[group_name],Group[[#This Row],[group_name]],Group[total_score])</f>
        <v>106.79375539806355</v>
      </c>
    </row>
    <row r="28" spans="1:10">
      <c r="A28" t="s">
        <v>2121</v>
      </c>
      <c r="B28" s="1" t="s">
        <v>3756</v>
      </c>
      <c r="C28" t="s">
        <v>19</v>
      </c>
      <c r="D28" t="str">
        <f>_xlfn.XLOOKUP(Group[[#This Row],[material]],표2[material_name],표2[material_id])</f>
        <v>M055</v>
      </c>
      <c r="E28" t="s">
        <v>9</v>
      </c>
      <c r="F28" t="s">
        <v>9</v>
      </c>
      <c r="G28" s="157">
        <f>_xlfn.XLOOKUP(Group[[#This Row],[material_id]],표19[material_id],표19[end_use_att])</f>
        <v>6.0302794943855176</v>
      </c>
      <c r="H28" s="108">
        <f>_xlfn.XLOOKUP(Group[[#This Row],[material]],표22[material],표22[Total])</f>
        <v>53</v>
      </c>
      <c r="I28" s="158">
        <f>Group[[#This Row],[end_use_att]]+Group[[#This Row],[supply_value_overall_score]]</f>
        <v>59.030279494385518</v>
      </c>
      <c r="J28" s="158">
        <f>AVERAGEIF(Group[group_name],Group[[#This Row],[group_name]],Group[total_score])</f>
        <v>103.55278904328087</v>
      </c>
    </row>
    <row r="29" spans="1:10">
      <c r="A29" t="s">
        <v>2120</v>
      </c>
      <c r="B29" s="1" t="s">
        <v>3756</v>
      </c>
      <c r="C29" t="s">
        <v>900</v>
      </c>
      <c r="D29" t="str">
        <f>_xlfn.XLOOKUP(Group[[#This Row],[material]],표2[material_name],표2[material_id])</f>
        <v>M057</v>
      </c>
      <c r="E29" t="s">
        <v>9</v>
      </c>
      <c r="F29" t="s">
        <v>9</v>
      </c>
      <c r="G29" s="157">
        <f>_xlfn.XLOOKUP(Group[[#This Row],[material_id]],표19[material_id],표19[end_use_att])</f>
        <v>71.393091146588134</v>
      </c>
      <c r="H29" s="108">
        <f>_xlfn.XLOOKUP(Group[[#This Row],[material]],표22[material],표22[Total])</f>
        <v>53</v>
      </c>
      <c r="I29" s="158">
        <f>Group[[#This Row],[end_use_att]]+Group[[#This Row],[supply_value_overall_score]]</f>
        <v>124.39309114658813</v>
      </c>
      <c r="J29" s="158">
        <f>AVERAGEIF(Group[group_name],Group[[#This Row],[group_name]],Group[total_score])</f>
        <v>103.55278904328087</v>
      </c>
    </row>
    <row r="30" spans="1:10">
      <c r="A30" t="s">
        <v>2120</v>
      </c>
      <c r="B30" s="1" t="s">
        <v>3756</v>
      </c>
      <c r="C30" t="s">
        <v>21</v>
      </c>
      <c r="D30" t="str">
        <f>_xlfn.XLOOKUP(Group[[#This Row],[material]],표2[material_name],표2[material_id])</f>
        <v>M056</v>
      </c>
      <c r="E30" t="s">
        <v>9</v>
      </c>
      <c r="F30" t="s">
        <v>9</v>
      </c>
      <c r="G30" s="157">
        <f>_xlfn.XLOOKUP(Group[[#This Row],[material_id]],표19[material_id],표19[end_use_att])</f>
        <v>74.234996488868958</v>
      </c>
      <c r="H30" s="108">
        <f>_xlfn.XLOOKUP(Group[[#This Row],[material]],표22[material],표22[Total])</f>
        <v>53</v>
      </c>
      <c r="I30" s="158">
        <f>Group[[#This Row],[end_use_att]]+Group[[#This Row],[supply_value_overall_score]]</f>
        <v>127.23499648886896</v>
      </c>
      <c r="J30" s="158">
        <f>AVERAGEIF(Group[group_name],Group[[#This Row],[group_name]],Group[total_score])</f>
        <v>103.55278904328087</v>
      </c>
    </row>
    <row r="31" spans="1:10">
      <c r="A31" t="s">
        <v>2122</v>
      </c>
      <c r="B31" s="1" t="s">
        <v>3757</v>
      </c>
      <c r="C31" t="s">
        <v>1476</v>
      </c>
      <c r="D31" t="str">
        <f>_xlfn.XLOOKUP(Group[[#This Row],[material]],표2[material_name],표2[material_id])</f>
        <v>M085</v>
      </c>
      <c r="E31" t="s">
        <v>3945</v>
      </c>
      <c r="F31" t="s">
        <v>3946</v>
      </c>
      <c r="G31" s="157">
        <f>_xlfn.XLOOKUP(Group[[#This Row],[material_id]],표19[material_id],표19[end_use_att])</f>
        <v>16.137768439527292</v>
      </c>
      <c r="H31" s="107">
        <f>_xlfn.XLOOKUP(Group[[#This Row],[material]],표22[material],표22[Total])</f>
        <v>60</v>
      </c>
      <c r="I31" s="158">
        <f>Group[[#This Row],[end_use_att]]+Group[[#This Row],[supply_value_overall_score]]</f>
        <v>76.137768439527292</v>
      </c>
      <c r="J31" s="158">
        <f>AVERAGEIF(Group[group_name],Group[[#This Row],[group_name]],Group[total_score])</f>
        <v>100.20988146638096</v>
      </c>
    </row>
    <row r="32" spans="1:10">
      <c r="A32" t="s">
        <v>2123</v>
      </c>
      <c r="B32" s="1" t="s">
        <v>3757</v>
      </c>
      <c r="C32" t="s">
        <v>94</v>
      </c>
      <c r="D32" t="str">
        <f>_xlfn.XLOOKUP(Group[[#This Row],[material]],표2[material_name],표2[material_id])</f>
        <v>M029</v>
      </c>
      <c r="E32" t="s">
        <v>3945</v>
      </c>
      <c r="F32" t="s">
        <v>3946</v>
      </c>
      <c r="G32" s="157">
        <f>_xlfn.XLOOKUP(Group[[#This Row],[material_id]],표19[material_id],표19[end_use_att])</f>
        <v>31.147107035298866</v>
      </c>
      <c r="H32" s="107">
        <f>_xlfn.XLOOKUP(Group[[#This Row],[material]],표22[material],표22[Total])</f>
        <v>75</v>
      </c>
      <c r="I32" s="158">
        <f>Group[[#This Row],[end_use_att]]+Group[[#This Row],[supply_value_overall_score]]</f>
        <v>106.14710703529886</v>
      </c>
      <c r="J32" s="158">
        <f>AVERAGEIF(Group[group_name],Group[[#This Row],[group_name]],Group[total_score])</f>
        <v>100.20988146638096</v>
      </c>
    </row>
    <row r="33" spans="1:10">
      <c r="A33" t="s">
        <v>2122</v>
      </c>
      <c r="B33" s="1" t="s">
        <v>3757</v>
      </c>
      <c r="C33" t="s">
        <v>973</v>
      </c>
      <c r="D33" t="str">
        <f>_xlfn.XLOOKUP(Group[[#This Row],[material]],표2[material_name],표2[material_id])</f>
        <v>M030</v>
      </c>
      <c r="E33" t="s">
        <v>3945</v>
      </c>
      <c r="F33" t="s">
        <v>3946</v>
      </c>
      <c r="G33" s="157">
        <f>_xlfn.XLOOKUP(Group[[#This Row],[material_id]],표19[material_id],표19[end_use_att])</f>
        <v>63.600839090570815</v>
      </c>
      <c r="H33" s="107">
        <f>_xlfn.XLOOKUP(Group[[#This Row],[material]],표22[material],표22[Total])</f>
        <v>75</v>
      </c>
      <c r="I33" s="158">
        <f>Group[[#This Row],[end_use_att]]+Group[[#This Row],[supply_value_overall_score]]</f>
        <v>138.60083909057082</v>
      </c>
      <c r="J33" s="158">
        <f>AVERAGEIF(Group[group_name],Group[[#This Row],[group_name]],Group[total_score])</f>
        <v>100.20988146638096</v>
      </c>
    </row>
    <row r="34" spans="1:10">
      <c r="A34" t="s">
        <v>2122</v>
      </c>
      <c r="B34" s="1" t="s">
        <v>3757</v>
      </c>
      <c r="C34" t="s">
        <v>1466</v>
      </c>
      <c r="D34" t="str">
        <f>_xlfn.XLOOKUP(Group[[#This Row],[material]],표2[material_name],표2[material_id])</f>
        <v>M086</v>
      </c>
      <c r="E34" t="s">
        <v>3945</v>
      </c>
      <c r="F34" t="s">
        <v>3946</v>
      </c>
      <c r="G34" s="157">
        <f>_xlfn.XLOOKUP(Group[[#This Row],[material_id]],표19[material_id],표19[end_use_att])</f>
        <v>26.953811300126933</v>
      </c>
      <c r="H34" s="108">
        <f>_xlfn.XLOOKUP(Group[[#This Row],[material]],표22[material],표22[Total])</f>
        <v>53</v>
      </c>
      <c r="I34" s="158">
        <f>Group[[#This Row],[end_use_att]]+Group[[#This Row],[supply_value_overall_score]]</f>
        <v>79.953811300126929</v>
      </c>
      <c r="J34" s="158">
        <f>AVERAGEIF(Group[group_name],Group[[#This Row],[group_name]],Group[total_score])</f>
        <v>100.20988146638096</v>
      </c>
    </row>
    <row r="35" spans="1:10">
      <c r="A35" t="s">
        <v>2104</v>
      </c>
      <c r="B35" s="1" t="s">
        <v>3752</v>
      </c>
      <c r="C35" t="s">
        <v>107</v>
      </c>
      <c r="D35" t="str">
        <f>_xlfn.XLOOKUP(Group[[#This Row],[material]],표2[material_name],표2[material_id])</f>
        <v>M044</v>
      </c>
      <c r="E35" t="s">
        <v>3942</v>
      </c>
      <c r="F35" t="s">
        <v>3942</v>
      </c>
      <c r="G35" s="157">
        <f>_xlfn.XLOOKUP(Group[[#This Row],[material_id]],표19[material_id],표19[end_use_att])</f>
        <v>49.118168947955603</v>
      </c>
      <c r="H35" s="108">
        <f>_xlfn.XLOOKUP(Group[[#This Row],[material]],표22[material],표22[Total])</f>
        <v>68</v>
      </c>
      <c r="I35" s="158">
        <f>Group[[#This Row],[end_use_att]]+Group[[#This Row],[supply_value_overall_score]]</f>
        <v>117.11816894795561</v>
      </c>
      <c r="J35" s="158">
        <f>AVERAGEIF(Group[group_name],Group[[#This Row],[group_name]],Group[total_score])</f>
        <v>98.762997974375253</v>
      </c>
    </row>
    <row r="36" spans="1:10">
      <c r="A36" t="s">
        <v>2105</v>
      </c>
      <c r="B36" s="1" t="s">
        <v>3752</v>
      </c>
      <c r="C36" t="s">
        <v>25</v>
      </c>
      <c r="D36" t="str">
        <f>_xlfn.XLOOKUP(Group[[#This Row],[material]],표2[material_name],표2[material_id])</f>
        <v>M043</v>
      </c>
      <c r="E36" t="s">
        <v>3942</v>
      </c>
      <c r="F36" t="s">
        <v>3942</v>
      </c>
      <c r="G36" s="157">
        <f>_xlfn.XLOOKUP(Group[[#This Row],[material_id]],표19[material_id],표19[end_use_att])</f>
        <v>6.0302794943855176</v>
      </c>
      <c r="H36" s="108">
        <f>_xlfn.XLOOKUP(Group[[#This Row],[material]],표22[material],표22[Total])</f>
        <v>68</v>
      </c>
      <c r="I36" s="158">
        <f>Group[[#This Row],[end_use_att]]+Group[[#This Row],[supply_value_overall_score]]</f>
        <v>74.030279494385525</v>
      </c>
      <c r="J36" s="158">
        <f>AVERAGEIF(Group[group_name],Group[[#This Row],[group_name]],Group[total_score])</f>
        <v>98.762997974375253</v>
      </c>
    </row>
    <row r="37" spans="1:10">
      <c r="A37" t="s">
        <v>2104</v>
      </c>
      <c r="B37" s="1" t="s">
        <v>3752</v>
      </c>
      <c r="C37" t="s">
        <v>108</v>
      </c>
      <c r="D37" t="str">
        <f>_xlfn.XLOOKUP(Group[[#This Row],[material]],표2[material_name],표2[material_id])</f>
        <v>M045</v>
      </c>
      <c r="E37" t="s">
        <v>3942</v>
      </c>
      <c r="F37" t="s">
        <v>3942</v>
      </c>
      <c r="G37" s="157">
        <f>_xlfn.XLOOKUP(Group[[#This Row],[material_id]],표19[material_id],표19[end_use_att])</f>
        <v>37.140545480784617</v>
      </c>
      <c r="H37" s="108">
        <f>_xlfn.XLOOKUP(Group[[#This Row],[material]],표22[material],표22[Total])</f>
        <v>68</v>
      </c>
      <c r="I37" s="158">
        <f>Group[[#This Row],[end_use_att]]+Group[[#This Row],[supply_value_overall_score]]</f>
        <v>105.14054548078462</v>
      </c>
      <c r="J37" s="158">
        <f>AVERAGEIF(Group[group_name],Group[[#This Row],[group_name]],Group[total_score])</f>
        <v>98.762997974375253</v>
      </c>
    </row>
    <row r="38" spans="1:10">
      <c r="A38" t="s">
        <v>2096</v>
      </c>
      <c r="B38" s="1" t="s">
        <v>3746</v>
      </c>
      <c r="C38" t="s">
        <v>1032</v>
      </c>
      <c r="D38" t="str">
        <f>_xlfn.XLOOKUP(Group[[#This Row],[material]],표2[material_name],표2[material_id])</f>
        <v>M033</v>
      </c>
      <c r="E38" t="s">
        <v>1031</v>
      </c>
      <c r="F38" t="s">
        <v>7</v>
      </c>
      <c r="G38" s="157">
        <f>_xlfn.XLOOKUP(Group[[#This Row],[material_id]],표19[material_id],표19[end_use_att])</f>
        <v>34.104203640283792</v>
      </c>
      <c r="H38" s="107">
        <f>_xlfn.XLOOKUP(Group[[#This Row],[material]],표22[material],표22[Total])</f>
        <v>60</v>
      </c>
      <c r="I38" s="158">
        <f>Group[[#This Row],[end_use_att]]+Group[[#This Row],[supply_value_overall_score]]</f>
        <v>94.104203640283799</v>
      </c>
      <c r="J38" s="158">
        <f>AVERAGEIF(Group[group_name],Group[[#This Row],[group_name]],Group[total_score])</f>
        <v>98.033676768091155</v>
      </c>
    </row>
    <row r="39" spans="1:10">
      <c r="A39" t="s">
        <v>2074</v>
      </c>
      <c r="B39" s="1" t="s">
        <v>3746</v>
      </c>
      <c r="C39" t="s">
        <v>1031</v>
      </c>
      <c r="D39" t="str">
        <f>_xlfn.XLOOKUP(Group[[#This Row],[material]],표2[material_name],표2[material_id])</f>
        <v>M031</v>
      </c>
      <c r="E39" t="s">
        <v>1031</v>
      </c>
      <c r="F39" t="s">
        <v>7</v>
      </c>
      <c r="G39" s="157">
        <f>_xlfn.XLOOKUP(Group[[#This Row],[material_id]],표19[material_id],표19[end_use_att])</f>
        <v>41.963149895898503</v>
      </c>
      <c r="H39" s="107">
        <f>_xlfn.XLOOKUP(Group[[#This Row],[material]],표22[material],표22[Total])</f>
        <v>60</v>
      </c>
      <c r="I39" s="158">
        <f>Group[[#This Row],[end_use_att]]+Group[[#This Row],[supply_value_overall_score]]</f>
        <v>101.96314989589851</v>
      </c>
      <c r="J39" s="158">
        <f>AVERAGEIF(Group[group_name],Group[[#This Row],[group_name]],Group[total_score])</f>
        <v>98.033676768091155</v>
      </c>
    </row>
    <row r="40" spans="1:10">
      <c r="A40" t="s">
        <v>2107</v>
      </c>
      <c r="B40" t="s">
        <v>1100</v>
      </c>
      <c r="C40" t="s">
        <v>26</v>
      </c>
      <c r="D40" t="str">
        <f>_xlfn.XLOOKUP(Group[[#This Row],[material]],표2[material_name],표2[material_id])</f>
        <v>M046</v>
      </c>
      <c r="E40" t="s">
        <v>1100</v>
      </c>
      <c r="F40" t="s">
        <v>1100</v>
      </c>
      <c r="G40" s="157">
        <f>_xlfn.XLOOKUP(Group[[#This Row],[material_id]],표19[material_id],표19[end_use_att])</f>
        <v>14.92051807241204</v>
      </c>
      <c r="H40" s="108">
        <f>_xlfn.XLOOKUP(Group[[#This Row],[material]],표22[material],표22[Total])</f>
        <v>80</v>
      </c>
      <c r="I40" s="158">
        <f>Group[[#This Row],[end_use_att]]+Group[[#This Row],[supply_value_overall_score]]</f>
        <v>94.920518072412037</v>
      </c>
      <c r="J40" s="158">
        <f>AVERAGEIF(Group[group_name],Group[[#This Row],[group_name]],Group[total_score])</f>
        <v>97.920518072412037</v>
      </c>
    </row>
    <row r="41" spans="1:10">
      <c r="A41" t="s">
        <v>2106</v>
      </c>
      <c r="B41" t="s">
        <v>26</v>
      </c>
      <c r="C41" t="s">
        <v>2080</v>
      </c>
      <c r="D41" t="str">
        <f>_xlfn.XLOOKUP(Group[[#This Row],[material]],표2[material_name],표2[material_id])</f>
        <v>M047</v>
      </c>
      <c r="E41" t="s">
        <v>1100</v>
      </c>
      <c r="F41" t="s">
        <v>1100</v>
      </c>
      <c r="G41" s="157">
        <f>_xlfn.XLOOKUP(Group[[#This Row],[material_id]],표19[material_id],표19[end_use_att])</f>
        <v>14.92051807241204</v>
      </c>
      <c r="H41" s="108">
        <f>_xlfn.XLOOKUP(Group[[#This Row],[material]],표22[material],표22[Total])</f>
        <v>86</v>
      </c>
      <c r="I41" s="158">
        <f>Group[[#This Row],[end_use_att]]+Group[[#This Row],[supply_value_overall_score]]</f>
        <v>100.92051807241204</v>
      </c>
      <c r="J41" s="158">
        <f>AVERAGEIF(Group[group_name],Group[[#This Row],[group_name]],Group[total_score])</f>
        <v>97.920518072412037</v>
      </c>
    </row>
    <row r="42" spans="1:10">
      <c r="A42" t="s">
        <v>2073</v>
      </c>
      <c r="B42" s="1" t="s">
        <v>3745</v>
      </c>
      <c r="C42" t="s">
        <v>1031</v>
      </c>
      <c r="D42" t="str">
        <f>_xlfn.XLOOKUP(Group[[#This Row],[material]],표2[material_name],표2[material_id])</f>
        <v>M031</v>
      </c>
      <c r="E42" t="s">
        <v>1031</v>
      </c>
      <c r="F42" t="s">
        <v>7</v>
      </c>
      <c r="G42" s="157">
        <f>_xlfn.XLOOKUP(Group[[#This Row],[material_id]],표19[material_id],표19[end_use_att])</f>
        <v>41.963149895898503</v>
      </c>
      <c r="H42" s="107">
        <f>_xlfn.XLOOKUP(Group[[#This Row],[material]],표22[material],표22[Total])</f>
        <v>60</v>
      </c>
      <c r="I42" s="158">
        <f>Group[[#This Row],[end_use_att]]+Group[[#This Row],[supply_value_overall_score]]</f>
        <v>101.96314989589851</v>
      </c>
      <c r="J42" s="158">
        <f>AVERAGEIF(Group[group_name],Group[[#This Row],[group_name]],Group[total_score])</f>
        <v>97.569883930719953</v>
      </c>
    </row>
    <row r="43" spans="1:10">
      <c r="A43" t="s">
        <v>2078</v>
      </c>
      <c r="B43" s="1" t="s">
        <v>3745</v>
      </c>
      <c r="C43" t="s">
        <v>99</v>
      </c>
      <c r="D43" t="str">
        <f>_xlfn.XLOOKUP(Group[[#This Row],[material]],표2[material_name],표2[material_id])</f>
        <v>M034</v>
      </c>
      <c r="E43" t="s">
        <v>1031</v>
      </c>
      <c r="F43" t="s">
        <v>7</v>
      </c>
      <c r="G43" s="157">
        <f>_xlfn.XLOOKUP(Group[[#This Row],[material_id]],표19[material_id],표19[end_use_att])</f>
        <v>33.176617965541396</v>
      </c>
      <c r="H43" s="107">
        <f>_xlfn.XLOOKUP(Group[[#This Row],[material]],표22[material],표22[Total])</f>
        <v>60</v>
      </c>
      <c r="I43" s="158">
        <f>Group[[#This Row],[end_use_att]]+Group[[#This Row],[supply_value_overall_score]]</f>
        <v>93.176617965541396</v>
      </c>
      <c r="J43" s="158">
        <f>AVERAGEIF(Group[group_name],Group[[#This Row],[group_name]],Group[total_score])</f>
        <v>97.569883930719953</v>
      </c>
    </row>
    <row r="44" spans="1:10">
      <c r="A44" t="s">
        <v>2090</v>
      </c>
      <c r="B44" s="1" t="s">
        <v>3738</v>
      </c>
      <c r="C44" t="s">
        <v>1108</v>
      </c>
      <c r="D44" t="str">
        <f>_xlfn.XLOOKUP(Group[[#This Row],[material]],표2[material_name],표2[material_id])</f>
        <v>M015</v>
      </c>
      <c r="E44" t="s">
        <v>470</v>
      </c>
      <c r="F44" t="s">
        <v>550</v>
      </c>
      <c r="G44" s="157">
        <f>_xlfn.XLOOKUP(Group[[#This Row],[material_id]],표19[material_id],표19[end_use_att])</f>
        <v>13.528347106309679</v>
      </c>
      <c r="H44" s="108">
        <f>_xlfn.XLOOKUP(Group[[#This Row],[material]],표22[material],표22[Total])</f>
        <v>65</v>
      </c>
      <c r="I44" s="158">
        <f>Group[[#This Row],[end_use_att]]+Group[[#This Row],[supply_value_overall_score]]</f>
        <v>78.528347106309681</v>
      </c>
      <c r="J44" s="158">
        <f>AVERAGEIF(Group[group_name],Group[[#This Row],[group_name]],Group[total_score])</f>
        <v>95.994979589288974</v>
      </c>
    </row>
    <row r="45" spans="1:10">
      <c r="A45" t="s">
        <v>2066</v>
      </c>
      <c r="B45" s="1" t="s">
        <v>3738</v>
      </c>
      <c r="C45" t="s">
        <v>1107</v>
      </c>
      <c r="D45" t="str">
        <f>_xlfn.XLOOKUP(Group[[#This Row],[material]],표2[material_name],표2[material_id])</f>
        <v>M014</v>
      </c>
      <c r="E45" t="s">
        <v>470</v>
      </c>
      <c r="F45" t="s">
        <v>550</v>
      </c>
      <c r="G45" s="157">
        <f>_xlfn.XLOOKUP(Group[[#This Row],[material_id]],표19[material_id],표19[end_use_att])</f>
        <v>45.35238802127347</v>
      </c>
      <c r="H45" s="108">
        <f>_xlfn.XLOOKUP(Group[[#This Row],[material]],표22[material],표22[Total])</f>
        <v>65</v>
      </c>
      <c r="I45" s="158">
        <f>Group[[#This Row],[end_use_att]]+Group[[#This Row],[supply_value_overall_score]]</f>
        <v>110.35238802127347</v>
      </c>
      <c r="J45" s="158">
        <f>AVERAGEIF(Group[group_name],Group[[#This Row],[group_name]],Group[total_score])</f>
        <v>95.994979589288974</v>
      </c>
    </row>
    <row r="46" spans="1:10">
      <c r="A46" t="s">
        <v>2090</v>
      </c>
      <c r="B46" s="1" t="s">
        <v>3738</v>
      </c>
      <c r="C46" t="s">
        <v>1109</v>
      </c>
      <c r="D46" t="str">
        <f>_xlfn.XLOOKUP(Group[[#This Row],[material]],표2[material_name],표2[material_id])</f>
        <v>M016</v>
      </c>
      <c r="E46" t="s">
        <v>470</v>
      </c>
      <c r="F46" t="s">
        <v>550</v>
      </c>
      <c r="G46" s="157">
        <f>_xlfn.XLOOKUP(Group[[#This Row],[material_id]],표19[material_id],표19[end_use_att])</f>
        <v>34.104203640283792</v>
      </c>
      <c r="H46" s="108">
        <f>_xlfn.XLOOKUP(Group[[#This Row],[material]],표22[material],표22[Total])</f>
        <v>65</v>
      </c>
      <c r="I46" s="158">
        <f>Group[[#This Row],[end_use_att]]+Group[[#This Row],[supply_value_overall_score]]</f>
        <v>99.104203640283799</v>
      </c>
      <c r="J46" s="158">
        <f>AVERAGEIF(Group[group_name],Group[[#This Row],[group_name]],Group[total_score])</f>
        <v>95.994979589288974</v>
      </c>
    </row>
    <row r="47" spans="1:10">
      <c r="A47" t="s">
        <v>2088</v>
      </c>
      <c r="B47" s="1" t="s">
        <v>3736</v>
      </c>
      <c r="C47" t="s">
        <v>600</v>
      </c>
      <c r="D47" t="str">
        <f>_xlfn.XLOOKUP(Group[[#This Row],[material]],표2[material_name],표2[material_id])</f>
        <v>M082</v>
      </c>
      <c r="E47" t="s">
        <v>598</v>
      </c>
      <c r="F47" t="s">
        <v>550</v>
      </c>
      <c r="G47" s="157">
        <f>_xlfn.XLOOKUP(Group[[#This Row],[material_id]],표19[material_id],표19[end_use_att])</f>
        <v>46.161072342970677</v>
      </c>
      <c r="H47" s="107">
        <f>_xlfn.XLOOKUP(Group[[#This Row],[material]],표22[material],표22[Total])</f>
        <v>57</v>
      </c>
      <c r="I47" s="158">
        <f>Group[[#This Row],[end_use_att]]+Group[[#This Row],[supply_value_overall_score]]</f>
        <v>103.16107234297067</v>
      </c>
      <c r="J47" s="158">
        <f>AVERAGEIF(Group[group_name],Group[[#This Row],[group_name]],Group[total_score])</f>
        <v>95.656403045084886</v>
      </c>
    </row>
    <row r="48" spans="1:10">
      <c r="A48" t="s">
        <v>2064</v>
      </c>
      <c r="B48" s="1" t="s">
        <v>3736</v>
      </c>
      <c r="C48" t="s">
        <v>598</v>
      </c>
      <c r="D48" t="str">
        <f>_xlfn.XLOOKUP(Group[[#This Row],[material]],표2[material_name],표2[material_id])</f>
        <v>M081</v>
      </c>
      <c r="E48" t="s">
        <v>598</v>
      </c>
      <c r="F48" t="s">
        <v>550</v>
      </c>
      <c r="G48" s="157">
        <f>_xlfn.XLOOKUP(Group[[#This Row],[material_id]],표19[material_id],표19[end_use_att])</f>
        <v>31.151733747199117</v>
      </c>
      <c r="H48" s="107">
        <f>_xlfn.XLOOKUP(Group[[#This Row],[material]],표22[material],표22[Total])</f>
        <v>57</v>
      </c>
      <c r="I48" s="158">
        <f>Group[[#This Row],[end_use_att]]+Group[[#This Row],[supply_value_overall_score]]</f>
        <v>88.151733747199117</v>
      </c>
      <c r="J48" s="158">
        <f>AVERAGEIF(Group[group_name],Group[[#This Row],[group_name]],Group[total_score])</f>
        <v>95.656403045084886</v>
      </c>
    </row>
    <row r="49" spans="1:10">
      <c r="A49" t="s">
        <v>2101</v>
      </c>
      <c r="B49" s="1" t="s">
        <v>3750</v>
      </c>
      <c r="C49" s="29" t="s">
        <v>467</v>
      </c>
      <c r="D49" t="str">
        <f>_xlfn.XLOOKUP(Group[[#This Row],[material]],표2[material_name],표2[material_id])</f>
        <v>M061</v>
      </c>
      <c r="E49" t="s">
        <v>467</v>
      </c>
      <c r="F49" t="s">
        <v>9</v>
      </c>
      <c r="G49" s="157">
        <f>_xlfn.XLOOKUP(Group[[#This Row],[material_id]],표19[material_id],표19[end_use_att])</f>
        <v>6.0302794943855176</v>
      </c>
      <c r="H49" s="108">
        <f>_xlfn.XLOOKUP(Group[[#This Row],[material]],표22[material],표22[Total])</f>
        <v>53</v>
      </c>
      <c r="I49" s="158">
        <f>Group[[#This Row],[end_use_att]]+Group[[#This Row],[supply_value_overall_score]]</f>
        <v>59.030279494385518</v>
      </c>
      <c r="J49" s="158">
        <f>AVERAGEIF(Group[group_name],Group[[#This Row],[group_name]],Group[total_score])</f>
        <v>95.293864144401169</v>
      </c>
    </row>
    <row r="50" spans="1:10">
      <c r="A50" t="s">
        <v>2100</v>
      </c>
      <c r="B50" s="1" t="s">
        <v>3750</v>
      </c>
      <c r="C50" s="29" t="s">
        <v>468</v>
      </c>
      <c r="D50" t="str">
        <f>_xlfn.XLOOKUP(Group[[#This Row],[material]],표2[material_name],표2[material_id])</f>
        <v>M062</v>
      </c>
      <c r="E50" t="s">
        <v>467</v>
      </c>
      <c r="F50" t="s">
        <v>9</v>
      </c>
      <c r="G50" s="157">
        <f>_xlfn.XLOOKUP(Group[[#This Row],[material_id]],표19[material_id],표19[end_use_att])</f>
        <v>93.557448794416814</v>
      </c>
      <c r="H50" s="108">
        <f>_xlfn.XLOOKUP(Group[[#This Row],[material]],표22[material],표22[Total])</f>
        <v>38</v>
      </c>
      <c r="I50" s="158">
        <f>Group[[#This Row],[end_use_att]]+Group[[#This Row],[supply_value_overall_score]]</f>
        <v>131.55744879441681</v>
      </c>
      <c r="J50" s="158">
        <f>AVERAGEIF(Group[group_name],Group[[#This Row],[group_name]],Group[total_score])</f>
        <v>95.293864144401169</v>
      </c>
    </row>
    <row r="51" spans="1:10">
      <c r="A51" t="s">
        <v>2128</v>
      </c>
      <c r="B51" s="1" t="s">
        <v>3760</v>
      </c>
      <c r="C51" t="s">
        <v>969</v>
      </c>
      <c r="D51" t="str">
        <f>_xlfn.XLOOKUP(Group[[#This Row],[material]],표2[material_name],표2[material_id])</f>
        <v>M088</v>
      </c>
      <c r="E51" t="s">
        <v>646</v>
      </c>
      <c r="F51" t="s">
        <v>904</v>
      </c>
      <c r="G51" s="157">
        <f>_xlfn.XLOOKUP(Group[[#This Row],[material_id]],표19[material_id],표19[end_use_att])</f>
        <v>6.0302794943855176</v>
      </c>
      <c r="H51" s="108">
        <f>_xlfn.XLOOKUP(Group[[#This Row],[material]],표22[material],표22[Total])</f>
        <v>78</v>
      </c>
      <c r="I51" s="158">
        <f>Group[[#This Row],[end_use_att]]+Group[[#This Row],[supply_value_overall_score]]</f>
        <v>84.030279494385525</v>
      </c>
      <c r="J51" s="158">
        <f>AVERAGEIF(Group[group_name],Group[[#This Row],[group_name]],Group[total_score])</f>
        <v>94.49204539725622</v>
      </c>
    </row>
    <row r="52" spans="1:10">
      <c r="A52" t="s">
        <v>2127</v>
      </c>
      <c r="B52" s="1" t="s">
        <v>3760</v>
      </c>
      <c r="C52" t="s">
        <v>1440</v>
      </c>
      <c r="D52" t="str">
        <f>_xlfn.XLOOKUP(Group[[#This Row],[material]],표2[material_name],표2[material_id])</f>
        <v>M090</v>
      </c>
      <c r="E52" t="s">
        <v>646</v>
      </c>
      <c r="F52" t="s">
        <v>904</v>
      </c>
      <c r="G52" s="157">
        <f>_xlfn.XLOOKUP(Group[[#This Row],[material_id]],표19[material_id],표19[end_use_att])</f>
        <v>26.953811300126933</v>
      </c>
      <c r="H52" s="108">
        <f>_xlfn.XLOOKUP(Group[[#This Row],[material]],표22[material],표22[Total])</f>
        <v>78</v>
      </c>
      <c r="I52" s="158">
        <f>Group[[#This Row],[end_use_att]]+Group[[#This Row],[supply_value_overall_score]]</f>
        <v>104.95381130012693</v>
      </c>
      <c r="J52" s="158">
        <f>AVERAGEIF(Group[group_name],Group[[#This Row],[group_name]],Group[total_score])</f>
        <v>94.49204539725622</v>
      </c>
    </row>
    <row r="53" spans="1:10">
      <c r="A53" t="s">
        <v>2091</v>
      </c>
      <c r="B53" s="1" t="s">
        <v>3739</v>
      </c>
      <c r="C53" t="s">
        <v>612</v>
      </c>
      <c r="D53" t="str">
        <f>_xlfn.XLOOKUP(Group[[#This Row],[material]],표2[material_name],표2[material_id])</f>
        <v>M084</v>
      </c>
      <c r="E53" t="s">
        <v>44</v>
      </c>
      <c r="F53" t="s">
        <v>5</v>
      </c>
      <c r="G53" s="157">
        <f>_xlfn.XLOOKUP(Group[[#This Row],[material_id]],표19[material_id],표19[end_use_att])</f>
        <v>16.761627524909102</v>
      </c>
      <c r="H53" s="107">
        <f>_xlfn.XLOOKUP(Group[[#This Row],[material]],표22[material],표22[Total])</f>
        <v>75</v>
      </c>
      <c r="I53" s="158">
        <f>Group[[#This Row],[end_use_att]]+Group[[#This Row],[supply_value_overall_score]]</f>
        <v>91.761627524909102</v>
      </c>
      <c r="J53" s="158">
        <f>AVERAGEIF(Group[group_name],Group[[#This Row],[group_name]],Group[total_score])</f>
        <v>94.295283254592775</v>
      </c>
    </row>
    <row r="54" spans="1:10">
      <c r="A54" t="s">
        <v>2091</v>
      </c>
      <c r="B54" s="1" t="s">
        <v>3739</v>
      </c>
      <c r="C54" t="s">
        <v>1110</v>
      </c>
      <c r="D54" t="str">
        <f>_xlfn.XLOOKUP(Group[[#This Row],[material]],표2[material_name],표2[material_id])</f>
        <v>M083</v>
      </c>
      <c r="E54" t="s">
        <v>44</v>
      </c>
      <c r="F54" t="s">
        <v>5</v>
      </c>
      <c r="G54" s="157">
        <f>_xlfn.XLOOKUP(Group[[#This Row],[material_id]],표19[material_id],표19[end_use_att])</f>
        <v>64.127507543727162</v>
      </c>
      <c r="H54" s="108">
        <f>_xlfn.XLOOKUP(Group[[#This Row],[material]],표22[material],표22[Total])</f>
        <v>50</v>
      </c>
      <c r="I54" s="158">
        <f>Group[[#This Row],[end_use_att]]+Group[[#This Row],[supply_value_overall_score]]</f>
        <v>114.12750754372716</v>
      </c>
      <c r="J54" s="158">
        <f>AVERAGEIF(Group[group_name],Group[[#This Row],[group_name]],Group[total_score])</f>
        <v>94.295283254592775</v>
      </c>
    </row>
    <row r="55" spans="1:10">
      <c r="A55" t="s">
        <v>2067</v>
      </c>
      <c r="B55" s="1" t="s">
        <v>3739</v>
      </c>
      <c r="C55" t="s">
        <v>44</v>
      </c>
      <c r="D55" t="str">
        <f>_xlfn.XLOOKUP(Group[[#This Row],[material]],표2[material_name],표2[material_id])</f>
        <v>M019</v>
      </c>
      <c r="E55" t="s">
        <v>44</v>
      </c>
      <c r="F55" t="s">
        <v>5</v>
      </c>
      <c r="G55" s="157">
        <f>_xlfn.XLOOKUP(Group[[#This Row],[material_id]],표19[material_id],표19[end_use_att])</f>
        <v>23.996714695142014</v>
      </c>
      <c r="H55" s="108">
        <f>_xlfn.XLOOKUP(Group[[#This Row],[material]],표22[material],표22[Total])</f>
        <v>53</v>
      </c>
      <c r="I55" s="158">
        <f>Group[[#This Row],[end_use_att]]+Group[[#This Row],[supply_value_overall_score]]</f>
        <v>76.996714695142018</v>
      </c>
      <c r="J55" s="158">
        <f>AVERAGEIF(Group[group_name],Group[[#This Row],[group_name]],Group[total_score])</f>
        <v>94.295283254592775</v>
      </c>
    </row>
    <row r="56" spans="1:10">
      <c r="A56" t="s">
        <v>2076</v>
      </c>
      <c r="B56" s="1" t="s">
        <v>3748</v>
      </c>
      <c r="C56" s="29" t="s">
        <v>970</v>
      </c>
      <c r="D56" t="str">
        <f>_xlfn.XLOOKUP(Group[[#This Row],[material]],표2[material_name],표2[material_id])</f>
        <v>M041</v>
      </c>
      <c r="E56" t="s">
        <v>460</v>
      </c>
      <c r="F56" t="s">
        <v>769</v>
      </c>
      <c r="G56" s="157">
        <f>_xlfn.XLOOKUP(Group[[#This Row],[material_id]],표19[material_id],표19[end_use_att])</f>
        <v>51.634459212682536</v>
      </c>
      <c r="H56" s="108">
        <f>_xlfn.XLOOKUP(Group[[#This Row],[material]],표22[material],표22[Total])</f>
        <v>53</v>
      </c>
      <c r="I56" s="158">
        <f>Group[[#This Row],[end_use_att]]+Group[[#This Row],[supply_value_overall_score]]</f>
        <v>104.63445921268254</v>
      </c>
      <c r="J56" s="158">
        <f>AVERAGEIF(Group[group_name],Group[[#This Row],[group_name]],Group[total_score])</f>
        <v>93.82677522032678</v>
      </c>
    </row>
    <row r="57" spans="1:10">
      <c r="A57" t="s">
        <v>2098</v>
      </c>
      <c r="B57" s="1" t="s">
        <v>3748</v>
      </c>
      <c r="C57" t="s">
        <v>106</v>
      </c>
      <c r="D57" t="str">
        <f>_xlfn.XLOOKUP(Group[[#This Row],[material]],표2[material_name],표2[material_id])</f>
        <v>M042</v>
      </c>
      <c r="E57" t="s">
        <v>460</v>
      </c>
      <c r="F57" t="s">
        <v>769</v>
      </c>
      <c r="G57" s="157">
        <f>_xlfn.XLOOKUP(Group[[#This Row],[material_id]],표19[material_id],표19[end_use_att])</f>
        <v>12.019091227971018</v>
      </c>
      <c r="H57" s="108">
        <f>_xlfn.XLOOKUP(Group[[#This Row],[material]],표22[material],표22[Total])</f>
        <v>71</v>
      </c>
      <c r="I57" s="158">
        <f>Group[[#This Row],[end_use_att]]+Group[[#This Row],[supply_value_overall_score]]</f>
        <v>83.019091227971018</v>
      </c>
      <c r="J57" s="158">
        <f>AVERAGEIF(Group[group_name],Group[[#This Row],[group_name]],Group[total_score])</f>
        <v>93.82677522032678</v>
      </c>
    </row>
    <row r="58" spans="1:10">
      <c r="A58" t="s">
        <v>2069</v>
      </c>
      <c r="B58" s="1" t="s">
        <v>3741</v>
      </c>
      <c r="C58" t="s">
        <v>1103</v>
      </c>
      <c r="D58" t="str">
        <f>_xlfn.XLOOKUP(Group[[#This Row],[material]],표2[material_name],표2[material_id])</f>
        <v>M052</v>
      </c>
      <c r="E58" t="s">
        <v>1103</v>
      </c>
      <c r="F58" t="s">
        <v>1103</v>
      </c>
      <c r="G58" s="157">
        <f>_xlfn.XLOOKUP(Group[[#This Row],[material_id]],표19[material_id],표19[end_use_att])</f>
        <v>26.953811300126933</v>
      </c>
      <c r="H58" s="108">
        <f>_xlfn.XLOOKUP(Group[[#This Row],[material]],표22[material],표22[Total])</f>
        <v>80</v>
      </c>
      <c r="I58" s="158">
        <f>Group[[#This Row],[end_use_att]]+Group[[#This Row],[supply_value_overall_score]]</f>
        <v>106.95381130012693</v>
      </c>
      <c r="J58" s="158">
        <f>AVERAGEIF(Group[group_name],Group[[#This Row],[group_name]],Group[total_score])</f>
        <v>93.04112057194132</v>
      </c>
    </row>
    <row r="59" spans="1:10">
      <c r="A59" t="s">
        <v>2093</v>
      </c>
      <c r="B59" s="1" t="s">
        <v>3741</v>
      </c>
      <c r="C59" t="s">
        <v>115</v>
      </c>
      <c r="D59" t="str">
        <f>_xlfn.XLOOKUP(Group[[#This Row],[material]],표2[material_name],표2[material_id])</f>
        <v>M048</v>
      </c>
      <c r="E59" t="s">
        <v>1103</v>
      </c>
      <c r="F59" t="s">
        <v>1103</v>
      </c>
      <c r="G59" s="157">
        <f>_xlfn.XLOOKUP(Group[[#This Row],[material_id]],표19[material_id],표19[end_use_att])</f>
        <v>1.128429843755725</v>
      </c>
      <c r="H59" s="108">
        <f>_xlfn.XLOOKUP(Group[[#This Row],[material]],표22[material],표22[Total])</f>
        <v>78</v>
      </c>
      <c r="I59" s="158">
        <f>Group[[#This Row],[end_use_att]]+Group[[#This Row],[supply_value_overall_score]]</f>
        <v>79.128429843755725</v>
      </c>
      <c r="J59" s="158">
        <f>AVERAGEIF(Group[group_name],Group[[#This Row],[group_name]],Group[total_score])</f>
        <v>93.04112057194132</v>
      </c>
    </row>
    <row r="60" spans="1:10">
      <c r="A60" t="s">
        <v>2050</v>
      </c>
      <c r="B60" s="1" t="s">
        <v>3732</v>
      </c>
      <c r="C60" t="s">
        <v>977</v>
      </c>
      <c r="D60" t="str">
        <f>_xlfn.XLOOKUP(Group[[#This Row],[material]],표2[material_name],표2[material_id])</f>
        <v>M002</v>
      </c>
      <c r="E60" t="s">
        <v>5</v>
      </c>
      <c r="F60" t="s">
        <v>5</v>
      </c>
      <c r="G60" s="157">
        <f>_xlfn.XLOOKUP(Group[[#This Row],[material_id]],표19[material_id],표19[end_use_att])</f>
        <v>39.160261468804798</v>
      </c>
      <c r="H60" s="108">
        <f>_xlfn.XLOOKUP(Group[[#This Row],[material]],표22[material],표22[Total])</f>
        <v>68</v>
      </c>
      <c r="I60" s="158">
        <f>Group[[#This Row],[end_use_att]]+Group[[#This Row],[supply_value_overall_score]]</f>
        <v>107.1602614688048</v>
      </c>
      <c r="J60" s="158">
        <f>AVERAGEIF(Group[group_name],Group[[#This Row],[group_name]],Group[total_score])</f>
        <v>91.861234506840617</v>
      </c>
    </row>
    <row r="61" spans="1:10">
      <c r="A61" t="s">
        <v>2133</v>
      </c>
      <c r="B61" s="1" t="s">
        <v>3732</v>
      </c>
      <c r="C61" t="s">
        <v>2053</v>
      </c>
      <c r="D61" t="str">
        <f>_xlfn.XLOOKUP(Group[[#This Row],[material]],표2[material_name],표2[material_id])</f>
        <v>M003</v>
      </c>
      <c r="E61" t="s">
        <v>5</v>
      </c>
      <c r="F61" t="s">
        <v>5</v>
      </c>
      <c r="G61" s="157">
        <f>_xlfn.XLOOKUP(Group[[#This Row],[material_id]],표19[material_id],표19[end_use_att])</f>
        <v>27.029556204331882</v>
      </c>
      <c r="H61" s="108">
        <f>_xlfn.XLOOKUP(Group[[#This Row],[material]],표22[material],표22[Total])</f>
        <v>53</v>
      </c>
      <c r="I61" s="158">
        <f>Group[[#This Row],[end_use_att]]+Group[[#This Row],[supply_value_overall_score]]</f>
        <v>80.029556204331882</v>
      </c>
      <c r="J61" s="158">
        <f>AVERAGEIF(Group[group_name],Group[[#This Row],[group_name]],Group[total_score])</f>
        <v>91.861234506840617</v>
      </c>
    </row>
    <row r="62" spans="1:10">
      <c r="A62" t="s">
        <v>2133</v>
      </c>
      <c r="B62" s="1" t="s">
        <v>3732</v>
      </c>
      <c r="C62" t="s">
        <v>2054</v>
      </c>
      <c r="D62" t="str">
        <f>_xlfn.XLOOKUP(Group[[#This Row],[material]],표2[material_name],표2[material_id])</f>
        <v>M004</v>
      </c>
      <c r="E62" t="s">
        <v>5</v>
      </c>
      <c r="F62" t="s">
        <v>5</v>
      </c>
      <c r="G62" s="157">
        <f>_xlfn.XLOOKUP(Group[[#This Row],[material_id]],표19[material_id],표19[end_use_att])</f>
        <v>20.393885847385135</v>
      </c>
      <c r="H62" s="108">
        <f>_xlfn.XLOOKUP(Group[[#This Row],[material]],표22[material],표22[Total])</f>
        <v>68</v>
      </c>
      <c r="I62" s="158">
        <f>Group[[#This Row],[end_use_att]]+Group[[#This Row],[supply_value_overall_score]]</f>
        <v>88.393885847385135</v>
      </c>
      <c r="J62" s="158">
        <f>AVERAGEIF(Group[group_name],Group[[#This Row],[group_name]],Group[total_score])</f>
        <v>91.861234506840617</v>
      </c>
    </row>
    <row r="63" spans="1:10">
      <c r="A63" t="s">
        <v>2109</v>
      </c>
      <c r="B63" t="s">
        <v>2081</v>
      </c>
      <c r="C63" t="s">
        <v>26</v>
      </c>
      <c r="D63" t="str">
        <f>_xlfn.XLOOKUP(Group[[#This Row],[material]],표2[material_name],표2[material_id])</f>
        <v>M046</v>
      </c>
      <c r="E63" t="s">
        <v>1100</v>
      </c>
      <c r="F63" t="s">
        <v>1100</v>
      </c>
      <c r="G63" s="157">
        <f>_xlfn.XLOOKUP(Group[[#This Row],[material_id]],표19[material_id],표19[end_use_att])</f>
        <v>14.92051807241204</v>
      </c>
      <c r="H63" s="108">
        <f>_xlfn.XLOOKUP(Group[[#This Row],[material]],표22[material],표22[Total])</f>
        <v>80</v>
      </c>
      <c r="I63" s="158">
        <f>Group[[#This Row],[end_use_att]]+Group[[#This Row],[supply_value_overall_score]]</f>
        <v>94.920518072412037</v>
      </c>
      <c r="J63" s="158">
        <f>AVERAGEIF(Group[group_name],Group[[#This Row],[group_name]],Group[total_score])</f>
        <v>89.094881146865646</v>
      </c>
    </row>
    <row r="64" spans="1:10">
      <c r="A64" t="s">
        <v>2108</v>
      </c>
      <c r="B64" t="s">
        <v>807</v>
      </c>
      <c r="C64" t="s">
        <v>1016</v>
      </c>
      <c r="D64" t="str">
        <f>_xlfn.XLOOKUP(Group[[#This Row],[material]],표2[material_name],표2[material_id])</f>
        <v>M049</v>
      </c>
      <c r="E64" t="s">
        <v>1100</v>
      </c>
      <c r="F64" t="s">
        <v>1100</v>
      </c>
      <c r="G64" s="157">
        <f>_xlfn.XLOOKUP(Group[[#This Row],[material_id]],표19[material_id],표19[end_use_att])</f>
        <v>15.269244221319273</v>
      </c>
      <c r="H64" s="108">
        <f>_xlfn.XLOOKUP(Group[[#This Row],[material]],표22[material],표22[Total])</f>
        <v>68</v>
      </c>
      <c r="I64" s="158">
        <f>Group[[#This Row],[end_use_att]]+Group[[#This Row],[supply_value_overall_score]]</f>
        <v>83.269244221319269</v>
      </c>
      <c r="J64" s="158">
        <f>AVERAGEIF(Group[group_name],Group[[#This Row],[group_name]],Group[total_score])</f>
        <v>89.094881146865646</v>
      </c>
    </row>
    <row r="65" spans="1:10">
      <c r="A65" t="s">
        <v>2125</v>
      </c>
      <c r="B65" s="1" t="s">
        <v>3758</v>
      </c>
      <c r="C65" t="s">
        <v>118</v>
      </c>
      <c r="D65" t="str">
        <f>_xlfn.XLOOKUP(Group[[#This Row],[material]],표2[material_name],표2[material_id])</f>
        <v>M065</v>
      </c>
      <c r="E65" t="s">
        <v>2085</v>
      </c>
      <c r="F65" t="s">
        <v>9</v>
      </c>
      <c r="G65" s="157">
        <f>_xlfn.XLOOKUP(Group[[#This Row],[material_id]],표19[material_id],표19[end_use_att])</f>
        <v>34.392168846559571</v>
      </c>
      <c r="H65" s="108">
        <f>_xlfn.XLOOKUP(Group[[#This Row],[material]],표22[material],표22[Total])</f>
        <v>65</v>
      </c>
      <c r="I65" s="158">
        <f>Group[[#This Row],[end_use_att]]+Group[[#This Row],[supply_value_overall_score]]</f>
        <v>99.392168846559571</v>
      </c>
      <c r="J65" s="158">
        <f>AVERAGEIF(Group[group_name],Group[[#This Row],[group_name]],Group[total_score])</f>
        <v>87.764968643043431</v>
      </c>
    </row>
    <row r="66" spans="1:10">
      <c r="A66" t="s">
        <v>2124</v>
      </c>
      <c r="B66" s="1" t="s">
        <v>3758</v>
      </c>
      <c r="C66" t="s">
        <v>627</v>
      </c>
      <c r="D66" t="str">
        <f>_xlfn.XLOOKUP(Group[[#This Row],[material]],표2[material_name],표2[material_id])</f>
        <v>M085</v>
      </c>
      <c r="E66" t="s">
        <v>2085</v>
      </c>
      <c r="F66" t="s">
        <v>9</v>
      </c>
      <c r="G66" s="157">
        <f>_xlfn.XLOOKUP(Group[[#This Row],[material_id]],표19[material_id],표19[end_use_att])</f>
        <v>16.137768439527292</v>
      </c>
      <c r="H66" s="107">
        <f>_xlfn.XLOOKUP(Group[[#This Row],[material]],표22[material],표22[Total])</f>
        <v>60</v>
      </c>
      <c r="I66" s="158">
        <f>Group[[#This Row],[end_use_att]]+Group[[#This Row],[supply_value_overall_score]]</f>
        <v>76.137768439527292</v>
      </c>
      <c r="J66" s="158">
        <f>AVERAGEIF(Group[group_name],Group[[#This Row],[group_name]],Group[total_score])</f>
        <v>87.764968643043431</v>
      </c>
    </row>
    <row r="67" spans="1:10">
      <c r="A67" t="s">
        <v>2102</v>
      </c>
      <c r="B67" s="1" t="s">
        <v>3751</v>
      </c>
      <c r="C67" s="29" t="s">
        <v>915</v>
      </c>
      <c r="D67" t="str">
        <f>_xlfn.XLOOKUP(Group[[#This Row],[material]],표2[material_name],표2[material_id])</f>
        <v>M100</v>
      </c>
      <c r="E67" t="s">
        <v>1022</v>
      </c>
      <c r="F67" t="s">
        <v>9</v>
      </c>
      <c r="G67" s="157">
        <f>_xlfn.XLOOKUP(Group[[#This Row],[material_id]],표19[material_id],표19[end_use_att])</f>
        <v>37.177342087000937</v>
      </c>
      <c r="H67" s="108">
        <f>_xlfn.XLOOKUP(Group[[#This Row],[material]],표22[material],표22[Total])</f>
        <v>50</v>
      </c>
      <c r="I67" s="158">
        <f>Group[[#This Row],[end_use_att]]+Group[[#This Row],[supply_value_overall_score]]</f>
        <v>87.177342087000937</v>
      </c>
      <c r="J67" s="158">
        <f>AVERAGEIF(Group[group_name],Group[[#This Row],[group_name]],Group[total_score])</f>
        <v>87.211157860673183</v>
      </c>
    </row>
    <row r="68" spans="1:10">
      <c r="A68" t="s">
        <v>2103</v>
      </c>
      <c r="B68" s="1" t="s">
        <v>3751</v>
      </c>
      <c r="C68" s="29" t="s">
        <v>917</v>
      </c>
      <c r="D68" t="str">
        <f>_xlfn.XLOOKUP(Group[[#This Row],[material]],표2[material_name],표2[material_id])</f>
        <v>M074</v>
      </c>
      <c r="E68" t="s">
        <v>1022</v>
      </c>
      <c r="F68" t="s">
        <v>9</v>
      </c>
      <c r="G68" s="157">
        <f>_xlfn.XLOOKUP(Group[[#This Row],[material_id]],표19[material_id],표19[end_use_att])</f>
        <v>76.778063605691571</v>
      </c>
      <c r="H68" s="108">
        <f>_xlfn.XLOOKUP(Group[[#This Row],[material]],표22[material],표22[Total])</f>
        <v>53</v>
      </c>
      <c r="I68" s="158">
        <f>Group[[#This Row],[end_use_att]]+Group[[#This Row],[supply_value_overall_score]]</f>
        <v>129.77806360569156</v>
      </c>
      <c r="J68" s="158">
        <f>AVERAGEIF(Group[group_name],Group[[#This Row],[group_name]],Group[total_score])</f>
        <v>87.211157860673183</v>
      </c>
    </row>
    <row r="69" spans="1:10">
      <c r="A69" t="s">
        <v>2102</v>
      </c>
      <c r="B69" s="1" t="s">
        <v>3751</v>
      </c>
      <c r="C69" s="29" t="s">
        <v>119</v>
      </c>
      <c r="D69" t="str">
        <f>_xlfn.XLOOKUP(Group[[#This Row],[material]],표2[material_name],표2[material_id])</f>
        <v>M064</v>
      </c>
      <c r="E69" t="s">
        <v>1022</v>
      </c>
      <c r="F69" t="s">
        <v>9</v>
      </c>
      <c r="G69" s="157">
        <f>_xlfn.XLOOKUP(Group[[#This Row],[material_id]],표19[material_id],표19[end_use_att])</f>
        <v>6.0302794943855176</v>
      </c>
      <c r="H69" s="108">
        <f>_xlfn.XLOOKUP(Group[[#This Row],[material]],표22[material],표22[Total])</f>
        <v>65</v>
      </c>
      <c r="I69" s="158">
        <f>Group[[#This Row],[end_use_att]]+Group[[#This Row],[supply_value_overall_score]]</f>
        <v>71.030279494385525</v>
      </c>
      <c r="J69" s="158">
        <f>AVERAGEIF(Group[group_name],Group[[#This Row],[group_name]],Group[total_score])</f>
        <v>87.211157860673183</v>
      </c>
    </row>
    <row r="70" spans="1:10">
      <c r="A70" t="s">
        <v>2102</v>
      </c>
      <c r="B70" s="1" t="s">
        <v>3751</v>
      </c>
      <c r="C70" s="29" t="s">
        <v>967</v>
      </c>
      <c r="D70" t="str">
        <f>_xlfn.XLOOKUP(Group[[#This Row],[material]],표2[material_name],표2[material_id])</f>
        <v>M067</v>
      </c>
      <c r="E70" t="s">
        <v>1022</v>
      </c>
      <c r="F70" t="s">
        <v>9</v>
      </c>
      <c r="G70" s="157">
        <f>_xlfn.XLOOKUP(Group[[#This Row],[material_id]],표19[material_id],표19[end_use_att])</f>
        <v>7.8589462556147138</v>
      </c>
      <c r="H70" s="108">
        <f>_xlfn.XLOOKUP(Group[[#This Row],[material]],표22[material],표22[Total])</f>
        <v>53</v>
      </c>
      <c r="I70" s="158">
        <f>Group[[#This Row],[end_use_att]]+Group[[#This Row],[supply_value_overall_score]]</f>
        <v>60.858946255614711</v>
      </c>
      <c r="J70" s="158">
        <f>AVERAGEIF(Group[group_name],Group[[#This Row],[group_name]],Group[total_score])</f>
        <v>87.211157860673183</v>
      </c>
    </row>
    <row r="71" spans="1:10">
      <c r="A71" t="s">
        <v>2056</v>
      </c>
      <c r="B71" s="1" t="s">
        <v>3734</v>
      </c>
      <c r="C71" t="s">
        <v>470</v>
      </c>
      <c r="D71" t="str">
        <f>_xlfn.XLOOKUP(Group[[#This Row],[material]],표2[material_name],표2[material_id])</f>
        <v>M012</v>
      </c>
      <c r="E71" t="s">
        <v>470</v>
      </c>
      <c r="F71" t="s">
        <v>550</v>
      </c>
      <c r="G71" s="157">
        <f>_xlfn.XLOOKUP(Group[[#This Row],[material_id]],표19[material_id],표19[end_use_att])</f>
        <v>23.996714695142014</v>
      </c>
      <c r="H71" s="108">
        <f>_xlfn.XLOOKUP(Group[[#This Row],[material]],표22[material],표22[Total])</f>
        <v>68</v>
      </c>
      <c r="I71" s="158">
        <f>Group[[#This Row],[end_use_att]]+Group[[#This Row],[supply_value_overall_score]]</f>
        <v>91.996714695142018</v>
      </c>
      <c r="J71" s="158">
        <f>AVERAGEIF(Group[group_name],Group[[#This Row],[group_name]],Group[total_score])</f>
        <v>80.650352176048443</v>
      </c>
    </row>
    <row r="72" spans="1:10">
      <c r="A72" t="s">
        <v>2086</v>
      </c>
      <c r="B72" s="1" t="s">
        <v>3734</v>
      </c>
      <c r="C72" t="s">
        <v>478</v>
      </c>
      <c r="D72" t="str">
        <f>_xlfn.XLOOKUP(Group[[#This Row],[material]],표2[material_name],표2[material_id])</f>
        <v>M017</v>
      </c>
      <c r="E72" t="s">
        <v>470</v>
      </c>
      <c r="F72" t="s">
        <v>550</v>
      </c>
      <c r="G72" s="157">
        <f>_xlfn.XLOOKUP(Group[[#This Row],[material_id]],표19[material_id],표19[end_use_att])</f>
        <v>32.009869128647949</v>
      </c>
      <c r="H72" s="108">
        <f>_xlfn.XLOOKUP(Group[[#This Row],[material]],표22[material],표22[Total])</f>
        <v>68</v>
      </c>
      <c r="I72" s="158">
        <f>Group[[#This Row],[end_use_att]]+Group[[#This Row],[supply_value_overall_score]]</f>
        <v>100.00986912864795</v>
      </c>
      <c r="J72" s="158">
        <f>AVERAGEIF(Group[group_name],Group[[#This Row],[group_name]],Group[total_score])</f>
        <v>80.650352176048443</v>
      </c>
    </row>
    <row r="73" spans="1:10">
      <c r="A73" t="s">
        <v>2086</v>
      </c>
      <c r="B73" s="1" t="s">
        <v>3734</v>
      </c>
      <c r="C73" t="s">
        <v>667</v>
      </c>
      <c r="D73" t="str">
        <f>_xlfn.XLOOKUP(Group[[#This Row],[material]],표2[material_name],표2[material_id])</f>
        <v>M093</v>
      </c>
      <c r="E73" t="s">
        <v>470</v>
      </c>
      <c r="F73" t="s">
        <v>550</v>
      </c>
      <c r="G73" s="157">
        <f>_xlfn.XLOOKUP(Group[[#This Row],[material_id]],표19[material_id],표19[end_use_att])</f>
        <v>11.944472704355364</v>
      </c>
      <c r="H73" s="108">
        <f>_xlfn.XLOOKUP(Group[[#This Row],[material]],표22[material],표22[Total])</f>
        <v>38</v>
      </c>
      <c r="I73" s="158">
        <f>Group[[#This Row],[end_use_att]]+Group[[#This Row],[supply_value_overall_score]]</f>
        <v>49.944472704355363</v>
      </c>
      <c r="J73" s="158">
        <f>AVERAGEIF(Group[group_name],Group[[#This Row],[group_name]],Group[total_score])</f>
        <v>80.650352176048443</v>
      </c>
    </row>
    <row r="74" spans="1:10">
      <c r="A74" t="s">
        <v>2099</v>
      </c>
      <c r="B74" s="1" t="s">
        <v>3749</v>
      </c>
      <c r="C74" s="29" t="s">
        <v>467</v>
      </c>
      <c r="D74" t="str">
        <f>_xlfn.XLOOKUP(Group[[#This Row],[material]],표2[material_name],표2[material_id])</f>
        <v>M061</v>
      </c>
      <c r="E74" t="s">
        <v>3940</v>
      </c>
      <c r="F74" t="s">
        <v>3941</v>
      </c>
      <c r="G74" s="157">
        <f>_xlfn.XLOOKUP(Group[[#This Row],[material_id]],표19[material_id],표19[end_use_att])</f>
        <v>6.0302794943855176</v>
      </c>
      <c r="H74" s="108">
        <f>_xlfn.XLOOKUP(Group[[#This Row],[material]],표22[material],표22[Total])</f>
        <v>53</v>
      </c>
      <c r="I74" s="158">
        <f>Group[[#This Row],[end_use_att]]+Group[[#This Row],[supply_value_overall_score]]</f>
        <v>59.030279494385518</v>
      </c>
      <c r="J74" s="158">
        <f>AVERAGEIF(Group[group_name],Group[[#This Row],[group_name]],Group[total_score])</f>
        <v>80.608497552597939</v>
      </c>
    </row>
    <row r="75" spans="1:10">
      <c r="A75" t="s">
        <v>2077</v>
      </c>
      <c r="B75" s="1" t="s">
        <v>3749</v>
      </c>
      <c r="C75" s="29" t="s">
        <v>768</v>
      </c>
      <c r="D75" t="str">
        <f>_xlfn.XLOOKUP(Group[[#This Row],[material]],표2[material_name],표2[material_id])</f>
        <v>M098</v>
      </c>
      <c r="E75" t="s">
        <v>3940</v>
      </c>
      <c r="F75" t="s">
        <v>3941</v>
      </c>
      <c r="G75" s="157">
        <f>_xlfn.XLOOKUP(Group[[#This Row],[material_id]],표19[material_id],표19[end_use_att])</f>
        <v>12.718744969149709</v>
      </c>
      <c r="H75" s="108">
        <f>_xlfn.XLOOKUP(Group[[#This Row],[material]],표22[material],표22[Total])</f>
        <v>38</v>
      </c>
      <c r="I75" s="158">
        <f>Group[[#This Row],[end_use_att]]+Group[[#This Row],[supply_value_overall_score]]</f>
        <v>50.718744969149711</v>
      </c>
      <c r="J75" s="158">
        <f>AVERAGEIF(Group[group_name],Group[[#This Row],[group_name]],Group[total_score])</f>
        <v>80.608497552597939</v>
      </c>
    </row>
    <row r="76" spans="1:10">
      <c r="A76" t="s">
        <v>2099</v>
      </c>
      <c r="B76" s="1" t="s">
        <v>3749</v>
      </c>
      <c r="C76" s="29" t="s">
        <v>1021</v>
      </c>
      <c r="D76" t="str">
        <f>_xlfn.XLOOKUP(Group[[#This Row],[material]],표2[material_name],표2[material_id])</f>
        <v>M063</v>
      </c>
      <c r="E76" t="s">
        <v>3940</v>
      </c>
      <c r="F76" t="s">
        <v>3941</v>
      </c>
      <c r="G76" s="157">
        <f>_xlfn.XLOOKUP(Group[[#This Row],[material_id]],표19[material_id],표19[end_use_att])</f>
        <v>79.076468194258581</v>
      </c>
      <c r="H76" s="108">
        <f>_xlfn.XLOOKUP(Group[[#This Row],[material]],표22[material],표22[Total])</f>
        <v>53</v>
      </c>
      <c r="I76" s="158">
        <f>Group[[#This Row],[end_use_att]]+Group[[#This Row],[supply_value_overall_score]]</f>
        <v>132.07646819425858</v>
      </c>
      <c r="J76" s="158">
        <f>AVERAGEIF(Group[group_name],Group[[#This Row],[group_name]],Group[total_score])</f>
        <v>80.608497552597939</v>
      </c>
    </row>
    <row r="77" spans="1:10">
      <c r="A77" t="s">
        <v>2116</v>
      </c>
      <c r="B77" t="s">
        <v>2083</v>
      </c>
      <c r="C77" t="s">
        <v>971</v>
      </c>
      <c r="D77" t="str">
        <f>_xlfn.XLOOKUP(Group[[#This Row],[material]],표2[material_name],표2[material_id])</f>
        <v>M068</v>
      </c>
      <c r="E77" t="s">
        <v>3943</v>
      </c>
      <c r="F77" t="s">
        <v>3944</v>
      </c>
      <c r="G77" s="157">
        <f>_xlfn.XLOOKUP(Group[[#This Row],[material_id]],표19[material_id],표19[end_use_att])</f>
        <v>17.966435200756496</v>
      </c>
      <c r="H77" s="108">
        <f>_xlfn.XLOOKUP(Group[[#This Row],[material]],표22[material],표22[Total])</f>
        <v>65</v>
      </c>
      <c r="I77" s="158">
        <f>Group[[#This Row],[end_use_att]]+Group[[#This Row],[supply_value_overall_score]]</f>
        <v>82.966435200756493</v>
      </c>
      <c r="J77" s="158">
        <f>AVERAGEIF(Group[group_name],Group[[#This Row],[group_name]],Group[total_score])</f>
        <v>80.2312709094616</v>
      </c>
    </row>
    <row r="78" spans="1:10">
      <c r="A78" t="s">
        <v>2116</v>
      </c>
      <c r="B78" t="s">
        <v>2083</v>
      </c>
      <c r="C78" t="s">
        <v>490</v>
      </c>
      <c r="D78" t="str">
        <f>_xlfn.XLOOKUP(Group[[#This Row],[material]],표2[material_name],표2[material_id])</f>
        <v>M073</v>
      </c>
      <c r="E78" t="s">
        <v>3943</v>
      </c>
      <c r="F78" t="s">
        <v>3944</v>
      </c>
      <c r="G78" s="157">
        <f>_xlfn.XLOOKUP(Group[[#This Row],[material_id]],표19[material_id],표19[end_use_att])</f>
        <v>13.180671834542371</v>
      </c>
      <c r="H78" s="108">
        <f>_xlfn.XLOOKUP(Group[[#This Row],[material]],표22[material],표22[Total])</f>
        <v>53</v>
      </c>
      <c r="I78" s="158">
        <f>Group[[#This Row],[end_use_att]]+Group[[#This Row],[supply_value_overall_score]]</f>
        <v>66.180671834542366</v>
      </c>
      <c r="J78" s="158">
        <f>AVERAGEIF(Group[group_name],Group[[#This Row],[group_name]],Group[total_score])</f>
        <v>80.2312709094616</v>
      </c>
    </row>
    <row r="79" spans="1:10">
      <c r="A79" t="s">
        <v>2116</v>
      </c>
      <c r="B79" t="s">
        <v>2083</v>
      </c>
      <c r="C79" t="s">
        <v>264</v>
      </c>
      <c r="D79" t="str">
        <f>_xlfn.XLOOKUP(Group[[#This Row],[material]],표2[material_name],표2[material_id])</f>
        <v>M027</v>
      </c>
      <c r="E79" t="s">
        <v>3943</v>
      </c>
      <c r="F79" t="s">
        <v>3944</v>
      </c>
      <c r="G79" s="157">
        <f>_xlfn.XLOOKUP(Group[[#This Row],[material_id]],표19[material_id],표19[end_use_att])</f>
        <v>35.541246939484139</v>
      </c>
      <c r="H79" s="108">
        <f>_xlfn.XLOOKUP(Group[[#This Row],[material]],표22[material],표22[Total])</f>
        <v>68</v>
      </c>
      <c r="I79" s="158">
        <f>Group[[#This Row],[end_use_att]]+Group[[#This Row],[supply_value_overall_score]]</f>
        <v>103.54124693948414</v>
      </c>
      <c r="J79" s="158">
        <f>AVERAGEIF(Group[group_name],Group[[#This Row],[group_name]],Group[total_score])</f>
        <v>80.2312709094616</v>
      </c>
    </row>
    <row r="80" spans="1:10">
      <c r="A80" t="s">
        <v>2117</v>
      </c>
      <c r="B80" t="s">
        <v>2084</v>
      </c>
      <c r="C80" t="s">
        <v>1290</v>
      </c>
      <c r="D80" t="str">
        <f>_xlfn.XLOOKUP(Group[[#This Row],[material]],표2[material_name],표2[material_id])</f>
        <v>M109</v>
      </c>
      <c r="E80" t="s">
        <v>3943</v>
      </c>
      <c r="F80" t="s">
        <v>3944</v>
      </c>
      <c r="G80" s="157">
        <f>_xlfn.XLOOKUP(Group[[#This Row],[material_id]],표19[material_id],표19[end_use_att])</f>
        <v>18.236729663063386</v>
      </c>
      <c r="H80" s="108">
        <f>_xlfn.XLOOKUP(Group[[#This Row],[material]],표22[material],표22[Total])</f>
        <v>50</v>
      </c>
      <c r="I80" s="158">
        <f>Group[[#This Row],[end_use_att]]+Group[[#This Row],[supply_value_overall_score]]</f>
        <v>68.236729663063386</v>
      </c>
      <c r="J80" s="158">
        <f>AVERAGEIF(Group[group_name],Group[[#This Row],[group_name]],Group[total_score])</f>
        <v>80.2312709094616</v>
      </c>
    </row>
    <row r="81" spans="1:10">
      <c r="A81" t="s">
        <v>2087</v>
      </c>
      <c r="B81" s="1" t="s">
        <v>3735</v>
      </c>
      <c r="C81" t="s">
        <v>495</v>
      </c>
      <c r="D81" t="str">
        <f>_xlfn.XLOOKUP(Group[[#This Row],[material]],표2[material_name],표2[material_id])</f>
        <v>M092</v>
      </c>
      <c r="E81" t="s">
        <v>647</v>
      </c>
      <c r="F81" t="s">
        <v>904</v>
      </c>
      <c r="G81" s="157">
        <f>_xlfn.XLOOKUP(Group[[#This Row],[material_id]],표19[material_id],표19[end_use_att])</f>
        <v>20.178738721939041</v>
      </c>
      <c r="H81" s="108">
        <f>_xlfn.XLOOKUP(Group[[#This Row],[material]],표22[material],표22[Total])</f>
        <v>78</v>
      </c>
      <c r="I81" s="158">
        <f>Group[[#This Row],[end_use_att]]+Group[[#This Row],[supply_value_overall_score]]</f>
        <v>98.178738721939041</v>
      </c>
      <c r="J81" s="158">
        <f>AVERAGEIF(Group[group_name],Group[[#This Row],[group_name]],Group[total_score])</f>
        <v>78.833835626969034</v>
      </c>
    </row>
    <row r="82" spans="1:10">
      <c r="A82" t="s">
        <v>2087</v>
      </c>
      <c r="B82" s="1" t="s">
        <v>3735</v>
      </c>
      <c r="C82" t="s">
        <v>667</v>
      </c>
      <c r="D82" t="str">
        <f>_xlfn.XLOOKUP(Group[[#This Row],[material]],표2[material_name],표2[material_id])</f>
        <v>M093</v>
      </c>
      <c r="E82" t="s">
        <v>647</v>
      </c>
      <c r="F82" t="s">
        <v>904</v>
      </c>
      <c r="G82" s="157">
        <f>_xlfn.XLOOKUP(Group[[#This Row],[material_id]],표19[material_id],표19[end_use_att])</f>
        <v>11.944472704355364</v>
      </c>
      <c r="H82" s="108">
        <f>_xlfn.XLOOKUP(Group[[#This Row],[material]],표22[material],표22[Total])</f>
        <v>38</v>
      </c>
      <c r="I82" s="158">
        <f>Group[[#This Row],[end_use_att]]+Group[[#This Row],[supply_value_overall_score]]</f>
        <v>49.944472704355363</v>
      </c>
      <c r="J82" s="158">
        <f>AVERAGEIF(Group[group_name],Group[[#This Row],[group_name]],Group[total_score])</f>
        <v>78.833835626969034</v>
      </c>
    </row>
    <row r="83" spans="1:10">
      <c r="A83" t="s">
        <v>2063</v>
      </c>
      <c r="B83" s="1" t="s">
        <v>3735</v>
      </c>
      <c r="C83" t="s">
        <v>647</v>
      </c>
      <c r="D83" t="str">
        <f>_xlfn.XLOOKUP(Group[[#This Row],[material]],표2[material_name],표2[material_id])</f>
        <v>M089</v>
      </c>
      <c r="E83" t="s">
        <v>647</v>
      </c>
      <c r="F83" t="s">
        <v>904</v>
      </c>
      <c r="G83" s="157">
        <f>_xlfn.XLOOKUP(Group[[#This Row],[material_id]],표19[material_id],표19[end_use_att])</f>
        <v>6.0302794943855176</v>
      </c>
      <c r="H83" s="108">
        <f>_xlfn.XLOOKUP(Group[[#This Row],[material]],표22[material],표22[Total])</f>
        <v>68</v>
      </c>
      <c r="I83" s="158">
        <f>Group[[#This Row],[end_use_att]]+Group[[#This Row],[supply_value_overall_score]]</f>
        <v>74.030279494385525</v>
      </c>
      <c r="J83" s="158">
        <f>AVERAGEIF(Group[group_name],Group[[#This Row],[group_name]],Group[total_score])</f>
        <v>78.833835626969034</v>
      </c>
    </row>
    <row r="84" spans="1:10">
      <c r="A84" t="s">
        <v>2087</v>
      </c>
      <c r="B84" s="1" t="s">
        <v>3735</v>
      </c>
      <c r="C84" t="s">
        <v>494</v>
      </c>
      <c r="D84" t="str">
        <f>_xlfn.XLOOKUP(Group[[#This Row],[material]],표2[material_name],표2[material_id])</f>
        <v>M091</v>
      </c>
      <c r="E84" t="s">
        <v>647</v>
      </c>
      <c r="F84" t="s">
        <v>904</v>
      </c>
      <c r="G84" s="157">
        <f>_xlfn.XLOOKUP(Group[[#This Row],[material_id]],표19[material_id],표19[end_use_att])</f>
        <v>25.181851587196231</v>
      </c>
      <c r="H84" s="108">
        <f>_xlfn.XLOOKUP(Group[[#This Row],[material]],표22[material],표22[Total])</f>
        <v>68</v>
      </c>
      <c r="I84" s="158">
        <f>Group[[#This Row],[end_use_att]]+Group[[#This Row],[supply_value_overall_score]]</f>
        <v>93.181851587196235</v>
      </c>
      <c r="J84" s="158">
        <f>AVERAGEIF(Group[group_name],Group[[#This Row],[group_name]],Group[total_score])</f>
        <v>78.833835626969034</v>
      </c>
    </row>
    <row r="85" spans="1:10">
      <c r="A85" t="s">
        <v>2130</v>
      </c>
      <c r="B85" s="1" t="s">
        <v>3761</v>
      </c>
      <c r="C85" t="s">
        <v>972</v>
      </c>
      <c r="D85" t="str">
        <f>_xlfn.XLOOKUP(Group[[#This Row],[material]],표2[material_name],표2[material_id])</f>
        <v>M087</v>
      </c>
      <c r="E85" t="s">
        <v>972</v>
      </c>
      <c r="F85" t="s">
        <v>904</v>
      </c>
      <c r="G85" s="157">
        <f>_xlfn.XLOOKUP(Group[[#This Row],[material_id]],표19[material_id],표19[end_use_att])</f>
        <v>7.8589462556147138</v>
      </c>
      <c r="H85" s="108">
        <f>_xlfn.XLOOKUP(Group[[#This Row],[material]],표22[material],표22[Total])</f>
        <v>65</v>
      </c>
      <c r="I85" s="158">
        <f>Group[[#This Row],[end_use_att]]+Group[[#This Row],[supply_value_overall_score]]</f>
        <v>72.858946255614711</v>
      </c>
      <c r="J85" s="158">
        <f>AVERAGEIF(Group[group_name],Group[[#This Row],[group_name]],Group[total_score])</f>
        <v>69.519809045078546</v>
      </c>
    </row>
    <row r="86" spans="1:10">
      <c r="A86" t="s">
        <v>2129</v>
      </c>
      <c r="B86" s="1" t="s">
        <v>3761</v>
      </c>
      <c r="C86" t="s">
        <v>1564</v>
      </c>
      <c r="D86" t="str">
        <f>_xlfn.XLOOKUP(Group[[#This Row],[material]],표2[material_name],표2[material_id])</f>
        <v>M073</v>
      </c>
      <c r="E86" t="s">
        <v>972</v>
      </c>
      <c r="F86" t="s">
        <v>904</v>
      </c>
      <c r="G86" s="157">
        <f>_xlfn.XLOOKUP(Group[[#This Row],[material_id]],표19[material_id],표19[end_use_att])</f>
        <v>13.180671834542371</v>
      </c>
      <c r="H86" s="108">
        <f>_xlfn.XLOOKUP(Group[[#This Row],[material]],표22[material],표22[Total])</f>
        <v>53</v>
      </c>
      <c r="I86" s="158">
        <f>Group[[#This Row],[end_use_att]]+Group[[#This Row],[supply_value_overall_score]]</f>
        <v>66.180671834542366</v>
      </c>
      <c r="J86" s="158">
        <f>AVERAGEIF(Group[group_name],Group[[#This Row],[group_name]],Group[total_score])</f>
        <v>69.519809045078546</v>
      </c>
    </row>
    <row r="87" spans="1:10">
      <c r="A87" t="s">
        <v>2131</v>
      </c>
      <c r="B87" s="1" t="s">
        <v>3762</v>
      </c>
      <c r="C87" t="s">
        <v>96</v>
      </c>
      <c r="D87" t="str">
        <f>_xlfn.XLOOKUP(Group[[#This Row],[material]],표2[material_name],표2[material_id])</f>
        <v>M060</v>
      </c>
      <c r="E87" t="s">
        <v>1093</v>
      </c>
      <c r="F87" t="s">
        <v>9</v>
      </c>
      <c r="G87" s="157">
        <f>_xlfn.XLOOKUP(Group[[#This Row],[material_id]],표19[material_id],표19[end_use_att])</f>
        <v>6.0302794943855176</v>
      </c>
      <c r="H87" s="108">
        <f>_xlfn.XLOOKUP(Group[[#This Row],[material]],표22[material],표22[Total])</f>
        <v>53</v>
      </c>
      <c r="I87" s="158">
        <f>Group[[#This Row],[end_use_att]]+Group[[#This Row],[supply_value_overall_score]]</f>
        <v>59.030279494385518</v>
      </c>
      <c r="J87" s="158">
        <f>AVERAGEIF(Group[group_name],Group[[#This Row],[group_name]],Group[total_score])</f>
        <v>68.102209082535339</v>
      </c>
    </row>
    <row r="88" spans="1:10">
      <c r="A88" t="s">
        <v>2132</v>
      </c>
      <c r="B88" s="1" t="s">
        <v>3762</v>
      </c>
      <c r="C88" t="s">
        <v>28</v>
      </c>
      <c r="D88" t="str">
        <f>_xlfn.XLOOKUP(Group[[#This Row],[material]],표2[material_name],표2[material_id])</f>
        <v>M058</v>
      </c>
      <c r="E88" t="s">
        <v>1093</v>
      </c>
      <c r="F88" t="s">
        <v>9</v>
      </c>
      <c r="G88" s="157">
        <f>_xlfn.XLOOKUP(Group[[#This Row],[material_id]],표19[material_id],표19[end_use_att])</f>
        <v>6.0302794943855176</v>
      </c>
      <c r="H88" s="108">
        <f>_xlfn.XLOOKUP(Group[[#This Row],[material]],표22[material],표22[Total])</f>
        <v>53</v>
      </c>
      <c r="I88" s="158">
        <f>Group[[#This Row],[end_use_att]]+Group[[#This Row],[supply_value_overall_score]]</f>
        <v>59.030279494385518</v>
      </c>
      <c r="J88" s="158">
        <f>AVERAGEIF(Group[group_name],Group[[#This Row],[group_name]],Group[total_score])</f>
        <v>68.102209082535339</v>
      </c>
    </row>
    <row r="89" spans="1:10">
      <c r="A89" t="s">
        <v>2131</v>
      </c>
      <c r="B89" s="1" t="s">
        <v>3937</v>
      </c>
      <c r="C89" t="s">
        <v>95</v>
      </c>
      <c r="D89" t="str">
        <f>_xlfn.XLOOKUP(Group[[#This Row],[material]],표2[material_name],표2[material_id])</f>
        <v>M059</v>
      </c>
      <c r="E89" t="s">
        <v>1093</v>
      </c>
      <c r="F89" t="s">
        <v>9</v>
      </c>
      <c r="G89" s="157">
        <f>_xlfn.XLOOKUP(Group[[#This Row],[material_id]],표19[material_id],표19[end_use_att])</f>
        <v>33.246068258834953</v>
      </c>
      <c r="H89" s="108">
        <f>_xlfn.XLOOKUP(Group[[#This Row],[material]],표22[material],표22[Total])</f>
        <v>53</v>
      </c>
      <c r="I89" s="158">
        <f>Group[[#This Row],[end_use_att]]+Group[[#This Row],[supply_value_overall_score]]</f>
        <v>86.246068258834953</v>
      </c>
      <c r="J89" s="158">
        <f>AVERAGEIF(Group[group_name],Group[[#This Row],[group_name]],Group[total_score])</f>
        <v>68.102209082535339</v>
      </c>
    </row>
    <row r="90" spans="1:10">
      <c r="A90" t="s">
        <v>2065</v>
      </c>
      <c r="B90" s="1" t="s">
        <v>3737</v>
      </c>
      <c r="C90" t="s">
        <v>2057</v>
      </c>
      <c r="D90" t="str">
        <f>_xlfn.XLOOKUP(Group[[#This Row],[material]],표2[material_name],표2[material_id])</f>
        <v>M008</v>
      </c>
      <c r="E90" t="s">
        <v>2057</v>
      </c>
      <c r="F90" t="s">
        <v>550</v>
      </c>
      <c r="G90" s="157">
        <f>_xlfn.XLOOKUP(Group[[#This Row],[material_id]],표19[material_id],표19[end_use_att])</f>
        <v>8.8014180546669945</v>
      </c>
      <c r="H90" s="108">
        <f>_xlfn.XLOOKUP(Group[[#This Row],[material]],표22[material],표22[Total])</f>
        <v>65</v>
      </c>
      <c r="I90" s="158">
        <f>Group[[#This Row],[end_use_att]]+Group[[#This Row],[supply_value_overall_score]]</f>
        <v>73.801418054666996</v>
      </c>
      <c r="J90" s="158">
        <f>AVERAGEIF(Group[group_name],Group[[#This Row],[group_name]],Group[total_score])</f>
        <v>67.899066374904507</v>
      </c>
    </row>
    <row r="91" spans="1:10">
      <c r="A91" t="s">
        <v>2089</v>
      </c>
      <c r="B91" s="1" t="s">
        <v>3737</v>
      </c>
      <c r="C91" t="s">
        <v>989</v>
      </c>
      <c r="D91" t="str">
        <f>_xlfn.XLOOKUP(Group[[#This Row],[material]],표2[material_name],표2[material_id])</f>
        <v>M010</v>
      </c>
      <c r="E91" t="s">
        <v>2057</v>
      </c>
      <c r="F91" t="s">
        <v>550</v>
      </c>
      <c r="G91" s="157">
        <f>_xlfn.XLOOKUP(Group[[#This Row],[material_id]],표19[material_id],표19[end_use_att])</f>
        <v>23.996714695142014</v>
      </c>
      <c r="H91" s="108">
        <f>_xlfn.XLOOKUP(Group[[#This Row],[material]],표22[material],표22[Total])</f>
        <v>38</v>
      </c>
      <c r="I91" s="158">
        <f>Group[[#This Row],[end_use_att]]+Group[[#This Row],[supply_value_overall_score]]</f>
        <v>61.996714695142018</v>
      </c>
      <c r="J91" s="158">
        <f>AVERAGEIF(Group[group_name],Group[[#This Row],[group_name]],Group[total_score])</f>
        <v>67.899066374904507</v>
      </c>
    </row>
    <row r="92" spans="1:10">
      <c r="A92" t="s">
        <v>2051</v>
      </c>
      <c r="B92" s="1" t="s">
        <v>3733</v>
      </c>
      <c r="C92" t="s">
        <v>458</v>
      </c>
      <c r="D92" t="str">
        <f>_xlfn.XLOOKUP(Group[[#This Row],[material]],표2[material_name],표2[material_id])</f>
        <v>M005</v>
      </c>
      <c r="E92" t="s">
        <v>458</v>
      </c>
      <c r="F92" t="s">
        <v>550</v>
      </c>
      <c r="G92" s="157">
        <f>_xlfn.XLOOKUP(Group[[#This Row],[material_id]],표19[material_id],표19[end_use_att])</f>
        <v>6.0302794943855176</v>
      </c>
      <c r="H92" s="108">
        <f>_xlfn.XLOOKUP(Group[[#This Row],[material]],표22[material],표22[Total])</f>
        <v>53</v>
      </c>
      <c r="I92" s="158">
        <f>Group[[#This Row],[end_use_att]]+Group[[#This Row],[supply_value_overall_score]]</f>
        <v>59.030279494385518</v>
      </c>
      <c r="J92" s="158">
        <f>AVERAGEIF(Group[group_name],Group[[#This Row],[group_name]],Group[total_score])</f>
        <v>64.183388814154256</v>
      </c>
    </row>
    <row r="93" spans="1:10">
      <c r="A93" t="s">
        <v>2079</v>
      </c>
      <c r="B93" s="1" t="s">
        <v>3733</v>
      </c>
      <c r="C93" t="s">
        <v>2055</v>
      </c>
      <c r="D93" t="str">
        <f>_xlfn.XLOOKUP(Group[[#This Row],[material]],표2[material_name],표2[material_id])</f>
        <v>M007</v>
      </c>
      <c r="E93" t="s">
        <v>458</v>
      </c>
      <c r="F93" t="s">
        <v>550</v>
      </c>
      <c r="G93" s="157">
        <f>_xlfn.XLOOKUP(Group[[#This Row],[material_id]],표19[material_id],표19[end_use_att])</f>
        <v>21.489607453691715</v>
      </c>
      <c r="H93" s="108">
        <f>_xlfn.XLOOKUP(Group[[#This Row],[material]],표22[material],표22[Total])</f>
        <v>53</v>
      </c>
      <c r="I93" s="158">
        <f>Group[[#This Row],[end_use_att]]+Group[[#This Row],[supply_value_overall_score]]</f>
        <v>74.489607453691718</v>
      </c>
      <c r="J93" s="158">
        <f>AVERAGEIF(Group[group_name],Group[[#This Row],[group_name]],Group[total_score])</f>
        <v>64.183388814154256</v>
      </c>
    </row>
    <row r="94" spans="1:10">
      <c r="A94" t="s">
        <v>2079</v>
      </c>
      <c r="B94" s="1" t="s">
        <v>3733</v>
      </c>
      <c r="C94" t="s">
        <v>43</v>
      </c>
      <c r="D94" t="str">
        <f>_xlfn.XLOOKUP(Group[[#This Row],[material]],표2[material_name],표2[material_id])</f>
        <v>M006</v>
      </c>
      <c r="E94" t="s">
        <v>458</v>
      </c>
      <c r="F94" t="s">
        <v>550</v>
      </c>
      <c r="G94" s="157">
        <f>_xlfn.XLOOKUP(Group[[#This Row],[material_id]],표19[material_id],표19[end_use_att])</f>
        <v>6.0302794943855176</v>
      </c>
      <c r="H94" s="108">
        <f>_xlfn.XLOOKUP(Group[[#This Row],[material]],표22[material],표22[Total])</f>
        <v>53</v>
      </c>
      <c r="I94" s="158">
        <f>Group[[#This Row],[end_use_att]]+Group[[#This Row],[supply_value_overall_score]]</f>
        <v>59.030279494385518</v>
      </c>
      <c r="J94" s="158">
        <f>AVERAGEIF(Group[group_name],Group[[#This Row],[group_name]],Group[total_score])</f>
        <v>64.183388814154256</v>
      </c>
    </row>
    <row r="95" spans="1:10">
      <c r="A95" t="s">
        <v>2075</v>
      </c>
      <c r="B95" s="1" t="s">
        <v>3747</v>
      </c>
      <c r="C95" s="29" t="s">
        <v>1787</v>
      </c>
      <c r="D95" t="str">
        <f>_xlfn.XLOOKUP(Group[[#This Row],[material]],표2[material_name],표2[material_id])</f>
        <v>M036</v>
      </c>
      <c r="E95" s="29" t="s">
        <v>1094</v>
      </c>
      <c r="F95" t="s">
        <v>7</v>
      </c>
      <c r="G95" s="157">
        <f>_xlfn.XLOOKUP(Group[[#This Row],[material_id]],표19[material_id],표19[end_use_att])</f>
        <v>13.180671834542371</v>
      </c>
      <c r="H95" s="108">
        <f>_xlfn.XLOOKUP(Group[[#This Row],[material]],표22[material],표22[Total])</f>
        <v>53</v>
      </c>
      <c r="I95" s="158">
        <f>Group[[#This Row],[end_use_att]]+Group[[#This Row],[supply_value_overall_score]]</f>
        <v>66.180671834542366</v>
      </c>
      <c r="J95" s="158">
        <f>AVERAGEIF(Group[group_name],Group[[#This Row],[group_name]],Group[total_score])</f>
        <v>61.766049828693646</v>
      </c>
    </row>
    <row r="96" spans="1:10">
      <c r="A96" t="s">
        <v>2097</v>
      </c>
      <c r="B96" s="1" t="s">
        <v>3747</v>
      </c>
      <c r="C96" s="29" t="s">
        <v>3838</v>
      </c>
      <c r="D96" t="str">
        <f>_xlfn.XLOOKUP(Group[[#This Row],[material]],표2[material_name],표2[material_id])</f>
        <v>M107</v>
      </c>
      <c r="E96" s="29" t="s">
        <v>3838</v>
      </c>
      <c r="F96" t="s">
        <v>7</v>
      </c>
      <c r="G96" s="157">
        <f>_xlfn.XLOOKUP(Group[[#This Row],[material_id]],표19[material_id],표19[end_use_att])</f>
        <v>6.0302794943855176</v>
      </c>
      <c r="H96" s="108">
        <f>_xlfn.XLOOKUP(Group[[#This Row],[material]],표22[material],표22[Total])</f>
        <v>53</v>
      </c>
      <c r="I96" s="158">
        <f>Group[[#This Row],[end_use_att]]+Group[[#This Row],[supply_value_overall_score]]</f>
        <v>59.030279494385518</v>
      </c>
      <c r="J96" s="158">
        <f>AVERAGEIF(Group[group_name],Group[[#This Row],[group_name]],Group[total_score])</f>
        <v>61.766049828693646</v>
      </c>
    </row>
    <row r="97" spans="1:10">
      <c r="A97" t="s">
        <v>2097</v>
      </c>
      <c r="B97" s="1" t="s">
        <v>3747</v>
      </c>
      <c r="C97" s="29" t="s">
        <v>1773</v>
      </c>
      <c r="D97" t="str">
        <f>_xlfn.XLOOKUP(Group[[#This Row],[material]],표2[material_name],표2[material_id])</f>
        <v>M039</v>
      </c>
      <c r="E97" s="29" t="s">
        <v>3838</v>
      </c>
      <c r="F97" t="s">
        <v>7</v>
      </c>
      <c r="G97" s="157">
        <f>_xlfn.XLOOKUP(Group[[#This Row],[material_id]],표19[material_id],표19[end_use_att])</f>
        <v>6.0302794943855176</v>
      </c>
      <c r="H97" s="108">
        <f>_xlfn.XLOOKUP(Group[[#This Row],[material]],표22[material],표22[Total])</f>
        <v>53</v>
      </c>
      <c r="I97" s="158">
        <f>Group[[#This Row],[end_use_att]]+Group[[#This Row],[supply_value_overall_score]]</f>
        <v>59.030279494385518</v>
      </c>
      <c r="J97" s="158">
        <f>AVERAGEIF(Group[group_name],Group[[#This Row],[group_name]],Group[total_score])</f>
        <v>61.766049828693646</v>
      </c>
    </row>
    <row r="98" spans="1:10">
      <c r="A98" t="s">
        <v>2097</v>
      </c>
      <c r="B98" s="1" t="s">
        <v>3747</v>
      </c>
      <c r="C98" s="29" t="s">
        <v>1770</v>
      </c>
      <c r="D98" t="str">
        <f>_xlfn.XLOOKUP(Group[[#This Row],[material]],표2[material_name],표2[material_id])</f>
        <v>M040</v>
      </c>
      <c r="E98" s="29" t="s">
        <v>3838</v>
      </c>
      <c r="F98" t="s">
        <v>7</v>
      </c>
      <c r="G98" s="157">
        <f>_xlfn.XLOOKUP(Group[[#This Row],[material_id]],표19[material_id],표19[end_use_att])</f>
        <v>6.0302794943855176</v>
      </c>
      <c r="H98" s="108">
        <f>_xlfn.XLOOKUP(Group[[#This Row],[material]],표22[material],표22[Total])</f>
        <v>53</v>
      </c>
      <c r="I98" s="158">
        <f>Group[[#This Row],[end_use_att]]+Group[[#This Row],[supply_value_overall_score]]</f>
        <v>59.030279494385518</v>
      </c>
      <c r="J98" s="158">
        <f>AVERAGEIF(Group[group_name],Group[[#This Row],[group_name]],Group[total_score])</f>
        <v>61.766049828693646</v>
      </c>
    </row>
    <row r="99" spans="1:10">
      <c r="A99" t="s">
        <v>2097</v>
      </c>
      <c r="B99" s="1" t="s">
        <v>3747</v>
      </c>
      <c r="C99" s="29" t="s">
        <v>1782</v>
      </c>
      <c r="D99" t="str">
        <f>_xlfn.XLOOKUP(Group[[#This Row],[material]],표2[material_name],표2[material_id])</f>
        <v>M037</v>
      </c>
      <c r="E99" s="29" t="s">
        <v>1094</v>
      </c>
      <c r="F99" t="s">
        <v>7</v>
      </c>
      <c r="G99" s="157">
        <f>_xlfn.XLOOKUP(Group[[#This Row],[material_id]],표19[material_id],표19[end_use_att])</f>
        <v>6.0302794943855176</v>
      </c>
      <c r="H99" s="108">
        <f>_xlfn.XLOOKUP(Group[[#This Row],[material]],표22[material],표22[Total])</f>
        <v>65</v>
      </c>
      <c r="I99" s="158">
        <f>Group[[#This Row],[end_use_att]]+Group[[#This Row],[supply_value_overall_score]]</f>
        <v>71.030279494385525</v>
      </c>
      <c r="J99" s="158">
        <f>AVERAGEIF(Group[group_name],Group[[#This Row],[group_name]],Group[total_score])</f>
        <v>61.766049828693646</v>
      </c>
    </row>
    <row r="100" spans="1:10">
      <c r="A100" t="s">
        <v>2097</v>
      </c>
      <c r="B100" s="1" t="s">
        <v>3747</v>
      </c>
      <c r="C100" s="29" t="s">
        <v>1779</v>
      </c>
      <c r="D100" t="str">
        <f>_xlfn.XLOOKUP(Group[[#This Row],[material]],표2[material_name],표2[material_id])</f>
        <v>M038</v>
      </c>
      <c r="E100" s="29" t="s">
        <v>1094</v>
      </c>
      <c r="F100" t="s">
        <v>7</v>
      </c>
      <c r="G100" s="157">
        <f>_xlfn.XLOOKUP(Group[[#This Row],[material_id]],표19[material_id],표19[end_use_att])</f>
        <v>6.0302794943855176</v>
      </c>
      <c r="H100" s="108">
        <f>_xlfn.XLOOKUP(Group[[#This Row],[material]],표22[material],표22[Total])</f>
        <v>53</v>
      </c>
      <c r="I100" s="158">
        <f>Group[[#This Row],[end_use_att]]+Group[[#This Row],[supply_value_overall_score]]</f>
        <v>59.030279494385518</v>
      </c>
      <c r="J100" s="158">
        <f>AVERAGEIF(Group[group_name],Group[[#This Row],[group_name]],Group[total_score])</f>
        <v>61.766049828693646</v>
      </c>
    </row>
    <row r="101" spans="1:10">
      <c r="A101" t="s">
        <v>2097</v>
      </c>
      <c r="B101" s="1" t="s">
        <v>3747</v>
      </c>
      <c r="C101" s="29" t="s">
        <v>1094</v>
      </c>
      <c r="D101" t="str">
        <f>_xlfn.XLOOKUP(Group[[#This Row],[material]],표2[material_name],표2[material_id])</f>
        <v>M035</v>
      </c>
      <c r="E101" s="29" t="s">
        <v>1094</v>
      </c>
      <c r="F101" t="s">
        <v>7</v>
      </c>
      <c r="G101" s="157">
        <f>_xlfn.XLOOKUP(Group[[#This Row],[material_id]],표19[material_id],표19[end_use_att])</f>
        <v>6.0302794943855176</v>
      </c>
      <c r="H101" s="108">
        <f>_xlfn.XLOOKUP(Group[[#This Row],[material]],표22[material],표22[Total])</f>
        <v>53</v>
      </c>
      <c r="I101" s="158">
        <f>Group[[#This Row],[end_use_att]]+Group[[#This Row],[supply_value_overall_score]]</f>
        <v>59.030279494385518</v>
      </c>
      <c r="J101" s="158">
        <f>AVERAGEIF(Group[group_name],Group[[#This Row],[group_name]],Group[total_score])</f>
        <v>61.766049828693646</v>
      </c>
    </row>
    <row r="102" spans="1:10">
      <c r="A102" t="s">
        <v>4032</v>
      </c>
      <c r="B102" t="s">
        <v>4033</v>
      </c>
      <c r="C102" t="s">
        <v>457</v>
      </c>
      <c r="D102" t="str">
        <f>_xlfn.XLOOKUP(Group[[#This Row],[material]],표2[material_name],표2[material_id])</f>
        <v>M069</v>
      </c>
      <c r="E102" t="s">
        <v>457</v>
      </c>
      <c r="F102" t="s">
        <v>457</v>
      </c>
      <c r="G102" s="157">
        <f>_xlfn.XLOOKUP(Group[[#This Row],[material_id]],표19[material_id],표19[end_use_att])</f>
        <v>14.92051807241204</v>
      </c>
      <c r="H102" s="108">
        <f>_xlfn.XLOOKUP(Group[[#This Row],[material]],표22[material],표22[Total])</f>
        <v>50</v>
      </c>
      <c r="I102" s="158">
        <f>Group[[#This Row],[end_use_att]]+Group[[#This Row],[supply_value_overall_score]]</f>
        <v>64.920518072412037</v>
      </c>
      <c r="J102" s="158">
        <f>AVERAGEIF(Group[group_name],Group[[#This Row],[group_name]],Group[total_score])</f>
        <v>45.802478489011776</v>
      </c>
    </row>
    <row r="103" spans="1:10">
      <c r="A103" t="s">
        <v>4032</v>
      </c>
      <c r="B103" t="s">
        <v>4033</v>
      </c>
      <c r="C103" t="s">
        <v>4034</v>
      </c>
      <c r="D103" t="str">
        <f>_xlfn.XLOOKUP(Group[[#This Row],[material]],표2[material_name],표2[material_id])</f>
        <v>M070</v>
      </c>
      <c r="E103" t="s">
        <v>457</v>
      </c>
      <c r="F103" t="s">
        <v>457</v>
      </c>
      <c r="G103" s="157">
        <f>_xlfn.XLOOKUP(Group[[#This Row],[material_id]],표19[material_id],표19[end_use_att])</f>
        <v>18.486917394623294</v>
      </c>
      <c r="H103" s="108">
        <f>_xlfn.XLOOKUP(Group[[#This Row],[material]],표22[material],표22[Total])</f>
        <v>18</v>
      </c>
      <c r="I103" s="158">
        <f>Group[[#This Row],[end_use_att]]+Group[[#This Row],[supply_value_overall_score]]</f>
        <v>36.486917394623291</v>
      </c>
      <c r="J103" s="158">
        <f>AVERAGEIF(Group[group_name],Group[[#This Row],[group_name]],Group[total_score])</f>
        <v>45.802478489011776</v>
      </c>
    </row>
    <row r="104" spans="1:10">
      <c r="A104" t="s">
        <v>4032</v>
      </c>
      <c r="B104" t="s">
        <v>4033</v>
      </c>
      <c r="C104" t="s">
        <v>593</v>
      </c>
      <c r="D104" t="str">
        <f>_xlfn.XLOOKUP(Group[[#This Row],[material]],표2[material_name],표2[material_id])</f>
        <v>M080</v>
      </c>
      <c r="E104" t="s">
        <v>457</v>
      </c>
      <c r="F104" t="s">
        <v>457</v>
      </c>
      <c r="G104" s="157">
        <f>_xlfn.XLOOKUP(Group[[#This Row],[material_id]],표19[material_id],표19[end_use_att])</f>
        <v>0</v>
      </c>
      <c r="H104" s="108">
        <f>_xlfn.XLOOKUP(Group[[#This Row],[material]],표22[material],표22[Total])</f>
        <v>36</v>
      </c>
      <c r="I104" s="158">
        <f>Group[[#This Row],[end_use_att]]+Group[[#This Row],[supply_value_overall_score]]</f>
        <v>36</v>
      </c>
      <c r="J104" s="158">
        <f>AVERAGEIF(Group[group_name],Group[[#This Row],[group_name]],Group[total_score])</f>
        <v>45.802478489011776</v>
      </c>
    </row>
  </sheetData>
  <phoneticPr fontId="5" type="noConversion"/>
  <conditionalFormatting sqref="G2:G104">
    <cfRule type="top10" dxfId="10" priority="17" percent="1" rank="20"/>
  </conditionalFormatting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16ABC-233F-47D3-8E9D-7456E2F53C8B}">
  <sheetPr codeName="Sheet1">
    <tabColor theme="9" tint="0.79998168889431442"/>
  </sheetPr>
  <dimension ref="A1:M292"/>
  <sheetViews>
    <sheetView topLeftCell="F149" zoomScaleNormal="100" workbookViewId="0">
      <selection activeCell="J175" sqref="J175"/>
    </sheetView>
  </sheetViews>
  <sheetFormatPr defaultRowHeight="16.5"/>
  <cols>
    <col min="1" max="1" width="4.375" style="30" customWidth="1"/>
    <col min="2" max="2" width="24" style="30" bestFit="1" customWidth="1"/>
    <col min="3" max="3" width="32.125" style="30" customWidth="1"/>
    <col min="4" max="7" width="36.125" style="30" customWidth="1"/>
    <col min="8" max="8" width="15.25" style="63" hidden="1" customWidth="1"/>
    <col min="9" max="9" width="36.125" style="30" customWidth="1"/>
    <col min="10" max="10" width="44.125" style="30" customWidth="1"/>
    <col min="11" max="12" width="31.75" style="30" hidden="1" customWidth="1"/>
    <col min="13" max="13" width="52.625" style="30" bestFit="1" customWidth="1"/>
    <col min="14" max="16384" width="9" style="30"/>
  </cols>
  <sheetData>
    <row r="1" spans="1:13">
      <c r="A1" s="67" t="s">
        <v>2527</v>
      </c>
      <c r="B1" s="68" t="s">
        <v>2528</v>
      </c>
      <c r="C1" s="68" t="s">
        <v>2529</v>
      </c>
      <c r="D1" s="68" t="s">
        <v>2530</v>
      </c>
      <c r="E1" s="68" t="s">
        <v>2531</v>
      </c>
      <c r="F1" s="68" t="s">
        <v>2532</v>
      </c>
      <c r="G1" s="68" t="s">
        <v>2533</v>
      </c>
      <c r="H1" s="69" t="s">
        <v>2534</v>
      </c>
      <c r="I1" s="68" t="s">
        <v>2535</v>
      </c>
      <c r="J1" s="68" t="s">
        <v>2150</v>
      </c>
      <c r="K1" s="68" t="s">
        <v>2536</v>
      </c>
      <c r="L1" s="70" t="s">
        <v>2537</v>
      </c>
      <c r="M1" s="68" t="s">
        <v>3818</v>
      </c>
    </row>
    <row r="2" spans="1:13">
      <c r="A2" s="46">
        <v>1</v>
      </c>
      <c r="B2" s="38" t="s">
        <v>2538</v>
      </c>
      <c r="C2" s="39" t="s">
        <v>2539</v>
      </c>
      <c r="D2" s="39" t="s">
        <v>2540</v>
      </c>
      <c r="E2" s="39" t="s">
        <v>2541</v>
      </c>
      <c r="F2" s="40" t="s">
        <v>2542</v>
      </c>
      <c r="G2" s="40" t="s">
        <v>2543</v>
      </c>
      <c r="H2" s="41" t="s">
        <v>2544</v>
      </c>
      <c r="I2" s="40" t="s">
        <v>2545</v>
      </c>
      <c r="J2" s="40" t="s">
        <v>2151</v>
      </c>
      <c r="K2" s="42">
        <v>5.9391140093720998E-2</v>
      </c>
      <c r="L2" s="64" t="s">
        <v>2546</v>
      </c>
      <c r="M2" s="99" t="s">
        <v>3817</v>
      </c>
    </row>
    <row r="3" spans="1:13">
      <c r="A3" s="46">
        <v>2</v>
      </c>
      <c r="B3" s="38" t="s">
        <v>2538</v>
      </c>
      <c r="C3" s="39" t="s">
        <v>2539</v>
      </c>
      <c r="D3" s="39" t="s">
        <v>2540</v>
      </c>
      <c r="E3" s="39" t="s">
        <v>2547</v>
      </c>
      <c r="F3" s="40" t="s">
        <v>2548</v>
      </c>
      <c r="G3" s="40" t="s">
        <v>2549</v>
      </c>
      <c r="H3" s="43" t="s">
        <v>2544</v>
      </c>
      <c r="I3" s="40" t="s">
        <v>2550</v>
      </c>
      <c r="J3" s="40" t="s">
        <v>2152</v>
      </c>
      <c r="K3" s="42">
        <v>0.14004834546525399</v>
      </c>
      <c r="L3" s="64" t="s">
        <v>2546</v>
      </c>
      <c r="M3" s="99" t="s">
        <v>3817</v>
      </c>
    </row>
    <row r="4" spans="1:13">
      <c r="A4" s="46">
        <v>3</v>
      </c>
      <c r="B4" s="38" t="s">
        <v>2538</v>
      </c>
      <c r="C4" s="39" t="s">
        <v>2539</v>
      </c>
      <c r="D4" s="39" t="s">
        <v>2540</v>
      </c>
      <c r="E4" s="39" t="s">
        <v>2551</v>
      </c>
      <c r="F4" s="40" t="s">
        <v>2552</v>
      </c>
      <c r="G4" s="40" t="s">
        <v>2553</v>
      </c>
      <c r="H4" s="43" t="s">
        <v>2544</v>
      </c>
      <c r="I4" s="40" t="s">
        <v>2554</v>
      </c>
      <c r="J4" s="40" t="s">
        <v>2153</v>
      </c>
      <c r="K4" s="42">
        <v>-3.0534879842904999E-3</v>
      </c>
      <c r="L4" s="64" t="s">
        <v>2546</v>
      </c>
      <c r="M4" s="99" t="s">
        <v>3817</v>
      </c>
    </row>
    <row r="5" spans="1:13">
      <c r="A5" s="46">
        <v>4</v>
      </c>
      <c r="B5" s="38" t="s">
        <v>2538</v>
      </c>
      <c r="C5" s="39" t="s">
        <v>2539</v>
      </c>
      <c r="D5" s="39" t="s">
        <v>2540</v>
      </c>
      <c r="E5" s="39" t="s">
        <v>2555</v>
      </c>
      <c r="F5" s="40" t="s">
        <v>2556</v>
      </c>
      <c r="G5" s="40" t="s">
        <v>2557</v>
      </c>
      <c r="H5" s="43" t="s">
        <v>2544</v>
      </c>
      <c r="I5" s="40" t="s">
        <v>2558</v>
      </c>
      <c r="J5" s="40" t="s">
        <v>2154</v>
      </c>
      <c r="K5" s="42">
        <v>6.1178645568894303E-2</v>
      </c>
      <c r="L5" s="64" t="s">
        <v>2546</v>
      </c>
      <c r="M5" s="99" t="s">
        <v>3817</v>
      </c>
    </row>
    <row r="6" spans="1:13">
      <c r="A6" s="46">
        <v>5</v>
      </c>
      <c r="B6" s="38" t="s">
        <v>2538</v>
      </c>
      <c r="C6" s="39" t="s">
        <v>2539</v>
      </c>
      <c r="D6" s="39" t="s">
        <v>2559</v>
      </c>
      <c r="E6" s="39" t="s">
        <v>2560</v>
      </c>
      <c r="F6" s="40" t="s">
        <v>2561</v>
      </c>
      <c r="G6" s="40" t="s">
        <v>2562</v>
      </c>
      <c r="H6" s="44" t="s">
        <v>2544</v>
      </c>
      <c r="I6" s="40" t="s">
        <v>2563</v>
      </c>
      <c r="J6" s="40" t="s">
        <v>2155</v>
      </c>
      <c r="K6" s="42">
        <v>6.08745677764162E-2</v>
      </c>
      <c r="L6" s="64" t="s">
        <v>2546</v>
      </c>
      <c r="M6" s="99" t="s">
        <v>3817</v>
      </c>
    </row>
    <row r="7" spans="1:13">
      <c r="A7" s="46">
        <v>6</v>
      </c>
      <c r="B7" s="38" t="s">
        <v>2538</v>
      </c>
      <c r="C7" s="39" t="s">
        <v>2539</v>
      </c>
      <c r="D7" s="39" t="s">
        <v>2559</v>
      </c>
      <c r="E7" s="39" t="s">
        <v>2564</v>
      </c>
      <c r="F7" s="40" t="s">
        <v>2565</v>
      </c>
      <c r="G7" s="40" t="s">
        <v>2566</v>
      </c>
      <c r="H7" s="44" t="s">
        <v>2567</v>
      </c>
      <c r="I7" s="40" t="s">
        <v>2568</v>
      </c>
      <c r="J7" s="40" t="s">
        <v>2156</v>
      </c>
      <c r="K7" s="42">
        <v>5.27681134021383E-2</v>
      </c>
      <c r="L7" s="64" t="s">
        <v>2546</v>
      </c>
      <c r="M7" s="99" t="s">
        <v>3817</v>
      </c>
    </row>
    <row r="8" spans="1:13">
      <c r="A8" s="46">
        <v>7</v>
      </c>
      <c r="B8" s="38" t="s">
        <v>2538</v>
      </c>
      <c r="C8" s="39" t="s">
        <v>2539</v>
      </c>
      <c r="D8" s="39" t="s">
        <v>2569</v>
      </c>
      <c r="E8" s="39" t="s">
        <v>2570</v>
      </c>
      <c r="F8" s="40" t="s">
        <v>2571</v>
      </c>
      <c r="G8" s="40" t="s">
        <v>2572</v>
      </c>
      <c r="H8" s="43" t="s">
        <v>2544</v>
      </c>
      <c r="I8" s="40" t="s">
        <v>2573</v>
      </c>
      <c r="J8" s="40" t="s">
        <v>2157</v>
      </c>
      <c r="K8" s="42">
        <v>6.4860400445376595E-2</v>
      </c>
      <c r="L8" s="64" t="s">
        <v>2546</v>
      </c>
      <c r="M8" s="99" t="s">
        <v>3817</v>
      </c>
    </row>
    <row r="9" spans="1:13">
      <c r="A9" s="46">
        <v>8</v>
      </c>
      <c r="B9" s="38" t="s">
        <v>2538</v>
      </c>
      <c r="C9" s="39" t="s">
        <v>2539</v>
      </c>
      <c r="D9" s="39" t="s">
        <v>2569</v>
      </c>
      <c r="E9" s="39" t="s">
        <v>2574</v>
      </c>
      <c r="F9" s="40" t="s">
        <v>2575</v>
      </c>
      <c r="G9" s="40" t="s">
        <v>2576</v>
      </c>
      <c r="H9" s="43" t="s">
        <v>2544</v>
      </c>
      <c r="I9" s="40" t="s">
        <v>2577</v>
      </c>
      <c r="J9" s="40" t="s">
        <v>2158</v>
      </c>
      <c r="K9" s="42">
        <v>6.7418390774678399E-2</v>
      </c>
      <c r="L9" s="64" t="s">
        <v>2546</v>
      </c>
      <c r="M9" s="99" t="s">
        <v>3817</v>
      </c>
    </row>
    <row r="10" spans="1:13">
      <c r="A10" s="46">
        <v>9</v>
      </c>
      <c r="B10" s="38" t="s">
        <v>2538</v>
      </c>
      <c r="C10" s="39" t="s">
        <v>2539</v>
      </c>
      <c r="D10" s="39" t="s">
        <v>2578</v>
      </c>
      <c r="E10" s="39" t="s">
        <v>2579</v>
      </c>
      <c r="F10" s="40" t="s">
        <v>2580</v>
      </c>
      <c r="G10" s="40" t="s">
        <v>2581</v>
      </c>
      <c r="H10" s="44" t="s">
        <v>2582</v>
      </c>
      <c r="I10" s="40" t="s">
        <v>2583</v>
      </c>
      <c r="J10" s="40" t="s">
        <v>3819</v>
      </c>
      <c r="K10" s="42">
        <v>5.3194208153123999E-2</v>
      </c>
      <c r="L10" s="64" t="s">
        <v>2546</v>
      </c>
      <c r="M10" s="99" t="s">
        <v>1019</v>
      </c>
    </row>
    <row r="11" spans="1:13">
      <c r="A11" s="46">
        <v>10</v>
      </c>
      <c r="B11" s="38" t="s">
        <v>2538</v>
      </c>
      <c r="C11" s="39" t="s">
        <v>2539</v>
      </c>
      <c r="D11" s="39" t="s">
        <v>2578</v>
      </c>
      <c r="E11" s="39" t="s">
        <v>2584</v>
      </c>
      <c r="F11" s="40" t="s">
        <v>2585</v>
      </c>
      <c r="G11" s="40" t="s">
        <v>2586</v>
      </c>
      <c r="H11" s="44" t="s">
        <v>2582</v>
      </c>
      <c r="I11" s="40" t="s">
        <v>2587</v>
      </c>
      <c r="J11" s="40" t="s">
        <v>3820</v>
      </c>
      <c r="K11" s="42">
        <v>6.7762556033610102E-2</v>
      </c>
      <c r="L11" s="64" t="s">
        <v>2546</v>
      </c>
      <c r="M11" s="99" t="s">
        <v>1018</v>
      </c>
    </row>
    <row r="12" spans="1:13">
      <c r="A12" s="46">
        <v>11</v>
      </c>
      <c r="B12" s="38" t="s">
        <v>2538</v>
      </c>
      <c r="C12" s="39" t="s">
        <v>2539</v>
      </c>
      <c r="D12" s="39" t="s">
        <v>2578</v>
      </c>
      <c r="E12" s="39" t="s">
        <v>2588</v>
      </c>
      <c r="F12" s="40" t="s">
        <v>2589</v>
      </c>
      <c r="G12" s="40" t="s">
        <v>2590</v>
      </c>
      <c r="H12" s="44" t="s">
        <v>2567</v>
      </c>
      <c r="I12" s="40" t="s">
        <v>2591</v>
      </c>
      <c r="J12" s="40" t="s">
        <v>2159</v>
      </c>
      <c r="K12" s="42">
        <v>8.3092444695634704E-2</v>
      </c>
      <c r="L12" s="64" t="s">
        <v>2546</v>
      </c>
      <c r="M12" s="100" t="s">
        <v>7</v>
      </c>
    </row>
    <row r="13" spans="1:13">
      <c r="A13" s="46">
        <v>12</v>
      </c>
      <c r="B13" s="38" t="s">
        <v>2538</v>
      </c>
      <c r="C13" s="39" t="s">
        <v>2539</v>
      </c>
      <c r="D13" s="39" t="s">
        <v>2578</v>
      </c>
      <c r="E13" s="39" t="s">
        <v>2592</v>
      </c>
      <c r="F13" s="40" t="s">
        <v>2593</v>
      </c>
      <c r="G13" s="40" t="s">
        <v>2594</v>
      </c>
      <c r="H13" s="44" t="s">
        <v>2567</v>
      </c>
      <c r="I13" s="40" t="s">
        <v>2595</v>
      </c>
      <c r="J13" s="40" t="s">
        <v>2596</v>
      </c>
      <c r="K13" s="42">
        <v>0.17105379421102401</v>
      </c>
      <c r="L13" s="64" t="s">
        <v>2546</v>
      </c>
      <c r="M13" s="99" t="s">
        <v>3821</v>
      </c>
    </row>
    <row r="14" spans="1:13">
      <c r="A14" s="46">
        <v>13</v>
      </c>
      <c r="B14" s="38" t="s">
        <v>2538</v>
      </c>
      <c r="C14" s="39" t="s">
        <v>2539</v>
      </c>
      <c r="D14" s="39" t="s">
        <v>2597</v>
      </c>
      <c r="E14" s="39" t="s">
        <v>2598</v>
      </c>
      <c r="F14" s="40" t="s">
        <v>2599</v>
      </c>
      <c r="G14" s="40" t="s">
        <v>2600</v>
      </c>
      <c r="H14" s="44" t="s">
        <v>2567</v>
      </c>
      <c r="I14" s="40" t="s">
        <v>2601</v>
      </c>
      <c r="J14" s="40" t="s">
        <v>2602</v>
      </c>
      <c r="K14" s="42">
        <v>3.4904309243446001E-2</v>
      </c>
      <c r="L14" s="64" t="s">
        <v>2546</v>
      </c>
      <c r="M14" s="99" t="s">
        <v>3821</v>
      </c>
    </row>
    <row r="15" spans="1:13">
      <c r="A15" s="46">
        <v>14</v>
      </c>
      <c r="B15" s="38" t="s">
        <v>2538</v>
      </c>
      <c r="C15" s="39" t="s">
        <v>2539</v>
      </c>
      <c r="D15" s="39" t="s">
        <v>2597</v>
      </c>
      <c r="E15" s="39" t="s">
        <v>2603</v>
      </c>
      <c r="F15" s="40" t="s">
        <v>2604</v>
      </c>
      <c r="G15" s="40" t="s">
        <v>2605</v>
      </c>
      <c r="H15" s="44" t="s">
        <v>2582</v>
      </c>
      <c r="I15" s="40" t="s">
        <v>2606</v>
      </c>
      <c r="J15" s="40" t="s">
        <v>2160</v>
      </c>
      <c r="K15" s="42">
        <v>4.1749160975483403E-2</v>
      </c>
      <c r="L15" s="64" t="s">
        <v>2546</v>
      </c>
      <c r="M15" s="99" t="s">
        <v>3822</v>
      </c>
    </row>
    <row r="16" spans="1:13">
      <c r="A16" s="46">
        <v>15</v>
      </c>
      <c r="B16" s="38" t="s">
        <v>2538</v>
      </c>
      <c r="C16" s="39" t="s">
        <v>2539</v>
      </c>
      <c r="D16" s="39" t="s">
        <v>2597</v>
      </c>
      <c r="E16" s="39" t="s">
        <v>2607</v>
      </c>
      <c r="F16" s="40" t="s">
        <v>2608</v>
      </c>
      <c r="G16" s="40" t="s">
        <v>2600</v>
      </c>
      <c r="H16" s="44" t="s">
        <v>2567</v>
      </c>
      <c r="I16" s="40" t="s">
        <v>2609</v>
      </c>
      <c r="J16" s="40" t="s">
        <v>2610</v>
      </c>
      <c r="K16" s="42">
        <v>7.7731387779255104E-2</v>
      </c>
      <c r="L16" s="64" t="s">
        <v>2546</v>
      </c>
      <c r="M16" s="99" t="s">
        <v>3821</v>
      </c>
    </row>
    <row r="17" spans="1:13">
      <c r="A17" s="46">
        <v>16</v>
      </c>
      <c r="B17" s="38" t="s">
        <v>2538</v>
      </c>
      <c r="C17" s="39" t="s">
        <v>2539</v>
      </c>
      <c r="D17" s="39" t="s">
        <v>2597</v>
      </c>
      <c r="E17" s="39" t="s">
        <v>2611</v>
      </c>
      <c r="F17" s="40" t="s">
        <v>2612</v>
      </c>
      <c r="G17" s="40" t="s">
        <v>2613</v>
      </c>
      <c r="H17" s="44" t="s">
        <v>2582</v>
      </c>
      <c r="I17" s="40" t="s">
        <v>2614</v>
      </c>
      <c r="J17" s="40" t="s">
        <v>2615</v>
      </c>
      <c r="K17" s="42">
        <v>8.8317401593957595E-2</v>
      </c>
      <c r="L17" s="64" t="s">
        <v>2546</v>
      </c>
      <c r="M17" s="99" t="s">
        <v>460</v>
      </c>
    </row>
    <row r="18" spans="1:13">
      <c r="A18" s="46">
        <v>17</v>
      </c>
      <c r="B18" s="38" t="s">
        <v>2538</v>
      </c>
      <c r="C18" s="39" t="s">
        <v>2539</v>
      </c>
      <c r="D18" s="39" t="s">
        <v>2616</v>
      </c>
      <c r="E18" s="39" t="s">
        <v>2617</v>
      </c>
      <c r="F18" s="40" t="s">
        <v>2618</v>
      </c>
      <c r="G18" s="40" t="s">
        <v>2619</v>
      </c>
      <c r="H18" s="43" t="s">
        <v>2544</v>
      </c>
      <c r="I18" s="40" t="s">
        <v>2620</v>
      </c>
      <c r="J18" s="40" t="s">
        <v>2161</v>
      </c>
      <c r="K18" s="42">
        <v>5.8705318455750402E-2</v>
      </c>
      <c r="L18" s="64" t="s">
        <v>2546</v>
      </c>
      <c r="M18" s="99" t="s">
        <v>3821</v>
      </c>
    </row>
    <row r="19" spans="1:13">
      <c r="A19" s="46">
        <v>18</v>
      </c>
      <c r="B19" s="38" t="s">
        <v>2538</v>
      </c>
      <c r="C19" s="39" t="s">
        <v>2539</v>
      </c>
      <c r="D19" s="39" t="s">
        <v>2616</v>
      </c>
      <c r="E19" s="39" t="s">
        <v>2621</v>
      </c>
      <c r="F19" s="40" t="s">
        <v>2622</v>
      </c>
      <c r="G19" s="40" t="s">
        <v>2623</v>
      </c>
      <c r="H19" s="44" t="s">
        <v>2567</v>
      </c>
      <c r="I19" s="40" t="s">
        <v>2624</v>
      </c>
      <c r="J19" s="40" t="s">
        <v>2162</v>
      </c>
      <c r="K19" s="42">
        <v>7.2889934245105703E-2</v>
      </c>
      <c r="L19" s="64" t="s">
        <v>2546</v>
      </c>
      <c r="M19" s="99" t="s">
        <v>3821</v>
      </c>
    </row>
    <row r="20" spans="1:13">
      <c r="A20" s="46">
        <v>19</v>
      </c>
      <c r="B20" s="38" t="s">
        <v>2538</v>
      </c>
      <c r="C20" s="39" t="s">
        <v>2539</v>
      </c>
      <c r="D20" s="39" t="s">
        <v>2616</v>
      </c>
      <c r="E20" s="39" t="s">
        <v>2625</v>
      </c>
      <c r="F20" s="40" t="s">
        <v>2626</v>
      </c>
      <c r="G20" s="40" t="s">
        <v>2627</v>
      </c>
      <c r="H20" s="44" t="s">
        <v>2567</v>
      </c>
      <c r="I20" s="40" t="s">
        <v>2628</v>
      </c>
      <c r="J20" s="40" t="s">
        <v>2163</v>
      </c>
      <c r="K20" s="42">
        <v>9.3043991698218198E-2</v>
      </c>
      <c r="L20" s="64" t="s">
        <v>2546</v>
      </c>
      <c r="M20" s="99" t="s">
        <v>268</v>
      </c>
    </row>
    <row r="21" spans="1:13">
      <c r="A21" s="46">
        <v>20</v>
      </c>
      <c r="B21" s="38" t="s">
        <v>2538</v>
      </c>
      <c r="C21" s="39" t="s">
        <v>2629</v>
      </c>
      <c r="D21" s="39" t="s">
        <v>2630</v>
      </c>
      <c r="E21" s="39" t="s">
        <v>2631</v>
      </c>
      <c r="F21" s="40" t="s">
        <v>2632</v>
      </c>
      <c r="G21" s="40" t="s">
        <v>2633</v>
      </c>
      <c r="H21" s="43" t="s">
        <v>2544</v>
      </c>
      <c r="I21" s="40" t="s">
        <v>2634</v>
      </c>
      <c r="J21" s="40" t="s">
        <v>2164</v>
      </c>
      <c r="K21" s="42">
        <v>9.0686205408088104E-3</v>
      </c>
      <c r="L21" s="64" t="s">
        <v>2546</v>
      </c>
      <c r="M21" s="99" t="s">
        <v>3821</v>
      </c>
    </row>
    <row r="22" spans="1:13">
      <c r="A22" s="46">
        <v>21</v>
      </c>
      <c r="B22" s="38" t="s">
        <v>2538</v>
      </c>
      <c r="C22" s="39" t="s">
        <v>2629</v>
      </c>
      <c r="D22" s="39" t="s">
        <v>2630</v>
      </c>
      <c r="E22" s="39" t="s">
        <v>2635</v>
      </c>
      <c r="F22" s="40" t="s">
        <v>2636</v>
      </c>
      <c r="G22" s="40" t="s">
        <v>2637</v>
      </c>
      <c r="H22" s="44" t="s">
        <v>2567</v>
      </c>
      <c r="I22" s="40" t="s">
        <v>2638</v>
      </c>
      <c r="J22" s="40" t="s">
        <v>2165</v>
      </c>
      <c r="K22" s="42">
        <v>7.4662202759102805E-2</v>
      </c>
      <c r="L22" s="64" t="s">
        <v>2546</v>
      </c>
      <c r="M22" s="99" t="s">
        <v>3821</v>
      </c>
    </row>
    <row r="23" spans="1:13">
      <c r="A23" s="46">
        <v>22</v>
      </c>
      <c r="B23" s="38" t="s">
        <v>2538</v>
      </c>
      <c r="C23" s="39" t="s">
        <v>2629</v>
      </c>
      <c r="D23" s="39" t="s">
        <v>2639</v>
      </c>
      <c r="E23" s="39" t="s">
        <v>2640</v>
      </c>
      <c r="F23" s="40" t="s">
        <v>2641</v>
      </c>
      <c r="G23" s="40" t="s">
        <v>2642</v>
      </c>
      <c r="H23" s="44" t="s">
        <v>2567</v>
      </c>
      <c r="I23" s="40" t="s">
        <v>2643</v>
      </c>
      <c r="J23" s="40" t="s">
        <v>2166</v>
      </c>
      <c r="K23" s="42">
        <v>4.5236302358995202E-3</v>
      </c>
      <c r="L23" s="64" t="s">
        <v>2546</v>
      </c>
      <c r="M23" s="99" t="s">
        <v>3823</v>
      </c>
    </row>
    <row r="24" spans="1:13">
      <c r="A24" s="46">
        <v>23</v>
      </c>
      <c r="B24" s="38" t="s">
        <v>2538</v>
      </c>
      <c r="C24" s="39" t="s">
        <v>2629</v>
      </c>
      <c r="D24" s="39" t="s">
        <v>2639</v>
      </c>
      <c r="E24" s="39" t="s">
        <v>2644</v>
      </c>
      <c r="F24" s="40" t="s">
        <v>2645</v>
      </c>
      <c r="G24" s="40" t="s">
        <v>2646</v>
      </c>
      <c r="H24" s="44" t="s">
        <v>2567</v>
      </c>
      <c r="I24" s="40" t="s">
        <v>2647</v>
      </c>
      <c r="J24" s="40" t="s">
        <v>2167</v>
      </c>
      <c r="K24" s="42">
        <v>1.04139153277554E-2</v>
      </c>
      <c r="L24" s="64" t="s">
        <v>2546</v>
      </c>
      <c r="M24" s="99" t="s">
        <v>667</v>
      </c>
    </row>
    <row r="25" spans="1:13">
      <c r="A25" s="46">
        <v>24</v>
      </c>
      <c r="B25" s="38" t="s">
        <v>2538</v>
      </c>
      <c r="C25" s="39" t="s">
        <v>2629</v>
      </c>
      <c r="D25" s="39" t="s">
        <v>2639</v>
      </c>
      <c r="E25" s="39" t="s">
        <v>2648</v>
      </c>
      <c r="F25" s="40" t="s">
        <v>2649</v>
      </c>
      <c r="G25" s="40" t="s">
        <v>2650</v>
      </c>
      <c r="H25" s="44" t="s">
        <v>2582</v>
      </c>
      <c r="I25" s="40" t="s">
        <v>2651</v>
      </c>
      <c r="J25" s="40" t="s">
        <v>2168</v>
      </c>
      <c r="K25" s="42">
        <v>1.4256416572187E-2</v>
      </c>
      <c r="L25" s="64" t="s">
        <v>2546</v>
      </c>
      <c r="M25" s="99" t="s">
        <v>466</v>
      </c>
    </row>
    <row r="26" spans="1:13">
      <c r="A26" s="46">
        <v>25</v>
      </c>
      <c r="B26" s="38" t="s">
        <v>2538</v>
      </c>
      <c r="C26" s="39" t="s">
        <v>2629</v>
      </c>
      <c r="D26" s="39" t="s">
        <v>2639</v>
      </c>
      <c r="E26" s="39" t="s">
        <v>2652</v>
      </c>
      <c r="F26" s="40" t="s">
        <v>2653</v>
      </c>
      <c r="G26" s="40" t="s">
        <v>2654</v>
      </c>
      <c r="H26" s="44" t="s">
        <v>2582</v>
      </c>
      <c r="I26" s="40" t="s">
        <v>2655</v>
      </c>
      <c r="J26" s="40" t="s">
        <v>2169</v>
      </c>
      <c r="K26" s="42">
        <v>1.2372178657660901E-2</v>
      </c>
      <c r="L26" s="64" t="s">
        <v>2546</v>
      </c>
      <c r="M26" s="100" t="s">
        <v>908</v>
      </c>
    </row>
    <row r="27" spans="1:13">
      <c r="A27" s="46">
        <v>26</v>
      </c>
      <c r="B27" s="38" t="s">
        <v>2538</v>
      </c>
      <c r="C27" s="39" t="s">
        <v>2629</v>
      </c>
      <c r="D27" s="39" t="s">
        <v>2639</v>
      </c>
      <c r="E27" s="39" t="s">
        <v>2656</v>
      </c>
      <c r="F27" s="40" t="s">
        <v>2657</v>
      </c>
      <c r="G27" s="40" t="s">
        <v>2658</v>
      </c>
      <c r="H27" s="44" t="s">
        <v>2567</v>
      </c>
      <c r="I27" s="40" t="s">
        <v>2659</v>
      </c>
      <c r="J27" s="40" t="s">
        <v>2170</v>
      </c>
      <c r="K27" s="42">
        <v>8.3803438244016704E-3</v>
      </c>
      <c r="L27" s="64" t="s">
        <v>2546</v>
      </c>
      <c r="M27" s="99" t="s">
        <v>1110</v>
      </c>
    </row>
    <row r="28" spans="1:13">
      <c r="A28" s="46">
        <v>27</v>
      </c>
      <c r="B28" s="38" t="s">
        <v>2538</v>
      </c>
      <c r="C28" s="39" t="s">
        <v>2629</v>
      </c>
      <c r="D28" s="39" t="s">
        <v>2639</v>
      </c>
      <c r="E28" s="39" t="s">
        <v>2660</v>
      </c>
      <c r="F28" s="40" t="s">
        <v>2661</v>
      </c>
      <c r="G28" s="40" t="s">
        <v>2662</v>
      </c>
      <c r="H28" s="44" t="s">
        <v>2582</v>
      </c>
      <c r="I28" s="40" t="s">
        <v>2663</v>
      </c>
      <c r="J28" s="40" t="s">
        <v>2171</v>
      </c>
      <c r="K28" s="42">
        <v>4.7340304084866301E-3</v>
      </c>
      <c r="L28" s="64" t="s">
        <v>2546</v>
      </c>
      <c r="M28" s="99" t="s">
        <v>3821</v>
      </c>
    </row>
    <row r="29" spans="1:13">
      <c r="A29" s="46">
        <v>28</v>
      </c>
      <c r="B29" s="38" t="s">
        <v>2538</v>
      </c>
      <c r="C29" s="39" t="s">
        <v>2629</v>
      </c>
      <c r="D29" s="39" t="s">
        <v>2639</v>
      </c>
      <c r="E29" s="39" t="s">
        <v>2664</v>
      </c>
      <c r="F29" s="40" t="s">
        <v>2665</v>
      </c>
      <c r="G29" s="40" t="s">
        <v>2666</v>
      </c>
      <c r="H29" s="44" t="s">
        <v>2567</v>
      </c>
      <c r="I29" s="40" t="s">
        <v>2667</v>
      </c>
      <c r="J29" s="40" t="s">
        <v>2172</v>
      </c>
      <c r="K29" s="42">
        <v>1.07295659162325E-2</v>
      </c>
      <c r="L29" s="64" t="s">
        <v>2546</v>
      </c>
      <c r="M29" s="99" t="s">
        <v>1021</v>
      </c>
    </row>
    <row r="30" spans="1:13">
      <c r="A30" s="46">
        <v>29</v>
      </c>
      <c r="B30" s="38" t="s">
        <v>2538</v>
      </c>
      <c r="C30" s="39" t="s">
        <v>2629</v>
      </c>
      <c r="D30" s="39" t="s">
        <v>2639</v>
      </c>
      <c r="E30" s="39" t="s">
        <v>2668</v>
      </c>
      <c r="F30" s="40" t="s">
        <v>2669</v>
      </c>
      <c r="G30" s="40" t="s">
        <v>2670</v>
      </c>
      <c r="H30" s="44" t="s">
        <v>2567</v>
      </c>
      <c r="I30" s="40" t="s">
        <v>2671</v>
      </c>
      <c r="J30" s="40" t="s">
        <v>2173</v>
      </c>
      <c r="K30" s="42">
        <v>5.47313200216362E-2</v>
      </c>
      <c r="L30" s="64" t="s">
        <v>2546</v>
      </c>
      <c r="M30" s="99" t="s">
        <v>3824</v>
      </c>
    </row>
    <row r="31" spans="1:13">
      <c r="A31" s="46">
        <v>30</v>
      </c>
      <c r="B31" s="38" t="s">
        <v>2538</v>
      </c>
      <c r="C31" s="39" t="s">
        <v>2629</v>
      </c>
      <c r="D31" s="39" t="s">
        <v>2639</v>
      </c>
      <c r="E31" s="39" t="s">
        <v>2672</v>
      </c>
      <c r="F31" s="40" t="s">
        <v>2673</v>
      </c>
      <c r="G31" s="40" t="s">
        <v>2666</v>
      </c>
      <c r="H31" s="44" t="s">
        <v>2567</v>
      </c>
      <c r="I31" s="40" t="s">
        <v>2667</v>
      </c>
      <c r="J31" s="40" t="s">
        <v>2172</v>
      </c>
      <c r="K31" s="42">
        <v>7.1726208107651707E-2</v>
      </c>
      <c r="L31" s="64" t="s">
        <v>2546</v>
      </c>
      <c r="M31" s="99" t="s">
        <v>1021</v>
      </c>
    </row>
    <row r="32" spans="1:13">
      <c r="A32" s="46">
        <v>31</v>
      </c>
      <c r="B32" s="38" t="s">
        <v>2538</v>
      </c>
      <c r="C32" s="39" t="s">
        <v>2629</v>
      </c>
      <c r="D32" s="39" t="s">
        <v>2674</v>
      </c>
      <c r="E32" s="39"/>
      <c r="F32" s="40" t="s">
        <v>2675</v>
      </c>
      <c r="G32" s="40" t="s">
        <v>2676</v>
      </c>
      <c r="H32" s="44" t="s">
        <v>2567</v>
      </c>
      <c r="I32" s="40" t="s">
        <v>2677</v>
      </c>
      <c r="J32" s="40" t="s">
        <v>2174</v>
      </c>
      <c r="K32" s="42">
        <v>8.9999999999999993E-3</v>
      </c>
      <c r="L32" s="64" t="s">
        <v>2546</v>
      </c>
      <c r="M32" s="99" t="s">
        <v>3821</v>
      </c>
    </row>
    <row r="33" spans="1:13">
      <c r="A33" s="46">
        <v>32</v>
      </c>
      <c r="B33" s="38" t="s">
        <v>2538</v>
      </c>
      <c r="C33" s="39" t="s">
        <v>2629</v>
      </c>
      <c r="D33" s="39" t="s">
        <v>2678</v>
      </c>
      <c r="E33" s="39" t="s">
        <v>2679</v>
      </c>
      <c r="F33" s="40" t="s">
        <v>2680</v>
      </c>
      <c r="G33" s="40" t="s">
        <v>2681</v>
      </c>
      <c r="H33" s="44" t="s">
        <v>2582</v>
      </c>
      <c r="I33" s="40" t="s">
        <v>2682</v>
      </c>
      <c r="J33" s="40" t="s">
        <v>2175</v>
      </c>
      <c r="K33" s="42">
        <v>7.2451960850292901E-2</v>
      </c>
      <c r="L33" s="64" t="s">
        <v>2546</v>
      </c>
      <c r="M33" s="99" t="s">
        <v>3821</v>
      </c>
    </row>
    <row r="34" spans="1:13">
      <c r="A34" s="46">
        <v>33</v>
      </c>
      <c r="B34" s="38" t="s">
        <v>2538</v>
      </c>
      <c r="C34" s="39" t="s">
        <v>2629</v>
      </c>
      <c r="D34" s="39" t="s">
        <v>2678</v>
      </c>
      <c r="E34" s="39" t="s">
        <v>2683</v>
      </c>
      <c r="F34" s="40" t="s">
        <v>2684</v>
      </c>
      <c r="G34" s="40" t="s">
        <v>2685</v>
      </c>
      <c r="H34" s="44" t="s">
        <v>2567</v>
      </c>
      <c r="I34" s="40" t="s">
        <v>2686</v>
      </c>
      <c r="J34" s="40" t="s">
        <v>2176</v>
      </c>
      <c r="K34" s="42">
        <v>7.2451960850292901E-2</v>
      </c>
      <c r="L34" s="64" t="s">
        <v>2546</v>
      </c>
      <c r="M34" s="99" t="s">
        <v>3821</v>
      </c>
    </row>
    <row r="35" spans="1:13">
      <c r="A35" s="46">
        <v>34</v>
      </c>
      <c r="B35" s="38" t="s">
        <v>2538</v>
      </c>
      <c r="C35" s="39" t="s">
        <v>2629</v>
      </c>
      <c r="D35" s="39" t="s">
        <v>2678</v>
      </c>
      <c r="E35" s="39" t="s">
        <v>2687</v>
      </c>
      <c r="F35" s="40" t="s">
        <v>2688</v>
      </c>
      <c r="G35" s="40" t="s">
        <v>2689</v>
      </c>
      <c r="H35" s="44" t="s">
        <v>2567</v>
      </c>
      <c r="I35" s="40" t="s">
        <v>2690</v>
      </c>
      <c r="J35" s="40" t="s">
        <v>2177</v>
      </c>
      <c r="K35" s="42">
        <v>7.3008989352050899E-2</v>
      </c>
      <c r="L35" s="64" t="s">
        <v>2546</v>
      </c>
      <c r="M35" s="99" t="s">
        <v>3821</v>
      </c>
    </row>
    <row r="36" spans="1:13">
      <c r="A36" s="46">
        <v>35</v>
      </c>
      <c r="B36" s="38" t="s">
        <v>2538</v>
      </c>
      <c r="C36" s="39" t="s">
        <v>2629</v>
      </c>
      <c r="D36" s="39" t="s">
        <v>2691</v>
      </c>
      <c r="E36" s="39"/>
      <c r="F36" s="40" t="s">
        <v>2692</v>
      </c>
      <c r="G36" s="40" t="s">
        <v>2693</v>
      </c>
      <c r="H36" s="43" t="s">
        <v>2544</v>
      </c>
      <c r="I36" s="40" t="s">
        <v>2694</v>
      </c>
      <c r="J36" s="40" t="s">
        <v>2178</v>
      </c>
      <c r="K36" s="42">
        <v>1.3274271314734199E-2</v>
      </c>
      <c r="L36" s="64" t="s">
        <v>2546</v>
      </c>
      <c r="M36" s="99" t="s">
        <v>3821</v>
      </c>
    </row>
    <row r="37" spans="1:13">
      <c r="A37" s="46">
        <v>36</v>
      </c>
      <c r="B37" s="38" t="s">
        <v>2538</v>
      </c>
      <c r="C37" s="39" t="s">
        <v>2629</v>
      </c>
      <c r="D37" s="39" t="s">
        <v>2695</v>
      </c>
      <c r="E37" s="39"/>
      <c r="F37" s="40" t="s">
        <v>2696</v>
      </c>
      <c r="G37" s="40" t="s">
        <v>2697</v>
      </c>
      <c r="H37" s="44" t="s">
        <v>2567</v>
      </c>
      <c r="I37" s="40" t="s">
        <v>2698</v>
      </c>
      <c r="J37" s="40" t="s">
        <v>2179</v>
      </c>
      <c r="K37" s="42">
        <v>8.5042473253971202E-3</v>
      </c>
      <c r="L37" s="64" t="s">
        <v>2546</v>
      </c>
      <c r="M37" s="99" t="s">
        <v>1030</v>
      </c>
    </row>
    <row r="38" spans="1:13">
      <c r="A38" s="46">
        <v>37</v>
      </c>
      <c r="B38" s="38" t="s">
        <v>2538</v>
      </c>
      <c r="C38" s="39" t="s">
        <v>2629</v>
      </c>
      <c r="D38" s="39" t="s">
        <v>2699</v>
      </c>
      <c r="E38" s="39" t="s">
        <v>2700</v>
      </c>
      <c r="F38" s="40" t="s">
        <v>2701</v>
      </c>
      <c r="G38" s="40" t="s">
        <v>2702</v>
      </c>
      <c r="H38" s="44" t="s">
        <v>2582</v>
      </c>
      <c r="I38" s="40" t="s">
        <v>2703</v>
      </c>
      <c r="J38" s="40" t="s">
        <v>2180</v>
      </c>
      <c r="K38" s="42">
        <v>1.6440771966088799E-2</v>
      </c>
      <c r="L38" s="64" t="s">
        <v>2546</v>
      </c>
      <c r="M38" s="99" t="s">
        <v>1030</v>
      </c>
    </row>
    <row r="39" spans="1:13">
      <c r="A39" s="46">
        <v>38</v>
      </c>
      <c r="B39" s="38" t="s">
        <v>2538</v>
      </c>
      <c r="C39" s="39" t="s">
        <v>2629</v>
      </c>
      <c r="D39" s="39" t="s">
        <v>2699</v>
      </c>
      <c r="E39" s="39" t="s">
        <v>2704</v>
      </c>
      <c r="F39" s="40" t="s">
        <v>2705</v>
      </c>
      <c r="G39" s="40" t="s">
        <v>2706</v>
      </c>
      <c r="H39" s="43" t="s">
        <v>2544</v>
      </c>
      <c r="I39" s="40" t="s">
        <v>2707</v>
      </c>
      <c r="J39" s="40" t="s">
        <v>2181</v>
      </c>
      <c r="K39" s="42">
        <v>1.30786126864046E-2</v>
      </c>
      <c r="L39" s="64" t="s">
        <v>2546</v>
      </c>
      <c r="M39" s="99" t="s">
        <v>3821</v>
      </c>
    </row>
    <row r="40" spans="1:13">
      <c r="A40" s="46">
        <v>39</v>
      </c>
      <c r="B40" s="38" t="s">
        <v>2538</v>
      </c>
      <c r="C40" s="39" t="s">
        <v>2629</v>
      </c>
      <c r="D40" s="39" t="s">
        <v>2699</v>
      </c>
      <c r="E40" s="39" t="s">
        <v>2708</v>
      </c>
      <c r="F40" s="40" t="s">
        <v>2709</v>
      </c>
      <c r="G40" s="40" t="s">
        <v>2710</v>
      </c>
      <c r="H40" s="44" t="s">
        <v>2567</v>
      </c>
      <c r="I40" s="40" t="s">
        <v>2711</v>
      </c>
      <c r="J40" s="40" t="s">
        <v>2182</v>
      </c>
      <c r="K40" s="42">
        <v>3.4005274192098901E-2</v>
      </c>
      <c r="L40" s="64" t="s">
        <v>2546</v>
      </c>
      <c r="M40" s="99" t="s">
        <v>3821</v>
      </c>
    </row>
    <row r="41" spans="1:13">
      <c r="A41" s="46">
        <v>40</v>
      </c>
      <c r="B41" s="38" t="s">
        <v>2538</v>
      </c>
      <c r="C41" s="39" t="s">
        <v>2509</v>
      </c>
      <c r="D41" s="39" t="s">
        <v>2712</v>
      </c>
      <c r="E41" s="39" t="s">
        <v>2713</v>
      </c>
      <c r="F41" s="40" t="s">
        <v>2714</v>
      </c>
      <c r="G41" s="40" t="s">
        <v>2715</v>
      </c>
      <c r="H41" s="44" t="s">
        <v>2567</v>
      </c>
      <c r="I41" s="40" t="s">
        <v>2716</v>
      </c>
      <c r="J41" s="40" t="s">
        <v>2183</v>
      </c>
      <c r="K41" s="42">
        <v>5.0624522566614899E-2</v>
      </c>
      <c r="L41" s="64" t="s">
        <v>2546</v>
      </c>
      <c r="M41" s="100" t="s">
        <v>7</v>
      </c>
    </row>
    <row r="42" spans="1:13">
      <c r="A42" s="46">
        <v>41</v>
      </c>
      <c r="B42" s="38" t="s">
        <v>2538</v>
      </c>
      <c r="C42" s="39" t="s">
        <v>2509</v>
      </c>
      <c r="D42" s="39" t="s">
        <v>2712</v>
      </c>
      <c r="E42" s="39" t="s">
        <v>2717</v>
      </c>
      <c r="F42" s="40" t="s">
        <v>2718</v>
      </c>
      <c r="G42" s="40" t="s">
        <v>2719</v>
      </c>
      <c r="H42" s="44" t="s">
        <v>2582</v>
      </c>
      <c r="I42" s="40" t="s">
        <v>2720</v>
      </c>
      <c r="J42" s="40" t="s">
        <v>2184</v>
      </c>
      <c r="K42" s="42">
        <v>4.8774223819232798E-2</v>
      </c>
      <c r="L42" s="64" t="s">
        <v>2546</v>
      </c>
      <c r="M42" s="100" t="s">
        <v>7</v>
      </c>
    </row>
    <row r="43" spans="1:13">
      <c r="A43" s="46">
        <v>42</v>
      </c>
      <c r="B43" s="38" t="s">
        <v>2538</v>
      </c>
      <c r="C43" s="39" t="s">
        <v>2509</v>
      </c>
      <c r="D43" s="39" t="s">
        <v>2712</v>
      </c>
      <c r="E43" s="39" t="s">
        <v>2708</v>
      </c>
      <c r="F43" s="40" t="s">
        <v>2721</v>
      </c>
      <c r="G43" s="40" t="s">
        <v>2722</v>
      </c>
      <c r="H43" s="44" t="s">
        <v>2567</v>
      </c>
      <c r="I43" s="40" t="s">
        <v>2723</v>
      </c>
      <c r="J43" s="40" t="s">
        <v>2185</v>
      </c>
      <c r="K43" s="42">
        <v>5.7513874156465798E-2</v>
      </c>
      <c r="L43" s="64" t="s">
        <v>2546</v>
      </c>
      <c r="M43" s="99" t="s">
        <v>3821</v>
      </c>
    </row>
    <row r="44" spans="1:13">
      <c r="A44" s="46">
        <v>43</v>
      </c>
      <c r="B44" s="38" t="s">
        <v>2538</v>
      </c>
      <c r="C44" s="39" t="s">
        <v>2509</v>
      </c>
      <c r="D44" s="39" t="s">
        <v>2712</v>
      </c>
      <c r="E44" s="39" t="s">
        <v>2724</v>
      </c>
      <c r="F44" s="40" t="s">
        <v>2725</v>
      </c>
      <c r="G44" s="40" t="s">
        <v>2726</v>
      </c>
      <c r="H44" s="43" t="s">
        <v>2544</v>
      </c>
      <c r="I44" s="40" t="s">
        <v>2727</v>
      </c>
      <c r="J44" s="40" t="s">
        <v>2186</v>
      </c>
      <c r="K44" s="42">
        <v>5.12152033412605E-2</v>
      </c>
      <c r="L44" s="64" t="s">
        <v>2546</v>
      </c>
      <c r="M44" s="99" t="s">
        <v>3821</v>
      </c>
    </row>
    <row r="45" spans="1:13">
      <c r="A45" s="46">
        <v>44</v>
      </c>
      <c r="B45" s="38" t="s">
        <v>2538</v>
      </c>
      <c r="C45" s="39" t="s">
        <v>2509</v>
      </c>
      <c r="D45" s="39" t="s">
        <v>2712</v>
      </c>
      <c r="E45" s="39" t="s">
        <v>2728</v>
      </c>
      <c r="F45" s="40" t="s">
        <v>2729</v>
      </c>
      <c r="G45" s="40" t="s">
        <v>2730</v>
      </c>
      <c r="H45" s="43" t="s">
        <v>2544</v>
      </c>
      <c r="I45" s="40" t="s">
        <v>2731</v>
      </c>
      <c r="J45" s="40" t="s">
        <v>2187</v>
      </c>
      <c r="K45" s="42">
        <v>4.4629320696498102E-2</v>
      </c>
      <c r="L45" s="64" t="s">
        <v>2546</v>
      </c>
      <c r="M45" s="99" t="s">
        <v>3821</v>
      </c>
    </row>
    <row r="46" spans="1:13">
      <c r="A46" s="46">
        <v>45</v>
      </c>
      <c r="B46" s="38" t="s">
        <v>2538</v>
      </c>
      <c r="C46" s="39" t="s">
        <v>2509</v>
      </c>
      <c r="D46" s="39" t="s">
        <v>2732</v>
      </c>
      <c r="E46" s="39" t="s">
        <v>2733</v>
      </c>
      <c r="F46" s="40" t="s">
        <v>2734</v>
      </c>
      <c r="G46" s="40" t="s">
        <v>2735</v>
      </c>
      <c r="H46" s="44" t="s">
        <v>2567</v>
      </c>
      <c r="I46" s="40" t="s">
        <v>2736</v>
      </c>
      <c r="J46" s="40" t="s">
        <v>2188</v>
      </c>
      <c r="K46" s="42">
        <v>6.9449861594213E-2</v>
      </c>
      <c r="L46" s="64" t="s">
        <v>2546</v>
      </c>
      <c r="M46" s="99" t="s">
        <v>1021</v>
      </c>
    </row>
    <row r="47" spans="1:13">
      <c r="A47" s="46">
        <v>46</v>
      </c>
      <c r="B47" s="38" t="s">
        <v>2538</v>
      </c>
      <c r="C47" s="39" t="s">
        <v>2509</v>
      </c>
      <c r="D47" s="39" t="s">
        <v>2732</v>
      </c>
      <c r="E47" s="39" t="s">
        <v>2737</v>
      </c>
      <c r="F47" s="40" t="s">
        <v>2738</v>
      </c>
      <c r="G47" s="40" t="s">
        <v>2739</v>
      </c>
      <c r="H47" s="44" t="s">
        <v>2567</v>
      </c>
      <c r="I47" s="40" t="s">
        <v>2740</v>
      </c>
      <c r="J47" s="40" t="s">
        <v>2189</v>
      </c>
      <c r="K47" s="42">
        <v>6.8722789622549102E-2</v>
      </c>
      <c r="L47" s="64" t="s">
        <v>2546</v>
      </c>
      <c r="M47" s="99" t="s">
        <v>1021</v>
      </c>
    </row>
    <row r="48" spans="1:13">
      <c r="A48" s="46">
        <v>47</v>
      </c>
      <c r="B48" s="38" t="s">
        <v>2538</v>
      </c>
      <c r="C48" s="39" t="s">
        <v>2509</v>
      </c>
      <c r="D48" s="39" t="s">
        <v>2732</v>
      </c>
      <c r="E48" s="39" t="s">
        <v>2741</v>
      </c>
      <c r="F48" s="40" t="s">
        <v>2742</v>
      </c>
      <c r="G48" s="40" t="s">
        <v>2743</v>
      </c>
      <c r="H48" s="44" t="s">
        <v>2567</v>
      </c>
      <c r="I48" s="40" t="s">
        <v>2744</v>
      </c>
      <c r="J48" s="40" t="s">
        <v>2190</v>
      </c>
      <c r="K48" s="42">
        <v>6.0223864699100703E-2</v>
      </c>
      <c r="L48" s="64" t="s">
        <v>2546</v>
      </c>
      <c r="M48" s="99" t="s">
        <v>1021</v>
      </c>
    </row>
    <row r="49" spans="1:13">
      <c r="A49" s="46">
        <v>48</v>
      </c>
      <c r="B49" s="38" t="s">
        <v>2538</v>
      </c>
      <c r="C49" s="39" t="s">
        <v>2509</v>
      </c>
      <c r="D49" s="39" t="s">
        <v>2732</v>
      </c>
      <c r="E49" s="39" t="s">
        <v>2745</v>
      </c>
      <c r="F49" s="40" t="s">
        <v>2746</v>
      </c>
      <c r="G49" s="40" t="s">
        <v>2747</v>
      </c>
      <c r="H49" s="43" t="s">
        <v>2544</v>
      </c>
      <c r="I49" s="40" t="s">
        <v>2748</v>
      </c>
      <c r="J49" s="40" t="s">
        <v>2191</v>
      </c>
      <c r="K49" s="42">
        <v>7.2637597583553801E-2</v>
      </c>
      <c r="L49" s="64" t="s">
        <v>2546</v>
      </c>
      <c r="M49" s="99" t="s">
        <v>3821</v>
      </c>
    </row>
    <row r="50" spans="1:13">
      <c r="A50" s="46">
        <v>49</v>
      </c>
      <c r="B50" s="38" t="s">
        <v>2538</v>
      </c>
      <c r="C50" s="39" t="s">
        <v>2509</v>
      </c>
      <c r="D50" s="39" t="s">
        <v>2732</v>
      </c>
      <c r="E50" s="39" t="s">
        <v>2749</v>
      </c>
      <c r="F50" s="40" t="s">
        <v>2750</v>
      </c>
      <c r="G50" s="40" t="s">
        <v>2751</v>
      </c>
      <c r="H50" s="44" t="s">
        <v>2567</v>
      </c>
      <c r="I50" s="40" t="s">
        <v>2752</v>
      </c>
      <c r="J50" s="40" t="s">
        <v>2192</v>
      </c>
      <c r="K50" s="42">
        <v>6.71582070669203E-2</v>
      </c>
      <c r="L50" s="64" t="s">
        <v>2546</v>
      </c>
      <c r="M50" s="99" t="s">
        <v>3821</v>
      </c>
    </row>
    <row r="51" spans="1:13" ht="22.5">
      <c r="A51" s="46">
        <v>50</v>
      </c>
      <c r="B51" s="38" t="s">
        <v>2476</v>
      </c>
      <c r="C51" s="38" t="s">
        <v>2476</v>
      </c>
      <c r="D51" s="38" t="s">
        <v>2753</v>
      </c>
      <c r="E51" s="38"/>
      <c r="F51" s="45" t="s">
        <v>2754</v>
      </c>
      <c r="G51" s="45" t="s">
        <v>2755</v>
      </c>
      <c r="H51" s="46" t="s">
        <v>2544</v>
      </c>
      <c r="I51" s="45" t="s">
        <v>2756</v>
      </c>
      <c r="J51" s="45" t="s">
        <v>2193</v>
      </c>
      <c r="K51" s="42">
        <v>4.0228776644225098E-2</v>
      </c>
      <c r="L51" s="65"/>
      <c r="M51" s="99" t="s">
        <v>3821</v>
      </c>
    </row>
    <row r="52" spans="1:13" ht="22.5">
      <c r="A52" s="46">
        <v>51</v>
      </c>
      <c r="B52" s="38" t="s">
        <v>2476</v>
      </c>
      <c r="C52" s="38" t="s">
        <v>2476</v>
      </c>
      <c r="D52" s="38" t="s">
        <v>2757</v>
      </c>
      <c r="E52" s="38"/>
      <c r="F52" s="45" t="s">
        <v>2758</v>
      </c>
      <c r="G52" s="45" t="s">
        <v>2759</v>
      </c>
      <c r="H52" s="46" t="s">
        <v>2544</v>
      </c>
      <c r="I52" s="45" t="s">
        <v>2760</v>
      </c>
      <c r="J52" s="45" t="s">
        <v>2194</v>
      </c>
      <c r="K52" s="42">
        <v>4.0228776644225098E-2</v>
      </c>
      <c r="L52" s="65"/>
      <c r="M52" s="100" t="s">
        <v>1356</v>
      </c>
    </row>
    <row r="53" spans="1:13">
      <c r="A53" s="46">
        <v>52</v>
      </c>
      <c r="B53" s="38" t="s">
        <v>2476</v>
      </c>
      <c r="C53" s="38" t="s">
        <v>2476</v>
      </c>
      <c r="D53" s="38" t="s">
        <v>2761</v>
      </c>
      <c r="E53" s="38"/>
      <c r="F53" s="45" t="s">
        <v>2762</v>
      </c>
      <c r="G53" s="45" t="s">
        <v>2763</v>
      </c>
      <c r="H53" s="46" t="s">
        <v>2544</v>
      </c>
      <c r="I53" s="45" t="s">
        <v>2764</v>
      </c>
      <c r="J53" s="45" t="s">
        <v>2195</v>
      </c>
      <c r="K53" s="42">
        <v>4.0228776644225098E-2</v>
      </c>
      <c r="L53" s="65"/>
      <c r="M53" s="99" t="s">
        <v>3821</v>
      </c>
    </row>
    <row r="54" spans="1:13">
      <c r="A54" s="46">
        <v>53</v>
      </c>
      <c r="B54" s="38" t="s">
        <v>2476</v>
      </c>
      <c r="C54" s="38" t="s">
        <v>2476</v>
      </c>
      <c r="D54" s="38" t="s">
        <v>2765</v>
      </c>
      <c r="E54" s="38"/>
      <c r="F54" s="45" t="s">
        <v>2766</v>
      </c>
      <c r="G54" s="45" t="s">
        <v>2767</v>
      </c>
      <c r="H54" s="46" t="s">
        <v>2544</v>
      </c>
      <c r="I54" s="45" t="s">
        <v>2768</v>
      </c>
      <c r="J54" s="45" t="s">
        <v>2196</v>
      </c>
      <c r="K54" s="42">
        <v>4.0228776644225098E-2</v>
      </c>
      <c r="L54" s="65"/>
      <c r="M54" s="99" t="s">
        <v>3821</v>
      </c>
    </row>
    <row r="55" spans="1:13">
      <c r="A55" s="46">
        <v>54</v>
      </c>
      <c r="B55" s="38" t="s">
        <v>2476</v>
      </c>
      <c r="C55" s="38" t="s">
        <v>2476</v>
      </c>
      <c r="D55" s="38" t="s">
        <v>2769</v>
      </c>
      <c r="E55" s="38"/>
      <c r="F55" s="45" t="s">
        <v>2770</v>
      </c>
      <c r="G55" s="45" t="s">
        <v>2771</v>
      </c>
      <c r="H55" s="46" t="s">
        <v>2544</v>
      </c>
      <c r="I55" s="45" t="s">
        <v>2772</v>
      </c>
      <c r="J55" s="45" t="s">
        <v>2197</v>
      </c>
      <c r="K55" s="42">
        <v>4.0228776644225098E-2</v>
      </c>
      <c r="L55" s="65"/>
      <c r="M55" s="99" t="s">
        <v>3821</v>
      </c>
    </row>
    <row r="56" spans="1:13">
      <c r="A56" s="46">
        <v>55</v>
      </c>
      <c r="B56" s="38" t="s">
        <v>2476</v>
      </c>
      <c r="C56" s="38" t="s">
        <v>2476</v>
      </c>
      <c r="D56" s="38" t="s">
        <v>2773</v>
      </c>
      <c r="E56" s="38"/>
      <c r="F56" s="45" t="s">
        <v>2774</v>
      </c>
      <c r="G56" s="45" t="s">
        <v>2775</v>
      </c>
      <c r="H56" s="46" t="s">
        <v>2544</v>
      </c>
      <c r="I56" s="45" t="s">
        <v>2776</v>
      </c>
      <c r="J56" s="45" t="s">
        <v>2198</v>
      </c>
      <c r="K56" s="42">
        <v>4.0228776644225098E-2</v>
      </c>
      <c r="L56" s="65"/>
      <c r="M56" s="99" t="s">
        <v>3821</v>
      </c>
    </row>
    <row r="57" spans="1:13" ht="22.5">
      <c r="A57" s="46">
        <v>56</v>
      </c>
      <c r="B57" s="38" t="s">
        <v>2476</v>
      </c>
      <c r="C57" s="38" t="s">
        <v>2476</v>
      </c>
      <c r="D57" s="38" t="s">
        <v>2777</v>
      </c>
      <c r="E57" s="38"/>
      <c r="F57" s="45" t="s">
        <v>2778</v>
      </c>
      <c r="G57" s="45" t="s">
        <v>2779</v>
      </c>
      <c r="H57" s="46" t="s">
        <v>2544</v>
      </c>
      <c r="I57" s="45" t="s">
        <v>2780</v>
      </c>
      <c r="J57" s="45" t="s">
        <v>2199</v>
      </c>
      <c r="K57" s="42">
        <v>4.0228776644225098E-2</v>
      </c>
      <c r="L57" s="65"/>
      <c r="M57" s="99" t="s">
        <v>3821</v>
      </c>
    </row>
    <row r="58" spans="1:13">
      <c r="A58" s="46">
        <v>57</v>
      </c>
      <c r="B58" s="38" t="s">
        <v>2476</v>
      </c>
      <c r="C58" s="38" t="s">
        <v>2476</v>
      </c>
      <c r="D58" s="38" t="s">
        <v>2781</v>
      </c>
      <c r="E58" s="38"/>
      <c r="F58" s="45" t="s">
        <v>2782</v>
      </c>
      <c r="G58" s="45" t="s">
        <v>2783</v>
      </c>
      <c r="H58" s="46" t="s">
        <v>2544</v>
      </c>
      <c r="I58" s="45" t="s">
        <v>2784</v>
      </c>
      <c r="J58" s="45" t="s">
        <v>2200</v>
      </c>
      <c r="K58" s="42">
        <v>4.0228776644225098E-2</v>
      </c>
      <c r="L58" s="65"/>
      <c r="M58" s="99" t="s">
        <v>3821</v>
      </c>
    </row>
    <row r="59" spans="1:13">
      <c r="A59" s="46">
        <v>58</v>
      </c>
      <c r="B59" s="38" t="s">
        <v>2476</v>
      </c>
      <c r="C59" s="38" t="s">
        <v>2476</v>
      </c>
      <c r="D59" s="38" t="s">
        <v>2785</v>
      </c>
      <c r="E59" s="38"/>
      <c r="F59" s="45" t="s">
        <v>2786</v>
      </c>
      <c r="G59" s="45" t="s">
        <v>2787</v>
      </c>
      <c r="H59" s="44" t="s">
        <v>2567</v>
      </c>
      <c r="I59" s="45" t="s">
        <v>2788</v>
      </c>
      <c r="J59" s="45" t="s">
        <v>2201</v>
      </c>
      <c r="K59" s="42">
        <v>4.0228776644225098E-2</v>
      </c>
      <c r="L59" s="65"/>
      <c r="M59" s="99" t="s">
        <v>3821</v>
      </c>
    </row>
    <row r="60" spans="1:13">
      <c r="A60" s="46">
        <v>59</v>
      </c>
      <c r="B60" s="38" t="s">
        <v>2476</v>
      </c>
      <c r="C60" s="38" t="s">
        <v>2476</v>
      </c>
      <c r="D60" s="38" t="s">
        <v>2789</v>
      </c>
      <c r="E60" s="38"/>
      <c r="F60" s="45" t="s">
        <v>2790</v>
      </c>
      <c r="G60" s="45" t="s">
        <v>2791</v>
      </c>
      <c r="H60" s="44" t="s">
        <v>2567</v>
      </c>
      <c r="I60" s="45" t="s">
        <v>2792</v>
      </c>
      <c r="J60" s="45" t="s">
        <v>2202</v>
      </c>
      <c r="K60" s="42">
        <v>4.0228776644225098E-2</v>
      </c>
      <c r="L60" s="65"/>
      <c r="M60" s="99" t="s">
        <v>3821</v>
      </c>
    </row>
    <row r="61" spans="1:13">
      <c r="A61" s="46">
        <v>60</v>
      </c>
      <c r="B61" s="38" t="s">
        <v>2793</v>
      </c>
      <c r="C61" s="47" t="s">
        <v>2447</v>
      </c>
      <c r="D61" s="47" t="s">
        <v>2794</v>
      </c>
      <c r="E61" s="47" t="s">
        <v>2795</v>
      </c>
      <c r="F61" s="48" t="s">
        <v>2796</v>
      </c>
      <c r="G61" s="48" t="s">
        <v>2797</v>
      </c>
      <c r="H61" s="44" t="s">
        <v>2582</v>
      </c>
      <c r="I61" s="48" t="s">
        <v>2798</v>
      </c>
      <c r="J61" s="48" t="s">
        <v>2203</v>
      </c>
      <c r="K61" s="42">
        <v>3.3061845470393036E-2</v>
      </c>
      <c r="L61" s="66" t="s">
        <v>913</v>
      </c>
      <c r="M61" s="99" t="s">
        <v>372</v>
      </c>
    </row>
    <row r="62" spans="1:13">
      <c r="A62" s="46">
        <v>61</v>
      </c>
      <c r="B62" s="38" t="s">
        <v>2793</v>
      </c>
      <c r="C62" s="47" t="s">
        <v>2447</v>
      </c>
      <c r="D62" s="47" t="s">
        <v>2794</v>
      </c>
      <c r="E62" s="47" t="s">
        <v>2799</v>
      </c>
      <c r="F62" s="48" t="s">
        <v>2800</v>
      </c>
      <c r="G62" s="48" t="s">
        <v>2801</v>
      </c>
      <c r="H62" s="44" t="s">
        <v>2567</v>
      </c>
      <c r="I62" s="48" t="s">
        <v>2802</v>
      </c>
      <c r="J62" s="48" t="s">
        <v>2803</v>
      </c>
      <c r="K62" s="42">
        <v>3.3061845470393036E-2</v>
      </c>
      <c r="L62" s="66" t="s">
        <v>913</v>
      </c>
      <c r="M62" s="99" t="s">
        <v>3821</v>
      </c>
    </row>
    <row r="63" spans="1:13">
      <c r="A63" s="46">
        <v>62</v>
      </c>
      <c r="B63" s="38" t="s">
        <v>2793</v>
      </c>
      <c r="C63" s="47" t="s">
        <v>2447</v>
      </c>
      <c r="D63" s="47" t="s">
        <v>2794</v>
      </c>
      <c r="E63" s="47" t="s">
        <v>2804</v>
      </c>
      <c r="F63" s="48" t="s">
        <v>2805</v>
      </c>
      <c r="G63" s="48" t="s">
        <v>2806</v>
      </c>
      <c r="H63" s="44" t="s">
        <v>2582</v>
      </c>
      <c r="I63" s="48" t="s">
        <v>2807</v>
      </c>
      <c r="J63" s="48" t="s">
        <v>2204</v>
      </c>
      <c r="K63" s="42">
        <v>3.3061845470393036E-2</v>
      </c>
      <c r="L63" s="66" t="s">
        <v>913</v>
      </c>
      <c r="M63" s="99" t="s">
        <v>3821</v>
      </c>
    </row>
    <row r="64" spans="1:13">
      <c r="A64" s="46">
        <v>63</v>
      </c>
      <c r="B64" s="38" t="s">
        <v>2793</v>
      </c>
      <c r="C64" s="47" t="s">
        <v>2447</v>
      </c>
      <c r="D64" s="47" t="s">
        <v>2794</v>
      </c>
      <c r="E64" s="47" t="s">
        <v>2808</v>
      </c>
      <c r="F64" s="48" t="s">
        <v>2809</v>
      </c>
      <c r="G64" s="48" t="s">
        <v>2810</v>
      </c>
      <c r="H64" s="44" t="s">
        <v>2582</v>
      </c>
      <c r="I64" s="48" t="s">
        <v>2811</v>
      </c>
      <c r="J64" s="48" t="s">
        <v>2205</v>
      </c>
      <c r="K64" s="42">
        <v>3.3061845470393036E-2</v>
      </c>
      <c r="L64" s="66" t="s">
        <v>913</v>
      </c>
      <c r="M64" s="99" t="s">
        <v>3821</v>
      </c>
    </row>
    <row r="65" spans="1:13">
      <c r="A65" s="46">
        <v>64</v>
      </c>
      <c r="B65" s="38" t="s">
        <v>2793</v>
      </c>
      <c r="C65" s="47" t="s">
        <v>2447</v>
      </c>
      <c r="D65" s="47" t="s">
        <v>2794</v>
      </c>
      <c r="E65" s="47" t="s">
        <v>2812</v>
      </c>
      <c r="F65" s="48" t="s">
        <v>2813</v>
      </c>
      <c r="G65" s="48" t="s">
        <v>2814</v>
      </c>
      <c r="H65" s="44" t="s">
        <v>2582</v>
      </c>
      <c r="I65" s="48" t="s">
        <v>2815</v>
      </c>
      <c r="J65" s="48" t="s">
        <v>2206</v>
      </c>
      <c r="K65" s="42">
        <v>3.3061845470393036E-2</v>
      </c>
      <c r="L65" s="66" t="s">
        <v>913</v>
      </c>
      <c r="M65" s="99" t="s">
        <v>494</v>
      </c>
    </row>
    <row r="66" spans="1:13">
      <c r="A66" s="46">
        <v>65</v>
      </c>
      <c r="B66" s="38" t="s">
        <v>2793</v>
      </c>
      <c r="C66" s="47" t="s">
        <v>2447</v>
      </c>
      <c r="D66" s="47" t="s">
        <v>2816</v>
      </c>
      <c r="E66" s="47" t="s">
        <v>2817</v>
      </c>
      <c r="F66" s="48" t="s">
        <v>2818</v>
      </c>
      <c r="G66" s="48" t="s">
        <v>2819</v>
      </c>
      <c r="H66" s="44" t="s">
        <v>2582</v>
      </c>
      <c r="I66" s="48" t="s">
        <v>2820</v>
      </c>
      <c r="J66" s="48" t="s">
        <v>2207</v>
      </c>
      <c r="K66" s="42">
        <v>3.5671899999999999E-2</v>
      </c>
      <c r="L66" s="66" t="s">
        <v>913</v>
      </c>
      <c r="M66" s="100" t="s">
        <v>901</v>
      </c>
    </row>
    <row r="67" spans="1:13">
      <c r="A67" s="46">
        <v>66</v>
      </c>
      <c r="B67" s="38" t="s">
        <v>2793</v>
      </c>
      <c r="C67" s="47" t="s">
        <v>2447</v>
      </c>
      <c r="D67" s="47" t="s">
        <v>2816</v>
      </c>
      <c r="E67" s="47" t="s">
        <v>2821</v>
      </c>
      <c r="F67" s="48" t="s">
        <v>2822</v>
      </c>
      <c r="G67" s="48" t="s">
        <v>2823</v>
      </c>
      <c r="H67" s="44" t="s">
        <v>2582</v>
      </c>
      <c r="I67" s="48" t="s">
        <v>2824</v>
      </c>
      <c r="J67" s="48" t="s">
        <v>2208</v>
      </c>
      <c r="K67" s="42">
        <v>3.5671899999999999E-2</v>
      </c>
      <c r="L67" s="66" t="s">
        <v>913</v>
      </c>
      <c r="M67" s="99" t="s">
        <v>467</v>
      </c>
    </row>
    <row r="68" spans="1:13">
      <c r="A68" s="46">
        <v>67</v>
      </c>
      <c r="B68" s="38" t="s">
        <v>2793</v>
      </c>
      <c r="C68" s="47" t="s">
        <v>2447</v>
      </c>
      <c r="D68" s="47" t="s">
        <v>2816</v>
      </c>
      <c r="E68" s="47" t="s">
        <v>2825</v>
      </c>
      <c r="F68" s="48" t="s">
        <v>2826</v>
      </c>
      <c r="G68" s="48" t="s">
        <v>2819</v>
      </c>
      <c r="H68" s="44" t="s">
        <v>2582</v>
      </c>
      <c r="I68" s="48" t="s">
        <v>2827</v>
      </c>
      <c r="J68" s="48" t="s">
        <v>2209</v>
      </c>
      <c r="K68" s="42">
        <v>3.5671899999999999E-2</v>
      </c>
      <c r="L68" s="66" t="s">
        <v>913</v>
      </c>
      <c r="M68" s="99" t="s">
        <v>3821</v>
      </c>
    </row>
    <row r="69" spans="1:13">
      <c r="A69" s="46">
        <v>68</v>
      </c>
      <c r="B69" s="38" t="s">
        <v>2793</v>
      </c>
      <c r="C69" s="47" t="s">
        <v>2828</v>
      </c>
      <c r="D69" s="47" t="s">
        <v>2829</v>
      </c>
      <c r="E69" s="47"/>
      <c r="F69" s="48" t="s">
        <v>2830</v>
      </c>
      <c r="G69" s="48" t="s">
        <v>2797</v>
      </c>
      <c r="H69" s="44" t="s">
        <v>2582</v>
      </c>
      <c r="I69" s="48" t="s">
        <v>2831</v>
      </c>
      <c r="J69" s="48" t="s">
        <v>2210</v>
      </c>
      <c r="K69" s="42">
        <v>3.1736001613686497E-2</v>
      </c>
      <c r="L69" s="66" t="s">
        <v>913</v>
      </c>
      <c r="M69" s="99" t="s">
        <v>544</v>
      </c>
    </row>
    <row r="70" spans="1:13">
      <c r="A70" s="46">
        <v>69</v>
      </c>
      <c r="B70" s="38" t="s">
        <v>2793</v>
      </c>
      <c r="C70" s="47" t="s">
        <v>2828</v>
      </c>
      <c r="D70" s="47" t="s">
        <v>2832</v>
      </c>
      <c r="E70" s="47"/>
      <c r="F70" s="48" t="s">
        <v>2833</v>
      </c>
      <c r="G70" s="48" t="s">
        <v>2834</v>
      </c>
      <c r="H70" s="44" t="s">
        <v>2582</v>
      </c>
      <c r="I70" s="48" t="s">
        <v>2835</v>
      </c>
      <c r="J70" s="48" t="s">
        <v>2211</v>
      </c>
      <c r="K70" s="42">
        <v>3.1736001613686497E-2</v>
      </c>
      <c r="L70" s="66" t="s">
        <v>913</v>
      </c>
      <c r="M70" s="99" t="s">
        <v>494</v>
      </c>
    </row>
    <row r="71" spans="1:13">
      <c r="A71" s="46">
        <v>70</v>
      </c>
      <c r="B71" s="38" t="s">
        <v>2793</v>
      </c>
      <c r="C71" s="47" t="s">
        <v>2828</v>
      </c>
      <c r="D71" s="47" t="s">
        <v>121</v>
      </c>
      <c r="E71" s="47"/>
      <c r="F71" s="48" t="s">
        <v>2836</v>
      </c>
      <c r="G71" s="48" t="s">
        <v>2823</v>
      </c>
      <c r="H71" s="44" t="s">
        <v>2582</v>
      </c>
      <c r="I71" s="48" t="s">
        <v>2837</v>
      </c>
      <c r="J71" s="48" t="s">
        <v>2212</v>
      </c>
      <c r="K71" s="42">
        <v>3.1736001613686497E-2</v>
      </c>
      <c r="L71" s="66" t="s">
        <v>913</v>
      </c>
      <c r="M71" s="99" t="s">
        <v>468</v>
      </c>
    </row>
    <row r="72" spans="1:13">
      <c r="A72" s="46">
        <v>71</v>
      </c>
      <c r="B72" s="38" t="s">
        <v>2793</v>
      </c>
      <c r="C72" s="47" t="s">
        <v>2828</v>
      </c>
      <c r="D72" s="47" t="s">
        <v>2838</v>
      </c>
      <c r="E72" s="47"/>
      <c r="F72" s="48" t="s">
        <v>2839</v>
      </c>
      <c r="G72" s="48" t="s">
        <v>2823</v>
      </c>
      <c r="H72" s="44" t="s">
        <v>2582</v>
      </c>
      <c r="I72" s="48" t="s">
        <v>2840</v>
      </c>
      <c r="J72" s="48" t="s">
        <v>2213</v>
      </c>
      <c r="K72" s="42">
        <v>3.1736001613686497E-2</v>
      </c>
      <c r="L72" s="66" t="s">
        <v>913</v>
      </c>
      <c r="M72" s="99" t="s">
        <v>1019</v>
      </c>
    </row>
    <row r="73" spans="1:13">
      <c r="A73" s="46">
        <v>72</v>
      </c>
      <c r="B73" s="38" t="s">
        <v>2793</v>
      </c>
      <c r="C73" s="47" t="s">
        <v>2828</v>
      </c>
      <c r="D73" s="47" t="s">
        <v>2841</v>
      </c>
      <c r="E73" s="47"/>
      <c r="F73" s="48" t="s">
        <v>2842</v>
      </c>
      <c r="G73" s="48" t="s">
        <v>2843</v>
      </c>
      <c r="H73" s="44" t="s">
        <v>2582</v>
      </c>
      <c r="I73" s="48" t="s">
        <v>2844</v>
      </c>
      <c r="J73" s="48" t="s">
        <v>2845</v>
      </c>
      <c r="K73" s="42">
        <v>3.1736001613686497E-2</v>
      </c>
      <c r="L73" s="66" t="s">
        <v>913</v>
      </c>
      <c r="M73" s="99" t="s">
        <v>593</v>
      </c>
    </row>
    <row r="74" spans="1:13">
      <c r="A74" s="46">
        <v>73</v>
      </c>
      <c r="B74" s="38" t="s">
        <v>2793</v>
      </c>
      <c r="C74" s="47" t="s">
        <v>2828</v>
      </c>
      <c r="D74" s="47" t="s">
        <v>2846</v>
      </c>
      <c r="E74" s="47"/>
      <c r="F74" s="48" t="s">
        <v>2847</v>
      </c>
      <c r="G74" s="48" t="s">
        <v>2801</v>
      </c>
      <c r="H74" s="44" t="s">
        <v>2567</v>
      </c>
      <c r="I74" s="48" t="s">
        <v>2848</v>
      </c>
      <c r="J74" s="48" t="s">
        <v>3859</v>
      </c>
      <c r="K74" s="42">
        <v>3.1736001613686497E-2</v>
      </c>
      <c r="L74" s="66" t="s">
        <v>913</v>
      </c>
      <c r="M74" s="99" t="s">
        <v>3828</v>
      </c>
    </row>
    <row r="75" spans="1:13">
      <c r="A75" s="46">
        <v>74</v>
      </c>
      <c r="B75" s="38" t="s">
        <v>2793</v>
      </c>
      <c r="C75" s="47" t="s">
        <v>2849</v>
      </c>
      <c r="D75" s="47" t="s">
        <v>2850</v>
      </c>
      <c r="E75" s="47" t="s">
        <v>2851</v>
      </c>
      <c r="F75" s="48" t="s">
        <v>2852</v>
      </c>
      <c r="G75" s="48" t="s">
        <v>2814</v>
      </c>
      <c r="H75" s="44" t="s">
        <v>2582</v>
      </c>
      <c r="I75" s="48" t="s">
        <v>2853</v>
      </c>
      <c r="J75" s="48" t="s">
        <v>3860</v>
      </c>
      <c r="K75" s="42">
        <v>2.9377150528576701E-2</v>
      </c>
      <c r="L75" s="66" t="s">
        <v>913</v>
      </c>
      <c r="M75" s="99" t="s">
        <v>667</v>
      </c>
    </row>
    <row r="76" spans="1:13">
      <c r="A76" s="46">
        <v>75</v>
      </c>
      <c r="B76" s="38" t="s">
        <v>2793</v>
      </c>
      <c r="C76" s="47" t="s">
        <v>2849</v>
      </c>
      <c r="D76" s="47" t="s">
        <v>2850</v>
      </c>
      <c r="E76" s="47" t="s">
        <v>2854</v>
      </c>
      <c r="F76" s="48" t="s">
        <v>2855</v>
      </c>
      <c r="G76" s="48" t="s">
        <v>2797</v>
      </c>
      <c r="H76" s="44" t="s">
        <v>2582</v>
      </c>
      <c r="I76" s="48" t="s">
        <v>2831</v>
      </c>
      <c r="J76" s="48" t="s">
        <v>3861</v>
      </c>
      <c r="K76" s="42">
        <v>2.9377150528576701E-2</v>
      </c>
      <c r="L76" s="66" t="s">
        <v>913</v>
      </c>
      <c r="M76" s="99" t="s">
        <v>544</v>
      </c>
    </row>
    <row r="77" spans="1:13">
      <c r="A77" s="46">
        <v>76</v>
      </c>
      <c r="B77" s="38" t="s">
        <v>2793</v>
      </c>
      <c r="C77" s="47" t="s">
        <v>2849</v>
      </c>
      <c r="D77" s="47" t="s">
        <v>2850</v>
      </c>
      <c r="E77" s="47" t="s">
        <v>2856</v>
      </c>
      <c r="F77" s="48" t="s">
        <v>2857</v>
      </c>
      <c r="G77" s="48" t="s">
        <v>2823</v>
      </c>
      <c r="H77" s="44" t="s">
        <v>2582</v>
      </c>
      <c r="I77" s="48" t="s">
        <v>2837</v>
      </c>
      <c r="J77" s="48" t="s">
        <v>3862</v>
      </c>
      <c r="K77" s="42">
        <v>2.9377150528576701E-2</v>
      </c>
      <c r="L77" s="66" t="s">
        <v>913</v>
      </c>
      <c r="M77" s="99" t="s">
        <v>468</v>
      </c>
    </row>
    <row r="78" spans="1:13">
      <c r="A78" s="46">
        <v>77</v>
      </c>
      <c r="B78" s="38" t="s">
        <v>2793</v>
      </c>
      <c r="C78" s="47" t="s">
        <v>2849</v>
      </c>
      <c r="D78" s="47" t="s">
        <v>2858</v>
      </c>
      <c r="E78" s="47" t="s">
        <v>2859</v>
      </c>
      <c r="F78" s="48" t="s">
        <v>2860</v>
      </c>
      <c r="G78" s="48" t="s">
        <v>2861</v>
      </c>
      <c r="H78" s="50" t="s">
        <v>2544</v>
      </c>
      <c r="I78" s="48" t="s">
        <v>2862</v>
      </c>
      <c r="J78" s="48" t="s">
        <v>2214</v>
      </c>
      <c r="K78" s="42">
        <v>2.9377150528576701E-2</v>
      </c>
      <c r="L78" s="66" t="s">
        <v>913</v>
      </c>
      <c r="M78" s="99" t="s">
        <v>3821</v>
      </c>
    </row>
    <row r="79" spans="1:13">
      <c r="A79" s="46">
        <v>78</v>
      </c>
      <c r="B79" s="38" t="s">
        <v>2793</v>
      </c>
      <c r="C79" s="47" t="s">
        <v>2849</v>
      </c>
      <c r="D79" s="51" t="s">
        <v>2858</v>
      </c>
      <c r="E79" s="52" t="s">
        <v>2863</v>
      </c>
      <c r="F79" s="53" t="s">
        <v>2864</v>
      </c>
      <c r="G79" s="48" t="s">
        <v>2819</v>
      </c>
      <c r="H79" s="44" t="s">
        <v>2582</v>
      </c>
      <c r="I79" s="48" t="s">
        <v>2827</v>
      </c>
      <c r="J79" s="48" t="s">
        <v>2215</v>
      </c>
      <c r="K79" s="42">
        <v>2.9377150528576701E-2</v>
      </c>
      <c r="L79" s="66" t="s">
        <v>913</v>
      </c>
      <c r="M79" s="99" t="s">
        <v>3821</v>
      </c>
    </row>
    <row r="80" spans="1:13">
      <c r="A80" s="46">
        <v>79</v>
      </c>
      <c r="B80" s="38" t="s">
        <v>2793</v>
      </c>
      <c r="C80" s="47" t="s">
        <v>2849</v>
      </c>
      <c r="D80" s="47" t="s">
        <v>2865</v>
      </c>
      <c r="E80" s="47"/>
      <c r="F80" s="48" t="s">
        <v>2866</v>
      </c>
      <c r="G80" s="53" t="s">
        <v>2814</v>
      </c>
      <c r="H80" s="44" t="s">
        <v>2582</v>
      </c>
      <c r="I80" s="53" t="s">
        <v>2867</v>
      </c>
      <c r="J80" s="53" t="s">
        <v>2216</v>
      </c>
      <c r="K80" s="42">
        <v>2.9377150528576701E-2</v>
      </c>
      <c r="L80" s="66" t="s">
        <v>913</v>
      </c>
      <c r="M80" s="99" t="s">
        <v>3821</v>
      </c>
    </row>
    <row r="81" spans="1:13">
      <c r="A81" s="46">
        <v>80</v>
      </c>
      <c r="B81" s="38" t="s">
        <v>2793</v>
      </c>
      <c r="C81" s="47" t="s">
        <v>2849</v>
      </c>
      <c r="D81" s="47" t="s">
        <v>2868</v>
      </c>
      <c r="E81" s="47"/>
      <c r="F81" s="48" t="s">
        <v>2869</v>
      </c>
      <c r="G81" s="48" t="s">
        <v>2870</v>
      </c>
      <c r="H81" s="44" t="s">
        <v>2582</v>
      </c>
      <c r="I81" s="48" t="s">
        <v>2871</v>
      </c>
      <c r="J81" s="48" t="s">
        <v>2217</v>
      </c>
      <c r="K81" s="42">
        <v>2.9377150528576701E-2</v>
      </c>
      <c r="L81" s="66" t="s">
        <v>913</v>
      </c>
      <c r="M81" s="100" t="s">
        <v>3802</v>
      </c>
    </row>
    <row r="82" spans="1:13">
      <c r="A82" s="46">
        <v>81</v>
      </c>
      <c r="B82" s="38" t="s">
        <v>2793</v>
      </c>
      <c r="C82" s="47" t="s">
        <v>2849</v>
      </c>
      <c r="D82" s="47" t="s">
        <v>2868</v>
      </c>
      <c r="E82" s="47" t="s">
        <v>2872</v>
      </c>
      <c r="F82" s="48" t="s">
        <v>2873</v>
      </c>
      <c r="G82" s="48" t="s">
        <v>2874</v>
      </c>
      <c r="H82" s="44" t="s">
        <v>2567</v>
      </c>
      <c r="I82" s="48" t="s">
        <v>2875</v>
      </c>
      <c r="J82" s="48" t="s">
        <v>2218</v>
      </c>
      <c r="K82" s="42">
        <v>2.9377150528576701E-2</v>
      </c>
      <c r="L82" s="66" t="s">
        <v>913</v>
      </c>
      <c r="M82" s="100" t="s">
        <v>3802</v>
      </c>
    </row>
    <row r="83" spans="1:13">
      <c r="A83" s="46">
        <v>82</v>
      </c>
      <c r="B83" s="38" t="s">
        <v>2876</v>
      </c>
      <c r="C83" s="47" t="s">
        <v>2445</v>
      </c>
      <c r="D83" s="47" t="s">
        <v>2877</v>
      </c>
      <c r="E83" s="47" t="s">
        <v>2878</v>
      </c>
      <c r="F83" s="48" t="s">
        <v>2879</v>
      </c>
      <c r="G83" s="48" t="s">
        <v>2880</v>
      </c>
      <c r="H83" s="44" t="s">
        <v>2582</v>
      </c>
      <c r="I83" s="48" t="s">
        <v>2881</v>
      </c>
      <c r="J83" s="48" t="s">
        <v>2219</v>
      </c>
      <c r="K83" s="42">
        <v>3.6406497146066502E-2</v>
      </c>
      <c r="L83" s="66" t="s">
        <v>913</v>
      </c>
      <c r="M83" s="99" t="s">
        <v>3858</v>
      </c>
    </row>
    <row r="84" spans="1:13">
      <c r="A84" s="46">
        <v>83</v>
      </c>
      <c r="B84" s="38" t="s">
        <v>2876</v>
      </c>
      <c r="C84" s="47" t="s">
        <v>2445</v>
      </c>
      <c r="D84" s="47" t="s">
        <v>2877</v>
      </c>
      <c r="E84" s="47" t="s">
        <v>2882</v>
      </c>
      <c r="F84" s="48" t="s">
        <v>2883</v>
      </c>
      <c r="G84" s="48" t="s">
        <v>2884</v>
      </c>
      <c r="H84" s="44" t="s">
        <v>2582</v>
      </c>
      <c r="I84" s="48" t="s">
        <v>2885</v>
      </c>
      <c r="J84" s="48" t="s">
        <v>3863</v>
      </c>
      <c r="K84" s="42">
        <v>3.6406497146066502E-2</v>
      </c>
      <c r="L84" s="66" t="s">
        <v>913</v>
      </c>
      <c r="M84" s="99" t="s">
        <v>268</v>
      </c>
    </row>
    <row r="85" spans="1:13">
      <c r="A85" s="46">
        <v>84</v>
      </c>
      <c r="B85" s="38" t="s">
        <v>2876</v>
      </c>
      <c r="C85" s="47" t="s">
        <v>2445</v>
      </c>
      <c r="D85" s="47" t="s">
        <v>2877</v>
      </c>
      <c r="E85" s="47" t="s">
        <v>2886</v>
      </c>
      <c r="F85" s="48" t="s">
        <v>2887</v>
      </c>
      <c r="G85" s="48" t="s">
        <v>2888</v>
      </c>
      <c r="H85" s="44" t="s">
        <v>2582</v>
      </c>
      <c r="I85" s="48" t="s">
        <v>2889</v>
      </c>
      <c r="J85" s="48" t="s">
        <v>2220</v>
      </c>
      <c r="K85" s="42">
        <v>3.6406497146066502E-2</v>
      </c>
      <c r="L85" s="66" t="s">
        <v>913</v>
      </c>
      <c r="M85" s="99" t="s">
        <v>3864</v>
      </c>
    </row>
    <row r="86" spans="1:13">
      <c r="A86" s="46">
        <v>85</v>
      </c>
      <c r="B86" s="38" t="s">
        <v>2876</v>
      </c>
      <c r="C86" s="47" t="s">
        <v>2445</v>
      </c>
      <c r="D86" s="47" t="s">
        <v>2877</v>
      </c>
      <c r="E86" s="47" t="s">
        <v>2890</v>
      </c>
      <c r="F86" s="48" t="s">
        <v>2891</v>
      </c>
      <c r="G86" s="48" t="s">
        <v>2892</v>
      </c>
      <c r="H86" s="44" t="s">
        <v>2582</v>
      </c>
      <c r="I86" s="48" t="s">
        <v>2893</v>
      </c>
      <c r="J86" s="48" t="s">
        <v>2221</v>
      </c>
      <c r="K86" s="42">
        <v>3.6406497146066502E-2</v>
      </c>
      <c r="L86" s="66" t="s">
        <v>913</v>
      </c>
      <c r="M86" s="99" t="s">
        <v>3865</v>
      </c>
    </row>
    <row r="87" spans="1:13">
      <c r="A87" s="46">
        <v>86</v>
      </c>
      <c r="B87" s="38" t="s">
        <v>2876</v>
      </c>
      <c r="C87" s="47" t="s">
        <v>2445</v>
      </c>
      <c r="D87" s="47" t="s">
        <v>2877</v>
      </c>
      <c r="E87" s="47" t="s">
        <v>2894</v>
      </c>
      <c r="F87" s="48" t="s">
        <v>2895</v>
      </c>
      <c r="G87" s="48" t="s">
        <v>2896</v>
      </c>
      <c r="H87" s="44" t="s">
        <v>2567</v>
      </c>
      <c r="I87" s="48" t="s">
        <v>2897</v>
      </c>
      <c r="J87" s="48" t="s">
        <v>2222</v>
      </c>
      <c r="K87" s="42">
        <v>3.6406497146066502E-2</v>
      </c>
      <c r="L87" s="66" t="s">
        <v>913</v>
      </c>
      <c r="M87" s="99" t="s">
        <v>3821</v>
      </c>
    </row>
    <row r="88" spans="1:13">
      <c r="A88" s="46">
        <v>87</v>
      </c>
      <c r="B88" s="38" t="s">
        <v>2876</v>
      </c>
      <c r="C88" s="47" t="s">
        <v>2445</v>
      </c>
      <c r="D88" s="47" t="s">
        <v>2877</v>
      </c>
      <c r="E88" s="47" t="s">
        <v>2898</v>
      </c>
      <c r="F88" s="48" t="s">
        <v>2899</v>
      </c>
      <c r="G88" s="48" t="s">
        <v>2900</v>
      </c>
      <c r="H88" s="44" t="s">
        <v>2567</v>
      </c>
      <c r="I88" s="48" t="s">
        <v>3866</v>
      </c>
      <c r="J88" s="48" t="s">
        <v>2901</v>
      </c>
      <c r="K88" s="42">
        <v>3.6406497146066502E-2</v>
      </c>
      <c r="L88" s="66" t="s">
        <v>913</v>
      </c>
      <c r="M88" s="99" t="s">
        <v>580</v>
      </c>
    </row>
    <row r="89" spans="1:13">
      <c r="A89" s="46">
        <v>88</v>
      </c>
      <c r="B89" s="38" t="s">
        <v>2876</v>
      </c>
      <c r="C89" s="47" t="s">
        <v>2445</v>
      </c>
      <c r="D89" s="47" t="s">
        <v>2877</v>
      </c>
      <c r="E89" s="47" t="s">
        <v>2902</v>
      </c>
      <c r="F89" s="48" t="s">
        <v>2903</v>
      </c>
      <c r="G89" s="48" t="s">
        <v>2904</v>
      </c>
      <c r="H89" s="44" t="s">
        <v>2582</v>
      </c>
      <c r="I89" s="48" t="s">
        <v>2905</v>
      </c>
      <c r="J89" s="48" t="s">
        <v>2223</v>
      </c>
      <c r="K89" s="42">
        <v>3.6406497146066502E-2</v>
      </c>
      <c r="L89" s="66" t="s">
        <v>913</v>
      </c>
      <c r="M89" s="99" t="s">
        <v>1055</v>
      </c>
    </row>
    <row r="90" spans="1:13">
      <c r="A90" s="46">
        <v>89</v>
      </c>
      <c r="B90" s="38" t="s">
        <v>2876</v>
      </c>
      <c r="C90" s="47" t="s">
        <v>2445</v>
      </c>
      <c r="D90" s="47" t="s">
        <v>2877</v>
      </c>
      <c r="E90" s="47" t="s">
        <v>2906</v>
      </c>
      <c r="F90" s="48" t="s">
        <v>2907</v>
      </c>
      <c r="G90" s="48" t="s">
        <v>2880</v>
      </c>
      <c r="H90" s="44" t="s">
        <v>2582</v>
      </c>
      <c r="I90" s="48" t="s">
        <v>2908</v>
      </c>
      <c r="J90" s="48" t="s">
        <v>2224</v>
      </c>
      <c r="K90" s="42">
        <v>3.6406497146066502E-2</v>
      </c>
      <c r="L90" s="66" t="s">
        <v>913</v>
      </c>
      <c r="M90" s="99" t="s">
        <v>1021</v>
      </c>
    </row>
    <row r="91" spans="1:13">
      <c r="A91" s="46">
        <v>90</v>
      </c>
      <c r="B91" s="38" t="s">
        <v>2876</v>
      </c>
      <c r="C91" s="47" t="s">
        <v>2445</v>
      </c>
      <c r="D91" s="47" t="s">
        <v>2877</v>
      </c>
      <c r="E91" s="47" t="s">
        <v>2909</v>
      </c>
      <c r="F91" s="48" t="s">
        <v>2910</v>
      </c>
      <c r="G91" s="48" t="s">
        <v>2911</v>
      </c>
      <c r="H91" s="44" t="s">
        <v>2582</v>
      </c>
      <c r="I91" s="48" t="s">
        <v>2912</v>
      </c>
      <c r="J91" s="48" t="s">
        <v>2225</v>
      </c>
      <c r="K91" s="42">
        <v>3.6406497146066502E-2</v>
      </c>
      <c r="L91" s="66" t="s">
        <v>913</v>
      </c>
      <c r="M91" s="99" t="s">
        <v>3821</v>
      </c>
    </row>
    <row r="92" spans="1:13">
      <c r="A92" s="46">
        <v>91</v>
      </c>
      <c r="B92" s="38" t="s">
        <v>2876</v>
      </c>
      <c r="C92" s="47" t="s">
        <v>2445</v>
      </c>
      <c r="D92" s="47" t="s">
        <v>2913</v>
      </c>
      <c r="E92" s="47" t="s">
        <v>2914</v>
      </c>
      <c r="F92" s="48" t="s">
        <v>2915</v>
      </c>
      <c r="G92" s="48" t="s">
        <v>2916</v>
      </c>
      <c r="H92" s="44" t="s">
        <v>2567</v>
      </c>
      <c r="I92" s="48" t="s">
        <v>2917</v>
      </c>
      <c r="J92" s="48" t="s">
        <v>2226</v>
      </c>
      <c r="K92" s="42">
        <v>3.6406497146066502E-2</v>
      </c>
      <c r="L92" s="66" t="s">
        <v>913</v>
      </c>
      <c r="M92" s="99" t="s">
        <v>3867</v>
      </c>
    </row>
    <row r="93" spans="1:13">
      <c r="A93" s="46">
        <v>92</v>
      </c>
      <c r="B93" s="38" t="s">
        <v>2876</v>
      </c>
      <c r="C93" s="47" t="s">
        <v>2445</v>
      </c>
      <c r="D93" s="47" t="s">
        <v>2913</v>
      </c>
      <c r="E93" s="47" t="s">
        <v>2918</v>
      </c>
      <c r="F93" s="48" t="s">
        <v>2919</v>
      </c>
      <c r="G93" s="48" t="s">
        <v>2920</v>
      </c>
      <c r="H93" s="44" t="s">
        <v>2582</v>
      </c>
      <c r="I93" s="48" t="s">
        <v>2921</v>
      </c>
      <c r="J93" s="48" t="s">
        <v>2922</v>
      </c>
      <c r="K93" s="42">
        <v>3.6406497146066502E-2</v>
      </c>
      <c r="L93" s="66" t="s">
        <v>913</v>
      </c>
      <c r="M93" s="99" t="s">
        <v>1028</v>
      </c>
    </row>
    <row r="94" spans="1:13">
      <c r="A94" s="46">
        <v>93</v>
      </c>
      <c r="B94" s="38" t="s">
        <v>2876</v>
      </c>
      <c r="C94" s="47" t="s">
        <v>2445</v>
      </c>
      <c r="D94" s="47" t="s">
        <v>2913</v>
      </c>
      <c r="E94" s="47" t="s">
        <v>2923</v>
      </c>
      <c r="F94" s="48" t="s">
        <v>2924</v>
      </c>
      <c r="G94" s="48" t="s">
        <v>2892</v>
      </c>
      <c r="H94" s="44" t="s">
        <v>2582</v>
      </c>
      <c r="I94" s="48" t="s">
        <v>2925</v>
      </c>
      <c r="J94" s="48" t="s">
        <v>2926</v>
      </c>
      <c r="K94" s="42">
        <v>3.6406497146066502E-2</v>
      </c>
      <c r="L94" s="66" t="s">
        <v>913</v>
      </c>
      <c r="M94" s="99" t="s">
        <v>3868</v>
      </c>
    </row>
    <row r="95" spans="1:13">
      <c r="A95" s="46">
        <v>94</v>
      </c>
      <c r="B95" s="38" t="s">
        <v>2876</v>
      </c>
      <c r="C95" s="47" t="s">
        <v>2445</v>
      </c>
      <c r="D95" s="47" t="s">
        <v>2913</v>
      </c>
      <c r="E95" s="47" t="s">
        <v>2927</v>
      </c>
      <c r="F95" s="48" t="s">
        <v>2928</v>
      </c>
      <c r="G95" s="48" t="s">
        <v>2929</v>
      </c>
      <c r="H95" s="44" t="s">
        <v>2582</v>
      </c>
      <c r="I95" s="48" t="s">
        <v>2930</v>
      </c>
      <c r="J95" s="48" t="s">
        <v>2931</v>
      </c>
      <c r="K95" s="42">
        <v>3.6406497146066502E-2</v>
      </c>
      <c r="L95" s="66" t="s">
        <v>913</v>
      </c>
      <c r="M95" s="99" t="s">
        <v>1030</v>
      </c>
    </row>
    <row r="96" spans="1:13">
      <c r="A96" s="46">
        <v>95</v>
      </c>
      <c r="B96" s="38" t="s">
        <v>2876</v>
      </c>
      <c r="C96" s="47" t="s">
        <v>2445</v>
      </c>
      <c r="D96" s="47" t="s">
        <v>2932</v>
      </c>
      <c r="E96" s="47"/>
      <c r="F96" s="48" t="s">
        <v>2933</v>
      </c>
      <c r="G96" s="48" t="s">
        <v>2934</v>
      </c>
      <c r="H96" s="44" t="s">
        <v>2582</v>
      </c>
      <c r="I96" s="48" t="s">
        <v>2935</v>
      </c>
      <c r="J96" s="48" t="s">
        <v>2936</v>
      </c>
      <c r="K96" s="42">
        <v>3.6406497146066502E-2</v>
      </c>
      <c r="L96" s="66" t="s">
        <v>913</v>
      </c>
      <c r="M96" s="99" t="s">
        <v>3821</v>
      </c>
    </row>
    <row r="97" spans="1:13">
      <c r="A97" s="46">
        <v>96</v>
      </c>
      <c r="B97" s="38" t="s">
        <v>2876</v>
      </c>
      <c r="C97" s="47" t="s">
        <v>2458</v>
      </c>
      <c r="D97" s="47" t="s">
        <v>2937</v>
      </c>
      <c r="E97" s="47" t="s">
        <v>122</v>
      </c>
      <c r="F97" s="48" t="s">
        <v>2938</v>
      </c>
      <c r="G97" s="48" t="s">
        <v>2880</v>
      </c>
      <c r="H97" s="44" t="s">
        <v>2582</v>
      </c>
      <c r="I97" s="48" t="s">
        <v>2939</v>
      </c>
      <c r="J97" s="48" t="s">
        <v>2227</v>
      </c>
      <c r="K97" s="42">
        <v>3.23555369482669E-2</v>
      </c>
      <c r="L97" s="66" t="s">
        <v>913</v>
      </c>
      <c r="M97" s="99" t="s">
        <v>1021</v>
      </c>
    </row>
    <row r="98" spans="1:13">
      <c r="A98" s="46">
        <v>97</v>
      </c>
      <c r="B98" s="38" t="s">
        <v>2876</v>
      </c>
      <c r="C98" s="47" t="s">
        <v>2458</v>
      </c>
      <c r="D98" s="47" t="s">
        <v>2937</v>
      </c>
      <c r="E98" s="47" t="s">
        <v>2940</v>
      </c>
      <c r="F98" s="48" t="s">
        <v>2941</v>
      </c>
      <c r="G98" s="48" t="s">
        <v>2942</v>
      </c>
      <c r="H98" s="44" t="s">
        <v>2582</v>
      </c>
      <c r="I98" s="48" t="s">
        <v>2943</v>
      </c>
      <c r="J98" s="48" t="s">
        <v>2228</v>
      </c>
      <c r="K98" s="42">
        <v>3.23555369482669E-2</v>
      </c>
      <c r="L98" s="66" t="s">
        <v>913</v>
      </c>
      <c r="M98" s="99" t="s">
        <v>3869</v>
      </c>
    </row>
    <row r="99" spans="1:13">
      <c r="A99" s="46">
        <v>98</v>
      </c>
      <c r="B99" s="38" t="s">
        <v>2876</v>
      </c>
      <c r="C99" s="47" t="s">
        <v>2458</v>
      </c>
      <c r="D99" s="47" t="s">
        <v>2937</v>
      </c>
      <c r="E99" s="47" t="s">
        <v>2944</v>
      </c>
      <c r="F99" s="48" t="s">
        <v>2945</v>
      </c>
      <c r="G99" s="48" t="s">
        <v>2946</v>
      </c>
      <c r="H99" s="44" t="s">
        <v>2582</v>
      </c>
      <c r="I99" s="48" t="s">
        <v>2947</v>
      </c>
      <c r="J99" s="48" t="s">
        <v>2948</v>
      </c>
      <c r="K99" s="42">
        <v>3.23555369482669E-2</v>
      </c>
      <c r="L99" s="66" t="s">
        <v>913</v>
      </c>
      <c r="M99" s="99" t="s">
        <v>3870</v>
      </c>
    </row>
    <row r="100" spans="1:13">
      <c r="A100" s="46">
        <v>99</v>
      </c>
      <c r="B100" s="38" t="s">
        <v>2876</v>
      </c>
      <c r="C100" s="47" t="s">
        <v>2458</v>
      </c>
      <c r="D100" s="47" t="s">
        <v>2937</v>
      </c>
      <c r="E100" s="47" t="s">
        <v>2949</v>
      </c>
      <c r="F100" s="48" t="s">
        <v>2950</v>
      </c>
      <c r="G100" s="48" t="s">
        <v>2951</v>
      </c>
      <c r="H100" s="44" t="s">
        <v>2582</v>
      </c>
      <c r="I100" s="48" t="s">
        <v>3873</v>
      </c>
      <c r="J100" s="48" t="s">
        <v>3874</v>
      </c>
      <c r="K100" s="42">
        <v>3.23555369482669E-2</v>
      </c>
      <c r="L100" s="66" t="s">
        <v>913</v>
      </c>
      <c r="M100" s="99" t="s">
        <v>3871</v>
      </c>
    </row>
    <row r="101" spans="1:13">
      <c r="A101" s="46">
        <v>100</v>
      </c>
      <c r="B101" s="38" t="s">
        <v>2876</v>
      </c>
      <c r="C101" s="47" t="s">
        <v>2458</v>
      </c>
      <c r="D101" s="47" t="s">
        <v>2952</v>
      </c>
      <c r="E101" s="47" t="s">
        <v>2953</v>
      </c>
      <c r="F101" s="48" t="s">
        <v>2954</v>
      </c>
      <c r="G101" s="48" t="s">
        <v>2955</v>
      </c>
      <c r="H101" s="44" t="s">
        <v>2567</v>
      </c>
      <c r="I101" s="48" t="s">
        <v>2956</v>
      </c>
      <c r="J101" s="48" t="s">
        <v>2229</v>
      </c>
      <c r="K101" s="42">
        <v>3.23555369482669E-2</v>
      </c>
      <c r="L101" s="66" t="s">
        <v>913</v>
      </c>
      <c r="M101" s="99" t="s">
        <v>768</v>
      </c>
    </row>
    <row r="102" spans="1:13">
      <c r="A102" s="46">
        <v>101</v>
      </c>
      <c r="B102" s="38" t="s">
        <v>2876</v>
      </c>
      <c r="C102" s="47" t="s">
        <v>2458</v>
      </c>
      <c r="D102" s="47" t="s">
        <v>2952</v>
      </c>
      <c r="E102" s="47" t="s">
        <v>2957</v>
      </c>
      <c r="F102" s="48" t="s">
        <v>2958</v>
      </c>
      <c r="G102" s="48" t="s">
        <v>2959</v>
      </c>
      <c r="H102" s="44" t="s">
        <v>2567</v>
      </c>
      <c r="I102" s="48" t="s">
        <v>2960</v>
      </c>
      <c r="J102" s="48" t="s">
        <v>2230</v>
      </c>
      <c r="K102" s="42">
        <v>3.23555369482669E-2</v>
      </c>
      <c r="L102" s="66" t="s">
        <v>913</v>
      </c>
      <c r="M102" s="99" t="s">
        <v>3821</v>
      </c>
    </row>
    <row r="103" spans="1:13">
      <c r="A103" s="46">
        <v>102</v>
      </c>
      <c r="B103" s="38" t="s">
        <v>2876</v>
      </c>
      <c r="C103" s="47" t="s">
        <v>2458</v>
      </c>
      <c r="D103" s="47" t="s">
        <v>2952</v>
      </c>
      <c r="E103" s="47" t="s">
        <v>2961</v>
      </c>
      <c r="F103" s="48" t="s">
        <v>2962</v>
      </c>
      <c r="G103" s="48" t="s">
        <v>2963</v>
      </c>
      <c r="H103" s="44" t="s">
        <v>2582</v>
      </c>
      <c r="I103" s="48" t="s">
        <v>2964</v>
      </c>
      <c r="J103" s="48" t="s">
        <v>3872</v>
      </c>
      <c r="K103" s="42">
        <v>3.23555369482669E-2</v>
      </c>
      <c r="L103" s="66" t="s">
        <v>913</v>
      </c>
      <c r="M103" s="99" t="s">
        <v>1020</v>
      </c>
    </row>
    <row r="104" spans="1:13">
      <c r="A104" s="46">
        <v>103</v>
      </c>
      <c r="B104" s="38" t="s">
        <v>2876</v>
      </c>
      <c r="C104" s="47" t="s">
        <v>2458</v>
      </c>
      <c r="D104" s="47" t="s">
        <v>2952</v>
      </c>
      <c r="E104" s="47" t="s">
        <v>2965</v>
      </c>
      <c r="F104" s="48" t="s">
        <v>2966</v>
      </c>
      <c r="G104" s="48" t="s">
        <v>2967</v>
      </c>
      <c r="H104" s="44" t="s">
        <v>2582</v>
      </c>
      <c r="I104" s="48" t="s">
        <v>2968</v>
      </c>
      <c r="J104" s="48" t="s">
        <v>2231</v>
      </c>
      <c r="K104" s="42">
        <v>3.23555369482669E-2</v>
      </c>
      <c r="L104" s="66" t="s">
        <v>913</v>
      </c>
      <c r="M104" s="99" t="s">
        <v>3821</v>
      </c>
    </row>
    <row r="105" spans="1:13">
      <c r="A105" s="46">
        <v>104</v>
      </c>
      <c r="B105" s="38" t="s">
        <v>2876</v>
      </c>
      <c r="C105" s="47" t="s">
        <v>2458</v>
      </c>
      <c r="D105" s="47" t="s">
        <v>2952</v>
      </c>
      <c r="E105" s="47" t="s">
        <v>2969</v>
      </c>
      <c r="F105" s="48" t="s">
        <v>2970</v>
      </c>
      <c r="G105" s="48" t="s">
        <v>2971</v>
      </c>
      <c r="H105" s="44" t="s">
        <v>2582</v>
      </c>
      <c r="I105" s="48" t="s">
        <v>2972</v>
      </c>
      <c r="J105" s="48" t="s">
        <v>2232</v>
      </c>
      <c r="K105" s="42">
        <v>3.23555369482669E-2</v>
      </c>
      <c r="L105" s="66" t="s">
        <v>913</v>
      </c>
      <c r="M105" s="99" t="s">
        <v>3821</v>
      </c>
    </row>
    <row r="106" spans="1:13">
      <c r="A106" s="46">
        <v>105</v>
      </c>
      <c r="B106" s="38" t="s">
        <v>2876</v>
      </c>
      <c r="C106" s="47" t="s">
        <v>2458</v>
      </c>
      <c r="D106" s="47" t="s">
        <v>2952</v>
      </c>
      <c r="E106" s="47" t="s">
        <v>2973</v>
      </c>
      <c r="F106" s="48" t="s">
        <v>2974</v>
      </c>
      <c r="G106" s="48" t="s">
        <v>2975</v>
      </c>
      <c r="H106" s="44" t="s">
        <v>2582</v>
      </c>
      <c r="I106" s="48" t="s">
        <v>2976</v>
      </c>
      <c r="J106" s="48" t="s">
        <v>2233</v>
      </c>
      <c r="K106" s="42">
        <v>3.23555369482669E-2</v>
      </c>
      <c r="L106" s="66" t="s">
        <v>913</v>
      </c>
      <c r="M106" s="99" t="s">
        <v>3821</v>
      </c>
    </row>
    <row r="107" spans="1:13">
      <c r="A107" s="46">
        <v>106</v>
      </c>
      <c r="B107" s="38" t="s">
        <v>2876</v>
      </c>
      <c r="C107" s="54" t="s">
        <v>2470</v>
      </c>
      <c r="D107" s="54" t="s">
        <v>2977</v>
      </c>
      <c r="E107" s="54" t="s">
        <v>2978</v>
      </c>
      <c r="F107" s="55" t="s">
        <v>2979</v>
      </c>
      <c r="G107" s="55" t="s">
        <v>2980</v>
      </c>
      <c r="H107" s="44" t="s">
        <v>2582</v>
      </c>
      <c r="I107" s="48" t="s">
        <v>2981</v>
      </c>
      <c r="J107" s="55" t="s">
        <v>2234</v>
      </c>
      <c r="K107" s="42">
        <v>2.0332517551809648E-2</v>
      </c>
      <c r="L107" s="66" t="s">
        <v>913</v>
      </c>
      <c r="M107" s="99" t="s">
        <v>3875</v>
      </c>
    </row>
    <row r="108" spans="1:13">
      <c r="A108" s="46">
        <v>107</v>
      </c>
      <c r="B108" s="38" t="s">
        <v>2876</v>
      </c>
      <c r="C108" s="54" t="s">
        <v>2470</v>
      </c>
      <c r="D108" s="54" t="s">
        <v>2977</v>
      </c>
      <c r="E108" s="54" t="s">
        <v>2982</v>
      </c>
      <c r="F108" s="55" t="s">
        <v>2983</v>
      </c>
      <c r="G108" s="55" t="s">
        <v>2980</v>
      </c>
      <c r="H108" s="44" t="s">
        <v>2582</v>
      </c>
      <c r="I108" s="48" t="s">
        <v>2984</v>
      </c>
      <c r="J108" s="55" t="s">
        <v>2235</v>
      </c>
      <c r="K108" s="42">
        <v>2.7477342659759429E-2</v>
      </c>
      <c r="L108" s="66" t="s">
        <v>913</v>
      </c>
      <c r="M108" s="99" t="s">
        <v>1021</v>
      </c>
    </row>
    <row r="109" spans="1:13">
      <c r="A109" s="46">
        <v>108</v>
      </c>
      <c r="B109" s="38" t="s">
        <v>2876</v>
      </c>
      <c r="C109" s="54" t="s">
        <v>2470</v>
      </c>
      <c r="D109" s="54" t="s">
        <v>2977</v>
      </c>
      <c r="E109" s="54" t="s">
        <v>2985</v>
      </c>
      <c r="F109" s="55" t="s">
        <v>2986</v>
      </c>
      <c r="G109" s="55" t="s">
        <v>2980</v>
      </c>
      <c r="H109" s="44" t="s">
        <v>2582</v>
      </c>
      <c r="I109" s="48" t="s">
        <v>2987</v>
      </c>
      <c r="J109" s="55" t="s">
        <v>2236</v>
      </c>
      <c r="K109" s="42">
        <v>-2.1951752569665417E-2</v>
      </c>
      <c r="L109" s="66" t="s">
        <v>913</v>
      </c>
      <c r="M109" s="99" t="s">
        <v>3875</v>
      </c>
    </row>
    <row r="110" spans="1:13">
      <c r="A110" s="46">
        <v>109</v>
      </c>
      <c r="B110" s="38" t="s">
        <v>2876</v>
      </c>
      <c r="C110" s="54" t="s">
        <v>2470</v>
      </c>
      <c r="D110" s="54" t="s">
        <v>2988</v>
      </c>
      <c r="E110" s="54" t="s">
        <v>2989</v>
      </c>
      <c r="F110" s="55" t="s">
        <v>2990</v>
      </c>
      <c r="G110" s="55" t="s">
        <v>2991</v>
      </c>
      <c r="H110" s="44" t="s">
        <v>2567</v>
      </c>
      <c r="I110" s="48" t="s">
        <v>2992</v>
      </c>
      <c r="J110" s="55" t="s">
        <v>2237</v>
      </c>
      <c r="K110" s="42">
        <v>2.1000000000000001E-2</v>
      </c>
      <c r="L110" s="66" t="s">
        <v>913</v>
      </c>
      <c r="M110" s="99" t="s">
        <v>1021</v>
      </c>
    </row>
    <row r="111" spans="1:13">
      <c r="A111" s="46">
        <v>110</v>
      </c>
      <c r="B111" s="38" t="s">
        <v>2876</v>
      </c>
      <c r="C111" s="54" t="s">
        <v>2470</v>
      </c>
      <c r="D111" s="54" t="s">
        <v>2988</v>
      </c>
      <c r="E111" s="54" t="s">
        <v>2993</v>
      </c>
      <c r="F111" s="55" t="s">
        <v>2994</v>
      </c>
      <c r="G111" s="55" t="s">
        <v>2980</v>
      </c>
      <c r="H111" s="44" t="s">
        <v>2582</v>
      </c>
      <c r="I111" s="48" t="s">
        <v>2995</v>
      </c>
      <c r="J111" s="55" t="s">
        <v>2238</v>
      </c>
      <c r="K111" s="42">
        <v>2.1000000000000001E-2</v>
      </c>
      <c r="L111" s="66" t="s">
        <v>913</v>
      </c>
      <c r="M111" s="99" t="s">
        <v>1021</v>
      </c>
    </row>
    <row r="112" spans="1:13">
      <c r="A112" s="46">
        <v>111</v>
      </c>
      <c r="B112" s="38" t="s">
        <v>2876</v>
      </c>
      <c r="C112" s="54" t="s">
        <v>2470</v>
      </c>
      <c r="D112" s="54" t="s">
        <v>2988</v>
      </c>
      <c r="E112" s="54" t="s">
        <v>2996</v>
      </c>
      <c r="F112" s="55" t="s">
        <v>2997</v>
      </c>
      <c r="G112" s="55" t="s">
        <v>2998</v>
      </c>
      <c r="H112" s="44" t="s">
        <v>2582</v>
      </c>
      <c r="I112" s="48" t="s">
        <v>2999</v>
      </c>
      <c r="J112" s="55" t="s">
        <v>2239</v>
      </c>
      <c r="K112" s="42">
        <v>9.006736545372096E-3</v>
      </c>
      <c r="L112" s="66" t="s">
        <v>913</v>
      </c>
      <c r="M112" s="99" t="s">
        <v>3876</v>
      </c>
    </row>
    <row r="113" spans="1:13">
      <c r="A113" s="46">
        <v>112</v>
      </c>
      <c r="B113" s="38" t="s">
        <v>3000</v>
      </c>
      <c r="C113" s="38" t="s">
        <v>2461</v>
      </c>
      <c r="D113" s="38" t="s">
        <v>3001</v>
      </c>
      <c r="E113" s="38" t="s">
        <v>3002</v>
      </c>
      <c r="F113" s="45" t="s">
        <v>3003</v>
      </c>
      <c r="G113" s="45" t="s">
        <v>3004</v>
      </c>
      <c r="H113" s="46" t="s">
        <v>2544</v>
      </c>
      <c r="I113" s="45" t="s">
        <v>3005</v>
      </c>
      <c r="J113" s="45" t="s">
        <v>2240</v>
      </c>
      <c r="K113" s="42">
        <v>3.12147442227368E-2</v>
      </c>
      <c r="L113" s="64" t="s">
        <v>2546</v>
      </c>
      <c r="M113" s="99" t="s">
        <v>3821</v>
      </c>
    </row>
    <row r="114" spans="1:13">
      <c r="A114" s="46">
        <v>113</v>
      </c>
      <c r="B114" s="38" t="s">
        <v>3000</v>
      </c>
      <c r="C114" s="38" t="s">
        <v>2461</v>
      </c>
      <c r="D114" s="38" t="s">
        <v>3001</v>
      </c>
      <c r="E114" s="38" t="s">
        <v>3006</v>
      </c>
      <c r="F114" s="45" t="s">
        <v>3007</v>
      </c>
      <c r="G114" s="45" t="s">
        <v>3008</v>
      </c>
      <c r="H114" s="46" t="s">
        <v>2544</v>
      </c>
      <c r="I114" s="45" t="s">
        <v>3009</v>
      </c>
      <c r="J114" s="45" t="s">
        <v>2241</v>
      </c>
      <c r="K114" s="42">
        <v>4.1746420153138099E-2</v>
      </c>
      <c r="L114" s="64" t="s">
        <v>2546</v>
      </c>
      <c r="M114" s="99" t="s">
        <v>3821</v>
      </c>
    </row>
    <row r="115" spans="1:13">
      <c r="A115" s="46">
        <v>114</v>
      </c>
      <c r="B115" s="38" t="s">
        <v>3000</v>
      </c>
      <c r="C115" s="38" t="s">
        <v>2461</v>
      </c>
      <c r="D115" s="38" t="s">
        <v>3010</v>
      </c>
      <c r="E115" s="38" t="s">
        <v>3011</v>
      </c>
      <c r="F115" s="45" t="s">
        <v>3012</v>
      </c>
      <c r="G115" s="45" t="s">
        <v>3013</v>
      </c>
      <c r="H115" s="46" t="s">
        <v>2544</v>
      </c>
      <c r="I115" s="45" t="s">
        <v>3014</v>
      </c>
      <c r="J115" s="45" t="s">
        <v>2242</v>
      </c>
      <c r="K115" s="42">
        <v>1.72273767361286E-4</v>
      </c>
      <c r="L115" s="64" t="s">
        <v>2546</v>
      </c>
      <c r="M115" s="99" t="s">
        <v>3821</v>
      </c>
    </row>
    <row r="116" spans="1:13" ht="22.5">
      <c r="A116" s="46">
        <v>115</v>
      </c>
      <c r="B116" s="38" t="s">
        <v>3000</v>
      </c>
      <c r="C116" s="38" t="s">
        <v>2461</v>
      </c>
      <c r="D116" s="38" t="s">
        <v>3010</v>
      </c>
      <c r="E116" s="38" t="s">
        <v>3015</v>
      </c>
      <c r="F116" s="45" t="s">
        <v>3016</v>
      </c>
      <c r="G116" s="45" t="s">
        <v>3017</v>
      </c>
      <c r="H116" s="46" t="s">
        <v>2544</v>
      </c>
      <c r="I116" s="45" t="s">
        <v>3018</v>
      </c>
      <c r="J116" s="45" t="s">
        <v>2243</v>
      </c>
      <c r="K116" s="42">
        <v>0.115629180084584</v>
      </c>
      <c r="L116" s="64" t="s">
        <v>2546</v>
      </c>
      <c r="M116" s="99" t="s">
        <v>3821</v>
      </c>
    </row>
    <row r="117" spans="1:13">
      <c r="A117" s="46">
        <v>116</v>
      </c>
      <c r="B117" s="38" t="s">
        <v>3000</v>
      </c>
      <c r="C117" s="38" t="s">
        <v>2461</v>
      </c>
      <c r="D117" s="38" t="s">
        <v>3010</v>
      </c>
      <c r="E117" s="38" t="s">
        <v>3019</v>
      </c>
      <c r="F117" s="45" t="s">
        <v>3020</v>
      </c>
      <c r="G117" s="45" t="s">
        <v>3021</v>
      </c>
      <c r="H117" s="46" t="s">
        <v>2544</v>
      </c>
      <c r="I117" s="45" t="s">
        <v>3022</v>
      </c>
      <c r="J117" s="45" t="s">
        <v>2244</v>
      </c>
      <c r="K117" s="42">
        <v>5.9733190947748101E-2</v>
      </c>
      <c r="L117" s="64" t="s">
        <v>2546</v>
      </c>
      <c r="M117" s="99" t="s">
        <v>3821</v>
      </c>
    </row>
    <row r="118" spans="1:13">
      <c r="A118" s="46">
        <v>117</v>
      </c>
      <c r="B118" s="38" t="s">
        <v>3000</v>
      </c>
      <c r="C118" s="38" t="s">
        <v>2461</v>
      </c>
      <c r="D118" s="38" t="s">
        <v>3010</v>
      </c>
      <c r="E118" s="38" t="s">
        <v>2597</v>
      </c>
      <c r="F118" s="45" t="s">
        <v>3023</v>
      </c>
      <c r="G118" s="45" t="s">
        <v>3024</v>
      </c>
      <c r="H118" s="46" t="s">
        <v>2544</v>
      </c>
      <c r="I118" s="45" t="s">
        <v>3025</v>
      </c>
      <c r="J118" s="45" t="s">
        <v>2245</v>
      </c>
      <c r="K118" s="42">
        <v>4.7091419362838699E-2</v>
      </c>
      <c r="L118" s="64" t="s">
        <v>2546</v>
      </c>
      <c r="M118" s="99" t="s">
        <v>3821</v>
      </c>
    </row>
    <row r="119" spans="1:13">
      <c r="A119" s="46">
        <v>118</v>
      </c>
      <c r="B119" s="38" t="s">
        <v>3000</v>
      </c>
      <c r="C119" s="38" t="s">
        <v>2461</v>
      </c>
      <c r="D119" s="38" t="s">
        <v>3010</v>
      </c>
      <c r="E119" s="38" t="s">
        <v>3026</v>
      </c>
      <c r="F119" s="45" t="s">
        <v>3027</v>
      </c>
      <c r="G119" s="45" t="s">
        <v>3028</v>
      </c>
      <c r="H119" s="46" t="s">
        <v>2544</v>
      </c>
      <c r="I119" s="45" t="s">
        <v>3029</v>
      </c>
      <c r="J119" s="45" t="s">
        <v>2246</v>
      </c>
      <c r="K119" s="42">
        <v>6.7112035053553204E-2</v>
      </c>
      <c r="L119" s="64" t="s">
        <v>2546</v>
      </c>
      <c r="M119" s="99" t="s">
        <v>3821</v>
      </c>
    </row>
    <row r="120" spans="1:13">
      <c r="A120" s="46">
        <v>119</v>
      </c>
      <c r="B120" s="38" t="s">
        <v>3000</v>
      </c>
      <c r="C120" s="38" t="s">
        <v>2461</v>
      </c>
      <c r="D120" s="38" t="s">
        <v>3030</v>
      </c>
      <c r="E120" s="38" t="s">
        <v>3031</v>
      </c>
      <c r="F120" s="45" t="s">
        <v>3032</v>
      </c>
      <c r="G120" s="45" t="s">
        <v>3033</v>
      </c>
      <c r="H120" s="44" t="s">
        <v>2582</v>
      </c>
      <c r="I120" s="45" t="s">
        <v>3034</v>
      </c>
      <c r="J120" s="45" t="s">
        <v>2247</v>
      </c>
      <c r="K120" s="42">
        <v>6.3307862115384904E-3</v>
      </c>
      <c r="L120" s="64" t="s">
        <v>2546</v>
      </c>
      <c r="M120" s="99" t="s">
        <v>612</v>
      </c>
    </row>
    <row r="121" spans="1:13">
      <c r="A121" s="46">
        <v>120</v>
      </c>
      <c r="B121" s="38" t="s">
        <v>3000</v>
      </c>
      <c r="C121" s="38" t="s">
        <v>2461</v>
      </c>
      <c r="D121" s="38" t="s">
        <v>3030</v>
      </c>
      <c r="E121" s="38" t="s">
        <v>3035</v>
      </c>
      <c r="F121" s="45" t="s">
        <v>3036</v>
      </c>
      <c r="G121" s="45" t="s">
        <v>3037</v>
      </c>
      <c r="H121" s="44" t="s">
        <v>2582</v>
      </c>
      <c r="I121" s="45" t="s">
        <v>3038</v>
      </c>
      <c r="J121" s="45" t="s">
        <v>2248</v>
      </c>
      <c r="K121" s="42">
        <v>8.1791363059439307E-2</v>
      </c>
      <c r="L121" s="64" t="s">
        <v>2546</v>
      </c>
      <c r="M121" s="99" t="s">
        <v>548</v>
      </c>
    </row>
    <row r="122" spans="1:13">
      <c r="A122" s="46">
        <v>121</v>
      </c>
      <c r="B122" s="38" t="s">
        <v>3000</v>
      </c>
      <c r="C122" s="38" t="s">
        <v>2461</v>
      </c>
      <c r="D122" s="38" t="s">
        <v>3030</v>
      </c>
      <c r="E122" s="38" t="s">
        <v>3039</v>
      </c>
      <c r="F122" s="45" t="s">
        <v>3040</v>
      </c>
      <c r="G122" s="45" t="s">
        <v>3041</v>
      </c>
      <c r="H122" s="44" t="s">
        <v>2582</v>
      </c>
      <c r="I122" s="45" t="s">
        <v>3042</v>
      </c>
      <c r="J122" s="45" t="s">
        <v>2249</v>
      </c>
      <c r="K122" s="42">
        <v>5.6041819413369602E-2</v>
      </c>
      <c r="L122" s="64" t="s">
        <v>2546</v>
      </c>
      <c r="M122" s="99" t="s">
        <v>3877</v>
      </c>
    </row>
    <row r="123" spans="1:13">
      <c r="A123" s="46">
        <v>122</v>
      </c>
      <c r="B123" s="38" t="s">
        <v>3000</v>
      </c>
      <c r="C123" s="38" t="s">
        <v>2461</v>
      </c>
      <c r="D123" s="38" t="s">
        <v>3030</v>
      </c>
      <c r="E123" s="38" t="s">
        <v>3043</v>
      </c>
      <c r="F123" s="45" t="s">
        <v>3044</v>
      </c>
      <c r="G123" s="45" t="s">
        <v>3045</v>
      </c>
      <c r="H123" s="44" t="s">
        <v>2567</v>
      </c>
      <c r="I123" s="45" t="s">
        <v>3046</v>
      </c>
      <c r="J123" s="45" t="s">
        <v>2250</v>
      </c>
      <c r="K123" s="42">
        <v>0.34047761089008999</v>
      </c>
      <c r="L123" s="64" t="s">
        <v>2546</v>
      </c>
      <c r="M123" s="99" t="s">
        <v>3821</v>
      </c>
    </row>
    <row r="124" spans="1:13">
      <c r="A124" s="46">
        <v>123</v>
      </c>
      <c r="B124" s="38" t="s">
        <v>3000</v>
      </c>
      <c r="C124" s="38" t="s">
        <v>2461</v>
      </c>
      <c r="D124" s="38" t="s">
        <v>3047</v>
      </c>
      <c r="E124" s="38" t="s">
        <v>3048</v>
      </c>
      <c r="F124" s="45" t="s">
        <v>3049</v>
      </c>
      <c r="G124" s="45" t="s">
        <v>3050</v>
      </c>
      <c r="H124" s="46" t="s">
        <v>2544</v>
      </c>
      <c r="I124" s="45" t="s">
        <v>3051</v>
      </c>
      <c r="J124" s="45" t="s">
        <v>2251</v>
      </c>
      <c r="K124" s="42">
        <v>3.6025609319257898E-2</v>
      </c>
      <c r="L124" s="64" t="s">
        <v>2546</v>
      </c>
      <c r="M124" s="99" t="s">
        <v>3821</v>
      </c>
    </row>
    <row r="125" spans="1:13">
      <c r="A125" s="46">
        <v>124</v>
      </c>
      <c r="B125" s="38" t="s">
        <v>3000</v>
      </c>
      <c r="C125" s="38" t="s">
        <v>2461</v>
      </c>
      <c r="D125" s="38" t="s">
        <v>3047</v>
      </c>
      <c r="E125" s="38" t="s">
        <v>3052</v>
      </c>
      <c r="F125" s="45" t="s">
        <v>3053</v>
      </c>
      <c r="G125" s="45" t="s">
        <v>3054</v>
      </c>
      <c r="H125" s="44" t="s">
        <v>2582</v>
      </c>
      <c r="I125" s="45" t="s">
        <v>3055</v>
      </c>
      <c r="J125" s="45" t="s">
        <v>2252</v>
      </c>
      <c r="K125" s="42">
        <v>1.05868158896685E-2</v>
      </c>
      <c r="L125" s="64" t="s">
        <v>2546</v>
      </c>
      <c r="M125" s="99" t="s">
        <v>667</v>
      </c>
    </row>
    <row r="126" spans="1:13">
      <c r="A126" s="46">
        <v>125</v>
      </c>
      <c r="B126" s="38" t="s">
        <v>3000</v>
      </c>
      <c r="C126" s="38" t="s">
        <v>2461</v>
      </c>
      <c r="D126" s="38" t="s">
        <v>3047</v>
      </c>
      <c r="E126" s="38" t="s">
        <v>3056</v>
      </c>
      <c r="F126" s="45" t="s">
        <v>3057</v>
      </c>
      <c r="G126" s="45" t="s">
        <v>3058</v>
      </c>
      <c r="H126" s="46" t="s">
        <v>2544</v>
      </c>
      <c r="I126" s="45" t="s">
        <v>3059</v>
      </c>
      <c r="J126" s="45" t="s">
        <v>2253</v>
      </c>
      <c r="K126" s="42">
        <v>7.3621928918776698E-3</v>
      </c>
      <c r="L126" s="64" t="s">
        <v>2546</v>
      </c>
      <c r="M126" s="99" t="s">
        <v>3821</v>
      </c>
    </row>
    <row r="127" spans="1:13">
      <c r="A127" s="46">
        <v>126</v>
      </c>
      <c r="B127" s="38" t="s">
        <v>3000</v>
      </c>
      <c r="C127" s="38" t="s">
        <v>2461</v>
      </c>
      <c r="D127" s="38" t="s">
        <v>3047</v>
      </c>
      <c r="E127" s="38" t="s">
        <v>3060</v>
      </c>
      <c r="F127" s="45" t="s">
        <v>3061</v>
      </c>
      <c r="G127" s="45" t="s">
        <v>3062</v>
      </c>
      <c r="H127" s="44" t="s">
        <v>2582</v>
      </c>
      <c r="I127" s="45" t="s">
        <v>3063</v>
      </c>
      <c r="J127" s="45" t="s">
        <v>2254</v>
      </c>
      <c r="K127" s="42">
        <v>1.13834529008781E-2</v>
      </c>
      <c r="L127" s="64" t="s">
        <v>2546</v>
      </c>
      <c r="M127" s="99" t="s">
        <v>3821</v>
      </c>
    </row>
    <row r="128" spans="1:13">
      <c r="A128" s="46">
        <v>127</v>
      </c>
      <c r="B128" s="38" t="s">
        <v>3000</v>
      </c>
      <c r="C128" s="38" t="s">
        <v>2461</v>
      </c>
      <c r="D128" s="38" t="s">
        <v>3064</v>
      </c>
      <c r="E128" s="38" t="s">
        <v>3065</v>
      </c>
      <c r="F128" s="45" t="s">
        <v>3066</v>
      </c>
      <c r="G128" s="45" t="s">
        <v>2702</v>
      </c>
      <c r="H128" s="44" t="s">
        <v>2582</v>
      </c>
      <c r="I128" s="45" t="s">
        <v>3067</v>
      </c>
      <c r="J128" s="45" t="s">
        <v>3881</v>
      </c>
      <c r="K128" s="42">
        <v>1.1142311509437799E-2</v>
      </c>
      <c r="L128" s="64" t="s">
        <v>2546</v>
      </c>
      <c r="M128" s="99" t="s">
        <v>1021</v>
      </c>
    </row>
    <row r="129" spans="1:13">
      <c r="A129" s="46">
        <v>128</v>
      </c>
      <c r="B129" s="38" t="s">
        <v>3000</v>
      </c>
      <c r="C129" s="38" t="s">
        <v>2461</v>
      </c>
      <c r="D129" s="38" t="s">
        <v>3064</v>
      </c>
      <c r="E129" s="38" t="s">
        <v>3068</v>
      </c>
      <c r="F129" s="45" t="s">
        <v>3069</v>
      </c>
      <c r="G129" s="45" t="s">
        <v>3070</v>
      </c>
      <c r="H129" s="44" t="s">
        <v>2567</v>
      </c>
      <c r="I129" s="45" t="s">
        <v>3071</v>
      </c>
      <c r="J129" s="45" t="s">
        <v>2255</v>
      </c>
      <c r="K129" s="42">
        <v>1.1142311509437799E-2</v>
      </c>
      <c r="L129" s="64" t="s">
        <v>2546</v>
      </c>
      <c r="M129" s="99" t="s">
        <v>3821</v>
      </c>
    </row>
    <row r="130" spans="1:13">
      <c r="A130" s="46">
        <v>129</v>
      </c>
      <c r="B130" s="38" t="s">
        <v>3000</v>
      </c>
      <c r="C130" s="38" t="s">
        <v>2461</v>
      </c>
      <c r="D130" s="38" t="s">
        <v>3064</v>
      </c>
      <c r="E130" s="38" t="s">
        <v>3072</v>
      </c>
      <c r="F130" s="45" t="s">
        <v>3073</v>
      </c>
      <c r="G130" s="45" t="s">
        <v>3074</v>
      </c>
      <c r="H130" s="44" t="s">
        <v>2567</v>
      </c>
      <c r="I130" s="45" t="s">
        <v>3075</v>
      </c>
      <c r="J130" s="45" t="s">
        <v>3880</v>
      </c>
      <c r="K130" s="42">
        <v>1.1763142700447199E-2</v>
      </c>
      <c r="L130" s="64" t="s">
        <v>2546</v>
      </c>
      <c r="M130" s="99" t="s">
        <v>459</v>
      </c>
    </row>
    <row r="131" spans="1:13">
      <c r="A131" s="46">
        <v>130</v>
      </c>
      <c r="B131" s="38" t="s">
        <v>3000</v>
      </c>
      <c r="C131" s="38" t="s">
        <v>2461</v>
      </c>
      <c r="D131" s="38" t="s">
        <v>3076</v>
      </c>
      <c r="E131" s="38" t="s">
        <v>3077</v>
      </c>
      <c r="F131" s="45" t="s">
        <v>3078</v>
      </c>
      <c r="G131" s="45" t="s">
        <v>2702</v>
      </c>
      <c r="H131" s="44" t="s">
        <v>2582</v>
      </c>
      <c r="I131" s="45" t="s">
        <v>3079</v>
      </c>
      <c r="J131" s="45" t="s">
        <v>3878</v>
      </c>
      <c r="K131" s="42">
        <v>3.3112395868024398E-2</v>
      </c>
      <c r="L131" s="64" t="s">
        <v>2546</v>
      </c>
      <c r="M131" s="99" t="s">
        <v>1021</v>
      </c>
    </row>
    <row r="132" spans="1:13">
      <c r="A132" s="46">
        <v>131</v>
      </c>
      <c r="B132" s="38" t="s">
        <v>3000</v>
      </c>
      <c r="C132" s="38" t="s">
        <v>2461</v>
      </c>
      <c r="D132" s="38" t="s">
        <v>3076</v>
      </c>
      <c r="E132" s="38" t="s">
        <v>3080</v>
      </c>
      <c r="F132" s="45" t="s">
        <v>3081</v>
      </c>
      <c r="G132" s="45" t="s">
        <v>3082</v>
      </c>
      <c r="H132" s="44" t="s">
        <v>2582</v>
      </c>
      <c r="I132" s="45" t="s">
        <v>3083</v>
      </c>
      <c r="J132" s="45" t="s">
        <v>3879</v>
      </c>
      <c r="K132" s="42">
        <v>3.3112395868024398E-2</v>
      </c>
      <c r="L132" s="64" t="s">
        <v>2546</v>
      </c>
      <c r="M132" s="99" t="s">
        <v>268</v>
      </c>
    </row>
    <row r="133" spans="1:13">
      <c r="A133" s="46">
        <v>132</v>
      </c>
      <c r="B133" s="38" t="s">
        <v>3000</v>
      </c>
      <c r="C133" s="38" t="s">
        <v>2461</v>
      </c>
      <c r="D133" s="38" t="s">
        <v>3076</v>
      </c>
      <c r="E133" s="38" t="s">
        <v>3084</v>
      </c>
      <c r="F133" s="45" t="s">
        <v>3085</v>
      </c>
      <c r="G133" s="45" t="s">
        <v>3086</v>
      </c>
      <c r="H133" s="44" t="s">
        <v>2567</v>
      </c>
      <c r="I133" s="45" t="s">
        <v>3882</v>
      </c>
      <c r="J133" s="45" t="s">
        <v>2256</v>
      </c>
      <c r="K133" s="42">
        <v>3.3112395868024398E-2</v>
      </c>
      <c r="L133" s="64" t="s">
        <v>2546</v>
      </c>
      <c r="M133" s="99" t="s">
        <v>3883</v>
      </c>
    </row>
    <row r="134" spans="1:13">
      <c r="A134" s="46">
        <v>133</v>
      </c>
      <c r="B134" s="38" t="s">
        <v>3000</v>
      </c>
      <c r="C134" s="38" t="s">
        <v>2461</v>
      </c>
      <c r="D134" s="38" t="s">
        <v>3087</v>
      </c>
      <c r="E134" s="38"/>
      <c r="F134" s="45" t="s">
        <v>3088</v>
      </c>
      <c r="G134" s="45" t="s">
        <v>3089</v>
      </c>
      <c r="H134" s="44" t="s">
        <v>2567</v>
      </c>
      <c r="I134" s="45" t="s">
        <v>3090</v>
      </c>
      <c r="J134" s="45" t="s">
        <v>3884</v>
      </c>
      <c r="K134" s="42">
        <v>6.0085644934639602E-2</v>
      </c>
      <c r="L134" s="64" t="s">
        <v>2546</v>
      </c>
      <c r="M134" s="99" t="s">
        <v>567</v>
      </c>
    </row>
    <row r="135" spans="1:13">
      <c r="A135" s="46">
        <v>134</v>
      </c>
      <c r="B135" s="38" t="s">
        <v>3000</v>
      </c>
      <c r="C135" s="38" t="s">
        <v>2461</v>
      </c>
      <c r="D135" s="38" t="s">
        <v>3091</v>
      </c>
      <c r="E135" s="38"/>
      <c r="F135" s="45" t="s">
        <v>3092</v>
      </c>
      <c r="G135" s="45" t="s">
        <v>3093</v>
      </c>
      <c r="H135" s="46" t="s">
        <v>2544</v>
      </c>
      <c r="I135" s="45" t="s">
        <v>3094</v>
      </c>
      <c r="J135" s="45" t="s">
        <v>2257</v>
      </c>
      <c r="K135" s="42">
        <v>3.52188394959672E-2</v>
      </c>
      <c r="L135" s="64" t="s">
        <v>2546</v>
      </c>
      <c r="M135" s="99" t="s">
        <v>3821</v>
      </c>
    </row>
    <row r="136" spans="1:13">
      <c r="A136" s="46">
        <v>135</v>
      </c>
      <c r="B136" s="38" t="s">
        <v>3000</v>
      </c>
      <c r="C136" s="38" t="s">
        <v>2461</v>
      </c>
      <c r="D136" s="38" t="s">
        <v>3095</v>
      </c>
      <c r="E136" s="38"/>
      <c r="F136" s="45" t="s">
        <v>3096</v>
      </c>
      <c r="G136" s="45" t="s">
        <v>2702</v>
      </c>
      <c r="H136" s="44" t="s">
        <v>2582</v>
      </c>
      <c r="I136" s="45" t="s">
        <v>3097</v>
      </c>
      <c r="J136" s="45" t="s">
        <v>2258</v>
      </c>
      <c r="K136" s="42">
        <v>3.3112395868024398E-2</v>
      </c>
      <c r="L136" s="64" t="s">
        <v>2546</v>
      </c>
      <c r="M136" s="99" t="s">
        <v>3885</v>
      </c>
    </row>
    <row r="137" spans="1:13">
      <c r="A137" s="46">
        <v>136</v>
      </c>
      <c r="B137" s="38" t="s">
        <v>3000</v>
      </c>
      <c r="C137" s="38" t="s">
        <v>2461</v>
      </c>
      <c r="D137" s="38" t="s">
        <v>3098</v>
      </c>
      <c r="E137" s="38"/>
      <c r="F137" s="45" t="s">
        <v>3099</v>
      </c>
      <c r="G137" s="45" t="s">
        <v>3100</v>
      </c>
      <c r="H137" s="44" t="s">
        <v>2582</v>
      </c>
      <c r="I137" s="45" t="s">
        <v>3101</v>
      </c>
      <c r="J137" s="45" t="s">
        <v>2259</v>
      </c>
      <c r="K137" s="42">
        <v>3.3112395868024398E-2</v>
      </c>
      <c r="L137" s="64" t="s">
        <v>2546</v>
      </c>
      <c r="M137" s="99" t="s">
        <v>3821</v>
      </c>
    </row>
    <row r="138" spans="1:13">
      <c r="A138" s="46">
        <v>132</v>
      </c>
      <c r="B138" s="38" t="s">
        <v>2468</v>
      </c>
      <c r="C138" s="38" t="s">
        <v>2468</v>
      </c>
      <c r="D138" s="38" t="s">
        <v>3102</v>
      </c>
      <c r="E138" s="38" t="s">
        <v>3102</v>
      </c>
      <c r="F138" s="45" t="s">
        <v>3103</v>
      </c>
      <c r="G138" s="45" t="s">
        <v>3104</v>
      </c>
      <c r="H138" s="44" t="s">
        <v>2567</v>
      </c>
      <c r="I138" s="45" t="s">
        <v>3886</v>
      </c>
      <c r="J138" s="45" t="s">
        <v>2260</v>
      </c>
      <c r="K138" s="42">
        <v>6.2E-2</v>
      </c>
      <c r="L138" s="65"/>
      <c r="M138" s="99" t="s">
        <v>467</v>
      </c>
    </row>
    <row r="139" spans="1:13">
      <c r="A139" s="46">
        <v>133</v>
      </c>
      <c r="B139" s="38" t="s">
        <v>2468</v>
      </c>
      <c r="C139" s="38" t="s">
        <v>2468</v>
      </c>
      <c r="D139" s="38" t="s">
        <v>3105</v>
      </c>
      <c r="E139" s="38" t="s">
        <v>3106</v>
      </c>
      <c r="F139" s="45" t="s">
        <v>3107</v>
      </c>
      <c r="G139" s="45" t="s">
        <v>3108</v>
      </c>
      <c r="H139" s="44" t="s">
        <v>2582</v>
      </c>
      <c r="I139" s="45" t="s">
        <v>3109</v>
      </c>
      <c r="J139" s="45" t="s">
        <v>3888</v>
      </c>
      <c r="K139" s="42">
        <v>2.22987642861927E-2</v>
      </c>
      <c r="L139" s="65"/>
      <c r="M139" s="99" t="s">
        <v>1018</v>
      </c>
    </row>
    <row r="140" spans="1:13">
      <c r="A140" s="46">
        <v>134</v>
      </c>
      <c r="B140" s="38" t="s">
        <v>2468</v>
      </c>
      <c r="C140" s="38" t="s">
        <v>2468</v>
      </c>
      <c r="D140" s="38" t="s">
        <v>3105</v>
      </c>
      <c r="E140" s="38" t="s">
        <v>3110</v>
      </c>
      <c r="F140" s="45" t="s">
        <v>3111</v>
      </c>
      <c r="G140" s="45" t="s">
        <v>3112</v>
      </c>
      <c r="H140" s="44" t="s">
        <v>2582</v>
      </c>
      <c r="I140" s="45" t="s">
        <v>3889</v>
      </c>
      <c r="J140" s="45" t="s">
        <v>3887</v>
      </c>
      <c r="K140" s="42">
        <v>2.96810598359705E-2</v>
      </c>
      <c r="L140" s="65"/>
      <c r="M140" s="99" t="s">
        <v>459</v>
      </c>
    </row>
    <row r="141" spans="1:13">
      <c r="A141" s="46">
        <v>135</v>
      </c>
      <c r="B141" s="38" t="s">
        <v>2468</v>
      </c>
      <c r="C141" s="38" t="s">
        <v>2468</v>
      </c>
      <c r="D141" s="38" t="s">
        <v>2616</v>
      </c>
      <c r="E141" s="38" t="s">
        <v>3113</v>
      </c>
      <c r="F141" s="45" t="s">
        <v>3114</v>
      </c>
      <c r="G141" s="45" t="s">
        <v>3115</v>
      </c>
      <c r="H141" s="44" t="s">
        <v>2567</v>
      </c>
      <c r="I141" s="45" t="s">
        <v>3116</v>
      </c>
      <c r="J141" s="45" t="s">
        <v>2261</v>
      </c>
      <c r="K141" s="42">
        <v>2.3622335038244999E-2</v>
      </c>
      <c r="L141" s="65"/>
      <c r="M141" s="99" t="s">
        <v>3821</v>
      </c>
    </row>
    <row r="142" spans="1:13">
      <c r="A142" s="46">
        <v>136</v>
      </c>
      <c r="B142" s="38" t="s">
        <v>2468</v>
      </c>
      <c r="C142" s="38" t="s">
        <v>2468</v>
      </c>
      <c r="D142" s="38" t="s">
        <v>2616</v>
      </c>
      <c r="E142" s="38" t="s">
        <v>3117</v>
      </c>
      <c r="F142" s="45" t="s">
        <v>3118</v>
      </c>
      <c r="G142" s="45" t="s">
        <v>3119</v>
      </c>
      <c r="H142" s="44" t="s">
        <v>2567</v>
      </c>
      <c r="I142" s="45" t="s">
        <v>3120</v>
      </c>
      <c r="J142" s="45" t="s">
        <v>2262</v>
      </c>
      <c r="K142" s="42">
        <v>2.15299341578583E-2</v>
      </c>
      <c r="L142" s="65"/>
      <c r="M142" s="99" t="s">
        <v>1030</v>
      </c>
    </row>
    <row r="143" spans="1:13">
      <c r="A143" s="46">
        <v>132</v>
      </c>
      <c r="B143" s="38" t="s">
        <v>2468</v>
      </c>
      <c r="C143" s="38" t="s">
        <v>2468</v>
      </c>
      <c r="D143" s="38" t="s">
        <v>2616</v>
      </c>
      <c r="E143" s="38" t="s">
        <v>3121</v>
      </c>
      <c r="F143" s="45" t="s">
        <v>3122</v>
      </c>
      <c r="G143" s="45" t="s">
        <v>3123</v>
      </c>
      <c r="H143" s="44" t="s">
        <v>2567</v>
      </c>
      <c r="I143" s="45" t="s">
        <v>3124</v>
      </c>
      <c r="J143" s="45" t="s">
        <v>2263</v>
      </c>
      <c r="K143" s="42">
        <v>2.53302712475185E-2</v>
      </c>
      <c r="L143" s="65"/>
      <c r="M143" s="99" t="s">
        <v>3821</v>
      </c>
    </row>
    <row r="144" spans="1:13">
      <c r="A144" s="46">
        <v>133</v>
      </c>
      <c r="B144" s="38" t="s">
        <v>2468</v>
      </c>
      <c r="C144" s="38" t="s">
        <v>2468</v>
      </c>
      <c r="D144" s="38" t="s">
        <v>2616</v>
      </c>
      <c r="E144" s="38" t="s">
        <v>3125</v>
      </c>
      <c r="F144" s="45" t="s">
        <v>3126</v>
      </c>
      <c r="G144" s="45" t="s">
        <v>3127</v>
      </c>
      <c r="H144" s="44" t="s">
        <v>2567</v>
      </c>
      <c r="I144" s="45" t="s">
        <v>3128</v>
      </c>
      <c r="J144" s="45" t="s">
        <v>2264</v>
      </c>
      <c r="K144" s="42">
        <v>3.2115234186285403E-2</v>
      </c>
      <c r="L144" s="65"/>
      <c r="M144" s="99" t="s">
        <v>3890</v>
      </c>
    </row>
    <row r="145" spans="1:13">
      <c r="A145" s="46">
        <v>134</v>
      </c>
      <c r="B145" s="38" t="s">
        <v>2431</v>
      </c>
      <c r="C145" s="38" t="s">
        <v>2431</v>
      </c>
      <c r="D145" s="38" t="s">
        <v>3129</v>
      </c>
      <c r="E145" s="38"/>
      <c r="F145" s="45" t="s">
        <v>3130</v>
      </c>
      <c r="G145" s="45" t="s">
        <v>3131</v>
      </c>
      <c r="H145" s="44" t="s">
        <v>2567</v>
      </c>
      <c r="I145" s="45" t="s">
        <v>3132</v>
      </c>
      <c r="J145" s="45" t="s">
        <v>2265</v>
      </c>
      <c r="K145" s="42">
        <v>3.1657299132297603E-2</v>
      </c>
      <c r="L145" s="65"/>
      <c r="M145" s="99" t="s">
        <v>3891</v>
      </c>
    </row>
    <row r="146" spans="1:13">
      <c r="A146" s="46">
        <v>135</v>
      </c>
      <c r="B146" s="38" t="s">
        <v>2431</v>
      </c>
      <c r="C146" s="38" t="s">
        <v>2431</v>
      </c>
      <c r="D146" s="38" t="s">
        <v>3133</v>
      </c>
      <c r="E146" s="38"/>
      <c r="F146" s="45" t="s">
        <v>3893</v>
      </c>
      <c r="G146" s="45" t="s">
        <v>3134</v>
      </c>
      <c r="H146" s="44" t="s">
        <v>2567</v>
      </c>
      <c r="I146" s="45" t="s">
        <v>3135</v>
      </c>
      <c r="J146" s="45" t="s">
        <v>2266</v>
      </c>
      <c r="K146" s="42">
        <v>2.3645038797297291E-2</v>
      </c>
      <c r="L146" s="65"/>
      <c r="M146" s="30" t="s">
        <v>966</v>
      </c>
    </row>
    <row r="147" spans="1:13">
      <c r="A147" s="46">
        <v>136</v>
      </c>
      <c r="B147" s="38" t="s">
        <v>2431</v>
      </c>
      <c r="C147" s="38" t="s">
        <v>2431</v>
      </c>
      <c r="D147" s="38" t="s">
        <v>3136</v>
      </c>
      <c r="E147" s="38"/>
      <c r="F147" s="45" t="s">
        <v>3137</v>
      </c>
      <c r="G147" s="45" t="s">
        <v>3138</v>
      </c>
      <c r="H147" s="44" t="s">
        <v>2567</v>
      </c>
      <c r="I147" s="45" t="s">
        <v>3139</v>
      </c>
      <c r="J147" s="45" t="s">
        <v>3892</v>
      </c>
      <c r="K147" s="42">
        <v>3.1513629532640808E-2</v>
      </c>
      <c r="L147" s="65"/>
      <c r="M147" s="98" t="s">
        <v>1030</v>
      </c>
    </row>
    <row r="148" spans="1:13">
      <c r="A148" s="46">
        <v>137</v>
      </c>
      <c r="B148" s="38" t="s">
        <v>2431</v>
      </c>
      <c r="C148" s="38" t="s">
        <v>2431</v>
      </c>
      <c r="D148" s="38" t="s">
        <v>3140</v>
      </c>
      <c r="E148" s="38"/>
      <c r="F148" s="45" t="s">
        <v>3141</v>
      </c>
      <c r="G148" s="45" t="s">
        <v>3142</v>
      </c>
      <c r="H148" s="44" t="s">
        <v>2567</v>
      </c>
      <c r="I148" s="45" t="s">
        <v>3143</v>
      </c>
      <c r="J148" s="45" t="s">
        <v>2267</v>
      </c>
      <c r="K148" s="42">
        <v>3.911805468446139E-2</v>
      </c>
      <c r="L148" s="65"/>
      <c r="M148" s="98" t="s">
        <v>3821</v>
      </c>
    </row>
    <row r="149" spans="1:13">
      <c r="A149" s="46">
        <v>138</v>
      </c>
      <c r="B149" s="38" t="s">
        <v>2431</v>
      </c>
      <c r="C149" s="38" t="s">
        <v>2431</v>
      </c>
      <c r="D149" s="38" t="s">
        <v>3144</v>
      </c>
      <c r="E149" s="38"/>
      <c r="F149" s="45" t="s">
        <v>3145</v>
      </c>
      <c r="G149" s="45" t="s">
        <v>3146</v>
      </c>
      <c r="H149" s="44" t="s">
        <v>2567</v>
      </c>
      <c r="I149" s="45" t="s">
        <v>3147</v>
      </c>
      <c r="J149" s="45" t="s">
        <v>2268</v>
      </c>
      <c r="K149" s="42">
        <v>3.2853466491161276E-2</v>
      </c>
      <c r="L149" s="65"/>
      <c r="M149" s="98" t="s">
        <v>264</v>
      </c>
    </row>
    <row r="150" spans="1:13">
      <c r="A150" s="46">
        <v>139</v>
      </c>
      <c r="B150" s="38" t="s">
        <v>2431</v>
      </c>
      <c r="C150" s="38" t="s">
        <v>2431</v>
      </c>
      <c r="D150" s="38" t="s">
        <v>3148</v>
      </c>
      <c r="E150" s="38"/>
      <c r="F150" s="45" t="s">
        <v>3149</v>
      </c>
      <c r="G150" s="45" t="s">
        <v>3150</v>
      </c>
      <c r="H150" s="44" t="s">
        <v>2567</v>
      </c>
      <c r="I150" s="45" t="s">
        <v>3151</v>
      </c>
      <c r="J150" s="45" t="s">
        <v>2269</v>
      </c>
      <c r="K150" s="42">
        <v>3.5884748390886179E-2</v>
      </c>
      <c r="L150" s="65"/>
      <c r="M150" s="98" t="s">
        <v>1019</v>
      </c>
    </row>
    <row r="151" spans="1:13">
      <c r="A151" s="46">
        <v>140</v>
      </c>
      <c r="B151" s="38" t="s">
        <v>2431</v>
      </c>
      <c r="C151" s="38" t="s">
        <v>2431</v>
      </c>
      <c r="D151" s="38" t="s">
        <v>3152</v>
      </c>
      <c r="E151" s="38"/>
      <c r="F151" s="45" t="s">
        <v>3153</v>
      </c>
      <c r="G151" s="45" t="s">
        <v>3154</v>
      </c>
      <c r="H151" s="56" t="s">
        <v>2544</v>
      </c>
      <c r="I151" s="45" t="s">
        <v>3155</v>
      </c>
      <c r="J151" s="45" t="s">
        <v>2270</v>
      </c>
      <c r="K151" s="42">
        <v>1.7114115111681594E-2</v>
      </c>
      <c r="L151" s="65"/>
      <c r="M151" s="98" t="s">
        <v>459</v>
      </c>
    </row>
    <row r="152" spans="1:13">
      <c r="A152" s="46">
        <v>141</v>
      </c>
      <c r="B152" s="38" t="s">
        <v>2431</v>
      </c>
      <c r="C152" s="38" t="s">
        <v>2431</v>
      </c>
      <c r="D152" s="38" t="s">
        <v>3156</v>
      </c>
      <c r="E152" s="38"/>
      <c r="F152" s="45" t="s">
        <v>3157</v>
      </c>
      <c r="G152" s="45" t="s">
        <v>3158</v>
      </c>
      <c r="H152" s="46" t="s">
        <v>2544</v>
      </c>
      <c r="I152" s="45" t="s">
        <v>3159</v>
      </c>
      <c r="J152" s="45" t="s">
        <v>2271</v>
      </c>
      <c r="K152" s="42">
        <v>2.466922861478249E-2</v>
      </c>
      <c r="L152" s="65"/>
      <c r="M152" s="30" t="s">
        <v>3450</v>
      </c>
    </row>
    <row r="153" spans="1:13">
      <c r="A153" s="46">
        <v>142</v>
      </c>
      <c r="B153" s="38" t="s">
        <v>2431</v>
      </c>
      <c r="C153" s="38" t="s">
        <v>2431</v>
      </c>
      <c r="D153" s="38" t="s">
        <v>3160</v>
      </c>
      <c r="E153" s="38"/>
      <c r="F153" s="45" t="s">
        <v>3161</v>
      </c>
      <c r="G153" s="45" t="s">
        <v>3162</v>
      </c>
      <c r="H153" s="44" t="s">
        <v>2567</v>
      </c>
      <c r="I153" s="45" t="s">
        <v>3163</v>
      </c>
      <c r="J153" s="45" t="s">
        <v>2272</v>
      </c>
      <c r="K153" s="42">
        <v>5.9234096936231051E-2</v>
      </c>
      <c r="L153" s="65"/>
    </row>
    <row r="154" spans="1:13">
      <c r="A154" s="46">
        <v>143</v>
      </c>
      <c r="B154" s="38" t="s">
        <v>2431</v>
      </c>
      <c r="C154" s="38" t="s">
        <v>2431</v>
      </c>
      <c r="D154" s="38" t="s">
        <v>3164</v>
      </c>
      <c r="E154" s="38"/>
      <c r="F154" s="45" t="s">
        <v>3165</v>
      </c>
      <c r="G154" s="45" t="s">
        <v>3166</v>
      </c>
      <c r="H154" s="46" t="s">
        <v>2544</v>
      </c>
      <c r="I154" s="45" t="s">
        <v>3167</v>
      </c>
      <c r="J154" s="45" t="s">
        <v>2273</v>
      </c>
      <c r="K154" s="42">
        <v>2.845085350097909E-2</v>
      </c>
      <c r="L154" s="65"/>
    </row>
    <row r="155" spans="1:13">
      <c r="A155" s="46">
        <v>144</v>
      </c>
      <c r="B155" s="38" t="s">
        <v>2431</v>
      </c>
      <c r="C155" s="38" t="s">
        <v>2431</v>
      </c>
      <c r="D155" s="38" t="s">
        <v>3168</v>
      </c>
      <c r="E155" s="38"/>
      <c r="F155" s="45" t="s">
        <v>3169</v>
      </c>
      <c r="G155" s="45" t="s">
        <v>3170</v>
      </c>
      <c r="H155" s="56" t="s">
        <v>2544</v>
      </c>
      <c r="I155" s="45" t="s">
        <v>3171</v>
      </c>
      <c r="J155" s="45" t="s">
        <v>2274</v>
      </c>
      <c r="K155" s="42">
        <v>3.1095536111776179E-2</v>
      </c>
      <c r="L155" s="65"/>
    </row>
    <row r="156" spans="1:13">
      <c r="A156" s="46">
        <v>145</v>
      </c>
      <c r="B156" s="38" t="s">
        <v>2431</v>
      </c>
      <c r="C156" s="38" t="s">
        <v>2431</v>
      </c>
      <c r="D156" s="38" t="s">
        <v>3172</v>
      </c>
      <c r="E156" s="38"/>
      <c r="F156" s="45" t="s">
        <v>3173</v>
      </c>
      <c r="G156" s="45" t="s">
        <v>3174</v>
      </c>
      <c r="H156" s="56" t="s">
        <v>2544</v>
      </c>
      <c r="I156" s="45" t="s">
        <v>3175</v>
      </c>
      <c r="J156" s="45" t="s">
        <v>2275</v>
      </c>
      <c r="K156" s="42">
        <v>2.2327824176764821E-2</v>
      </c>
      <c r="L156" s="65"/>
    </row>
    <row r="157" spans="1:13">
      <c r="A157" s="46">
        <v>146</v>
      </c>
      <c r="B157" s="38" t="s">
        <v>2431</v>
      </c>
      <c r="C157" s="38" t="s">
        <v>2431</v>
      </c>
      <c r="D157" s="38" t="s">
        <v>3176</v>
      </c>
      <c r="E157" s="38"/>
      <c r="F157" s="45" t="s">
        <v>3177</v>
      </c>
      <c r="G157" s="45" t="s">
        <v>3178</v>
      </c>
      <c r="H157" s="56" t="s">
        <v>2544</v>
      </c>
      <c r="I157" s="45" t="s">
        <v>3179</v>
      </c>
      <c r="J157" s="45" t="s">
        <v>2276</v>
      </c>
      <c r="K157" s="42">
        <v>4.1484440988818649E-2</v>
      </c>
      <c r="L157" s="65"/>
    </row>
    <row r="158" spans="1:13">
      <c r="A158" s="46">
        <v>147</v>
      </c>
      <c r="B158" s="57" t="s">
        <v>2443</v>
      </c>
      <c r="C158" s="57" t="s">
        <v>2443</v>
      </c>
      <c r="D158" s="57" t="s">
        <v>3180</v>
      </c>
      <c r="E158" s="57"/>
      <c r="F158" s="58" t="s">
        <v>3181</v>
      </c>
      <c r="G158" s="58" t="s">
        <v>3182</v>
      </c>
      <c r="H158" s="44" t="s">
        <v>2567</v>
      </c>
      <c r="I158" s="58" t="s">
        <v>3183</v>
      </c>
      <c r="J158" s="58" t="s">
        <v>2277</v>
      </c>
      <c r="K158" s="42">
        <v>3.12255252955673E-2</v>
      </c>
      <c r="L158" s="65"/>
      <c r="M158" s="30" t="s">
        <v>3806</v>
      </c>
    </row>
    <row r="159" spans="1:13">
      <c r="A159" s="46">
        <v>148</v>
      </c>
      <c r="B159" s="57" t="s">
        <v>2443</v>
      </c>
      <c r="C159" s="57" t="s">
        <v>2443</v>
      </c>
      <c r="D159" s="57" t="s">
        <v>3184</v>
      </c>
      <c r="E159" s="57"/>
      <c r="F159" s="58" t="s">
        <v>3185</v>
      </c>
      <c r="G159" s="58" t="s">
        <v>3186</v>
      </c>
      <c r="H159" s="59" t="s">
        <v>2544</v>
      </c>
      <c r="I159" s="58" t="s">
        <v>3187</v>
      </c>
      <c r="J159" s="58" t="s">
        <v>2278</v>
      </c>
      <c r="K159" s="42">
        <v>3.12255252955673E-2</v>
      </c>
      <c r="L159" s="65"/>
    </row>
    <row r="160" spans="1:13">
      <c r="A160" s="46">
        <v>149</v>
      </c>
      <c r="B160" s="57" t="s">
        <v>2443</v>
      </c>
      <c r="C160" s="57" t="s">
        <v>2443</v>
      </c>
      <c r="D160" s="57" t="s">
        <v>3188</v>
      </c>
      <c r="E160" s="57"/>
      <c r="F160" s="58" t="s">
        <v>3189</v>
      </c>
      <c r="G160" s="58" t="s">
        <v>3190</v>
      </c>
      <c r="H160" s="44" t="s">
        <v>2567</v>
      </c>
      <c r="I160" s="58" t="s">
        <v>3191</v>
      </c>
      <c r="J160" s="58" t="s">
        <v>2279</v>
      </c>
      <c r="K160" s="42">
        <v>3.12255252955673E-2</v>
      </c>
      <c r="L160" s="65"/>
      <c r="M160" s="30" t="s">
        <v>3806</v>
      </c>
    </row>
    <row r="161" spans="1:13">
      <c r="A161" s="46">
        <v>150</v>
      </c>
      <c r="B161" s="57" t="s">
        <v>2443</v>
      </c>
      <c r="C161" s="57" t="s">
        <v>2443</v>
      </c>
      <c r="D161" s="57" t="s">
        <v>3192</v>
      </c>
      <c r="E161" s="57"/>
      <c r="F161" s="58" t="s">
        <v>3193</v>
      </c>
      <c r="G161" s="58" t="s">
        <v>3194</v>
      </c>
      <c r="H161" s="44" t="s">
        <v>2567</v>
      </c>
      <c r="I161" s="58" t="s">
        <v>3195</v>
      </c>
      <c r="J161" s="58" t="s">
        <v>2280</v>
      </c>
      <c r="K161" s="42">
        <v>3.12255252955673E-2</v>
      </c>
      <c r="L161" s="65"/>
    </row>
    <row r="162" spans="1:13">
      <c r="A162" s="46">
        <v>151</v>
      </c>
      <c r="B162" s="57" t="s">
        <v>2443</v>
      </c>
      <c r="C162" s="57" t="s">
        <v>2443</v>
      </c>
      <c r="D162" s="57" t="s">
        <v>3196</v>
      </c>
      <c r="E162" s="57"/>
      <c r="F162" s="58" t="s">
        <v>3197</v>
      </c>
      <c r="G162" s="58" t="s">
        <v>3198</v>
      </c>
      <c r="H162" s="44" t="s">
        <v>2567</v>
      </c>
      <c r="I162" s="58" t="s">
        <v>3199</v>
      </c>
      <c r="J162" s="58" t="s">
        <v>2281</v>
      </c>
      <c r="K162" s="42">
        <v>3.12255252955673E-2</v>
      </c>
      <c r="L162" s="65"/>
      <c r="M162" s="30" t="s">
        <v>3806</v>
      </c>
    </row>
    <row r="163" spans="1:13">
      <c r="A163" s="46">
        <v>152</v>
      </c>
      <c r="B163" s="57" t="s">
        <v>2443</v>
      </c>
      <c r="C163" s="57" t="s">
        <v>2443</v>
      </c>
      <c r="D163" s="57" t="s">
        <v>3200</v>
      </c>
      <c r="E163" s="57"/>
      <c r="F163" s="58" t="s">
        <v>3201</v>
      </c>
      <c r="G163" s="58" t="s">
        <v>3202</v>
      </c>
      <c r="H163" s="44" t="s">
        <v>2567</v>
      </c>
      <c r="I163" s="58" t="s">
        <v>3203</v>
      </c>
      <c r="J163" s="58" t="s">
        <v>2282</v>
      </c>
      <c r="K163" s="42">
        <v>3.12255252955673E-2</v>
      </c>
      <c r="L163" s="65"/>
      <c r="M163" s="30" t="s">
        <v>3806</v>
      </c>
    </row>
    <row r="164" spans="1:13">
      <c r="A164" s="46">
        <v>153</v>
      </c>
      <c r="B164" s="57" t="s">
        <v>2443</v>
      </c>
      <c r="C164" s="57" t="s">
        <v>2443</v>
      </c>
      <c r="D164" s="57" t="s">
        <v>2973</v>
      </c>
      <c r="E164" s="57"/>
      <c r="F164" s="58" t="s">
        <v>3204</v>
      </c>
      <c r="G164" s="58" t="s">
        <v>3205</v>
      </c>
      <c r="H164" s="59" t="s">
        <v>2544</v>
      </c>
      <c r="I164" s="58" t="s">
        <v>3206</v>
      </c>
      <c r="J164" s="58" t="s">
        <v>2283</v>
      </c>
      <c r="K164" s="42">
        <v>3.12255252955673E-2</v>
      </c>
      <c r="L164" s="65"/>
    </row>
    <row r="165" spans="1:13">
      <c r="A165" s="46">
        <v>154</v>
      </c>
      <c r="B165" s="38" t="s">
        <v>2429</v>
      </c>
      <c r="C165" s="38" t="s">
        <v>2429</v>
      </c>
      <c r="D165" s="38" t="s">
        <v>3207</v>
      </c>
      <c r="E165" s="38"/>
      <c r="F165" s="60" t="s">
        <v>3208</v>
      </c>
      <c r="G165" s="45" t="s">
        <v>2823</v>
      </c>
      <c r="H165" s="44" t="s">
        <v>2582</v>
      </c>
      <c r="I165" s="45" t="s">
        <v>3209</v>
      </c>
      <c r="J165" s="45" t="s">
        <v>2284</v>
      </c>
      <c r="K165" s="42">
        <v>2.74189683584996E-2</v>
      </c>
      <c r="L165" s="66" t="s">
        <v>913</v>
      </c>
      <c r="M165" s="30" t="s">
        <v>3807</v>
      </c>
    </row>
    <row r="166" spans="1:13" ht="22.5">
      <c r="A166" s="46">
        <v>155</v>
      </c>
      <c r="B166" s="38" t="s">
        <v>2429</v>
      </c>
      <c r="C166" s="38" t="s">
        <v>2429</v>
      </c>
      <c r="D166" s="38" t="s">
        <v>3210</v>
      </c>
      <c r="E166" s="38"/>
      <c r="F166" s="60" t="s">
        <v>3211</v>
      </c>
      <c r="G166" s="45" t="s">
        <v>3212</v>
      </c>
      <c r="H166" s="44" t="s">
        <v>2582</v>
      </c>
      <c r="I166" s="45" t="s">
        <v>3213</v>
      </c>
      <c r="J166" s="60" t="s">
        <v>2285</v>
      </c>
      <c r="K166" s="42">
        <v>2.74189683584996E-2</v>
      </c>
      <c r="L166" s="66" t="s">
        <v>913</v>
      </c>
      <c r="M166" s="30" t="s">
        <v>894</v>
      </c>
    </row>
    <row r="167" spans="1:13">
      <c r="A167" s="46">
        <v>156</v>
      </c>
      <c r="B167" s="38" t="s">
        <v>2429</v>
      </c>
      <c r="C167" s="38" t="s">
        <v>2429</v>
      </c>
      <c r="D167" s="38" t="s">
        <v>3214</v>
      </c>
      <c r="E167" s="38"/>
      <c r="F167" s="60" t="s">
        <v>3215</v>
      </c>
      <c r="G167" s="45" t="s">
        <v>3216</v>
      </c>
      <c r="H167" s="44" t="s">
        <v>2544</v>
      </c>
      <c r="I167" s="45" t="s">
        <v>3217</v>
      </c>
      <c r="J167" s="45" t="s">
        <v>2286</v>
      </c>
      <c r="K167" s="42">
        <v>2.74189683584996E-2</v>
      </c>
      <c r="L167" s="66" t="s">
        <v>913</v>
      </c>
    </row>
    <row r="168" spans="1:13">
      <c r="A168" s="46">
        <v>157</v>
      </c>
      <c r="B168" s="38" t="s">
        <v>2429</v>
      </c>
      <c r="C168" s="38" t="s">
        <v>2429</v>
      </c>
      <c r="D168" s="38" t="s">
        <v>3218</v>
      </c>
      <c r="E168" s="38"/>
      <c r="F168" s="60" t="s">
        <v>3219</v>
      </c>
      <c r="G168" s="45" t="s">
        <v>3220</v>
      </c>
      <c r="H168" s="44" t="s">
        <v>2567</v>
      </c>
      <c r="I168" s="45" t="s">
        <v>3221</v>
      </c>
      <c r="J168" s="45" t="s">
        <v>2287</v>
      </c>
      <c r="K168" s="42">
        <v>2.74189683584996E-2</v>
      </c>
      <c r="L168" s="66" t="s">
        <v>913</v>
      </c>
    </row>
    <row r="169" spans="1:13">
      <c r="A169" s="46">
        <v>158</v>
      </c>
      <c r="B169" s="38" t="s">
        <v>2429</v>
      </c>
      <c r="C169" s="38" t="s">
        <v>2429</v>
      </c>
      <c r="D169" s="38" t="s">
        <v>3222</v>
      </c>
      <c r="E169" s="38"/>
      <c r="F169" s="60" t="s">
        <v>3223</v>
      </c>
      <c r="G169" s="45" t="s">
        <v>3224</v>
      </c>
      <c r="H169" s="44" t="s">
        <v>2567</v>
      </c>
      <c r="I169" s="45" t="s">
        <v>3225</v>
      </c>
      <c r="J169" s="45" t="s">
        <v>2288</v>
      </c>
      <c r="K169" s="42">
        <v>2.74189683584996E-2</v>
      </c>
      <c r="L169" s="66" t="s">
        <v>913</v>
      </c>
    </row>
    <row r="170" spans="1:13">
      <c r="A170" s="46">
        <v>159</v>
      </c>
      <c r="B170" s="38" t="s">
        <v>2429</v>
      </c>
      <c r="C170" s="38" t="s">
        <v>2429</v>
      </c>
      <c r="D170" s="38" t="s">
        <v>3226</v>
      </c>
      <c r="E170" s="38"/>
      <c r="F170" s="60" t="s">
        <v>3227</v>
      </c>
      <c r="G170" s="45" t="s">
        <v>3228</v>
      </c>
      <c r="H170" s="44" t="s">
        <v>2582</v>
      </c>
      <c r="I170" s="45" t="s">
        <v>3229</v>
      </c>
      <c r="J170" s="45" t="s">
        <v>2289</v>
      </c>
      <c r="K170" s="42">
        <v>2.74189683584996E-2</v>
      </c>
      <c r="L170" s="66" t="s">
        <v>913</v>
      </c>
    </row>
    <row r="171" spans="1:13">
      <c r="A171" s="46">
        <v>160</v>
      </c>
      <c r="B171" s="38" t="s">
        <v>2429</v>
      </c>
      <c r="C171" s="38" t="s">
        <v>2429</v>
      </c>
      <c r="D171" s="38" t="s">
        <v>3230</v>
      </c>
      <c r="E171" s="38"/>
      <c r="F171" s="60" t="s">
        <v>3231</v>
      </c>
      <c r="G171" s="45" t="s">
        <v>2823</v>
      </c>
      <c r="H171" s="44" t="s">
        <v>2582</v>
      </c>
      <c r="I171" s="45" t="s">
        <v>3232</v>
      </c>
      <c r="J171" s="45" t="s">
        <v>2290</v>
      </c>
      <c r="K171" s="42">
        <v>2.74189683584996E-2</v>
      </c>
      <c r="L171" s="66" t="s">
        <v>913</v>
      </c>
    </row>
    <row r="172" spans="1:13">
      <c r="A172" s="46">
        <v>161</v>
      </c>
      <c r="B172" s="38" t="s">
        <v>2429</v>
      </c>
      <c r="C172" s="38" t="s">
        <v>2429</v>
      </c>
      <c r="D172" s="38" t="s">
        <v>3233</v>
      </c>
      <c r="E172" s="38"/>
      <c r="F172" s="60" t="s">
        <v>3234</v>
      </c>
      <c r="G172" s="45" t="s">
        <v>3235</v>
      </c>
      <c r="H172" s="44" t="s">
        <v>2567</v>
      </c>
      <c r="I172" s="45" t="s">
        <v>3236</v>
      </c>
      <c r="J172" s="45" t="s">
        <v>2291</v>
      </c>
      <c r="K172" s="42">
        <v>2.74189683584996E-2</v>
      </c>
      <c r="L172" s="66" t="s">
        <v>913</v>
      </c>
    </row>
    <row r="173" spans="1:13">
      <c r="A173" s="46">
        <v>162</v>
      </c>
      <c r="B173" s="38" t="s">
        <v>2437</v>
      </c>
      <c r="C173" s="38" t="s">
        <v>2437</v>
      </c>
      <c r="D173" s="38" t="s">
        <v>3237</v>
      </c>
      <c r="E173" s="38" t="s">
        <v>3238</v>
      </c>
      <c r="F173" s="45" t="s">
        <v>3239</v>
      </c>
      <c r="G173" s="45" t="s">
        <v>3240</v>
      </c>
      <c r="H173" s="44" t="s">
        <v>2582</v>
      </c>
      <c r="I173" s="45" t="s">
        <v>3241</v>
      </c>
      <c r="J173" s="45" t="s">
        <v>2292</v>
      </c>
      <c r="K173" s="42">
        <v>2.6834874755905701E-2</v>
      </c>
      <c r="L173" s="66" t="s">
        <v>913</v>
      </c>
      <c r="M173" s="30" t="s">
        <v>3804</v>
      </c>
    </row>
    <row r="174" spans="1:13" ht="22.5">
      <c r="A174" s="46">
        <v>163</v>
      </c>
      <c r="B174" s="38" t="s">
        <v>2437</v>
      </c>
      <c r="C174" s="38" t="s">
        <v>2437</v>
      </c>
      <c r="D174" s="38" t="s">
        <v>3237</v>
      </c>
      <c r="E174" s="38" t="s">
        <v>2059</v>
      </c>
      <c r="F174" s="45" t="s">
        <v>3242</v>
      </c>
      <c r="G174" s="45" t="s">
        <v>2823</v>
      </c>
      <c r="H174" s="44" t="s">
        <v>2582</v>
      </c>
      <c r="I174" s="45" t="s">
        <v>3243</v>
      </c>
      <c r="J174" s="45" t="s">
        <v>2293</v>
      </c>
      <c r="K174" s="42">
        <v>2.6834874755905701E-2</v>
      </c>
      <c r="L174" s="66" t="s">
        <v>913</v>
      </c>
      <c r="M174" s="30" t="s">
        <v>3808</v>
      </c>
    </row>
    <row r="175" spans="1:13" ht="22.5">
      <c r="A175" s="46">
        <v>164</v>
      </c>
      <c r="B175" s="38" t="s">
        <v>2437</v>
      </c>
      <c r="C175" s="38" t="s">
        <v>2437</v>
      </c>
      <c r="D175" s="38" t="s">
        <v>3237</v>
      </c>
      <c r="E175" s="38" t="s">
        <v>3244</v>
      </c>
      <c r="F175" s="45" t="s">
        <v>3245</v>
      </c>
      <c r="G175" s="45" t="s">
        <v>3246</v>
      </c>
      <c r="H175" s="44" t="s">
        <v>2582</v>
      </c>
      <c r="I175" s="45" t="s">
        <v>3247</v>
      </c>
      <c r="J175" s="45" t="s">
        <v>2294</v>
      </c>
      <c r="K175" s="42">
        <v>2.6834874755905701E-2</v>
      </c>
      <c r="L175" s="66" t="s">
        <v>913</v>
      </c>
      <c r="M175" s="30" t="s">
        <v>3803</v>
      </c>
    </row>
    <row r="176" spans="1:13" ht="22.5">
      <c r="A176" s="46">
        <v>165</v>
      </c>
      <c r="B176" s="38" t="s">
        <v>2437</v>
      </c>
      <c r="C176" s="38" t="s">
        <v>2437</v>
      </c>
      <c r="D176" s="38" t="s">
        <v>3237</v>
      </c>
      <c r="E176" s="38" t="s">
        <v>2973</v>
      </c>
      <c r="F176" s="45" t="s">
        <v>3248</v>
      </c>
      <c r="G176" s="45" t="s">
        <v>3249</v>
      </c>
      <c r="H176" s="44" t="s">
        <v>2582</v>
      </c>
      <c r="I176" s="45" t="s">
        <v>3250</v>
      </c>
      <c r="J176" s="45" t="s">
        <v>2295</v>
      </c>
      <c r="K176" s="42">
        <v>2.6834874755905701E-2</v>
      </c>
      <c r="L176" s="66" t="s">
        <v>913</v>
      </c>
      <c r="M176" s="30" t="s">
        <v>852</v>
      </c>
    </row>
    <row r="177" spans="1:13" ht="22.5">
      <c r="A177" s="46">
        <v>166</v>
      </c>
      <c r="B177" s="38" t="s">
        <v>2437</v>
      </c>
      <c r="C177" s="38" t="s">
        <v>2437</v>
      </c>
      <c r="D177" s="38" t="s">
        <v>3251</v>
      </c>
      <c r="E177" s="38" t="s">
        <v>3252</v>
      </c>
      <c r="F177" s="45" t="s">
        <v>3253</v>
      </c>
      <c r="G177" s="45" t="s">
        <v>3254</v>
      </c>
      <c r="H177" s="44" t="s">
        <v>2567</v>
      </c>
      <c r="I177" s="45" t="s">
        <v>3255</v>
      </c>
      <c r="J177" s="45" t="s">
        <v>2296</v>
      </c>
      <c r="K177" s="42">
        <v>2.6834874755905701E-2</v>
      </c>
      <c r="L177" s="66" t="s">
        <v>913</v>
      </c>
      <c r="M177" s="30" t="s">
        <v>852</v>
      </c>
    </row>
    <row r="178" spans="1:13">
      <c r="A178" s="46">
        <v>167</v>
      </c>
      <c r="B178" s="38" t="s">
        <v>2437</v>
      </c>
      <c r="C178" s="38" t="s">
        <v>2437</v>
      </c>
      <c r="D178" s="38" t="s">
        <v>3251</v>
      </c>
      <c r="E178" s="38" t="s">
        <v>3238</v>
      </c>
      <c r="F178" s="45" t="s">
        <v>3256</v>
      </c>
      <c r="G178" s="45" t="s">
        <v>3240</v>
      </c>
      <c r="H178" s="44" t="s">
        <v>2582</v>
      </c>
      <c r="I178" s="45" t="s">
        <v>3257</v>
      </c>
      <c r="J178" s="45" t="s">
        <v>2297</v>
      </c>
      <c r="K178" s="42">
        <v>2.6834874755905701E-2</v>
      </c>
      <c r="L178" s="66" t="s">
        <v>913</v>
      </c>
      <c r="M178" s="30" t="s">
        <v>3804</v>
      </c>
    </row>
    <row r="179" spans="1:13">
      <c r="A179" s="46">
        <v>168</v>
      </c>
      <c r="B179" s="38" t="s">
        <v>2437</v>
      </c>
      <c r="C179" s="38" t="s">
        <v>2437</v>
      </c>
      <c r="D179" s="38" t="s">
        <v>3251</v>
      </c>
      <c r="E179" s="38" t="s">
        <v>3258</v>
      </c>
      <c r="F179" s="45" t="s">
        <v>3259</v>
      </c>
      <c r="G179" s="45" t="s">
        <v>3260</v>
      </c>
      <c r="H179" s="44" t="s">
        <v>2567</v>
      </c>
      <c r="I179" s="45" t="s">
        <v>3261</v>
      </c>
      <c r="J179" s="45" t="s">
        <v>2298</v>
      </c>
      <c r="K179" s="42">
        <v>2.6834874755905701E-2</v>
      </c>
      <c r="L179" s="66" t="s">
        <v>913</v>
      </c>
      <c r="M179" s="30" t="s">
        <v>3809</v>
      </c>
    </row>
    <row r="180" spans="1:13" ht="22.5">
      <c r="A180" s="46">
        <v>169</v>
      </c>
      <c r="B180" s="38" t="s">
        <v>2437</v>
      </c>
      <c r="C180" s="38" t="s">
        <v>2437</v>
      </c>
      <c r="D180" s="38" t="s">
        <v>3251</v>
      </c>
      <c r="E180" s="38" t="s">
        <v>3262</v>
      </c>
      <c r="F180" s="45" t="s">
        <v>3263</v>
      </c>
      <c r="G180" s="45" t="s">
        <v>3264</v>
      </c>
      <c r="H180" s="44" t="s">
        <v>2567</v>
      </c>
      <c r="I180" s="45" t="s">
        <v>3265</v>
      </c>
      <c r="J180" s="45" t="s">
        <v>2299</v>
      </c>
      <c r="K180" s="42">
        <v>2.6834874755905701E-2</v>
      </c>
      <c r="L180" s="66" t="s">
        <v>913</v>
      </c>
      <c r="M180" s="30" t="s">
        <v>5</v>
      </c>
    </row>
    <row r="181" spans="1:13">
      <c r="A181" s="46">
        <v>170</v>
      </c>
      <c r="B181" s="38" t="s">
        <v>3266</v>
      </c>
      <c r="C181" s="38" t="s">
        <v>1613</v>
      </c>
      <c r="D181" s="38" t="s">
        <v>3267</v>
      </c>
      <c r="E181" s="38" t="s">
        <v>3268</v>
      </c>
      <c r="F181" s="45" t="s">
        <v>3269</v>
      </c>
      <c r="G181" s="45" t="s">
        <v>3270</v>
      </c>
      <c r="H181" s="44" t="s">
        <v>2582</v>
      </c>
      <c r="I181" s="45" t="s">
        <v>3271</v>
      </c>
      <c r="J181" s="45" t="s">
        <v>2300</v>
      </c>
      <c r="K181" s="42">
        <v>2.6834874755905701E-2</v>
      </c>
      <c r="L181" s="64" t="s">
        <v>2546</v>
      </c>
      <c r="M181" s="30" t="s">
        <v>3810</v>
      </c>
    </row>
    <row r="182" spans="1:13">
      <c r="A182" s="46">
        <v>171</v>
      </c>
      <c r="B182" s="38" t="s">
        <v>3266</v>
      </c>
      <c r="C182" s="38" t="s">
        <v>1613</v>
      </c>
      <c r="D182" s="38" t="s">
        <v>3267</v>
      </c>
      <c r="E182" s="38" t="s">
        <v>3272</v>
      </c>
      <c r="F182" s="45" t="s">
        <v>3273</v>
      </c>
      <c r="G182" s="45" t="s">
        <v>2702</v>
      </c>
      <c r="H182" s="44" t="s">
        <v>2582</v>
      </c>
      <c r="I182" s="45" t="s">
        <v>3274</v>
      </c>
      <c r="J182" s="45" t="s">
        <v>2301</v>
      </c>
      <c r="K182" s="42">
        <v>2.6834874755905701E-2</v>
      </c>
      <c r="L182" s="64" t="s">
        <v>2546</v>
      </c>
      <c r="M182" s="30" t="s">
        <v>3811</v>
      </c>
    </row>
    <row r="183" spans="1:13">
      <c r="A183" s="46">
        <v>172</v>
      </c>
      <c r="B183" s="38" t="s">
        <v>3266</v>
      </c>
      <c r="C183" s="38" t="s">
        <v>1613</v>
      </c>
      <c r="D183" s="38" t="s">
        <v>3267</v>
      </c>
      <c r="E183" s="38" t="s">
        <v>3275</v>
      </c>
      <c r="F183" s="45" t="s">
        <v>3276</v>
      </c>
      <c r="G183" s="45" t="s">
        <v>3277</v>
      </c>
      <c r="H183" s="44" t="s">
        <v>2567</v>
      </c>
      <c r="I183" s="45" t="s">
        <v>3278</v>
      </c>
      <c r="J183" s="45" t="s">
        <v>2302</v>
      </c>
      <c r="K183" s="42">
        <v>2.6834874755905701E-2</v>
      </c>
      <c r="L183" s="64" t="s">
        <v>2546</v>
      </c>
      <c r="M183" s="30" t="s">
        <v>95</v>
      </c>
    </row>
    <row r="184" spans="1:13">
      <c r="A184" s="46">
        <v>173</v>
      </c>
      <c r="B184" s="38" t="s">
        <v>3266</v>
      </c>
      <c r="C184" s="38" t="s">
        <v>1613</v>
      </c>
      <c r="D184" s="38" t="s">
        <v>3267</v>
      </c>
      <c r="E184" s="38" t="s">
        <v>3279</v>
      </c>
      <c r="F184" s="45" t="s">
        <v>3280</v>
      </c>
      <c r="G184" s="45" t="s">
        <v>3281</v>
      </c>
      <c r="H184" s="44" t="s">
        <v>2567</v>
      </c>
      <c r="I184" s="45" t="s">
        <v>3282</v>
      </c>
      <c r="J184" s="45" t="s">
        <v>2303</v>
      </c>
      <c r="K184" s="42">
        <v>2.6834874755905701E-2</v>
      </c>
      <c r="L184" s="64" t="s">
        <v>2546</v>
      </c>
    </row>
    <row r="185" spans="1:13">
      <c r="A185" s="46">
        <v>174</v>
      </c>
      <c r="B185" s="38" t="s">
        <v>3266</v>
      </c>
      <c r="C185" s="38" t="s">
        <v>1613</v>
      </c>
      <c r="D185" s="38" t="s">
        <v>3283</v>
      </c>
      <c r="E185" s="38" t="s">
        <v>3284</v>
      </c>
      <c r="F185" s="45" t="s">
        <v>3285</v>
      </c>
      <c r="G185" s="45" t="s">
        <v>3286</v>
      </c>
      <c r="H185" s="44" t="s">
        <v>2567</v>
      </c>
      <c r="I185" s="45" t="s">
        <v>3287</v>
      </c>
      <c r="J185" s="45" t="s">
        <v>2304</v>
      </c>
      <c r="K185" s="42">
        <v>2.6834874755905701E-2</v>
      </c>
      <c r="L185" s="64" t="s">
        <v>2546</v>
      </c>
      <c r="M185" s="30" t="s">
        <v>3810</v>
      </c>
    </row>
    <row r="186" spans="1:13">
      <c r="A186" s="46">
        <v>175</v>
      </c>
      <c r="B186" s="38" t="s">
        <v>3266</v>
      </c>
      <c r="C186" s="38" t="s">
        <v>1613</v>
      </c>
      <c r="D186" s="38" t="s">
        <v>3283</v>
      </c>
      <c r="E186" s="38" t="s">
        <v>3288</v>
      </c>
      <c r="F186" s="45" t="s">
        <v>3289</v>
      </c>
      <c r="G186" s="45" t="s">
        <v>3290</v>
      </c>
      <c r="H186" s="44" t="s">
        <v>2567</v>
      </c>
      <c r="I186" s="45" t="s">
        <v>3291</v>
      </c>
      <c r="J186" s="45" t="s">
        <v>2305</v>
      </c>
      <c r="K186" s="42">
        <v>2.6834874755905701E-2</v>
      </c>
      <c r="L186" s="64" t="s">
        <v>2546</v>
      </c>
    </row>
    <row r="187" spans="1:13">
      <c r="A187" s="46">
        <v>176</v>
      </c>
      <c r="B187" s="38" t="s">
        <v>3266</v>
      </c>
      <c r="C187" s="38" t="s">
        <v>1613</v>
      </c>
      <c r="D187" s="38" t="s">
        <v>3283</v>
      </c>
      <c r="E187" s="38" t="s">
        <v>3292</v>
      </c>
      <c r="F187" s="45" t="s">
        <v>3293</v>
      </c>
      <c r="G187" s="45" t="s">
        <v>3294</v>
      </c>
      <c r="H187" s="44" t="s">
        <v>2567</v>
      </c>
      <c r="I187" s="45" t="s">
        <v>3295</v>
      </c>
      <c r="J187" s="45" t="s">
        <v>2306</v>
      </c>
      <c r="K187" s="42">
        <v>2.6834874755905701E-2</v>
      </c>
      <c r="L187" s="64" t="s">
        <v>2546</v>
      </c>
    </row>
    <row r="188" spans="1:13">
      <c r="A188" s="46">
        <v>177</v>
      </c>
      <c r="B188" s="38" t="s">
        <v>3266</v>
      </c>
      <c r="C188" s="38" t="s">
        <v>1613</v>
      </c>
      <c r="D188" s="38" t="s">
        <v>2789</v>
      </c>
      <c r="E188" s="38" t="s">
        <v>3296</v>
      </c>
      <c r="F188" s="45" t="s">
        <v>3297</v>
      </c>
      <c r="G188" s="45" t="s">
        <v>3298</v>
      </c>
      <c r="H188" s="44" t="s">
        <v>2567</v>
      </c>
      <c r="I188" s="45" t="s">
        <v>3299</v>
      </c>
      <c r="J188" s="45" t="s">
        <v>2307</v>
      </c>
      <c r="K188" s="42">
        <v>2.6834874755905701E-2</v>
      </c>
      <c r="L188" s="64" t="s">
        <v>2546</v>
      </c>
    </row>
    <row r="189" spans="1:13">
      <c r="A189" s="46">
        <v>178</v>
      </c>
      <c r="B189" s="38" t="s">
        <v>3266</v>
      </c>
      <c r="C189" s="38" t="s">
        <v>1613</v>
      </c>
      <c r="D189" s="38" t="s">
        <v>2789</v>
      </c>
      <c r="E189" s="38" t="s">
        <v>3300</v>
      </c>
      <c r="F189" s="45" t="s">
        <v>3301</v>
      </c>
      <c r="G189" s="45" t="s">
        <v>3302</v>
      </c>
      <c r="H189" s="44" t="s">
        <v>2567</v>
      </c>
      <c r="I189" s="45" t="s">
        <v>3303</v>
      </c>
      <c r="J189" s="45" t="s">
        <v>2308</v>
      </c>
      <c r="K189" s="42">
        <v>2.6834874755905701E-2</v>
      </c>
      <c r="L189" s="64" t="s">
        <v>2546</v>
      </c>
    </row>
    <row r="190" spans="1:13">
      <c r="A190" s="46">
        <v>179</v>
      </c>
      <c r="B190" s="38" t="s">
        <v>3266</v>
      </c>
      <c r="C190" s="38" t="s">
        <v>1613</v>
      </c>
      <c r="D190" s="38" t="s">
        <v>2789</v>
      </c>
      <c r="E190" s="38" t="s">
        <v>3304</v>
      </c>
      <c r="F190" s="45" t="s">
        <v>3305</v>
      </c>
      <c r="G190" s="45" t="s">
        <v>3306</v>
      </c>
      <c r="H190" s="44" t="s">
        <v>2582</v>
      </c>
      <c r="I190" s="45" t="s">
        <v>3307</v>
      </c>
      <c r="J190" s="45" t="s">
        <v>2309</v>
      </c>
      <c r="K190" s="42">
        <v>2.6834874755905701E-2</v>
      </c>
      <c r="L190" s="64" t="s">
        <v>2546</v>
      </c>
    </row>
    <row r="191" spans="1:13">
      <c r="A191" s="46">
        <v>180</v>
      </c>
      <c r="B191" s="38" t="s">
        <v>3266</v>
      </c>
      <c r="C191" s="38" t="s">
        <v>1613</v>
      </c>
      <c r="D191" s="38" t="s">
        <v>2789</v>
      </c>
      <c r="E191" s="38" t="s">
        <v>3308</v>
      </c>
      <c r="F191" s="45" t="s">
        <v>3309</v>
      </c>
      <c r="G191" s="45" t="s">
        <v>3290</v>
      </c>
      <c r="H191" s="44" t="s">
        <v>2567</v>
      </c>
      <c r="I191" s="45" t="s">
        <v>3310</v>
      </c>
      <c r="J191" s="45" t="s">
        <v>2310</v>
      </c>
      <c r="K191" s="42">
        <v>2.6834874755905701E-2</v>
      </c>
      <c r="L191" s="64" t="s">
        <v>2546</v>
      </c>
    </row>
    <row r="192" spans="1:13">
      <c r="A192" s="46">
        <v>181</v>
      </c>
      <c r="B192" s="38" t="s">
        <v>3266</v>
      </c>
      <c r="C192" s="38" t="s">
        <v>1613</v>
      </c>
      <c r="D192" s="38" t="s">
        <v>2789</v>
      </c>
      <c r="E192" s="38" t="s">
        <v>3311</v>
      </c>
      <c r="F192" s="45" t="s">
        <v>3312</v>
      </c>
      <c r="G192" s="45" t="s">
        <v>3290</v>
      </c>
      <c r="H192" s="44" t="s">
        <v>2567</v>
      </c>
      <c r="I192" s="45" t="s">
        <v>3313</v>
      </c>
      <c r="J192" s="45" t="s">
        <v>2311</v>
      </c>
      <c r="K192" s="42">
        <v>2.6834874755905701E-2</v>
      </c>
      <c r="L192" s="64" t="s">
        <v>2546</v>
      </c>
    </row>
    <row r="193" spans="1:13">
      <c r="A193" s="46">
        <v>182</v>
      </c>
      <c r="B193" s="57" t="s">
        <v>2441</v>
      </c>
      <c r="C193" s="57" t="s">
        <v>3314</v>
      </c>
      <c r="D193" s="57" t="s">
        <v>3315</v>
      </c>
      <c r="E193" s="57" t="s">
        <v>3316</v>
      </c>
      <c r="F193" s="58" t="s">
        <v>3317</v>
      </c>
      <c r="G193" s="58" t="s">
        <v>3318</v>
      </c>
      <c r="H193" s="44" t="s">
        <v>2567</v>
      </c>
      <c r="I193" s="58" t="s">
        <v>3319</v>
      </c>
      <c r="J193" s="58" t="s">
        <v>2312</v>
      </c>
      <c r="K193" s="42">
        <v>3.2651710599687502E-2</v>
      </c>
      <c r="L193" s="65"/>
      <c r="M193" s="30" t="s">
        <v>3809</v>
      </c>
    </row>
    <row r="194" spans="1:13">
      <c r="A194" s="46">
        <v>183</v>
      </c>
      <c r="B194" s="57" t="s">
        <v>2441</v>
      </c>
      <c r="C194" s="57" t="s">
        <v>3314</v>
      </c>
      <c r="D194" s="57" t="s">
        <v>3315</v>
      </c>
      <c r="E194" s="57" t="s">
        <v>3320</v>
      </c>
      <c r="F194" s="58" t="s">
        <v>3321</v>
      </c>
      <c r="G194" s="58" t="s">
        <v>3322</v>
      </c>
      <c r="H194" s="44" t="s">
        <v>2567</v>
      </c>
      <c r="I194" s="58" t="s">
        <v>3323</v>
      </c>
      <c r="J194" s="58" t="s">
        <v>2313</v>
      </c>
      <c r="K194" s="42">
        <v>3.6779485047674601E-2</v>
      </c>
      <c r="L194" s="65"/>
      <c r="M194" s="30" t="s">
        <v>3450</v>
      </c>
    </row>
    <row r="195" spans="1:13">
      <c r="A195" s="46">
        <v>184</v>
      </c>
      <c r="B195" s="57" t="s">
        <v>2441</v>
      </c>
      <c r="C195" s="57" t="s">
        <v>3314</v>
      </c>
      <c r="D195" s="57" t="s">
        <v>3324</v>
      </c>
      <c r="E195" s="57" t="s">
        <v>3325</v>
      </c>
      <c r="F195" s="58" t="s">
        <v>3326</v>
      </c>
      <c r="G195" s="58" t="s">
        <v>3327</v>
      </c>
      <c r="H195" s="44" t="s">
        <v>2567</v>
      </c>
      <c r="I195" s="58" t="s">
        <v>3328</v>
      </c>
      <c r="J195" s="58" t="s">
        <v>2314</v>
      </c>
      <c r="K195" s="42">
        <v>1.19960585998427E-2</v>
      </c>
      <c r="L195" s="65"/>
      <c r="M195" s="30" t="s">
        <v>3806</v>
      </c>
    </row>
    <row r="196" spans="1:13">
      <c r="A196" s="46">
        <v>185</v>
      </c>
      <c r="B196" s="57" t="s">
        <v>2441</v>
      </c>
      <c r="C196" s="57" t="s">
        <v>3314</v>
      </c>
      <c r="D196" s="57" t="s">
        <v>3324</v>
      </c>
      <c r="E196" s="57" t="s">
        <v>3329</v>
      </c>
      <c r="F196" s="58" t="s">
        <v>3330</v>
      </c>
      <c r="G196" s="58" t="s">
        <v>3331</v>
      </c>
      <c r="H196" s="61" t="s">
        <v>2544</v>
      </c>
      <c r="I196" s="58" t="s">
        <v>3332</v>
      </c>
      <c r="J196" s="58" t="s">
        <v>2315</v>
      </c>
      <c r="K196" s="42">
        <v>4.4672663887755697E-2</v>
      </c>
      <c r="L196" s="65"/>
    </row>
    <row r="197" spans="1:13">
      <c r="A197" s="46">
        <v>186</v>
      </c>
      <c r="B197" s="57" t="s">
        <v>2441</v>
      </c>
      <c r="C197" s="57" t="s">
        <v>3314</v>
      </c>
      <c r="D197" s="57" t="s">
        <v>3324</v>
      </c>
      <c r="E197" s="57" t="s">
        <v>3333</v>
      </c>
      <c r="F197" s="58" t="s">
        <v>3334</v>
      </c>
      <c r="G197" s="58" t="s">
        <v>3335</v>
      </c>
      <c r="H197" s="44" t="s">
        <v>2567</v>
      </c>
      <c r="I197" s="58" t="s">
        <v>3336</v>
      </c>
      <c r="J197" s="58" t="s">
        <v>2316</v>
      </c>
      <c r="K197" s="42">
        <v>3.1102503163496199E-2</v>
      </c>
      <c r="L197" s="65"/>
    </row>
    <row r="198" spans="1:13">
      <c r="A198" s="46">
        <v>187</v>
      </c>
      <c r="B198" s="57" t="s">
        <v>2441</v>
      </c>
      <c r="C198" s="57" t="s">
        <v>3314</v>
      </c>
      <c r="D198" s="57" t="s">
        <v>3324</v>
      </c>
      <c r="E198" s="57" t="s">
        <v>3337</v>
      </c>
      <c r="F198" s="58" t="s">
        <v>3338</v>
      </c>
      <c r="G198" s="58" t="s">
        <v>2771</v>
      </c>
      <c r="H198" s="59" t="s">
        <v>2544</v>
      </c>
      <c r="I198" s="58" t="s">
        <v>3339</v>
      </c>
      <c r="J198" s="58" t="s">
        <v>2317</v>
      </c>
      <c r="K198" s="42">
        <v>1.1967668726706101E-2</v>
      </c>
      <c r="L198" s="65"/>
    </row>
    <row r="199" spans="1:13">
      <c r="A199" s="46">
        <v>188</v>
      </c>
      <c r="B199" s="57" t="s">
        <v>2441</v>
      </c>
      <c r="C199" s="57" t="s">
        <v>3314</v>
      </c>
      <c r="D199" s="57" t="s">
        <v>3340</v>
      </c>
      <c r="E199" s="57" t="s">
        <v>3341</v>
      </c>
      <c r="F199" s="58" t="s">
        <v>3342</v>
      </c>
      <c r="G199" s="58" t="s">
        <v>3343</v>
      </c>
      <c r="H199" s="44" t="s">
        <v>2567</v>
      </c>
      <c r="I199" s="58" t="s">
        <v>3344</v>
      </c>
      <c r="J199" s="58" t="s">
        <v>2318</v>
      </c>
      <c r="K199" s="42">
        <v>2.2357485480958499E-2</v>
      </c>
      <c r="L199" s="65"/>
      <c r="M199" s="30" t="s">
        <v>7</v>
      </c>
    </row>
    <row r="200" spans="1:13">
      <c r="A200" s="46">
        <v>189</v>
      </c>
      <c r="B200" s="57" t="s">
        <v>2441</v>
      </c>
      <c r="C200" s="57" t="s">
        <v>3314</v>
      </c>
      <c r="D200" s="57" t="s">
        <v>3340</v>
      </c>
      <c r="E200" s="57" t="s">
        <v>1611</v>
      </c>
      <c r="F200" s="58" t="s">
        <v>3345</v>
      </c>
      <c r="G200" s="58" t="s">
        <v>2681</v>
      </c>
      <c r="H200" s="44" t="s">
        <v>2582</v>
      </c>
      <c r="I200" s="58" t="s">
        <v>3346</v>
      </c>
      <c r="J200" s="58" t="s">
        <v>2319</v>
      </c>
      <c r="K200" s="42">
        <v>3.6455561339998603E-2</v>
      </c>
      <c r="L200" s="65"/>
    </row>
    <row r="201" spans="1:13">
      <c r="A201" s="46">
        <v>190</v>
      </c>
      <c r="B201" s="57" t="s">
        <v>2441</v>
      </c>
      <c r="C201" s="57" t="s">
        <v>3314</v>
      </c>
      <c r="D201" s="57" t="s">
        <v>3340</v>
      </c>
      <c r="E201" s="57" t="s">
        <v>3347</v>
      </c>
      <c r="F201" s="58" t="s">
        <v>3348</v>
      </c>
      <c r="G201" s="58" t="s">
        <v>3349</v>
      </c>
      <c r="H201" s="59" t="s">
        <v>2544</v>
      </c>
      <c r="I201" s="58" t="s">
        <v>3350</v>
      </c>
      <c r="J201" s="58" t="s">
        <v>2320</v>
      </c>
      <c r="K201" s="42">
        <v>1.7113726366926499E-2</v>
      </c>
      <c r="L201" s="65"/>
    </row>
    <row r="202" spans="1:13">
      <c r="A202" s="46">
        <v>191</v>
      </c>
      <c r="B202" s="57" t="s">
        <v>2441</v>
      </c>
      <c r="C202" s="57" t="s">
        <v>3314</v>
      </c>
      <c r="D202" s="57" t="s">
        <v>3340</v>
      </c>
      <c r="E202" s="57" t="s">
        <v>3351</v>
      </c>
      <c r="F202" s="58" t="s">
        <v>3352</v>
      </c>
      <c r="G202" s="58" t="s">
        <v>3353</v>
      </c>
      <c r="H202" s="44" t="s">
        <v>2567</v>
      </c>
      <c r="I202" s="58" t="s">
        <v>3354</v>
      </c>
      <c r="J202" s="58" t="s">
        <v>2321</v>
      </c>
      <c r="K202" s="42">
        <v>1.46144766586858E-2</v>
      </c>
      <c r="L202" s="65"/>
      <c r="M202" s="30" t="s">
        <v>3812</v>
      </c>
    </row>
    <row r="203" spans="1:13">
      <c r="A203" s="46">
        <v>192</v>
      </c>
      <c r="B203" s="38" t="s">
        <v>3355</v>
      </c>
      <c r="C203" s="38" t="s">
        <v>3355</v>
      </c>
      <c r="D203" s="38" t="s">
        <v>3356</v>
      </c>
      <c r="E203" s="38"/>
      <c r="F203" s="38" t="s">
        <v>3357</v>
      </c>
      <c r="G203" s="45" t="s">
        <v>3358</v>
      </c>
      <c r="H203" s="44" t="s">
        <v>2567</v>
      </c>
      <c r="I203" s="45" t="s">
        <v>3359</v>
      </c>
      <c r="J203" s="45" t="s">
        <v>2322</v>
      </c>
      <c r="K203" s="42">
        <v>2.5897744918987699E-2</v>
      </c>
      <c r="L203" s="65"/>
    </row>
    <row r="204" spans="1:13">
      <c r="A204" s="46">
        <v>193</v>
      </c>
      <c r="B204" s="38" t="s">
        <v>3355</v>
      </c>
      <c r="C204" s="38" t="s">
        <v>3355</v>
      </c>
      <c r="D204" s="38" t="s">
        <v>3360</v>
      </c>
      <c r="E204" s="38"/>
      <c r="F204" s="38" t="s">
        <v>3361</v>
      </c>
      <c r="G204" s="45" t="s">
        <v>3362</v>
      </c>
      <c r="H204" s="44" t="s">
        <v>2567</v>
      </c>
      <c r="I204" s="45" t="s">
        <v>3363</v>
      </c>
      <c r="J204" s="45" t="s">
        <v>2323</v>
      </c>
      <c r="K204" s="42">
        <v>2.5897744918987699E-2</v>
      </c>
      <c r="L204" s="65"/>
      <c r="M204" s="30" t="s">
        <v>3801</v>
      </c>
    </row>
    <row r="205" spans="1:13">
      <c r="A205" s="46">
        <v>194</v>
      </c>
      <c r="B205" s="38" t="s">
        <v>3355</v>
      </c>
      <c r="C205" s="38" t="s">
        <v>3355</v>
      </c>
      <c r="D205" s="38" t="s">
        <v>3364</v>
      </c>
      <c r="E205" s="38"/>
      <c r="F205" s="38" t="s">
        <v>3365</v>
      </c>
      <c r="G205" s="45" t="s">
        <v>3366</v>
      </c>
      <c r="H205" s="44" t="s">
        <v>2567</v>
      </c>
      <c r="I205" s="45" t="s">
        <v>3367</v>
      </c>
      <c r="J205" s="45" t="s">
        <v>2324</v>
      </c>
      <c r="K205" s="42">
        <v>2.5897744918987699E-2</v>
      </c>
      <c r="L205" s="65"/>
    </row>
    <row r="206" spans="1:13">
      <c r="A206" s="46">
        <v>195</v>
      </c>
      <c r="B206" s="38" t="s">
        <v>3355</v>
      </c>
      <c r="C206" s="38" t="s">
        <v>3355</v>
      </c>
      <c r="D206" s="38" t="s">
        <v>3368</v>
      </c>
      <c r="E206" s="38"/>
      <c r="F206" s="38" t="s">
        <v>3369</v>
      </c>
      <c r="G206" s="45" t="s">
        <v>3370</v>
      </c>
      <c r="H206" s="44" t="s">
        <v>2567</v>
      </c>
      <c r="I206" s="45" t="s">
        <v>3371</v>
      </c>
      <c r="J206" s="45" t="s">
        <v>2325</v>
      </c>
      <c r="K206" s="42">
        <v>2.5897744918987699E-2</v>
      </c>
      <c r="L206" s="65"/>
    </row>
    <row r="207" spans="1:13">
      <c r="A207" s="46">
        <v>196</v>
      </c>
      <c r="B207" s="38" t="s">
        <v>3355</v>
      </c>
      <c r="C207" s="38" t="s">
        <v>3355</v>
      </c>
      <c r="D207" s="38" t="s">
        <v>3043</v>
      </c>
      <c r="E207" s="38"/>
      <c r="F207" s="38" t="s">
        <v>3372</v>
      </c>
      <c r="G207" s="45" t="s">
        <v>2719</v>
      </c>
      <c r="H207" s="44" t="s">
        <v>2582</v>
      </c>
      <c r="I207" s="45" t="s">
        <v>3373</v>
      </c>
      <c r="J207" s="45" t="s">
        <v>2326</v>
      </c>
      <c r="K207" s="42">
        <v>2.5897744918987699E-2</v>
      </c>
      <c r="L207" s="65"/>
    </row>
    <row r="208" spans="1:13">
      <c r="A208" s="46">
        <v>197</v>
      </c>
      <c r="B208" s="38" t="s">
        <v>2434</v>
      </c>
      <c r="C208" s="38" t="s">
        <v>2434</v>
      </c>
      <c r="D208" s="38" t="s">
        <v>3374</v>
      </c>
      <c r="E208" s="38"/>
      <c r="F208" s="45" t="s">
        <v>3375</v>
      </c>
      <c r="G208" s="45" t="s">
        <v>3376</v>
      </c>
      <c r="H208" s="46" t="s">
        <v>2544</v>
      </c>
      <c r="I208" s="45" t="s">
        <v>3377</v>
      </c>
      <c r="J208" s="45" t="s">
        <v>2327</v>
      </c>
      <c r="K208" s="42">
        <v>2.55659128814585E-2</v>
      </c>
      <c r="L208" s="65"/>
    </row>
    <row r="209" spans="1:13">
      <c r="A209" s="46">
        <v>198</v>
      </c>
      <c r="B209" s="38" t="s">
        <v>2434</v>
      </c>
      <c r="C209" s="38" t="s">
        <v>2434</v>
      </c>
      <c r="D209" s="38" t="s">
        <v>3378</v>
      </c>
      <c r="E209" s="38"/>
      <c r="F209" s="45" t="s">
        <v>3379</v>
      </c>
      <c r="G209" s="45" t="s">
        <v>3380</v>
      </c>
      <c r="H209" s="44" t="s">
        <v>2567</v>
      </c>
      <c r="I209" s="45" t="s">
        <v>3381</v>
      </c>
      <c r="J209" s="45" t="s">
        <v>2328</v>
      </c>
      <c r="K209" s="42">
        <v>2.55659128814585E-2</v>
      </c>
      <c r="L209" s="65"/>
    </row>
    <row r="210" spans="1:13">
      <c r="A210" s="46">
        <v>199</v>
      </c>
      <c r="B210" s="38" t="s">
        <v>2434</v>
      </c>
      <c r="C210" s="38" t="s">
        <v>2434</v>
      </c>
      <c r="D210" s="38" t="s">
        <v>3382</v>
      </c>
      <c r="E210" s="38"/>
      <c r="F210" s="45" t="s">
        <v>3383</v>
      </c>
      <c r="G210" s="45" t="s">
        <v>2767</v>
      </c>
      <c r="H210" s="46" t="s">
        <v>2544</v>
      </c>
      <c r="I210" s="45" t="s">
        <v>3384</v>
      </c>
      <c r="J210" s="45" t="s">
        <v>2329</v>
      </c>
      <c r="K210" s="42">
        <v>2.55659128814585E-2</v>
      </c>
      <c r="L210" s="65"/>
    </row>
    <row r="211" spans="1:13">
      <c r="A211" s="46">
        <v>200</v>
      </c>
      <c r="B211" s="38" t="s">
        <v>2434</v>
      </c>
      <c r="C211" s="38" t="s">
        <v>2434</v>
      </c>
      <c r="D211" s="38" t="s">
        <v>3385</v>
      </c>
      <c r="E211" s="38"/>
      <c r="F211" s="45" t="s">
        <v>3386</v>
      </c>
      <c r="G211" s="45" t="s">
        <v>3387</v>
      </c>
      <c r="H211" s="44" t="s">
        <v>2567</v>
      </c>
      <c r="I211" s="45" t="s">
        <v>3388</v>
      </c>
      <c r="J211" s="45" t="s">
        <v>2330</v>
      </c>
      <c r="K211" s="42">
        <v>2.55659128814585E-2</v>
      </c>
      <c r="L211" s="65"/>
      <c r="M211" s="30" t="s">
        <v>1356</v>
      </c>
    </row>
    <row r="212" spans="1:13">
      <c r="A212" s="46">
        <v>201</v>
      </c>
      <c r="B212" s="38" t="s">
        <v>1374</v>
      </c>
      <c r="C212" s="38" t="s">
        <v>1374</v>
      </c>
      <c r="D212" s="38" t="s">
        <v>3389</v>
      </c>
      <c r="E212" s="38"/>
      <c r="F212" s="45" t="s">
        <v>3390</v>
      </c>
      <c r="G212" s="45" t="s">
        <v>3391</v>
      </c>
      <c r="H212" s="46" t="s">
        <v>2544</v>
      </c>
      <c r="I212" s="45" t="s">
        <v>3392</v>
      </c>
      <c r="J212" s="45" t="s">
        <v>2331</v>
      </c>
      <c r="K212" s="42">
        <v>2.4455755404203298E-2</v>
      </c>
      <c r="L212" s="65"/>
    </row>
    <row r="213" spans="1:13">
      <c r="A213" s="46">
        <v>202</v>
      </c>
      <c r="B213" s="38" t="s">
        <v>1374</v>
      </c>
      <c r="C213" s="38" t="s">
        <v>1374</v>
      </c>
      <c r="D213" s="38" t="s">
        <v>3393</v>
      </c>
      <c r="E213" s="38"/>
      <c r="F213" s="45" t="s">
        <v>3394</v>
      </c>
      <c r="G213" s="45" t="s">
        <v>3395</v>
      </c>
      <c r="H213" s="46" t="s">
        <v>2544</v>
      </c>
      <c r="I213" s="45" t="s">
        <v>3396</v>
      </c>
      <c r="J213" s="45" t="s">
        <v>2332</v>
      </c>
      <c r="K213" s="42">
        <v>2.4455755404203298E-2</v>
      </c>
      <c r="L213" s="65"/>
    </row>
    <row r="214" spans="1:13">
      <c r="A214" s="46">
        <v>203</v>
      </c>
      <c r="B214" s="38" t="s">
        <v>1374</v>
      </c>
      <c r="C214" s="38" t="s">
        <v>1374</v>
      </c>
      <c r="D214" s="38" t="s">
        <v>3397</v>
      </c>
      <c r="E214" s="38"/>
      <c r="F214" s="45" t="s">
        <v>3398</v>
      </c>
      <c r="G214" s="45" t="s">
        <v>3399</v>
      </c>
      <c r="H214" s="46" t="s">
        <v>2544</v>
      </c>
      <c r="I214" s="45" t="s">
        <v>3400</v>
      </c>
      <c r="J214" s="45" t="s">
        <v>2333</v>
      </c>
      <c r="K214" s="42">
        <v>2.4455755404203298E-2</v>
      </c>
      <c r="L214" s="65"/>
    </row>
    <row r="215" spans="1:13">
      <c r="A215" s="46">
        <v>204</v>
      </c>
      <c r="B215" s="38" t="s">
        <v>1374</v>
      </c>
      <c r="C215" s="38" t="s">
        <v>1374</v>
      </c>
      <c r="D215" s="38" t="s">
        <v>3401</v>
      </c>
      <c r="E215" s="38"/>
      <c r="F215" s="45" t="s">
        <v>3402</v>
      </c>
      <c r="G215" s="45" t="s">
        <v>3403</v>
      </c>
      <c r="H215" s="46" t="s">
        <v>2544</v>
      </c>
      <c r="I215" s="45" t="s">
        <v>3404</v>
      </c>
      <c r="J215" s="45" t="s">
        <v>2334</v>
      </c>
      <c r="K215" s="42">
        <v>2.4455755404203298E-2</v>
      </c>
      <c r="L215" s="65"/>
    </row>
    <row r="216" spans="1:13">
      <c r="A216" s="46">
        <v>205</v>
      </c>
      <c r="B216" s="38" t="s">
        <v>1374</v>
      </c>
      <c r="C216" s="38" t="s">
        <v>1374</v>
      </c>
      <c r="D216" s="38" t="s">
        <v>3405</v>
      </c>
      <c r="E216" s="38"/>
      <c r="F216" s="45" t="s">
        <v>3406</v>
      </c>
      <c r="G216" s="45" t="s">
        <v>3407</v>
      </c>
      <c r="H216" s="46" t="s">
        <v>2544</v>
      </c>
      <c r="I216" s="45" t="s">
        <v>3408</v>
      </c>
      <c r="J216" s="45" t="s">
        <v>2335</v>
      </c>
      <c r="K216" s="42">
        <v>2.4455755404203298E-2</v>
      </c>
      <c r="L216" s="65"/>
      <c r="M216" s="30" t="s">
        <v>894</v>
      </c>
    </row>
    <row r="217" spans="1:13">
      <c r="A217" s="46">
        <v>206</v>
      </c>
      <c r="B217" s="38" t="s">
        <v>1374</v>
      </c>
      <c r="C217" s="38" t="s">
        <v>1374</v>
      </c>
      <c r="D217" s="38" t="s">
        <v>3409</v>
      </c>
      <c r="E217" s="38"/>
      <c r="F217" s="45" t="s">
        <v>3410</v>
      </c>
      <c r="G217" s="45" t="s">
        <v>3411</v>
      </c>
      <c r="H217" s="46" t="s">
        <v>2544</v>
      </c>
      <c r="I217" s="45" t="s">
        <v>3412</v>
      </c>
      <c r="J217" s="45" t="s">
        <v>2336</v>
      </c>
      <c r="K217" s="42">
        <v>2.4455755404203298E-2</v>
      </c>
      <c r="L217" s="65"/>
    </row>
    <row r="218" spans="1:13">
      <c r="A218" s="46">
        <v>207</v>
      </c>
      <c r="B218" s="38" t="s">
        <v>1374</v>
      </c>
      <c r="C218" s="38" t="s">
        <v>1374</v>
      </c>
      <c r="D218" s="38" t="s">
        <v>3337</v>
      </c>
      <c r="E218" s="38"/>
      <c r="F218" s="45" t="s">
        <v>3413</v>
      </c>
      <c r="G218" s="45" t="s">
        <v>2771</v>
      </c>
      <c r="H218" s="46" t="s">
        <v>2544</v>
      </c>
      <c r="I218" s="45" t="s">
        <v>3414</v>
      </c>
      <c r="J218" s="45" t="s">
        <v>2337</v>
      </c>
      <c r="K218" s="42">
        <v>2.4455755404203298E-2</v>
      </c>
      <c r="L218" s="65"/>
    </row>
    <row r="219" spans="1:13">
      <c r="A219" s="46">
        <v>208</v>
      </c>
      <c r="B219" s="38" t="s">
        <v>1374</v>
      </c>
      <c r="C219" s="38" t="s">
        <v>1374</v>
      </c>
      <c r="D219" s="38" t="s">
        <v>3415</v>
      </c>
      <c r="E219" s="38"/>
      <c r="F219" s="45" t="s">
        <v>3416</v>
      </c>
      <c r="G219" s="45" t="s">
        <v>3417</v>
      </c>
      <c r="H219" s="44" t="s">
        <v>2567</v>
      </c>
      <c r="I219" s="45" t="s">
        <v>3418</v>
      </c>
      <c r="J219" s="45" t="s">
        <v>2338</v>
      </c>
      <c r="K219" s="42">
        <v>2.4455755404203298E-2</v>
      </c>
      <c r="L219" s="65"/>
    </row>
    <row r="220" spans="1:13">
      <c r="A220" s="46">
        <v>209</v>
      </c>
      <c r="B220" s="38" t="s">
        <v>1374</v>
      </c>
      <c r="C220" s="38" t="s">
        <v>1374</v>
      </c>
      <c r="D220" s="38" t="s">
        <v>3207</v>
      </c>
      <c r="E220" s="38"/>
      <c r="F220" s="45" t="s">
        <v>3419</v>
      </c>
      <c r="G220" s="45" t="s">
        <v>3420</v>
      </c>
      <c r="H220" s="44" t="s">
        <v>2567</v>
      </c>
      <c r="I220" s="45" t="s">
        <v>3421</v>
      </c>
      <c r="J220" s="45" t="s">
        <v>2339</v>
      </c>
      <c r="K220" s="42">
        <v>2.4455755404203298E-2</v>
      </c>
      <c r="L220" s="65"/>
    </row>
    <row r="221" spans="1:13">
      <c r="A221" s="46">
        <v>210</v>
      </c>
      <c r="B221" s="38" t="s">
        <v>2483</v>
      </c>
      <c r="C221" s="38" t="s">
        <v>2483</v>
      </c>
      <c r="D221" s="38" t="s">
        <v>2757</v>
      </c>
      <c r="E221" s="38"/>
      <c r="F221" s="45" t="s">
        <v>3422</v>
      </c>
      <c r="G221" s="45" t="s">
        <v>3423</v>
      </c>
      <c r="H221" s="56" t="s">
        <v>2544</v>
      </c>
      <c r="I221" s="45" t="s">
        <v>3424</v>
      </c>
      <c r="J221" s="45" t="s">
        <v>2340</v>
      </c>
      <c r="K221" s="42">
        <v>2.43946421399239E-2</v>
      </c>
      <c r="L221" s="65"/>
      <c r="M221" s="30" t="s">
        <v>1356</v>
      </c>
    </row>
    <row r="222" spans="1:13">
      <c r="A222" s="46">
        <v>211</v>
      </c>
      <c r="B222" s="38" t="s">
        <v>2483</v>
      </c>
      <c r="C222" s="38" t="s">
        <v>2483</v>
      </c>
      <c r="D222" s="38" t="s">
        <v>2785</v>
      </c>
      <c r="E222" s="38"/>
      <c r="F222" s="45" t="s">
        <v>3425</v>
      </c>
      <c r="G222" s="45" t="s">
        <v>3426</v>
      </c>
      <c r="H222" s="46" t="s">
        <v>2544</v>
      </c>
      <c r="I222" s="45" t="s">
        <v>3427</v>
      </c>
      <c r="J222" s="45" t="s">
        <v>2341</v>
      </c>
      <c r="K222" s="42">
        <v>2.43946421399239E-2</v>
      </c>
      <c r="L222" s="65"/>
    </row>
    <row r="223" spans="1:13">
      <c r="A223" s="46">
        <v>212</v>
      </c>
      <c r="B223" s="38" t="s">
        <v>2483</v>
      </c>
      <c r="C223" s="38" t="s">
        <v>2483</v>
      </c>
      <c r="D223" s="38" t="s">
        <v>3428</v>
      </c>
      <c r="E223" s="38"/>
      <c r="F223" s="45" t="s">
        <v>3429</v>
      </c>
      <c r="G223" s="45" t="s">
        <v>3430</v>
      </c>
      <c r="H223" s="46" t="s">
        <v>2544</v>
      </c>
      <c r="I223" s="45" t="s">
        <v>3431</v>
      </c>
      <c r="J223" s="45" t="s">
        <v>2342</v>
      </c>
      <c r="K223" s="42">
        <v>2.43946421399239E-2</v>
      </c>
      <c r="L223" s="65"/>
    </row>
    <row r="224" spans="1:13">
      <c r="A224" s="46">
        <v>213</v>
      </c>
      <c r="B224" s="38" t="s">
        <v>2483</v>
      </c>
      <c r="C224" s="38" t="s">
        <v>2483</v>
      </c>
      <c r="D224" s="38" t="s">
        <v>3432</v>
      </c>
      <c r="E224" s="38"/>
      <c r="F224" s="45" t="s">
        <v>3433</v>
      </c>
      <c r="G224" s="45" t="s">
        <v>3434</v>
      </c>
      <c r="H224" s="46" t="s">
        <v>2544</v>
      </c>
      <c r="I224" s="45" t="s">
        <v>3435</v>
      </c>
      <c r="J224" s="45" t="s">
        <v>2343</v>
      </c>
      <c r="K224" s="42">
        <v>2.43946421399239E-2</v>
      </c>
      <c r="L224" s="65"/>
    </row>
    <row r="225" spans="1:13">
      <c r="A225" s="46">
        <v>214</v>
      </c>
      <c r="B225" s="38" t="s">
        <v>2483</v>
      </c>
      <c r="C225" s="38" t="s">
        <v>2483</v>
      </c>
      <c r="D225" s="38" t="s">
        <v>3436</v>
      </c>
      <c r="E225" s="38"/>
      <c r="F225" s="45" t="s">
        <v>3437</v>
      </c>
      <c r="G225" s="45" t="s">
        <v>3302</v>
      </c>
      <c r="H225" s="46" t="s">
        <v>2544</v>
      </c>
      <c r="I225" s="45" t="s">
        <v>3438</v>
      </c>
      <c r="J225" s="45" t="s">
        <v>2344</v>
      </c>
      <c r="K225" s="42">
        <v>2.43946421399239E-2</v>
      </c>
      <c r="L225" s="65"/>
    </row>
    <row r="226" spans="1:13">
      <c r="A226" s="46">
        <v>215</v>
      </c>
      <c r="B226" s="38" t="s">
        <v>2483</v>
      </c>
      <c r="C226" s="38" t="s">
        <v>2483</v>
      </c>
      <c r="D226" s="38" t="s">
        <v>3337</v>
      </c>
      <c r="E226" s="38"/>
      <c r="F226" s="45" t="s">
        <v>3439</v>
      </c>
      <c r="G226" s="45" t="s">
        <v>2771</v>
      </c>
      <c r="H226" s="46" t="s">
        <v>2544</v>
      </c>
      <c r="I226" s="45" t="s">
        <v>3440</v>
      </c>
      <c r="J226" s="45" t="s">
        <v>2345</v>
      </c>
      <c r="K226" s="42">
        <v>2.43946421399239E-2</v>
      </c>
      <c r="L226" s="65"/>
    </row>
    <row r="227" spans="1:13" ht="22.5">
      <c r="A227" s="46">
        <v>216</v>
      </c>
      <c r="B227" s="38" t="s">
        <v>2452</v>
      </c>
      <c r="C227" s="38" t="s">
        <v>2452</v>
      </c>
      <c r="D227" s="38" t="s">
        <v>3441</v>
      </c>
      <c r="E227" s="38"/>
      <c r="F227" s="45" t="s">
        <v>3442</v>
      </c>
      <c r="G227" s="45" t="s">
        <v>5</v>
      </c>
      <c r="H227" s="44" t="s">
        <v>2582</v>
      </c>
      <c r="I227" s="45" t="s">
        <v>3443</v>
      </c>
      <c r="J227" s="45" t="s">
        <v>2346</v>
      </c>
      <c r="K227" s="42">
        <v>2.30256712917403E-2</v>
      </c>
      <c r="L227" s="64" t="s">
        <v>2546</v>
      </c>
      <c r="M227" s="30" t="s">
        <v>3813</v>
      </c>
    </row>
    <row r="228" spans="1:13" ht="22.5">
      <c r="A228" s="46">
        <v>217</v>
      </c>
      <c r="B228" s="38" t="s">
        <v>2452</v>
      </c>
      <c r="C228" s="38" t="s">
        <v>2452</v>
      </c>
      <c r="D228" s="38" t="s">
        <v>3444</v>
      </c>
      <c r="E228" s="38"/>
      <c r="F228" s="45" t="s">
        <v>3445</v>
      </c>
      <c r="G228" s="45" t="s">
        <v>3446</v>
      </c>
      <c r="H228" s="44" t="s">
        <v>2567</v>
      </c>
      <c r="I228" s="45" t="s">
        <v>3447</v>
      </c>
      <c r="J228" s="45" t="s">
        <v>2347</v>
      </c>
      <c r="K228" s="42">
        <v>2.30256712917403E-2</v>
      </c>
      <c r="L228" s="64" t="s">
        <v>2546</v>
      </c>
      <c r="M228" s="30" t="s">
        <v>7</v>
      </c>
    </row>
    <row r="229" spans="1:13">
      <c r="A229" s="46">
        <v>218</v>
      </c>
      <c r="B229" s="38" t="s">
        <v>2452</v>
      </c>
      <c r="C229" s="38" t="s">
        <v>2452</v>
      </c>
      <c r="D229" s="38" t="s">
        <v>3448</v>
      </c>
      <c r="E229" s="38"/>
      <c r="F229" s="45" t="s">
        <v>3449</v>
      </c>
      <c r="G229" s="45" t="s">
        <v>3450</v>
      </c>
      <c r="H229" s="44" t="s">
        <v>2582</v>
      </c>
      <c r="I229" s="45" t="s">
        <v>3451</v>
      </c>
      <c r="J229" s="45" t="s">
        <v>2348</v>
      </c>
      <c r="K229" s="42">
        <v>2.30256712917403E-2</v>
      </c>
      <c r="L229" s="64" t="s">
        <v>2546</v>
      </c>
      <c r="M229" s="30" t="s">
        <v>3814</v>
      </c>
    </row>
    <row r="230" spans="1:13">
      <c r="A230" s="46">
        <v>219</v>
      </c>
      <c r="B230" s="38" t="s">
        <v>2452</v>
      </c>
      <c r="C230" s="38" t="s">
        <v>2452</v>
      </c>
      <c r="D230" s="38" t="s">
        <v>3452</v>
      </c>
      <c r="E230" s="38"/>
      <c r="F230" s="45" t="s">
        <v>3453</v>
      </c>
      <c r="G230" s="45" t="s">
        <v>3454</v>
      </c>
      <c r="H230" s="44" t="s">
        <v>2582</v>
      </c>
      <c r="I230" s="45" t="s">
        <v>3455</v>
      </c>
      <c r="J230" s="45" t="s">
        <v>2349</v>
      </c>
      <c r="K230" s="42">
        <v>2.30256712917403E-2</v>
      </c>
      <c r="L230" s="64" t="s">
        <v>2546</v>
      </c>
    </row>
    <row r="231" spans="1:13">
      <c r="A231" s="46">
        <v>220</v>
      </c>
      <c r="B231" s="38" t="s">
        <v>2452</v>
      </c>
      <c r="C231" s="38" t="s">
        <v>2452</v>
      </c>
      <c r="D231" s="38" t="s">
        <v>3456</v>
      </c>
      <c r="E231" s="38"/>
      <c r="F231" s="45" t="s">
        <v>3457</v>
      </c>
      <c r="G231" s="45" t="s">
        <v>13</v>
      </c>
      <c r="H231" s="44" t="s">
        <v>2582</v>
      </c>
      <c r="I231" s="45" t="s">
        <v>3458</v>
      </c>
      <c r="J231" s="45" t="s">
        <v>2350</v>
      </c>
      <c r="K231" s="42">
        <v>2.30256712917403E-2</v>
      </c>
      <c r="L231" s="64" t="s">
        <v>2546</v>
      </c>
      <c r="M231" s="30" t="s">
        <v>26</v>
      </c>
    </row>
    <row r="232" spans="1:13">
      <c r="A232" s="46">
        <v>221</v>
      </c>
      <c r="B232" s="38" t="s">
        <v>2452</v>
      </c>
      <c r="C232" s="38" t="s">
        <v>2452</v>
      </c>
      <c r="D232" s="38" t="s">
        <v>3459</v>
      </c>
      <c r="E232" s="38"/>
      <c r="F232" s="45" t="s">
        <v>3460</v>
      </c>
      <c r="G232" s="45" t="s">
        <v>3277</v>
      </c>
      <c r="H232" s="44" t="s">
        <v>2567</v>
      </c>
      <c r="I232" s="45" t="s">
        <v>3461</v>
      </c>
      <c r="J232" s="45" t="s">
        <v>2351</v>
      </c>
      <c r="K232" s="42">
        <v>2.30256712917403E-2</v>
      </c>
      <c r="L232" s="64" t="s">
        <v>2546</v>
      </c>
      <c r="M232" s="30" t="s">
        <v>3815</v>
      </c>
    </row>
    <row r="233" spans="1:13">
      <c r="A233" s="46">
        <v>222</v>
      </c>
      <c r="B233" s="38" t="s">
        <v>2452</v>
      </c>
      <c r="C233" s="38" t="s">
        <v>2452</v>
      </c>
      <c r="D233" s="38" t="s">
        <v>3462</v>
      </c>
      <c r="E233" s="38"/>
      <c r="F233" s="45" t="s">
        <v>3463</v>
      </c>
      <c r="G233" s="45" t="s">
        <v>3464</v>
      </c>
      <c r="H233" s="44" t="s">
        <v>2582</v>
      </c>
      <c r="I233" s="45" t="s">
        <v>3465</v>
      </c>
      <c r="J233" s="45" t="s">
        <v>2352</v>
      </c>
      <c r="K233" s="42">
        <v>2.30256712917403E-2</v>
      </c>
      <c r="L233" s="64" t="s">
        <v>2546</v>
      </c>
    </row>
    <row r="234" spans="1:13" ht="22.5">
      <c r="A234" s="46">
        <v>223</v>
      </c>
      <c r="B234" s="38" t="s">
        <v>2452</v>
      </c>
      <c r="C234" s="38" t="s">
        <v>2452</v>
      </c>
      <c r="D234" s="38" t="s">
        <v>3466</v>
      </c>
      <c r="E234" s="38"/>
      <c r="F234" s="45" t="s">
        <v>3467</v>
      </c>
      <c r="G234" s="45" t="s">
        <v>3468</v>
      </c>
      <c r="H234" s="44" t="s">
        <v>2567</v>
      </c>
      <c r="I234" s="45" t="s">
        <v>3469</v>
      </c>
      <c r="J234" s="45" t="s">
        <v>2353</v>
      </c>
      <c r="K234" s="42">
        <v>2.30256712917403E-2</v>
      </c>
      <c r="L234" s="64" t="s">
        <v>2546</v>
      </c>
    </row>
    <row r="235" spans="1:13">
      <c r="A235" s="46">
        <v>224</v>
      </c>
      <c r="B235" s="57" t="s">
        <v>2439</v>
      </c>
      <c r="C235" s="57" t="s">
        <v>2439</v>
      </c>
      <c r="D235" s="57" t="s">
        <v>3470</v>
      </c>
      <c r="E235" s="57" t="s">
        <v>3471</v>
      </c>
      <c r="F235" s="58" t="s">
        <v>3472</v>
      </c>
      <c r="G235" s="58" t="s">
        <v>3473</v>
      </c>
      <c r="H235" s="59" t="s">
        <v>2544</v>
      </c>
      <c r="I235" s="58" t="s">
        <v>3474</v>
      </c>
      <c r="J235" s="58" t="s">
        <v>2354</v>
      </c>
      <c r="K235" s="42">
        <v>1.6821351660500701E-2</v>
      </c>
      <c r="L235" s="65"/>
    </row>
    <row r="236" spans="1:13">
      <c r="A236" s="46">
        <v>225</v>
      </c>
      <c r="B236" s="57" t="s">
        <v>2439</v>
      </c>
      <c r="C236" s="57" t="s">
        <v>2439</v>
      </c>
      <c r="D236" s="57" t="s">
        <v>3470</v>
      </c>
      <c r="E236" s="57" t="s">
        <v>3475</v>
      </c>
      <c r="F236" s="58" t="s">
        <v>3476</v>
      </c>
      <c r="G236" s="58" t="s">
        <v>3477</v>
      </c>
      <c r="H236" s="44" t="s">
        <v>2567</v>
      </c>
      <c r="I236" s="58" t="s">
        <v>3478</v>
      </c>
      <c r="J236" s="58" t="s">
        <v>2355</v>
      </c>
      <c r="K236" s="42">
        <v>1.6821351660500701E-2</v>
      </c>
      <c r="L236" s="65"/>
      <c r="M236" s="30" t="s">
        <v>3809</v>
      </c>
    </row>
    <row r="237" spans="1:13">
      <c r="A237" s="46">
        <v>226</v>
      </c>
      <c r="B237" s="57" t="s">
        <v>2439</v>
      </c>
      <c r="C237" s="57" t="s">
        <v>2439</v>
      </c>
      <c r="D237" s="57" t="s">
        <v>3470</v>
      </c>
      <c r="E237" s="57" t="s">
        <v>3337</v>
      </c>
      <c r="F237" s="58" t="s">
        <v>3479</v>
      </c>
      <c r="G237" s="58" t="s">
        <v>2771</v>
      </c>
      <c r="H237" s="59" t="s">
        <v>2544</v>
      </c>
      <c r="I237" s="58" t="s">
        <v>3480</v>
      </c>
      <c r="J237" s="58" t="s">
        <v>2356</v>
      </c>
      <c r="K237" s="42">
        <v>1.6821351660500701E-2</v>
      </c>
      <c r="L237" s="65"/>
    </row>
    <row r="238" spans="1:13">
      <c r="A238" s="46">
        <v>227</v>
      </c>
      <c r="B238" s="57" t="s">
        <v>2439</v>
      </c>
      <c r="C238" s="57" t="s">
        <v>2439</v>
      </c>
      <c r="D238" s="57" t="s">
        <v>3481</v>
      </c>
      <c r="E238" s="57" t="s">
        <v>3482</v>
      </c>
      <c r="F238" s="58" t="s">
        <v>3483</v>
      </c>
      <c r="G238" s="58" t="s">
        <v>3484</v>
      </c>
      <c r="H238" s="59" t="s">
        <v>2544</v>
      </c>
      <c r="I238" s="58" t="s">
        <v>3485</v>
      </c>
      <c r="J238" s="58" t="s">
        <v>2357</v>
      </c>
      <c r="K238" s="42">
        <v>1.6821351660500701E-2</v>
      </c>
      <c r="L238" s="65"/>
    </row>
    <row r="239" spans="1:13">
      <c r="A239" s="46">
        <v>228</v>
      </c>
      <c r="B239" s="57" t="s">
        <v>2439</v>
      </c>
      <c r="C239" s="57" t="s">
        <v>2439</v>
      </c>
      <c r="D239" s="57" t="s">
        <v>3481</v>
      </c>
      <c r="E239" s="57" t="s">
        <v>3486</v>
      </c>
      <c r="F239" s="58" t="s">
        <v>3487</v>
      </c>
      <c r="G239" s="58" t="s">
        <v>3488</v>
      </c>
      <c r="H239" s="59" t="s">
        <v>2544</v>
      </c>
      <c r="I239" s="58" t="s">
        <v>3489</v>
      </c>
      <c r="J239" s="58" t="s">
        <v>2358</v>
      </c>
      <c r="K239" s="42">
        <v>1.6821351660500701E-2</v>
      </c>
      <c r="L239" s="65"/>
    </row>
    <row r="240" spans="1:13">
      <c r="A240" s="46">
        <v>229</v>
      </c>
      <c r="B240" s="57" t="s">
        <v>2439</v>
      </c>
      <c r="C240" s="57" t="s">
        <v>2439</v>
      </c>
      <c r="D240" s="57" t="s">
        <v>3481</v>
      </c>
      <c r="E240" s="57" t="s">
        <v>3490</v>
      </c>
      <c r="F240" s="58" t="s">
        <v>3491</v>
      </c>
      <c r="G240" s="58" t="s">
        <v>3492</v>
      </c>
      <c r="H240" s="59" t="s">
        <v>2544</v>
      </c>
      <c r="I240" s="58" t="s">
        <v>3493</v>
      </c>
      <c r="J240" s="58" t="s">
        <v>2359</v>
      </c>
      <c r="K240" s="42">
        <v>1.6821351660500701E-2</v>
      </c>
      <c r="L240" s="65"/>
    </row>
    <row r="241" spans="1:13">
      <c r="A241" s="46">
        <v>230</v>
      </c>
      <c r="B241" s="57" t="s">
        <v>2439</v>
      </c>
      <c r="C241" s="57" t="s">
        <v>2439</v>
      </c>
      <c r="D241" s="57" t="s">
        <v>3481</v>
      </c>
      <c r="E241" s="57" t="s">
        <v>3494</v>
      </c>
      <c r="F241" s="58" t="s">
        <v>3495</v>
      </c>
      <c r="G241" s="58" t="s">
        <v>3112</v>
      </c>
      <c r="H241" s="44" t="s">
        <v>2567</v>
      </c>
      <c r="I241" s="58" t="s">
        <v>3496</v>
      </c>
      <c r="J241" s="58" t="s">
        <v>2360</v>
      </c>
      <c r="K241" s="42">
        <v>1.6821351660500701E-2</v>
      </c>
      <c r="L241" s="65"/>
      <c r="M241" s="30" t="s">
        <v>7</v>
      </c>
    </row>
    <row r="242" spans="1:13">
      <c r="A242" s="46">
        <v>231</v>
      </c>
      <c r="B242" s="57" t="s">
        <v>2439</v>
      </c>
      <c r="C242" s="57" t="s">
        <v>2439</v>
      </c>
      <c r="D242" s="57" t="s">
        <v>3497</v>
      </c>
      <c r="E242" s="57" t="s">
        <v>3498</v>
      </c>
      <c r="F242" s="58" t="s">
        <v>3499</v>
      </c>
      <c r="G242" s="58" t="s">
        <v>3500</v>
      </c>
      <c r="H242" s="59" t="s">
        <v>2544</v>
      </c>
      <c r="I242" s="58" t="s">
        <v>3501</v>
      </c>
      <c r="J242" s="58" t="s">
        <v>2361</v>
      </c>
      <c r="K242" s="42">
        <v>1.6821351660500701E-2</v>
      </c>
      <c r="L242" s="65"/>
      <c r="M242" s="30" t="s">
        <v>7</v>
      </c>
    </row>
    <row r="243" spans="1:13">
      <c r="A243" s="46">
        <v>232</v>
      </c>
      <c r="B243" s="57" t="s">
        <v>2439</v>
      </c>
      <c r="C243" s="57" t="s">
        <v>2439</v>
      </c>
      <c r="D243" s="57" t="s">
        <v>3497</v>
      </c>
      <c r="E243" s="57" t="s">
        <v>3502</v>
      </c>
      <c r="F243" s="58" t="s">
        <v>3503</v>
      </c>
      <c r="G243" s="58" t="s">
        <v>3504</v>
      </c>
      <c r="H243" s="59" t="s">
        <v>2544</v>
      </c>
      <c r="I243" s="58" t="s">
        <v>3505</v>
      </c>
      <c r="J243" s="58" t="s">
        <v>2362</v>
      </c>
      <c r="K243" s="42">
        <v>1.6821351660500701E-2</v>
      </c>
      <c r="L243" s="65"/>
      <c r="M243" s="30" t="s">
        <v>7</v>
      </c>
    </row>
    <row r="244" spans="1:13">
      <c r="A244" s="46">
        <v>233</v>
      </c>
      <c r="B244" s="57" t="s">
        <v>2439</v>
      </c>
      <c r="C244" s="57" t="s">
        <v>2439</v>
      </c>
      <c r="D244" s="57" t="s">
        <v>3497</v>
      </c>
      <c r="E244" s="57" t="s">
        <v>3506</v>
      </c>
      <c r="F244" s="58" t="s">
        <v>3507</v>
      </c>
      <c r="G244" s="58" t="s">
        <v>3508</v>
      </c>
      <c r="H244" s="44" t="s">
        <v>2567</v>
      </c>
      <c r="I244" s="58" t="s">
        <v>3509</v>
      </c>
      <c r="J244" s="58" t="s">
        <v>2363</v>
      </c>
      <c r="K244" s="42">
        <v>1.6821351660500701E-2</v>
      </c>
      <c r="L244" s="65"/>
      <c r="M244" s="30" t="s">
        <v>21</v>
      </c>
    </row>
    <row r="245" spans="1:13">
      <c r="A245" s="46">
        <v>234</v>
      </c>
      <c r="B245" s="57" t="s">
        <v>2439</v>
      </c>
      <c r="C245" s="57" t="s">
        <v>2439</v>
      </c>
      <c r="D245" s="57" t="s">
        <v>3497</v>
      </c>
      <c r="E245" s="57" t="s">
        <v>3510</v>
      </c>
      <c r="F245" s="58" t="s">
        <v>3511</v>
      </c>
      <c r="G245" s="58" t="s">
        <v>3512</v>
      </c>
      <c r="H245" s="44" t="s">
        <v>2567</v>
      </c>
      <c r="I245" s="58" t="s">
        <v>3513</v>
      </c>
      <c r="J245" s="58" t="s">
        <v>2364</v>
      </c>
      <c r="K245" s="42">
        <v>1.6821351660500701E-2</v>
      </c>
      <c r="L245" s="65"/>
    </row>
    <row r="246" spans="1:13">
      <c r="A246" s="46">
        <v>235</v>
      </c>
      <c r="B246" s="57" t="s">
        <v>2439</v>
      </c>
      <c r="C246" s="57" t="s">
        <v>2439</v>
      </c>
      <c r="D246" s="57" t="s">
        <v>3497</v>
      </c>
      <c r="E246" s="57" t="s">
        <v>3514</v>
      </c>
      <c r="F246" s="58" t="s">
        <v>3515</v>
      </c>
      <c r="G246" s="58" t="s">
        <v>3516</v>
      </c>
      <c r="H246" s="44" t="s">
        <v>2567</v>
      </c>
      <c r="I246" s="58" t="s">
        <v>3517</v>
      </c>
      <c r="J246" s="58" t="s">
        <v>2365</v>
      </c>
      <c r="K246" s="42">
        <v>1.6821351660500701E-2</v>
      </c>
      <c r="L246" s="65"/>
    </row>
    <row r="247" spans="1:13">
      <c r="A247" s="46">
        <v>236</v>
      </c>
      <c r="B247" s="57" t="s">
        <v>2439</v>
      </c>
      <c r="C247" s="57" t="s">
        <v>2439</v>
      </c>
      <c r="D247" s="57" t="s">
        <v>3497</v>
      </c>
      <c r="E247" s="57" t="s">
        <v>2876</v>
      </c>
      <c r="F247" s="58" t="s">
        <v>3518</v>
      </c>
      <c r="G247" s="58" t="s">
        <v>3519</v>
      </c>
      <c r="H247" s="44" t="s">
        <v>2567</v>
      </c>
      <c r="I247" s="58" t="s">
        <v>3520</v>
      </c>
      <c r="J247" s="58" t="s">
        <v>2366</v>
      </c>
      <c r="K247" s="42">
        <v>1.6821351660500701E-2</v>
      </c>
      <c r="L247" s="65"/>
    </row>
    <row r="248" spans="1:13">
      <c r="A248" s="46">
        <v>237</v>
      </c>
      <c r="B248" s="38" t="s">
        <v>3521</v>
      </c>
      <c r="C248" s="38" t="s">
        <v>3521</v>
      </c>
      <c r="D248" s="38" t="s">
        <v>3522</v>
      </c>
      <c r="E248" s="38"/>
      <c r="F248" s="45" t="s">
        <v>3523</v>
      </c>
      <c r="G248" s="45" t="s">
        <v>3524</v>
      </c>
      <c r="H248" s="44" t="s">
        <v>2567</v>
      </c>
      <c r="I248" s="45" t="s">
        <v>3525</v>
      </c>
      <c r="J248" s="45" t="s">
        <v>2367</v>
      </c>
      <c r="K248" s="42">
        <v>1.47205457538071E-2</v>
      </c>
      <c r="L248" s="65"/>
      <c r="M248" s="30" t="s">
        <v>3805</v>
      </c>
    </row>
    <row r="249" spans="1:13">
      <c r="A249" s="46">
        <v>238</v>
      </c>
      <c r="B249" s="38" t="s">
        <v>3521</v>
      </c>
      <c r="C249" s="38" t="s">
        <v>3521</v>
      </c>
      <c r="D249" s="38" t="s">
        <v>3526</v>
      </c>
      <c r="E249" s="38"/>
      <c r="F249" s="45" t="s">
        <v>3527</v>
      </c>
      <c r="G249" s="45" t="s">
        <v>3298</v>
      </c>
      <c r="H249" s="44" t="s">
        <v>2567</v>
      </c>
      <c r="I249" s="45" t="s">
        <v>3528</v>
      </c>
      <c r="J249" s="45" t="s">
        <v>2368</v>
      </c>
      <c r="K249" s="42">
        <v>1.47205457538071E-2</v>
      </c>
      <c r="L249" s="65"/>
    </row>
    <row r="250" spans="1:13">
      <c r="A250" s="46">
        <v>239</v>
      </c>
      <c r="B250" s="38" t="s">
        <v>3521</v>
      </c>
      <c r="C250" s="38" t="s">
        <v>3521</v>
      </c>
      <c r="D250" s="38" t="s">
        <v>2419</v>
      </c>
      <c r="E250" s="38"/>
      <c r="F250" s="45" t="s">
        <v>3529</v>
      </c>
      <c r="G250" s="45" t="s">
        <v>2743</v>
      </c>
      <c r="H250" s="44" t="s">
        <v>2567</v>
      </c>
      <c r="I250" s="45" t="s">
        <v>3530</v>
      </c>
      <c r="J250" s="45" t="s">
        <v>2369</v>
      </c>
      <c r="K250" s="42">
        <v>1.47205457538071E-2</v>
      </c>
      <c r="L250" s="65"/>
      <c r="M250" s="30" t="s">
        <v>899</v>
      </c>
    </row>
    <row r="251" spans="1:13">
      <c r="A251" s="46">
        <v>240</v>
      </c>
      <c r="B251" s="38" t="s">
        <v>3521</v>
      </c>
      <c r="C251" s="38" t="s">
        <v>3521</v>
      </c>
      <c r="D251" s="38" t="s">
        <v>3531</v>
      </c>
      <c r="E251" s="38"/>
      <c r="F251" s="45" t="s">
        <v>3532</v>
      </c>
      <c r="G251" s="45" t="s">
        <v>3533</v>
      </c>
      <c r="H251" s="44" t="s">
        <v>2567</v>
      </c>
      <c r="I251" s="45" t="s">
        <v>3534</v>
      </c>
      <c r="J251" s="45" t="s">
        <v>2370</v>
      </c>
      <c r="K251" s="42">
        <v>1.47205457538071E-2</v>
      </c>
      <c r="L251" s="65"/>
      <c r="M251" s="30" t="s">
        <v>3801</v>
      </c>
    </row>
    <row r="252" spans="1:13">
      <c r="A252" s="46">
        <v>241</v>
      </c>
      <c r="B252" s="38" t="s">
        <v>3521</v>
      </c>
      <c r="C252" s="38" t="s">
        <v>3521</v>
      </c>
      <c r="D252" s="38" t="s">
        <v>3535</v>
      </c>
      <c r="E252" s="38"/>
      <c r="F252" s="45" t="s">
        <v>3536</v>
      </c>
      <c r="G252" s="45" t="s">
        <v>3082</v>
      </c>
      <c r="H252" s="44" t="s">
        <v>2582</v>
      </c>
      <c r="I252" s="45" t="s">
        <v>3537</v>
      </c>
      <c r="J252" s="45" t="s">
        <v>2371</v>
      </c>
      <c r="K252" s="42">
        <v>1.47205457538071E-2</v>
      </c>
      <c r="L252" s="65"/>
      <c r="M252" s="30" t="s">
        <v>3809</v>
      </c>
    </row>
    <row r="253" spans="1:13">
      <c r="A253" s="46">
        <v>242</v>
      </c>
      <c r="B253" s="38" t="s">
        <v>2474</v>
      </c>
      <c r="C253" s="38" t="s">
        <v>2474</v>
      </c>
      <c r="D253" s="38" t="s">
        <v>3538</v>
      </c>
      <c r="E253" s="38" t="s">
        <v>3539</v>
      </c>
      <c r="F253" s="45" t="s">
        <v>3540</v>
      </c>
      <c r="G253" s="45" t="s">
        <v>3541</v>
      </c>
      <c r="H253" s="44" t="s">
        <v>2567</v>
      </c>
      <c r="I253" s="45" t="s">
        <v>3542</v>
      </c>
      <c r="J253" s="45" t="s">
        <v>2372</v>
      </c>
      <c r="K253" s="42">
        <v>2.5758560846054001E-2</v>
      </c>
      <c r="L253" s="65"/>
    </row>
    <row r="254" spans="1:13">
      <c r="A254" s="46">
        <v>243</v>
      </c>
      <c r="B254" s="38" t="s">
        <v>3543</v>
      </c>
      <c r="C254" s="38" t="s">
        <v>2474</v>
      </c>
      <c r="D254" s="38" t="s">
        <v>3538</v>
      </c>
      <c r="E254" s="38" t="s">
        <v>3544</v>
      </c>
      <c r="F254" s="45" t="s">
        <v>3545</v>
      </c>
      <c r="G254" s="45" t="s">
        <v>3546</v>
      </c>
      <c r="H254" s="44" t="s">
        <v>2567</v>
      </c>
      <c r="I254" s="45" t="s">
        <v>3547</v>
      </c>
      <c r="J254" s="45" t="s">
        <v>2373</v>
      </c>
      <c r="K254" s="42">
        <v>1.8770081328368202E-2</v>
      </c>
      <c r="L254" s="65"/>
    </row>
    <row r="255" spans="1:13">
      <c r="A255" s="46">
        <v>244</v>
      </c>
      <c r="B255" s="38" t="s">
        <v>2474</v>
      </c>
      <c r="C255" s="38" t="s">
        <v>2474</v>
      </c>
      <c r="D255" s="38" t="s">
        <v>3538</v>
      </c>
      <c r="E255" s="38" t="s">
        <v>3548</v>
      </c>
      <c r="F255" s="45" t="s">
        <v>3549</v>
      </c>
      <c r="G255" s="45" t="s">
        <v>3550</v>
      </c>
      <c r="H255" s="46" t="s">
        <v>2544</v>
      </c>
      <c r="I255" s="45" t="s">
        <v>3551</v>
      </c>
      <c r="J255" s="45" t="s">
        <v>2374</v>
      </c>
      <c r="K255" s="42">
        <v>2.6646211792538999E-2</v>
      </c>
      <c r="L255" s="65"/>
    </row>
    <row r="256" spans="1:13">
      <c r="A256" s="46">
        <v>245</v>
      </c>
      <c r="B256" s="38" t="s">
        <v>2474</v>
      </c>
      <c r="C256" s="38" t="s">
        <v>2474</v>
      </c>
      <c r="D256" s="38" t="s">
        <v>3552</v>
      </c>
      <c r="E256" s="38"/>
      <c r="F256" s="45" t="s">
        <v>3553</v>
      </c>
      <c r="G256" s="45" t="s">
        <v>3112</v>
      </c>
      <c r="H256" s="44" t="s">
        <v>2567</v>
      </c>
      <c r="I256" s="45" t="s">
        <v>3554</v>
      </c>
      <c r="J256" s="45" t="s">
        <v>2375</v>
      </c>
      <c r="K256" s="42">
        <v>1.02025307808655E-2</v>
      </c>
      <c r="L256" s="65"/>
      <c r="M256" s="30" t="s">
        <v>7</v>
      </c>
    </row>
    <row r="257" spans="1:13">
      <c r="A257" s="46">
        <v>246</v>
      </c>
      <c r="B257" s="38" t="s">
        <v>2474</v>
      </c>
      <c r="C257" s="38" t="s">
        <v>2474</v>
      </c>
      <c r="D257" s="38" t="s">
        <v>3555</v>
      </c>
      <c r="E257" s="38"/>
      <c r="F257" s="45" t="s">
        <v>3556</v>
      </c>
      <c r="G257" s="45" t="s">
        <v>3557</v>
      </c>
      <c r="H257" s="44" t="s">
        <v>2567</v>
      </c>
      <c r="I257" s="45" t="s">
        <v>3558</v>
      </c>
      <c r="J257" s="45" t="s">
        <v>2376</v>
      </c>
      <c r="K257" s="42">
        <v>1.02025307808655E-2</v>
      </c>
      <c r="L257" s="65"/>
    </row>
    <row r="258" spans="1:13">
      <c r="A258" s="46">
        <v>247</v>
      </c>
      <c r="B258" s="38" t="s">
        <v>2474</v>
      </c>
      <c r="C258" s="38" t="s">
        <v>2474</v>
      </c>
      <c r="D258" s="38" t="s">
        <v>3559</v>
      </c>
      <c r="E258" s="38"/>
      <c r="F258" s="45" t="s">
        <v>3560</v>
      </c>
      <c r="G258" s="45" t="s">
        <v>3561</v>
      </c>
      <c r="H258" s="44" t="s">
        <v>2567</v>
      </c>
      <c r="I258" s="45" t="s">
        <v>3562</v>
      </c>
      <c r="J258" s="45" t="s">
        <v>2377</v>
      </c>
      <c r="K258" s="42">
        <v>1.02025307808655E-2</v>
      </c>
      <c r="L258" s="65"/>
      <c r="M258" s="30" t="s">
        <v>3814</v>
      </c>
    </row>
    <row r="259" spans="1:13">
      <c r="A259" s="46">
        <v>248</v>
      </c>
      <c r="B259" s="38" t="s">
        <v>2474</v>
      </c>
      <c r="C259" s="38" t="s">
        <v>2474</v>
      </c>
      <c r="D259" s="38" t="s">
        <v>3563</v>
      </c>
      <c r="E259" s="38"/>
      <c r="F259" s="45" t="s">
        <v>3564</v>
      </c>
      <c r="G259" s="45" t="s">
        <v>3565</v>
      </c>
      <c r="H259" s="44" t="s">
        <v>2567</v>
      </c>
      <c r="I259" s="45" t="s">
        <v>3566</v>
      </c>
      <c r="J259" s="45" t="s">
        <v>2378</v>
      </c>
      <c r="K259" s="42">
        <v>1.02025307808655E-2</v>
      </c>
      <c r="L259" s="65"/>
      <c r="M259" s="30" t="s">
        <v>3816</v>
      </c>
    </row>
    <row r="260" spans="1:13">
      <c r="A260" s="46">
        <v>249</v>
      </c>
      <c r="B260" s="38" t="s">
        <v>2474</v>
      </c>
      <c r="C260" s="38" t="s">
        <v>2474</v>
      </c>
      <c r="D260" s="38" t="s">
        <v>3567</v>
      </c>
      <c r="E260" s="38"/>
      <c r="F260" s="45" t="s">
        <v>3568</v>
      </c>
      <c r="G260" s="45" t="s">
        <v>3569</v>
      </c>
      <c r="H260" s="44" t="s">
        <v>2567</v>
      </c>
      <c r="I260" s="45" t="s">
        <v>3570</v>
      </c>
      <c r="J260" s="45" t="s">
        <v>2379</v>
      </c>
      <c r="K260" s="42">
        <v>1.02025307808655E-2</v>
      </c>
      <c r="L260" s="65"/>
    </row>
    <row r="261" spans="1:13">
      <c r="A261" s="46">
        <v>250</v>
      </c>
      <c r="B261" s="38" t="s">
        <v>1589</v>
      </c>
      <c r="C261" s="38" t="s">
        <v>1589</v>
      </c>
      <c r="D261" s="38" t="s">
        <v>3571</v>
      </c>
      <c r="E261" s="38"/>
      <c r="F261" s="45" t="s">
        <v>3572</v>
      </c>
      <c r="G261" s="45" t="s">
        <v>3573</v>
      </c>
      <c r="H261" s="44" t="s">
        <v>2567</v>
      </c>
      <c r="I261" s="45" t="s">
        <v>3574</v>
      </c>
      <c r="J261" s="45" t="s">
        <v>2380</v>
      </c>
      <c r="K261" s="42">
        <v>7.0381303335329496E-3</v>
      </c>
      <c r="L261" s="65"/>
      <c r="M261" s="30" t="s">
        <v>2080</v>
      </c>
    </row>
    <row r="262" spans="1:13">
      <c r="A262" s="46">
        <v>251</v>
      </c>
      <c r="B262" s="38" t="s">
        <v>1589</v>
      </c>
      <c r="C262" s="38" t="s">
        <v>1589</v>
      </c>
      <c r="D262" s="38" t="s">
        <v>3575</v>
      </c>
      <c r="E262" s="38"/>
      <c r="F262" s="45" t="s">
        <v>3576</v>
      </c>
      <c r="G262" s="45" t="s">
        <v>3577</v>
      </c>
      <c r="H262" s="44" t="s">
        <v>2567</v>
      </c>
      <c r="I262" s="45" t="s">
        <v>3578</v>
      </c>
      <c r="J262" s="45" t="s">
        <v>2381</v>
      </c>
      <c r="K262" s="42">
        <v>7.0381303335329496E-3</v>
      </c>
      <c r="L262" s="65"/>
    </row>
    <row r="263" spans="1:13">
      <c r="A263" s="46">
        <v>252</v>
      </c>
      <c r="B263" s="38" t="s">
        <v>1589</v>
      </c>
      <c r="C263" s="38" t="s">
        <v>1589</v>
      </c>
      <c r="D263" s="38" t="s">
        <v>3579</v>
      </c>
      <c r="E263" s="38"/>
      <c r="F263" s="45" t="s">
        <v>3580</v>
      </c>
      <c r="G263" s="45" t="s">
        <v>3581</v>
      </c>
      <c r="H263" s="46" t="s">
        <v>2544</v>
      </c>
      <c r="I263" s="45" t="s">
        <v>3582</v>
      </c>
      <c r="J263" s="45" t="s">
        <v>2382</v>
      </c>
      <c r="K263" s="42">
        <v>7.0381303335329496E-3</v>
      </c>
      <c r="L263" s="65"/>
    </row>
    <row r="264" spans="1:13">
      <c r="A264" s="46">
        <v>253</v>
      </c>
      <c r="B264" s="38" t="s">
        <v>1589</v>
      </c>
      <c r="C264" s="38" t="s">
        <v>1589</v>
      </c>
      <c r="D264" s="38" t="s">
        <v>3207</v>
      </c>
      <c r="E264" s="38"/>
      <c r="F264" s="45" t="s">
        <v>3583</v>
      </c>
      <c r="G264" s="45" t="s">
        <v>2702</v>
      </c>
      <c r="H264" s="44" t="s">
        <v>2582</v>
      </c>
      <c r="I264" s="45" t="s">
        <v>3584</v>
      </c>
      <c r="J264" s="45" t="s">
        <v>2383</v>
      </c>
      <c r="K264" s="42">
        <v>7.0381303335329496E-3</v>
      </c>
      <c r="L264" s="65"/>
      <c r="M264" s="30" t="s">
        <v>7</v>
      </c>
    </row>
    <row r="265" spans="1:13">
      <c r="A265" s="46">
        <v>254</v>
      </c>
      <c r="B265" s="38" t="s">
        <v>1589</v>
      </c>
      <c r="C265" s="38" t="s">
        <v>1589</v>
      </c>
      <c r="D265" s="38" t="s">
        <v>3113</v>
      </c>
      <c r="E265" s="38"/>
      <c r="F265" s="45" t="s">
        <v>3585</v>
      </c>
      <c r="G265" s="45" t="s">
        <v>3586</v>
      </c>
      <c r="H265" s="44" t="s">
        <v>2567</v>
      </c>
      <c r="I265" s="45" t="s">
        <v>3587</v>
      </c>
      <c r="J265" s="45" t="s">
        <v>2384</v>
      </c>
      <c r="K265" s="42">
        <v>7.0381303335329496E-3</v>
      </c>
      <c r="L265" s="65"/>
    </row>
    <row r="266" spans="1:13">
      <c r="A266" s="46">
        <v>255</v>
      </c>
      <c r="B266" s="38" t="s">
        <v>1589</v>
      </c>
      <c r="C266" s="38" t="s">
        <v>1589</v>
      </c>
      <c r="D266" s="38" t="s">
        <v>3588</v>
      </c>
      <c r="E266" s="38"/>
      <c r="F266" s="45" t="s">
        <v>3589</v>
      </c>
      <c r="G266" s="45" t="s">
        <v>3590</v>
      </c>
      <c r="H266" s="44" t="s">
        <v>2567</v>
      </c>
      <c r="I266" s="45" t="s">
        <v>3591</v>
      </c>
      <c r="J266" s="45" t="s">
        <v>2385</v>
      </c>
      <c r="K266" s="42">
        <v>7.0381303335329496E-3</v>
      </c>
      <c r="L266" s="65"/>
    </row>
    <row r="267" spans="1:13">
      <c r="A267" s="46">
        <v>256</v>
      </c>
      <c r="B267" s="38" t="s">
        <v>1589</v>
      </c>
      <c r="C267" s="38" t="s">
        <v>1589</v>
      </c>
      <c r="D267" s="38" t="s">
        <v>3592</v>
      </c>
      <c r="E267" s="38"/>
      <c r="F267" s="45" t="s">
        <v>3593</v>
      </c>
      <c r="G267" s="45" t="s">
        <v>3594</v>
      </c>
      <c r="H267" s="44" t="s">
        <v>2567</v>
      </c>
      <c r="I267" s="45" t="s">
        <v>3595</v>
      </c>
      <c r="J267" s="45" t="s">
        <v>2386</v>
      </c>
      <c r="K267" s="42">
        <v>7.0381303335329496E-3</v>
      </c>
      <c r="L267" s="65"/>
    </row>
    <row r="268" spans="1:13">
      <c r="A268" s="46">
        <v>257</v>
      </c>
      <c r="B268" s="38" t="s">
        <v>2463</v>
      </c>
      <c r="C268" s="38" t="s">
        <v>2463</v>
      </c>
      <c r="D268" s="38" t="s">
        <v>3596</v>
      </c>
      <c r="E268" s="38" t="s">
        <v>3597</v>
      </c>
      <c r="F268" s="45" t="s">
        <v>3598</v>
      </c>
      <c r="G268" s="45" t="s">
        <v>3599</v>
      </c>
      <c r="H268" s="44" t="s">
        <v>2567</v>
      </c>
      <c r="I268" s="45" t="s">
        <v>3600</v>
      </c>
      <c r="J268" s="45" t="s">
        <v>2387</v>
      </c>
      <c r="K268" s="42">
        <v>1.5594451194508099E-2</v>
      </c>
      <c r="L268" s="65"/>
    </row>
    <row r="269" spans="1:13">
      <c r="A269" s="46">
        <v>258</v>
      </c>
      <c r="B269" s="38" t="s">
        <v>2463</v>
      </c>
      <c r="C269" s="38" t="s">
        <v>2463</v>
      </c>
      <c r="D269" s="38" t="s">
        <v>3596</v>
      </c>
      <c r="E269" s="38" t="s">
        <v>3601</v>
      </c>
      <c r="F269" s="45" t="s">
        <v>3602</v>
      </c>
      <c r="G269" s="45" t="s">
        <v>3603</v>
      </c>
      <c r="H269" s="46" t="s">
        <v>2544</v>
      </c>
      <c r="I269" s="45" t="s">
        <v>3604</v>
      </c>
      <c r="J269" s="45" t="s">
        <v>2388</v>
      </c>
      <c r="K269" s="42">
        <v>8.5264514628200505E-3</v>
      </c>
      <c r="L269" s="65"/>
    </row>
    <row r="270" spans="1:13">
      <c r="A270" s="46">
        <v>259</v>
      </c>
      <c r="B270" s="38" t="s">
        <v>2463</v>
      </c>
      <c r="C270" s="38" t="s">
        <v>2463</v>
      </c>
      <c r="D270" s="38" t="s">
        <v>3596</v>
      </c>
      <c r="E270" s="38" t="s">
        <v>3605</v>
      </c>
      <c r="F270" s="45" t="s">
        <v>3606</v>
      </c>
      <c r="G270" s="45" t="s">
        <v>3607</v>
      </c>
      <c r="H270" s="44" t="s">
        <v>2567</v>
      </c>
      <c r="I270" s="45" t="s">
        <v>3608</v>
      </c>
      <c r="J270" s="45" t="s">
        <v>2389</v>
      </c>
      <c r="K270" s="42">
        <v>9.9125684659382395E-3</v>
      </c>
      <c r="L270" s="65"/>
      <c r="M270" s="30" t="s">
        <v>5</v>
      </c>
    </row>
    <row r="271" spans="1:13">
      <c r="A271" s="46">
        <v>260</v>
      </c>
      <c r="B271" s="38" t="s">
        <v>2463</v>
      </c>
      <c r="C271" s="38" t="s">
        <v>2463</v>
      </c>
      <c r="D271" s="38" t="s">
        <v>3609</v>
      </c>
      <c r="E271" s="38"/>
      <c r="F271" s="45" t="s">
        <v>3610</v>
      </c>
      <c r="G271" s="45" t="s">
        <v>3611</v>
      </c>
      <c r="H271" s="44" t="s">
        <v>2567</v>
      </c>
      <c r="I271" s="45" t="s">
        <v>3612</v>
      </c>
      <c r="J271" s="45" t="s">
        <v>2390</v>
      </c>
      <c r="K271" s="42">
        <v>3.30376083479766E-3</v>
      </c>
      <c r="L271" s="65"/>
      <c r="M271" s="30" t="s">
        <v>3809</v>
      </c>
    </row>
    <row r="272" spans="1:13">
      <c r="A272" s="46">
        <v>261</v>
      </c>
      <c r="B272" s="38" t="s">
        <v>2463</v>
      </c>
      <c r="C272" s="38" t="s">
        <v>2463</v>
      </c>
      <c r="D272" s="38" t="s">
        <v>3613</v>
      </c>
      <c r="E272" s="38"/>
      <c r="F272" s="45" t="s">
        <v>3614</v>
      </c>
      <c r="G272" s="45" t="s">
        <v>3615</v>
      </c>
      <c r="H272" s="46" t="s">
        <v>2544</v>
      </c>
      <c r="I272" s="45" t="s">
        <v>3616</v>
      </c>
      <c r="J272" s="45" t="s">
        <v>2391</v>
      </c>
      <c r="K272" s="42">
        <v>3.30376083479766E-3</v>
      </c>
      <c r="L272" s="65"/>
    </row>
    <row r="273" spans="1:13">
      <c r="A273" s="46">
        <v>262</v>
      </c>
      <c r="B273" s="38" t="s">
        <v>2463</v>
      </c>
      <c r="C273" s="38" t="s">
        <v>2463</v>
      </c>
      <c r="D273" s="38" t="s">
        <v>3617</v>
      </c>
      <c r="E273" s="38" t="s">
        <v>3618</v>
      </c>
      <c r="F273" s="45" t="s">
        <v>3619</v>
      </c>
      <c r="G273" s="45" t="s">
        <v>3620</v>
      </c>
      <c r="H273" s="46" t="s">
        <v>2544</v>
      </c>
      <c r="I273" s="45" t="s">
        <v>3621</v>
      </c>
      <c r="J273" s="45" t="s">
        <v>2392</v>
      </c>
      <c r="K273" s="42">
        <v>8.0209247739304601E-3</v>
      </c>
      <c r="L273" s="65"/>
    </row>
    <row r="274" spans="1:13">
      <c r="A274" s="46">
        <v>263</v>
      </c>
      <c r="B274" s="38" t="s">
        <v>2463</v>
      </c>
      <c r="C274" s="38" t="s">
        <v>2463</v>
      </c>
      <c r="D274" s="38" t="s">
        <v>3617</v>
      </c>
      <c r="E274" s="38" t="s">
        <v>3622</v>
      </c>
      <c r="F274" s="45" t="s">
        <v>3623</v>
      </c>
      <c r="G274" s="45" t="s">
        <v>3624</v>
      </c>
      <c r="H274" s="44" t="s">
        <v>2567</v>
      </c>
      <c r="I274" s="45" t="s">
        <v>3625</v>
      </c>
      <c r="J274" s="45" t="s">
        <v>2393</v>
      </c>
      <c r="K274" s="42">
        <v>6.0527710196487797E-2</v>
      </c>
      <c r="L274" s="65"/>
    </row>
    <row r="275" spans="1:13">
      <c r="A275" s="46">
        <v>264</v>
      </c>
      <c r="B275" s="38" t="s">
        <v>2463</v>
      </c>
      <c r="C275" s="38" t="s">
        <v>2463</v>
      </c>
      <c r="D275" s="38" t="s">
        <v>3626</v>
      </c>
      <c r="E275" s="38" t="s">
        <v>3627</v>
      </c>
      <c r="F275" s="45" t="s">
        <v>3628</v>
      </c>
      <c r="G275" s="45" t="s">
        <v>3629</v>
      </c>
      <c r="H275" s="46" t="s">
        <v>2544</v>
      </c>
      <c r="I275" s="45" t="s">
        <v>3630</v>
      </c>
      <c r="J275" s="45" t="s">
        <v>2394</v>
      </c>
      <c r="K275" s="42">
        <v>3.60191079018746E-3</v>
      </c>
      <c r="L275" s="65"/>
    </row>
    <row r="276" spans="1:13">
      <c r="A276" s="46">
        <v>265</v>
      </c>
      <c r="B276" s="38" t="s">
        <v>2463</v>
      </c>
      <c r="C276" s="38" t="s">
        <v>2463</v>
      </c>
      <c r="D276" s="38" t="s">
        <v>3626</v>
      </c>
      <c r="E276" s="38" t="s">
        <v>3631</v>
      </c>
      <c r="F276" s="45" t="s">
        <v>3632</v>
      </c>
      <c r="G276" s="45" t="s">
        <v>3633</v>
      </c>
      <c r="H276" s="44" t="s">
        <v>2567</v>
      </c>
      <c r="I276" s="45" t="s">
        <v>3634</v>
      </c>
      <c r="J276" s="45" t="s">
        <v>2395</v>
      </c>
      <c r="K276" s="42">
        <v>-7.33011621235302E-3</v>
      </c>
      <c r="L276" s="65"/>
      <c r="M276" s="30" t="s">
        <v>3809</v>
      </c>
    </row>
    <row r="277" spans="1:13">
      <c r="A277" s="46">
        <v>266</v>
      </c>
      <c r="B277" s="38" t="s">
        <v>2463</v>
      </c>
      <c r="C277" s="38" t="s">
        <v>2463</v>
      </c>
      <c r="D277" s="38" t="s">
        <v>3626</v>
      </c>
      <c r="E277" s="38" t="s">
        <v>3635</v>
      </c>
      <c r="F277" s="45" t="s">
        <v>3636</v>
      </c>
      <c r="G277" s="45" t="s">
        <v>3637</v>
      </c>
      <c r="H277" s="44" t="s">
        <v>2567</v>
      </c>
      <c r="I277" s="45" t="s">
        <v>3638</v>
      </c>
      <c r="J277" s="45" t="s">
        <v>2396</v>
      </c>
      <c r="K277" s="42">
        <v>1.4239888228831901E-2</v>
      </c>
      <c r="L277" s="65"/>
      <c r="M277" s="30" t="s">
        <v>966</v>
      </c>
    </row>
    <row r="278" spans="1:13">
      <c r="A278" s="46">
        <v>267</v>
      </c>
      <c r="B278" s="38" t="s">
        <v>3639</v>
      </c>
      <c r="C278" s="54" t="s">
        <v>2465</v>
      </c>
      <c r="D278" s="54" t="s">
        <v>3640</v>
      </c>
      <c r="E278" s="54"/>
      <c r="F278" s="55" t="s">
        <v>3641</v>
      </c>
      <c r="G278" s="55" t="s">
        <v>3642</v>
      </c>
      <c r="H278" s="62" t="s">
        <v>2544</v>
      </c>
      <c r="I278" s="55" t="s">
        <v>3643</v>
      </c>
      <c r="J278" s="55" t="s">
        <v>2397</v>
      </c>
      <c r="K278" s="42">
        <v>8.6681240854447096E-3</v>
      </c>
      <c r="L278" s="65"/>
    </row>
    <row r="279" spans="1:13">
      <c r="A279" s="46">
        <v>268</v>
      </c>
      <c r="B279" s="38" t="s">
        <v>3639</v>
      </c>
      <c r="C279" s="54" t="s">
        <v>2465</v>
      </c>
      <c r="D279" s="54" t="s">
        <v>3644</v>
      </c>
      <c r="E279" s="54"/>
      <c r="F279" s="55" t="s">
        <v>3645</v>
      </c>
      <c r="G279" s="55" t="s">
        <v>3646</v>
      </c>
      <c r="H279" s="62" t="s">
        <v>2544</v>
      </c>
      <c r="I279" s="55" t="s">
        <v>3647</v>
      </c>
      <c r="J279" s="55" t="s">
        <v>2398</v>
      </c>
      <c r="K279" s="42">
        <v>1.3510114109660501E-3</v>
      </c>
      <c r="L279" s="65"/>
    </row>
    <row r="280" spans="1:13">
      <c r="A280" s="46">
        <v>269</v>
      </c>
      <c r="B280" s="38" t="s">
        <v>3639</v>
      </c>
      <c r="C280" s="54" t="s">
        <v>2465</v>
      </c>
      <c r="D280" s="54" t="s">
        <v>3648</v>
      </c>
      <c r="E280" s="54"/>
      <c r="F280" s="55" t="s">
        <v>3649</v>
      </c>
      <c r="G280" s="55" t="s">
        <v>3650</v>
      </c>
      <c r="H280" s="62" t="s">
        <v>2544</v>
      </c>
      <c r="I280" s="55" t="s">
        <v>3651</v>
      </c>
      <c r="J280" s="55" t="s">
        <v>2399</v>
      </c>
      <c r="K280" s="42">
        <v>7.52921728828104E-3</v>
      </c>
      <c r="L280" s="65"/>
    </row>
    <row r="281" spans="1:13">
      <c r="A281" s="46">
        <v>270</v>
      </c>
      <c r="B281" s="38" t="s">
        <v>3639</v>
      </c>
      <c r="C281" s="54" t="s">
        <v>2465</v>
      </c>
      <c r="D281" s="54" t="s">
        <v>3652</v>
      </c>
      <c r="E281" s="54"/>
      <c r="F281" s="55" t="s">
        <v>3653</v>
      </c>
      <c r="G281" s="55" t="s">
        <v>3654</v>
      </c>
      <c r="H281" s="62" t="s">
        <v>2544</v>
      </c>
      <c r="I281" s="55" t="s">
        <v>3655</v>
      </c>
      <c r="J281" s="55" t="s">
        <v>2400</v>
      </c>
      <c r="K281" s="42">
        <v>-7.0067457727390802E-3</v>
      </c>
      <c r="L281" s="65"/>
    </row>
    <row r="282" spans="1:13">
      <c r="A282" s="46">
        <v>271</v>
      </c>
      <c r="B282" s="38" t="s">
        <v>3639</v>
      </c>
      <c r="C282" s="54" t="s">
        <v>2465</v>
      </c>
      <c r="D282" s="54" t="s">
        <v>3656</v>
      </c>
      <c r="E282" s="54"/>
      <c r="F282" s="55" t="s">
        <v>3657</v>
      </c>
      <c r="G282" s="55" t="s">
        <v>3658</v>
      </c>
      <c r="H282" s="62" t="s">
        <v>2544</v>
      </c>
      <c r="I282" s="55" t="s">
        <v>3659</v>
      </c>
      <c r="J282" s="55" t="s">
        <v>2401</v>
      </c>
      <c r="K282" s="42">
        <v>-9.8404325391175905E-3</v>
      </c>
      <c r="L282" s="65"/>
    </row>
    <row r="283" spans="1:13">
      <c r="A283" s="46">
        <v>272</v>
      </c>
      <c r="B283" s="38" t="s">
        <v>3639</v>
      </c>
      <c r="C283" s="54" t="s">
        <v>2465</v>
      </c>
      <c r="D283" s="54" t="s">
        <v>3660</v>
      </c>
      <c r="E283" s="54"/>
      <c r="F283" s="55" t="s">
        <v>3661</v>
      </c>
      <c r="G283" s="55" t="s">
        <v>3662</v>
      </c>
      <c r="H283" s="62" t="s">
        <v>2544</v>
      </c>
      <c r="I283" s="55" t="s">
        <v>3663</v>
      </c>
      <c r="J283" s="55" t="s">
        <v>2402</v>
      </c>
      <c r="K283" s="42">
        <v>0</v>
      </c>
      <c r="L283" s="65"/>
    </row>
    <row r="284" spans="1:13">
      <c r="A284" s="46">
        <v>273</v>
      </c>
      <c r="B284" s="38" t="s">
        <v>3639</v>
      </c>
      <c r="C284" s="47" t="s">
        <v>2455</v>
      </c>
      <c r="D284" s="47" t="s">
        <v>3664</v>
      </c>
      <c r="E284" s="47" t="s">
        <v>3665</v>
      </c>
      <c r="F284" s="48" t="s">
        <v>3666</v>
      </c>
      <c r="G284" s="48" t="s">
        <v>3667</v>
      </c>
      <c r="H284" s="50" t="s">
        <v>2544</v>
      </c>
      <c r="I284" s="48" t="s">
        <v>3668</v>
      </c>
      <c r="J284" s="48" t="s">
        <v>2403</v>
      </c>
      <c r="K284" s="42">
        <v>-4.0973241488456498E-2</v>
      </c>
      <c r="L284" s="65"/>
    </row>
    <row r="285" spans="1:13">
      <c r="A285" s="46">
        <v>274</v>
      </c>
      <c r="B285" s="38" t="s">
        <v>3639</v>
      </c>
      <c r="C285" s="47" t="s">
        <v>2455</v>
      </c>
      <c r="D285" s="47" t="s">
        <v>3664</v>
      </c>
      <c r="E285" s="47" t="s">
        <v>3669</v>
      </c>
      <c r="F285" s="48" t="s">
        <v>3670</v>
      </c>
      <c r="G285" s="48" t="s">
        <v>3671</v>
      </c>
      <c r="H285" s="50" t="s">
        <v>2544</v>
      </c>
      <c r="I285" s="48" t="s">
        <v>3672</v>
      </c>
      <c r="J285" s="48" t="s">
        <v>2404</v>
      </c>
      <c r="K285" s="42">
        <v>-4.0973241488456498E-2</v>
      </c>
      <c r="L285" s="65"/>
    </row>
    <row r="286" spans="1:13">
      <c r="A286" s="46">
        <v>275</v>
      </c>
      <c r="B286" s="38" t="s">
        <v>3639</v>
      </c>
      <c r="C286" s="47" t="s">
        <v>2455</v>
      </c>
      <c r="D286" s="47" t="s">
        <v>3664</v>
      </c>
      <c r="E286" s="47" t="s">
        <v>3673</v>
      </c>
      <c r="F286" s="48" t="s">
        <v>3674</v>
      </c>
      <c r="G286" s="48" t="s">
        <v>3675</v>
      </c>
      <c r="H286" s="50" t="s">
        <v>2544</v>
      </c>
      <c r="I286" s="48" t="s">
        <v>3676</v>
      </c>
      <c r="J286" s="48" t="s">
        <v>2405</v>
      </c>
      <c r="K286" s="42">
        <v>-4.0973241488456498E-2</v>
      </c>
      <c r="L286" s="65"/>
    </row>
    <row r="287" spans="1:13">
      <c r="A287" s="46">
        <v>276</v>
      </c>
      <c r="B287" s="38" t="s">
        <v>3639</v>
      </c>
      <c r="C287" s="47" t="s">
        <v>2455</v>
      </c>
      <c r="D287" s="47" t="s">
        <v>3677</v>
      </c>
      <c r="E287" s="47" t="s">
        <v>3678</v>
      </c>
      <c r="F287" s="48" t="s">
        <v>3679</v>
      </c>
      <c r="G287" s="48" t="s">
        <v>3680</v>
      </c>
      <c r="H287" s="50" t="s">
        <v>2544</v>
      </c>
      <c r="I287" s="48" t="s">
        <v>3681</v>
      </c>
      <c r="J287" s="48" t="s">
        <v>2406</v>
      </c>
      <c r="K287" s="42">
        <v>-4.0973241488456498E-2</v>
      </c>
      <c r="L287" s="65"/>
    </row>
    <row r="288" spans="1:13">
      <c r="A288" s="46">
        <v>277</v>
      </c>
      <c r="B288" s="38" t="s">
        <v>3639</v>
      </c>
      <c r="C288" s="47" t="s">
        <v>2455</v>
      </c>
      <c r="D288" s="47" t="s">
        <v>3677</v>
      </c>
      <c r="E288" s="47" t="s">
        <v>3682</v>
      </c>
      <c r="F288" s="48" t="s">
        <v>3683</v>
      </c>
      <c r="G288" s="48" t="s">
        <v>3684</v>
      </c>
      <c r="H288" s="50" t="s">
        <v>2544</v>
      </c>
      <c r="I288" s="48" t="s">
        <v>3685</v>
      </c>
      <c r="J288" s="48" t="s">
        <v>2407</v>
      </c>
      <c r="K288" s="42">
        <v>-4.0973241488456498E-2</v>
      </c>
      <c r="L288" s="65"/>
    </row>
    <row r="289" spans="1:12">
      <c r="A289" s="46">
        <v>278</v>
      </c>
      <c r="B289" s="38" t="s">
        <v>3639</v>
      </c>
      <c r="C289" s="47" t="s">
        <v>2455</v>
      </c>
      <c r="D289" s="47" t="s">
        <v>3686</v>
      </c>
      <c r="E289" s="47"/>
      <c r="F289" s="48" t="s">
        <v>3687</v>
      </c>
      <c r="G289" s="48" t="s">
        <v>3688</v>
      </c>
      <c r="H289" s="50" t="s">
        <v>2544</v>
      </c>
      <c r="I289" s="48" t="s">
        <v>3689</v>
      </c>
      <c r="J289" s="48" t="s">
        <v>2408</v>
      </c>
      <c r="K289" s="42">
        <v>-4.0973241488456498E-2</v>
      </c>
      <c r="L289" s="65"/>
    </row>
    <row r="290" spans="1:12">
      <c r="A290" s="46">
        <v>279</v>
      </c>
      <c r="B290" s="38" t="s">
        <v>3639</v>
      </c>
      <c r="C290" s="47" t="s">
        <v>2455</v>
      </c>
      <c r="D290" s="47" t="s">
        <v>3690</v>
      </c>
      <c r="E290" s="47"/>
      <c r="F290" s="48" t="s">
        <v>3691</v>
      </c>
      <c r="G290" s="48" t="s">
        <v>3692</v>
      </c>
      <c r="H290" s="50" t="s">
        <v>2544</v>
      </c>
      <c r="I290" s="48" t="s">
        <v>3693</v>
      </c>
      <c r="J290" s="48" t="s">
        <v>2409</v>
      </c>
      <c r="K290" s="42">
        <v>-4.0973241488456498E-2</v>
      </c>
      <c r="L290" s="65"/>
    </row>
    <row r="291" spans="1:12">
      <c r="A291" s="71">
        <v>280</v>
      </c>
      <c r="B291" s="72" t="s">
        <v>3639</v>
      </c>
      <c r="C291" s="73" t="s">
        <v>2455</v>
      </c>
      <c r="D291" s="73" t="s">
        <v>3694</v>
      </c>
      <c r="E291" s="73"/>
      <c r="F291" s="74" t="s">
        <v>3695</v>
      </c>
      <c r="G291" s="74" t="s">
        <v>3696</v>
      </c>
      <c r="H291" s="75" t="s">
        <v>2544</v>
      </c>
      <c r="I291" s="74" t="s">
        <v>3697</v>
      </c>
      <c r="J291" s="74" t="s">
        <v>2410</v>
      </c>
      <c r="K291" s="76">
        <v>-4.0973241488456498E-2</v>
      </c>
      <c r="L291" s="77"/>
    </row>
    <row r="292" spans="1:12">
      <c r="L292" s="49"/>
    </row>
  </sheetData>
  <phoneticPr fontId="5" type="noConversion"/>
  <pageMargins left="0.7" right="0.7" top="0.75" bottom="0.75" header="0.3" footer="0.3"/>
  <pageSetup paperSize="9" orientation="portrait" verticalDpi="0" r:id="rId1"/>
  <headerFooter>
    <oddFooter>&amp;L_x000D_&amp;1#&amp;"Aptos"&amp;11&amp;K5F5F5F S-OIL: Company Use Only</oddFooter>
  </headerFooter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9"/>
  <dimension ref="A1:M115"/>
  <sheetViews>
    <sheetView tabSelected="1" topLeftCell="A85" zoomScale="85" zoomScaleNormal="85" workbookViewId="0">
      <selection activeCell="F115" sqref="F115"/>
    </sheetView>
  </sheetViews>
  <sheetFormatPr defaultRowHeight="16.5"/>
  <cols>
    <col min="1" max="1" width="13.5" bestFit="1" customWidth="1"/>
    <col min="2" max="2" width="17.5" bestFit="1" customWidth="1"/>
    <col min="3" max="3" width="17.125" bestFit="1" customWidth="1"/>
    <col min="4" max="4" width="16" customWidth="1"/>
    <col min="5" max="5" width="26.375" customWidth="1"/>
    <col min="6" max="6" width="16" customWidth="1"/>
    <col min="7" max="7" width="12.625" customWidth="1"/>
    <col min="8" max="8" width="29" customWidth="1"/>
    <col min="9" max="9" width="4.25" customWidth="1"/>
    <col min="10" max="10" width="12.125" bestFit="1" customWidth="1"/>
    <col min="11" max="12" width="12.125" customWidth="1"/>
  </cols>
  <sheetData>
    <row r="1" spans="1:13">
      <c r="A1" t="s">
        <v>1</v>
      </c>
      <c r="B1" t="s">
        <v>3</v>
      </c>
      <c r="C1" t="s">
        <v>2</v>
      </c>
      <c r="D1" t="s">
        <v>776</v>
      </c>
      <c r="E1" t="s">
        <v>777</v>
      </c>
      <c r="F1" t="s">
        <v>541</v>
      </c>
      <c r="G1" t="s">
        <v>718</v>
      </c>
      <c r="H1" t="s">
        <v>0</v>
      </c>
      <c r="I1" t="s">
        <v>270</v>
      </c>
      <c r="J1" t="s">
        <v>891</v>
      </c>
      <c r="K1" t="s">
        <v>975</v>
      </c>
      <c r="L1" t="s">
        <v>980</v>
      </c>
      <c r="M1" t="s">
        <v>981</v>
      </c>
    </row>
    <row r="2" spans="1:13">
      <c r="A2" t="s">
        <v>4</v>
      </c>
      <c r="B2" t="s">
        <v>5</v>
      </c>
      <c r="C2" s="17" t="s">
        <v>5</v>
      </c>
      <c r="D2" t="s">
        <v>6</v>
      </c>
      <c r="E2" t="s">
        <v>778</v>
      </c>
      <c r="F2">
        <v>2100</v>
      </c>
      <c r="G2">
        <v>2901210000</v>
      </c>
      <c r="H2" t="s">
        <v>471</v>
      </c>
      <c r="J2" t="str">
        <f>IF(COUNTIF(CCMA[material_name],C2)&gt;0,"O","X")</f>
        <v>O</v>
      </c>
      <c r="K2" t="str">
        <f>IF(COUNTIF(CEH[material_name],C2)&gt;0,"O","X")</f>
        <v>O</v>
      </c>
      <c r="L2" t="str">
        <f>IF(COUNTIF(표8[material_id],표2[[#This Row],[material_id]])&gt;0, "O", "X")</f>
        <v>O</v>
      </c>
      <c r="M2" t="str">
        <f>IF(COUNTIFS(표8[material_id],표2[[#This Row],[material_id]],표8[location],"울산")&gt;0, "O", "X")</f>
        <v>O</v>
      </c>
    </row>
    <row r="3" spans="1:13">
      <c r="A3" t="s">
        <v>45</v>
      </c>
      <c r="B3" t="s">
        <v>5</v>
      </c>
      <c r="C3" s="21" t="s">
        <v>29</v>
      </c>
      <c r="D3" t="s">
        <v>24</v>
      </c>
      <c r="E3" t="s">
        <v>779</v>
      </c>
      <c r="F3">
        <v>2110</v>
      </c>
      <c r="G3">
        <v>3910120000</v>
      </c>
      <c r="J3" t="str">
        <f>IF(COUNTIF(CCMA[material_name],C3)&gt;0,"O","X")</f>
        <v>X</v>
      </c>
      <c r="K3" t="str">
        <f>IF(COUNTIF(CEH[material_name],C3)&gt;0,"O","X")</f>
        <v>O</v>
      </c>
      <c r="L3" t="str">
        <f>IF(COUNTIF(표8[material_id],표2[[#This Row],[material_id]])&gt;0, "O", "X")</f>
        <v>O</v>
      </c>
      <c r="M3" t="str">
        <f>IF(COUNTIFS(표8[material_id],표2[[#This Row],[material_id]],표8[location],"울산")&gt;0, "O", "X")</f>
        <v>O</v>
      </c>
    </row>
    <row r="4" spans="1:13">
      <c r="A4" t="s">
        <v>8</v>
      </c>
      <c r="B4" t="s">
        <v>5</v>
      </c>
      <c r="C4" s="21" t="s">
        <v>31</v>
      </c>
      <c r="D4" t="s">
        <v>24</v>
      </c>
      <c r="E4" t="s">
        <v>779</v>
      </c>
      <c r="F4">
        <v>2120</v>
      </c>
      <c r="G4">
        <v>3901109000</v>
      </c>
      <c r="J4" t="str">
        <f>IF(COUNTIF(CCMA[material_name],C4)&gt;0,"O","X")</f>
        <v>X</v>
      </c>
      <c r="K4" t="str">
        <f>IF(COUNTIF(CEH[material_name],C4)&gt;0,"O","X")</f>
        <v>O</v>
      </c>
      <c r="L4" t="str">
        <f>IF(COUNTIF(표8[material_id],표2[[#This Row],[material_id]])&gt;0, "O", "X")</f>
        <v>O</v>
      </c>
      <c r="M4" t="str">
        <f>IF(COUNTIFS(표8[material_id],표2[[#This Row],[material_id]],표8[location],"울산")&gt;0, "O", "X")</f>
        <v>O</v>
      </c>
    </row>
    <row r="5" spans="1:13">
      <c r="A5" t="s">
        <v>10</v>
      </c>
      <c r="B5" t="s">
        <v>5</v>
      </c>
      <c r="C5" s="21" t="s">
        <v>32</v>
      </c>
      <c r="D5" t="s">
        <v>24</v>
      </c>
      <c r="E5" t="s">
        <v>779</v>
      </c>
      <c r="F5">
        <v>2130</v>
      </c>
      <c r="G5">
        <v>3901101000</v>
      </c>
      <c r="J5" t="str">
        <f>IF(COUNTIF(CCMA[material_name],C5)&gt;0,"O","X")</f>
        <v>X</v>
      </c>
      <c r="K5" t="str">
        <f>IF(COUNTIF(CEH[material_name],C5)&gt;0,"O","X")</f>
        <v>O</v>
      </c>
      <c r="L5" t="str">
        <f>IF(COUNTIF(표8[material_id],표2[[#This Row],[material_id]])&gt;0, "O", "X")</f>
        <v>O</v>
      </c>
      <c r="M5" t="str">
        <f>IF(COUNTIFS(표8[material_id],표2[[#This Row],[material_id]],표8[location],"울산")&gt;0, "O", "X")</f>
        <v>O</v>
      </c>
    </row>
    <row r="6" spans="1:13">
      <c r="A6" t="s">
        <v>11</v>
      </c>
      <c r="B6" t="s">
        <v>5</v>
      </c>
      <c r="C6" s="21" t="s">
        <v>458</v>
      </c>
      <c r="D6" t="s">
        <v>16</v>
      </c>
      <c r="E6" t="s">
        <v>780</v>
      </c>
      <c r="F6">
        <v>2200</v>
      </c>
      <c r="G6">
        <v>2903150000</v>
      </c>
      <c r="H6" t="s">
        <v>986</v>
      </c>
      <c r="J6" t="str">
        <f>IF(COUNTIF(CCMA[material_name],C6)&gt;0,"O","X")</f>
        <v>O</v>
      </c>
      <c r="K6" t="str">
        <f>IF(COUNTIF(CEH[material_name],C6)&gt;0,"O","X")</f>
        <v>O</v>
      </c>
      <c r="L6" t="str">
        <f>IF(COUNTIF(표8[material_id],표2[[#This Row],[material_id]])&gt;0, "O", "X")</f>
        <v>O</v>
      </c>
      <c r="M6" t="str">
        <f>IF(COUNTIFS(표8[material_id],표2[[#This Row],[material_id]],표8[location],"울산")&gt;0, "O", "X")</f>
        <v>O</v>
      </c>
    </row>
    <row r="7" spans="1:13">
      <c r="A7" t="s">
        <v>12</v>
      </c>
      <c r="B7" t="s">
        <v>5</v>
      </c>
      <c r="C7" s="21" t="s">
        <v>43</v>
      </c>
      <c r="D7" t="s">
        <v>30</v>
      </c>
      <c r="E7" t="s">
        <v>781</v>
      </c>
      <c r="F7">
        <v>2210</v>
      </c>
      <c r="G7">
        <v>2903210000</v>
      </c>
      <c r="H7" t="s">
        <v>33</v>
      </c>
      <c r="J7" t="str">
        <f>IF(COUNTIF(CCMA[material_name],C7)&gt;0,"O","X")</f>
        <v>O</v>
      </c>
      <c r="K7" t="str">
        <f>IF(COUNTIF(CEH[material_name],C7)&gt;0,"O","X")</f>
        <v>O</v>
      </c>
      <c r="L7" t="str">
        <f>IF(COUNTIF(표8[material_id],표2[[#This Row],[material_id]])&gt;0, "O", "X")</f>
        <v>O</v>
      </c>
      <c r="M7" t="str">
        <f>IF(COUNTIFS(표8[material_id],표2[[#This Row],[material_id]],표8[location],"울산")&gt;0, "O", "X")</f>
        <v>O</v>
      </c>
    </row>
    <row r="8" spans="1:13">
      <c r="A8" t="s">
        <v>14</v>
      </c>
      <c r="B8" t="s">
        <v>5</v>
      </c>
      <c r="C8" s="21" t="s">
        <v>34</v>
      </c>
      <c r="D8" t="s">
        <v>24</v>
      </c>
      <c r="E8" t="s">
        <v>782</v>
      </c>
      <c r="F8">
        <v>2220</v>
      </c>
      <c r="G8">
        <v>3904100000</v>
      </c>
      <c r="H8" t="s">
        <v>473</v>
      </c>
      <c r="J8" t="str">
        <f>IF(COUNTIF(CCMA[material_name],C8)&gt;0,"O","X")</f>
        <v>O</v>
      </c>
      <c r="K8" t="str">
        <f>IF(COUNTIF(CEH[material_name],C8)&gt;0,"O","X")</f>
        <v>O</v>
      </c>
      <c r="L8" t="str">
        <f>IF(COUNTIF(표8[material_id],표2[[#This Row],[material_id]])&gt;0, "O", "X")</f>
        <v>O</v>
      </c>
      <c r="M8" t="str">
        <f>IF(COUNTIFS(표8[material_id],표2[[#This Row],[material_id]],표8[location],"울산")&gt;0, "O", "X")</f>
        <v>O</v>
      </c>
    </row>
    <row r="9" spans="1:13">
      <c r="A9" t="s">
        <v>17</v>
      </c>
      <c r="B9" t="s">
        <v>5</v>
      </c>
      <c r="C9" s="21" t="s">
        <v>36</v>
      </c>
      <c r="D9" t="s">
        <v>16</v>
      </c>
      <c r="E9" t="s">
        <v>783</v>
      </c>
      <c r="F9">
        <v>2400</v>
      </c>
      <c r="G9">
        <v>2207200000</v>
      </c>
      <c r="J9" t="str">
        <f>IF(COUNTIF(CCMA[material_name],C9)&gt;0,"O","X")</f>
        <v>X</v>
      </c>
      <c r="K9" t="str">
        <f>IF(COUNTIF(CEH[material_name],C9)&gt;0,"O","X")</f>
        <v>O</v>
      </c>
      <c r="L9" t="str">
        <f>IF(COUNTIF(표8[material_id],표2[[#This Row],[material_id]])&gt;0, "O", "X")</f>
        <v>O</v>
      </c>
      <c r="M9" t="str">
        <f>IF(COUNTIFS(표8[material_id],표2[[#This Row],[material_id]],표8[location],"울산")&gt;0, "O", "X")</f>
        <v>O</v>
      </c>
    </row>
    <row r="10" spans="1:13">
      <c r="A10" s="16" t="s">
        <v>18</v>
      </c>
      <c r="B10" s="16" t="s">
        <v>5</v>
      </c>
      <c r="C10" s="16" t="s">
        <v>37</v>
      </c>
      <c r="D10" s="16" t="s">
        <v>16</v>
      </c>
      <c r="E10" s="16" t="s">
        <v>784</v>
      </c>
      <c r="F10" s="16">
        <v>2500</v>
      </c>
      <c r="G10" s="16"/>
      <c r="H10" s="16" t="s">
        <v>988</v>
      </c>
      <c r="I10" s="16" t="s">
        <v>269</v>
      </c>
      <c r="J10" s="16" t="str">
        <f>IF(COUNTIF(CCMA[material_name],C10)&gt;0,"O","X")</f>
        <v>X</v>
      </c>
      <c r="K10" s="16" t="str">
        <f>IF(COUNTIF(CEH[material_name],C10)&gt;0,"O","X")</f>
        <v>O</v>
      </c>
      <c r="L10" s="16" t="str">
        <f>IF(COUNTIF(표8[material_id],표2[[#This Row],[material_id]])&gt;0, "O", "X")</f>
        <v>X</v>
      </c>
      <c r="M10" s="16" t="str">
        <f>IF(COUNTIFS(표8[material_id],표2[[#This Row],[material_id]],표8[location],"울산")&gt;0, "O", "X")</f>
        <v>X</v>
      </c>
    </row>
    <row r="11" spans="1:13">
      <c r="A11" t="s">
        <v>20</v>
      </c>
      <c r="B11" t="s">
        <v>5</v>
      </c>
      <c r="C11" s="21" t="s">
        <v>989</v>
      </c>
      <c r="D11" t="s">
        <v>16</v>
      </c>
      <c r="E11" t="s">
        <v>785</v>
      </c>
      <c r="F11">
        <v>2420</v>
      </c>
      <c r="G11">
        <v>2915310000</v>
      </c>
      <c r="J11" t="str">
        <f>IF(COUNTIF(CCMA[material_name],C11)&gt;0,"O","X")</f>
        <v>X</v>
      </c>
      <c r="K11" t="str">
        <f>IF(COUNTIF(CEH[material_name],C11)&gt;0,"O","X")</f>
        <v>O</v>
      </c>
      <c r="L11" t="str">
        <f>IF(COUNTIF(표8[material_id],표2[[#This Row],[material_id]])&gt;0, "O", "X")</f>
        <v>O</v>
      </c>
      <c r="M11" t="str">
        <f>IF(COUNTIFS(표8[material_id],표2[[#This Row],[material_id]],표8[location],"울산")&gt;0, "O", "X")</f>
        <v>O</v>
      </c>
    </row>
    <row r="12" spans="1:13">
      <c r="A12" s="16" t="s">
        <v>22</v>
      </c>
      <c r="B12" s="16" t="s">
        <v>769</v>
      </c>
      <c r="C12" s="16" t="s">
        <v>1089</v>
      </c>
      <c r="D12" s="16" t="s">
        <v>16</v>
      </c>
      <c r="E12" s="16" t="s">
        <v>786</v>
      </c>
      <c r="F12" s="16">
        <v>2510</v>
      </c>
      <c r="G12" s="16">
        <v>2916121000</v>
      </c>
      <c r="H12" s="16" t="s">
        <v>1088</v>
      </c>
      <c r="I12" s="16" t="s">
        <v>269</v>
      </c>
      <c r="J12" s="16" t="str">
        <f>IF(COUNTIF(CCMA[material_name],C12)&gt;0,"O","X")</f>
        <v>X</v>
      </c>
      <c r="K12" s="16" t="str">
        <f>IF(COUNTIF(CEH[material_name],C12)&gt;0,"O","X")</f>
        <v>X</v>
      </c>
      <c r="L12" s="16" t="str">
        <f>IF(COUNTIF(표8[material_id],표2[[#This Row],[material_id]])&gt;0, "O", "X")</f>
        <v>X</v>
      </c>
      <c r="M12" s="16" t="str">
        <f>IF(COUNTIFS(표8[material_id],표2[[#This Row],[material_id]],표8[location],"울산")&gt;0, "O", "X")</f>
        <v>X</v>
      </c>
    </row>
    <row r="13" spans="1:13">
      <c r="A13" t="s">
        <v>46</v>
      </c>
      <c r="B13" t="s">
        <v>5</v>
      </c>
      <c r="C13" s="21" t="s">
        <v>470</v>
      </c>
      <c r="D13" t="s">
        <v>16</v>
      </c>
      <c r="E13" t="s">
        <v>787</v>
      </c>
      <c r="F13">
        <v>2300</v>
      </c>
      <c r="G13">
        <v>2910100000</v>
      </c>
      <c r="H13" t="s">
        <v>38</v>
      </c>
      <c r="J13" t="str">
        <f>IF(COUNTIF(CCMA[material_name],C13)&gt;0,"O","X")</f>
        <v>O</v>
      </c>
      <c r="K13" t="str">
        <f>IF(COUNTIF(CEH[material_name],C13)&gt;0,"O","X")</f>
        <v>O</v>
      </c>
      <c r="L13" t="str">
        <f>IF(COUNTIF(표8[material_id],표2[[#This Row],[material_id]])&gt;0, "O", "X")</f>
        <v>O</v>
      </c>
      <c r="M13" t="str">
        <f>IF(COUNTIFS(표8[material_id],표2[[#This Row],[material_id]],표8[location],"울산")&gt;0, "O", "X")</f>
        <v>O</v>
      </c>
    </row>
    <row r="14" spans="1:13">
      <c r="A14" t="s">
        <v>47</v>
      </c>
      <c r="B14" t="s">
        <v>5</v>
      </c>
      <c r="C14" s="21" t="s">
        <v>39</v>
      </c>
      <c r="D14" t="s">
        <v>788</v>
      </c>
      <c r="E14" t="s">
        <v>789</v>
      </c>
      <c r="F14">
        <v>2310</v>
      </c>
      <c r="I14" t="s">
        <v>269</v>
      </c>
      <c r="J14" t="str">
        <f>IF(COUNTIF(CCMA[material_name],C14)&gt;0,"O","X")</f>
        <v>X</v>
      </c>
      <c r="K14" t="str">
        <f>IF(COUNTIF(CEH[material_name],C14)&gt;0,"O","X")</f>
        <v>O</v>
      </c>
      <c r="L14" t="str">
        <f>IF(COUNTIF(표8[material_id],표2[[#This Row],[material_id]])&gt;0, "O", "X")</f>
        <v>X</v>
      </c>
      <c r="M14" t="str">
        <f>IF(COUNTIFS(표8[material_id],표2[[#This Row],[material_id]],표8[location],"울산")&gt;0, "O", "X")</f>
        <v>X</v>
      </c>
    </row>
    <row r="15" spans="1:13">
      <c r="A15" t="s">
        <v>48</v>
      </c>
      <c r="B15" t="s">
        <v>5</v>
      </c>
      <c r="C15" s="21" t="s">
        <v>40</v>
      </c>
      <c r="D15" t="s">
        <v>16</v>
      </c>
      <c r="E15" t="s">
        <v>790</v>
      </c>
      <c r="F15">
        <v>2320</v>
      </c>
      <c r="G15">
        <v>2922111000</v>
      </c>
      <c r="H15" t="s">
        <v>474</v>
      </c>
      <c r="J15" t="str">
        <f>IF(COUNTIF(CCMA[material_name],C15)&gt;0,"O","X")</f>
        <v>X</v>
      </c>
      <c r="K15" t="str">
        <f>IF(COUNTIF(CEH[material_name],C15)&gt;0,"O","X")</f>
        <v>O</v>
      </c>
      <c r="L15" t="str">
        <f>IF(COUNTIF(표8[material_id],표2[[#This Row],[material_id]])&gt;0, "O", "X")</f>
        <v>X</v>
      </c>
      <c r="M15" t="str">
        <f>IF(COUNTIFS(표8[material_id],표2[[#This Row],[material_id]],표8[location],"울산")&gt;0, "O", "X")</f>
        <v>X</v>
      </c>
    </row>
    <row r="16" spans="1:13">
      <c r="A16" t="s">
        <v>49</v>
      </c>
      <c r="B16" t="s">
        <v>5</v>
      </c>
      <c r="C16" s="21" t="s">
        <v>41</v>
      </c>
      <c r="D16" t="s">
        <v>16</v>
      </c>
      <c r="E16" t="s">
        <v>790</v>
      </c>
      <c r="F16">
        <v>2330</v>
      </c>
      <c r="G16">
        <v>2922121000</v>
      </c>
      <c r="H16" t="s">
        <v>475</v>
      </c>
      <c r="J16" t="str">
        <f>IF(COUNTIF(CCMA[material_name],C16)&gt;0,"O","X")</f>
        <v>X</v>
      </c>
      <c r="K16" t="str">
        <f>IF(COUNTIF(CEH[material_name],C16)&gt;0,"O","X")</f>
        <v>O</v>
      </c>
      <c r="L16" t="str">
        <f>IF(COUNTIF(표8[material_id],표2[[#This Row],[material_id]])&gt;0, "O", "X")</f>
        <v>X</v>
      </c>
      <c r="M16" t="str">
        <f>IF(COUNTIFS(표8[material_id],표2[[#This Row],[material_id]],표8[location],"울산")&gt;0, "O", "X")</f>
        <v>X</v>
      </c>
    </row>
    <row r="17" spans="1:13">
      <c r="A17" t="s">
        <v>50</v>
      </c>
      <c r="B17" t="s">
        <v>5</v>
      </c>
      <c r="C17" s="21" t="s">
        <v>42</v>
      </c>
      <c r="D17" t="s">
        <v>16</v>
      </c>
      <c r="E17" t="s">
        <v>790</v>
      </c>
      <c r="F17">
        <v>2340</v>
      </c>
      <c r="G17">
        <v>2922150000</v>
      </c>
      <c r="H17" t="s">
        <v>476</v>
      </c>
      <c r="J17" t="str">
        <f>IF(COUNTIF(CCMA[material_name],C17)&gt;0,"O","X")</f>
        <v>X</v>
      </c>
      <c r="K17" t="str">
        <f>IF(COUNTIF(CEH[material_name],C17)&gt;0,"O","X")</f>
        <v>O</v>
      </c>
      <c r="L17" t="str">
        <f>IF(COUNTIF(표8[material_id],표2[[#This Row],[material_id]])&gt;0, "O", "X")</f>
        <v>X</v>
      </c>
      <c r="M17" t="str">
        <f>IF(COUNTIFS(표8[material_id],표2[[#This Row],[material_id]],표8[location],"울산")&gt;0, "O", "X")</f>
        <v>X</v>
      </c>
    </row>
    <row r="18" spans="1:13">
      <c r="A18" t="s">
        <v>51</v>
      </c>
      <c r="B18" t="s">
        <v>5</v>
      </c>
      <c r="C18" s="21" t="s">
        <v>478</v>
      </c>
      <c r="D18" t="s">
        <v>16</v>
      </c>
      <c r="E18" t="s">
        <v>791</v>
      </c>
      <c r="F18">
        <v>2380</v>
      </c>
      <c r="G18">
        <v>2905310000</v>
      </c>
      <c r="H18" t="s">
        <v>477</v>
      </c>
      <c r="J18" t="str">
        <f>IF(COUNTIF(CCMA[material_name],C18)&gt;0,"O","X")</f>
        <v>O</v>
      </c>
      <c r="K18" t="str">
        <f>IF(COUNTIF(CEH[material_name],C18)&gt;0,"O","X")</f>
        <v>O</v>
      </c>
      <c r="L18" t="str">
        <f>IF(COUNTIF(표8[material_id],표2[[#This Row],[material_id]])&gt;0, "O", "X")</f>
        <v>O</v>
      </c>
      <c r="M18" t="str">
        <f>IF(COUNTIFS(표8[material_id],표2[[#This Row],[material_id]],표8[location],"울산")&gt;0, "O", "X")</f>
        <v>O</v>
      </c>
    </row>
    <row r="19" spans="1:13">
      <c r="A19" t="s">
        <v>52</v>
      </c>
      <c r="B19" t="s">
        <v>5</v>
      </c>
      <c r="C19" s="17" t="s">
        <v>992</v>
      </c>
      <c r="D19" t="s">
        <v>16</v>
      </c>
      <c r="E19" t="s">
        <v>792</v>
      </c>
      <c r="F19">
        <v>2410</v>
      </c>
      <c r="G19">
        <v>2912120000</v>
      </c>
      <c r="I19" t="s">
        <v>269</v>
      </c>
      <c r="J19" t="str">
        <f>IF(COUNTIF(CCMA[material_name],C19)&gt;0,"O","X")</f>
        <v>X</v>
      </c>
      <c r="K19" t="str">
        <f>IF(COUNTIF(CEH[material_name],C19)&gt;0,"O","X")</f>
        <v>O</v>
      </c>
      <c r="L19" t="str">
        <f>IF(COUNTIF(표8[material_id],표2[[#This Row],[material_id]])&gt;0, "O", "X")</f>
        <v>X</v>
      </c>
      <c r="M19" t="str">
        <f>IF(COUNTIFS(표8[material_id],표2[[#This Row],[material_id]],표8[location],"울산")&gt;0, "O", "X")</f>
        <v>X</v>
      </c>
    </row>
    <row r="20" spans="1:13">
      <c r="A20" t="s">
        <v>53</v>
      </c>
      <c r="B20" t="s">
        <v>5</v>
      </c>
      <c r="C20" s="21" t="s">
        <v>44</v>
      </c>
      <c r="D20" t="s">
        <v>30</v>
      </c>
      <c r="E20" t="s">
        <v>793</v>
      </c>
      <c r="F20">
        <v>2600</v>
      </c>
      <c r="G20">
        <v>2915320000</v>
      </c>
      <c r="H20" t="s">
        <v>35</v>
      </c>
      <c r="J20" t="str">
        <f>IF(COUNTIF(CCMA[material_name],C20)&gt;0,"O","X")</f>
        <v>O</v>
      </c>
      <c r="K20" t="str">
        <f>IF(COUNTIF(CEH[material_name],C20)&gt;0,"O","X")</f>
        <v>O</v>
      </c>
      <c r="L20" t="str">
        <f>IF(COUNTIF(표8[material_id],표2[[#This Row],[material_id]])&gt;0, "O", "X")</f>
        <v>O</v>
      </c>
      <c r="M20" t="str">
        <f>IF(COUNTIFS(표8[material_id],표2[[#This Row],[material_id]],표8[location],"울산")&gt;0, "O", "X")</f>
        <v>O</v>
      </c>
    </row>
    <row r="21" spans="1:13">
      <c r="A21" t="s">
        <v>54</v>
      </c>
      <c r="B21" t="s">
        <v>7</v>
      </c>
      <c r="C21" s="17" t="s">
        <v>7</v>
      </c>
      <c r="D21" t="s">
        <v>6</v>
      </c>
      <c r="E21" t="s">
        <v>778</v>
      </c>
      <c r="F21">
        <v>3100</v>
      </c>
      <c r="G21">
        <v>2901220000</v>
      </c>
      <c r="H21" t="s">
        <v>469</v>
      </c>
      <c r="J21" t="str">
        <f>IF(COUNTIF(CCMA[material_name],C21)&gt;0,"O","X")</f>
        <v>O</v>
      </c>
      <c r="K21" t="str">
        <f>IF(COUNTIF(CEH[material_name],C21)&gt;0,"O","X")</f>
        <v>O</v>
      </c>
      <c r="L21" t="str">
        <f>IF(COUNTIF(표8[material_id],표2[[#This Row],[material_id]])&gt;0, "O", "X")</f>
        <v>O</v>
      </c>
      <c r="M21" t="str">
        <f>IF(COUNTIFS(표8[material_id],표2[[#This Row],[material_id]],표8[location],"울산")&gt;0, "O", "X")</f>
        <v>O</v>
      </c>
    </row>
    <row r="22" spans="1:13">
      <c r="A22" t="s">
        <v>55</v>
      </c>
      <c r="B22" t="s">
        <v>7</v>
      </c>
      <c r="C22" s="21" t="s">
        <v>459</v>
      </c>
      <c r="D22" t="s">
        <v>30</v>
      </c>
      <c r="E22" t="s">
        <v>794</v>
      </c>
      <c r="F22">
        <v>3200</v>
      </c>
      <c r="G22">
        <v>2926100000</v>
      </c>
      <c r="H22" t="s">
        <v>100</v>
      </c>
      <c r="J22" t="str">
        <f>IF(COUNTIF(CCMA[material_name],C22)&gt;0,"O","X")</f>
        <v>O</v>
      </c>
      <c r="K22" t="str">
        <f>IF(COUNTIF(CEH[material_name],C22)&gt;0,"O","X")</f>
        <v>O</v>
      </c>
      <c r="L22" t="str">
        <f>IF(COUNTIF(표8[material_id],표2[[#This Row],[material_id]])&gt;0, "O", "X")</f>
        <v>O</v>
      </c>
      <c r="M22" t="str">
        <f>IF(COUNTIFS(표8[material_id],표2[[#This Row],[material_id]],표8[location],"울산")&gt;0, "O", "X")</f>
        <v>O</v>
      </c>
    </row>
    <row r="23" spans="1:13">
      <c r="A23" t="s">
        <v>56</v>
      </c>
      <c r="B23" t="s">
        <v>7</v>
      </c>
      <c r="C23" s="21" t="s">
        <v>101</v>
      </c>
      <c r="D23" t="s">
        <v>24</v>
      </c>
      <c r="E23" t="s">
        <v>795</v>
      </c>
      <c r="F23">
        <v>3210</v>
      </c>
      <c r="G23">
        <v>3903300000</v>
      </c>
      <c r="H23" t="s">
        <v>479</v>
      </c>
      <c r="J23" t="str">
        <f>IF(COUNTIF(CCMA[material_name],C23)&gt;0,"O","X")</f>
        <v>O</v>
      </c>
      <c r="K23" t="str">
        <f>IF(COUNTIF(CEH[material_name],C23)&gt;0,"O","X")</f>
        <v>O</v>
      </c>
      <c r="L23" t="str">
        <f>IF(COUNTIF(표8[material_id],표2[[#This Row],[material_id]])&gt;0, "O", "X")</f>
        <v>O</v>
      </c>
      <c r="M23" t="str">
        <f>IF(COUNTIFS(표8[material_id],표2[[#This Row],[material_id]],표8[location],"울산")&gt;0, "O", "X")</f>
        <v>O</v>
      </c>
    </row>
    <row r="24" spans="1:13">
      <c r="A24" t="s">
        <v>57</v>
      </c>
      <c r="B24" t="s">
        <v>7</v>
      </c>
      <c r="C24" s="21" t="s">
        <v>102</v>
      </c>
      <c r="D24" t="s">
        <v>24</v>
      </c>
      <c r="E24" t="s">
        <v>795</v>
      </c>
      <c r="F24">
        <v>3220</v>
      </c>
      <c r="G24">
        <v>3903200000</v>
      </c>
      <c r="H24" t="s">
        <v>480</v>
      </c>
      <c r="I24" t="s">
        <v>269</v>
      </c>
      <c r="J24" t="str">
        <f>IF(COUNTIF(CCMA[material_name],C24)&gt;0,"O","X")</f>
        <v>X</v>
      </c>
      <c r="K24" t="str">
        <f>IF(COUNTIF(CEH[material_name],C24)&gt;0,"O","X")</f>
        <v>O</v>
      </c>
      <c r="L24" t="str">
        <f>IF(COUNTIF(표8[material_id],표2[[#This Row],[material_id]])&gt;0, "O", "X")</f>
        <v>O</v>
      </c>
      <c r="M24" t="str">
        <f>IF(COUNTIFS(표8[material_id],표2[[#This Row],[material_id]],표8[location],"울산")&gt;0, "O", "X")</f>
        <v>O</v>
      </c>
    </row>
    <row r="25" spans="1:13">
      <c r="A25" t="s">
        <v>58</v>
      </c>
      <c r="B25" t="s">
        <v>7</v>
      </c>
      <c r="C25" s="21" t="s">
        <v>89</v>
      </c>
      <c r="D25" t="s">
        <v>24</v>
      </c>
      <c r="E25" t="s">
        <v>796</v>
      </c>
      <c r="F25">
        <v>3230</v>
      </c>
      <c r="G25">
        <v>4002590000</v>
      </c>
      <c r="H25" t="s">
        <v>481</v>
      </c>
      <c r="J25" t="str">
        <f>IF(COUNTIF(CCMA[material_name],C25)&gt;0,"O","X")</f>
        <v>X</v>
      </c>
      <c r="K25" t="str">
        <f>IF(COUNTIF(CEH[material_name],C25)&gt;0,"O","X")</f>
        <v>O</v>
      </c>
      <c r="L25" t="str">
        <f>IF(COUNTIF(표8[material_id],표2[[#This Row],[material_id]])&gt;0, "O", "X")</f>
        <v>O</v>
      </c>
      <c r="M25" t="str">
        <f>IF(COUNTIFS(표8[material_id],표2[[#This Row],[material_id]],표8[location],"울산")&gt;0, "O", "X")</f>
        <v>O</v>
      </c>
    </row>
    <row r="26" spans="1:13">
      <c r="A26" t="s">
        <v>59</v>
      </c>
      <c r="B26" t="s">
        <v>7</v>
      </c>
      <c r="C26" s="21" t="s">
        <v>267</v>
      </c>
      <c r="D26" t="s">
        <v>24</v>
      </c>
      <c r="E26" t="s">
        <v>779</v>
      </c>
      <c r="F26">
        <v>3110</v>
      </c>
      <c r="G26">
        <v>3902100000</v>
      </c>
      <c r="H26" t="s">
        <v>90</v>
      </c>
      <c r="J26" t="str">
        <f>IF(COUNTIF(CCMA[material_name],C26)&gt;0,"O","X")</f>
        <v>O</v>
      </c>
      <c r="K26" t="str">
        <f>IF(COUNTIF(CEH[material_name],C26)&gt;0,"O","X")</f>
        <v>O</v>
      </c>
      <c r="L26" t="str">
        <f>IF(COUNTIF(표8[material_id],표2[[#This Row],[material_id]])&gt;0, "O", "X")</f>
        <v>O</v>
      </c>
      <c r="M26" t="str">
        <f>IF(COUNTIFS(표8[material_id],표2[[#This Row],[material_id]],표8[location],"울산")&gt;0, "O", "X")</f>
        <v>O</v>
      </c>
    </row>
    <row r="27" spans="1:13">
      <c r="A27" t="s">
        <v>60</v>
      </c>
      <c r="B27" t="s">
        <v>7</v>
      </c>
      <c r="C27" s="21" t="s">
        <v>266</v>
      </c>
      <c r="D27" t="s">
        <v>16</v>
      </c>
      <c r="E27" t="s">
        <v>787</v>
      </c>
      <c r="F27">
        <v>3300</v>
      </c>
      <c r="G27">
        <v>2910200000</v>
      </c>
      <c r="H27" t="s">
        <v>91</v>
      </c>
      <c r="J27" t="str">
        <f>IF(COUNTIF(CCMA[material_name],C27)&gt;0,"O","X")</f>
        <v>O</v>
      </c>
      <c r="K27" t="str">
        <f>IF(COUNTIF(CEH[material_name],C27)&gt;0,"O","X")</f>
        <v>O</v>
      </c>
      <c r="L27" t="str">
        <f>IF(COUNTIF(표8[material_id],표2[[#This Row],[material_id]])&gt;0, "O", "X")</f>
        <v>O</v>
      </c>
      <c r="M27" t="str">
        <f>IF(COUNTIFS(표8[material_id],표2[[#This Row],[material_id]],표8[location],"울산")&gt;0, "O", "X")</f>
        <v>O</v>
      </c>
    </row>
    <row r="28" spans="1:13">
      <c r="A28" t="s">
        <v>61</v>
      </c>
      <c r="B28" t="s">
        <v>7</v>
      </c>
      <c r="C28" s="21" t="s">
        <v>264</v>
      </c>
      <c r="D28" t="s">
        <v>16</v>
      </c>
      <c r="E28" t="s">
        <v>791</v>
      </c>
      <c r="F28">
        <v>3310</v>
      </c>
      <c r="G28">
        <v>2905320000</v>
      </c>
      <c r="H28" t="s">
        <v>92</v>
      </c>
      <c r="J28" t="str">
        <f>IF(COUNTIF(CCMA[material_name],C28)&gt;0,"O","X")</f>
        <v>X</v>
      </c>
      <c r="K28" t="str">
        <f>IF(COUNTIF(CEH[material_name],C28)&gt;0,"O","X")</f>
        <v>O</v>
      </c>
      <c r="L28" t="str">
        <f>IF(COUNTIF(표8[material_id],표2[[#This Row],[material_id]])&gt;0, "O", "X")</f>
        <v>O</v>
      </c>
      <c r="M28" t="str">
        <f>IF(COUNTIFS(표8[material_id],표2[[#This Row],[material_id]],표8[location],"울산")&gt;0, "O", "X")</f>
        <v>O</v>
      </c>
    </row>
    <row r="29" spans="1:13">
      <c r="A29" t="s">
        <v>62</v>
      </c>
      <c r="B29" t="s">
        <v>7</v>
      </c>
      <c r="C29" s="21" t="s">
        <v>265</v>
      </c>
      <c r="D29" t="s">
        <v>788</v>
      </c>
      <c r="E29" t="s">
        <v>797</v>
      </c>
      <c r="F29">
        <v>3320</v>
      </c>
      <c r="G29">
        <v>3907202000</v>
      </c>
      <c r="H29" t="s">
        <v>93</v>
      </c>
      <c r="J29" t="str">
        <f>IF(COUNTIF(CCMA[material_name],C29)&gt;0,"O","X")</f>
        <v>X</v>
      </c>
      <c r="K29" t="str">
        <f>IF(COUNTIF(CEH[material_name],C29)&gt;0,"O","X")</f>
        <v>O</v>
      </c>
      <c r="L29" t="str">
        <f>IF(COUNTIF(표8[material_id],표2[[#This Row],[material_id]])&gt;0, "O", "X")</f>
        <v>O</v>
      </c>
      <c r="M29" t="str">
        <f>IF(COUNTIFS(표8[material_id],표2[[#This Row],[material_id]],표8[location],"울산")&gt;0, "O", "X")</f>
        <v>O</v>
      </c>
    </row>
    <row r="30" spans="1:13">
      <c r="A30" t="s">
        <v>63</v>
      </c>
      <c r="B30" t="s">
        <v>7</v>
      </c>
      <c r="C30" s="21" t="s">
        <v>94</v>
      </c>
      <c r="D30" t="s">
        <v>788</v>
      </c>
      <c r="E30" t="s">
        <v>798</v>
      </c>
      <c r="F30">
        <v>3330</v>
      </c>
      <c r="H30" t="s">
        <v>1120</v>
      </c>
      <c r="J30" t="str">
        <f>IF(COUNTIF(CCMA[material_name],C30)&gt;0,"O","X")</f>
        <v>X</v>
      </c>
      <c r="K30" t="str">
        <f>IF(COUNTIF(CEH[material_name],C30)&gt;0,"O","X")</f>
        <v>O</v>
      </c>
      <c r="L30" t="str">
        <f>IF(COUNTIF(표8[material_id],표2[[#This Row],[material_id]])&gt;0, "O", "X")</f>
        <v>X</v>
      </c>
      <c r="M30" t="str">
        <f>IF(COUNTIFS(표8[material_id],표2[[#This Row],[material_id]],표8[location],"울산")&gt;0, "O", "X")</f>
        <v>X</v>
      </c>
    </row>
    <row r="31" spans="1:13">
      <c r="A31" t="s">
        <v>64</v>
      </c>
      <c r="B31" t="s">
        <v>7</v>
      </c>
      <c r="C31" s="21" t="s">
        <v>268</v>
      </c>
      <c r="D31" t="s">
        <v>788</v>
      </c>
      <c r="E31" t="s">
        <v>799</v>
      </c>
      <c r="F31">
        <v>3340</v>
      </c>
      <c r="G31">
        <v>3909500000</v>
      </c>
      <c r="H31" t="s">
        <v>675</v>
      </c>
      <c r="J31" t="str">
        <f>IF(COUNTIF(CCMA[material_name],C31)&gt;0,"O","X")</f>
        <v>X</v>
      </c>
      <c r="K31" t="str">
        <f>IF(COUNTIF(CEH[material_name],C31)&gt;0,"O","X")</f>
        <v>O</v>
      </c>
      <c r="L31" t="str">
        <f>IF(COUNTIF(표8[material_id],표2[[#This Row],[material_id]])&gt;0, "O", "X")</f>
        <v>X</v>
      </c>
      <c r="M31" t="str">
        <f>IF(COUNTIFS(표8[material_id],표2[[#This Row],[material_id]],표8[location],"울산")&gt;0, "O", "X")</f>
        <v>X</v>
      </c>
    </row>
    <row r="32" spans="1:13">
      <c r="A32" t="s">
        <v>65</v>
      </c>
      <c r="B32" t="s">
        <v>7</v>
      </c>
      <c r="C32" s="21" t="s">
        <v>1031</v>
      </c>
      <c r="D32" t="s">
        <v>16</v>
      </c>
      <c r="E32" t="s">
        <v>800</v>
      </c>
      <c r="F32">
        <v>3400</v>
      </c>
      <c r="G32">
        <v>2916111000</v>
      </c>
      <c r="H32" t="s">
        <v>97</v>
      </c>
      <c r="J32" t="str">
        <f>IF(COUNTIF(CCMA[material_name],C32)&gt;0,"O","X")</f>
        <v>X</v>
      </c>
      <c r="K32" t="str">
        <f>IF(COUNTIF(CEH[material_name],C32)&gt;0,"O","X")</f>
        <v>O</v>
      </c>
      <c r="L32" t="str">
        <f>IF(COUNTIF(표8[material_id],표2[[#This Row],[material_id]])&gt;0, "O", "X")</f>
        <v>O</v>
      </c>
      <c r="M32" t="str">
        <f>IF(COUNTIFS(표8[material_id],표2[[#This Row],[material_id]],표8[location],"울산")&gt;0, "O", "X")</f>
        <v>X</v>
      </c>
    </row>
    <row r="33" spans="1:13">
      <c r="A33" s="16" t="s">
        <v>66</v>
      </c>
      <c r="B33" s="16" t="s">
        <v>7</v>
      </c>
      <c r="C33" s="19" t="s">
        <v>98</v>
      </c>
      <c r="D33" s="16" t="s">
        <v>24</v>
      </c>
      <c r="E33" s="16" t="s">
        <v>801</v>
      </c>
      <c r="F33" s="16">
        <v>3420</v>
      </c>
      <c r="G33" s="16"/>
      <c r="H33" s="16" t="s">
        <v>1027</v>
      </c>
      <c r="I33" s="16" t="s">
        <v>269</v>
      </c>
      <c r="J33" s="16" t="str">
        <f>IF(COUNTIF(CCMA[material_name],C33)&gt;0,"O","X")</f>
        <v>X</v>
      </c>
      <c r="K33" s="16" t="str">
        <f>IF(COUNTIF(CEH[material_name],C33)&gt;0,"O","X")</f>
        <v>X</v>
      </c>
      <c r="L33" s="16" t="str">
        <f>IF(COUNTIF(표8[material_id],표2[[#This Row],[material_id]])&gt;0, "O", "X")</f>
        <v>X</v>
      </c>
      <c r="M33" s="16" t="str">
        <f>IF(COUNTIFS(표8[material_id],표2[[#This Row],[material_id]],표8[location],"울산")&gt;0, "O", "X")</f>
        <v>X</v>
      </c>
    </row>
    <row r="34" spans="1:13">
      <c r="A34" t="s">
        <v>67</v>
      </c>
      <c r="B34" t="s">
        <v>7</v>
      </c>
      <c r="C34" s="21" t="s">
        <v>1028</v>
      </c>
      <c r="D34" t="s">
        <v>16</v>
      </c>
      <c r="E34" t="s">
        <v>802</v>
      </c>
      <c r="F34">
        <v>3410</v>
      </c>
      <c r="J34" t="str">
        <f>IF(COUNTIF(CCMA[material_name],C34)&gt;0,"O","X")</f>
        <v>X</v>
      </c>
      <c r="K34" t="str">
        <f>IF(COUNTIF(CEH[material_name],C34)&gt;0,"O","X")</f>
        <v>O</v>
      </c>
      <c r="L34" t="str">
        <f>IF(COUNTIF(표8[material_id],표2[[#This Row],[material_id]])&gt;0, "O", "X")</f>
        <v>O</v>
      </c>
      <c r="M34" t="str">
        <f>IF(COUNTIFS(표8[material_id],표2[[#This Row],[material_id]],표8[location],"울산")&gt;0, "O", "X")</f>
        <v>X</v>
      </c>
    </row>
    <row r="35" spans="1:13">
      <c r="A35" t="s">
        <v>68</v>
      </c>
      <c r="B35" t="s">
        <v>7</v>
      </c>
      <c r="C35" s="21" t="s">
        <v>99</v>
      </c>
      <c r="D35" t="s">
        <v>24</v>
      </c>
      <c r="E35" t="s">
        <v>803</v>
      </c>
      <c r="F35">
        <v>3430</v>
      </c>
      <c r="H35" t="s">
        <v>103</v>
      </c>
      <c r="J35" t="str">
        <f>IF(COUNTIF(CCMA[material_name],C35)&gt;0,"O","X")</f>
        <v>X</v>
      </c>
      <c r="K35" t="str">
        <f>IF(COUNTIF(CEH[material_name],C35)&gt;0,"O","X")</f>
        <v>O</v>
      </c>
      <c r="L35" t="str">
        <f>IF(COUNTIF(표8[material_id],표2[[#This Row],[material_id]])&gt;0, "O", "X")</f>
        <v>O</v>
      </c>
      <c r="M35" t="str">
        <f>IF(COUNTIFS(표8[material_id],표2[[#This Row],[material_id]],표8[location],"울산")&gt;0, "O", "X")</f>
        <v>X</v>
      </c>
    </row>
    <row r="36" spans="1:13">
      <c r="A36" t="s">
        <v>69</v>
      </c>
      <c r="B36" t="s">
        <v>7</v>
      </c>
      <c r="C36" s="21" t="s">
        <v>1034</v>
      </c>
      <c r="D36" t="s">
        <v>16</v>
      </c>
      <c r="E36" t="s">
        <v>792</v>
      </c>
      <c r="F36">
        <v>3500</v>
      </c>
      <c r="G36">
        <v>2912193000</v>
      </c>
      <c r="H36" t="s">
        <v>1033</v>
      </c>
      <c r="J36" t="str">
        <f>IF(COUNTIF(CCMA[material_name],C36)&gt;0,"O","X")</f>
        <v>X</v>
      </c>
      <c r="K36" t="str">
        <f>IF(COUNTIF(CEH[material_name],C36)&gt;0,"O","X")</f>
        <v>O</v>
      </c>
      <c r="L36" t="str">
        <f>IF(COUNTIF(표8[material_id],표2[[#This Row],[material_id]])&gt;0, "O", "X")</f>
        <v>O</v>
      </c>
      <c r="M36" t="str">
        <f>IF(COUNTIFS(표8[material_id],표2[[#This Row],[material_id]],표8[location],"울산")&gt;0, "O", "X")</f>
        <v>X</v>
      </c>
    </row>
    <row r="37" spans="1:13">
      <c r="A37" t="s">
        <v>70</v>
      </c>
      <c r="B37" t="s">
        <v>7</v>
      </c>
      <c r="C37" s="21" t="s">
        <v>839</v>
      </c>
      <c r="D37" t="s">
        <v>16</v>
      </c>
      <c r="E37" t="s">
        <v>804</v>
      </c>
      <c r="F37">
        <v>3520</v>
      </c>
      <c r="G37">
        <v>2905161000</v>
      </c>
      <c r="H37" t="s">
        <v>1044</v>
      </c>
      <c r="J37" t="str">
        <f>IF(COUNTIF(CCMA[material_name],C37)&gt;0,"O","X")</f>
        <v>X</v>
      </c>
      <c r="K37" t="str">
        <f>IF(COUNTIF(CEH[material_name],C37)&gt;0,"O","X")</f>
        <v>O</v>
      </c>
      <c r="L37" t="str">
        <f>IF(COUNTIF(표8[material_id],표2[[#This Row],[material_id]])&gt;0, "O", "X")</f>
        <v>O</v>
      </c>
      <c r="M37" t="str">
        <f>IF(COUNTIFS(표8[material_id],표2[[#This Row],[material_id]],표8[location],"울산")&gt;0, "O", "X")</f>
        <v>X</v>
      </c>
    </row>
    <row r="38" spans="1:13">
      <c r="A38" t="s">
        <v>71</v>
      </c>
      <c r="B38" t="s">
        <v>7</v>
      </c>
      <c r="C38" s="21" t="s">
        <v>726</v>
      </c>
      <c r="D38" t="s">
        <v>16</v>
      </c>
      <c r="E38" t="s">
        <v>804</v>
      </c>
      <c r="F38">
        <v>3510</v>
      </c>
      <c r="G38">
        <v>2905130000</v>
      </c>
      <c r="J38" t="str">
        <f>IF(COUNTIF(CCMA[material_name],C38)&gt;0,"O","X")</f>
        <v>X</v>
      </c>
      <c r="K38" t="str">
        <f>IF(COUNTIF(CEH[material_name],C38)&gt;0,"O","X")</f>
        <v>O</v>
      </c>
      <c r="L38" t="str">
        <f>IF(COUNTIF(표8[material_id],표2[[#This Row],[material_id]])&gt;0, "O", "X")</f>
        <v>O</v>
      </c>
      <c r="M38" t="str">
        <f>IF(COUNTIFS(표8[material_id],표2[[#This Row],[material_id]],표8[location],"울산")&gt;0, "O", "X")</f>
        <v>X</v>
      </c>
    </row>
    <row r="39" spans="1:13">
      <c r="A39" t="s">
        <v>72</v>
      </c>
      <c r="B39" t="s">
        <v>7</v>
      </c>
      <c r="C39" s="21" t="s">
        <v>104</v>
      </c>
      <c r="D39" t="s">
        <v>16</v>
      </c>
      <c r="E39" t="s">
        <v>785</v>
      </c>
      <c r="F39">
        <v>3530</v>
      </c>
      <c r="J39" t="str">
        <f>IF(COUNTIF(CCMA[material_name],C39)&gt;0,"O","X")</f>
        <v>X</v>
      </c>
      <c r="K39" t="str">
        <f>IF(COUNTIF(CEH[material_name],C39)&gt;0,"O","X")</f>
        <v>O</v>
      </c>
      <c r="L39" t="str">
        <f>IF(COUNTIF(표8[material_id],표2[[#This Row],[material_id]])&gt;0, "O", "X")</f>
        <v>X</v>
      </c>
      <c r="M39" t="str">
        <f>IF(COUNTIFS(표8[material_id],표2[[#This Row],[material_id]],표8[location],"울산")&gt;0, "O", "X")</f>
        <v>X</v>
      </c>
    </row>
    <row r="40" spans="1:13">
      <c r="A40" t="s">
        <v>73</v>
      </c>
      <c r="B40" t="s">
        <v>7</v>
      </c>
      <c r="C40" s="21" t="s">
        <v>1097</v>
      </c>
      <c r="D40" t="s">
        <v>16</v>
      </c>
      <c r="E40" t="s">
        <v>804</v>
      </c>
      <c r="F40">
        <v>3610</v>
      </c>
      <c r="J40" t="str">
        <f>IF(COUNTIF(CCMA[material_name],C40)&gt;0,"O","X")</f>
        <v>X</v>
      </c>
      <c r="K40" t="str">
        <f>IF(COUNTIF(CEH[material_name],C40)&gt;0,"O","X")</f>
        <v>O</v>
      </c>
      <c r="L40" t="str">
        <f>IF(COUNTIF(표8[material_id],표2[[#This Row],[material_id]])&gt;0, "O", "X")</f>
        <v>X</v>
      </c>
      <c r="M40" t="str">
        <f>IF(COUNTIFS(표8[material_id],표2[[#This Row],[material_id]],표8[location],"울산")&gt;0, "O", "X")</f>
        <v>X</v>
      </c>
    </row>
    <row r="41" spans="1:13">
      <c r="A41" t="s">
        <v>74</v>
      </c>
      <c r="B41" t="s">
        <v>7</v>
      </c>
      <c r="C41" s="21" t="s">
        <v>105</v>
      </c>
      <c r="D41" t="s">
        <v>16</v>
      </c>
      <c r="E41" t="s">
        <v>785</v>
      </c>
      <c r="F41">
        <v>3620</v>
      </c>
      <c r="J41" t="str">
        <f>IF(COUNTIF(CCMA[material_name],C41)&gt;0,"O","X")</f>
        <v>X</v>
      </c>
      <c r="K41" t="str">
        <f>IF(COUNTIF(CEH[material_name],C41)&gt;0,"O","X")</f>
        <v>O</v>
      </c>
      <c r="L41" t="str">
        <f>IF(COUNTIF(표8[material_id],표2[[#This Row],[material_id]])&gt;0, "O", "X")</f>
        <v>X</v>
      </c>
      <c r="M41" t="str">
        <f>IF(COUNTIFS(표8[material_id],표2[[#This Row],[material_id]],표8[location],"울산")&gt;0, "O", "X")</f>
        <v>X</v>
      </c>
    </row>
    <row r="42" spans="1:13">
      <c r="A42" t="s">
        <v>75</v>
      </c>
      <c r="B42" t="s">
        <v>7</v>
      </c>
      <c r="C42" s="21" t="s">
        <v>460</v>
      </c>
      <c r="D42" t="s">
        <v>16</v>
      </c>
      <c r="E42" t="s">
        <v>783</v>
      </c>
      <c r="F42">
        <v>3700</v>
      </c>
      <c r="H42" t="s">
        <v>1046</v>
      </c>
      <c r="J42" t="str">
        <f>IF(COUNTIF(CCMA[material_name],C42)&gt;0,"O","X")</f>
        <v>X</v>
      </c>
      <c r="K42" t="str">
        <f>IF(COUNTIF(CEH[material_name],C42)&gt;0,"O","X")</f>
        <v>O</v>
      </c>
      <c r="L42" t="str">
        <f>IF(COUNTIF(표8[material_id],표2[[#This Row],[material_id]])&gt;0, "O", "X")</f>
        <v>O</v>
      </c>
      <c r="M42" t="str">
        <f>IF(COUNTIFS(표8[material_id],표2[[#This Row],[material_id]],표8[location],"울산")&gt;0, "O", "X")</f>
        <v>O</v>
      </c>
    </row>
    <row r="43" spans="1:13">
      <c r="A43" t="s">
        <v>76</v>
      </c>
      <c r="B43" t="s">
        <v>7</v>
      </c>
      <c r="C43" s="21" t="s">
        <v>106</v>
      </c>
      <c r="D43" t="s">
        <v>16</v>
      </c>
      <c r="E43" t="s">
        <v>785</v>
      </c>
      <c r="F43">
        <v>3710</v>
      </c>
      <c r="G43" t="s">
        <v>719</v>
      </c>
      <c r="J43" t="str">
        <f>IF(COUNTIF(CCMA[material_name],C43)&gt;0,"O","X")</f>
        <v>X</v>
      </c>
      <c r="K43" t="str">
        <f>IF(COUNTIF(CEH[material_name],C43)&gt;0,"O","X")</f>
        <v>X</v>
      </c>
      <c r="L43" t="str">
        <f>IF(COUNTIF(표8[material_id],표2[[#This Row],[material_id]])&gt;0, "O", "X")</f>
        <v>X</v>
      </c>
      <c r="M43" t="str">
        <f>IF(COUNTIFS(표8[material_id],표2[[#This Row],[material_id]],표8[location],"울산")&gt;0, "O", "X")</f>
        <v>X</v>
      </c>
    </row>
    <row r="44" spans="1:13">
      <c r="A44" t="s">
        <v>77</v>
      </c>
      <c r="B44" s="1" t="s">
        <v>13</v>
      </c>
      <c r="C44" s="22" t="s">
        <v>25</v>
      </c>
      <c r="D44" t="s">
        <v>6</v>
      </c>
      <c r="E44" t="s">
        <v>805</v>
      </c>
      <c r="F44" s="1">
        <v>4100</v>
      </c>
      <c r="G44">
        <v>2901241000</v>
      </c>
      <c r="H44" t="s">
        <v>472</v>
      </c>
      <c r="J44" t="str">
        <f>IF(COUNTIF(CCMA[material_name],C44)&gt;0,"O","X")</f>
        <v>O</v>
      </c>
      <c r="K44" t="str">
        <f>IF(COUNTIF(CEH[material_name],C44)&gt;0,"O","X")</f>
        <v>O</v>
      </c>
      <c r="L44" t="str">
        <f>IF(COUNTIF(표8[material_id],표2[[#This Row],[material_id]])&gt;0, "O", "X")</f>
        <v>O</v>
      </c>
      <c r="M44" t="str">
        <f>IF(COUNTIFS(표8[material_id],표2[[#This Row],[material_id]],표8[location],"울산")&gt;0, "O", "X")</f>
        <v>O</v>
      </c>
    </row>
    <row r="45" spans="1:13">
      <c r="A45" t="s">
        <v>78</v>
      </c>
      <c r="B45" s="1" t="s">
        <v>13</v>
      </c>
      <c r="C45" s="22" t="s">
        <v>107</v>
      </c>
      <c r="D45" t="s">
        <v>24</v>
      </c>
      <c r="E45" t="s">
        <v>796</v>
      </c>
      <c r="F45" s="1">
        <v>4110</v>
      </c>
      <c r="H45" t="s">
        <v>909</v>
      </c>
      <c r="J45" t="str">
        <f>IF(COUNTIF(CCMA[material_name],C45)&gt;0,"O","X")</f>
        <v>O</v>
      </c>
      <c r="K45" t="str">
        <f>IF(COUNTIF(CEH[material_name],C45)&gt;0,"O","X")</f>
        <v>O</v>
      </c>
      <c r="L45" t="str">
        <f>IF(COUNTIF(표8[material_id],표2[[#This Row],[material_id]])&gt;0, "O", "X")</f>
        <v>O</v>
      </c>
      <c r="M45" t="str">
        <f>IF(COUNTIFS(표8[material_id],표2[[#This Row],[material_id]],표8[location],"울산")&gt;0, "O", "X")</f>
        <v>X</v>
      </c>
    </row>
    <row r="46" spans="1:13">
      <c r="A46" t="s">
        <v>79</v>
      </c>
      <c r="B46" s="1" t="s">
        <v>13</v>
      </c>
      <c r="C46" s="22" t="s">
        <v>108</v>
      </c>
      <c r="D46" t="s">
        <v>24</v>
      </c>
      <c r="E46" t="s">
        <v>796</v>
      </c>
      <c r="F46" s="1">
        <v>4120</v>
      </c>
      <c r="G46">
        <v>3903901000</v>
      </c>
      <c r="J46" t="str">
        <f>IF(COUNTIF(CCMA[material_name],C46)&gt;0,"O","X")</f>
        <v>O</v>
      </c>
      <c r="K46" t="str">
        <f>IF(COUNTIF(CEH[material_name],C46)&gt;0,"O","X")</f>
        <v>O</v>
      </c>
      <c r="L46" t="str">
        <f>IF(COUNTIF(표8[material_id],표2[[#This Row],[material_id]])&gt;0, "O", "X")</f>
        <v>O</v>
      </c>
      <c r="M46" t="str">
        <f>IF(COUNTIFS(표8[material_id],표2[[#This Row],[material_id]],표8[location],"울산")&gt;0, "O", "X")</f>
        <v>O</v>
      </c>
    </row>
    <row r="47" spans="1:13">
      <c r="A47" t="s">
        <v>80</v>
      </c>
      <c r="B47" s="1" t="s">
        <v>13</v>
      </c>
      <c r="C47" s="22" t="s">
        <v>26</v>
      </c>
      <c r="D47" t="s">
        <v>6</v>
      </c>
      <c r="E47" t="s">
        <v>778</v>
      </c>
      <c r="F47" s="1">
        <v>4200</v>
      </c>
      <c r="J47" t="str">
        <f>IF(COUNTIF(CCMA[material_name],C47)&gt;0,"O","X")</f>
        <v>X</v>
      </c>
      <c r="K47" t="str">
        <f>IF(COUNTIF(CEH[material_name],C47)&gt;0,"O","X")</f>
        <v>O</v>
      </c>
      <c r="L47" t="str">
        <f>IF(COUNTIF(표8[material_id],표2[[#This Row],[material_id]])&gt;0, "O", "X")</f>
        <v>X</v>
      </c>
      <c r="M47" t="str">
        <f>IF(COUNTIFS(표8[material_id],표2[[#This Row],[material_id]],표8[location],"울산")&gt;0, "O", "X")</f>
        <v>X</v>
      </c>
    </row>
    <row r="48" spans="1:13">
      <c r="A48" t="s">
        <v>81</v>
      </c>
      <c r="B48" s="1" t="s">
        <v>13</v>
      </c>
      <c r="C48" s="22" t="s">
        <v>110</v>
      </c>
      <c r="D48" t="s">
        <v>24</v>
      </c>
      <c r="E48" t="s">
        <v>806</v>
      </c>
      <c r="F48" s="1">
        <v>4210</v>
      </c>
      <c r="G48">
        <v>3902200000</v>
      </c>
      <c r="H48" s="1" t="s">
        <v>109</v>
      </c>
      <c r="J48" t="str">
        <f>IF(COUNTIF(CCMA[material_name],C48)&gt;0,"O","X")</f>
        <v>X</v>
      </c>
      <c r="K48" t="str">
        <f>IF(COUNTIF(CEH[material_name],C48)&gt;0,"O","X")</f>
        <v>O</v>
      </c>
      <c r="L48" t="str">
        <f>IF(COUNTIF(표8[material_id],표2[[#This Row],[material_id]])&gt;0, "O", "X")</f>
        <v>O</v>
      </c>
      <c r="M48" t="str">
        <f>IF(COUNTIFS(표8[material_id],표2[[#This Row],[material_id]],표8[location],"울산")&gt;0, "O", "X")</f>
        <v>X</v>
      </c>
    </row>
    <row r="49" spans="1:13">
      <c r="A49" t="s">
        <v>82</v>
      </c>
      <c r="B49" s="1" t="s">
        <v>13</v>
      </c>
      <c r="C49" s="22" t="s">
        <v>115</v>
      </c>
      <c r="D49" t="s">
        <v>24</v>
      </c>
      <c r="E49" t="s">
        <v>779</v>
      </c>
      <c r="F49" s="1">
        <v>4330</v>
      </c>
      <c r="H49" s="1" t="s">
        <v>114</v>
      </c>
      <c r="J49" t="str">
        <f>IF(COUNTIF(CCMA[material_name],C49)&gt;0,"O","X")</f>
        <v>X</v>
      </c>
      <c r="K49" t="str">
        <f>IF(COUNTIF(CEH[material_name],C49)&gt;0,"O","X")</f>
        <v>O</v>
      </c>
      <c r="L49" t="str">
        <f>IF(COUNTIF(표8[material_id],표2[[#This Row],[material_id]])&gt;0, "O", "X")</f>
        <v>O</v>
      </c>
      <c r="M49" t="str">
        <f>IF(COUNTIFS(표8[material_id],표2[[#This Row],[material_id]],표8[location],"울산")&gt;0, "O", "X")</f>
        <v>X</v>
      </c>
    </row>
    <row r="50" spans="1:13">
      <c r="A50" t="s">
        <v>83</v>
      </c>
      <c r="B50" s="1" t="s">
        <v>13</v>
      </c>
      <c r="C50" s="22" t="s">
        <v>1016</v>
      </c>
      <c r="D50" t="s">
        <v>788</v>
      </c>
      <c r="E50" t="s">
        <v>807</v>
      </c>
      <c r="F50" s="1">
        <v>4230</v>
      </c>
      <c r="G50">
        <v>2909192000</v>
      </c>
      <c r="J50" t="str">
        <f>IF(COUNTIF(CCMA[material_name],C50)&gt;0,"O","X")</f>
        <v>X</v>
      </c>
      <c r="K50" t="str">
        <f>IF(COUNTIF(CEH[material_name],C50)&gt;0,"O","X")</f>
        <v>O</v>
      </c>
      <c r="L50" t="str">
        <f>IF(COUNTIF(표8[material_id],표2[[#This Row],[material_id]])&gt;0, "O", "X")</f>
        <v>O</v>
      </c>
      <c r="M50" t="str">
        <f>IF(COUNTIFS(표8[material_id],표2[[#This Row],[material_id]],표8[location],"울산")&gt;0, "O", "X")</f>
        <v>O</v>
      </c>
    </row>
    <row r="51" spans="1:13">
      <c r="A51" t="s">
        <v>84</v>
      </c>
      <c r="B51" s="1" t="s">
        <v>13</v>
      </c>
      <c r="C51" s="22" t="s">
        <v>1101</v>
      </c>
      <c r="D51" t="s">
        <v>24</v>
      </c>
      <c r="E51" t="s">
        <v>796</v>
      </c>
      <c r="F51" s="1">
        <v>4220</v>
      </c>
      <c r="G51">
        <v>4002319000</v>
      </c>
      <c r="H51" t="s">
        <v>1013</v>
      </c>
      <c r="I51" t="s">
        <v>269</v>
      </c>
      <c r="J51" t="str">
        <f>IF(COUNTIF(CCMA[material_name],C51)&gt;0,"O","X")</f>
        <v>X</v>
      </c>
      <c r="K51" t="str">
        <f>IF(COUNTIF(CEH[material_name],C51)&gt;0,"O","X")</f>
        <v>O</v>
      </c>
      <c r="L51" t="str">
        <f>IF(COUNTIF(표8[material_id],표2[[#This Row],[material_id]])&gt;0, "O", "X")</f>
        <v>X</v>
      </c>
      <c r="M51" t="str">
        <f>IF(COUNTIFS(표8[material_id],표2[[#This Row],[material_id]],표8[location],"울산")&gt;0, "O", "X")</f>
        <v>X</v>
      </c>
    </row>
    <row r="52" spans="1:13">
      <c r="A52" s="16" t="s">
        <v>85</v>
      </c>
      <c r="B52" s="20" t="s">
        <v>13</v>
      </c>
      <c r="C52" s="20" t="s">
        <v>112</v>
      </c>
      <c r="D52" s="16" t="s">
        <v>16</v>
      </c>
      <c r="E52" s="16" t="s">
        <v>808</v>
      </c>
      <c r="F52" s="20">
        <v>4300</v>
      </c>
      <c r="G52" s="16"/>
      <c r="H52" s="16" t="s">
        <v>1105</v>
      </c>
      <c r="I52" s="16" t="s">
        <v>269</v>
      </c>
      <c r="J52" s="16" t="str">
        <f>IF(COUNTIF(CCMA[material_name],C52)&gt;0,"O","X")</f>
        <v>X</v>
      </c>
      <c r="K52" s="16" t="str">
        <f>IF(COUNTIF(CEH[material_name],C52)&gt;0,"O","X")</f>
        <v>O</v>
      </c>
      <c r="L52" s="16" t="str">
        <f>IF(COUNTIF(표8[material_id],표2[[#This Row],[material_id]])&gt;0, "O", "X")</f>
        <v>X</v>
      </c>
      <c r="M52" s="16" t="str">
        <f>IF(COUNTIFS(표8[material_id],표2[[#This Row],[material_id]],표8[location],"울산")&gt;0, "O", "X")</f>
        <v>X</v>
      </c>
    </row>
    <row r="53" spans="1:13">
      <c r="A53" t="s">
        <v>86</v>
      </c>
      <c r="B53" s="1" t="s">
        <v>13</v>
      </c>
      <c r="C53" s="22" t="s">
        <v>15</v>
      </c>
      <c r="D53" t="s">
        <v>6</v>
      </c>
      <c r="E53" t="s">
        <v>809</v>
      </c>
      <c r="F53" s="1">
        <v>4310</v>
      </c>
      <c r="J53" t="str">
        <f>IF(COUNTIF(CCMA[material_name],C53)&gt;0,"O","X")</f>
        <v>X</v>
      </c>
      <c r="K53" t="str">
        <f>IF(COUNTIF(CEH[material_name],C53)&gt;0,"O","X")</f>
        <v>O</v>
      </c>
      <c r="L53" t="str">
        <f>IF(COUNTIF(표8[material_id],표2[[#This Row],[material_id]])&gt;0, "O", "X")</f>
        <v>O</v>
      </c>
      <c r="M53" t="str">
        <f>IF(COUNTIFS(표8[material_id],표2[[#This Row],[material_id]],표8[location],"울산")&gt;0, "O", "X")</f>
        <v>O</v>
      </c>
    </row>
    <row r="54" spans="1:13">
      <c r="A54" s="16" t="s">
        <v>87</v>
      </c>
      <c r="B54" s="20" t="s">
        <v>13</v>
      </c>
      <c r="C54" s="20" t="s">
        <v>27</v>
      </c>
      <c r="D54" s="16" t="s">
        <v>16</v>
      </c>
      <c r="E54" s="16" t="s">
        <v>808</v>
      </c>
      <c r="F54" s="20">
        <v>4320</v>
      </c>
      <c r="G54" s="16"/>
      <c r="H54" s="16" t="s">
        <v>1105</v>
      </c>
      <c r="I54" s="16" t="s">
        <v>269</v>
      </c>
      <c r="J54" s="16" t="str">
        <f>IF(COUNTIF(CCMA[material_name],C54)&gt;0,"O","X")</f>
        <v>X</v>
      </c>
      <c r="K54" s="16" t="str">
        <f>IF(COUNTIF(CEH[material_name],C54)&gt;0,"O","X")</f>
        <v>O</v>
      </c>
      <c r="L54" s="16" t="str">
        <f>IF(COUNTIF(표8[material_id],표2[[#This Row],[material_id]])&gt;0, "O", "X")</f>
        <v>X</v>
      </c>
      <c r="M54" s="16" t="str">
        <f>IF(COUNTIFS(표8[material_id],표2[[#This Row],[material_id]],표8[location],"울산")&gt;0, "O", "X")</f>
        <v>X</v>
      </c>
    </row>
    <row r="55" spans="1:13">
      <c r="A55" t="s">
        <v>88</v>
      </c>
      <c r="B55" s="1" t="s">
        <v>9</v>
      </c>
      <c r="C55" s="18" t="s">
        <v>455</v>
      </c>
      <c r="D55" t="s">
        <v>6</v>
      </c>
      <c r="E55" t="s">
        <v>810</v>
      </c>
      <c r="F55" s="1">
        <v>6000</v>
      </c>
      <c r="G55">
        <v>2902200000</v>
      </c>
      <c r="H55" s="1"/>
      <c r="J55" t="str">
        <f>IF(COUNTIF(CCMA[material_name],C55)&gt;0,"O","X")</f>
        <v>O</v>
      </c>
      <c r="K55" t="str">
        <f>IF(COUNTIF(CEH[material_name],C55)&gt;0,"O","X")</f>
        <v>O</v>
      </c>
      <c r="L55" t="str">
        <f>IF(COUNTIF(표8[material_id],표2[[#This Row],[material_id]])&gt;0, "O", "X")</f>
        <v>O</v>
      </c>
      <c r="M55" t="str">
        <f>IF(COUNTIFS(표8[material_id],표2[[#This Row],[material_id]],표8[location],"울산")&gt;0, "O", "X")</f>
        <v>O</v>
      </c>
    </row>
    <row r="56" spans="1:13">
      <c r="A56" t="s">
        <v>116</v>
      </c>
      <c r="B56" s="1" t="s">
        <v>9</v>
      </c>
      <c r="C56" s="22" t="s">
        <v>1017</v>
      </c>
      <c r="D56" t="s">
        <v>16</v>
      </c>
      <c r="E56" t="s">
        <v>811</v>
      </c>
      <c r="F56" s="1">
        <v>6100</v>
      </c>
      <c r="G56">
        <v>2902600000</v>
      </c>
      <c r="H56" s="1" t="s">
        <v>465</v>
      </c>
      <c r="J56" t="str">
        <f>IF(COUNTIF(CCMA[material_name],C56)&gt;0,"O","X")</f>
        <v>O</v>
      </c>
      <c r="K56" t="str">
        <f>IF(COUNTIF(CEH[material_name],C56)&gt;0,"O","X")</f>
        <v>O</v>
      </c>
      <c r="L56" t="str">
        <f>IF(COUNTIF(표8[material_id],표2[[#This Row],[material_id]])&gt;0, "O", "X")</f>
        <v>O</v>
      </c>
      <c r="M56" t="str">
        <f>IF(COUNTIFS(표8[material_id],표2[[#This Row],[material_id]],표8[location],"울산")&gt;0, "O", "X")</f>
        <v>O</v>
      </c>
    </row>
    <row r="57" spans="1:13">
      <c r="A57" t="s">
        <v>117</v>
      </c>
      <c r="B57" s="1" t="s">
        <v>9</v>
      </c>
      <c r="C57" s="22" t="s">
        <v>1018</v>
      </c>
      <c r="D57" t="s">
        <v>30</v>
      </c>
      <c r="E57" t="s">
        <v>812</v>
      </c>
      <c r="F57" s="1">
        <v>6110</v>
      </c>
      <c r="G57">
        <v>2902500000</v>
      </c>
      <c r="H57" s="1"/>
      <c r="J57" t="str">
        <f>IF(COUNTIF(CCMA[material_name],C57)&gt;0,"O","X")</f>
        <v>O</v>
      </c>
      <c r="K57" t="str">
        <f>IF(COUNTIF(CEH[material_name],C57)&gt;0,"O","X")</f>
        <v>O</v>
      </c>
      <c r="L57" t="str">
        <f>IF(COUNTIF(표8[material_id],표2[[#This Row],[material_id]])&gt;0, "O", "X")</f>
        <v>O</v>
      </c>
      <c r="M57" t="str">
        <f>IF(COUNTIFS(표8[material_id],표2[[#This Row],[material_id]],표8[location],"울산")&gt;0, "O", "X")</f>
        <v>O</v>
      </c>
    </row>
    <row r="58" spans="1:13">
      <c r="A58" t="s">
        <v>123</v>
      </c>
      <c r="B58" s="1" t="s">
        <v>9</v>
      </c>
      <c r="C58" s="22" t="s">
        <v>466</v>
      </c>
      <c r="D58" t="s">
        <v>24</v>
      </c>
      <c r="E58" t="s">
        <v>795</v>
      </c>
      <c r="F58" s="1">
        <v>6120</v>
      </c>
      <c r="H58" s="1" t="s">
        <v>23</v>
      </c>
      <c r="J58" t="str">
        <f>IF(COUNTIF(CCMA[material_name],C58)&gt;0,"O","X")</f>
        <v>O</v>
      </c>
      <c r="K58" t="str">
        <f>IF(COUNTIF(CEH[material_name],C58)&gt;0,"O","X")</f>
        <v>O</v>
      </c>
      <c r="L58" t="str">
        <f>IF(COUNTIF(표8[material_id],표2[[#This Row],[material_id]])&gt;0, "O", "X")</f>
        <v>O</v>
      </c>
      <c r="M58" t="str">
        <f>IF(COUNTIFS(표8[material_id],표2[[#This Row],[material_id]],표8[location],"울산")&gt;0, "O", "X")</f>
        <v>O</v>
      </c>
    </row>
    <row r="59" spans="1:13">
      <c r="A59" t="s">
        <v>124</v>
      </c>
      <c r="B59" s="1" t="s">
        <v>9</v>
      </c>
      <c r="C59" s="22" t="s">
        <v>1093</v>
      </c>
      <c r="D59" t="s">
        <v>16</v>
      </c>
      <c r="E59" t="s">
        <v>811</v>
      </c>
      <c r="F59" s="1">
        <v>6200</v>
      </c>
      <c r="G59">
        <v>2902700000</v>
      </c>
      <c r="H59" s="1"/>
      <c r="J59" t="str">
        <f>IF(COUNTIF(CCMA[material_name],C59)&gt;0,"O","X")</f>
        <v>O</v>
      </c>
      <c r="K59" t="str">
        <f>IF(COUNTIF(CEH[material_name],C59)&gt;0,"O","X")</f>
        <v>O</v>
      </c>
      <c r="L59" t="str">
        <f>IF(COUNTIF(표8[material_id],표2[[#This Row],[material_id]])&gt;0, "O", "X")</f>
        <v>O</v>
      </c>
      <c r="M59" t="str">
        <f>IF(COUNTIFS(표8[material_id],표2[[#This Row],[material_id]],표8[location],"울산")&gt;0, "O", "X")</f>
        <v>X</v>
      </c>
    </row>
    <row r="60" spans="1:13">
      <c r="A60" t="s">
        <v>125</v>
      </c>
      <c r="B60" s="1" t="s">
        <v>9</v>
      </c>
      <c r="C60" s="22" t="s">
        <v>1019</v>
      </c>
      <c r="D60" t="s">
        <v>16</v>
      </c>
      <c r="E60" t="s">
        <v>813</v>
      </c>
      <c r="F60" s="1">
        <v>6210</v>
      </c>
      <c r="G60">
        <v>2907111000</v>
      </c>
      <c r="H60" s="1"/>
      <c r="J60" t="str">
        <f>IF(COUNTIF(CCMA[material_name],C60)&gt;0,"O","X")</f>
        <v>O</v>
      </c>
      <c r="K60" t="str">
        <f>IF(COUNTIF(CEH[material_name],C60)&gt;0,"O","X")</f>
        <v>O</v>
      </c>
      <c r="L60" t="str">
        <f>IF(COUNTIF(표8[material_id],표2[[#This Row],[material_id]])&gt;0, "O", "X")</f>
        <v>O</v>
      </c>
      <c r="M60" t="str">
        <f>IF(COUNTIFS(표8[material_id],표2[[#This Row],[material_id]],표8[location],"울산")&gt;0, "O", "X")</f>
        <v>X</v>
      </c>
    </row>
    <row r="61" spans="1:13">
      <c r="A61" t="s">
        <v>126</v>
      </c>
      <c r="B61" s="1" t="s">
        <v>9</v>
      </c>
      <c r="C61" s="22" t="s">
        <v>1020</v>
      </c>
      <c r="D61" t="s">
        <v>16</v>
      </c>
      <c r="E61" t="s">
        <v>814</v>
      </c>
      <c r="F61" s="1">
        <v>6220</v>
      </c>
      <c r="G61">
        <v>2914110000</v>
      </c>
      <c r="H61" s="1"/>
      <c r="J61" t="str">
        <f>IF(COUNTIF(CCMA[material_name],C61)&gt;0,"O","X")</f>
        <v>X</v>
      </c>
      <c r="K61" t="str">
        <f>IF(COUNTIF(CEH[material_name],C61)&gt;0,"O","X")</f>
        <v>O</v>
      </c>
      <c r="L61" t="str">
        <f>IF(COUNTIF(표8[material_id],표2[[#This Row],[material_id]])&gt;0, "O", "X")</f>
        <v>O</v>
      </c>
      <c r="M61" t="str">
        <f>IF(COUNTIFS(표8[material_id],표2[[#This Row],[material_id]],표8[location],"울산")&gt;0, "O", "X")</f>
        <v>X</v>
      </c>
    </row>
    <row r="62" spans="1:13">
      <c r="A62" t="s">
        <v>127</v>
      </c>
      <c r="B62" s="1" t="s">
        <v>9</v>
      </c>
      <c r="C62" s="22" t="s">
        <v>467</v>
      </c>
      <c r="D62" t="s">
        <v>16</v>
      </c>
      <c r="E62" t="s">
        <v>813</v>
      </c>
      <c r="F62" s="1">
        <v>6230</v>
      </c>
      <c r="G62">
        <v>2907231000</v>
      </c>
      <c r="H62" s="1" t="s">
        <v>120</v>
      </c>
      <c r="J62" t="str">
        <f>IF(COUNTIF(CCMA[material_name],C62)&gt;0,"O","X")</f>
        <v>O</v>
      </c>
      <c r="K62" t="str">
        <f>IF(COUNTIF(CEH[material_name],C62)&gt;0,"O","X")</f>
        <v>O</v>
      </c>
      <c r="L62" t="str">
        <f>IF(COUNTIF(표8[material_id],표2[[#This Row],[material_id]])&gt;0, "O", "X")</f>
        <v>O</v>
      </c>
      <c r="M62" t="str">
        <f>IF(COUNTIFS(표8[material_id],표2[[#This Row],[material_id]],표8[location],"울산")&gt;0, "O", "X")</f>
        <v>X</v>
      </c>
    </row>
    <row r="63" spans="1:13">
      <c r="A63" t="s">
        <v>128</v>
      </c>
      <c r="B63" s="1" t="s">
        <v>9</v>
      </c>
      <c r="C63" s="22" t="s">
        <v>468</v>
      </c>
      <c r="D63" t="s">
        <v>24</v>
      </c>
      <c r="E63" t="s">
        <v>815</v>
      </c>
      <c r="F63" s="1">
        <v>6240</v>
      </c>
      <c r="G63">
        <v>3907400000</v>
      </c>
      <c r="H63" s="1" t="s">
        <v>121</v>
      </c>
      <c r="J63" t="str">
        <f>IF(COUNTIF(CCMA[material_name],C63)&gt;0,"O","X")</f>
        <v>O</v>
      </c>
      <c r="K63" t="str">
        <f>IF(COUNTIF(CEH[material_name],C63)&gt;0,"O","X")</f>
        <v>O</v>
      </c>
      <c r="L63" t="str">
        <f>IF(COUNTIF(표8[material_id],표2[[#This Row],[material_id]])&gt;0, "O", "X")</f>
        <v>O</v>
      </c>
      <c r="M63" t="str">
        <f>IF(COUNTIFS(표8[material_id],표2[[#This Row],[material_id]],표8[location],"울산")&gt;0, "O", "X")</f>
        <v>X</v>
      </c>
    </row>
    <row r="64" spans="1:13">
      <c r="A64" t="s">
        <v>129</v>
      </c>
      <c r="B64" s="1" t="s">
        <v>9</v>
      </c>
      <c r="C64" s="22" t="s">
        <v>1021</v>
      </c>
      <c r="D64" t="s">
        <v>788</v>
      </c>
      <c r="E64" t="s">
        <v>816</v>
      </c>
      <c r="F64" s="1">
        <v>6250</v>
      </c>
      <c r="H64" s="1"/>
      <c r="J64" t="str">
        <f>IF(COUNTIF(CCMA[material_name],C64)&gt;0,"O","X")</f>
        <v>X</v>
      </c>
      <c r="K64" t="str">
        <f>IF(COUNTIF(CEH[material_name],C64)&gt;0,"O","X")</f>
        <v>O</v>
      </c>
      <c r="L64" t="str">
        <f>IF(COUNTIF(표8[material_id],표2[[#This Row],[material_id]])&gt;0, "O", "X")</f>
        <v>O</v>
      </c>
      <c r="M64" t="str">
        <f>IF(COUNTIFS(표8[material_id],표2[[#This Row],[material_id]],표8[location],"울산")&gt;0, "O", "X")</f>
        <v>X</v>
      </c>
    </row>
    <row r="65" spans="1:13">
      <c r="A65" t="s">
        <v>130</v>
      </c>
      <c r="B65" s="1" t="s">
        <v>9</v>
      </c>
      <c r="C65" s="22" t="s">
        <v>1022</v>
      </c>
      <c r="D65" t="s">
        <v>16</v>
      </c>
      <c r="E65" t="s">
        <v>817</v>
      </c>
      <c r="F65" s="1">
        <v>6300</v>
      </c>
      <c r="G65">
        <v>2902110000</v>
      </c>
      <c r="H65" s="1"/>
      <c r="J65" t="str">
        <f>IF(COUNTIF(CCMA[material_name],C65)&gt;0,"O","X")</f>
        <v>X</v>
      </c>
      <c r="K65" t="str">
        <f>IF(COUNTIF(CEH[material_name],C65)&gt;0,"O","X")</f>
        <v>O</v>
      </c>
      <c r="L65" t="str">
        <f>IF(COUNTIF(표8[material_id],표2[[#This Row],[material_id]])&gt;0, "O", "X")</f>
        <v>O</v>
      </c>
      <c r="M65" t="str">
        <f>IF(COUNTIFS(표8[material_id],표2[[#This Row],[material_id]],표8[location],"울산")&gt;0, "O", "X")</f>
        <v>O</v>
      </c>
    </row>
    <row r="66" spans="1:13">
      <c r="A66" t="s">
        <v>131</v>
      </c>
      <c r="B66" s="1" t="s">
        <v>9</v>
      </c>
      <c r="C66" s="22" t="s">
        <v>2085</v>
      </c>
      <c r="D66" t="s">
        <v>16</v>
      </c>
      <c r="E66" t="s">
        <v>818</v>
      </c>
      <c r="F66" s="1">
        <v>6320</v>
      </c>
      <c r="G66">
        <v>2921411000</v>
      </c>
      <c r="H66" s="1"/>
      <c r="J66" t="str">
        <f>IF(COUNTIF(CCMA[material_name],C66)&gt;0,"O","X")</f>
        <v>X</v>
      </c>
      <c r="K66" t="str">
        <f>IF(COUNTIF(CEH[material_name],C66)&gt;0,"O","X")</f>
        <v>O</v>
      </c>
      <c r="L66" t="str">
        <f>IF(COUNTIF(표8[material_id],표2[[#This Row],[material_id]])&gt;0, "O", "X")</f>
        <v>O</v>
      </c>
      <c r="M66" t="str">
        <f>IF(COUNTIFS(표8[material_id],표2[[#This Row],[material_id]],표8[location],"울산")&gt;0, "O", "X")</f>
        <v>X</v>
      </c>
    </row>
    <row r="67" spans="1:13">
      <c r="A67" t="s">
        <v>132</v>
      </c>
      <c r="B67" s="1" t="s">
        <v>9</v>
      </c>
      <c r="C67" s="22" t="s">
        <v>381</v>
      </c>
      <c r="D67" t="s">
        <v>16</v>
      </c>
      <c r="E67" t="s">
        <v>811</v>
      </c>
      <c r="F67" s="1">
        <v>6400</v>
      </c>
      <c r="H67" t="s">
        <v>383</v>
      </c>
      <c r="J67" t="str">
        <f>IF(COUNTIF(CCMA[material_name],C67)&gt;0,"O","X")</f>
        <v>X</v>
      </c>
      <c r="K67" t="str">
        <f>IF(COUNTIF(CEH[material_name],C67)&gt;0,"O","X")</f>
        <v>O</v>
      </c>
      <c r="L67" t="str">
        <f>IF(COUNTIF(표8[material_id],표2[[#This Row],[material_id]])&gt;0, "O", "X")</f>
        <v>O</v>
      </c>
      <c r="M67" t="str">
        <f>IF(COUNTIFS(표8[material_id],표2[[#This Row],[material_id]],표8[location],"울산")&gt;0, "O", "X")</f>
        <v>O</v>
      </c>
    </row>
    <row r="68" spans="1:13">
      <c r="A68" t="s">
        <v>384</v>
      </c>
      <c r="B68" s="1" t="s">
        <v>9</v>
      </c>
      <c r="C68" s="22" t="s">
        <v>372</v>
      </c>
      <c r="D68" t="s">
        <v>16</v>
      </c>
      <c r="E68" t="s">
        <v>814</v>
      </c>
      <c r="F68" s="1">
        <v>6310</v>
      </c>
      <c r="G68">
        <v>2914221000</v>
      </c>
      <c r="H68" s="1"/>
      <c r="J68" t="str">
        <f>IF(COUNTIF(CCMA[material_name],C68)&gt;0,"O","X")</f>
        <v>X</v>
      </c>
      <c r="K68" t="str">
        <f>IF(COUNTIF(CEH[material_name],C68)&gt;0,"O","X")</f>
        <v>O</v>
      </c>
      <c r="L68" t="str">
        <f>IF(COUNTIF(표8[material_id],표2[[#This Row],[material_id]])&gt;0, "O", "X")</f>
        <v>O</v>
      </c>
      <c r="M68" t="str">
        <f>IF(COUNTIFS(표8[material_id],표2[[#This Row],[material_id]],표8[location],"울산")&gt;0, "O", "X")</f>
        <v>O</v>
      </c>
    </row>
    <row r="69" spans="1:13">
      <c r="A69" t="s">
        <v>463</v>
      </c>
      <c r="B69" t="s">
        <v>756</v>
      </c>
      <c r="C69" s="22" t="s">
        <v>456</v>
      </c>
      <c r="D69" t="s">
        <v>16</v>
      </c>
      <c r="E69" t="s">
        <v>819</v>
      </c>
      <c r="F69">
        <v>4400</v>
      </c>
      <c r="G69">
        <v>2917140000</v>
      </c>
      <c r="H69" t="s">
        <v>464</v>
      </c>
      <c r="J69" t="str">
        <f>IF(COUNTIF(CCMA[material_name],C69)&gt;0,"O","X")</f>
        <v>X</v>
      </c>
      <c r="K69" t="str">
        <f>IF(COUNTIF(CEH[material_name],C69)&gt;0,"O","X")</f>
        <v>O</v>
      </c>
      <c r="L69" t="str">
        <f>IF(COUNTIF(표8[material_id],표2[[#This Row],[material_id]])&gt;0, "O", "X")</f>
        <v>O</v>
      </c>
      <c r="M69" t="str">
        <f>IF(COUNTIFS(표8[material_id],표2[[#This Row],[material_id]],표8[location],"울산")&gt;0, "O", "X")</f>
        <v>O</v>
      </c>
    </row>
    <row r="70" spans="1:13">
      <c r="A70" t="s">
        <v>482</v>
      </c>
      <c r="B70" t="s">
        <v>457</v>
      </c>
      <c r="C70" s="22" t="s">
        <v>457</v>
      </c>
      <c r="D70" t="s">
        <v>6</v>
      </c>
      <c r="E70" t="s">
        <v>783</v>
      </c>
      <c r="F70">
        <v>100</v>
      </c>
      <c r="G70">
        <v>2905110000</v>
      </c>
      <c r="J70" t="str">
        <f>IF(COUNTIF(CCMA[material_name],C70)&gt;0,"O","X")</f>
        <v>O</v>
      </c>
      <c r="K70" t="str">
        <f>IF(COUNTIF(CEH[material_name],C70)&gt;0,"O","X")</f>
        <v>O</v>
      </c>
      <c r="L70" t="str">
        <f>IF(COUNTIF(표8[material_id],표2[[#This Row],[material_id]])&gt;0, "O", "X")</f>
        <v>X</v>
      </c>
      <c r="M70" t="str">
        <f>IF(COUNTIFS(표8[material_id],표2[[#This Row],[material_id]],표8[location],"울산")&gt;0, "O", "X")</f>
        <v>X</v>
      </c>
    </row>
    <row r="71" spans="1:13">
      <c r="A71" t="s">
        <v>484</v>
      </c>
      <c r="B71" t="s">
        <v>457</v>
      </c>
      <c r="C71" s="22" t="s">
        <v>461</v>
      </c>
      <c r="D71" t="s">
        <v>16</v>
      </c>
      <c r="E71" t="s">
        <v>800</v>
      </c>
      <c r="F71">
        <v>200</v>
      </c>
      <c r="G71">
        <v>2915210000</v>
      </c>
      <c r="J71" t="str">
        <f>IF(COUNTIF(CCMA[material_name],C71)&gt;0,"O","X")</f>
        <v>O</v>
      </c>
      <c r="K71" t="str">
        <f>IF(COUNTIF(CEH[material_name],C71)&gt;0,"O","X")</f>
        <v>O</v>
      </c>
      <c r="L71" t="str">
        <f>IF(COUNTIF(표8[material_id],표2[[#This Row],[material_id]])&gt;0, "O", "X")</f>
        <v>O</v>
      </c>
      <c r="M71" t="str">
        <f>IF(COUNTIFS(표8[material_id],표2[[#This Row],[material_id]],표8[location],"울산")&gt;0, "O", "X")</f>
        <v>O</v>
      </c>
    </row>
    <row r="72" spans="1:13">
      <c r="A72" t="s">
        <v>485</v>
      </c>
      <c r="B72" t="s">
        <v>486</v>
      </c>
      <c r="C72" s="22" t="s">
        <v>486</v>
      </c>
      <c r="D72" t="s">
        <v>6</v>
      </c>
      <c r="E72" t="s">
        <v>810</v>
      </c>
      <c r="F72">
        <v>7000</v>
      </c>
      <c r="G72">
        <v>2902300000</v>
      </c>
      <c r="J72" t="str">
        <f>IF(COUNTIF(CCMA[material_name],C72)&gt;0,"O","X")</f>
        <v>O</v>
      </c>
      <c r="K72" t="str">
        <f>IF(COUNTIF(CEH[material_name],C72)&gt;0,"O","X")</f>
        <v>O</v>
      </c>
      <c r="L72" t="str">
        <f>IF(COUNTIF(표8[material_id],표2[[#This Row],[material_id]])&gt;0, "O", "X")</f>
        <v>O</v>
      </c>
      <c r="M72" t="str">
        <f>IF(COUNTIFS(표8[material_id],표2[[#This Row],[material_id]],표8[location],"울산")&gt;0, "O", "X")</f>
        <v>O</v>
      </c>
    </row>
    <row r="73" spans="1:13">
      <c r="A73" t="s">
        <v>487</v>
      </c>
      <c r="B73" t="s">
        <v>488</v>
      </c>
      <c r="C73" s="17" t="s">
        <v>488</v>
      </c>
      <c r="D73" t="s">
        <v>6</v>
      </c>
      <c r="E73" t="s">
        <v>810</v>
      </c>
      <c r="F73">
        <v>8000</v>
      </c>
      <c r="G73">
        <v>2902440000</v>
      </c>
      <c r="J73" t="str">
        <f>IF(COUNTIF(CCMA[material_name],C73)&gt;0,"O","X")</f>
        <v>O</v>
      </c>
      <c r="K73" t="str">
        <f>IF(COUNTIF(CEH[material_name],C73)&gt;0,"O","X")</f>
        <v>O</v>
      </c>
      <c r="L73" t="str">
        <f>IF(COUNTIF(표8[material_id],표2[[#This Row],[material_id]])&gt;0, "O", "X")</f>
        <v>O</v>
      </c>
      <c r="M73" t="str">
        <f>IF(COUNTIFS(표8[material_id],표2[[#This Row],[material_id]],표8[location],"울산")&gt;0, "O", "X")</f>
        <v>O</v>
      </c>
    </row>
    <row r="74" spans="1:13">
      <c r="A74" t="s">
        <v>489</v>
      </c>
      <c r="B74" t="s">
        <v>488</v>
      </c>
      <c r="C74" s="21" t="s">
        <v>490</v>
      </c>
      <c r="D74" t="s">
        <v>16</v>
      </c>
      <c r="E74" t="s">
        <v>819</v>
      </c>
      <c r="F74">
        <v>8110</v>
      </c>
      <c r="G74">
        <v>2917350000</v>
      </c>
      <c r="H74" t="s">
        <v>491</v>
      </c>
      <c r="J74" t="str">
        <f>IF(COUNTIF(CCMA[material_name],C74)&gt;0,"O","X")</f>
        <v>X</v>
      </c>
      <c r="K74" t="str">
        <f>IF(COUNTIF(CEH[material_name],C74)&gt;0,"O","X")</f>
        <v>O</v>
      </c>
      <c r="L74" t="str">
        <f>IF(COUNTIF(표8[material_id],표2[[#This Row],[material_id]])&gt;0, "O", "X")</f>
        <v>O</v>
      </c>
      <c r="M74" t="str">
        <f>IF(COUNTIFS(표8[material_id],표2[[#This Row],[material_id]],표8[location],"울산")&gt;0, "O", "X")</f>
        <v>O</v>
      </c>
    </row>
    <row r="75" spans="1:13">
      <c r="A75" t="s">
        <v>499</v>
      </c>
      <c r="B75" t="s">
        <v>455</v>
      </c>
      <c r="C75" s="21" t="s">
        <v>544</v>
      </c>
      <c r="D75" t="s">
        <v>30</v>
      </c>
      <c r="E75" t="s">
        <v>820</v>
      </c>
      <c r="F75">
        <v>6330</v>
      </c>
      <c r="G75">
        <v>2933710000</v>
      </c>
      <c r="J75" t="str">
        <f>IF(COUNTIF(CCMA[material_name],C75)&gt;0,"O","X")</f>
        <v>X</v>
      </c>
      <c r="K75" t="str">
        <f>IF(COUNTIF(CEH[material_name],C75)&gt;0,"O","X")</f>
        <v>O</v>
      </c>
      <c r="L75" t="str">
        <f>IF(COUNTIF(표8[material_id],표2[[#This Row],[material_id]])&gt;0, "O", "X")</f>
        <v>O</v>
      </c>
      <c r="M75" t="str">
        <f>IF(COUNTIFS(표8[material_id],표2[[#This Row],[material_id]],표8[location],"울산")&gt;0, "O", "X")</f>
        <v>O</v>
      </c>
    </row>
    <row r="76" spans="1:13">
      <c r="A76" t="s">
        <v>545</v>
      </c>
      <c r="B76" t="s">
        <v>550</v>
      </c>
      <c r="C76" s="21" t="s">
        <v>548</v>
      </c>
      <c r="D76" t="s">
        <v>788</v>
      </c>
      <c r="E76" t="s">
        <v>821</v>
      </c>
      <c r="F76">
        <v>2700</v>
      </c>
      <c r="H76" t="s">
        <v>568</v>
      </c>
      <c r="J76" t="str">
        <f>IF(COUNTIF(CCMA[material_name],C76)&gt;0,"O","X")</f>
        <v>X</v>
      </c>
      <c r="K76" t="str">
        <f>IF(COUNTIF(CEH[material_name],C76)&gt;0,"O","X")</f>
        <v>O</v>
      </c>
      <c r="L76" t="str">
        <f>IF(COUNTIF(표8[material_id],표2[[#This Row],[material_id]])&gt;0, "O", "X")</f>
        <v>X</v>
      </c>
      <c r="M76" t="str">
        <f>IF(COUNTIFS(표8[material_id],표2[[#This Row],[material_id]],표8[location],"울산")&gt;0, "O", "X")</f>
        <v>X</v>
      </c>
    </row>
    <row r="77" spans="1:13">
      <c r="A77" t="s">
        <v>546</v>
      </c>
      <c r="B77" t="s">
        <v>550</v>
      </c>
      <c r="C77" t="s">
        <v>549</v>
      </c>
      <c r="D77" t="s">
        <v>16</v>
      </c>
      <c r="E77" t="s">
        <v>809</v>
      </c>
      <c r="F77">
        <v>2900</v>
      </c>
      <c r="G77">
        <v>2901291000</v>
      </c>
      <c r="H77" t="s">
        <v>757</v>
      </c>
      <c r="J77" t="str">
        <f>IF(COUNTIF(CCMA[material_name],C77)&gt;0,"O","X")</f>
        <v>X</v>
      </c>
      <c r="K77" t="str">
        <f>IF(COUNTIF(CEH[material_name],C77)&gt;0,"O","X")</f>
        <v>X</v>
      </c>
      <c r="L77" t="str">
        <f>IF(COUNTIF(표8[material_id],표2[[#This Row],[material_id]])&gt;0, "O", "X")</f>
        <v>X</v>
      </c>
      <c r="M77" t="str">
        <f>IF(COUNTIFS(표8[material_id],표2[[#This Row],[material_id]],표8[location],"울산")&gt;0, "O", "X")</f>
        <v>X</v>
      </c>
    </row>
    <row r="78" spans="1:13">
      <c r="A78" t="s">
        <v>547</v>
      </c>
      <c r="B78" t="s">
        <v>550</v>
      </c>
      <c r="C78" s="21" t="s">
        <v>567</v>
      </c>
      <c r="D78" t="s">
        <v>788</v>
      </c>
      <c r="E78" t="s">
        <v>822</v>
      </c>
      <c r="F78">
        <v>2720</v>
      </c>
      <c r="J78" t="str">
        <f>IF(COUNTIF(CCMA[material_name],C78)&gt;0,"O","X")</f>
        <v>X</v>
      </c>
      <c r="K78" t="str">
        <f>IF(COUNTIF(CEH[material_name],C78)&gt;0,"O","X")</f>
        <v>X</v>
      </c>
      <c r="L78" t="str">
        <f>IF(COUNTIF(표8[material_id],표2[[#This Row],[material_id]])&gt;0, "O", "X")</f>
        <v>X</v>
      </c>
      <c r="M78" t="str">
        <f>IF(COUNTIFS(표8[material_id],표2[[#This Row],[material_id]],표8[location],"울산")&gt;0, "O", "X")</f>
        <v>X</v>
      </c>
    </row>
    <row r="79" spans="1:13">
      <c r="A79" t="s">
        <v>578</v>
      </c>
      <c r="B79" t="s">
        <v>457</v>
      </c>
      <c r="C79" s="21" t="s">
        <v>580</v>
      </c>
      <c r="D79" t="s">
        <v>30</v>
      </c>
      <c r="E79" t="s">
        <v>823</v>
      </c>
      <c r="F79">
        <v>400</v>
      </c>
      <c r="G79">
        <v>2916141000</v>
      </c>
      <c r="H79" t="s">
        <v>583</v>
      </c>
      <c r="J79" t="str">
        <f>IF(COUNTIF(CCMA[material_name],C79)&gt;0,"O","X")</f>
        <v>O</v>
      </c>
      <c r="K79" t="str">
        <f>IF(COUNTIF(CEH[material_name],C79)&gt;0,"O","X")</f>
        <v>O</v>
      </c>
      <c r="L79" t="str">
        <f>IF(COUNTIF(표8[material_id],표2[[#This Row],[material_id]])&gt;0, "O", "X")</f>
        <v>O</v>
      </c>
      <c r="M79" t="str">
        <f>IF(COUNTIFS(표8[material_id],표2[[#This Row],[material_id]],표8[location],"울산")&gt;0, "O", "X")</f>
        <v>X</v>
      </c>
    </row>
    <row r="80" spans="1:13">
      <c r="A80" t="s">
        <v>579</v>
      </c>
      <c r="B80" t="s">
        <v>457</v>
      </c>
      <c r="C80" s="21" t="s">
        <v>581</v>
      </c>
      <c r="D80" t="s">
        <v>24</v>
      </c>
      <c r="E80" t="s">
        <v>801</v>
      </c>
      <c r="F80">
        <v>410</v>
      </c>
      <c r="G80">
        <v>3906100000</v>
      </c>
      <c r="H80" t="s">
        <v>582</v>
      </c>
      <c r="J80" t="str">
        <f>IF(COUNTIF(CCMA[material_name],C80)&gt;0,"O","X")</f>
        <v>X</v>
      </c>
      <c r="K80" t="str">
        <f>IF(COUNTIF(CEH[material_name],C80)&gt;0,"O","X")</f>
        <v>O</v>
      </c>
      <c r="L80" t="str">
        <f>IF(COUNTIF(표8[material_id],표2[[#This Row],[material_id]])&gt;0, "O", "X")</f>
        <v>O</v>
      </c>
      <c r="M80" t="str">
        <f>IF(COUNTIFS(표8[material_id],표2[[#This Row],[material_id]],표8[location],"울산")&gt;0, "O", "X")</f>
        <v>X</v>
      </c>
    </row>
    <row r="81" spans="1:13">
      <c r="A81" t="s">
        <v>592</v>
      </c>
      <c r="B81" t="s">
        <v>457</v>
      </c>
      <c r="C81" s="21" t="s">
        <v>593</v>
      </c>
      <c r="D81" t="s">
        <v>16</v>
      </c>
      <c r="E81" t="s">
        <v>792</v>
      </c>
      <c r="F81">
        <v>300</v>
      </c>
      <c r="G81">
        <v>2912110000</v>
      </c>
      <c r="H81" t="s">
        <v>582</v>
      </c>
      <c r="J81" t="str">
        <f>IF(COUNTIF(CCMA[material_name],C81)&gt;0,"O","X")</f>
        <v>O</v>
      </c>
      <c r="K81" t="str">
        <f>IF(COUNTIF(CEH[material_name],C81)&gt;0,"O","X")</f>
        <v>O</v>
      </c>
      <c r="L81" t="str">
        <f>IF(COUNTIF(표8[material_id],표2[[#This Row],[material_id]])&gt;0, "O", "X")</f>
        <v>O</v>
      </c>
      <c r="M81" t="str">
        <f>IF(COUNTIFS(표8[material_id],표2[[#This Row],[material_id]],표8[location],"울산")&gt;0, "O", "X")</f>
        <v>O</v>
      </c>
    </row>
    <row r="82" spans="1:13">
      <c r="A82" t="s">
        <v>596</v>
      </c>
      <c r="B82" t="s">
        <v>550</v>
      </c>
      <c r="C82" s="21" t="s">
        <v>598</v>
      </c>
      <c r="D82" t="s">
        <v>16</v>
      </c>
      <c r="E82" t="s">
        <v>824</v>
      </c>
      <c r="F82">
        <v>2360</v>
      </c>
      <c r="H82" t="s">
        <v>599</v>
      </c>
      <c r="J82" t="str">
        <f>IF(COUNTIF(CCMA[material_name],C82)&gt;0,"O","X")</f>
        <v>X</v>
      </c>
      <c r="K82" t="str">
        <f>IF(COUNTIF(CEH[material_name],C82)&gt;0,"O","X")</f>
        <v>X</v>
      </c>
      <c r="L82" t="str">
        <f>IF(COUNTIF(표8[material_id],표2[[#This Row],[material_id]])&gt;0, "O", "X")</f>
        <v>O</v>
      </c>
      <c r="M82" t="str">
        <f>IF(COUNTIFS(표8[material_id],표2[[#This Row],[material_id]],표8[location],"울산")&gt;0, "O", "X")</f>
        <v>X</v>
      </c>
    </row>
    <row r="83" spans="1:13">
      <c r="A83" t="s">
        <v>597</v>
      </c>
      <c r="B83" t="s">
        <v>550</v>
      </c>
      <c r="C83" s="21" t="s">
        <v>600</v>
      </c>
      <c r="D83" t="s">
        <v>16</v>
      </c>
      <c r="E83" t="s">
        <v>824</v>
      </c>
      <c r="F83">
        <v>2370</v>
      </c>
      <c r="H83" t="s">
        <v>601</v>
      </c>
      <c r="J83" t="str">
        <f>IF(COUNTIF(CCMA[material_name],C83)&gt;0,"O","X")</f>
        <v>X</v>
      </c>
      <c r="K83" t="str">
        <f>IF(COUNTIF(CEH[material_name],C83)&gt;0,"O","X")</f>
        <v>X</v>
      </c>
      <c r="L83" t="str">
        <f>IF(COUNTIF(표8[material_id],표2[[#This Row],[material_id]])&gt;0, "O", "X")</f>
        <v>O</v>
      </c>
      <c r="M83" t="str">
        <f>IF(COUNTIFS(표8[material_id],표2[[#This Row],[material_id]],표8[location],"울산")&gt;0, "O", "X")</f>
        <v>X</v>
      </c>
    </row>
    <row r="84" spans="1:13">
      <c r="A84" t="s">
        <v>610</v>
      </c>
      <c r="B84" t="s">
        <v>550</v>
      </c>
      <c r="C84" s="21" t="s">
        <v>1110</v>
      </c>
      <c r="D84" t="s">
        <v>24</v>
      </c>
      <c r="E84" t="s">
        <v>825</v>
      </c>
      <c r="F84">
        <v>2610</v>
      </c>
      <c r="G84" s="1">
        <v>3905300000</v>
      </c>
      <c r="H84" t="s">
        <v>613</v>
      </c>
      <c r="J84" t="str">
        <f>IF(COUNTIF(CCMA[material_name],C84)&gt;0,"O","X")</f>
        <v>X</v>
      </c>
      <c r="K84" t="str">
        <f>IF(COUNTIF(CEH[material_name],C84)&gt;0,"O","X")</f>
        <v>O</v>
      </c>
      <c r="L84" t="str">
        <f>IF(COUNTIF(표8[material_id],표2[[#This Row],[material_id]])&gt;0, "O", "X")</f>
        <v>X</v>
      </c>
      <c r="M84" t="str">
        <f>IF(COUNTIFS(표8[material_id],표2[[#This Row],[material_id]],표8[location],"울산")&gt;0, "O", "X")</f>
        <v>X</v>
      </c>
    </row>
    <row r="85" spans="1:13">
      <c r="A85" t="s">
        <v>611</v>
      </c>
      <c r="B85" t="s">
        <v>550</v>
      </c>
      <c r="C85" s="21" t="s">
        <v>612</v>
      </c>
      <c r="D85" t="s">
        <v>24</v>
      </c>
      <c r="E85" t="s">
        <v>826</v>
      </c>
      <c r="F85">
        <v>2620</v>
      </c>
      <c r="H85" t="s">
        <v>614</v>
      </c>
      <c r="J85" t="str">
        <f>IF(COUNTIF(CCMA[material_name],C85)&gt;0,"O","X")</f>
        <v>X</v>
      </c>
      <c r="K85" t="str">
        <f>IF(COUNTIF(CEH[material_name],C85)&gt;0,"O","X")</f>
        <v>O</v>
      </c>
      <c r="L85" t="str">
        <f>IF(COUNTIF(표8[material_id],표2[[#This Row],[material_id]])&gt;0, "O", "X")</f>
        <v>O</v>
      </c>
      <c r="M85" t="str">
        <f>IF(COUNTIFS(표8[material_id],표2[[#This Row],[material_id]],표8[location],"울산")&gt;0, "O", "X")</f>
        <v>X</v>
      </c>
    </row>
    <row r="86" spans="1:13">
      <c r="A86" t="s">
        <v>625</v>
      </c>
      <c r="B86" t="s">
        <v>455</v>
      </c>
      <c r="C86" s="21" t="s">
        <v>627</v>
      </c>
      <c r="D86" t="s">
        <v>16</v>
      </c>
      <c r="E86" t="s">
        <v>827</v>
      </c>
      <c r="F86">
        <v>6410</v>
      </c>
      <c r="G86">
        <v>2929102000</v>
      </c>
      <c r="H86" t="s">
        <v>629</v>
      </c>
      <c r="J86" t="str">
        <f>IF(COUNTIF(CCMA[material_name],C86)&gt;0,"O","X")</f>
        <v>X</v>
      </c>
      <c r="K86" t="str">
        <f>IF(COUNTIF(CEH[material_name],C86)&gt;0,"O","X")</f>
        <v>O</v>
      </c>
      <c r="L86" t="str">
        <f>IF(COUNTIF(표8[material_id],표2[[#This Row],[material_id]])&gt;0, "O", "X")</f>
        <v>O</v>
      </c>
      <c r="M86" t="str">
        <f>IF(COUNTIFS(표8[material_id],표2[[#This Row],[material_id]],표8[location],"울산")&gt;0, "O", "X")</f>
        <v>X</v>
      </c>
    </row>
    <row r="87" spans="1:13">
      <c r="A87" t="s">
        <v>626</v>
      </c>
      <c r="B87" t="s">
        <v>486</v>
      </c>
      <c r="C87" s="21" t="s">
        <v>628</v>
      </c>
      <c r="D87" t="s">
        <v>16</v>
      </c>
      <c r="E87" t="s">
        <v>827</v>
      </c>
      <c r="F87">
        <v>7100</v>
      </c>
      <c r="G87">
        <v>2929101000</v>
      </c>
      <c r="H87" t="s">
        <v>630</v>
      </c>
      <c r="J87" t="str">
        <f>IF(COUNTIF(CCMA[material_name],C87)&gt;0,"O","X")</f>
        <v>X</v>
      </c>
      <c r="K87" t="str">
        <f>IF(COUNTIF(CEH[material_name],C87)&gt;0,"O","X")</f>
        <v>O</v>
      </c>
      <c r="L87" t="str">
        <f>IF(COUNTIF(표8[material_id],표2[[#This Row],[material_id]])&gt;0, "O", "X")</f>
        <v>O</v>
      </c>
      <c r="M87" t="str">
        <f>IF(COUNTIFS(표8[material_id],표2[[#This Row],[material_id]],표8[location],"울산")&gt;0, "O", "X")</f>
        <v>X</v>
      </c>
    </row>
    <row r="88" spans="1:13">
      <c r="A88" t="s">
        <v>642</v>
      </c>
      <c r="B88" t="s">
        <v>488</v>
      </c>
      <c r="C88" s="21" t="s">
        <v>645</v>
      </c>
      <c r="D88" t="s">
        <v>16</v>
      </c>
      <c r="E88" t="s">
        <v>828</v>
      </c>
      <c r="F88">
        <v>8100</v>
      </c>
      <c r="G88">
        <v>2902410000</v>
      </c>
      <c r="H88" t="s">
        <v>496</v>
      </c>
      <c r="J88" t="str">
        <f>IF(COUNTIF(CCMA[material_name],C88)&gt;0,"O","X")</f>
        <v>X</v>
      </c>
      <c r="K88" t="str">
        <f>IF(COUNTIF(CEH[material_name],C88)&gt;0,"O","X")</f>
        <v>O</v>
      </c>
      <c r="L88" t="str">
        <f>IF(COUNTIF(표8[material_id],표2[[#This Row],[material_id]])&gt;0, "O", "X")</f>
        <v>O</v>
      </c>
      <c r="M88" t="str">
        <f>IF(COUNTIFS(표8[material_id],표2[[#This Row],[material_id]],표8[location],"울산")&gt;0, "O", "X")</f>
        <v>O</v>
      </c>
    </row>
    <row r="89" spans="1:13">
      <c r="A89" t="s">
        <v>643</v>
      </c>
      <c r="B89" t="s">
        <v>488</v>
      </c>
      <c r="C89" s="21" t="s">
        <v>646</v>
      </c>
      <c r="D89" t="s">
        <v>16</v>
      </c>
      <c r="E89" t="s">
        <v>828</v>
      </c>
      <c r="F89">
        <v>8200</v>
      </c>
      <c r="G89">
        <v>2902420000</v>
      </c>
      <c r="H89" t="s">
        <v>497</v>
      </c>
      <c r="J89" t="str">
        <f>IF(COUNTIF(CCMA[material_name],C89)&gt;0,"O","X")</f>
        <v>X</v>
      </c>
      <c r="K89" t="str">
        <f>IF(COUNTIF(CEH[material_name],C89)&gt;0,"O","X")</f>
        <v>O</v>
      </c>
      <c r="L89" t="str">
        <f>IF(COUNTIF(표8[material_id],표2[[#This Row],[material_id]])&gt;0, "O", "X")</f>
        <v>O</v>
      </c>
      <c r="M89" t="str">
        <f>IF(COUNTIFS(표8[material_id],표2[[#This Row],[material_id]],표8[location],"울산")&gt;0, "O", "X")</f>
        <v>O</v>
      </c>
    </row>
    <row r="90" spans="1:13">
      <c r="A90" t="s">
        <v>644</v>
      </c>
      <c r="B90" t="s">
        <v>488</v>
      </c>
      <c r="C90" s="21" t="s">
        <v>647</v>
      </c>
      <c r="D90" t="s">
        <v>16</v>
      </c>
      <c r="E90" t="s">
        <v>828</v>
      </c>
      <c r="F90">
        <v>8300</v>
      </c>
      <c r="G90">
        <v>2902430000</v>
      </c>
      <c r="H90" t="s">
        <v>498</v>
      </c>
      <c r="J90" t="str">
        <f>IF(COUNTIF(CCMA[material_name],C90)&gt;0,"O","X")</f>
        <v>O</v>
      </c>
      <c r="K90" t="str">
        <f>IF(COUNTIF(CEH[material_name],C90)&gt;0,"O","X")</f>
        <v>O</v>
      </c>
      <c r="L90" t="str">
        <f>IF(COUNTIF(표8[material_id],표2[[#This Row],[material_id]])&gt;0, "O", "X")</f>
        <v>O</v>
      </c>
      <c r="M90" t="str">
        <f>IF(COUNTIFS(표8[material_id],표2[[#This Row],[material_id]],표8[location],"울산")&gt;0, "O", "X")</f>
        <v>O</v>
      </c>
    </row>
    <row r="91" spans="1:13">
      <c r="A91" t="s">
        <v>663</v>
      </c>
      <c r="B91" t="s">
        <v>488</v>
      </c>
      <c r="C91" s="21" t="s">
        <v>493</v>
      </c>
      <c r="D91" t="s">
        <v>30</v>
      </c>
      <c r="E91" t="s">
        <v>829</v>
      </c>
      <c r="F91">
        <v>8210</v>
      </c>
      <c r="H91" t="s">
        <v>496</v>
      </c>
      <c r="J91" t="str">
        <f>IF(COUNTIF(CCMA[material_name],C91)&gt;0,"O","X")</f>
        <v>X</v>
      </c>
      <c r="K91" t="str">
        <f>IF(COUNTIF(CEH[material_name],C91)&gt;0,"O","X")</f>
        <v>O</v>
      </c>
      <c r="L91" t="str">
        <f>IF(COUNTIF(표8[material_id],표2[[#This Row],[material_id]])&gt;0, "O", "X")</f>
        <v>O</v>
      </c>
      <c r="M91" t="str">
        <f>IF(COUNTIFS(표8[material_id],표2[[#This Row],[material_id]],표8[location],"울산")&gt;0, "O", "X")</f>
        <v>O</v>
      </c>
    </row>
    <row r="92" spans="1:13">
      <c r="A92" t="s">
        <v>664</v>
      </c>
      <c r="B92" t="s">
        <v>488</v>
      </c>
      <c r="C92" s="21" t="s">
        <v>494</v>
      </c>
      <c r="D92" t="s">
        <v>30</v>
      </c>
      <c r="E92" t="s">
        <v>829</v>
      </c>
      <c r="F92">
        <v>8310</v>
      </c>
      <c r="G92">
        <v>2917361000</v>
      </c>
      <c r="H92" t="s">
        <v>497</v>
      </c>
      <c r="J92" t="str">
        <f>IF(COUNTIF(CCMA[material_name],C92)&gt;0,"O","X")</f>
        <v>O</v>
      </c>
      <c r="K92" t="str">
        <f>IF(COUNTIF(CEH[material_name],C92)&gt;0,"O","X")</f>
        <v>O</v>
      </c>
      <c r="L92" t="str">
        <f>IF(COUNTIF(표8[material_id],표2[[#This Row],[material_id]])&gt;0, "O", "X")</f>
        <v>O</v>
      </c>
      <c r="M92" t="str">
        <f>IF(COUNTIFS(표8[material_id],표2[[#This Row],[material_id]],표8[location],"울산")&gt;0, "O", "X")</f>
        <v>X</v>
      </c>
    </row>
    <row r="93" spans="1:13">
      <c r="A93" t="s">
        <v>665</v>
      </c>
      <c r="B93" t="s">
        <v>488</v>
      </c>
      <c r="C93" s="21" t="s">
        <v>495</v>
      </c>
      <c r="D93" t="s">
        <v>30</v>
      </c>
      <c r="E93" t="s">
        <v>830</v>
      </c>
      <c r="F93">
        <v>8320</v>
      </c>
      <c r="G93">
        <v>2917370000</v>
      </c>
      <c r="H93" t="s">
        <v>498</v>
      </c>
      <c r="J93" t="str">
        <f>IF(COUNTIF(CCMA[material_name],C93)&gt;0,"O","X")</f>
        <v>X</v>
      </c>
      <c r="K93" t="str">
        <f>IF(COUNTIF(CEH[material_name],C93)&gt;0,"O","X")</f>
        <v>O</v>
      </c>
      <c r="L93" t="str">
        <f>IF(COUNTIF(표8[material_id],표2[[#This Row],[material_id]])&gt;0, "O", "X")</f>
        <v>X</v>
      </c>
      <c r="M93" t="str">
        <f>IF(COUNTIFS(표8[material_id],표2[[#This Row],[material_id]],표8[location],"울산")&gt;0, "O", "X")</f>
        <v>X</v>
      </c>
    </row>
    <row r="94" spans="1:13">
      <c r="A94" t="s">
        <v>666</v>
      </c>
      <c r="B94" t="s">
        <v>488</v>
      </c>
      <c r="C94" s="21" t="s">
        <v>667</v>
      </c>
      <c r="D94" t="s">
        <v>24</v>
      </c>
      <c r="E94" t="s">
        <v>831</v>
      </c>
      <c r="F94">
        <v>8330</v>
      </c>
      <c r="H94" t="s">
        <v>668</v>
      </c>
      <c r="J94" t="str">
        <f>IF(COUNTIF(CCMA[material_name],C94)&gt;0,"O","X")</f>
        <v>O</v>
      </c>
      <c r="K94" t="str">
        <f>IF(COUNTIF(CEH[material_name],C94)&gt;0,"O","X")</f>
        <v>O</v>
      </c>
      <c r="L94" t="str">
        <f>IF(COUNTIF(표8[material_id],표2[[#This Row],[material_id]])&gt;0, "O", "X")</f>
        <v>O</v>
      </c>
      <c r="M94" t="str">
        <f>IF(COUNTIFS(표8[material_id],표2[[#This Row],[material_id]],표8[location],"울산")&gt;0, "O", "X")</f>
        <v>O</v>
      </c>
    </row>
    <row r="95" spans="1:13">
      <c r="A95" t="s">
        <v>677</v>
      </c>
      <c r="B95" t="s">
        <v>7</v>
      </c>
      <c r="C95" s="21" t="s">
        <v>268</v>
      </c>
      <c r="D95" t="s">
        <v>788</v>
      </c>
      <c r="E95" t="s">
        <v>799</v>
      </c>
      <c r="F95">
        <v>3350</v>
      </c>
      <c r="G95">
        <v>3909500000</v>
      </c>
      <c r="H95" t="s">
        <v>676</v>
      </c>
      <c r="J95" t="str">
        <f>IF(COUNTIF(CCMA[material_name],C95)&gt;0,"O","X")</f>
        <v>X</v>
      </c>
      <c r="K95" t="str">
        <f>IF(COUNTIF(CEH[material_name],C95)&gt;0,"O","X")</f>
        <v>O</v>
      </c>
      <c r="L95" t="str">
        <f>IF(COUNTIF(표8[material_id],표2[[#This Row],[material_id]])&gt;0, "O", "X")</f>
        <v>X</v>
      </c>
      <c r="M95" t="str">
        <f>IF(COUNTIFS(표8[material_id],표2[[#This Row],[material_id]],표8[location],"울산")&gt;0, "O", "X")</f>
        <v>X</v>
      </c>
    </row>
    <row r="96" spans="1:13">
      <c r="A96" s="16" t="s">
        <v>710</v>
      </c>
      <c r="B96" s="16" t="s">
        <v>756</v>
      </c>
      <c r="C96" s="16" t="s">
        <v>709</v>
      </c>
      <c r="D96" s="16" t="s">
        <v>16</v>
      </c>
      <c r="E96" s="16" t="s">
        <v>809</v>
      </c>
      <c r="F96" s="16">
        <v>4350</v>
      </c>
      <c r="G96" s="16">
        <v>2901292000</v>
      </c>
      <c r="H96" s="16" t="s">
        <v>3934</v>
      </c>
      <c r="I96" s="16" t="s">
        <v>269</v>
      </c>
      <c r="J96" s="16" t="str">
        <f>IF(COUNTIF(CCMA[material_name],C96)&gt;0,"O","X")</f>
        <v>X</v>
      </c>
      <c r="K96" s="16" t="str">
        <f>IF(COUNTIF(CEH[material_name],C96)&gt;0,"O","X")</f>
        <v>X</v>
      </c>
      <c r="L96" s="16" t="str">
        <f>IF(COUNTIF(표8[material_id],표2[[#This Row],[material_id]])&gt;0, "O", "X")</f>
        <v>X</v>
      </c>
      <c r="M96" s="16" t="str">
        <f>IF(COUNTIFS(표8[material_id],표2[[#This Row],[material_id]],표8[location],"울산")&gt;0, "O", "X")</f>
        <v>X</v>
      </c>
    </row>
    <row r="97" spans="1:13">
      <c r="A97" s="16" t="s">
        <v>725</v>
      </c>
      <c r="B97" s="16" t="s">
        <v>756</v>
      </c>
      <c r="C97" s="16" t="s">
        <v>549</v>
      </c>
      <c r="D97" s="16" t="s">
        <v>16</v>
      </c>
      <c r="E97" s="16" t="s">
        <v>809</v>
      </c>
      <c r="F97" s="16">
        <v>4340</v>
      </c>
      <c r="G97" s="16"/>
      <c r="H97" s="16" t="s">
        <v>3934</v>
      </c>
      <c r="I97" s="16" t="s">
        <v>269</v>
      </c>
      <c r="J97" s="16" t="str">
        <f>IF(COUNTIF(CCMA[material_name],C97)&gt;0,"O","X")</f>
        <v>X</v>
      </c>
      <c r="K97" s="16" t="str">
        <f>IF(COUNTIF(CEH[material_name],C97)&gt;0,"O","X")</f>
        <v>X</v>
      </c>
      <c r="L97" s="16" t="str">
        <f>IF(COUNTIF(표8[material_id],표2[[#This Row],[material_id]])&gt;0, "O", "X")</f>
        <v>X</v>
      </c>
      <c r="M97" s="16" t="str">
        <f>IF(COUNTIFS(표8[material_id],표2[[#This Row],[material_id]],표8[location],"울산")&gt;0, "O", "X")</f>
        <v>X</v>
      </c>
    </row>
    <row r="98" spans="1:13">
      <c r="A98" t="s">
        <v>759</v>
      </c>
      <c r="B98" t="s">
        <v>550</v>
      </c>
      <c r="C98" s="21" t="s">
        <v>720</v>
      </c>
      <c r="D98" t="s">
        <v>24</v>
      </c>
      <c r="E98" t="s">
        <v>796</v>
      </c>
      <c r="F98">
        <v>2800</v>
      </c>
      <c r="H98" t="s">
        <v>993</v>
      </c>
      <c r="J98" t="str">
        <f>IF(COUNTIF(CCMA[material_name],C98)&gt;0,"O","X")</f>
        <v>X</v>
      </c>
      <c r="K98" t="str">
        <f>IF(COUNTIF(CEH[material_name],C98)&gt;0,"O","X")</f>
        <v>O</v>
      </c>
      <c r="L98" t="str">
        <f>IF(COUNTIF(표8[material_id],표2[[#This Row],[material_id]])&gt;0, "O", "X")</f>
        <v>O</v>
      </c>
      <c r="M98" t="str">
        <f>IF(COUNTIFS(표8[material_id],표2[[#This Row],[material_id]],표8[location],"울산")&gt;0, "O", "X")</f>
        <v>X</v>
      </c>
    </row>
    <row r="99" spans="1:13">
      <c r="A99" t="s">
        <v>767</v>
      </c>
      <c r="B99" t="s">
        <v>769</v>
      </c>
      <c r="C99" s="21" t="s">
        <v>768</v>
      </c>
      <c r="D99" t="s">
        <v>16</v>
      </c>
      <c r="E99" t="s">
        <v>832</v>
      </c>
      <c r="F99">
        <v>3800</v>
      </c>
      <c r="G99">
        <v>2910300000</v>
      </c>
      <c r="H99" t="s">
        <v>770</v>
      </c>
      <c r="J99" t="str">
        <f>IF(COUNTIF(CCMA[material_name],C99)&gt;0,"O","X")</f>
        <v>X</v>
      </c>
      <c r="K99" t="str">
        <f>IF(COUNTIF(CEH[material_name],C99)&gt;0,"O","X")</f>
        <v>X</v>
      </c>
      <c r="L99" t="str">
        <f>IF(COUNTIF(표8[material_id],표2[[#This Row],[material_id]])&gt;0, "O", "X")</f>
        <v>O</v>
      </c>
      <c r="M99" t="str">
        <f>IF(COUNTIFS(표8[material_id],표2[[#This Row],[material_id]],표8[location],"울산")&gt;0, "O", "X")</f>
        <v>X</v>
      </c>
    </row>
    <row r="100" spans="1:13">
      <c r="A100" s="16" t="s">
        <v>771</v>
      </c>
      <c r="B100" s="16" t="s">
        <v>550</v>
      </c>
      <c r="C100" s="16" t="s">
        <v>772</v>
      </c>
      <c r="D100" s="16" t="s">
        <v>788</v>
      </c>
      <c r="E100" s="16" t="s">
        <v>833</v>
      </c>
      <c r="F100" s="16">
        <v>2390</v>
      </c>
      <c r="G100" s="16"/>
      <c r="H100" s="16" t="s">
        <v>4015</v>
      </c>
      <c r="I100" s="16"/>
      <c r="J100" s="16" t="str">
        <f>IF(COUNTIF(CCMA[material_name],C100)&gt;0,"O","X")</f>
        <v>X</v>
      </c>
      <c r="K100" s="16" t="str">
        <f>IF(COUNTIF(CEH[material_name],C100)&gt;0,"O","X")</f>
        <v>X</v>
      </c>
      <c r="L100" s="16" t="str">
        <f>IF(COUNTIF(표8[material_id],표2[[#This Row],[material_id]])&gt;0, "O", "X")</f>
        <v>X</v>
      </c>
      <c r="M100" s="16" t="str">
        <f>IF(COUNTIFS(표8[material_id],표2[[#This Row],[material_id]],표8[location],"울산")&gt;0, "O", "X")</f>
        <v>X</v>
      </c>
    </row>
    <row r="101" spans="1:13">
      <c r="A101" t="s">
        <v>835</v>
      </c>
      <c r="B101" t="s">
        <v>455</v>
      </c>
      <c r="C101" s="21" t="s">
        <v>834</v>
      </c>
      <c r="D101" t="s">
        <v>492</v>
      </c>
      <c r="E101" t="s">
        <v>836</v>
      </c>
      <c r="F101">
        <v>6340</v>
      </c>
      <c r="G101">
        <v>2917121000</v>
      </c>
      <c r="J101" t="str">
        <f>IF(COUNTIF(CCMA[material_name],C101)&gt;0,"O","X")</f>
        <v>X</v>
      </c>
      <c r="K101" t="str">
        <f>IF(COUNTIF(CEH[material_name],C101)&gt;0,"O","X")</f>
        <v>O</v>
      </c>
      <c r="L101" t="str">
        <f>IF(COUNTIF(표8[material_id],표2[[#This Row],[material_id]])&gt;0, "O", "X")</f>
        <v>X</v>
      </c>
      <c r="M101" t="str">
        <f>IF(COUNTIFS(표8[material_id],표2[[#This Row],[material_id]],표8[location],"울산")&gt;0, "O", "X")</f>
        <v>X</v>
      </c>
    </row>
    <row r="102" spans="1:13">
      <c r="A102" t="s">
        <v>840</v>
      </c>
      <c r="B102" s="1" t="s">
        <v>13</v>
      </c>
      <c r="C102" s="1" t="s">
        <v>841</v>
      </c>
      <c r="D102" t="s">
        <v>386</v>
      </c>
      <c r="E102" t="s">
        <v>842</v>
      </c>
      <c r="F102" s="1">
        <v>4320</v>
      </c>
      <c r="G102">
        <v>2901101000</v>
      </c>
      <c r="J102" t="str">
        <f>IF(COUNTIF(CCMA[material_name],C102)&gt;0,"O","X")</f>
        <v>X</v>
      </c>
      <c r="K102" t="str">
        <f>IF(COUNTIF(CEH[material_name],C102)&gt;0,"O","X")</f>
        <v>X</v>
      </c>
      <c r="L102" t="str">
        <f>IF(COUNTIF(표8[material_id],표2[[#This Row],[material_id]])&gt;0, "O", "X")</f>
        <v>X</v>
      </c>
      <c r="M102" t="str">
        <f>IF(COUNTIFS(표8[material_id],표2[[#This Row],[material_id]],표8[location],"울산")&gt;0, "O", "X")</f>
        <v>X</v>
      </c>
    </row>
    <row r="103" spans="1:13">
      <c r="A103" t="s">
        <v>994</v>
      </c>
      <c r="B103" s="1" t="s">
        <v>997</v>
      </c>
      <c r="C103" s="22" t="s">
        <v>1001</v>
      </c>
      <c r="D103" t="s">
        <v>386</v>
      </c>
      <c r="E103" t="s">
        <v>1003</v>
      </c>
      <c r="F103" s="1">
        <v>9000</v>
      </c>
      <c r="G103">
        <v>2901242000</v>
      </c>
      <c r="J103" t="str">
        <f>IF(COUNTIF(CCMA[material_name],C103)&gt;0,"O","X")</f>
        <v>X</v>
      </c>
      <c r="K103" t="str">
        <f>IF(COUNTIF(CEH[material_name],C103)&gt;0,"O","X")</f>
        <v>O</v>
      </c>
      <c r="L103" t="str">
        <f>IF(COUNTIF(표8[material_id],표2[[#This Row],[material_id]])&gt;0, "O", "X")</f>
        <v>O</v>
      </c>
      <c r="M103" t="str">
        <f>IF(COUNTIFS(표8[material_id],표2[[#This Row],[material_id]],표8[location],"울산")&gt;0, "O", "X")</f>
        <v>X</v>
      </c>
    </row>
    <row r="104" spans="1:13">
      <c r="A104" t="s">
        <v>995</v>
      </c>
      <c r="B104" s="1" t="s">
        <v>997</v>
      </c>
      <c r="C104" t="s">
        <v>1002</v>
      </c>
      <c r="D104" t="s">
        <v>386</v>
      </c>
      <c r="E104" t="s">
        <v>1003</v>
      </c>
      <c r="F104">
        <v>9100</v>
      </c>
      <c r="J104" t="str">
        <f>IF(COUNTIF(CCMA[material_name],C104)&gt;0,"O","X")</f>
        <v>X</v>
      </c>
      <c r="K104" t="str">
        <f>IF(COUNTIF(CEH[material_name],C104)&gt;0,"O","X")</f>
        <v>X</v>
      </c>
      <c r="L104" t="str">
        <f>IF(COUNTIF(표8[material_id],표2[[#This Row],[material_id]])&gt;0, "O", "X")</f>
        <v>X</v>
      </c>
      <c r="M104" t="str">
        <f>IF(COUNTIFS(표8[material_id],표2[[#This Row],[material_id]],표8[location],"울산")&gt;0, "O", "X")</f>
        <v>X</v>
      </c>
    </row>
    <row r="105" spans="1:13">
      <c r="A105" t="s">
        <v>996</v>
      </c>
      <c r="B105" s="1" t="s">
        <v>997</v>
      </c>
      <c r="C105" s="21" t="s">
        <v>1005</v>
      </c>
      <c r="D105" t="s">
        <v>386</v>
      </c>
      <c r="E105" t="s">
        <v>1004</v>
      </c>
      <c r="F105">
        <v>9200</v>
      </c>
      <c r="H105" t="s">
        <v>1006</v>
      </c>
      <c r="J105" t="str">
        <f>IF(COUNTIF(CCMA[material_name],C105)&gt;0,"O","X")</f>
        <v>X</v>
      </c>
      <c r="K105" t="str">
        <f>IF(COUNTIF(CEH[material_name],C105)&gt;0,"O","X")</f>
        <v>O</v>
      </c>
      <c r="L105" t="str">
        <f>IF(COUNTIF(표8[material_id],표2[[#This Row],[material_id]])&gt;0, "O", "X")</f>
        <v>X</v>
      </c>
      <c r="M105" t="str">
        <f>IF(COUNTIFS(표8[material_id],표2[[#This Row],[material_id]],표8[location],"울산")&gt;0, "O", "X")</f>
        <v>X</v>
      </c>
    </row>
    <row r="106" spans="1:13">
      <c r="A106" t="s">
        <v>1014</v>
      </c>
      <c r="B106" s="1" t="s">
        <v>997</v>
      </c>
      <c r="C106" s="21" t="s">
        <v>1007</v>
      </c>
      <c r="D106" t="s">
        <v>1008</v>
      </c>
      <c r="E106" t="s">
        <v>1009</v>
      </c>
      <c r="F106">
        <v>9010</v>
      </c>
      <c r="G106">
        <v>4002600000</v>
      </c>
      <c r="H106" t="s">
        <v>1011</v>
      </c>
      <c r="J106" t="str">
        <f>IF(COUNTIF(CCMA[material_name],C106)&gt;0,"O","X")</f>
        <v>X</v>
      </c>
      <c r="K106" t="str">
        <f>IF(COUNTIF(CEH[material_name],C106)&gt;0,"O","X")</f>
        <v>O</v>
      </c>
      <c r="L106" t="str">
        <f>IF(COUNTIF(표8[material_id],표2[[#This Row],[material_id]])&gt;0, "O", "X")</f>
        <v>X</v>
      </c>
      <c r="M106" t="str">
        <f>IF(COUNTIFS(표8[material_id],표2[[#This Row],[material_id]],표8[location],"울산")&gt;0, "O", "X")</f>
        <v>X</v>
      </c>
    </row>
    <row r="107" spans="1:13">
      <c r="A107" t="s">
        <v>1015</v>
      </c>
      <c r="B107" s="1" t="s">
        <v>997</v>
      </c>
      <c r="C107" s="21" t="s">
        <v>1010</v>
      </c>
      <c r="D107" t="s">
        <v>1008</v>
      </c>
      <c r="E107" t="s">
        <v>1009</v>
      </c>
      <c r="F107">
        <v>9020</v>
      </c>
      <c r="H107" t="s">
        <v>1012</v>
      </c>
      <c r="J107" t="str">
        <f>IF(COUNTIF(CCMA[material_name],C107)&gt;0,"O","X")</f>
        <v>X</v>
      </c>
      <c r="K107" t="str">
        <f>IF(COUNTIF(CEH[material_name],C107)&gt;0,"O","X")</f>
        <v>O</v>
      </c>
      <c r="L107" t="str">
        <f>IF(COUNTIF(표8[material_id],표2[[#This Row],[material_id]])&gt;0, "O", "X")</f>
        <v>O</v>
      </c>
      <c r="M107" t="str">
        <f>IF(COUNTIFS(표8[material_id],표2[[#This Row],[material_id]],표8[location],"울산")&gt;0, "O", "X")</f>
        <v>X</v>
      </c>
    </row>
    <row r="108" spans="1:13">
      <c r="A108" t="s">
        <v>1035</v>
      </c>
      <c r="B108" t="s">
        <v>769</v>
      </c>
      <c r="C108" s="21" t="s">
        <v>3838</v>
      </c>
      <c r="D108" t="s">
        <v>16</v>
      </c>
      <c r="E108" t="s">
        <v>792</v>
      </c>
      <c r="F108">
        <v>3600</v>
      </c>
      <c r="J108" t="str">
        <f>IF(COUNTIF(CCMA[material_name],C108)&gt;0,"O","X")</f>
        <v>X</v>
      </c>
      <c r="K108" t="str">
        <f>IF(COUNTIF(CEH[material_name],C108)&gt;0,"O","X")</f>
        <v>O</v>
      </c>
      <c r="L108" t="str">
        <f>IF(COUNTIF(표8[material_id],표2[[#This Row],[material_id]])&gt;0, "O", "X")</f>
        <v>O</v>
      </c>
      <c r="M108" t="str">
        <f>IF(COUNTIFS(표8[material_id],표2[[#This Row],[material_id]],표8[location],"울산")&gt;0, "O", "X")</f>
        <v>X</v>
      </c>
    </row>
    <row r="109" spans="1:13">
      <c r="A109" t="s">
        <v>3954</v>
      </c>
      <c r="B109" t="s">
        <v>997</v>
      </c>
      <c r="C109" t="s">
        <v>1054</v>
      </c>
      <c r="D109" t="s">
        <v>788</v>
      </c>
      <c r="E109" t="s">
        <v>998</v>
      </c>
      <c r="F109">
        <v>9210</v>
      </c>
      <c r="J109" t="str">
        <f>IF(COUNTIF(CCMA[material_name],C109)&gt;0,"O","X")</f>
        <v>X</v>
      </c>
      <c r="K109" t="str">
        <f>IF(COUNTIF(CEH[material_name],C109)&gt;0,"O","X")</f>
        <v>X</v>
      </c>
      <c r="L109" t="str">
        <f>IF(COUNTIF(표8[material_id],표2[[#This Row],[material_id]])&gt;0, "O", "X")</f>
        <v>X</v>
      </c>
      <c r="M109" t="str">
        <f>IF(COUNTIFS(표8[material_id],표2[[#This Row],[material_id]],표8[location],"울산")&gt;0, "O", "X")</f>
        <v>X</v>
      </c>
    </row>
    <row r="110" spans="1:13">
      <c r="A110" t="s">
        <v>1061</v>
      </c>
      <c r="B110" t="s">
        <v>997</v>
      </c>
      <c r="C110" s="21" t="s">
        <v>1055</v>
      </c>
      <c r="D110" t="s">
        <v>788</v>
      </c>
      <c r="E110" t="s">
        <v>816</v>
      </c>
      <c r="F110">
        <v>9220</v>
      </c>
      <c r="H110" t="s">
        <v>1065</v>
      </c>
      <c r="J110" t="str">
        <f>IF(COUNTIF(CCMA[material_name],C110)&gt;0,"O","X")</f>
        <v>X</v>
      </c>
      <c r="K110" t="str">
        <f>IF(COUNTIF(CEH[material_name],C110)&gt;0,"O","X")</f>
        <v>O</v>
      </c>
      <c r="L110" t="str">
        <f>IF(COUNTIF(표8[material_id],표2[[#This Row],[material_id]])&gt;0, "O", "X")</f>
        <v>X</v>
      </c>
      <c r="M110" t="str">
        <f>IF(COUNTIFS(표8[material_id],표2[[#This Row],[material_id]],표8[location],"울산")&gt;0, "O", "X")</f>
        <v>X</v>
      </c>
    </row>
    <row r="111" spans="1:13">
      <c r="A111" t="s">
        <v>1062</v>
      </c>
      <c r="B111" t="s">
        <v>997</v>
      </c>
      <c r="C111" t="s">
        <v>1056</v>
      </c>
      <c r="D111" t="s">
        <v>16</v>
      </c>
      <c r="E111" t="s">
        <v>999</v>
      </c>
      <c r="F111">
        <v>9230</v>
      </c>
      <c r="H111" t="s">
        <v>1066</v>
      </c>
      <c r="J111" t="str">
        <f>IF(COUNTIF(CCMA[material_name],C111)&gt;0,"O","X")</f>
        <v>X</v>
      </c>
      <c r="K111" t="str">
        <f>IF(COUNTIF(CEH[material_name],C111)&gt;0,"O","X")</f>
        <v>X</v>
      </c>
      <c r="L111" t="str">
        <f>IF(COUNTIF(표8[material_id],표2[[#This Row],[material_id]])&gt;0, "O", "X")</f>
        <v>X</v>
      </c>
      <c r="M111" t="str">
        <f>IF(COUNTIFS(표8[material_id],표2[[#This Row],[material_id]],표8[location],"울산")&gt;0, "O", "X")</f>
        <v>X</v>
      </c>
    </row>
    <row r="112" spans="1:13">
      <c r="A112" t="s">
        <v>1063</v>
      </c>
      <c r="B112" t="s">
        <v>997</v>
      </c>
      <c r="C112" t="s">
        <v>1057</v>
      </c>
      <c r="D112" s="1" t="s">
        <v>24</v>
      </c>
      <c r="E112" s="1" t="s">
        <v>816</v>
      </c>
      <c r="F112">
        <v>9240</v>
      </c>
      <c r="J112" t="str">
        <f>IF(COUNTIF(CCMA[material_name],C112)&gt;0,"O","X")</f>
        <v>X</v>
      </c>
      <c r="K112" t="str">
        <f>IF(COUNTIF(CEH[material_name],C112)&gt;0,"O","X")</f>
        <v>X</v>
      </c>
      <c r="L112" t="str">
        <f>IF(COUNTIF(표8[material_id],표2[[#This Row],[material_id]])&gt;0, "O", "X")</f>
        <v>X</v>
      </c>
      <c r="M112" t="str">
        <f>IF(COUNTIFS(표8[material_id],표2[[#This Row],[material_id]],표8[location],"울산")&gt;0, "O", "X")</f>
        <v>X</v>
      </c>
    </row>
    <row r="113" spans="1:13">
      <c r="A113" t="s">
        <v>1064</v>
      </c>
      <c r="B113" t="s">
        <v>997</v>
      </c>
      <c r="C113" t="s">
        <v>1058</v>
      </c>
      <c r="D113" s="1" t="s">
        <v>24</v>
      </c>
      <c r="E113" s="1" t="s">
        <v>1000</v>
      </c>
      <c r="F113">
        <v>9250</v>
      </c>
      <c r="H113" t="s">
        <v>1059</v>
      </c>
      <c r="J113" t="str">
        <f>IF(COUNTIF(CCMA[material_name],C113)&gt;0,"O","X")</f>
        <v>X</v>
      </c>
      <c r="K113" t="str">
        <f>IF(COUNTIF(CEH[material_name],C113)&gt;0,"O","X")</f>
        <v>X</v>
      </c>
      <c r="L113" t="str">
        <f>IF(COUNTIF(표8[material_id],표2[[#This Row],[material_id]])&gt;0, "O", "X")</f>
        <v>X</v>
      </c>
      <c r="M113" t="str">
        <f>IF(COUNTIFS(표8[material_id],표2[[#This Row],[material_id]],표8[location],"울산")&gt;0, "O", "X")</f>
        <v>X</v>
      </c>
    </row>
    <row r="114" spans="1:13">
      <c r="A114" t="s">
        <v>1067</v>
      </c>
      <c r="B114" t="s">
        <v>997</v>
      </c>
      <c r="C114" t="s">
        <v>1083</v>
      </c>
      <c r="D114" t="s">
        <v>1084</v>
      </c>
      <c r="E114" t="s">
        <v>1085</v>
      </c>
      <c r="F114">
        <v>9110</v>
      </c>
      <c r="J114" t="str">
        <f>IF(COUNTIF(CCMA[material_name],C114)&gt;0,"O","X")</f>
        <v>X</v>
      </c>
      <c r="K114" t="str">
        <f>IF(COUNTIF(CEH[material_name],C114)&gt;0,"O","X")</f>
        <v>X</v>
      </c>
      <c r="L114" t="str">
        <f>IF(COUNTIF(표8[material_id],표2[[#This Row],[material_id]])&gt;0, "O", "X")</f>
        <v>X</v>
      </c>
      <c r="M114" t="str">
        <f>IF(COUNTIFS(표8[material_id],표2[[#This Row],[material_id]],표8[location],"울산")&gt;0, "O", "X")</f>
        <v>X</v>
      </c>
    </row>
    <row r="115" spans="1:13">
      <c r="A115" t="s">
        <v>3825</v>
      </c>
      <c r="B115" t="s">
        <v>455</v>
      </c>
      <c r="C115" t="s">
        <v>3828</v>
      </c>
      <c r="D115" t="s">
        <v>492</v>
      </c>
      <c r="E115" t="s">
        <v>3826</v>
      </c>
      <c r="F115">
        <v>6500</v>
      </c>
      <c r="G115">
        <v>2903911000</v>
      </c>
      <c r="H115" t="s">
        <v>3834</v>
      </c>
      <c r="J115" t="str">
        <f>IF(COUNTIF(CCMA[material_name],C115)&gt;0,"O","X")</f>
        <v>X</v>
      </c>
      <c r="K115" t="str">
        <f>IF(COUNTIF(CEH[material_name],C115)&gt;0,"O","X")</f>
        <v>O</v>
      </c>
      <c r="L115" t="str">
        <f>IF(COUNTIF(표8[material_id],표2[[#This Row],[material_id]])&gt;0, "O", "X")</f>
        <v>O</v>
      </c>
      <c r="M115" t="str">
        <f>IF(COUNTIFS(표8[material_id],표2[[#This Row],[material_id]],표8[location],"울산")&gt;0, "O", "X")</f>
        <v>X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legacy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55547-6CA4-43C0-947A-5034E027DB5A}">
  <sheetPr codeName="Sheet10"/>
  <dimension ref="A1:E104"/>
  <sheetViews>
    <sheetView topLeftCell="A73" zoomScale="85" zoomScaleNormal="85" workbookViewId="0">
      <selection activeCell="A104" sqref="A104"/>
    </sheetView>
  </sheetViews>
  <sheetFormatPr defaultRowHeight="16.5"/>
  <cols>
    <col min="1" max="1" width="10.875" bestFit="1" customWidth="1"/>
    <col min="2" max="2" width="45.875" bestFit="1" customWidth="1"/>
    <col min="3" max="3" width="28.75" bestFit="1" customWidth="1"/>
    <col min="4" max="4" width="13" customWidth="1"/>
    <col min="5" max="5" width="44" bestFit="1" customWidth="1"/>
  </cols>
  <sheetData>
    <row r="1" spans="1:5">
      <c r="A1" t="s">
        <v>251</v>
      </c>
      <c r="B1" t="s">
        <v>134</v>
      </c>
      <c r="C1" t="s">
        <v>135</v>
      </c>
      <c r="D1" t="s">
        <v>136</v>
      </c>
      <c r="E1" t="s">
        <v>137</v>
      </c>
    </row>
    <row r="2" spans="1:5">
      <c r="A2" t="s">
        <v>138</v>
      </c>
      <c r="B2" t="s">
        <v>139</v>
      </c>
      <c r="C2" t="s">
        <v>140</v>
      </c>
      <c r="D2">
        <v>1</v>
      </c>
    </row>
    <row r="3" spans="1:5">
      <c r="A3" t="s">
        <v>141</v>
      </c>
      <c r="B3" t="s">
        <v>142</v>
      </c>
      <c r="C3" t="s">
        <v>140</v>
      </c>
      <c r="D3">
        <v>1</v>
      </c>
    </row>
    <row r="4" spans="1:5">
      <c r="A4" t="s">
        <v>143</v>
      </c>
      <c r="B4" t="s">
        <v>144</v>
      </c>
      <c r="C4" t="s">
        <v>140</v>
      </c>
      <c r="D4">
        <v>1</v>
      </c>
      <c r="E4" t="s">
        <v>145</v>
      </c>
    </row>
    <row r="5" spans="1:5">
      <c r="A5" t="s">
        <v>146</v>
      </c>
      <c r="B5" t="s">
        <v>503</v>
      </c>
      <c r="C5" t="s">
        <v>147</v>
      </c>
      <c r="D5">
        <v>1</v>
      </c>
    </row>
    <row r="6" spans="1:5">
      <c r="A6" t="s">
        <v>148</v>
      </c>
      <c r="B6" t="s">
        <v>504</v>
      </c>
      <c r="C6" t="s">
        <v>149</v>
      </c>
      <c r="D6">
        <v>2</v>
      </c>
    </row>
    <row r="7" spans="1:5">
      <c r="A7" t="s">
        <v>150</v>
      </c>
      <c r="B7" t="s">
        <v>505</v>
      </c>
      <c r="C7" t="s">
        <v>140</v>
      </c>
      <c r="D7">
        <v>3</v>
      </c>
    </row>
    <row r="8" spans="1:5">
      <c r="A8" t="s">
        <v>151</v>
      </c>
      <c r="B8" t="s">
        <v>506</v>
      </c>
      <c r="C8" t="s">
        <v>152</v>
      </c>
      <c r="D8">
        <v>1</v>
      </c>
    </row>
    <row r="9" spans="1:5">
      <c r="A9" t="s">
        <v>153</v>
      </c>
      <c r="B9" t="s">
        <v>507</v>
      </c>
      <c r="C9" t="s">
        <v>154</v>
      </c>
      <c r="D9">
        <v>2</v>
      </c>
    </row>
    <row r="10" spans="1:5">
      <c r="A10" t="s">
        <v>155</v>
      </c>
      <c r="B10" t="s">
        <v>508</v>
      </c>
      <c r="C10" t="s">
        <v>156</v>
      </c>
      <c r="D10">
        <v>2</v>
      </c>
      <c r="E10" t="s">
        <v>157</v>
      </c>
    </row>
    <row r="11" spans="1:5">
      <c r="A11" t="s">
        <v>158</v>
      </c>
      <c r="B11" t="s">
        <v>159</v>
      </c>
      <c r="C11" t="s">
        <v>160</v>
      </c>
      <c r="D11">
        <v>3</v>
      </c>
      <c r="E11" t="s">
        <v>161</v>
      </c>
    </row>
    <row r="12" spans="1:5">
      <c r="A12" t="s">
        <v>162</v>
      </c>
      <c r="B12" t="s">
        <v>163</v>
      </c>
      <c r="C12" t="s">
        <v>160</v>
      </c>
      <c r="D12">
        <v>3</v>
      </c>
      <c r="E12" t="s">
        <v>161</v>
      </c>
    </row>
    <row r="13" spans="1:5">
      <c r="A13" t="s">
        <v>164</v>
      </c>
      <c r="B13" t="s">
        <v>165</v>
      </c>
      <c r="C13" t="s">
        <v>160</v>
      </c>
      <c r="D13">
        <v>3</v>
      </c>
      <c r="E13" t="s">
        <v>161</v>
      </c>
    </row>
    <row r="14" spans="1:5">
      <c r="A14" t="s">
        <v>166</v>
      </c>
      <c r="B14" t="s">
        <v>167</v>
      </c>
      <c r="C14" t="s">
        <v>154</v>
      </c>
      <c r="D14">
        <v>1</v>
      </c>
    </row>
    <row r="15" spans="1:5">
      <c r="A15" t="s">
        <v>168</v>
      </c>
      <c r="B15" t="s">
        <v>169</v>
      </c>
      <c r="C15" t="s">
        <v>152</v>
      </c>
      <c r="D15">
        <v>1</v>
      </c>
    </row>
    <row r="16" spans="1:5">
      <c r="A16" t="s">
        <v>170</v>
      </c>
      <c r="B16" t="s">
        <v>171</v>
      </c>
      <c r="C16" t="s">
        <v>156</v>
      </c>
      <c r="D16">
        <v>1</v>
      </c>
      <c r="E16" t="s">
        <v>172</v>
      </c>
    </row>
    <row r="17" spans="1:5">
      <c r="A17" t="s">
        <v>173</v>
      </c>
      <c r="B17" t="s">
        <v>509</v>
      </c>
      <c r="C17" t="s">
        <v>174</v>
      </c>
      <c r="D17">
        <v>1</v>
      </c>
    </row>
    <row r="18" spans="1:5">
      <c r="A18" t="s">
        <v>175</v>
      </c>
      <c r="B18" t="s">
        <v>176</v>
      </c>
      <c r="C18" t="s">
        <v>177</v>
      </c>
      <c r="D18">
        <v>2</v>
      </c>
    </row>
    <row r="19" spans="1:5">
      <c r="A19" t="s">
        <v>178</v>
      </c>
      <c r="B19" t="s">
        <v>510</v>
      </c>
      <c r="C19" t="s">
        <v>177</v>
      </c>
      <c r="D19">
        <v>2</v>
      </c>
      <c r="E19" t="s">
        <v>179</v>
      </c>
    </row>
    <row r="20" spans="1:5">
      <c r="A20" t="s">
        <v>180</v>
      </c>
      <c r="B20" t="s">
        <v>511</v>
      </c>
      <c r="C20" t="s">
        <v>140</v>
      </c>
      <c r="D20">
        <v>1</v>
      </c>
    </row>
    <row r="21" spans="1:5">
      <c r="A21" t="s">
        <v>181</v>
      </c>
      <c r="B21" t="s">
        <v>512</v>
      </c>
      <c r="C21" t="s">
        <v>152</v>
      </c>
      <c r="D21">
        <v>1</v>
      </c>
    </row>
    <row r="22" spans="1:5">
      <c r="A22" t="s">
        <v>182</v>
      </c>
      <c r="B22" t="s">
        <v>513</v>
      </c>
      <c r="C22" t="s">
        <v>154</v>
      </c>
      <c r="D22">
        <v>2</v>
      </c>
    </row>
    <row r="23" spans="1:5">
      <c r="A23" t="s">
        <v>183</v>
      </c>
      <c r="B23" t="s">
        <v>514</v>
      </c>
      <c r="C23" t="s">
        <v>184</v>
      </c>
      <c r="D23">
        <v>2</v>
      </c>
    </row>
    <row r="24" spans="1:5">
      <c r="A24" t="s">
        <v>185</v>
      </c>
      <c r="B24" t="s">
        <v>515</v>
      </c>
      <c r="C24" t="s">
        <v>184</v>
      </c>
      <c r="D24">
        <v>2</v>
      </c>
      <c r="E24" t="s">
        <v>157</v>
      </c>
    </row>
    <row r="25" spans="1:5">
      <c r="A25" t="s">
        <v>186</v>
      </c>
      <c r="B25" t="s">
        <v>516</v>
      </c>
      <c r="C25" t="s">
        <v>140</v>
      </c>
      <c r="D25">
        <v>3</v>
      </c>
    </row>
    <row r="26" spans="1:5">
      <c r="A26" t="s">
        <v>187</v>
      </c>
      <c r="B26" t="s">
        <v>517</v>
      </c>
      <c r="C26" t="s">
        <v>188</v>
      </c>
      <c r="D26">
        <v>1</v>
      </c>
    </row>
    <row r="27" spans="1:5">
      <c r="A27" t="s">
        <v>189</v>
      </c>
      <c r="B27" t="s">
        <v>518</v>
      </c>
      <c r="C27" t="s">
        <v>140</v>
      </c>
      <c r="D27">
        <v>2</v>
      </c>
      <c r="E27" t="s">
        <v>179</v>
      </c>
    </row>
    <row r="28" spans="1:5">
      <c r="A28" t="s">
        <v>190</v>
      </c>
      <c r="B28" t="s">
        <v>519</v>
      </c>
      <c r="C28" t="s">
        <v>140</v>
      </c>
      <c r="D28">
        <v>2</v>
      </c>
      <c r="E28" t="s">
        <v>179</v>
      </c>
    </row>
    <row r="29" spans="1:5">
      <c r="A29" t="s">
        <v>191</v>
      </c>
      <c r="B29" t="s">
        <v>520</v>
      </c>
      <c r="C29" t="s">
        <v>140</v>
      </c>
      <c r="D29">
        <v>2</v>
      </c>
      <c r="E29" t="s">
        <v>179</v>
      </c>
    </row>
    <row r="30" spans="1:5">
      <c r="A30" t="s">
        <v>192</v>
      </c>
      <c r="B30" t="s">
        <v>193</v>
      </c>
      <c r="C30" t="s">
        <v>152</v>
      </c>
      <c r="D30">
        <v>1</v>
      </c>
    </row>
    <row r="31" spans="1:5">
      <c r="A31" t="s">
        <v>194</v>
      </c>
      <c r="B31" t="s">
        <v>521</v>
      </c>
      <c r="C31" t="s">
        <v>375</v>
      </c>
      <c r="D31">
        <v>1</v>
      </c>
    </row>
    <row r="32" spans="1:5">
      <c r="A32" t="s">
        <v>195</v>
      </c>
      <c r="B32" t="s">
        <v>1090</v>
      </c>
      <c r="C32" t="s">
        <v>177</v>
      </c>
      <c r="D32">
        <v>2</v>
      </c>
      <c r="E32" t="s">
        <v>1091</v>
      </c>
    </row>
    <row r="33" spans="1:5">
      <c r="A33" t="s">
        <v>196</v>
      </c>
      <c r="B33" t="s">
        <v>524</v>
      </c>
      <c r="C33" t="s">
        <v>140</v>
      </c>
      <c r="D33">
        <v>2</v>
      </c>
      <c r="E33" t="s">
        <v>172</v>
      </c>
    </row>
    <row r="34" spans="1:5">
      <c r="A34" t="s">
        <v>197</v>
      </c>
      <c r="B34" t="s">
        <v>1039</v>
      </c>
      <c r="C34" t="s">
        <v>1040</v>
      </c>
      <c r="D34">
        <v>1</v>
      </c>
    </row>
    <row r="35" spans="1:5">
      <c r="A35" t="s">
        <v>199</v>
      </c>
      <c r="B35" t="s">
        <v>200</v>
      </c>
      <c r="C35" t="s">
        <v>201</v>
      </c>
      <c r="D35">
        <v>2</v>
      </c>
    </row>
    <row r="36" spans="1:5">
      <c r="A36" t="s">
        <v>202</v>
      </c>
      <c r="B36" t="s">
        <v>1038</v>
      </c>
      <c r="C36" t="s">
        <v>201</v>
      </c>
      <c r="D36">
        <v>2</v>
      </c>
    </row>
    <row r="37" spans="1:5">
      <c r="A37" t="s">
        <v>203</v>
      </c>
      <c r="B37" t="s">
        <v>204</v>
      </c>
      <c r="C37" t="s">
        <v>591</v>
      </c>
      <c r="D37">
        <v>2</v>
      </c>
      <c r="E37" t="s">
        <v>172</v>
      </c>
    </row>
    <row r="38" spans="1:5">
      <c r="A38" t="s">
        <v>205</v>
      </c>
      <c r="B38" t="s">
        <v>206</v>
      </c>
      <c r="C38" t="s">
        <v>177</v>
      </c>
      <c r="D38">
        <v>3</v>
      </c>
    </row>
    <row r="39" spans="1:5">
      <c r="A39" t="s">
        <v>207</v>
      </c>
      <c r="B39" t="s">
        <v>208</v>
      </c>
      <c r="C39" t="s">
        <v>177</v>
      </c>
      <c r="D39">
        <v>3</v>
      </c>
    </row>
    <row r="40" spans="1:5">
      <c r="A40" t="s">
        <v>209</v>
      </c>
      <c r="B40" t="s">
        <v>521</v>
      </c>
      <c r="C40" t="s">
        <v>154</v>
      </c>
      <c r="D40">
        <v>1</v>
      </c>
    </row>
    <row r="41" spans="1:5">
      <c r="A41" t="s">
        <v>210</v>
      </c>
      <c r="B41" t="s">
        <v>542</v>
      </c>
      <c r="C41" t="s">
        <v>177</v>
      </c>
      <c r="D41">
        <v>2</v>
      </c>
    </row>
    <row r="42" spans="1:5">
      <c r="A42" t="s">
        <v>211</v>
      </c>
      <c r="B42" t="s">
        <v>212</v>
      </c>
      <c r="C42" t="s">
        <v>140</v>
      </c>
      <c r="D42">
        <v>1</v>
      </c>
    </row>
    <row r="43" spans="1:5">
      <c r="A43" t="s">
        <v>213</v>
      </c>
      <c r="B43" t="s">
        <v>214</v>
      </c>
      <c r="C43" t="s">
        <v>140</v>
      </c>
      <c r="D43">
        <v>2</v>
      </c>
      <c r="E43" t="s">
        <v>179</v>
      </c>
    </row>
    <row r="44" spans="1:5">
      <c r="A44" t="s">
        <v>215</v>
      </c>
      <c r="B44" t="s">
        <v>525</v>
      </c>
      <c r="C44" t="s">
        <v>140</v>
      </c>
      <c r="D44">
        <v>1</v>
      </c>
    </row>
    <row r="45" spans="1:5">
      <c r="A45" t="s">
        <v>216</v>
      </c>
      <c r="B45" t="s">
        <v>217</v>
      </c>
      <c r="C45" t="s">
        <v>140</v>
      </c>
      <c r="D45">
        <v>1</v>
      </c>
      <c r="E45" t="s">
        <v>670</v>
      </c>
    </row>
    <row r="46" spans="1:5">
      <c r="A46" t="s">
        <v>218</v>
      </c>
      <c r="B46" t="s">
        <v>219</v>
      </c>
      <c r="C46" t="s">
        <v>220</v>
      </c>
      <c r="D46">
        <v>1</v>
      </c>
    </row>
    <row r="47" spans="1:5">
      <c r="A47" t="s">
        <v>221</v>
      </c>
      <c r="B47" t="s">
        <v>222</v>
      </c>
      <c r="C47" t="s">
        <v>220</v>
      </c>
      <c r="D47">
        <v>1</v>
      </c>
    </row>
    <row r="48" spans="1:5">
      <c r="A48" t="s">
        <v>223</v>
      </c>
      <c r="B48" t="s">
        <v>526</v>
      </c>
      <c r="C48" t="s">
        <v>140</v>
      </c>
      <c r="D48">
        <v>2</v>
      </c>
    </row>
    <row r="49" spans="1:5">
      <c r="A49" t="s">
        <v>224</v>
      </c>
      <c r="B49" t="s">
        <v>551</v>
      </c>
      <c r="C49" t="s">
        <v>225</v>
      </c>
      <c r="D49">
        <v>1</v>
      </c>
      <c r="E49" t="s">
        <v>179</v>
      </c>
    </row>
    <row r="50" spans="1:5">
      <c r="A50" t="s">
        <v>226</v>
      </c>
      <c r="B50" t="s">
        <v>227</v>
      </c>
      <c r="C50" t="s">
        <v>228</v>
      </c>
      <c r="D50">
        <v>1</v>
      </c>
    </row>
    <row r="51" spans="1:5">
      <c r="A51" t="s">
        <v>229</v>
      </c>
      <c r="B51" t="s">
        <v>230</v>
      </c>
      <c r="C51" t="s">
        <v>231</v>
      </c>
      <c r="D51">
        <v>2</v>
      </c>
    </row>
    <row r="52" spans="1:5">
      <c r="A52" t="s">
        <v>232</v>
      </c>
      <c r="B52" t="s">
        <v>527</v>
      </c>
      <c r="C52" t="s">
        <v>140</v>
      </c>
      <c r="D52">
        <v>3</v>
      </c>
    </row>
    <row r="53" spans="1:5">
      <c r="A53" t="s">
        <v>233</v>
      </c>
      <c r="B53" t="s">
        <v>234</v>
      </c>
      <c r="C53" t="s">
        <v>228</v>
      </c>
      <c r="D53">
        <v>1</v>
      </c>
      <c r="E53" t="s">
        <v>179</v>
      </c>
    </row>
    <row r="54" spans="1:5">
      <c r="A54" t="s">
        <v>235</v>
      </c>
      <c r="B54" t="s">
        <v>236</v>
      </c>
      <c r="C54" t="s">
        <v>237</v>
      </c>
      <c r="D54">
        <v>2</v>
      </c>
      <c r="E54" t="s">
        <v>238</v>
      </c>
    </row>
    <row r="55" spans="1:5">
      <c r="A55" t="s">
        <v>239</v>
      </c>
      <c r="B55" t="s">
        <v>563</v>
      </c>
      <c r="C55" t="s">
        <v>240</v>
      </c>
      <c r="D55">
        <v>3</v>
      </c>
    </row>
    <row r="56" spans="1:5">
      <c r="A56" t="s">
        <v>241</v>
      </c>
      <c r="B56" t="s">
        <v>528</v>
      </c>
      <c r="C56" t="s">
        <v>140</v>
      </c>
      <c r="D56">
        <v>4</v>
      </c>
    </row>
    <row r="57" spans="1:5">
      <c r="A57" t="s">
        <v>242</v>
      </c>
      <c r="B57" t="s">
        <v>243</v>
      </c>
      <c r="C57" t="s">
        <v>244</v>
      </c>
      <c r="D57">
        <v>4</v>
      </c>
    </row>
    <row r="58" spans="1:5">
      <c r="A58" t="s">
        <v>245</v>
      </c>
      <c r="B58" t="s">
        <v>246</v>
      </c>
      <c r="C58" t="s">
        <v>201</v>
      </c>
      <c r="D58">
        <v>1</v>
      </c>
    </row>
    <row r="59" spans="1:5">
      <c r="A59" t="s">
        <v>247</v>
      </c>
      <c r="B59" t="s">
        <v>248</v>
      </c>
      <c r="C59" t="s">
        <v>156</v>
      </c>
      <c r="D59">
        <v>1</v>
      </c>
      <c r="E59" t="s">
        <v>249</v>
      </c>
    </row>
    <row r="60" spans="1:5">
      <c r="A60" t="s">
        <v>250</v>
      </c>
      <c r="B60" t="s">
        <v>382</v>
      </c>
      <c r="C60" t="s">
        <v>228</v>
      </c>
      <c r="D60">
        <v>1</v>
      </c>
    </row>
    <row r="61" spans="1:5">
      <c r="A61" t="s">
        <v>373</v>
      </c>
      <c r="B61" t="s">
        <v>374</v>
      </c>
      <c r="C61" t="s">
        <v>375</v>
      </c>
      <c r="D61">
        <v>3</v>
      </c>
    </row>
    <row r="62" spans="1:5">
      <c r="A62" t="s">
        <v>502</v>
      </c>
      <c r="B62" t="s">
        <v>501</v>
      </c>
      <c r="C62" t="s">
        <v>500</v>
      </c>
      <c r="D62">
        <v>4</v>
      </c>
    </row>
    <row r="63" spans="1:5">
      <c r="A63" t="s">
        <v>552</v>
      </c>
      <c r="B63" t="s">
        <v>555</v>
      </c>
      <c r="C63" t="s">
        <v>558</v>
      </c>
      <c r="D63">
        <v>2</v>
      </c>
      <c r="E63" t="s">
        <v>758</v>
      </c>
    </row>
    <row r="64" spans="1:5">
      <c r="A64" t="s">
        <v>553</v>
      </c>
      <c r="B64" t="s">
        <v>556</v>
      </c>
      <c r="C64" t="s">
        <v>558</v>
      </c>
      <c r="D64">
        <v>1</v>
      </c>
      <c r="E64" t="s">
        <v>559</v>
      </c>
    </row>
    <row r="65" spans="1:5">
      <c r="A65" t="s">
        <v>554</v>
      </c>
      <c r="B65" t="s">
        <v>565</v>
      </c>
      <c r="C65" t="s">
        <v>566</v>
      </c>
      <c r="D65">
        <v>2</v>
      </c>
    </row>
    <row r="66" spans="1:5">
      <c r="A66" t="s">
        <v>557</v>
      </c>
      <c r="B66" t="s">
        <v>594</v>
      </c>
      <c r="C66" t="s">
        <v>595</v>
      </c>
      <c r="D66">
        <v>1</v>
      </c>
    </row>
    <row r="67" spans="1:5">
      <c r="A67" t="s">
        <v>575</v>
      </c>
      <c r="B67" t="s">
        <v>569</v>
      </c>
      <c r="C67" t="s">
        <v>570</v>
      </c>
      <c r="D67">
        <v>1</v>
      </c>
    </row>
    <row r="68" spans="1:5">
      <c r="A68" t="s">
        <v>571</v>
      </c>
      <c r="B68" t="s">
        <v>572</v>
      </c>
      <c r="C68" t="s">
        <v>573</v>
      </c>
      <c r="D68">
        <v>1</v>
      </c>
      <c r="E68" t="s">
        <v>574</v>
      </c>
    </row>
    <row r="69" spans="1:5">
      <c r="A69" t="s">
        <v>584</v>
      </c>
      <c r="B69" t="s">
        <v>586</v>
      </c>
      <c r="C69" t="s">
        <v>588</v>
      </c>
      <c r="D69">
        <v>1</v>
      </c>
    </row>
    <row r="70" spans="1:5">
      <c r="A70" t="s">
        <v>585</v>
      </c>
      <c r="B70" t="s">
        <v>587</v>
      </c>
      <c r="C70" t="s">
        <v>566</v>
      </c>
      <c r="D70">
        <v>2</v>
      </c>
    </row>
    <row r="71" spans="1:5">
      <c r="A71" t="s">
        <v>602</v>
      </c>
      <c r="B71" t="s">
        <v>603</v>
      </c>
      <c r="C71" t="s">
        <v>604</v>
      </c>
      <c r="D71">
        <v>2</v>
      </c>
    </row>
    <row r="72" spans="1:5">
      <c r="A72" t="s">
        <v>605</v>
      </c>
      <c r="B72" t="s">
        <v>606</v>
      </c>
      <c r="C72" t="s">
        <v>607</v>
      </c>
      <c r="D72">
        <v>3</v>
      </c>
      <c r="E72" t="s">
        <v>608</v>
      </c>
    </row>
    <row r="73" spans="1:5">
      <c r="A73" t="s">
        <v>615</v>
      </c>
      <c r="B73" t="s">
        <v>1111</v>
      </c>
      <c r="C73" t="s">
        <v>617</v>
      </c>
      <c r="D73">
        <v>2</v>
      </c>
    </row>
    <row r="74" spans="1:5">
      <c r="A74" t="s">
        <v>616</v>
      </c>
      <c r="B74" t="s">
        <v>620</v>
      </c>
      <c r="C74" t="s">
        <v>619</v>
      </c>
      <c r="D74">
        <v>2</v>
      </c>
      <c r="E74" t="s">
        <v>618</v>
      </c>
    </row>
    <row r="75" spans="1:5">
      <c r="A75" t="s">
        <v>621</v>
      </c>
      <c r="B75" t="s">
        <v>622</v>
      </c>
      <c r="C75" t="s">
        <v>623</v>
      </c>
      <c r="D75">
        <v>1</v>
      </c>
      <c r="E75" t="s">
        <v>624</v>
      </c>
    </row>
    <row r="76" spans="1:5">
      <c r="A76" t="s">
        <v>631</v>
      </c>
      <c r="B76" t="s">
        <v>632</v>
      </c>
      <c r="C76" t="s">
        <v>637</v>
      </c>
      <c r="D76">
        <v>2</v>
      </c>
      <c r="E76" t="s">
        <v>638</v>
      </c>
    </row>
    <row r="77" spans="1:5">
      <c r="A77" t="s">
        <v>633</v>
      </c>
      <c r="B77" t="s">
        <v>674</v>
      </c>
      <c r="C77" t="s">
        <v>140</v>
      </c>
      <c r="D77">
        <v>3</v>
      </c>
    </row>
    <row r="78" spans="1:5">
      <c r="A78" t="s">
        <v>634</v>
      </c>
      <c r="B78" t="s">
        <v>636</v>
      </c>
      <c r="C78" t="s">
        <v>637</v>
      </c>
      <c r="D78">
        <v>1</v>
      </c>
      <c r="E78" t="s">
        <v>639</v>
      </c>
    </row>
    <row r="79" spans="1:5">
      <c r="A79" t="s">
        <v>635</v>
      </c>
      <c r="B79" t="s">
        <v>673</v>
      </c>
      <c r="C79" t="s">
        <v>140</v>
      </c>
      <c r="D79">
        <v>2</v>
      </c>
    </row>
    <row r="80" spans="1:5">
      <c r="A80" t="s">
        <v>648</v>
      </c>
      <c r="B80" t="s">
        <v>650</v>
      </c>
      <c r="C80" t="s">
        <v>653</v>
      </c>
      <c r="D80">
        <v>1</v>
      </c>
    </row>
    <row r="81" spans="1:5">
      <c r="A81" t="s">
        <v>649</v>
      </c>
      <c r="B81" t="s">
        <v>651</v>
      </c>
      <c r="C81" t="s">
        <v>653</v>
      </c>
      <c r="D81">
        <v>1</v>
      </c>
    </row>
    <row r="82" spans="1:5">
      <c r="A82" t="s">
        <v>654</v>
      </c>
      <c r="B82" t="s">
        <v>652</v>
      </c>
      <c r="C82" t="s">
        <v>653</v>
      </c>
      <c r="D82">
        <v>1</v>
      </c>
    </row>
    <row r="83" spans="1:5">
      <c r="A83" t="s">
        <v>655</v>
      </c>
      <c r="B83" t="s">
        <v>659</v>
      </c>
      <c r="C83" t="s">
        <v>595</v>
      </c>
      <c r="D83">
        <v>2</v>
      </c>
    </row>
    <row r="84" spans="1:5">
      <c r="A84" t="s">
        <v>656</v>
      </c>
      <c r="B84" t="s">
        <v>660</v>
      </c>
      <c r="C84" t="s">
        <v>595</v>
      </c>
      <c r="D84">
        <v>2</v>
      </c>
    </row>
    <row r="85" spans="1:5">
      <c r="A85" t="s">
        <v>657</v>
      </c>
      <c r="B85" t="s">
        <v>661</v>
      </c>
      <c r="C85" t="s">
        <v>595</v>
      </c>
      <c r="D85">
        <v>2</v>
      </c>
    </row>
    <row r="86" spans="1:5">
      <c r="A86" t="s">
        <v>658</v>
      </c>
      <c r="B86" t="s">
        <v>662</v>
      </c>
      <c r="C86" t="s">
        <v>595</v>
      </c>
      <c r="D86">
        <v>2</v>
      </c>
    </row>
    <row r="87" spans="1:5">
      <c r="A87" t="s">
        <v>671</v>
      </c>
      <c r="B87" t="s">
        <v>669</v>
      </c>
      <c r="C87" t="s">
        <v>672</v>
      </c>
      <c r="D87">
        <v>3</v>
      </c>
      <c r="E87" t="s">
        <v>670</v>
      </c>
    </row>
    <row r="88" spans="1:5">
      <c r="A88" t="s">
        <v>705</v>
      </c>
      <c r="B88" t="s">
        <v>706</v>
      </c>
      <c r="C88" t="s">
        <v>558</v>
      </c>
      <c r="D88">
        <v>1</v>
      </c>
      <c r="E88" t="s">
        <v>762</v>
      </c>
    </row>
    <row r="89" spans="1:5">
      <c r="A89" t="s">
        <v>707</v>
      </c>
      <c r="B89" t="s">
        <v>708</v>
      </c>
      <c r="C89" t="s">
        <v>558</v>
      </c>
      <c r="D89">
        <v>1</v>
      </c>
    </row>
    <row r="90" spans="1:5">
      <c r="A90" t="s">
        <v>760</v>
      </c>
      <c r="B90" t="s">
        <v>761</v>
      </c>
      <c r="C90" t="s">
        <v>566</v>
      </c>
      <c r="D90">
        <v>1</v>
      </c>
      <c r="E90" t="s">
        <v>670</v>
      </c>
    </row>
    <row r="91" spans="1:5">
      <c r="A91" t="s">
        <v>763</v>
      </c>
      <c r="B91" t="s">
        <v>764</v>
      </c>
      <c r="C91" t="s">
        <v>765</v>
      </c>
      <c r="D91">
        <v>1</v>
      </c>
      <c r="E91" t="s">
        <v>766</v>
      </c>
    </row>
    <row r="92" spans="1:5">
      <c r="A92" t="s">
        <v>773</v>
      </c>
      <c r="B92" t="s">
        <v>774</v>
      </c>
      <c r="C92" t="s">
        <v>775</v>
      </c>
      <c r="D92">
        <v>1</v>
      </c>
    </row>
    <row r="93" spans="1:5">
      <c r="A93" t="s">
        <v>837</v>
      </c>
      <c r="B93" t="s">
        <v>838</v>
      </c>
      <c r="C93" t="s">
        <v>595</v>
      </c>
      <c r="D93">
        <v>1</v>
      </c>
    </row>
    <row r="94" spans="1:5">
      <c r="A94" t="s">
        <v>843</v>
      </c>
      <c r="B94" t="s">
        <v>844</v>
      </c>
      <c r="C94" t="s">
        <v>595</v>
      </c>
      <c r="D94">
        <v>1</v>
      </c>
    </row>
    <row r="95" spans="1:5">
      <c r="A95" t="s">
        <v>1037</v>
      </c>
      <c r="B95" t="s">
        <v>1041</v>
      </c>
      <c r="C95" t="s">
        <v>198</v>
      </c>
      <c r="D95">
        <v>1</v>
      </c>
    </row>
    <row r="96" spans="1:5">
      <c r="A96" t="s">
        <v>1042</v>
      </c>
      <c r="B96" t="s">
        <v>1051</v>
      </c>
      <c r="C96" t="s">
        <v>566</v>
      </c>
      <c r="D96">
        <v>1</v>
      </c>
    </row>
    <row r="97" spans="1:5">
      <c r="A97" t="s">
        <v>1052</v>
      </c>
      <c r="B97" t="s">
        <v>1053</v>
      </c>
      <c r="C97" t="s">
        <v>619</v>
      </c>
      <c r="D97">
        <v>1</v>
      </c>
    </row>
    <row r="98" spans="1:5">
      <c r="A98" t="s">
        <v>1068</v>
      </c>
      <c r="B98" t="s">
        <v>1073</v>
      </c>
      <c r="C98" t="s">
        <v>566</v>
      </c>
      <c r="D98">
        <v>1</v>
      </c>
    </row>
    <row r="99" spans="1:5">
      <c r="A99" t="s">
        <v>1069</v>
      </c>
      <c r="B99" t="s">
        <v>1074</v>
      </c>
      <c r="C99" t="s">
        <v>1075</v>
      </c>
      <c r="D99">
        <v>1</v>
      </c>
      <c r="E99" t="s">
        <v>1076</v>
      </c>
    </row>
    <row r="100" spans="1:5">
      <c r="A100" t="s">
        <v>1070</v>
      </c>
      <c r="B100" t="s">
        <v>1077</v>
      </c>
      <c r="C100" t="s">
        <v>1078</v>
      </c>
      <c r="D100">
        <v>1</v>
      </c>
    </row>
    <row r="101" spans="1:5">
      <c r="A101" t="s">
        <v>1071</v>
      </c>
      <c r="B101" t="s">
        <v>1079</v>
      </c>
      <c r="C101" t="s">
        <v>566</v>
      </c>
      <c r="D101">
        <v>1</v>
      </c>
      <c r="E101" t="s">
        <v>1080</v>
      </c>
    </row>
    <row r="102" spans="1:5">
      <c r="A102" t="s">
        <v>1072</v>
      </c>
      <c r="B102" t="s">
        <v>1081</v>
      </c>
      <c r="C102" t="s">
        <v>566</v>
      </c>
      <c r="D102">
        <v>1</v>
      </c>
    </row>
    <row r="103" spans="1:5">
      <c r="A103" t="s">
        <v>1086</v>
      </c>
      <c r="B103" t="s">
        <v>1087</v>
      </c>
      <c r="C103" t="s">
        <v>566</v>
      </c>
      <c r="D103">
        <v>1</v>
      </c>
    </row>
    <row r="104" spans="1:5">
      <c r="A104" t="s">
        <v>3829</v>
      </c>
      <c r="B104" t="s">
        <v>3830</v>
      </c>
      <c r="C104" t="s">
        <v>3831</v>
      </c>
      <c r="D104">
        <v>1</v>
      </c>
    </row>
  </sheetData>
  <phoneticPr fontId="5" type="noConversion"/>
  <pageMargins left="0.7" right="0.7" top="0.75" bottom="0.75" header="0.3" footer="0.3"/>
  <pageSetup paperSize="9" orientation="portrait" verticalDpi="0" r:id="rId1"/>
  <headerFooter>
    <oddFooter>&amp;L_x000D_&amp;1#&amp;"Aptos"&amp;11&amp;K5F5F5F S-OIL: Company Use Only</oddFooter>
  </headerFooter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AB716-5D9E-4323-B5B0-31948BE7F75C}">
  <sheetPr codeName="Sheet11"/>
  <dimension ref="A1:E119"/>
  <sheetViews>
    <sheetView zoomScale="85" zoomScaleNormal="85" workbookViewId="0"/>
  </sheetViews>
  <sheetFormatPr defaultRowHeight="16.5"/>
  <cols>
    <col min="1" max="1" width="10.875" bestFit="1" customWidth="1"/>
    <col min="2" max="2" width="13.5" bestFit="1" customWidth="1"/>
    <col min="3" max="3" width="12.5" bestFit="1" customWidth="1"/>
    <col min="4" max="4" width="9.75" bestFit="1" customWidth="1"/>
    <col min="5" max="5" width="11.625" bestFit="1" customWidth="1"/>
  </cols>
  <sheetData>
    <row r="1" spans="1:5">
      <c r="A1" t="s">
        <v>133</v>
      </c>
      <c r="B1" t="s">
        <v>252</v>
      </c>
      <c r="C1" t="s">
        <v>253</v>
      </c>
      <c r="D1" t="s">
        <v>254</v>
      </c>
      <c r="E1" t="s">
        <v>137</v>
      </c>
    </row>
    <row r="2" spans="1:5">
      <c r="A2" t="s">
        <v>138</v>
      </c>
      <c r="B2" t="s">
        <v>4</v>
      </c>
      <c r="C2" t="s">
        <v>255</v>
      </c>
      <c r="D2">
        <v>1</v>
      </c>
    </row>
    <row r="3" spans="1:5">
      <c r="A3" t="s">
        <v>141</v>
      </c>
      <c r="B3" t="s">
        <v>4</v>
      </c>
      <c r="C3" t="s">
        <v>255</v>
      </c>
      <c r="D3">
        <v>1</v>
      </c>
    </row>
    <row r="4" spans="1:5">
      <c r="A4" t="s">
        <v>143</v>
      </c>
      <c r="B4" t="s">
        <v>4</v>
      </c>
      <c r="C4" t="s">
        <v>255</v>
      </c>
      <c r="D4">
        <v>1</v>
      </c>
    </row>
    <row r="5" spans="1:5">
      <c r="A5" t="s">
        <v>146</v>
      </c>
      <c r="B5" t="s">
        <v>4</v>
      </c>
      <c r="C5" t="s">
        <v>255</v>
      </c>
      <c r="D5">
        <v>1</v>
      </c>
    </row>
    <row r="6" spans="1:5">
      <c r="A6" t="s">
        <v>148</v>
      </c>
      <c r="B6" t="s">
        <v>11</v>
      </c>
      <c r="C6" t="s">
        <v>255</v>
      </c>
      <c r="D6">
        <v>1</v>
      </c>
    </row>
    <row r="7" spans="1:5">
      <c r="A7" t="s">
        <v>150</v>
      </c>
      <c r="B7" t="s">
        <v>12</v>
      </c>
      <c r="C7" t="s">
        <v>255</v>
      </c>
      <c r="D7">
        <v>1</v>
      </c>
    </row>
    <row r="8" spans="1:5">
      <c r="A8" t="s">
        <v>151</v>
      </c>
      <c r="B8" t="s">
        <v>4</v>
      </c>
      <c r="C8" t="s">
        <v>255</v>
      </c>
      <c r="D8">
        <v>1</v>
      </c>
    </row>
    <row r="9" spans="1:5">
      <c r="A9" t="s">
        <v>153</v>
      </c>
      <c r="B9" t="s">
        <v>46</v>
      </c>
      <c r="C9" t="s">
        <v>255</v>
      </c>
      <c r="D9">
        <v>1</v>
      </c>
    </row>
    <row r="10" spans="1:5">
      <c r="A10" t="s">
        <v>155</v>
      </c>
      <c r="B10" t="s">
        <v>46</v>
      </c>
      <c r="C10" t="s">
        <v>255</v>
      </c>
      <c r="D10">
        <v>1</v>
      </c>
    </row>
    <row r="11" spans="1:5">
      <c r="A11" t="s">
        <v>158</v>
      </c>
      <c r="B11" t="s">
        <v>47</v>
      </c>
      <c r="C11" t="s">
        <v>255</v>
      </c>
      <c r="D11">
        <v>1</v>
      </c>
      <c r="E11" t="s">
        <v>256</v>
      </c>
    </row>
    <row r="12" spans="1:5">
      <c r="A12" t="s">
        <v>162</v>
      </c>
      <c r="B12" t="s">
        <v>47</v>
      </c>
      <c r="C12" t="s">
        <v>255</v>
      </c>
      <c r="D12">
        <v>1</v>
      </c>
      <c r="E12" t="s">
        <v>256</v>
      </c>
    </row>
    <row r="13" spans="1:5">
      <c r="A13" t="s">
        <v>164</v>
      </c>
      <c r="B13" t="s">
        <v>47</v>
      </c>
      <c r="C13" t="s">
        <v>255</v>
      </c>
      <c r="D13">
        <v>1</v>
      </c>
      <c r="E13" t="s">
        <v>256</v>
      </c>
    </row>
    <row r="14" spans="1:5">
      <c r="A14" t="s">
        <v>166</v>
      </c>
      <c r="B14" t="s">
        <v>4</v>
      </c>
      <c r="C14" t="s">
        <v>255</v>
      </c>
      <c r="D14">
        <v>1</v>
      </c>
    </row>
    <row r="15" spans="1:5">
      <c r="A15" t="s">
        <v>168</v>
      </c>
      <c r="B15" t="s">
        <v>4</v>
      </c>
      <c r="C15" t="s">
        <v>255</v>
      </c>
      <c r="D15">
        <v>1</v>
      </c>
    </row>
    <row r="16" spans="1:5">
      <c r="A16" t="s">
        <v>170</v>
      </c>
      <c r="B16" t="s">
        <v>4</v>
      </c>
      <c r="C16" t="s">
        <v>255</v>
      </c>
      <c r="D16">
        <v>1</v>
      </c>
      <c r="E16" t="s">
        <v>172</v>
      </c>
    </row>
    <row r="17" spans="1:5">
      <c r="A17" t="s">
        <v>173</v>
      </c>
      <c r="B17" t="s">
        <v>4</v>
      </c>
      <c r="C17" t="s">
        <v>255</v>
      </c>
      <c r="D17">
        <v>1</v>
      </c>
    </row>
    <row r="18" spans="1:5">
      <c r="A18" t="s">
        <v>175</v>
      </c>
      <c r="B18" t="s">
        <v>17</v>
      </c>
      <c r="C18" t="s">
        <v>255</v>
      </c>
      <c r="D18">
        <v>1</v>
      </c>
    </row>
    <row r="19" spans="1:5">
      <c r="A19" t="s">
        <v>178</v>
      </c>
      <c r="B19" t="s">
        <v>65</v>
      </c>
      <c r="C19" t="s">
        <v>257</v>
      </c>
      <c r="D19">
        <v>1</v>
      </c>
      <c r="E19" t="s">
        <v>258</v>
      </c>
    </row>
    <row r="20" spans="1:5">
      <c r="A20" t="s">
        <v>178</v>
      </c>
      <c r="B20" t="s">
        <v>17</v>
      </c>
      <c r="C20" t="s">
        <v>257</v>
      </c>
      <c r="D20">
        <v>2</v>
      </c>
      <c r="E20" t="s">
        <v>258</v>
      </c>
    </row>
    <row r="21" spans="1:5">
      <c r="A21" t="s">
        <v>180</v>
      </c>
      <c r="B21" t="s">
        <v>54</v>
      </c>
      <c r="C21" t="s">
        <v>255</v>
      </c>
      <c r="D21">
        <v>1</v>
      </c>
    </row>
    <row r="22" spans="1:5">
      <c r="A22" t="s">
        <v>181</v>
      </c>
      <c r="B22" t="s">
        <v>54</v>
      </c>
      <c r="C22" t="s">
        <v>255</v>
      </c>
      <c r="D22">
        <v>1</v>
      </c>
    </row>
    <row r="23" spans="1:5">
      <c r="A23" t="s">
        <v>182</v>
      </c>
      <c r="B23" t="s">
        <v>60</v>
      </c>
      <c r="C23" t="s">
        <v>255</v>
      </c>
      <c r="D23">
        <v>1</v>
      </c>
    </row>
    <row r="24" spans="1:5">
      <c r="A24" t="s">
        <v>183</v>
      </c>
      <c r="B24" t="s">
        <v>60</v>
      </c>
      <c r="C24" t="s">
        <v>255</v>
      </c>
      <c r="D24">
        <v>1</v>
      </c>
    </row>
    <row r="25" spans="1:5">
      <c r="A25" t="s">
        <v>185</v>
      </c>
      <c r="B25" t="s">
        <v>60</v>
      </c>
      <c r="C25" t="s">
        <v>255</v>
      </c>
      <c r="D25">
        <v>1</v>
      </c>
      <c r="E25" t="s">
        <v>259</v>
      </c>
    </row>
    <row r="26" spans="1:5">
      <c r="A26" t="s">
        <v>186</v>
      </c>
      <c r="B26" t="s">
        <v>63</v>
      </c>
      <c r="C26" t="s">
        <v>255</v>
      </c>
      <c r="D26">
        <v>1</v>
      </c>
    </row>
    <row r="27" spans="1:5">
      <c r="A27" t="s">
        <v>187</v>
      </c>
      <c r="B27" t="s">
        <v>54</v>
      </c>
      <c r="C27" t="s">
        <v>255</v>
      </c>
      <c r="D27">
        <v>1</v>
      </c>
    </row>
    <row r="28" spans="1:5">
      <c r="A28" t="s">
        <v>189</v>
      </c>
      <c r="B28" t="s">
        <v>55</v>
      </c>
      <c r="C28" t="s">
        <v>257</v>
      </c>
      <c r="D28">
        <v>1</v>
      </c>
      <c r="E28" t="s">
        <v>258</v>
      </c>
    </row>
    <row r="29" spans="1:5">
      <c r="A29" t="s">
        <v>189</v>
      </c>
      <c r="B29" t="s">
        <v>117</v>
      </c>
      <c r="C29" t="s">
        <v>257</v>
      </c>
      <c r="D29">
        <v>2</v>
      </c>
      <c r="E29" t="s">
        <v>258</v>
      </c>
    </row>
    <row r="30" spans="1:5">
      <c r="A30" t="s">
        <v>189</v>
      </c>
      <c r="B30" t="s">
        <v>77</v>
      </c>
      <c r="C30" t="s">
        <v>257</v>
      </c>
      <c r="D30">
        <v>3</v>
      </c>
      <c r="E30" t="s">
        <v>258</v>
      </c>
    </row>
    <row r="31" spans="1:5">
      <c r="A31" t="s">
        <v>190</v>
      </c>
      <c r="B31" t="s">
        <v>55</v>
      </c>
      <c r="C31" t="s">
        <v>257</v>
      </c>
      <c r="D31">
        <v>1</v>
      </c>
      <c r="E31" t="s">
        <v>258</v>
      </c>
    </row>
    <row r="32" spans="1:5">
      <c r="A32" t="s">
        <v>190</v>
      </c>
      <c r="B32" t="s">
        <v>117</v>
      </c>
      <c r="C32" t="s">
        <v>257</v>
      </c>
      <c r="D32">
        <v>2</v>
      </c>
      <c r="E32" t="s">
        <v>258</v>
      </c>
    </row>
    <row r="33" spans="1:5">
      <c r="A33" t="s">
        <v>191</v>
      </c>
      <c r="B33" t="s">
        <v>55</v>
      </c>
      <c r="C33" t="s">
        <v>257</v>
      </c>
      <c r="D33">
        <v>1</v>
      </c>
      <c r="E33" t="s">
        <v>258</v>
      </c>
    </row>
    <row r="34" spans="1:5">
      <c r="A34" t="s">
        <v>191</v>
      </c>
      <c r="B34" t="s">
        <v>77</v>
      </c>
      <c r="C34" t="s">
        <v>257</v>
      </c>
      <c r="D34">
        <v>2</v>
      </c>
      <c r="E34" t="s">
        <v>258</v>
      </c>
    </row>
    <row r="35" spans="1:5">
      <c r="A35" t="s">
        <v>192</v>
      </c>
      <c r="B35" t="s">
        <v>54</v>
      </c>
      <c r="C35" t="s">
        <v>255</v>
      </c>
      <c r="D35">
        <v>1</v>
      </c>
    </row>
    <row r="36" spans="1:5">
      <c r="A36" t="s">
        <v>194</v>
      </c>
      <c r="B36" t="s">
        <v>522</v>
      </c>
      <c r="C36" t="s">
        <v>255</v>
      </c>
      <c r="D36">
        <v>1</v>
      </c>
    </row>
    <row r="37" spans="1:5">
      <c r="A37" t="s">
        <v>195</v>
      </c>
      <c r="B37" t="s">
        <v>65</v>
      </c>
      <c r="C37" t="s">
        <v>255</v>
      </c>
      <c r="D37">
        <v>1</v>
      </c>
      <c r="E37" t="s">
        <v>172</v>
      </c>
    </row>
    <row r="38" spans="1:5">
      <c r="A38" t="s">
        <v>196</v>
      </c>
      <c r="B38" t="s">
        <v>65</v>
      </c>
      <c r="C38" t="s">
        <v>255</v>
      </c>
      <c r="D38">
        <v>1</v>
      </c>
      <c r="E38" t="s">
        <v>172</v>
      </c>
    </row>
    <row r="39" spans="1:5">
      <c r="A39" t="s">
        <v>197</v>
      </c>
      <c r="B39" t="s">
        <v>54</v>
      </c>
      <c r="C39" t="s">
        <v>255</v>
      </c>
      <c r="D39">
        <v>1</v>
      </c>
    </row>
    <row r="40" spans="1:5">
      <c r="A40" t="s">
        <v>199</v>
      </c>
      <c r="B40" t="s">
        <v>69</v>
      </c>
      <c r="C40" t="s">
        <v>255</v>
      </c>
      <c r="D40">
        <v>1</v>
      </c>
    </row>
    <row r="41" spans="1:5">
      <c r="A41" t="s">
        <v>202</v>
      </c>
      <c r="B41" t="s">
        <v>1035</v>
      </c>
      <c r="C41" t="s">
        <v>255</v>
      </c>
      <c r="D41">
        <v>1</v>
      </c>
    </row>
    <row r="42" spans="1:5">
      <c r="A42" t="s">
        <v>203</v>
      </c>
      <c r="B42" t="s">
        <v>69</v>
      </c>
      <c r="C42" t="s">
        <v>255</v>
      </c>
      <c r="D42">
        <v>1</v>
      </c>
      <c r="E42" t="s">
        <v>172</v>
      </c>
    </row>
    <row r="43" spans="1:5">
      <c r="A43" t="s">
        <v>205</v>
      </c>
      <c r="B43" t="s">
        <v>71</v>
      </c>
      <c r="C43" t="s">
        <v>255</v>
      </c>
      <c r="D43">
        <v>1</v>
      </c>
    </row>
    <row r="44" spans="1:5">
      <c r="A44" t="s">
        <v>207</v>
      </c>
      <c r="B44" t="s">
        <v>73</v>
      </c>
      <c r="C44" t="s">
        <v>255</v>
      </c>
      <c r="D44">
        <v>1</v>
      </c>
    </row>
    <row r="45" spans="1:5">
      <c r="A45" t="s">
        <v>209</v>
      </c>
      <c r="B45" t="s">
        <v>54</v>
      </c>
      <c r="C45" t="s">
        <v>255</v>
      </c>
      <c r="D45">
        <v>1</v>
      </c>
    </row>
    <row r="46" spans="1:5">
      <c r="A46" t="s">
        <v>210</v>
      </c>
      <c r="B46" t="s">
        <v>75</v>
      </c>
      <c r="C46" t="s">
        <v>255</v>
      </c>
      <c r="D46">
        <v>1</v>
      </c>
    </row>
    <row r="47" spans="1:5">
      <c r="A47" t="s">
        <v>211</v>
      </c>
      <c r="B47" t="s">
        <v>77</v>
      </c>
      <c r="C47" t="s">
        <v>255</v>
      </c>
      <c r="D47">
        <v>1</v>
      </c>
    </row>
    <row r="48" spans="1:5">
      <c r="A48" t="s">
        <v>213</v>
      </c>
      <c r="B48" t="s">
        <v>77</v>
      </c>
      <c r="C48" t="s">
        <v>257</v>
      </c>
      <c r="D48">
        <v>1</v>
      </c>
      <c r="E48" t="s">
        <v>258</v>
      </c>
    </row>
    <row r="49" spans="1:5">
      <c r="A49" t="s">
        <v>213</v>
      </c>
      <c r="B49" t="s">
        <v>117</v>
      </c>
      <c r="C49" t="s">
        <v>257</v>
      </c>
      <c r="D49">
        <v>2</v>
      </c>
      <c r="E49" t="s">
        <v>258</v>
      </c>
    </row>
    <row r="50" spans="1:5">
      <c r="A50" t="s">
        <v>215</v>
      </c>
      <c r="B50" t="s">
        <v>80</v>
      </c>
      <c r="C50" t="s">
        <v>255</v>
      </c>
      <c r="D50">
        <v>1</v>
      </c>
    </row>
    <row r="51" spans="1:5">
      <c r="A51" t="s">
        <v>216</v>
      </c>
      <c r="B51" t="s">
        <v>80</v>
      </c>
      <c r="C51" t="s">
        <v>257</v>
      </c>
      <c r="D51">
        <v>1</v>
      </c>
      <c r="E51" t="s">
        <v>258</v>
      </c>
    </row>
    <row r="52" spans="1:5">
      <c r="A52" t="s">
        <v>216</v>
      </c>
      <c r="B52" t="s">
        <v>994</v>
      </c>
      <c r="C52" t="s">
        <v>257</v>
      </c>
      <c r="D52">
        <v>2</v>
      </c>
      <c r="E52" t="s">
        <v>258</v>
      </c>
    </row>
    <row r="53" spans="1:5">
      <c r="A53" t="s">
        <v>218</v>
      </c>
      <c r="B53" t="s">
        <v>85</v>
      </c>
      <c r="C53" t="s">
        <v>255</v>
      </c>
      <c r="D53">
        <v>1</v>
      </c>
    </row>
    <row r="54" spans="1:5">
      <c r="A54" t="s">
        <v>221</v>
      </c>
      <c r="B54" t="s">
        <v>85</v>
      </c>
      <c r="C54" t="s">
        <v>255</v>
      </c>
      <c r="D54">
        <v>1</v>
      </c>
    </row>
    <row r="55" spans="1:5">
      <c r="A55" t="s">
        <v>223</v>
      </c>
      <c r="B55" t="s">
        <v>86</v>
      </c>
      <c r="C55" t="s">
        <v>255</v>
      </c>
      <c r="D55">
        <v>1</v>
      </c>
    </row>
    <row r="56" spans="1:5">
      <c r="A56" t="s">
        <v>224</v>
      </c>
      <c r="B56" t="s">
        <v>4</v>
      </c>
      <c r="C56" t="s">
        <v>255</v>
      </c>
      <c r="D56">
        <v>1</v>
      </c>
      <c r="E56" t="s">
        <v>258</v>
      </c>
    </row>
    <row r="57" spans="1:5">
      <c r="A57" t="s">
        <v>226</v>
      </c>
      <c r="B57" t="s">
        <v>88</v>
      </c>
      <c r="C57" t="s">
        <v>257</v>
      </c>
      <c r="D57">
        <v>1</v>
      </c>
    </row>
    <row r="58" spans="1:5">
      <c r="A58" t="s">
        <v>226</v>
      </c>
      <c r="B58" t="s">
        <v>4</v>
      </c>
      <c r="C58" t="s">
        <v>257</v>
      </c>
      <c r="D58">
        <v>2</v>
      </c>
    </row>
    <row r="59" spans="1:5">
      <c r="A59" t="s">
        <v>229</v>
      </c>
      <c r="B59" t="s">
        <v>116</v>
      </c>
      <c r="C59" t="s">
        <v>255</v>
      </c>
      <c r="D59">
        <v>1</v>
      </c>
    </row>
    <row r="60" spans="1:5">
      <c r="A60" t="s">
        <v>232</v>
      </c>
      <c r="B60" t="s">
        <v>117</v>
      </c>
      <c r="C60" t="s">
        <v>255</v>
      </c>
      <c r="D60">
        <v>1</v>
      </c>
    </row>
    <row r="61" spans="1:5">
      <c r="A61" t="s">
        <v>233</v>
      </c>
      <c r="B61" t="s">
        <v>88</v>
      </c>
      <c r="C61" t="s">
        <v>257</v>
      </c>
      <c r="D61">
        <v>1</v>
      </c>
      <c r="E61" t="s">
        <v>258</v>
      </c>
    </row>
    <row r="62" spans="1:5">
      <c r="A62" t="s">
        <v>233</v>
      </c>
      <c r="B62" t="s">
        <v>54</v>
      </c>
      <c r="C62" t="s">
        <v>257</v>
      </c>
      <c r="D62">
        <v>2</v>
      </c>
      <c r="E62" t="s">
        <v>258</v>
      </c>
    </row>
    <row r="63" spans="1:5">
      <c r="A63" t="s">
        <v>235</v>
      </c>
      <c r="B63" t="s">
        <v>124</v>
      </c>
      <c r="C63" t="s">
        <v>255</v>
      </c>
      <c r="D63">
        <v>1</v>
      </c>
    </row>
    <row r="64" spans="1:5">
      <c r="A64" t="s">
        <v>239</v>
      </c>
      <c r="B64" t="s">
        <v>125</v>
      </c>
      <c r="C64" t="s">
        <v>257</v>
      </c>
      <c r="D64">
        <v>1</v>
      </c>
    </row>
    <row r="65" spans="1:5">
      <c r="A65" t="s">
        <v>239</v>
      </c>
      <c r="B65" t="s">
        <v>126</v>
      </c>
      <c r="C65" t="s">
        <v>257</v>
      </c>
      <c r="D65">
        <v>2</v>
      </c>
    </row>
    <row r="66" spans="1:5">
      <c r="A66" t="s">
        <v>241</v>
      </c>
      <c r="B66" t="s">
        <v>127</v>
      </c>
      <c r="C66" t="s">
        <v>255</v>
      </c>
      <c r="D66">
        <v>1</v>
      </c>
    </row>
    <row r="67" spans="1:5">
      <c r="A67" t="s">
        <v>242</v>
      </c>
      <c r="B67" t="s">
        <v>127</v>
      </c>
      <c r="C67" t="s">
        <v>255</v>
      </c>
      <c r="D67">
        <v>1</v>
      </c>
    </row>
    <row r="68" spans="1:5">
      <c r="A68" t="s">
        <v>245</v>
      </c>
      <c r="B68" t="s">
        <v>88</v>
      </c>
      <c r="C68" t="s">
        <v>255</v>
      </c>
      <c r="D68">
        <v>1</v>
      </c>
    </row>
    <row r="69" spans="1:5">
      <c r="A69" t="s">
        <v>247</v>
      </c>
      <c r="B69" t="s">
        <v>88</v>
      </c>
      <c r="C69" t="s">
        <v>255</v>
      </c>
      <c r="D69">
        <v>1</v>
      </c>
      <c r="E69" t="s">
        <v>172</v>
      </c>
    </row>
    <row r="70" spans="1:5">
      <c r="A70" t="s">
        <v>250</v>
      </c>
      <c r="B70" t="s">
        <v>88</v>
      </c>
      <c r="C70" t="s">
        <v>255</v>
      </c>
      <c r="D70">
        <v>1</v>
      </c>
      <c r="E70" t="s">
        <v>259</v>
      </c>
    </row>
    <row r="71" spans="1:5">
      <c r="A71" t="s">
        <v>373</v>
      </c>
      <c r="B71" t="s">
        <v>385</v>
      </c>
      <c r="C71" t="s">
        <v>255</v>
      </c>
      <c r="D71">
        <v>1</v>
      </c>
    </row>
    <row r="72" spans="1:5">
      <c r="A72" t="s">
        <v>502</v>
      </c>
      <c r="B72" t="s">
        <v>384</v>
      </c>
      <c r="C72" t="s">
        <v>255</v>
      </c>
      <c r="D72">
        <v>1</v>
      </c>
    </row>
    <row r="73" spans="1:5">
      <c r="A73" t="s">
        <v>552</v>
      </c>
      <c r="B73" t="s">
        <v>560</v>
      </c>
      <c r="C73" t="s">
        <v>255</v>
      </c>
      <c r="D73">
        <v>1</v>
      </c>
      <c r="E73" t="s">
        <v>564</v>
      </c>
    </row>
    <row r="74" spans="1:5">
      <c r="A74" t="s">
        <v>553</v>
      </c>
      <c r="B74" t="s">
        <v>561</v>
      </c>
      <c r="C74" t="s">
        <v>255</v>
      </c>
      <c r="D74">
        <v>1</v>
      </c>
    </row>
    <row r="75" spans="1:5">
      <c r="A75" t="s">
        <v>554</v>
      </c>
      <c r="B75" t="s">
        <v>545</v>
      </c>
      <c r="C75" t="s">
        <v>255</v>
      </c>
      <c r="D75">
        <v>1</v>
      </c>
    </row>
    <row r="76" spans="1:5">
      <c r="A76" t="s">
        <v>557</v>
      </c>
      <c r="B76" t="s">
        <v>482</v>
      </c>
      <c r="C76" t="s">
        <v>255</v>
      </c>
      <c r="D76">
        <v>1</v>
      </c>
    </row>
    <row r="77" spans="1:5">
      <c r="A77" t="s">
        <v>575</v>
      </c>
      <c r="B77" t="s">
        <v>482</v>
      </c>
      <c r="C77" t="s">
        <v>255</v>
      </c>
      <c r="D77">
        <v>1</v>
      </c>
    </row>
    <row r="78" spans="1:5">
      <c r="A78" t="s">
        <v>571</v>
      </c>
      <c r="B78" t="s">
        <v>576</v>
      </c>
      <c r="C78" t="s">
        <v>255</v>
      </c>
      <c r="D78">
        <v>1</v>
      </c>
    </row>
    <row r="79" spans="1:5">
      <c r="A79" t="s">
        <v>571</v>
      </c>
      <c r="B79" t="s">
        <v>482</v>
      </c>
      <c r="C79" t="s">
        <v>562</v>
      </c>
      <c r="D79">
        <v>2</v>
      </c>
    </row>
    <row r="80" spans="1:5">
      <c r="A80" t="s">
        <v>584</v>
      </c>
      <c r="B80" t="s">
        <v>482</v>
      </c>
      <c r="C80" t="s">
        <v>589</v>
      </c>
      <c r="D80">
        <v>1</v>
      </c>
    </row>
    <row r="81" spans="1:4">
      <c r="A81" t="s">
        <v>585</v>
      </c>
      <c r="B81" t="s">
        <v>578</v>
      </c>
      <c r="C81" t="s">
        <v>589</v>
      </c>
      <c r="D81">
        <v>1</v>
      </c>
    </row>
    <row r="82" spans="1:4">
      <c r="A82" t="s">
        <v>602</v>
      </c>
      <c r="B82" t="s">
        <v>609</v>
      </c>
      <c r="C82" t="s">
        <v>589</v>
      </c>
      <c r="D82">
        <v>1</v>
      </c>
    </row>
    <row r="83" spans="1:4">
      <c r="A83" t="s">
        <v>605</v>
      </c>
      <c r="B83" t="s">
        <v>596</v>
      </c>
      <c r="C83" t="s">
        <v>589</v>
      </c>
      <c r="D83">
        <v>1</v>
      </c>
    </row>
    <row r="84" spans="1:4">
      <c r="A84" t="s">
        <v>605</v>
      </c>
      <c r="B84" t="s">
        <v>482</v>
      </c>
      <c r="C84" t="s">
        <v>562</v>
      </c>
      <c r="D84">
        <v>2</v>
      </c>
    </row>
    <row r="85" spans="1:4">
      <c r="A85" t="s">
        <v>615</v>
      </c>
      <c r="B85" t="s">
        <v>53</v>
      </c>
      <c r="C85" t="s">
        <v>589</v>
      </c>
      <c r="D85">
        <v>1</v>
      </c>
    </row>
    <row r="86" spans="1:4">
      <c r="A86" t="s">
        <v>616</v>
      </c>
      <c r="B86" t="s">
        <v>53</v>
      </c>
      <c r="C86" t="s">
        <v>589</v>
      </c>
      <c r="D86">
        <v>1</v>
      </c>
    </row>
    <row r="87" spans="1:4">
      <c r="A87" t="s">
        <v>621</v>
      </c>
      <c r="B87" t="s">
        <v>576</v>
      </c>
      <c r="C87" t="s">
        <v>589</v>
      </c>
      <c r="D87">
        <v>1</v>
      </c>
    </row>
    <row r="88" spans="1:4">
      <c r="A88" t="s">
        <v>631</v>
      </c>
      <c r="B88" t="s">
        <v>640</v>
      </c>
      <c r="C88" t="s">
        <v>589</v>
      </c>
      <c r="D88">
        <v>1</v>
      </c>
    </row>
    <row r="89" spans="1:4">
      <c r="A89" t="s">
        <v>633</v>
      </c>
      <c r="B89" t="s">
        <v>625</v>
      </c>
      <c r="C89" t="s">
        <v>589</v>
      </c>
      <c r="D89">
        <v>1</v>
      </c>
    </row>
    <row r="90" spans="1:4">
      <c r="A90" t="s">
        <v>634</v>
      </c>
      <c r="B90" t="s">
        <v>485</v>
      </c>
      <c r="C90" t="s">
        <v>589</v>
      </c>
      <c r="D90">
        <v>1</v>
      </c>
    </row>
    <row r="91" spans="1:4">
      <c r="A91" t="s">
        <v>635</v>
      </c>
      <c r="B91" t="s">
        <v>626</v>
      </c>
      <c r="C91" t="s">
        <v>589</v>
      </c>
      <c r="D91">
        <v>1</v>
      </c>
    </row>
    <row r="92" spans="1:4">
      <c r="A92" t="s">
        <v>648</v>
      </c>
      <c r="B92" t="s">
        <v>487</v>
      </c>
      <c r="C92" t="s">
        <v>589</v>
      </c>
      <c r="D92">
        <v>1</v>
      </c>
    </row>
    <row r="93" spans="1:4">
      <c r="A93" t="s">
        <v>649</v>
      </c>
      <c r="B93" t="s">
        <v>487</v>
      </c>
      <c r="C93" t="s">
        <v>589</v>
      </c>
      <c r="D93">
        <v>1</v>
      </c>
    </row>
    <row r="94" spans="1:4">
      <c r="A94" t="s">
        <v>654</v>
      </c>
      <c r="B94" t="s">
        <v>487</v>
      </c>
      <c r="C94" t="s">
        <v>589</v>
      </c>
      <c r="D94">
        <v>1</v>
      </c>
    </row>
    <row r="95" spans="1:4">
      <c r="A95" t="s">
        <v>655</v>
      </c>
      <c r="B95" t="s">
        <v>642</v>
      </c>
      <c r="C95" t="s">
        <v>589</v>
      </c>
      <c r="D95">
        <v>1</v>
      </c>
    </row>
    <row r="96" spans="1:4">
      <c r="A96" t="s">
        <v>656</v>
      </c>
      <c r="B96" t="s">
        <v>643</v>
      </c>
      <c r="C96" t="s">
        <v>589</v>
      </c>
      <c r="D96">
        <v>1</v>
      </c>
    </row>
    <row r="97" spans="1:5">
      <c r="A97" t="s">
        <v>657</v>
      </c>
      <c r="B97" t="s">
        <v>644</v>
      </c>
      <c r="C97" t="s">
        <v>589</v>
      </c>
      <c r="D97">
        <v>1</v>
      </c>
    </row>
    <row r="98" spans="1:5">
      <c r="A98" t="s">
        <v>658</v>
      </c>
      <c r="B98" t="s">
        <v>644</v>
      </c>
      <c r="C98" t="s">
        <v>589</v>
      </c>
      <c r="D98">
        <v>1</v>
      </c>
    </row>
    <row r="99" spans="1:5">
      <c r="A99" t="s">
        <v>671</v>
      </c>
      <c r="B99" t="s">
        <v>664</v>
      </c>
      <c r="C99" t="s">
        <v>589</v>
      </c>
      <c r="D99">
        <v>1</v>
      </c>
    </row>
    <row r="100" spans="1:5">
      <c r="A100" t="s">
        <v>671</v>
      </c>
      <c r="B100" t="s">
        <v>51</v>
      </c>
      <c r="C100" t="s">
        <v>562</v>
      </c>
      <c r="D100">
        <v>2</v>
      </c>
    </row>
    <row r="101" spans="1:5">
      <c r="A101" t="s">
        <v>705</v>
      </c>
      <c r="B101" t="s">
        <v>561</v>
      </c>
      <c r="C101" t="s">
        <v>589</v>
      </c>
      <c r="D101">
        <v>1</v>
      </c>
    </row>
    <row r="102" spans="1:5">
      <c r="A102" t="s">
        <v>707</v>
      </c>
      <c r="B102" t="s">
        <v>86</v>
      </c>
      <c r="C102" t="s">
        <v>589</v>
      </c>
      <c r="D102">
        <v>1</v>
      </c>
    </row>
    <row r="103" spans="1:5">
      <c r="A103" t="s">
        <v>760</v>
      </c>
      <c r="B103" t="s">
        <v>561</v>
      </c>
      <c r="C103" t="s">
        <v>589</v>
      </c>
      <c r="D103">
        <v>1</v>
      </c>
      <c r="E103" t="s">
        <v>258</v>
      </c>
    </row>
    <row r="104" spans="1:5">
      <c r="A104" t="s">
        <v>760</v>
      </c>
      <c r="B104" t="s">
        <v>522</v>
      </c>
      <c r="C104" t="s">
        <v>562</v>
      </c>
      <c r="D104">
        <v>2</v>
      </c>
      <c r="E104" t="s">
        <v>258</v>
      </c>
    </row>
    <row r="105" spans="1:5">
      <c r="A105" t="s">
        <v>760</v>
      </c>
      <c r="B105" t="s">
        <v>1082</v>
      </c>
      <c r="C105" t="s">
        <v>562</v>
      </c>
      <c r="D105">
        <v>3</v>
      </c>
      <c r="E105" t="s">
        <v>258</v>
      </c>
    </row>
    <row r="106" spans="1:5">
      <c r="A106" t="s">
        <v>763</v>
      </c>
      <c r="B106" t="s">
        <v>522</v>
      </c>
      <c r="C106" t="s">
        <v>589</v>
      </c>
      <c r="D106">
        <v>1</v>
      </c>
    </row>
    <row r="107" spans="1:5">
      <c r="A107" t="s">
        <v>773</v>
      </c>
      <c r="B107" t="s">
        <v>609</v>
      </c>
      <c r="C107" t="s">
        <v>589</v>
      </c>
      <c r="D107">
        <v>1</v>
      </c>
    </row>
    <row r="108" spans="1:5">
      <c r="A108" t="s">
        <v>837</v>
      </c>
      <c r="B108" t="s">
        <v>384</v>
      </c>
      <c r="C108" t="s">
        <v>589</v>
      </c>
      <c r="D108">
        <v>1</v>
      </c>
    </row>
    <row r="109" spans="1:5">
      <c r="A109" t="s">
        <v>843</v>
      </c>
      <c r="B109" t="s">
        <v>840</v>
      </c>
      <c r="C109" t="s">
        <v>589</v>
      </c>
      <c r="D109">
        <v>1</v>
      </c>
    </row>
    <row r="110" spans="1:5">
      <c r="A110" t="s">
        <v>1037</v>
      </c>
      <c r="B110" t="s">
        <v>522</v>
      </c>
      <c r="C110" t="s">
        <v>589</v>
      </c>
      <c r="D110">
        <v>1</v>
      </c>
    </row>
    <row r="111" spans="1:5">
      <c r="A111" t="s">
        <v>1042</v>
      </c>
      <c r="B111" t="s">
        <v>994</v>
      </c>
      <c r="C111" t="s">
        <v>589</v>
      </c>
      <c r="D111">
        <v>1</v>
      </c>
    </row>
    <row r="112" spans="1:5">
      <c r="A112" t="s">
        <v>1052</v>
      </c>
      <c r="B112" t="s">
        <v>994</v>
      </c>
      <c r="C112" t="s">
        <v>589</v>
      </c>
      <c r="D112">
        <v>1</v>
      </c>
    </row>
    <row r="113" spans="1:4">
      <c r="A113" t="s">
        <v>1068</v>
      </c>
      <c r="B113" t="s">
        <v>996</v>
      </c>
      <c r="C113" t="s">
        <v>589</v>
      </c>
      <c r="D113">
        <v>1</v>
      </c>
    </row>
    <row r="114" spans="1:4">
      <c r="A114" t="s">
        <v>1069</v>
      </c>
      <c r="B114" t="s">
        <v>996</v>
      </c>
      <c r="C114" t="s">
        <v>589</v>
      </c>
      <c r="D114">
        <v>1</v>
      </c>
    </row>
    <row r="115" spans="1:4">
      <c r="A115" t="s">
        <v>1070</v>
      </c>
      <c r="B115" t="s">
        <v>996</v>
      </c>
      <c r="C115" t="s">
        <v>589</v>
      </c>
      <c r="D115">
        <v>1</v>
      </c>
    </row>
    <row r="116" spans="1:4">
      <c r="A116" t="s">
        <v>1071</v>
      </c>
      <c r="B116" t="s">
        <v>996</v>
      </c>
      <c r="C116" t="s">
        <v>589</v>
      </c>
      <c r="D116">
        <v>1</v>
      </c>
    </row>
    <row r="117" spans="1:4">
      <c r="A117" t="s">
        <v>1072</v>
      </c>
      <c r="B117" t="s">
        <v>996</v>
      </c>
      <c r="C117" t="s">
        <v>589</v>
      </c>
      <c r="D117">
        <v>1</v>
      </c>
    </row>
    <row r="118" spans="1:4">
      <c r="A118" t="s">
        <v>1086</v>
      </c>
      <c r="B118" t="s">
        <v>995</v>
      </c>
      <c r="C118" t="s">
        <v>589</v>
      </c>
      <c r="D118">
        <v>1</v>
      </c>
    </row>
    <row r="119" spans="1:4">
      <c r="A119" t="s">
        <v>3829</v>
      </c>
      <c r="B119" t="s">
        <v>3832</v>
      </c>
      <c r="C119" t="s">
        <v>589</v>
      </c>
      <c r="D119">
        <v>1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87538-EFEF-41C2-B9E3-CC62272BBB45}">
  <sheetPr codeName="Sheet12"/>
  <dimension ref="A1:E105"/>
  <sheetViews>
    <sheetView topLeftCell="A34" zoomScale="85" zoomScaleNormal="85" workbookViewId="0">
      <selection activeCell="F50" sqref="F50"/>
    </sheetView>
  </sheetViews>
  <sheetFormatPr defaultRowHeight="16.5"/>
  <cols>
    <col min="1" max="1" width="9.625" customWidth="1"/>
    <col min="2" max="2" width="12" customWidth="1"/>
    <col min="3" max="3" width="13.375" bestFit="1" customWidth="1"/>
    <col min="4" max="4" width="8.625" customWidth="1"/>
    <col min="5" max="5" width="18.5" bestFit="1" customWidth="1"/>
  </cols>
  <sheetData>
    <row r="1" spans="1:5">
      <c r="A1" t="s">
        <v>133</v>
      </c>
      <c r="B1" t="s">
        <v>252</v>
      </c>
      <c r="C1" t="s">
        <v>260</v>
      </c>
      <c r="D1" t="s">
        <v>254</v>
      </c>
      <c r="E1" t="s">
        <v>137</v>
      </c>
    </row>
    <row r="2" spans="1:5">
      <c r="A2" t="s">
        <v>138</v>
      </c>
      <c r="B2" t="s">
        <v>261</v>
      </c>
      <c r="C2" t="s">
        <v>262</v>
      </c>
      <c r="D2">
        <v>1</v>
      </c>
    </row>
    <row r="3" spans="1:5">
      <c r="A3" t="s">
        <v>141</v>
      </c>
      <c r="B3" t="s">
        <v>8</v>
      </c>
      <c r="C3" t="s">
        <v>262</v>
      </c>
      <c r="D3">
        <v>1</v>
      </c>
    </row>
    <row r="4" spans="1:5">
      <c r="A4" t="s">
        <v>143</v>
      </c>
      <c r="B4" t="s">
        <v>10</v>
      </c>
      <c r="C4" t="s">
        <v>262</v>
      </c>
      <c r="D4">
        <v>1</v>
      </c>
    </row>
    <row r="5" spans="1:5">
      <c r="A5" t="s">
        <v>146</v>
      </c>
      <c r="B5" t="s">
        <v>11</v>
      </c>
      <c r="C5" t="s">
        <v>262</v>
      </c>
      <c r="D5">
        <v>1</v>
      </c>
    </row>
    <row r="6" spans="1:5">
      <c r="A6" t="s">
        <v>148</v>
      </c>
      <c r="B6" t="s">
        <v>12</v>
      </c>
      <c r="C6" t="s">
        <v>262</v>
      </c>
      <c r="D6">
        <v>1</v>
      </c>
    </row>
    <row r="7" spans="1:5">
      <c r="A7" t="s">
        <v>150</v>
      </c>
      <c r="B7" t="s">
        <v>14</v>
      </c>
      <c r="C7" t="s">
        <v>262</v>
      </c>
      <c r="D7">
        <v>1</v>
      </c>
    </row>
    <row r="8" spans="1:5">
      <c r="A8" t="s">
        <v>151</v>
      </c>
      <c r="B8" t="s">
        <v>46</v>
      </c>
      <c r="C8" t="s">
        <v>262</v>
      </c>
      <c r="D8">
        <v>1</v>
      </c>
    </row>
    <row r="9" spans="1:5">
      <c r="A9" t="s">
        <v>153</v>
      </c>
      <c r="B9" t="s">
        <v>51</v>
      </c>
      <c r="C9" t="s">
        <v>262</v>
      </c>
      <c r="D9">
        <v>1</v>
      </c>
    </row>
    <row r="10" spans="1:5">
      <c r="A10" t="s">
        <v>155</v>
      </c>
      <c r="B10" t="s">
        <v>47</v>
      </c>
      <c r="C10" t="s">
        <v>262</v>
      </c>
      <c r="D10">
        <v>1</v>
      </c>
      <c r="E10" t="s">
        <v>157</v>
      </c>
    </row>
    <row r="11" spans="1:5">
      <c r="A11" t="s">
        <v>158</v>
      </c>
      <c r="B11" t="s">
        <v>48</v>
      </c>
      <c r="C11" t="s">
        <v>262</v>
      </c>
      <c r="D11">
        <v>1</v>
      </c>
    </row>
    <row r="12" spans="1:5">
      <c r="A12" t="s">
        <v>162</v>
      </c>
      <c r="B12" t="s">
        <v>49</v>
      </c>
      <c r="C12" t="s">
        <v>262</v>
      </c>
      <c r="D12">
        <v>1</v>
      </c>
    </row>
    <row r="13" spans="1:5">
      <c r="A13" t="s">
        <v>164</v>
      </c>
      <c r="B13" t="s">
        <v>50</v>
      </c>
      <c r="C13" t="s">
        <v>262</v>
      </c>
      <c r="D13">
        <v>1</v>
      </c>
    </row>
    <row r="14" spans="1:5">
      <c r="A14" t="s">
        <v>166</v>
      </c>
      <c r="B14" t="s">
        <v>17</v>
      </c>
      <c r="C14" t="s">
        <v>262</v>
      </c>
      <c r="D14">
        <v>1</v>
      </c>
    </row>
    <row r="15" spans="1:5">
      <c r="A15" t="s">
        <v>168</v>
      </c>
      <c r="B15" t="s">
        <v>52</v>
      </c>
      <c r="C15" t="s">
        <v>262</v>
      </c>
      <c r="D15">
        <v>1</v>
      </c>
    </row>
    <row r="16" spans="1:5">
      <c r="A16" t="s">
        <v>170</v>
      </c>
      <c r="B16" t="s">
        <v>18</v>
      </c>
      <c r="C16" t="s">
        <v>262</v>
      </c>
      <c r="D16">
        <v>1</v>
      </c>
    </row>
    <row r="17" spans="1:5">
      <c r="A17" t="s">
        <v>173</v>
      </c>
      <c r="B17" t="s">
        <v>53</v>
      </c>
      <c r="C17" t="s">
        <v>262</v>
      </c>
      <c r="D17">
        <v>1</v>
      </c>
    </row>
    <row r="18" spans="1:5">
      <c r="A18" t="s">
        <v>175</v>
      </c>
      <c r="B18" t="s">
        <v>20</v>
      </c>
      <c r="C18" t="s">
        <v>262</v>
      </c>
      <c r="D18">
        <v>1</v>
      </c>
    </row>
    <row r="19" spans="1:5">
      <c r="A19" t="s">
        <v>178</v>
      </c>
      <c r="B19" t="s">
        <v>22</v>
      </c>
      <c r="C19" t="s">
        <v>262</v>
      </c>
      <c r="D19">
        <v>1</v>
      </c>
    </row>
    <row r="20" spans="1:5">
      <c r="A20" t="s">
        <v>180</v>
      </c>
      <c r="B20" t="s">
        <v>59</v>
      </c>
      <c r="C20" t="s">
        <v>262</v>
      </c>
      <c r="D20">
        <v>1</v>
      </c>
    </row>
    <row r="21" spans="1:5">
      <c r="A21" t="s">
        <v>181</v>
      </c>
      <c r="B21" t="s">
        <v>60</v>
      </c>
      <c r="C21" t="s">
        <v>262</v>
      </c>
      <c r="D21">
        <v>1</v>
      </c>
    </row>
    <row r="22" spans="1:5">
      <c r="A22" t="s">
        <v>182</v>
      </c>
      <c r="B22" t="s">
        <v>61</v>
      </c>
      <c r="C22" t="s">
        <v>262</v>
      </c>
      <c r="D22">
        <v>1</v>
      </c>
    </row>
    <row r="23" spans="1:5">
      <c r="A23" t="s">
        <v>183</v>
      </c>
      <c r="B23" t="s">
        <v>62</v>
      </c>
      <c r="C23" t="s">
        <v>262</v>
      </c>
      <c r="D23">
        <v>1</v>
      </c>
    </row>
    <row r="24" spans="1:5">
      <c r="A24" t="s">
        <v>185</v>
      </c>
      <c r="B24" t="s">
        <v>63</v>
      </c>
      <c r="C24" t="s">
        <v>262</v>
      </c>
      <c r="D24">
        <v>1</v>
      </c>
      <c r="E24" t="s">
        <v>157</v>
      </c>
    </row>
    <row r="25" spans="1:5">
      <c r="A25" t="s">
        <v>186</v>
      </c>
      <c r="B25" t="s">
        <v>64</v>
      </c>
      <c r="C25" t="s">
        <v>262</v>
      </c>
      <c r="D25">
        <v>1</v>
      </c>
    </row>
    <row r="26" spans="1:5">
      <c r="A26" t="s">
        <v>187</v>
      </c>
      <c r="B26" t="s">
        <v>55</v>
      </c>
      <c r="C26" t="s">
        <v>262</v>
      </c>
      <c r="D26">
        <v>1</v>
      </c>
    </row>
    <row r="27" spans="1:5">
      <c r="A27" t="s">
        <v>189</v>
      </c>
      <c r="B27" t="s">
        <v>56</v>
      </c>
      <c r="C27" t="s">
        <v>262</v>
      </c>
      <c r="D27">
        <v>1</v>
      </c>
    </row>
    <row r="28" spans="1:5">
      <c r="A28" t="s">
        <v>190</v>
      </c>
      <c r="B28" t="s">
        <v>57</v>
      </c>
      <c r="C28" t="s">
        <v>262</v>
      </c>
      <c r="D28">
        <v>1</v>
      </c>
    </row>
    <row r="29" spans="1:5">
      <c r="A29" t="s">
        <v>191</v>
      </c>
      <c r="B29" t="s">
        <v>58</v>
      </c>
      <c r="C29" t="s">
        <v>262</v>
      </c>
      <c r="D29">
        <v>1</v>
      </c>
    </row>
    <row r="30" spans="1:5">
      <c r="A30" t="s">
        <v>192</v>
      </c>
      <c r="B30" t="s">
        <v>65</v>
      </c>
      <c r="C30" t="s">
        <v>262</v>
      </c>
      <c r="D30">
        <v>1</v>
      </c>
    </row>
    <row r="31" spans="1:5">
      <c r="A31" t="s">
        <v>523</v>
      </c>
      <c r="B31" t="s">
        <v>543</v>
      </c>
      <c r="C31" t="s">
        <v>262</v>
      </c>
      <c r="D31">
        <v>1</v>
      </c>
    </row>
    <row r="32" spans="1:5">
      <c r="A32" t="s">
        <v>195</v>
      </c>
      <c r="B32" t="s">
        <v>345</v>
      </c>
      <c r="C32" t="s">
        <v>262</v>
      </c>
      <c r="D32">
        <v>1</v>
      </c>
    </row>
    <row r="33" spans="1:5">
      <c r="A33" t="s">
        <v>196</v>
      </c>
      <c r="B33" t="s">
        <v>68</v>
      </c>
      <c r="C33" t="s">
        <v>262</v>
      </c>
      <c r="D33">
        <v>1</v>
      </c>
      <c r="E33" t="s">
        <v>172</v>
      </c>
    </row>
    <row r="34" spans="1:5">
      <c r="A34" t="s">
        <v>197</v>
      </c>
      <c r="B34" t="s">
        <v>69</v>
      </c>
      <c r="C34" t="s">
        <v>262</v>
      </c>
      <c r="D34">
        <v>1</v>
      </c>
    </row>
    <row r="35" spans="1:5">
      <c r="A35" t="s">
        <v>199</v>
      </c>
      <c r="B35" t="s">
        <v>71</v>
      </c>
      <c r="C35" t="s">
        <v>262</v>
      </c>
      <c r="D35">
        <v>1</v>
      </c>
    </row>
    <row r="36" spans="1:5">
      <c r="A36" t="s">
        <v>202</v>
      </c>
      <c r="B36" t="s">
        <v>73</v>
      </c>
      <c r="C36" t="s">
        <v>262</v>
      </c>
      <c r="D36">
        <v>1</v>
      </c>
    </row>
    <row r="37" spans="1:5">
      <c r="A37" t="s">
        <v>203</v>
      </c>
      <c r="B37" t="s">
        <v>70</v>
      </c>
      <c r="C37" t="s">
        <v>262</v>
      </c>
      <c r="D37">
        <v>1</v>
      </c>
    </row>
    <row r="38" spans="1:5">
      <c r="A38" t="s">
        <v>205</v>
      </c>
      <c r="B38" t="s">
        <v>72</v>
      </c>
      <c r="C38" t="s">
        <v>262</v>
      </c>
      <c r="D38">
        <v>1</v>
      </c>
    </row>
    <row r="39" spans="1:5">
      <c r="A39" t="s">
        <v>207</v>
      </c>
      <c r="B39" t="s">
        <v>74</v>
      </c>
      <c r="C39" t="s">
        <v>262</v>
      </c>
      <c r="D39">
        <v>1</v>
      </c>
    </row>
    <row r="40" spans="1:5">
      <c r="A40" t="s">
        <v>209</v>
      </c>
      <c r="B40" t="s">
        <v>75</v>
      </c>
      <c r="C40" t="s">
        <v>262</v>
      </c>
      <c r="D40">
        <v>1</v>
      </c>
    </row>
    <row r="41" spans="1:5">
      <c r="A41" t="s">
        <v>210</v>
      </c>
      <c r="B41" t="s">
        <v>76</v>
      </c>
      <c r="C41" t="s">
        <v>262</v>
      </c>
      <c r="D41">
        <v>1</v>
      </c>
    </row>
    <row r="42" spans="1:5">
      <c r="A42" t="s">
        <v>211</v>
      </c>
      <c r="B42" t="s">
        <v>78</v>
      </c>
      <c r="C42" t="s">
        <v>262</v>
      </c>
      <c r="D42">
        <v>1</v>
      </c>
    </row>
    <row r="43" spans="1:5">
      <c r="A43" t="s">
        <v>213</v>
      </c>
      <c r="B43" t="s">
        <v>79</v>
      </c>
      <c r="C43" t="s">
        <v>262</v>
      </c>
      <c r="D43">
        <v>1</v>
      </c>
    </row>
    <row r="44" spans="1:5">
      <c r="A44" t="s">
        <v>215</v>
      </c>
      <c r="B44" t="s">
        <v>81</v>
      </c>
      <c r="C44" t="s">
        <v>262</v>
      </c>
      <c r="D44">
        <v>1</v>
      </c>
    </row>
    <row r="45" spans="1:5">
      <c r="A45" t="s">
        <v>216</v>
      </c>
      <c r="B45" t="s">
        <v>84</v>
      </c>
      <c r="C45" t="s">
        <v>262</v>
      </c>
      <c r="D45">
        <v>1</v>
      </c>
    </row>
    <row r="46" spans="1:5">
      <c r="A46" t="s">
        <v>218</v>
      </c>
      <c r="B46" t="s">
        <v>86</v>
      </c>
      <c r="C46" t="s">
        <v>262</v>
      </c>
      <c r="D46">
        <v>1</v>
      </c>
    </row>
    <row r="47" spans="1:5">
      <c r="A47" t="s">
        <v>221</v>
      </c>
      <c r="B47" t="s">
        <v>87</v>
      </c>
      <c r="C47" t="s">
        <v>262</v>
      </c>
      <c r="D47">
        <v>1</v>
      </c>
    </row>
    <row r="48" spans="1:5">
      <c r="A48" t="s">
        <v>223</v>
      </c>
      <c r="B48" t="s">
        <v>82</v>
      </c>
      <c r="C48" t="s">
        <v>262</v>
      </c>
      <c r="D48">
        <v>1</v>
      </c>
    </row>
    <row r="49" spans="1:5">
      <c r="A49" t="s">
        <v>224</v>
      </c>
      <c r="B49" t="s">
        <v>86</v>
      </c>
      <c r="C49" t="s">
        <v>262</v>
      </c>
      <c r="D49">
        <v>1</v>
      </c>
      <c r="E49" t="s">
        <v>258</v>
      </c>
    </row>
    <row r="50" spans="1:5">
      <c r="A50" t="s">
        <v>226</v>
      </c>
      <c r="B50" t="s">
        <v>116</v>
      </c>
      <c r="C50" t="s">
        <v>262</v>
      </c>
      <c r="D50">
        <v>1</v>
      </c>
    </row>
    <row r="51" spans="1:5">
      <c r="A51" t="s">
        <v>229</v>
      </c>
      <c r="B51" t="s">
        <v>117</v>
      </c>
      <c r="C51" t="s">
        <v>262</v>
      </c>
      <c r="D51">
        <v>1</v>
      </c>
    </row>
    <row r="52" spans="1:5">
      <c r="A52" t="s">
        <v>232</v>
      </c>
      <c r="B52" t="s">
        <v>123</v>
      </c>
      <c r="C52" t="s">
        <v>262</v>
      </c>
      <c r="D52">
        <v>1</v>
      </c>
    </row>
    <row r="53" spans="1:5">
      <c r="A53" t="s">
        <v>233</v>
      </c>
      <c r="B53" t="s">
        <v>124</v>
      </c>
      <c r="C53" t="s">
        <v>262</v>
      </c>
      <c r="D53">
        <v>1</v>
      </c>
    </row>
    <row r="54" spans="1:5">
      <c r="A54" t="s">
        <v>235</v>
      </c>
      <c r="B54" t="s">
        <v>125</v>
      </c>
      <c r="C54" t="s">
        <v>262</v>
      </c>
      <c r="D54">
        <v>1</v>
      </c>
      <c r="E54" t="s">
        <v>238</v>
      </c>
    </row>
    <row r="55" spans="1:5">
      <c r="A55" t="s">
        <v>235</v>
      </c>
      <c r="B55" t="s">
        <v>126</v>
      </c>
      <c r="C55" t="s">
        <v>263</v>
      </c>
      <c r="D55">
        <v>2</v>
      </c>
      <c r="E55" t="s">
        <v>238</v>
      </c>
    </row>
    <row r="56" spans="1:5">
      <c r="A56" t="s">
        <v>239</v>
      </c>
      <c r="B56" t="s">
        <v>127</v>
      </c>
      <c r="C56" t="s">
        <v>262</v>
      </c>
      <c r="D56">
        <v>1</v>
      </c>
    </row>
    <row r="57" spans="1:5">
      <c r="A57" t="s">
        <v>241</v>
      </c>
      <c r="B57" t="s">
        <v>128</v>
      </c>
      <c r="C57" t="s">
        <v>262</v>
      </c>
      <c r="D57">
        <v>1</v>
      </c>
    </row>
    <row r="58" spans="1:5">
      <c r="A58" t="s">
        <v>242</v>
      </c>
      <c r="B58" t="s">
        <v>129</v>
      </c>
      <c r="C58" t="s">
        <v>262</v>
      </c>
      <c r="D58">
        <v>1</v>
      </c>
    </row>
    <row r="59" spans="1:5">
      <c r="A59" t="s">
        <v>245</v>
      </c>
      <c r="B59" t="s">
        <v>130</v>
      </c>
      <c r="C59" t="s">
        <v>262</v>
      </c>
      <c r="D59">
        <v>1</v>
      </c>
    </row>
    <row r="60" spans="1:5">
      <c r="A60" t="s">
        <v>247</v>
      </c>
      <c r="B60" t="s">
        <v>131</v>
      </c>
      <c r="C60" t="s">
        <v>262</v>
      </c>
      <c r="D60">
        <v>1</v>
      </c>
    </row>
    <row r="61" spans="1:5">
      <c r="A61" t="s">
        <v>250</v>
      </c>
      <c r="B61" t="s">
        <v>132</v>
      </c>
      <c r="C61" t="s">
        <v>262</v>
      </c>
      <c r="D61">
        <v>1</v>
      </c>
      <c r="E61" t="s">
        <v>157</v>
      </c>
    </row>
    <row r="62" spans="1:5">
      <c r="A62" t="s">
        <v>373</v>
      </c>
      <c r="B62" t="s">
        <v>384</v>
      </c>
      <c r="C62" t="s">
        <v>262</v>
      </c>
      <c r="D62">
        <v>1</v>
      </c>
    </row>
    <row r="63" spans="1:5">
      <c r="A63" t="s">
        <v>502</v>
      </c>
      <c r="B63" t="s">
        <v>499</v>
      </c>
      <c r="C63" t="s">
        <v>262</v>
      </c>
      <c r="D63">
        <v>1</v>
      </c>
    </row>
    <row r="64" spans="1:5">
      <c r="A64" t="s">
        <v>552</v>
      </c>
      <c r="B64" t="s">
        <v>725</v>
      </c>
      <c r="C64" t="s">
        <v>262</v>
      </c>
      <c r="D64">
        <v>1</v>
      </c>
    </row>
    <row r="65" spans="1:4">
      <c r="A65" t="s">
        <v>553</v>
      </c>
      <c r="B65" t="s">
        <v>545</v>
      </c>
      <c r="C65" t="s">
        <v>262</v>
      </c>
      <c r="D65">
        <v>1</v>
      </c>
    </row>
    <row r="66" spans="1:4">
      <c r="A66" t="s">
        <v>554</v>
      </c>
      <c r="B66" t="s">
        <v>547</v>
      </c>
      <c r="C66" t="s">
        <v>262</v>
      </c>
      <c r="D66">
        <v>1</v>
      </c>
    </row>
    <row r="67" spans="1:4">
      <c r="A67" t="s">
        <v>557</v>
      </c>
      <c r="B67" t="s">
        <v>592</v>
      </c>
      <c r="C67" t="s">
        <v>262</v>
      </c>
      <c r="D67">
        <v>1</v>
      </c>
    </row>
    <row r="68" spans="1:4">
      <c r="A68" t="s">
        <v>575</v>
      </c>
      <c r="B68" t="s">
        <v>484</v>
      </c>
      <c r="C68" t="s">
        <v>262</v>
      </c>
      <c r="D68">
        <v>1</v>
      </c>
    </row>
    <row r="69" spans="1:4">
      <c r="A69" t="s">
        <v>571</v>
      </c>
      <c r="B69" t="s">
        <v>577</v>
      </c>
      <c r="C69" t="s">
        <v>262</v>
      </c>
      <c r="D69">
        <v>1</v>
      </c>
    </row>
    <row r="70" spans="1:4">
      <c r="A70" t="s">
        <v>584</v>
      </c>
      <c r="B70" t="s">
        <v>578</v>
      </c>
      <c r="C70" t="s">
        <v>262</v>
      </c>
      <c r="D70">
        <v>1</v>
      </c>
    </row>
    <row r="71" spans="1:4">
      <c r="A71" t="s">
        <v>585</v>
      </c>
      <c r="B71" t="s">
        <v>579</v>
      </c>
      <c r="C71" t="s">
        <v>262</v>
      </c>
      <c r="D71">
        <v>1</v>
      </c>
    </row>
    <row r="72" spans="1:4">
      <c r="A72" t="s">
        <v>602</v>
      </c>
      <c r="B72" t="s">
        <v>596</v>
      </c>
      <c r="C72" t="s">
        <v>262</v>
      </c>
      <c r="D72">
        <v>1</v>
      </c>
    </row>
    <row r="73" spans="1:4">
      <c r="A73" t="s">
        <v>605</v>
      </c>
      <c r="B73" t="s">
        <v>597</v>
      </c>
      <c r="C73" t="s">
        <v>262</v>
      </c>
      <c r="D73">
        <v>1</v>
      </c>
    </row>
    <row r="74" spans="1:4">
      <c r="A74" t="s">
        <v>615</v>
      </c>
      <c r="B74" t="s">
        <v>610</v>
      </c>
      <c r="C74" t="s">
        <v>262</v>
      </c>
      <c r="D74">
        <v>1</v>
      </c>
    </row>
    <row r="75" spans="1:4">
      <c r="A75" t="s">
        <v>616</v>
      </c>
      <c r="B75" t="s">
        <v>611</v>
      </c>
      <c r="C75" t="s">
        <v>262</v>
      </c>
      <c r="D75">
        <v>1</v>
      </c>
    </row>
    <row r="76" spans="1:4">
      <c r="A76" t="s">
        <v>621</v>
      </c>
      <c r="B76" t="s">
        <v>578</v>
      </c>
      <c r="C76" t="s">
        <v>262</v>
      </c>
      <c r="D76">
        <v>1</v>
      </c>
    </row>
    <row r="77" spans="1:4">
      <c r="A77" t="s">
        <v>631</v>
      </c>
      <c r="B77" t="s">
        <v>625</v>
      </c>
      <c r="C77" t="s">
        <v>262</v>
      </c>
      <c r="D77">
        <v>1</v>
      </c>
    </row>
    <row r="78" spans="1:4">
      <c r="A78" t="s">
        <v>633</v>
      </c>
      <c r="B78" t="s">
        <v>641</v>
      </c>
      <c r="C78" t="s">
        <v>262</v>
      </c>
      <c r="D78">
        <v>1</v>
      </c>
    </row>
    <row r="79" spans="1:4">
      <c r="A79" t="s">
        <v>634</v>
      </c>
      <c r="B79" t="s">
        <v>626</v>
      </c>
      <c r="C79" t="s">
        <v>262</v>
      </c>
      <c r="D79">
        <v>1</v>
      </c>
    </row>
    <row r="80" spans="1:4">
      <c r="A80" t="s">
        <v>635</v>
      </c>
      <c r="B80" t="s">
        <v>677</v>
      </c>
      <c r="C80" t="s">
        <v>262</v>
      </c>
      <c r="D80">
        <v>1</v>
      </c>
    </row>
    <row r="81" spans="1:4">
      <c r="A81" t="s">
        <v>648</v>
      </c>
      <c r="B81" t="s">
        <v>642</v>
      </c>
      <c r="C81" t="s">
        <v>262</v>
      </c>
      <c r="D81">
        <v>1</v>
      </c>
    </row>
    <row r="82" spans="1:4">
      <c r="A82" t="s">
        <v>649</v>
      </c>
      <c r="B82" t="s">
        <v>643</v>
      </c>
      <c r="C82" t="s">
        <v>262</v>
      </c>
      <c r="D82">
        <v>1</v>
      </c>
    </row>
    <row r="83" spans="1:4">
      <c r="A83" t="s">
        <v>654</v>
      </c>
      <c r="B83" t="s">
        <v>644</v>
      </c>
      <c r="C83" t="s">
        <v>262</v>
      </c>
      <c r="D83">
        <v>1</v>
      </c>
    </row>
    <row r="84" spans="1:4">
      <c r="A84" t="s">
        <v>655</v>
      </c>
      <c r="B84" t="s">
        <v>489</v>
      </c>
      <c r="C84" t="s">
        <v>262</v>
      </c>
      <c r="D84">
        <v>1</v>
      </c>
    </row>
    <row r="85" spans="1:4">
      <c r="A85" t="s">
        <v>656</v>
      </c>
      <c r="B85" t="s">
        <v>663</v>
      </c>
      <c r="C85" t="s">
        <v>262</v>
      </c>
      <c r="D85">
        <v>1</v>
      </c>
    </row>
    <row r="86" spans="1:4">
      <c r="A86" t="s">
        <v>657</v>
      </c>
      <c r="B86" t="s">
        <v>664</v>
      </c>
      <c r="C86" t="s">
        <v>262</v>
      </c>
      <c r="D86">
        <v>1</v>
      </c>
    </row>
    <row r="87" spans="1:4">
      <c r="A87" t="s">
        <v>658</v>
      </c>
      <c r="B87" t="s">
        <v>665</v>
      </c>
      <c r="C87" t="s">
        <v>262</v>
      </c>
      <c r="D87">
        <v>1</v>
      </c>
    </row>
    <row r="88" spans="1:4">
      <c r="A88" t="s">
        <v>671</v>
      </c>
      <c r="B88" t="s">
        <v>666</v>
      </c>
      <c r="C88" t="s">
        <v>262</v>
      </c>
      <c r="D88">
        <v>1</v>
      </c>
    </row>
    <row r="89" spans="1:4">
      <c r="A89" t="s">
        <v>705</v>
      </c>
      <c r="B89" t="s">
        <v>546</v>
      </c>
      <c r="C89" t="s">
        <v>262</v>
      </c>
      <c r="D89">
        <v>1</v>
      </c>
    </row>
    <row r="90" spans="1:4">
      <c r="A90" t="s">
        <v>707</v>
      </c>
      <c r="B90" t="s">
        <v>710</v>
      </c>
      <c r="C90" t="s">
        <v>262</v>
      </c>
      <c r="D90">
        <v>1</v>
      </c>
    </row>
    <row r="91" spans="1:4">
      <c r="A91" t="s">
        <v>760</v>
      </c>
      <c r="B91" t="s">
        <v>759</v>
      </c>
      <c r="C91" t="s">
        <v>262</v>
      </c>
      <c r="D91">
        <v>1</v>
      </c>
    </row>
    <row r="92" spans="1:4">
      <c r="A92" t="s">
        <v>763</v>
      </c>
      <c r="B92" t="s">
        <v>767</v>
      </c>
      <c r="C92" t="s">
        <v>262</v>
      </c>
      <c r="D92">
        <v>1</v>
      </c>
    </row>
    <row r="93" spans="1:4">
      <c r="A93" t="s">
        <v>773</v>
      </c>
      <c r="B93" t="s">
        <v>771</v>
      </c>
      <c r="C93" t="s">
        <v>262</v>
      </c>
      <c r="D93">
        <v>1</v>
      </c>
    </row>
    <row r="94" spans="1:4">
      <c r="A94" t="s">
        <v>837</v>
      </c>
      <c r="B94" t="s">
        <v>835</v>
      </c>
      <c r="C94" t="s">
        <v>262</v>
      </c>
      <c r="D94">
        <v>1</v>
      </c>
    </row>
    <row r="95" spans="1:4">
      <c r="A95" t="s">
        <v>843</v>
      </c>
      <c r="B95" t="s">
        <v>463</v>
      </c>
      <c r="C95" t="s">
        <v>262</v>
      </c>
      <c r="D95">
        <v>1</v>
      </c>
    </row>
    <row r="96" spans="1:4">
      <c r="A96" t="s">
        <v>1037</v>
      </c>
      <c r="B96" t="s">
        <v>1035</v>
      </c>
      <c r="C96" t="s">
        <v>262</v>
      </c>
      <c r="D96">
        <v>1</v>
      </c>
    </row>
    <row r="97" spans="1:4">
      <c r="A97" t="s">
        <v>1042</v>
      </c>
      <c r="B97" t="s">
        <v>1014</v>
      </c>
      <c r="C97" t="s">
        <v>262</v>
      </c>
      <c r="D97">
        <v>1</v>
      </c>
    </row>
    <row r="98" spans="1:4">
      <c r="A98" t="s">
        <v>1052</v>
      </c>
      <c r="B98" t="s">
        <v>1015</v>
      </c>
      <c r="C98" t="s">
        <v>262</v>
      </c>
      <c r="D98">
        <v>1</v>
      </c>
    </row>
    <row r="99" spans="1:4">
      <c r="A99" t="s">
        <v>1068</v>
      </c>
      <c r="B99" t="s">
        <v>1060</v>
      </c>
      <c r="C99" t="s">
        <v>262</v>
      </c>
      <c r="D99">
        <v>1</v>
      </c>
    </row>
    <row r="100" spans="1:4">
      <c r="A100" t="s">
        <v>1069</v>
      </c>
      <c r="B100" t="s">
        <v>1061</v>
      </c>
      <c r="C100" t="s">
        <v>262</v>
      </c>
      <c r="D100">
        <v>1</v>
      </c>
    </row>
    <row r="101" spans="1:4">
      <c r="A101" t="s">
        <v>1070</v>
      </c>
      <c r="B101" t="s">
        <v>1062</v>
      </c>
      <c r="C101" t="s">
        <v>262</v>
      </c>
      <c r="D101">
        <v>1</v>
      </c>
    </row>
    <row r="102" spans="1:4">
      <c r="A102" t="s">
        <v>1071</v>
      </c>
      <c r="B102" t="s">
        <v>1063</v>
      </c>
      <c r="C102" t="s">
        <v>262</v>
      </c>
      <c r="D102">
        <v>1</v>
      </c>
    </row>
    <row r="103" spans="1:4">
      <c r="A103" t="s">
        <v>1072</v>
      </c>
      <c r="B103" t="s">
        <v>1064</v>
      </c>
      <c r="C103" t="s">
        <v>262</v>
      </c>
      <c r="D103">
        <v>1</v>
      </c>
    </row>
    <row r="104" spans="1:4">
      <c r="A104" t="s">
        <v>1086</v>
      </c>
      <c r="B104" t="s">
        <v>1067</v>
      </c>
      <c r="C104" t="s">
        <v>262</v>
      </c>
      <c r="D104">
        <v>1</v>
      </c>
    </row>
    <row r="105" spans="1:4">
      <c r="A105" t="s">
        <v>1086</v>
      </c>
      <c r="B105" t="s">
        <v>3825</v>
      </c>
      <c r="C105" t="s">
        <v>3833</v>
      </c>
      <c r="D105">
        <v>1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2F6D2-CC24-4843-AC85-17C15B0B1CF5}">
  <sheetPr codeName="Sheet13"/>
  <dimension ref="A1:C29"/>
  <sheetViews>
    <sheetView zoomScale="85" zoomScaleNormal="85" workbookViewId="0"/>
  </sheetViews>
  <sheetFormatPr defaultRowHeight="16.5"/>
  <cols>
    <col min="1" max="1" width="11.625" customWidth="1"/>
    <col min="2" max="2" width="14.75" customWidth="1"/>
    <col min="3" max="3" width="21.875" bestFit="1" customWidth="1"/>
  </cols>
  <sheetData>
    <row r="1" spans="1:3">
      <c r="A1" t="s">
        <v>271</v>
      </c>
      <c r="B1" t="s">
        <v>272</v>
      </c>
      <c r="C1" t="s">
        <v>0</v>
      </c>
    </row>
    <row r="2" spans="1:3">
      <c r="A2" t="s">
        <v>273</v>
      </c>
      <c r="B2" t="s">
        <v>274</v>
      </c>
    </row>
    <row r="3" spans="1:3">
      <c r="A3" t="s">
        <v>275</v>
      </c>
      <c r="B3" t="s">
        <v>276</v>
      </c>
    </row>
    <row r="4" spans="1:3">
      <c r="A4" t="s">
        <v>301</v>
      </c>
      <c r="B4" t="s">
        <v>277</v>
      </c>
    </row>
    <row r="5" spans="1:3">
      <c r="A5" t="s">
        <v>302</v>
      </c>
      <c r="B5" t="s">
        <v>278</v>
      </c>
    </row>
    <row r="6" spans="1:3">
      <c r="A6" t="s">
        <v>303</v>
      </c>
      <c r="B6" t="s">
        <v>279</v>
      </c>
    </row>
    <row r="7" spans="1:3">
      <c r="A7" t="s">
        <v>304</v>
      </c>
      <c r="B7" t="s">
        <v>280</v>
      </c>
    </row>
    <row r="8" spans="1:3">
      <c r="A8" t="s">
        <v>305</v>
      </c>
      <c r="B8" t="s">
        <v>281</v>
      </c>
    </row>
    <row r="9" spans="1:3">
      <c r="A9" t="s">
        <v>306</v>
      </c>
      <c r="B9" t="s">
        <v>282</v>
      </c>
    </row>
    <row r="10" spans="1:3">
      <c r="A10" t="s">
        <v>307</v>
      </c>
      <c r="B10" t="s">
        <v>283</v>
      </c>
    </row>
    <row r="11" spans="1:3">
      <c r="A11" t="s">
        <v>308</v>
      </c>
      <c r="B11" t="s">
        <v>284</v>
      </c>
    </row>
    <row r="12" spans="1:3">
      <c r="A12" t="s">
        <v>309</v>
      </c>
      <c r="B12" t="s">
        <v>285</v>
      </c>
    </row>
    <row r="13" spans="1:3">
      <c r="A13" t="s">
        <v>310</v>
      </c>
      <c r="B13" t="s">
        <v>286</v>
      </c>
    </row>
    <row r="14" spans="1:3">
      <c r="A14" t="s">
        <v>311</v>
      </c>
      <c r="B14" t="s">
        <v>287</v>
      </c>
    </row>
    <row r="15" spans="1:3">
      <c r="A15" t="s">
        <v>312</v>
      </c>
      <c r="B15" t="s">
        <v>288</v>
      </c>
    </row>
    <row r="16" spans="1:3">
      <c r="A16" t="s">
        <v>313</v>
      </c>
      <c r="B16" t="s">
        <v>289</v>
      </c>
    </row>
    <row r="17" spans="1:3">
      <c r="A17" t="s">
        <v>314</v>
      </c>
      <c r="B17" t="s">
        <v>290</v>
      </c>
    </row>
    <row r="18" spans="1:3">
      <c r="A18" t="s">
        <v>315</v>
      </c>
      <c r="B18" t="s">
        <v>291</v>
      </c>
    </row>
    <row r="19" spans="1:3">
      <c r="A19" t="s">
        <v>316</v>
      </c>
      <c r="B19" t="s">
        <v>292</v>
      </c>
    </row>
    <row r="20" spans="1:3">
      <c r="A20" t="s">
        <v>317</v>
      </c>
      <c r="B20" t="s">
        <v>293</v>
      </c>
      <c r="C20" t="s">
        <v>378</v>
      </c>
    </row>
    <row r="21" spans="1:3">
      <c r="A21" t="s">
        <v>318</v>
      </c>
      <c r="B21" t="s">
        <v>294</v>
      </c>
    </row>
    <row r="22" spans="1:3">
      <c r="A22" t="s">
        <v>319</v>
      </c>
      <c r="B22" t="s">
        <v>295</v>
      </c>
    </row>
    <row r="23" spans="1:3">
      <c r="A23" t="s">
        <v>320</v>
      </c>
      <c r="B23" t="s">
        <v>296</v>
      </c>
    </row>
    <row r="24" spans="1:3">
      <c r="A24" t="s">
        <v>321</v>
      </c>
      <c r="B24" t="s">
        <v>297</v>
      </c>
    </row>
    <row r="25" spans="1:3">
      <c r="A25" t="s">
        <v>322</v>
      </c>
      <c r="B25" t="s">
        <v>298</v>
      </c>
    </row>
    <row r="26" spans="1:3">
      <c r="A26" t="s">
        <v>323</v>
      </c>
      <c r="B26" t="s">
        <v>299</v>
      </c>
    </row>
    <row r="27" spans="1:3">
      <c r="A27" t="s">
        <v>324</v>
      </c>
      <c r="B27" t="s">
        <v>300</v>
      </c>
    </row>
    <row r="28" spans="1:3">
      <c r="A28" t="s">
        <v>341</v>
      </c>
      <c r="B28" t="s">
        <v>342</v>
      </c>
    </row>
    <row r="29" spans="1:3">
      <c r="A29" t="s">
        <v>366</v>
      </c>
      <c r="B29" t="s">
        <v>367</v>
      </c>
    </row>
  </sheetData>
  <phoneticPr fontId="5" type="noConversion"/>
  <pageMargins left="0.7" right="0.7" top="0.75" bottom="0.75" header="0.3" footer="0.3"/>
  <pageSetup paperSize="9" orientation="portrait" verticalDpi="0" r:id="rId1"/>
  <headerFooter>
    <oddFooter>&amp;L_x000D_&amp;1#&amp;"Aptos"&amp;11&amp;K5F5F5F S-OIL: Company Use Only</oddFooter>
  </headerFooter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FC0C8-1619-41FC-A1CE-6E4962B4A824}">
  <sheetPr codeName="Sheet14"/>
  <dimension ref="A1:C59"/>
  <sheetViews>
    <sheetView zoomScale="85" zoomScaleNormal="85" workbookViewId="0"/>
  </sheetViews>
  <sheetFormatPr defaultRowHeight="16.5"/>
  <cols>
    <col min="1" max="1" width="10.875" bestFit="1" customWidth="1"/>
    <col min="2" max="2" width="12.875" bestFit="1" customWidth="1"/>
    <col min="3" max="3" width="11.125" bestFit="1" customWidth="1"/>
  </cols>
  <sheetData>
    <row r="1" spans="1:3">
      <c r="A1" t="s">
        <v>251</v>
      </c>
      <c r="B1" t="s">
        <v>271</v>
      </c>
      <c r="C1" t="s">
        <v>0</v>
      </c>
    </row>
    <row r="2" spans="1:3">
      <c r="A2" t="s">
        <v>325</v>
      </c>
      <c r="B2" t="s">
        <v>326</v>
      </c>
      <c r="C2" t="s">
        <v>329</v>
      </c>
    </row>
    <row r="3" spans="1:3">
      <c r="A3" t="s">
        <v>328</v>
      </c>
      <c r="B3" t="s">
        <v>326</v>
      </c>
      <c r="C3" t="s">
        <v>327</v>
      </c>
    </row>
    <row r="4" spans="1:3">
      <c r="A4" t="s">
        <v>143</v>
      </c>
      <c r="B4" t="s">
        <v>330</v>
      </c>
      <c r="C4" t="s">
        <v>331</v>
      </c>
    </row>
    <row r="5" spans="1:3">
      <c r="A5" t="s">
        <v>146</v>
      </c>
      <c r="B5" t="s">
        <v>332</v>
      </c>
    </row>
    <row r="6" spans="1:3">
      <c r="A6" t="s">
        <v>148</v>
      </c>
      <c r="B6" t="s">
        <v>332</v>
      </c>
    </row>
    <row r="7" spans="1:3">
      <c r="A7" t="s">
        <v>151</v>
      </c>
      <c r="B7" t="s">
        <v>316</v>
      </c>
    </row>
    <row r="8" spans="1:3">
      <c r="A8" t="s">
        <v>151</v>
      </c>
      <c r="B8" t="s">
        <v>318</v>
      </c>
    </row>
    <row r="9" spans="1:3">
      <c r="A9" t="s">
        <v>151</v>
      </c>
      <c r="B9" t="s">
        <v>317</v>
      </c>
    </row>
    <row r="10" spans="1:3">
      <c r="A10" t="s">
        <v>153</v>
      </c>
      <c r="B10" t="s">
        <v>316</v>
      </c>
    </row>
    <row r="11" spans="1:3">
      <c r="A11" t="s">
        <v>153</v>
      </c>
      <c r="B11" t="s">
        <v>302</v>
      </c>
    </row>
    <row r="12" spans="1:3">
      <c r="A12" t="s">
        <v>333</v>
      </c>
      <c r="B12" t="s">
        <v>334</v>
      </c>
    </row>
    <row r="13" spans="1:3">
      <c r="A13" t="s">
        <v>333</v>
      </c>
      <c r="B13" t="s">
        <v>335</v>
      </c>
    </row>
    <row r="14" spans="1:3">
      <c r="A14" t="s">
        <v>338</v>
      </c>
      <c r="B14" t="s">
        <v>336</v>
      </c>
      <c r="C14" t="s">
        <v>337</v>
      </c>
    </row>
    <row r="15" spans="1:3">
      <c r="A15" t="s">
        <v>339</v>
      </c>
      <c r="B15" t="s">
        <v>336</v>
      </c>
      <c r="C15" t="s">
        <v>337</v>
      </c>
    </row>
    <row r="16" spans="1:3">
      <c r="A16" t="s">
        <v>340</v>
      </c>
      <c r="B16" t="s">
        <v>343</v>
      </c>
    </row>
    <row r="17" spans="1:3">
      <c r="A17" t="s">
        <v>340</v>
      </c>
      <c r="B17" t="s">
        <v>341</v>
      </c>
    </row>
    <row r="18" spans="1:3">
      <c r="A18" t="s">
        <v>187</v>
      </c>
      <c r="B18" t="s">
        <v>332</v>
      </c>
    </row>
    <row r="19" spans="1:3">
      <c r="A19" t="s">
        <v>192</v>
      </c>
      <c r="B19" t="s">
        <v>326</v>
      </c>
    </row>
    <row r="20" spans="1:3">
      <c r="A20" t="s">
        <v>192</v>
      </c>
      <c r="B20" t="s">
        <v>335</v>
      </c>
    </row>
    <row r="21" spans="1:3">
      <c r="A21" t="s">
        <v>192</v>
      </c>
      <c r="B21" t="s">
        <v>334</v>
      </c>
    </row>
    <row r="22" spans="1:3">
      <c r="A22" t="s">
        <v>344</v>
      </c>
      <c r="B22" t="s">
        <v>326</v>
      </c>
    </row>
    <row r="23" spans="1:3">
      <c r="A23" t="s">
        <v>346</v>
      </c>
      <c r="B23" t="s">
        <v>326</v>
      </c>
      <c r="C23" t="s">
        <v>347</v>
      </c>
    </row>
    <row r="24" spans="1:3">
      <c r="A24" t="s">
        <v>348</v>
      </c>
      <c r="B24" t="s">
        <v>349</v>
      </c>
    </row>
    <row r="25" spans="1:3">
      <c r="A25" t="s">
        <v>348</v>
      </c>
      <c r="B25" t="s">
        <v>343</v>
      </c>
    </row>
    <row r="26" spans="1:3">
      <c r="A26" t="s">
        <v>350</v>
      </c>
      <c r="B26" t="s">
        <v>349</v>
      </c>
    </row>
    <row r="27" spans="1:3">
      <c r="A27" t="s">
        <v>350</v>
      </c>
      <c r="B27" t="s">
        <v>343</v>
      </c>
    </row>
    <row r="28" spans="1:3">
      <c r="A28" t="s">
        <v>350</v>
      </c>
      <c r="B28" t="s">
        <v>351</v>
      </c>
    </row>
    <row r="29" spans="1:3">
      <c r="A29" t="s">
        <v>352</v>
      </c>
      <c r="B29" t="s">
        <v>349</v>
      </c>
    </row>
    <row r="30" spans="1:3">
      <c r="A30" t="s">
        <v>352</v>
      </c>
      <c r="B30" t="s">
        <v>343</v>
      </c>
    </row>
    <row r="31" spans="1:3">
      <c r="A31" t="s">
        <v>352</v>
      </c>
      <c r="B31" t="s">
        <v>353</v>
      </c>
    </row>
    <row r="32" spans="1:3">
      <c r="A32" t="s">
        <v>352</v>
      </c>
      <c r="B32" t="s">
        <v>354</v>
      </c>
    </row>
    <row r="33" spans="1:3">
      <c r="A33" t="s">
        <v>355</v>
      </c>
      <c r="B33" t="s">
        <v>356</v>
      </c>
    </row>
    <row r="34" spans="1:3">
      <c r="A34" t="s">
        <v>355</v>
      </c>
      <c r="B34" t="s">
        <v>357</v>
      </c>
    </row>
    <row r="35" spans="1:3">
      <c r="A35" t="s">
        <v>355</v>
      </c>
      <c r="B35" t="s">
        <v>358</v>
      </c>
    </row>
    <row r="36" spans="1:3">
      <c r="A36" t="s">
        <v>355</v>
      </c>
      <c r="B36" t="s">
        <v>359</v>
      </c>
    </row>
    <row r="37" spans="1:3">
      <c r="A37" t="s">
        <v>355</v>
      </c>
      <c r="B37" t="s">
        <v>360</v>
      </c>
    </row>
    <row r="38" spans="1:3">
      <c r="A38" t="s">
        <v>590</v>
      </c>
      <c r="B38" t="s">
        <v>326</v>
      </c>
      <c r="C38" t="s">
        <v>539</v>
      </c>
    </row>
    <row r="39" spans="1:3">
      <c r="A39" t="s">
        <v>361</v>
      </c>
      <c r="B39" t="s">
        <v>273</v>
      </c>
      <c r="C39" t="s">
        <v>362</v>
      </c>
    </row>
    <row r="40" spans="1:3">
      <c r="A40" t="s">
        <v>361</v>
      </c>
      <c r="B40" t="s">
        <v>326</v>
      </c>
    </row>
    <row r="41" spans="1:3">
      <c r="A41" t="s">
        <v>363</v>
      </c>
      <c r="B41" t="s">
        <v>275</v>
      </c>
    </row>
    <row r="42" spans="1:3">
      <c r="A42" t="s">
        <v>363</v>
      </c>
      <c r="B42" t="s">
        <v>326</v>
      </c>
    </row>
    <row r="43" spans="1:3">
      <c r="A43" t="s">
        <v>364</v>
      </c>
      <c r="B43" t="s">
        <v>275</v>
      </c>
    </row>
    <row r="44" spans="1:3">
      <c r="A44" t="s">
        <v>364</v>
      </c>
      <c r="B44" t="s">
        <v>326</v>
      </c>
    </row>
    <row r="45" spans="1:3">
      <c r="A45" t="s">
        <v>365</v>
      </c>
      <c r="B45" t="s">
        <v>332</v>
      </c>
    </row>
    <row r="46" spans="1:3">
      <c r="A46" t="s">
        <v>365</v>
      </c>
      <c r="B46" t="s">
        <v>334</v>
      </c>
    </row>
    <row r="47" spans="1:3">
      <c r="A47" t="s">
        <v>365</v>
      </c>
      <c r="B47" t="s">
        <v>366</v>
      </c>
    </row>
    <row r="48" spans="1:3">
      <c r="A48" t="s">
        <v>368</v>
      </c>
      <c r="B48" t="s">
        <v>275</v>
      </c>
      <c r="C48" t="s">
        <v>369</v>
      </c>
    </row>
    <row r="49" spans="1:2">
      <c r="A49" t="s">
        <v>368</v>
      </c>
      <c r="B49" t="s">
        <v>326</v>
      </c>
    </row>
    <row r="50" spans="1:2">
      <c r="A50" t="s">
        <v>370</v>
      </c>
      <c r="B50" t="s">
        <v>275</v>
      </c>
    </row>
    <row r="51" spans="1:2">
      <c r="A51" t="s">
        <v>370</v>
      </c>
      <c r="B51" t="s">
        <v>326</v>
      </c>
    </row>
    <row r="52" spans="1:2">
      <c r="A52" t="s">
        <v>371</v>
      </c>
      <c r="B52" t="s">
        <v>302</v>
      </c>
    </row>
    <row r="53" spans="1:2">
      <c r="A53" t="s">
        <v>371</v>
      </c>
      <c r="B53" t="s">
        <v>311</v>
      </c>
    </row>
    <row r="54" spans="1:2">
      <c r="A54" t="s">
        <v>376</v>
      </c>
      <c r="B54" t="s">
        <v>273</v>
      </c>
    </row>
    <row r="55" spans="1:2">
      <c r="A55" t="s">
        <v>377</v>
      </c>
      <c r="B55" t="s">
        <v>379</v>
      </c>
    </row>
    <row r="56" spans="1:2">
      <c r="A56" t="s">
        <v>380</v>
      </c>
      <c r="B56" t="s">
        <v>275</v>
      </c>
    </row>
    <row r="57" spans="1:2">
      <c r="A57" t="s">
        <v>373</v>
      </c>
      <c r="B57" t="s">
        <v>326</v>
      </c>
    </row>
    <row r="58" spans="1:2">
      <c r="A58" t="s">
        <v>705</v>
      </c>
      <c r="B58" t="s">
        <v>273</v>
      </c>
    </row>
    <row r="59" spans="1:2">
      <c r="A59" t="s">
        <v>707</v>
      </c>
      <c r="B59" t="s">
        <v>273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694C3-947A-415D-8A10-3CC2EBC6A1B4}">
  <sheetPr codeName="Sheet15"/>
  <dimension ref="A1:C61"/>
  <sheetViews>
    <sheetView topLeftCell="A22" zoomScale="85" zoomScaleNormal="85" workbookViewId="0">
      <selection activeCell="A38" sqref="A38"/>
    </sheetView>
  </sheetViews>
  <sheetFormatPr defaultRowHeight="16.5"/>
  <cols>
    <col min="1" max="1" width="12.125" customWidth="1"/>
    <col min="2" max="2" width="27.625" bestFit="1" customWidth="1"/>
    <col min="3" max="3" width="9" customWidth="1"/>
  </cols>
  <sheetData>
    <row r="1" spans="1:3">
      <c r="A1" s="5" t="s">
        <v>387</v>
      </c>
      <c r="B1" s="6" t="s">
        <v>388</v>
      </c>
      <c r="C1" s="7" t="s">
        <v>389</v>
      </c>
    </row>
    <row r="2" spans="1:3">
      <c r="A2" s="2" t="s">
        <v>391</v>
      </c>
      <c r="B2" s="3" t="s">
        <v>403</v>
      </c>
      <c r="C2" s="4"/>
    </row>
    <row r="3" spans="1:3">
      <c r="A3" t="s">
        <v>393</v>
      </c>
      <c r="B3" t="s">
        <v>404</v>
      </c>
    </row>
    <row r="4" spans="1:3">
      <c r="A4" s="2" t="s">
        <v>394</v>
      </c>
      <c r="B4" t="s">
        <v>405</v>
      </c>
    </row>
    <row r="5" spans="1:3">
      <c r="A5" t="s">
        <v>395</v>
      </c>
      <c r="B5" t="s">
        <v>529</v>
      </c>
    </row>
    <row r="6" spans="1:3">
      <c r="A6" s="2" t="s">
        <v>396</v>
      </c>
      <c r="B6" t="s">
        <v>406</v>
      </c>
    </row>
    <row r="7" spans="1:3">
      <c r="A7" t="s">
        <v>397</v>
      </c>
      <c r="B7" t="s">
        <v>407</v>
      </c>
    </row>
    <row r="8" spans="1:3">
      <c r="A8" s="2" t="s">
        <v>398</v>
      </c>
      <c r="B8" t="s">
        <v>408</v>
      </c>
    </row>
    <row r="9" spans="1:3">
      <c r="A9" t="s">
        <v>399</v>
      </c>
      <c r="B9" t="s">
        <v>409</v>
      </c>
    </row>
    <row r="10" spans="1:3">
      <c r="A10" s="2" t="s">
        <v>400</v>
      </c>
      <c r="B10" t="s">
        <v>410</v>
      </c>
    </row>
    <row r="11" spans="1:3">
      <c r="A11" t="s">
        <v>401</v>
      </c>
      <c r="B11" t="s">
        <v>411</v>
      </c>
    </row>
    <row r="12" spans="1:3">
      <c r="A12" s="2" t="s">
        <v>402</v>
      </c>
      <c r="B12" t="s">
        <v>412</v>
      </c>
    </row>
    <row r="13" spans="1:3">
      <c r="A13" t="s">
        <v>433</v>
      </c>
      <c r="B13" t="s">
        <v>413</v>
      </c>
    </row>
    <row r="14" spans="1:3">
      <c r="A14" s="2" t="s">
        <v>434</v>
      </c>
      <c r="B14" t="s">
        <v>414</v>
      </c>
    </row>
    <row r="15" spans="1:3">
      <c r="A15" t="s">
        <v>435</v>
      </c>
      <c r="B15" t="s">
        <v>415</v>
      </c>
    </row>
    <row r="16" spans="1:3">
      <c r="A16" s="2" t="s">
        <v>436</v>
      </c>
      <c r="B16" t="s">
        <v>416</v>
      </c>
    </row>
    <row r="17" spans="1:2">
      <c r="A17" t="s">
        <v>437</v>
      </c>
      <c r="B17" t="s">
        <v>417</v>
      </c>
    </row>
    <row r="18" spans="1:2">
      <c r="A18" s="2" t="s">
        <v>438</v>
      </c>
      <c r="B18" t="s">
        <v>418</v>
      </c>
    </row>
    <row r="19" spans="1:2">
      <c r="A19" t="s">
        <v>439</v>
      </c>
      <c r="B19" t="s">
        <v>419</v>
      </c>
    </row>
    <row r="20" spans="1:2">
      <c r="A20" s="2" t="s">
        <v>440</v>
      </c>
      <c r="B20" t="s">
        <v>420</v>
      </c>
    </row>
    <row r="21" spans="1:2">
      <c r="A21" t="s">
        <v>441</v>
      </c>
      <c r="B21" t="s">
        <v>421</v>
      </c>
    </row>
    <row r="22" spans="1:2">
      <c r="A22" s="2" t="s">
        <v>442</v>
      </c>
      <c r="B22" t="s">
        <v>422</v>
      </c>
    </row>
    <row r="23" spans="1:2">
      <c r="A23" t="s">
        <v>443</v>
      </c>
      <c r="B23" t="s">
        <v>423</v>
      </c>
    </row>
    <row r="24" spans="1:2">
      <c r="A24" s="2" t="s">
        <v>444</v>
      </c>
      <c r="B24" t="s">
        <v>424</v>
      </c>
    </row>
    <row r="25" spans="1:2">
      <c r="A25" t="s">
        <v>445</v>
      </c>
      <c r="B25" t="s">
        <v>425</v>
      </c>
    </row>
    <row r="26" spans="1:2">
      <c r="A26" s="2" t="s">
        <v>446</v>
      </c>
      <c r="B26" t="s">
        <v>426</v>
      </c>
    </row>
    <row r="27" spans="1:2">
      <c r="A27" t="s">
        <v>447</v>
      </c>
      <c r="B27" t="s">
        <v>427</v>
      </c>
    </row>
    <row r="28" spans="1:2">
      <c r="A28" s="2" t="s">
        <v>448</v>
      </c>
      <c r="B28" t="s">
        <v>428</v>
      </c>
    </row>
    <row r="29" spans="1:2">
      <c r="A29" t="s">
        <v>449</v>
      </c>
      <c r="B29" t="s">
        <v>429</v>
      </c>
    </row>
    <row r="30" spans="1:2">
      <c r="A30" s="2" t="s">
        <v>450</v>
      </c>
      <c r="B30" t="s">
        <v>430</v>
      </c>
    </row>
    <row r="31" spans="1:2">
      <c r="A31" t="s">
        <v>451</v>
      </c>
      <c r="B31" t="s">
        <v>431</v>
      </c>
    </row>
    <row r="32" spans="1:2">
      <c r="A32" s="2" t="s">
        <v>452</v>
      </c>
      <c r="B32" t="s">
        <v>432</v>
      </c>
    </row>
    <row r="33" spans="1:2">
      <c r="A33" s="2" t="s">
        <v>538</v>
      </c>
      <c r="B33" t="s">
        <v>539</v>
      </c>
    </row>
    <row r="34" spans="1:2">
      <c r="A34" s="2" t="s">
        <v>690</v>
      </c>
      <c r="B34" t="s">
        <v>678</v>
      </c>
    </row>
    <row r="35" spans="1:2">
      <c r="A35" s="2" t="s">
        <v>691</v>
      </c>
      <c r="B35" t="s">
        <v>679</v>
      </c>
    </row>
    <row r="36" spans="1:2">
      <c r="A36" s="2" t="s">
        <v>692</v>
      </c>
      <c r="B36" t="s">
        <v>680</v>
      </c>
    </row>
    <row r="37" spans="1:2">
      <c r="A37" s="2" t="s">
        <v>693</v>
      </c>
      <c r="B37" t="s">
        <v>681</v>
      </c>
    </row>
    <row r="38" spans="1:2">
      <c r="A38" s="2" t="s">
        <v>694</v>
      </c>
      <c r="B38" t="s">
        <v>682</v>
      </c>
    </row>
    <row r="39" spans="1:2">
      <c r="A39" s="2" t="s">
        <v>695</v>
      </c>
      <c r="B39" t="s">
        <v>683</v>
      </c>
    </row>
    <row r="40" spans="1:2">
      <c r="A40" s="2" t="s">
        <v>696</v>
      </c>
      <c r="B40" t="s">
        <v>684</v>
      </c>
    </row>
    <row r="41" spans="1:2">
      <c r="A41" s="2" t="s">
        <v>697</v>
      </c>
      <c r="B41" t="s">
        <v>685</v>
      </c>
    </row>
    <row r="42" spans="1:2">
      <c r="A42" s="2" t="s">
        <v>698</v>
      </c>
      <c r="B42" t="s">
        <v>686</v>
      </c>
    </row>
    <row r="43" spans="1:2">
      <c r="A43" s="2" t="s">
        <v>699</v>
      </c>
      <c r="B43" t="s">
        <v>687</v>
      </c>
    </row>
    <row r="44" spans="1:2">
      <c r="A44" s="2" t="s">
        <v>700</v>
      </c>
      <c r="B44" t="s">
        <v>688</v>
      </c>
    </row>
    <row r="45" spans="1:2">
      <c r="A45" s="2" t="s">
        <v>701</v>
      </c>
      <c r="B45" t="s">
        <v>689</v>
      </c>
    </row>
    <row r="46" spans="1:2">
      <c r="A46" s="2" t="s">
        <v>702</v>
      </c>
      <c r="B46" t="s">
        <v>721</v>
      </c>
    </row>
    <row r="47" spans="1:2">
      <c r="A47" s="2" t="s">
        <v>703</v>
      </c>
      <c r="B47" t="s">
        <v>722</v>
      </c>
    </row>
    <row r="48" spans="1:2">
      <c r="A48" s="2" t="s">
        <v>723</v>
      </c>
      <c r="B48" t="s">
        <v>730</v>
      </c>
    </row>
    <row r="49" spans="1:2">
      <c r="A49" s="2" t="s">
        <v>724</v>
      </c>
      <c r="B49" t="s">
        <v>731</v>
      </c>
    </row>
    <row r="50" spans="1:2">
      <c r="A50" s="2" t="s">
        <v>734</v>
      </c>
      <c r="B50" t="s">
        <v>732</v>
      </c>
    </row>
    <row r="51" spans="1:2">
      <c r="A51" s="2" t="s">
        <v>748</v>
      </c>
      <c r="B51" t="s">
        <v>736</v>
      </c>
    </row>
    <row r="52" spans="1:2">
      <c r="A52" s="2" t="s">
        <v>749</v>
      </c>
      <c r="B52" t="s">
        <v>741</v>
      </c>
    </row>
    <row r="53" spans="1:2">
      <c r="A53" s="2" t="s">
        <v>750</v>
      </c>
      <c r="B53" t="s">
        <v>743</v>
      </c>
    </row>
    <row r="54" spans="1:2">
      <c r="A54" s="2" t="s">
        <v>751</v>
      </c>
      <c r="B54" t="s">
        <v>745</v>
      </c>
    </row>
    <row r="55" spans="1:2">
      <c r="A55" s="2" t="s">
        <v>752</v>
      </c>
      <c r="B55" t="s">
        <v>747</v>
      </c>
    </row>
    <row r="56" spans="1:2">
      <c r="A56" s="2" t="s">
        <v>753</v>
      </c>
      <c r="B56" t="s">
        <v>740</v>
      </c>
    </row>
    <row r="57" spans="1:2">
      <c r="A57" s="2" t="s">
        <v>1121</v>
      </c>
      <c r="B57" t="s">
        <v>1122</v>
      </c>
    </row>
    <row r="58" spans="1:2">
      <c r="A58" s="2" t="s">
        <v>3835</v>
      </c>
      <c r="B58" t="s">
        <v>3836</v>
      </c>
    </row>
    <row r="59" spans="1:2">
      <c r="A59" s="2" t="s">
        <v>3899</v>
      </c>
      <c r="B59" t="s">
        <v>3900</v>
      </c>
    </row>
    <row r="60" spans="1:2">
      <c r="A60" s="2" t="s">
        <v>3927</v>
      </c>
      <c r="B60" t="s">
        <v>3928</v>
      </c>
    </row>
    <row r="61" spans="1:2">
      <c r="A61" s="2" t="s">
        <v>4546</v>
      </c>
      <c r="B61" t="s">
        <v>4545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8B6C3-1161-48DB-B39F-D1176282C075}">
  <sheetPr codeName="Sheet16"/>
  <dimension ref="A1:K288"/>
  <sheetViews>
    <sheetView topLeftCell="A262" zoomScale="85" zoomScaleNormal="85" workbookViewId="0">
      <selection activeCell="H288" sqref="H288"/>
    </sheetView>
  </sheetViews>
  <sheetFormatPr defaultRowHeight="16.5"/>
  <cols>
    <col min="1" max="1" width="12.375" customWidth="1"/>
    <col min="2" max="2" width="12.125" customWidth="1"/>
    <col min="3" max="3" width="27.625" bestFit="1" customWidth="1"/>
    <col min="4" max="4" width="21.25" bestFit="1" customWidth="1"/>
    <col min="5" max="5" width="19.375" customWidth="1"/>
    <col min="6" max="6" width="14.875" bestFit="1" customWidth="1"/>
    <col min="7" max="8" width="13.125" customWidth="1"/>
    <col min="9" max="9" width="9.875" customWidth="1"/>
  </cols>
  <sheetData>
    <row r="1" spans="1:11">
      <c r="A1" s="6" t="s">
        <v>1</v>
      </c>
      <c r="B1" s="5" t="s">
        <v>387</v>
      </c>
      <c r="C1" s="6" t="s">
        <v>3895</v>
      </c>
      <c r="D1" s="7" t="s">
        <v>453</v>
      </c>
      <c r="E1" s="6" t="s">
        <v>532</v>
      </c>
      <c r="F1" s="6" t="s">
        <v>534</v>
      </c>
      <c r="G1" s="7" t="s">
        <v>454</v>
      </c>
      <c r="H1" s="7" t="s">
        <v>536</v>
      </c>
      <c r="I1" s="7" t="s">
        <v>0</v>
      </c>
      <c r="J1" s="105" t="s">
        <v>3916</v>
      </c>
      <c r="K1" s="105" t="s">
        <v>3917</v>
      </c>
    </row>
    <row r="2" spans="1:11">
      <c r="A2" s="10" t="s">
        <v>4</v>
      </c>
      <c r="B2" s="10" t="s">
        <v>723</v>
      </c>
      <c r="C2" s="10" t="str">
        <f>_xlfn.XLOOKUP(표8[[#This Row],[supplier_id]],표7[supplier_id],표7[supplier_name])</f>
        <v>한화토탈에너지스</v>
      </c>
      <c r="D2" s="4">
        <v>1525</v>
      </c>
      <c r="E2" s="3" t="s">
        <v>533</v>
      </c>
      <c r="F2" s="3" t="s">
        <v>735</v>
      </c>
      <c r="G2" t="s">
        <v>537</v>
      </c>
      <c r="H2">
        <v>2025</v>
      </c>
      <c r="J2">
        <f>_xlfn.XLOOKUP(표8[[#This Row],[location]],Location[location],Location[lat])</f>
        <v>36.99</v>
      </c>
      <c r="K2">
        <f>_xlfn.XLOOKUP(표8[[#This Row],[location]],Location[location],Location[lon])</f>
        <v>126.39</v>
      </c>
    </row>
    <row r="3" spans="1:11">
      <c r="A3" s="10" t="s">
        <v>4</v>
      </c>
      <c r="B3" s="10" t="s">
        <v>698</v>
      </c>
      <c r="C3" s="10" t="str">
        <f>_xlfn.XLOOKUP(표8[[#This Row],[supplier_id]],표7[supplier_id],표7[supplier_name])</f>
        <v>LG화학</v>
      </c>
      <c r="D3" s="4">
        <v>1300</v>
      </c>
      <c r="E3" s="3" t="s">
        <v>533</v>
      </c>
      <c r="F3" s="3" t="s">
        <v>735</v>
      </c>
      <c r="G3" t="s">
        <v>537</v>
      </c>
      <c r="H3">
        <v>2025</v>
      </c>
      <c r="J3">
        <f>_xlfn.XLOOKUP(표8[[#This Row],[location]],Location[location],Location[lat])</f>
        <v>36.99</v>
      </c>
      <c r="K3">
        <f>_xlfn.XLOOKUP(표8[[#This Row],[location]],Location[location],Location[lon])</f>
        <v>126.39</v>
      </c>
    </row>
    <row r="4" spans="1:11">
      <c r="A4" s="3" t="s">
        <v>4</v>
      </c>
      <c r="B4" s="3" t="s">
        <v>396</v>
      </c>
      <c r="C4" s="3" t="str">
        <f>_xlfn.XLOOKUP(표8[[#This Row],[supplier_id]],표7[supplier_id],표7[supplier_name])</f>
        <v>롯데케미칼</v>
      </c>
      <c r="D4" s="4">
        <v>1100</v>
      </c>
      <c r="E4" s="3" t="s">
        <v>533</v>
      </c>
      <c r="F4" s="3" t="s">
        <v>735</v>
      </c>
      <c r="G4" t="s">
        <v>537</v>
      </c>
      <c r="H4">
        <v>2025</v>
      </c>
      <c r="J4">
        <f>_xlfn.XLOOKUP(표8[[#This Row],[location]],Location[location],Location[lat])</f>
        <v>36.99</v>
      </c>
      <c r="K4">
        <f>_xlfn.XLOOKUP(표8[[#This Row],[location]],Location[location],Location[lon])</f>
        <v>126.39</v>
      </c>
    </row>
    <row r="5" spans="1:11">
      <c r="A5" s="10" t="s">
        <v>4</v>
      </c>
      <c r="B5" s="10" t="s">
        <v>724</v>
      </c>
      <c r="C5" s="10" t="str">
        <f>_xlfn.XLOOKUP(표8[[#This Row],[supplier_id]],표7[supplier_id],표7[supplier_name])</f>
        <v>HD현대케미칼</v>
      </c>
      <c r="D5" s="4">
        <v>850</v>
      </c>
      <c r="E5" s="3" t="s">
        <v>533</v>
      </c>
      <c r="F5" s="3" t="s">
        <v>735</v>
      </c>
      <c r="G5" t="s">
        <v>537</v>
      </c>
      <c r="H5">
        <v>2025</v>
      </c>
      <c r="J5">
        <f>_xlfn.XLOOKUP(표8[[#This Row],[location]],Location[location],Location[lat])</f>
        <v>36.99</v>
      </c>
      <c r="K5">
        <f>_xlfn.XLOOKUP(표8[[#This Row],[location]],Location[location],Location[lon])</f>
        <v>126.39</v>
      </c>
    </row>
    <row r="6" spans="1:11">
      <c r="A6" s="3" t="s">
        <v>561</v>
      </c>
      <c r="B6" s="10" t="s">
        <v>700</v>
      </c>
      <c r="C6" s="10" t="str">
        <f>_xlfn.XLOOKUP(표8[[#This Row],[supplier_id]],표7[supplier_id],표7[supplier_name])</f>
        <v>GS칼텍스</v>
      </c>
      <c r="D6" s="4">
        <v>900</v>
      </c>
      <c r="E6" s="3" t="s">
        <v>533</v>
      </c>
      <c r="F6" s="3" t="s">
        <v>704</v>
      </c>
      <c r="G6" t="s">
        <v>537</v>
      </c>
      <c r="H6">
        <v>2025</v>
      </c>
      <c r="J6">
        <f>_xlfn.XLOOKUP(표8[[#This Row],[location]],Location[location],Location[lat])</f>
        <v>34.834000000000003</v>
      </c>
      <c r="K6">
        <f>_xlfn.XLOOKUP(표8[[#This Row],[location]],Location[location],Location[lon])</f>
        <v>127.68600000000001</v>
      </c>
    </row>
    <row r="7" spans="1:11">
      <c r="A7" s="3" t="s">
        <v>561</v>
      </c>
      <c r="B7" s="10" t="s">
        <v>699</v>
      </c>
      <c r="C7" s="10" t="str">
        <f>_xlfn.XLOOKUP(표8[[#This Row],[supplier_id]],표7[supplier_id],표7[supplier_name])</f>
        <v>여천NCC</v>
      </c>
      <c r="D7" s="4">
        <v>2285</v>
      </c>
      <c r="E7" s="3" t="s">
        <v>533</v>
      </c>
      <c r="F7" s="3" t="s">
        <v>704</v>
      </c>
      <c r="G7" t="s">
        <v>537</v>
      </c>
      <c r="H7">
        <v>2025</v>
      </c>
      <c r="J7">
        <f>_xlfn.XLOOKUP(표8[[#This Row],[location]],Location[location],Location[lat])</f>
        <v>34.834000000000003</v>
      </c>
      <c r="K7">
        <f>_xlfn.XLOOKUP(표8[[#This Row],[location]],Location[location],Location[lon])</f>
        <v>127.68600000000001</v>
      </c>
    </row>
    <row r="8" spans="1:11">
      <c r="A8" s="3" t="s">
        <v>561</v>
      </c>
      <c r="B8" s="10" t="s">
        <v>698</v>
      </c>
      <c r="C8" s="10" t="str">
        <f>_xlfn.XLOOKUP(표8[[#This Row],[supplier_id]],표7[supplier_id],표7[supplier_name])</f>
        <v>LG화학</v>
      </c>
      <c r="D8" s="4">
        <v>2080</v>
      </c>
      <c r="E8" s="3" t="s">
        <v>533</v>
      </c>
      <c r="F8" s="3" t="s">
        <v>704</v>
      </c>
      <c r="G8" t="s">
        <v>537</v>
      </c>
      <c r="H8">
        <v>2025</v>
      </c>
      <c r="J8">
        <f>_xlfn.XLOOKUP(표8[[#This Row],[location]],Location[location],Location[lat])</f>
        <v>34.834000000000003</v>
      </c>
      <c r="K8">
        <f>_xlfn.XLOOKUP(표8[[#This Row],[location]],Location[location],Location[lon])</f>
        <v>127.68600000000001</v>
      </c>
    </row>
    <row r="9" spans="1:11">
      <c r="A9" s="3" t="s">
        <v>561</v>
      </c>
      <c r="B9" s="10" t="s">
        <v>396</v>
      </c>
      <c r="C9" s="3" t="str">
        <f>_xlfn.XLOOKUP(표8[[#This Row],[supplier_id]],표7[supplier_id],표7[supplier_name])</f>
        <v>롯데케미칼</v>
      </c>
      <c r="D9" s="4">
        <v>1230</v>
      </c>
      <c r="E9" s="3" t="s">
        <v>533</v>
      </c>
      <c r="F9" s="3" t="s">
        <v>704</v>
      </c>
      <c r="G9" t="s">
        <v>537</v>
      </c>
      <c r="H9">
        <v>2025</v>
      </c>
      <c r="J9">
        <f>_xlfn.XLOOKUP(표8[[#This Row],[location]],Location[location],Location[lat])</f>
        <v>34.834000000000003</v>
      </c>
      <c r="K9">
        <f>_xlfn.XLOOKUP(표8[[#This Row],[location]],Location[location],Location[lon])</f>
        <v>127.68600000000001</v>
      </c>
    </row>
    <row r="10" spans="1:11">
      <c r="A10" s="3" t="s">
        <v>4</v>
      </c>
      <c r="B10" s="3" t="s">
        <v>392</v>
      </c>
      <c r="C10" s="3" t="str">
        <f>_xlfn.XLOOKUP(표8[[#This Row],[supplier_id]],표7[supplier_id],표7[supplier_name])</f>
        <v>대한유화</v>
      </c>
      <c r="D10" s="4">
        <v>900</v>
      </c>
      <c r="E10" s="3" t="s">
        <v>533</v>
      </c>
      <c r="F10" s="3" t="s">
        <v>535</v>
      </c>
      <c r="G10" t="s">
        <v>537</v>
      </c>
      <c r="H10">
        <v>2025</v>
      </c>
      <c r="J10">
        <f>_xlfn.XLOOKUP(표8[[#This Row],[location]],Location[location],Location[lat])</f>
        <v>35.445999999999998</v>
      </c>
      <c r="K10">
        <f>_xlfn.XLOOKUP(표8[[#This Row],[location]],Location[location],Location[lon])</f>
        <v>129.334</v>
      </c>
    </row>
    <row r="11" spans="1:11">
      <c r="A11" s="3" t="s">
        <v>4</v>
      </c>
      <c r="B11" s="3" t="s">
        <v>402</v>
      </c>
      <c r="C11" s="3" t="str">
        <f>_xlfn.XLOOKUP(표8[[#This Row],[supplier_id]],표7[supplier_id],표7[supplier_name])</f>
        <v>SK지오센트릭</v>
      </c>
      <c r="D11" s="4">
        <v>660</v>
      </c>
      <c r="E11" s="3" t="s">
        <v>533</v>
      </c>
      <c r="F11" s="3" t="s">
        <v>535</v>
      </c>
      <c r="G11" t="s">
        <v>537</v>
      </c>
      <c r="H11">
        <v>2025</v>
      </c>
      <c r="J11">
        <f>_xlfn.XLOOKUP(표8[[#This Row],[location]],Location[location],Location[lat])</f>
        <v>35.445999999999998</v>
      </c>
      <c r="K11">
        <f>_xlfn.XLOOKUP(표8[[#This Row],[location]],Location[location],Location[lon])</f>
        <v>129.334</v>
      </c>
    </row>
    <row r="12" spans="1:11">
      <c r="A12" s="3" t="s">
        <v>4</v>
      </c>
      <c r="B12" s="3" t="s">
        <v>399</v>
      </c>
      <c r="C12" s="3" t="str">
        <f>_xlfn.XLOOKUP(표8[[#This Row],[supplier_id]],표7[supplier_id],표7[supplier_name])</f>
        <v>S-OIL</v>
      </c>
      <c r="D12" s="4">
        <v>182</v>
      </c>
      <c r="E12" s="3" t="s">
        <v>533</v>
      </c>
      <c r="F12" s="3" t="s">
        <v>535</v>
      </c>
      <c r="G12" t="s">
        <v>537</v>
      </c>
      <c r="H12">
        <v>2025</v>
      </c>
      <c r="J12">
        <f>_xlfn.XLOOKUP(표8[[#This Row],[location]],Location[location],Location[lat])</f>
        <v>35.445999999999998</v>
      </c>
      <c r="K12">
        <f>_xlfn.XLOOKUP(표8[[#This Row],[location]],Location[location],Location[lon])</f>
        <v>129.334</v>
      </c>
    </row>
    <row r="13" spans="1:11">
      <c r="A13" s="10" t="s">
        <v>261</v>
      </c>
      <c r="B13" s="8" t="s">
        <v>723</v>
      </c>
      <c r="C13" s="8" t="str">
        <f>_xlfn.XLOOKUP(표8[[#This Row],[supplier_id]],표7[supplier_id],표7[supplier_name])</f>
        <v>한화토탈에너지스</v>
      </c>
      <c r="D13" s="9">
        <v>575</v>
      </c>
      <c r="E13" s="3" t="s">
        <v>533</v>
      </c>
      <c r="F13" s="3" t="s">
        <v>735</v>
      </c>
      <c r="G13" t="s">
        <v>537</v>
      </c>
      <c r="H13">
        <v>2025</v>
      </c>
      <c r="J13">
        <f>_xlfn.XLOOKUP(표8[[#This Row],[location]],Location[location],Location[lat])</f>
        <v>36.99</v>
      </c>
      <c r="K13">
        <f>_xlfn.XLOOKUP(표8[[#This Row],[location]],Location[location],Location[lon])</f>
        <v>126.39</v>
      </c>
    </row>
    <row r="14" spans="1:11">
      <c r="A14" s="10" t="s">
        <v>261</v>
      </c>
      <c r="B14" s="8" t="s">
        <v>724</v>
      </c>
      <c r="C14" s="8" t="str">
        <f>_xlfn.XLOOKUP(표8[[#This Row],[supplier_id]],표7[supplier_id],표7[supplier_name])</f>
        <v>HD현대케미칼</v>
      </c>
      <c r="D14" s="9">
        <v>550</v>
      </c>
      <c r="E14" s="3" t="s">
        <v>533</v>
      </c>
      <c r="F14" s="3" t="s">
        <v>735</v>
      </c>
      <c r="G14" t="s">
        <v>537</v>
      </c>
      <c r="H14">
        <v>2025</v>
      </c>
      <c r="J14">
        <f>_xlfn.XLOOKUP(표8[[#This Row],[location]],Location[location],Location[lat])</f>
        <v>36.99</v>
      </c>
      <c r="K14">
        <f>_xlfn.XLOOKUP(표8[[#This Row],[location]],Location[location],Location[lon])</f>
        <v>126.39</v>
      </c>
    </row>
    <row r="15" spans="1:11">
      <c r="A15" t="s">
        <v>45</v>
      </c>
      <c r="B15" s="8" t="s">
        <v>396</v>
      </c>
      <c r="C15" s="8" t="str">
        <f>_xlfn.XLOOKUP(표8[[#This Row],[supplier_id]],표7[supplier_id],표7[supplier_name])</f>
        <v>롯데케미칼</v>
      </c>
      <c r="D15" s="9">
        <v>630</v>
      </c>
      <c r="E15" s="3" t="s">
        <v>533</v>
      </c>
      <c r="F15" s="3" t="s">
        <v>704</v>
      </c>
      <c r="G15" t="s">
        <v>537</v>
      </c>
      <c r="H15">
        <v>2025</v>
      </c>
      <c r="J15">
        <f>_xlfn.XLOOKUP(표8[[#This Row],[location]],Location[location],Location[lat])</f>
        <v>34.834000000000003</v>
      </c>
      <c r="K15">
        <f>_xlfn.XLOOKUP(표8[[#This Row],[location]],Location[location],Location[lon])</f>
        <v>127.68600000000001</v>
      </c>
    </row>
    <row r="16" spans="1:11">
      <c r="A16" t="s">
        <v>45</v>
      </c>
      <c r="B16" s="8" t="s">
        <v>700</v>
      </c>
      <c r="C16" s="8" t="str">
        <f>_xlfn.XLOOKUP(표8[[#This Row],[supplier_id]],표7[supplier_id],표7[supplier_name])</f>
        <v>GS칼텍스</v>
      </c>
      <c r="D16" s="9">
        <v>500</v>
      </c>
      <c r="E16" s="3" t="s">
        <v>533</v>
      </c>
      <c r="F16" s="3" t="s">
        <v>704</v>
      </c>
      <c r="G16" t="s">
        <v>537</v>
      </c>
      <c r="H16">
        <v>2025</v>
      </c>
      <c r="J16">
        <f>_xlfn.XLOOKUP(표8[[#This Row],[location]],Location[location],Location[lat])</f>
        <v>34.834000000000003</v>
      </c>
      <c r="K16">
        <f>_xlfn.XLOOKUP(표8[[#This Row],[location]],Location[location],Location[lon])</f>
        <v>127.68600000000001</v>
      </c>
    </row>
    <row r="17" spans="1:11">
      <c r="A17" t="s">
        <v>45</v>
      </c>
      <c r="B17" s="8" t="s">
        <v>698</v>
      </c>
      <c r="C17" s="8" t="str">
        <f>_xlfn.XLOOKUP(표8[[#This Row],[supplier_id]],표7[supplier_id],표7[supplier_name])</f>
        <v>LG화학</v>
      </c>
      <c r="D17" s="9">
        <v>360</v>
      </c>
      <c r="E17" s="3" t="s">
        <v>533</v>
      </c>
      <c r="F17" s="3" t="s">
        <v>704</v>
      </c>
      <c r="G17" t="s">
        <v>537</v>
      </c>
      <c r="H17">
        <v>2025</v>
      </c>
      <c r="J17">
        <f>_xlfn.XLOOKUP(표8[[#This Row],[location]],Location[location],Location[lat])</f>
        <v>34.834000000000003</v>
      </c>
      <c r="K17">
        <f>_xlfn.XLOOKUP(표8[[#This Row],[location]],Location[location],Location[lon])</f>
        <v>127.68600000000001</v>
      </c>
    </row>
    <row r="18" spans="1:11">
      <c r="A18" s="8" t="s">
        <v>261</v>
      </c>
      <c r="B18" s="8" t="s">
        <v>693</v>
      </c>
      <c r="C18" s="8" t="str">
        <f>_xlfn.XLOOKUP(표8[[#This Row],[supplier_id]],표7[supplier_id],표7[supplier_name])</f>
        <v>DL케미칼</v>
      </c>
      <c r="D18" s="9">
        <v>180</v>
      </c>
      <c r="E18" s="3" t="s">
        <v>533</v>
      </c>
      <c r="F18" s="3" t="s">
        <v>704</v>
      </c>
      <c r="G18" t="s">
        <v>537</v>
      </c>
      <c r="H18">
        <v>2025</v>
      </c>
      <c r="J18">
        <f>_xlfn.XLOOKUP(표8[[#This Row],[location]],Location[location],Location[lat])</f>
        <v>34.834000000000003</v>
      </c>
      <c r="K18">
        <f>_xlfn.XLOOKUP(표8[[#This Row],[location]],Location[location],Location[lon])</f>
        <v>127.68600000000001</v>
      </c>
    </row>
    <row r="19" spans="1:11">
      <c r="A19" s="8" t="s">
        <v>261</v>
      </c>
      <c r="B19" t="s">
        <v>392</v>
      </c>
      <c r="C19" t="str">
        <f>_xlfn.XLOOKUP(표8[[#This Row],[supplier_id]],표7[supplier_id],표7[supplier_name])</f>
        <v>대한유화</v>
      </c>
      <c r="D19" s="9">
        <v>650</v>
      </c>
      <c r="E19" s="3" t="s">
        <v>533</v>
      </c>
      <c r="F19" s="3" t="s">
        <v>535</v>
      </c>
      <c r="G19" t="s">
        <v>537</v>
      </c>
      <c r="H19">
        <v>2025</v>
      </c>
      <c r="J19">
        <f>_xlfn.XLOOKUP(표8[[#This Row],[location]],Location[location],Location[lat])</f>
        <v>35.445999999999998</v>
      </c>
      <c r="K19">
        <f>_xlfn.XLOOKUP(표8[[#This Row],[location]],Location[location],Location[lon])</f>
        <v>129.334</v>
      </c>
    </row>
    <row r="20" spans="1:11">
      <c r="A20" s="8" t="s">
        <v>261</v>
      </c>
      <c r="B20" t="s">
        <v>402</v>
      </c>
      <c r="C20" t="str">
        <f>_xlfn.XLOOKUP(표8[[#This Row],[supplier_id]],표7[supplier_id],표7[supplier_name])</f>
        <v>SK지오센트릭</v>
      </c>
      <c r="D20" s="9">
        <v>210</v>
      </c>
      <c r="E20" s="3" t="s">
        <v>533</v>
      </c>
      <c r="F20" s="3" t="s">
        <v>535</v>
      </c>
      <c r="G20" t="s">
        <v>537</v>
      </c>
      <c r="H20">
        <v>2025</v>
      </c>
      <c r="J20">
        <f>_xlfn.XLOOKUP(표8[[#This Row],[location]],Location[location],Location[lat])</f>
        <v>35.445999999999998</v>
      </c>
      <c r="K20">
        <f>_xlfn.XLOOKUP(표8[[#This Row],[location]],Location[location],Location[lon])</f>
        <v>129.334</v>
      </c>
    </row>
    <row r="21" spans="1:11">
      <c r="A21" s="8" t="s">
        <v>8</v>
      </c>
      <c r="B21" s="8" t="s">
        <v>723</v>
      </c>
      <c r="C21" s="8" t="str">
        <f>_xlfn.XLOOKUP(표8[[#This Row],[supplier_id]],표7[supplier_id],표7[supplier_name])</f>
        <v>한화토탈에너지스</v>
      </c>
      <c r="D21" s="9">
        <v>435</v>
      </c>
      <c r="E21" s="3" t="s">
        <v>533</v>
      </c>
      <c r="F21" s="3" t="s">
        <v>735</v>
      </c>
      <c r="G21" t="s">
        <v>537</v>
      </c>
      <c r="H21">
        <v>2025</v>
      </c>
      <c r="J21">
        <f>_xlfn.XLOOKUP(표8[[#This Row],[location]],Location[location],Location[lat])</f>
        <v>36.99</v>
      </c>
      <c r="K21">
        <f>_xlfn.XLOOKUP(표8[[#This Row],[location]],Location[location],Location[lon])</f>
        <v>126.39</v>
      </c>
    </row>
    <row r="22" spans="1:11">
      <c r="A22" s="8" t="s">
        <v>8</v>
      </c>
      <c r="B22" s="8" t="s">
        <v>724</v>
      </c>
      <c r="C22" s="8" t="str">
        <f>_xlfn.XLOOKUP(표8[[#This Row],[supplier_id]],표7[supplier_id],표7[supplier_name])</f>
        <v>HD현대케미칼</v>
      </c>
      <c r="D22" s="9">
        <v>300</v>
      </c>
      <c r="E22" s="3" t="s">
        <v>533</v>
      </c>
      <c r="F22" s="3" t="s">
        <v>735</v>
      </c>
      <c r="G22" t="s">
        <v>537</v>
      </c>
      <c r="H22">
        <v>2025</v>
      </c>
      <c r="J22">
        <f>_xlfn.XLOOKUP(표8[[#This Row],[location]],Location[location],Location[lat])</f>
        <v>36.99</v>
      </c>
      <c r="K22">
        <f>_xlfn.XLOOKUP(표8[[#This Row],[location]],Location[location],Location[lon])</f>
        <v>126.39</v>
      </c>
    </row>
    <row r="23" spans="1:11">
      <c r="A23" s="8" t="s">
        <v>8</v>
      </c>
      <c r="B23" s="8" t="s">
        <v>698</v>
      </c>
      <c r="C23" s="8" t="str">
        <f>_xlfn.XLOOKUP(표8[[#This Row],[supplier_id]],표7[supplier_id],표7[supplier_name])</f>
        <v>LG화학</v>
      </c>
      <c r="D23" s="9">
        <v>280</v>
      </c>
      <c r="E23" s="3" t="s">
        <v>533</v>
      </c>
      <c r="F23" s="3" t="s">
        <v>735</v>
      </c>
      <c r="G23" t="s">
        <v>537</v>
      </c>
      <c r="H23">
        <v>2025</v>
      </c>
      <c r="J23">
        <f>_xlfn.XLOOKUP(표8[[#This Row],[location]],Location[location],Location[lat])</f>
        <v>36.99</v>
      </c>
      <c r="K23">
        <f>_xlfn.XLOOKUP(표8[[#This Row],[location]],Location[location],Location[lon])</f>
        <v>126.39</v>
      </c>
    </row>
    <row r="24" spans="1:11">
      <c r="A24" s="8" t="s">
        <v>8</v>
      </c>
      <c r="B24" s="8" t="s">
        <v>396</v>
      </c>
      <c r="C24" s="8" t="str">
        <f>_xlfn.XLOOKUP(표8[[#This Row],[supplier_id]],표7[supplier_id],표7[supplier_name])</f>
        <v>롯데케미칼</v>
      </c>
      <c r="D24" s="9">
        <v>135</v>
      </c>
      <c r="E24" s="3" t="s">
        <v>533</v>
      </c>
      <c r="F24" s="3" t="s">
        <v>735</v>
      </c>
      <c r="G24" t="s">
        <v>537</v>
      </c>
      <c r="H24">
        <v>2025</v>
      </c>
      <c r="J24">
        <f>_xlfn.XLOOKUP(표8[[#This Row],[location]],Location[location],Location[lat])</f>
        <v>36.99</v>
      </c>
      <c r="K24">
        <f>_xlfn.XLOOKUP(표8[[#This Row],[location]],Location[location],Location[lon])</f>
        <v>126.39</v>
      </c>
    </row>
    <row r="25" spans="1:11">
      <c r="A25" s="8" t="s">
        <v>8</v>
      </c>
      <c r="B25" s="8" t="s">
        <v>450</v>
      </c>
      <c r="C25" s="8" t="str">
        <f>_xlfn.XLOOKUP(표8[[#This Row],[supplier_id]],표7[supplier_id],표7[supplier_name])</f>
        <v>한화솔루션</v>
      </c>
      <c r="D25" s="9">
        <v>337</v>
      </c>
      <c r="E25" s="3" t="s">
        <v>533</v>
      </c>
      <c r="F25" s="3" t="s">
        <v>704</v>
      </c>
      <c r="G25" t="s">
        <v>537</v>
      </c>
      <c r="H25">
        <v>2025</v>
      </c>
      <c r="J25">
        <f>_xlfn.XLOOKUP(표8[[#This Row],[location]],Location[location],Location[lat])</f>
        <v>34.834000000000003</v>
      </c>
      <c r="K25">
        <f>_xlfn.XLOOKUP(표8[[#This Row],[location]],Location[location],Location[lon])</f>
        <v>127.68600000000001</v>
      </c>
    </row>
    <row r="26" spans="1:11">
      <c r="A26" s="8" t="s">
        <v>8</v>
      </c>
      <c r="B26" s="8" t="s">
        <v>698</v>
      </c>
      <c r="C26" s="8" t="str">
        <f>_xlfn.XLOOKUP(표8[[#This Row],[supplier_id]],표7[supplier_id],표7[supplier_name])</f>
        <v>LG화학</v>
      </c>
      <c r="D26" s="9">
        <v>180</v>
      </c>
      <c r="E26" s="3" t="s">
        <v>533</v>
      </c>
      <c r="F26" s="3" t="s">
        <v>704</v>
      </c>
      <c r="G26" t="s">
        <v>537</v>
      </c>
      <c r="H26">
        <v>2025</v>
      </c>
      <c r="J26">
        <f>_xlfn.XLOOKUP(표8[[#This Row],[location]],Location[location],Location[lat])</f>
        <v>34.834000000000003</v>
      </c>
      <c r="K26">
        <f>_xlfn.XLOOKUP(표8[[#This Row],[location]],Location[location],Location[lon])</f>
        <v>127.68600000000001</v>
      </c>
    </row>
    <row r="27" spans="1:11">
      <c r="A27" s="8" t="s">
        <v>8</v>
      </c>
      <c r="B27" t="s">
        <v>450</v>
      </c>
      <c r="C27" t="str">
        <f>_xlfn.XLOOKUP(표8[[#This Row],[supplier_id]],표7[supplier_id],표7[supplier_name])</f>
        <v>한화솔루션</v>
      </c>
      <c r="D27" s="9">
        <v>120</v>
      </c>
      <c r="E27" s="3" t="s">
        <v>533</v>
      </c>
      <c r="F27" s="3" t="s">
        <v>535</v>
      </c>
      <c r="G27" t="s">
        <v>537</v>
      </c>
      <c r="H27">
        <v>2025</v>
      </c>
      <c r="J27">
        <f>_xlfn.XLOOKUP(표8[[#This Row],[location]],Location[location],Location[lat])</f>
        <v>35.445999999999998</v>
      </c>
      <c r="K27">
        <f>_xlfn.XLOOKUP(표8[[#This Row],[location]],Location[location],Location[lon])</f>
        <v>129.334</v>
      </c>
    </row>
    <row r="28" spans="1:11">
      <c r="A28" s="8" t="s">
        <v>10</v>
      </c>
      <c r="B28" s="8" t="s">
        <v>698</v>
      </c>
      <c r="C28" s="8" t="str">
        <f>_xlfn.XLOOKUP(표8[[#This Row],[supplier_id]],표7[supplier_id],표7[supplier_name])</f>
        <v>LG화학</v>
      </c>
      <c r="D28" s="9">
        <v>500</v>
      </c>
      <c r="E28" s="3" t="s">
        <v>533</v>
      </c>
      <c r="F28" s="3" t="s">
        <v>735</v>
      </c>
      <c r="G28" t="s">
        <v>537</v>
      </c>
      <c r="H28">
        <v>2025</v>
      </c>
      <c r="J28">
        <f>_xlfn.XLOOKUP(표8[[#This Row],[location]],Location[location],Location[lat])</f>
        <v>36.99</v>
      </c>
      <c r="K28">
        <f>_xlfn.XLOOKUP(표8[[#This Row],[location]],Location[location],Location[lon])</f>
        <v>126.39</v>
      </c>
    </row>
    <row r="29" spans="1:11">
      <c r="A29" s="8" t="s">
        <v>10</v>
      </c>
      <c r="B29" s="8" t="s">
        <v>396</v>
      </c>
      <c r="C29" s="8" t="str">
        <f>_xlfn.XLOOKUP(표8[[#This Row],[supplier_id]],표7[supplier_id],표7[supplier_name])</f>
        <v>롯데케미칼</v>
      </c>
      <c r="D29" s="9">
        <v>300</v>
      </c>
      <c r="E29" s="3" t="s">
        <v>533</v>
      </c>
      <c r="F29" s="3" t="s">
        <v>735</v>
      </c>
      <c r="G29" t="s">
        <v>537</v>
      </c>
      <c r="H29">
        <v>2025</v>
      </c>
      <c r="J29">
        <f>_xlfn.XLOOKUP(표8[[#This Row],[location]],Location[location],Location[lat])</f>
        <v>36.99</v>
      </c>
      <c r="K29">
        <f>_xlfn.XLOOKUP(표8[[#This Row],[location]],Location[location],Location[lon])</f>
        <v>126.39</v>
      </c>
    </row>
    <row r="30" spans="1:11">
      <c r="A30" s="8" t="s">
        <v>10</v>
      </c>
      <c r="B30" s="8" t="s">
        <v>723</v>
      </c>
      <c r="C30" s="8" t="str">
        <f>_xlfn.XLOOKUP(표8[[#This Row],[supplier_id]],표7[supplier_id],표7[supplier_name])</f>
        <v>한화토탈에너지스</v>
      </c>
      <c r="D30" s="9">
        <v>125</v>
      </c>
      <c r="E30" s="3" t="s">
        <v>533</v>
      </c>
      <c r="F30" s="3" t="s">
        <v>735</v>
      </c>
      <c r="G30" t="s">
        <v>537</v>
      </c>
      <c r="H30">
        <v>2025</v>
      </c>
      <c r="J30">
        <f>_xlfn.XLOOKUP(표8[[#This Row],[location]],Location[location],Location[lat])</f>
        <v>36.99</v>
      </c>
      <c r="K30">
        <f>_xlfn.XLOOKUP(표8[[#This Row],[location]],Location[location],Location[lon])</f>
        <v>126.39</v>
      </c>
    </row>
    <row r="31" spans="1:11">
      <c r="A31" s="8" t="s">
        <v>10</v>
      </c>
      <c r="B31" s="8" t="s">
        <v>698</v>
      </c>
      <c r="C31" s="8" t="str">
        <f>_xlfn.XLOOKUP(표8[[#This Row],[supplier_id]],표7[supplier_id],표7[supplier_name])</f>
        <v>LG화학</v>
      </c>
      <c r="D31" s="9">
        <v>600</v>
      </c>
      <c r="E31" s="3" t="s">
        <v>533</v>
      </c>
      <c r="F31" s="3" t="s">
        <v>704</v>
      </c>
      <c r="G31" t="s">
        <v>537</v>
      </c>
      <c r="H31">
        <v>2025</v>
      </c>
      <c r="J31">
        <f>_xlfn.XLOOKUP(표8[[#This Row],[location]],Location[location],Location[lat])</f>
        <v>34.834000000000003</v>
      </c>
      <c r="K31">
        <f>_xlfn.XLOOKUP(표8[[#This Row],[location]],Location[location],Location[lon])</f>
        <v>127.68600000000001</v>
      </c>
    </row>
    <row r="32" spans="1:11">
      <c r="A32" s="8" t="s">
        <v>10</v>
      </c>
      <c r="B32" s="8" t="s">
        <v>693</v>
      </c>
      <c r="C32" s="8" t="str">
        <f>_xlfn.XLOOKUP(표8[[#This Row],[supplier_id]],표7[supplier_id],표7[supplier_name])</f>
        <v>DL케미칼</v>
      </c>
      <c r="D32" s="9">
        <v>530</v>
      </c>
      <c r="E32" s="3" t="s">
        <v>533</v>
      </c>
      <c r="F32" s="3" t="s">
        <v>704</v>
      </c>
      <c r="G32" t="s">
        <v>537</v>
      </c>
      <c r="H32">
        <v>2025</v>
      </c>
      <c r="J32">
        <f>_xlfn.XLOOKUP(표8[[#This Row],[location]],Location[location],Location[lat])</f>
        <v>34.834000000000003</v>
      </c>
      <c r="K32">
        <f>_xlfn.XLOOKUP(표8[[#This Row],[location]],Location[location],Location[lon])</f>
        <v>127.68600000000001</v>
      </c>
    </row>
    <row r="33" spans="1:11">
      <c r="A33" s="8" t="s">
        <v>10</v>
      </c>
      <c r="B33" s="8" t="s">
        <v>450</v>
      </c>
      <c r="C33" s="8" t="str">
        <f>_xlfn.XLOOKUP(표8[[#This Row],[supplier_id]],표7[supplier_id],표7[supplier_name])</f>
        <v>한화솔루션</v>
      </c>
      <c r="D33" s="9">
        <v>425</v>
      </c>
      <c r="E33" s="3" t="s">
        <v>533</v>
      </c>
      <c r="F33" s="3" t="s">
        <v>704</v>
      </c>
      <c r="G33" t="s">
        <v>537</v>
      </c>
      <c r="H33">
        <v>2025</v>
      </c>
      <c r="J33">
        <f>_xlfn.XLOOKUP(표8[[#This Row],[location]],Location[location],Location[lat])</f>
        <v>34.834000000000003</v>
      </c>
      <c r="K33">
        <f>_xlfn.XLOOKUP(표8[[#This Row],[location]],Location[location],Location[lon])</f>
        <v>127.68600000000001</v>
      </c>
    </row>
    <row r="34" spans="1:11">
      <c r="A34" s="8" t="s">
        <v>10</v>
      </c>
      <c r="B34" s="8" t="s">
        <v>396</v>
      </c>
      <c r="C34" s="8" t="str">
        <f>_xlfn.XLOOKUP(표8[[#This Row],[supplier_id]],표7[supplier_id],표7[supplier_name])</f>
        <v>롯데케미칼</v>
      </c>
      <c r="D34" s="9">
        <v>10</v>
      </c>
      <c r="E34" s="3" t="s">
        <v>533</v>
      </c>
      <c r="F34" s="3" t="s">
        <v>704</v>
      </c>
      <c r="G34" t="s">
        <v>537</v>
      </c>
      <c r="H34">
        <v>2025</v>
      </c>
      <c r="J34">
        <f>_xlfn.XLOOKUP(표8[[#This Row],[location]],Location[location],Location[lat])</f>
        <v>34.834000000000003</v>
      </c>
      <c r="K34">
        <f>_xlfn.XLOOKUP(표8[[#This Row],[location]],Location[location],Location[lon])</f>
        <v>127.68600000000001</v>
      </c>
    </row>
    <row r="35" spans="1:11">
      <c r="A35" s="8" t="s">
        <v>10</v>
      </c>
      <c r="B35" t="s">
        <v>398</v>
      </c>
      <c r="C35" t="str">
        <f>_xlfn.XLOOKUP(표8[[#This Row],[supplier_id]],표7[supplier_id],표7[supplier_name])</f>
        <v>SSNC</v>
      </c>
      <c r="D35" s="9">
        <v>288</v>
      </c>
      <c r="E35" s="3" t="s">
        <v>533</v>
      </c>
      <c r="F35" s="3" t="s">
        <v>535</v>
      </c>
      <c r="G35" t="s">
        <v>537</v>
      </c>
      <c r="H35">
        <v>2025</v>
      </c>
      <c r="J35">
        <f>_xlfn.XLOOKUP(표8[[#This Row],[location]],Location[location],Location[lat])</f>
        <v>35.445999999999998</v>
      </c>
      <c r="K35">
        <f>_xlfn.XLOOKUP(표8[[#This Row],[location]],Location[location],Location[lon])</f>
        <v>129.334</v>
      </c>
    </row>
    <row r="36" spans="1:11">
      <c r="A36" s="8" t="s">
        <v>10</v>
      </c>
      <c r="B36" t="s">
        <v>402</v>
      </c>
      <c r="C36" t="str">
        <f>_xlfn.XLOOKUP(표8[[#This Row],[supplier_id]],표7[supplier_id],표7[supplier_name])</f>
        <v>SK지오센트릭</v>
      </c>
      <c r="D36" s="9">
        <v>180</v>
      </c>
      <c r="E36" s="3" t="s">
        <v>533</v>
      </c>
      <c r="F36" s="3" t="s">
        <v>535</v>
      </c>
      <c r="G36" t="s">
        <v>537</v>
      </c>
      <c r="H36">
        <v>2025</v>
      </c>
      <c r="J36">
        <f>_xlfn.XLOOKUP(표8[[#This Row],[location]],Location[location],Location[lat])</f>
        <v>35.445999999999998</v>
      </c>
      <c r="K36">
        <f>_xlfn.XLOOKUP(표8[[#This Row],[location]],Location[location],Location[lon])</f>
        <v>129.334</v>
      </c>
    </row>
    <row r="37" spans="1:11">
      <c r="A37" s="8" t="s">
        <v>11</v>
      </c>
      <c r="B37" s="8" t="s">
        <v>450</v>
      </c>
      <c r="C37" s="8" t="str">
        <f>_xlfn.XLOOKUP(표8[[#This Row],[supplier_id]],표7[supplier_id],표7[supplier_name])</f>
        <v>한화솔루션</v>
      </c>
      <c r="D37" s="9">
        <v>1586</v>
      </c>
      <c r="E37" s="3" t="s">
        <v>533</v>
      </c>
      <c r="F37" s="3" t="s">
        <v>704</v>
      </c>
      <c r="G37" t="s">
        <v>537</v>
      </c>
      <c r="H37">
        <v>2025</v>
      </c>
      <c r="J37">
        <f>_xlfn.XLOOKUP(표8[[#This Row],[location]],Location[location],Location[lat])</f>
        <v>34.834000000000003</v>
      </c>
      <c r="K37">
        <f>_xlfn.XLOOKUP(표8[[#This Row],[location]],Location[location],Location[lon])</f>
        <v>127.68600000000001</v>
      </c>
    </row>
    <row r="38" spans="1:11">
      <c r="A38" s="8" t="s">
        <v>11</v>
      </c>
      <c r="B38" s="8" t="s">
        <v>698</v>
      </c>
      <c r="C38" s="8" t="str">
        <f>_xlfn.XLOOKUP(표8[[#This Row],[supplier_id]],표7[supplier_id],표7[supplier_name])</f>
        <v>LG화학</v>
      </c>
      <c r="D38" s="9">
        <v>810</v>
      </c>
      <c r="E38" s="3" t="s">
        <v>533</v>
      </c>
      <c r="F38" s="3" t="s">
        <v>704</v>
      </c>
      <c r="G38" t="s">
        <v>537</v>
      </c>
      <c r="H38">
        <v>2025</v>
      </c>
      <c r="J38">
        <f>_xlfn.XLOOKUP(표8[[#This Row],[location]],Location[location],Location[lat])</f>
        <v>34.834000000000003</v>
      </c>
      <c r="K38">
        <f>_xlfn.XLOOKUP(표8[[#This Row],[location]],Location[location],Location[lon])</f>
        <v>127.68600000000001</v>
      </c>
    </row>
    <row r="39" spans="1:11">
      <c r="A39" s="8" t="s">
        <v>11</v>
      </c>
      <c r="B39" t="s">
        <v>450</v>
      </c>
      <c r="C39" t="str">
        <f>_xlfn.XLOOKUP(표8[[#This Row],[supplier_id]],표7[supplier_id],표7[supplier_name])</f>
        <v>한화솔루션</v>
      </c>
      <c r="D39" s="9">
        <v>385</v>
      </c>
      <c r="E39" s="3" t="s">
        <v>533</v>
      </c>
      <c r="F39" s="3" t="s">
        <v>535</v>
      </c>
      <c r="G39" t="s">
        <v>537</v>
      </c>
      <c r="H39">
        <v>2025</v>
      </c>
      <c r="J39">
        <f>_xlfn.XLOOKUP(표8[[#This Row],[location]],Location[location],Location[lat])</f>
        <v>35.445999999999998</v>
      </c>
      <c r="K39">
        <f>_xlfn.XLOOKUP(표8[[#This Row],[location]],Location[location],Location[lon])</f>
        <v>129.334</v>
      </c>
    </row>
    <row r="40" spans="1:11">
      <c r="A40" s="8" t="s">
        <v>12</v>
      </c>
      <c r="B40" s="8" t="s">
        <v>698</v>
      </c>
      <c r="C40" s="8" t="str">
        <f>_xlfn.XLOOKUP(표8[[#This Row],[supplier_id]],표7[supplier_id],표7[supplier_name])</f>
        <v>LG화학</v>
      </c>
      <c r="D40" s="9">
        <v>230</v>
      </c>
      <c r="E40" s="3" t="s">
        <v>533</v>
      </c>
      <c r="F40" s="3" t="s">
        <v>735</v>
      </c>
      <c r="G40" t="s">
        <v>537</v>
      </c>
      <c r="H40">
        <v>2025</v>
      </c>
      <c r="J40">
        <f>_xlfn.XLOOKUP(표8[[#This Row],[location]],Location[location],Location[lat])</f>
        <v>36.99</v>
      </c>
      <c r="K40">
        <f>_xlfn.XLOOKUP(표8[[#This Row],[location]],Location[location],Location[lon])</f>
        <v>126.39</v>
      </c>
    </row>
    <row r="41" spans="1:11">
      <c r="A41" s="8" t="s">
        <v>12</v>
      </c>
      <c r="B41" s="8" t="s">
        <v>698</v>
      </c>
      <c r="C41" s="8" t="str">
        <f>_xlfn.XLOOKUP(표8[[#This Row],[supplier_id]],표7[supplier_id],표7[supplier_name])</f>
        <v>LG화학</v>
      </c>
      <c r="D41" s="9">
        <v>720</v>
      </c>
      <c r="E41" s="3" t="s">
        <v>533</v>
      </c>
      <c r="F41" s="3" t="s">
        <v>704</v>
      </c>
      <c r="G41" t="s">
        <v>537</v>
      </c>
      <c r="H41">
        <v>2025</v>
      </c>
      <c r="J41">
        <f>_xlfn.XLOOKUP(표8[[#This Row],[location]],Location[location],Location[lat])</f>
        <v>34.834000000000003</v>
      </c>
      <c r="K41">
        <f>_xlfn.XLOOKUP(표8[[#This Row],[location]],Location[location],Location[lon])</f>
        <v>127.68600000000001</v>
      </c>
    </row>
    <row r="42" spans="1:11">
      <c r="A42" s="8" t="s">
        <v>12</v>
      </c>
      <c r="B42" s="8" t="s">
        <v>450</v>
      </c>
      <c r="C42" s="8" t="str">
        <f>_xlfn.XLOOKUP(표8[[#This Row],[supplier_id]],표7[supplier_id],표7[supplier_name])</f>
        <v>한화솔루션</v>
      </c>
      <c r="D42" s="9">
        <v>583</v>
      </c>
      <c r="E42" s="3" t="s">
        <v>533</v>
      </c>
      <c r="F42" s="3" t="s">
        <v>704</v>
      </c>
      <c r="G42" t="s">
        <v>537</v>
      </c>
      <c r="H42">
        <v>2025</v>
      </c>
      <c r="J42">
        <f>_xlfn.XLOOKUP(표8[[#This Row],[location]],Location[location],Location[lat])</f>
        <v>34.834000000000003</v>
      </c>
      <c r="K42">
        <f>_xlfn.XLOOKUP(표8[[#This Row],[location]],Location[location],Location[lon])</f>
        <v>127.68600000000001</v>
      </c>
    </row>
    <row r="43" spans="1:11">
      <c r="A43" s="8" t="s">
        <v>12</v>
      </c>
      <c r="B43" t="s">
        <v>450</v>
      </c>
      <c r="C43" t="str">
        <f>_xlfn.XLOOKUP(표8[[#This Row],[supplier_id]],표7[supplier_id],표7[supplier_name])</f>
        <v>한화솔루션</v>
      </c>
      <c r="D43" s="9">
        <v>264</v>
      </c>
      <c r="E43" s="3" t="s">
        <v>533</v>
      </c>
      <c r="F43" s="3" t="s">
        <v>535</v>
      </c>
      <c r="G43" t="s">
        <v>537</v>
      </c>
      <c r="H43">
        <v>2025</v>
      </c>
      <c r="J43">
        <f>_xlfn.XLOOKUP(표8[[#This Row],[location]],Location[location],Location[lat])</f>
        <v>35.445999999999998</v>
      </c>
      <c r="K43">
        <f>_xlfn.XLOOKUP(표8[[#This Row],[location]],Location[location],Location[lon])</f>
        <v>129.334</v>
      </c>
    </row>
    <row r="44" spans="1:11">
      <c r="A44" s="8" t="s">
        <v>14</v>
      </c>
      <c r="B44" s="8" t="s">
        <v>698</v>
      </c>
      <c r="C44" s="8" t="str">
        <f>_xlfn.XLOOKUP(표8[[#This Row],[supplier_id]],표7[supplier_id],표7[supplier_name])</f>
        <v>LG화학</v>
      </c>
      <c r="D44" s="9">
        <v>240</v>
      </c>
      <c r="E44" s="3" t="s">
        <v>533</v>
      </c>
      <c r="F44" s="3" t="s">
        <v>735</v>
      </c>
      <c r="G44" t="s">
        <v>537</v>
      </c>
      <c r="H44">
        <v>2025</v>
      </c>
      <c r="J44">
        <f>_xlfn.XLOOKUP(표8[[#This Row],[location]],Location[location],Location[lat])</f>
        <v>36.99</v>
      </c>
      <c r="K44">
        <f>_xlfn.XLOOKUP(표8[[#This Row],[location]],Location[location],Location[lon])</f>
        <v>126.39</v>
      </c>
    </row>
    <row r="45" spans="1:11">
      <c r="A45" s="8" t="s">
        <v>14</v>
      </c>
      <c r="B45" s="8" t="s">
        <v>450</v>
      </c>
      <c r="C45" s="8" t="str">
        <f>_xlfn.XLOOKUP(표8[[#This Row],[supplier_id]],표7[supplier_id],표7[supplier_name])</f>
        <v>한화솔루션</v>
      </c>
      <c r="D45" s="9">
        <v>480</v>
      </c>
      <c r="E45" s="3" t="s">
        <v>533</v>
      </c>
      <c r="F45" s="3" t="s">
        <v>704</v>
      </c>
      <c r="G45" t="s">
        <v>537</v>
      </c>
      <c r="H45">
        <v>2025</v>
      </c>
      <c r="J45">
        <f>_xlfn.XLOOKUP(표8[[#This Row],[location]],Location[location],Location[lat])</f>
        <v>34.834000000000003</v>
      </c>
      <c r="K45">
        <f>_xlfn.XLOOKUP(표8[[#This Row],[location]],Location[location],Location[lon])</f>
        <v>127.68600000000001</v>
      </c>
    </row>
    <row r="46" spans="1:11">
      <c r="A46" s="8" t="s">
        <v>14</v>
      </c>
      <c r="B46" s="8" t="s">
        <v>698</v>
      </c>
      <c r="C46" s="8" t="str">
        <f>_xlfn.XLOOKUP(표8[[#This Row],[supplier_id]],표7[supplier_id],표7[supplier_name])</f>
        <v>LG화학</v>
      </c>
      <c r="D46" s="9">
        <v>450</v>
      </c>
      <c r="E46" s="3" t="s">
        <v>533</v>
      </c>
      <c r="F46" s="3" t="s">
        <v>704</v>
      </c>
      <c r="G46" t="s">
        <v>537</v>
      </c>
      <c r="H46">
        <v>2025</v>
      </c>
      <c r="J46">
        <f>_xlfn.XLOOKUP(표8[[#This Row],[location]],Location[location],Location[lat])</f>
        <v>34.834000000000003</v>
      </c>
      <c r="K46">
        <f>_xlfn.XLOOKUP(표8[[#This Row],[location]],Location[location],Location[lon])</f>
        <v>127.68600000000001</v>
      </c>
    </row>
    <row r="47" spans="1:11">
      <c r="A47" s="8" t="s">
        <v>14</v>
      </c>
      <c r="B47" t="s">
        <v>450</v>
      </c>
      <c r="C47" t="str">
        <f>_xlfn.XLOOKUP(표8[[#This Row],[supplier_id]],표7[supplier_id],표7[supplier_name])</f>
        <v>한화솔루션</v>
      </c>
      <c r="D47" s="9">
        <v>330</v>
      </c>
      <c r="E47" s="3" t="s">
        <v>533</v>
      </c>
      <c r="F47" s="3" t="s">
        <v>535</v>
      </c>
      <c r="G47" t="s">
        <v>537</v>
      </c>
      <c r="H47">
        <v>2025</v>
      </c>
      <c r="J47">
        <f>_xlfn.XLOOKUP(표8[[#This Row],[location]],Location[location],Location[lat])</f>
        <v>35.445999999999998</v>
      </c>
      <c r="K47">
        <f>_xlfn.XLOOKUP(표8[[#This Row],[location]],Location[location],Location[lon])</f>
        <v>129.334</v>
      </c>
    </row>
    <row r="48" spans="1:11">
      <c r="A48" s="8" t="s">
        <v>17</v>
      </c>
      <c r="B48" t="s">
        <v>447</v>
      </c>
      <c r="C48" t="str">
        <f>_xlfn.XLOOKUP(표8[[#This Row],[supplier_id]],표7[supplier_id],표7[supplier_name])</f>
        <v>한국알콜산업</v>
      </c>
      <c r="D48" s="9">
        <v>70</v>
      </c>
      <c r="E48" s="3" t="s">
        <v>533</v>
      </c>
      <c r="F48" s="3" t="s">
        <v>535</v>
      </c>
      <c r="G48" t="s">
        <v>537</v>
      </c>
      <c r="H48">
        <v>2025</v>
      </c>
      <c r="J48">
        <f>_xlfn.XLOOKUP(표8[[#This Row],[location]],Location[location],Location[lat])</f>
        <v>35.445999999999998</v>
      </c>
      <c r="K48">
        <f>_xlfn.XLOOKUP(표8[[#This Row],[location]],Location[location],Location[lon])</f>
        <v>129.334</v>
      </c>
    </row>
    <row r="49" spans="1:11">
      <c r="A49" s="8" t="s">
        <v>20</v>
      </c>
      <c r="B49" t="s">
        <v>447</v>
      </c>
      <c r="C49" t="str">
        <f>_xlfn.XLOOKUP(표8[[#This Row],[supplier_id]],표7[supplier_id],표7[supplier_name])</f>
        <v>한국알콜산업</v>
      </c>
      <c r="D49" s="9">
        <v>123</v>
      </c>
      <c r="E49" s="3" t="s">
        <v>533</v>
      </c>
      <c r="F49" s="3" t="s">
        <v>535</v>
      </c>
      <c r="G49" t="s">
        <v>537</v>
      </c>
      <c r="H49">
        <v>2025</v>
      </c>
      <c r="J49">
        <f>_xlfn.XLOOKUP(표8[[#This Row],[location]],Location[location],Location[lat])</f>
        <v>35.445999999999998</v>
      </c>
      <c r="K49">
        <f>_xlfn.XLOOKUP(표8[[#This Row],[location]],Location[location],Location[lon])</f>
        <v>129.334</v>
      </c>
    </row>
    <row r="50" spans="1:11">
      <c r="A50" t="s">
        <v>609</v>
      </c>
      <c r="B50" s="8" t="s">
        <v>1024</v>
      </c>
      <c r="C50" s="8" t="str">
        <f>_xlfn.XLOOKUP(표8[[#This Row],[supplier_id]],표7[supplier_id],표7[supplier_name])</f>
        <v>한화토탈에너지스</v>
      </c>
      <c r="D50" s="9">
        <v>120</v>
      </c>
      <c r="E50" s="3" t="s">
        <v>533</v>
      </c>
      <c r="F50" s="3" t="s">
        <v>735</v>
      </c>
      <c r="G50" t="s">
        <v>991</v>
      </c>
      <c r="H50">
        <v>2025</v>
      </c>
      <c r="J50">
        <f>_xlfn.XLOOKUP(표8[[#This Row],[location]],Location[location],Location[lat])</f>
        <v>36.99</v>
      </c>
      <c r="K50">
        <f>_xlfn.XLOOKUP(표8[[#This Row],[location]],Location[location],Location[lon])</f>
        <v>126.39</v>
      </c>
    </row>
    <row r="51" spans="1:11">
      <c r="A51" t="s">
        <v>609</v>
      </c>
      <c r="B51" s="8" t="s">
        <v>1023</v>
      </c>
      <c r="C51" s="8" t="str">
        <f>_xlfn.XLOOKUP(표8[[#This Row],[supplier_id]],표7[supplier_id],표7[supplier_name])</f>
        <v>LG화학</v>
      </c>
      <c r="D51" s="9">
        <v>60</v>
      </c>
      <c r="E51" s="3" t="s">
        <v>533</v>
      </c>
      <c r="F51" s="3" t="s">
        <v>735</v>
      </c>
      <c r="G51" t="s">
        <v>991</v>
      </c>
      <c r="H51">
        <v>2025</v>
      </c>
      <c r="J51">
        <f>_xlfn.XLOOKUP(표8[[#This Row],[location]],Location[location],Location[lat])</f>
        <v>36.99</v>
      </c>
      <c r="K51">
        <f>_xlfn.XLOOKUP(표8[[#This Row],[location]],Location[location],Location[lon])</f>
        <v>126.39</v>
      </c>
    </row>
    <row r="52" spans="1:11">
      <c r="A52" t="s">
        <v>609</v>
      </c>
      <c r="B52" s="8" t="s">
        <v>1025</v>
      </c>
      <c r="C52" s="8" t="str">
        <f>_xlfn.XLOOKUP(표8[[#This Row],[supplier_id]],표7[supplier_id],표7[supplier_name])</f>
        <v>롯데케미칼</v>
      </c>
      <c r="D52" s="9">
        <v>620</v>
      </c>
      <c r="E52" s="3" t="s">
        <v>533</v>
      </c>
      <c r="F52" s="3" t="s">
        <v>735</v>
      </c>
      <c r="G52" t="s">
        <v>991</v>
      </c>
      <c r="H52">
        <v>2025</v>
      </c>
      <c r="J52">
        <f>_xlfn.XLOOKUP(표8[[#This Row],[location]],Location[location],Location[lat])</f>
        <v>36.99</v>
      </c>
      <c r="K52">
        <f>_xlfn.XLOOKUP(표8[[#This Row],[location]],Location[location],Location[lon])</f>
        <v>126.39</v>
      </c>
    </row>
    <row r="53" spans="1:11">
      <c r="A53" t="s">
        <v>609</v>
      </c>
      <c r="B53" t="s">
        <v>1025</v>
      </c>
      <c r="C53" s="8" t="str">
        <f>_xlfn.XLOOKUP(표8[[#This Row],[supplier_id]],표7[supplier_id],표7[supplier_name])</f>
        <v>롯데케미칼</v>
      </c>
      <c r="D53" s="9">
        <v>302</v>
      </c>
      <c r="E53" s="3" t="s">
        <v>533</v>
      </c>
      <c r="F53" s="3" t="s">
        <v>704</v>
      </c>
      <c r="G53" t="s">
        <v>991</v>
      </c>
      <c r="H53">
        <v>2025</v>
      </c>
      <c r="J53">
        <f>_xlfn.XLOOKUP(표8[[#This Row],[location]],Location[location],Location[lat])</f>
        <v>34.834000000000003</v>
      </c>
      <c r="K53">
        <f>_xlfn.XLOOKUP(표8[[#This Row],[location]],Location[location],Location[lon])</f>
        <v>127.68600000000001</v>
      </c>
    </row>
    <row r="54" spans="1:11">
      <c r="A54" s="3" t="s">
        <v>609</v>
      </c>
      <c r="B54" s="3" t="s">
        <v>393</v>
      </c>
      <c r="C54" s="10" t="str">
        <f>_xlfn.XLOOKUP(표8[[#This Row],[supplier_id]],표7[supplier_id],표7[supplier_name])</f>
        <v>대한유화</v>
      </c>
      <c r="D54" s="4">
        <v>250</v>
      </c>
      <c r="E54" s="3" t="s">
        <v>533</v>
      </c>
      <c r="F54" s="3" t="s">
        <v>535</v>
      </c>
      <c r="G54" t="s">
        <v>991</v>
      </c>
      <c r="H54">
        <v>2025</v>
      </c>
      <c r="J54">
        <f>_xlfn.XLOOKUP(표8[[#This Row],[location]],Location[location],Location[lat])</f>
        <v>35.445999999999998</v>
      </c>
      <c r="K54">
        <f>_xlfn.XLOOKUP(표8[[#This Row],[location]],Location[location],Location[lon])</f>
        <v>129.334</v>
      </c>
    </row>
    <row r="55" spans="1:11">
      <c r="A55" s="10" t="s">
        <v>51</v>
      </c>
      <c r="B55" s="10" t="s">
        <v>396</v>
      </c>
      <c r="C55" s="10" t="str">
        <f>_xlfn.XLOOKUP(표8[[#This Row],[supplier_id]],표7[supplier_id],표7[supplier_name])</f>
        <v>롯데케미칼</v>
      </c>
      <c r="D55" s="4">
        <v>730</v>
      </c>
      <c r="E55" s="3" t="s">
        <v>533</v>
      </c>
      <c r="F55" s="3" t="s">
        <v>735</v>
      </c>
      <c r="G55" t="s">
        <v>537</v>
      </c>
      <c r="H55">
        <v>2025</v>
      </c>
      <c r="J55">
        <f>_xlfn.XLOOKUP(표8[[#This Row],[location]],Location[location],Location[lat])</f>
        <v>36.99</v>
      </c>
      <c r="K55">
        <f>_xlfn.XLOOKUP(표8[[#This Row],[location]],Location[location],Location[lon])</f>
        <v>126.39</v>
      </c>
    </row>
    <row r="56" spans="1:11">
      <c r="A56" s="10" t="s">
        <v>51</v>
      </c>
      <c r="B56" s="10" t="s">
        <v>723</v>
      </c>
      <c r="C56" s="10" t="str">
        <f>_xlfn.XLOOKUP(표8[[#This Row],[supplier_id]],표7[supplier_id],표7[supplier_name])</f>
        <v>한화토탈에너지스</v>
      </c>
      <c r="D56" s="4">
        <v>218</v>
      </c>
      <c r="E56" s="3" t="s">
        <v>533</v>
      </c>
      <c r="F56" s="3" t="s">
        <v>735</v>
      </c>
      <c r="G56" t="s">
        <v>537</v>
      </c>
      <c r="H56">
        <v>2025</v>
      </c>
      <c r="J56">
        <f>_xlfn.XLOOKUP(표8[[#This Row],[location]],Location[location],Location[lat])</f>
        <v>36.99</v>
      </c>
      <c r="K56">
        <f>_xlfn.XLOOKUP(표8[[#This Row],[location]],Location[location],Location[lon])</f>
        <v>126.39</v>
      </c>
    </row>
    <row r="57" spans="1:11">
      <c r="A57" s="10" t="s">
        <v>51</v>
      </c>
      <c r="B57" s="10" t="s">
        <v>396</v>
      </c>
      <c r="C57" s="10" t="str">
        <f>_xlfn.XLOOKUP(표8[[#This Row],[supplier_id]],표7[supplier_id],표7[supplier_name])</f>
        <v>롯데케미칼</v>
      </c>
      <c r="D57" s="4">
        <v>400</v>
      </c>
      <c r="E57" s="3" t="s">
        <v>533</v>
      </c>
      <c r="F57" s="3" t="s">
        <v>704</v>
      </c>
      <c r="G57" t="s">
        <v>537</v>
      </c>
      <c r="H57">
        <v>2025</v>
      </c>
      <c r="J57">
        <f>_xlfn.XLOOKUP(표8[[#This Row],[location]],Location[location],Location[lat])</f>
        <v>34.834000000000003</v>
      </c>
      <c r="K57">
        <f>_xlfn.XLOOKUP(표8[[#This Row],[location]],Location[location],Location[lon])</f>
        <v>127.68600000000001</v>
      </c>
    </row>
    <row r="58" spans="1:11">
      <c r="A58" s="10" t="s">
        <v>51</v>
      </c>
      <c r="B58" s="3" t="s">
        <v>392</v>
      </c>
      <c r="C58" s="3" t="str">
        <f>_xlfn.XLOOKUP(표8[[#This Row],[supplier_id]],표7[supplier_id],표7[supplier_name])</f>
        <v>대한유화</v>
      </c>
      <c r="D58" s="4">
        <v>200</v>
      </c>
      <c r="E58" s="3" t="s">
        <v>533</v>
      </c>
      <c r="F58" s="3" t="s">
        <v>535</v>
      </c>
      <c r="G58" t="s">
        <v>537</v>
      </c>
      <c r="H58">
        <v>2025</v>
      </c>
      <c r="J58">
        <f>_xlfn.XLOOKUP(표8[[#This Row],[location]],Location[location],Location[lat])</f>
        <v>35.445999999999998</v>
      </c>
      <c r="K58">
        <f>_xlfn.XLOOKUP(표8[[#This Row],[location]],Location[location],Location[lon])</f>
        <v>129.334</v>
      </c>
    </row>
    <row r="59" spans="1:11">
      <c r="A59" s="10" t="s">
        <v>53</v>
      </c>
      <c r="B59" s="3" t="s">
        <v>395</v>
      </c>
      <c r="C59" s="3" t="str">
        <f>_xlfn.XLOOKUP(표8[[#This Row],[supplier_id]],표7[supplier_id],표7[supplier_name])</f>
        <v>롯데이네오스화학</v>
      </c>
      <c r="D59" s="4">
        <v>460</v>
      </c>
      <c r="E59" s="3" t="s">
        <v>533</v>
      </c>
      <c r="F59" s="3" t="s">
        <v>535</v>
      </c>
      <c r="G59" t="s">
        <v>537</v>
      </c>
      <c r="H59">
        <v>2025</v>
      </c>
      <c r="J59">
        <f>_xlfn.XLOOKUP(표8[[#This Row],[location]],Location[location],Location[lat])</f>
        <v>35.445999999999998</v>
      </c>
      <c r="K59">
        <f>_xlfn.XLOOKUP(표8[[#This Row],[location]],Location[location],Location[lon])</f>
        <v>129.334</v>
      </c>
    </row>
    <row r="60" spans="1:11">
      <c r="A60" s="10" t="s">
        <v>54</v>
      </c>
      <c r="B60" s="10" t="s">
        <v>723</v>
      </c>
      <c r="C60" s="10" t="str">
        <f>_xlfn.XLOOKUP(표8[[#This Row],[supplier_id]],표7[supplier_id],표7[supplier_name])</f>
        <v>한화토탈에너지스</v>
      </c>
      <c r="D60" s="4">
        <v>1064</v>
      </c>
      <c r="E60" s="3" t="s">
        <v>533</v>
      </c>
      <c r="F60" s="3" t="s">
        <v>735</v>
      </c>
      <c r="G60" t="s">
        <v>537</v>
      </c>
      <c r="H60">
        <v>2025</v>
      </c>
      <c r="J60">
        <f>_xlfn.XLOOKUP(표8[[#This Row],[location]],Location[location],Location[lat])</f>
        <v>36.99</v>
      </c>
      <c r="K60">
        <f>_xlfn.XLOOKUP(표8[[#This Row],[location]],Location[location],Location[lon])</f>
        <v>126.39</v>
      </c>
    </row>
    <row r="61" spans="1:11">
      <c r="A61" s="10" t="s">
        <v>54</v>
      </c>
      <c r="B61" s="10" t="s">
        <v>698</v>
      </c>
      <c r="C61" s="10" t="str">
        <f>_xlfn.XLOOKUP(표8[[#This Row],[supplier_id]],표7[supplier_id],표7[supplier_name])</f>
        <v>LG화학</v>
      </c>
      <c r="D61" s="4">
        <v>680</v>
      </c>
      <c r="E61" s="3" t="s">
        <v>533</v>
      </c>
      <c r="F61" s="3" t="s">
        <v>735</v>
      </c>
      <c r="G61" t="s">
        <v>537</v>
      </c>
      <c r="H61">
        <v>2025</v>
      </c>
      <c r="J61">
        <f>_xlfn.XLOOKUP(표8[[#This Row],[location]],Location[location],Location[lat])</f>
        <v>36.99</v>
      </c>
      <c r="K61">
        <f>_xlfn.XLOOKUP(표8[[#This Row],[location]],Location[location],Location[lon])</f>
        <v>126.39</v>
      </c>
    </row>
    <row r="62" spans="1:11">
      <c r="A62" s="10" t="s">
        <v>54</v>
      </c>
      <c r="B62" s="10" t="s">
        <v>396</v>
      </c>
      <c r="C62" s="10" t="str">
        <f>_xlfn.XLOOKUP(표8[[#This Row],[supplier_id]],표7[supplier_id],표7[supplier_name])</f>
        <v>롯데케미칼</v>
      </c>
      <c r="D62" s="4">
        <v>550</v>
      </c>
      <c r="E62" s="3" t="s">
        <v>533</v>
      </c>
      <c r="F62" s="3" t="s">
        <v>735</v>
      </c>
      <c r="G62" t="s">
        <v>537</v>
      </c>
      <c r="H62">
        <v>2025</v>
      </c>
      <c r="J62">
        <f>_xlfn.XLOOKUP(표8[[#This Row],[location]],Location[location],Location[lat])</f>
        <v>36.99</v>
      </c>
      <c r="K62">
        <f>_xlfn.XLOOKUP(표8[[#This Row],[location]],Location[location],Location[lon])</f>
        <v>126.39</v>
      </c>
    </row>
    <row r="63" spans="1:11">
      <c r="A63" s="10" t="s">
        <v>54</v>
      </c>
      <c r="B63" s="10" t="s">
        <v>724</v>
      </c>
      <c r="C63" s="10" t="str">
        <f>_xlfn.XLOOKUP(표8[[#This Row],[supplier_id]],표7[supplier_id],표7[supplier_name])</f>
        <v>HD현대케미칼</v>
      </c>
      <c r="D63" s="4">
        <v>451</v>
      </c>
      <c r="E63" s="3" t="s">
        <v>533</v>
      </c>
      <c r="F63" s="3" t="s">
        <v>735</v>
      </c>
      <c r="G63" t="s">
        <v>537</v>
      </c>
      <c r="H63">
        <v>2025</v>
      </c>
      <c r="J63">
        <f>_xlfn.XLOOKUP(표8[[#This Row],[location]],Location[location],Location[lat])</f>
        <v>36.99</v>
      </c>
      <c r="K63">
        <f>_xlfn.XLOOKUP(표8[[#This Row],[location]],Location[location],Location[lon])</f>
        <v>126.39</v>
      </c>
    </row>
    <row r="64" spans="1:11">
      <c r="A64" s="10" t="s">
        <v>54</v>
      </c>
      <c r="B64" s="10" t="s">
        <v>734</v>
      </c>
      <c r="C64" s="10" t="str">
        <f>_xlfn.XLOOKUP(표8[[#This Row],[supplier_id]],표7[supplier_id],표7[supplier_name])</f>
        <v>HD현대오일뱅크</v>
      </c>
      <c r="D64" s="4">
        <v>420</v>
      </c>
      <c r="E64" s="3" t="s">
        <v>533</v>
      </c>
      <c r="F64" s="3" t="s">
        <v>735</v>
      </c>
      <c r="G64" t="s">
        <v>537</v>
      </c>
      <c r="H64">
        <v>2025</v>
      </c>
      <c r="J64">
        <f>_xlfn.XLOOKUP(표8[[#This Row],[location]],Location[location],Location[lat])</f>
        <v>36.99</v>
      </c>
      <c r="K64">
        <f>_xlfn.XLOOKUP(표8[[#This Row],[location]],Location[location],Location[lon])</f>
        <v>126.39</v>
      </c>
    </row>
    <row r="65" spans="1:11">
      <c r="A65" s="10" t="s">
        <v>54</v>
      </c>
      <c r="B65" s="10" t="s">
        <v>698</v>
      </c>
      <c r="C65" s="10" t="str">
        <f>_xlfn.XLOOKUP(표8[[#This Row],[supplier_id]],표7[supplier_id],표7[supplier_name])</f>
        <v>LG화학</v>
      </c>
      <c r="D65" s="4">
        <v>1300</v>
      </c>
      <c r="E65" s="3" t="s">
        <v>533</v>
      </c>
      <c r="F65" s="3" t="s">
        <v>704</v>
      </c>
      <c r="G65" t="s">
        <v>537</v>
      </c>
      <c r="H65">
        <v>2025</v>
      </c>
      <c r="J65">
        <f>_xlfn.XLOOKUP(표8[[#This Row],[location]],Location[location],Location[lat])</f>
        <v>34.834000000000003</v>
      </c>
      <c r="K65">
        <f>_xlfn.XLOOKUP(표8[[#This Row],[location]],Location[location],Location[lon])</f>
        <v>127.68600000000001</v>
      </c>
    </row>
    <row r="66" spans="1:11">
      <c r="A66" s="10" t="s">
        <v>54</v>
      </c>
      <c r="B66" s="10" t="s">
        <v>699</v>
      </c>
      <c r="C66" s="10" t="str">
        <f>_xlfn.XLOOKUP(표8[[#This Row],[supplier_id]],표7[supplier_id],표7[supplier_name])</f>
        <v>여천NCC</v>
      </c>
      <c r="D66" s="4">
        <v>1289</v>
      </c>
      <c r="E66" s="3" t="s">
        <v>533</v>
      </c>
      <c r="F66" s="3" t="s">
        <v>704</v>
      </c>
      <c r="G66" t="s">
        <v>537</v>
      </c>
      <c r="H66">
        <v>2025</v>
      </c>
      <c r="J66">
        <f>_xlfn.XLOOKUP(표8[[#This Row],[location]],Location[location],Location[lat])</f>
        <v>34.834000000000003</v>
      </c>
      <c r="K66">
        <f>_xlfn.XLOOKUP(표8[[#This Row],[location]],Location[location],Location[lon])</f>
        <v>127.68600000000001</v>
      </c>
    </row>
    <row r="67" spans="1:11">
      <c r="A67" s="10" t="s">
        <v>54</v>
      </c>
      <c r="B67" s="10" t="s">
        <v>700</v>
      </c>
      <c r="C67" s="10" t="str">
        <f>_xlfn.XLOOKUP(표8[[#This Row],[supplier_id]],표7[supplier_id],표7[supplier_name])</f>
        <v>GS칼텍스</v>
      </c>
      <c r="D67" s="4">
        <v>970</v>
      </c>
      <c r="E67" s="3" t="s">
        <v>533</v>
      </c>
      <c r="F67" s="3" t="s">
        <v>704</v>
      </c>
      <c r="G67" t="s">
        <v>537</v>
      </c>
      <c r="H67">
        <v>2025</v>
      </c>
      <c r="J67">
        <f>_xlfn.XLOOKUP(표8[[#This Row],[location]],Location[location],Location[lat])</f>
        <v>34.834000000000003</v>
      </c>
      <c r="K67">
        <f>_xlfn.XLOOKUP(표8[[#This Row],[location]],Location[location],Location[lon])</f>
        <v>127.68600000000001</v>
      </c>
    </row>
    <row r="68" spans="1:11">
      <c r="A68" s="10" t="s">
        <v>54</v>
      </c>
      <c r="B68" s="10" t="s">
        <v>396</v>
      </c>
      <c r="C68" s="10" t="str">
        <f>_xlfn.XLOOKUP(표8[[#This Row],[supplier_id]],표7[supplier_id],표7[supplier_name])</f>
        <v>롯데케미칼</v>
      </c>
      <c r="D68" s="4">
        <v>641</v>
      </c>
      <c r="E68" s="3" t="s">
        <v>533</v>
      </c>
      <c r="F68" s="3" t="s">
        <v>704</v>
      </c>
      <c r="G68" t="s">
        <v>537</v>
      </c>
      <c r="H68">
        <v>2025</v>
      </c>
      <c r="J68">
        <f>_xlfn.XLOOKUP(표8[[#This Row],[location]],Location[location],Location[lat])</f>
        <v>34.834000000000003</v>
      </c>
      <c r="K68">
        <f>_xlfn.XLOOKUP(표8[[#This Row],[location]],Location[location],Location[lon])</f>
        <v>127.68600000000001</v>
      </c>
    </row>
    <row r="69" spans="1:11">
      <c r="A69" t="s">
        <v>54</v>
      </c>
      <c r="B69" s="3" t="s">
        <v>399</v>
      </c>
      <c r="C69" s="3" t="str">
        <f>_xlfn.XLOOKUP(표8[[#This Row],[supplier_id]],표7[supplier_id],표7[supplier_name])</f>
        <v>S-OIL</v>
      </c>
      <c r="D69" s="4">
        <v>840</v>
      </c>
      <c r="E69" s="3" t="s">
        <v>533</v>
      </c>
      <c r="F69" s="3" t="s">
        <v>535</v>
      </c>
      <c r="G69" t="s">
        <v>537</v>
      </c>
      <c r="H69">
        <v>2025</v>
      </c>
      <c r="J69">
        <f>_xlfn.XLOOKUP(표8[[#This Row],[location]],Location[location],Location[lat])</f>
        <v>35.445999999999998</v>
      </c>
      <c r="K69">
        <f>_xlfn.XLOOKUP(표8[[#This Row],[location]],Location[location],Location[lon])</f>
        <v>129.334</v>
      </c>
    </row>
    <row r="70" spans="1:11">
      <c r="A70" t="s">
        <v>54</v>
      </c>
      <c r="B70" t="s">
        <v>401</v>
      </c>
      <c r="C70" s="3" t="str">
        <f>_xlfn.XLOOKUP(표8[[#This Row],[supplier_id]],표7[supplier_id],표7[supplier_name])</f>
        <v>SK에너지</v>
      </c>
      <c r="D70" s="4">
        <v>620</v>
      </c>
      <c r="E70" s="3" t="s">
        <v>533</v>
      </c>
      <c r="F70" s="3" t="s">
        <v>535</v>
      </c>
      <c r="G70" t="s">
        <v>537</v>
      </c>
      <c r="H70">
        <v>2025</v>
      </c>
      <c r="J70">
        <f>_xlfn.XLOOKUP(표8[[#This Row],[location]],Location[location],Location[lat])</f>
        <v>35.445999999999998</v>
      </c>
      <c r="K70">
        <f>_xlfn.XLOOKUP(표8[[#This Row],[location]],Location[location],Location[lon])</f>
        <v>129.334</v>
      </c>
    </row>
    <row r="71" spans="1:11">
      <c r="A71" t="s">
        <v>54</v>
      </c>
      <c r="B71" t="s">
        <v>400</v>
      </c>
      <c r="C71" s="3" t="str">
        <f>_xlfn.XLOOKUP(표8[[#This Row],[supplier_id]],표7[supplier_id],표7[supplier_name])</f>
        <v>SK어드밴스드</v>
      </c>
      <c r="D71" s="4">
        <v>600</v>
      </c>
      <c r="E71" s="3" t="s">
        <v>533</v>
      </c>
      <c r="F71" s="3" t="s">
        <v>535</v>
      </c>
      <c r="G71" t="s">
        <v>537</v>
      </c>
      <c r="H71">
        <v>2025</v>
      </c>
      <c r="J71">
        <f>_xlfn.XLOOKUP(표8[[#This Row],[location]],Location[location],Location[lat])</f>
        <v>35.445999999999998</v>
      </c>
      <c r="K71">
        <f>_xlfn.XLOOKUP(표8[[#This Row],[location]],Location[location],Location[lon])</f>
        <v>129.334</v>
      </c>
    </row>
    <row r="72" spans="1:11">
      <c r="A72" t="s">
        <v>54</v>
      </c>
      <c r="B72" t="s">
        <v>392</v>
      </c>
      <c r="C72" s="3" t="str">
        <f>_xlfn.XLOOKUP(표8[[#This Row],[supplier_id]],표7[supplier_id],표7[supplier_name])</f>
        <v>대한유화</v>
      </c>
      <c r="D72" s="4">
        <v>560</v>
      </c>
      <c r="E72" s="3" t="s">
        <v>533</v>
      </c>
      <c r="F72" s="3" t="s">
        <v>535</v>
      </c>
      <c r="G72" t="s">
        <v>537</v>
      </c>
      <c r="H72">
        <v>2025</v>
      </c>
      <c r="J72">
        <f>_xlfn.XLOOKUP(표8[[#This Row],[location]],Location[location],Location[lat])</f>
        <v>35.445999999999998</v>
      </c>
      <c r="K72">
        <f>_xlfn.XLOOKUP(표8[[#This Row],[location]],Location[location],Location[lon])</f>
        <v>129.334</v>
      </c>
    </row>
    <row r="73" spans="1:11">
      <c r="A73" t="s">
        <v>54</v>
      </c>
      <c r="B73" t="s">
        <v>452</v>
      </c>
      <c r="C73" t="str">
        <f>_xlfn.XLOOKUP(표8[[#This Row],[supplier_id]],표7[supplier_id],표7[supplier_name])</f>
        <v>효성화학</v>
      </c>
      <c r="D73" s="9">
        <v>500</v>
      </c>
      <c r="E73" s="3" t="s">
        <v>533</v>
      </c>
      <c r="F73" s="3" t="s">
        <v>535</v>
      </c>
      <c r="G73" t="s">
        <v>537</v>
      </c>
      <c r="H73">
        <v>2025</v>
      </c>
      <c r="J73">
        <f>_xlfn.XLOOKUP(표8[[#This Row],[location]],Location[location],Location[lat])</f>
        <v>35.445999999999998</v>
      </c>
      <c r="K73">
        <f>_xlfn.XLOOKUP(표8[[#This Row],[location]],Location[location],Location[lon])</f>
        <v>129.334</v>
      </c>
    </row>
    <row r="74" spans="1:11">
      <c r="A74" t="s">
        <v>54</v>
      </c>
      <c r="B74" t="s">
        <v>402</v>
      </c>
      <c r="C74" t="str">
        <f>_xlfn.XLOOKUP(표8[[#This Row],[supplier_id]],표7[supplier_id],표7[supplier_name])</f>
        <v>SK지오센트릭</v>
      </c>
      <c r="D74" s="9">
        <v>380</v>
      </c>
      <c r="E74" s="3" t="s">
        <v>533</v>
      </c>
      <c r="F74" s="3" t="s">
        <v>535</v>
      </c>
      <c r="G74" t="s">
        <v>537</v>
      </c>
      <c r="H74">
        <v>2025</v>
      </c>
      <c r="J74">
        <f>_xlfn.XLOOKUP(표8[[#This Row],[location]],Location[location],Location[lat])</f>
        <v>35.445999999999998</v>
      </c>
      <c r="K74">
        <f>_xlfn.XLOOKUP(표8[[#This Row],[location]],Location[location],Location[lon])</f>
        <v>129.334</v>
      </c>
    </row>
    <row r="75" spans="1:11">
      <c r="A75" t="s">
        <v>54</v>
      </c>
      <c r="B75" t="s">
        <v>445</v>
      </c>
      <c r="C75" t="str">
        <f>_xlfn.XLOOKUP(표8[[#This Row],[supplier_id]],표7[supplier_id],표7[supplier_name])</f>
        <v>태광산업</v>
      </c>
      <c r="D75" s="9">
        <v>300</v>
      </c>
      <c r="E75" s="3" t="s">
        <v>533</v>
      </c>
      <c r="F75" s="3" t="s">
        <v>535</v>
      </c>
      <c r="G75" t="s">
        <v>537</v>
      </c>
      <c r="H75">
        <v>2025</v>
      </c>
      <c r="J75">
        <f>_xlfn.XLOOKUP(표8[[#This Row],[location]],Location[location],Location[lat])</f>
        <v>35.445999999999998</v>
      </c>
      <c r="K75">
        <f>_xlfn.XLOOKUP(표8[[#This Row],[location]],Location[location],Location[lon])</f>
        <v>129.334</v>
      </c>
    </row>
    <row r="76" spans="1:11">
      <c r="A76" s="8" t="s">
        <v>55</v>
      </c>
      <c r="B76" t="s">
        <v>394</v>
      </c>
      <c r="C76" t="str">
        <f>_xlfn.XLOOKUP(표8[[#This Row],[supplier_id]],표7[supplier_id],표7[supplier_name])</f>
        <v>동서석유화학</v>
      </c>
      <c r="D76" s="9">
        <v>602</v>
      </c>
      <c r="E76" s="3" t="s">
        <v>533</v>
      </c>
      <c r="F76" s="3" t="s">
        <v>535</v>
      </c>
      <c r="G76" t="s">
        <v>537</v>
      </c>
      <c r="H76">
        <v>2025</v>
      </c>
      <c r="J76">
        <f>_xlfn.XLOOKUP(표8[[#This Row],[location]],Location[location],Location[lat])</f>
        <v>35.445999999999998</v>
      </c>
      <c r="K76">
        <f>_xlfn.XLOOKUP(표8[[#This Row],[location]],Location[location],Location[lon])</f>
        <v>129.334</v>
      </c>
    </row>
    <row r="77" spans="1:11">
      <c r="A77" s="8" t="s">
        <v>55</v>
      </c>
      <c r="B77" t="s">
        <v>445</v>
      </c>
      <c r="C77" t="str">
        <f>_xlfn.XLOOKUP(표8[[#This Row],[supplier_id]],표7[supplier_id],표7[supplier_name])</f>
        <v>태광산업</v>
      </c>
      <c r="D77" s="9">
        <v>290</v>
      </c>
      <c r="E77" s="3" t="s">
        <v>533</v>
      </c>
      <c r="F77" s="3" t="s">
        <v>535</v>
      </c>
      <c r="G77" t="s">
        <v>537</v>
      </c>
      <c r="H77">
        <v>2025</v>
      </c>
      <c r="J77">
        <f>_xlfn.XLOOKUP(표8[[#This Row],[location]],Location[location],Location[lat])</f>
        <v>35.445999999999998</v>
      </c>
      <c r="K77">
        <f>_xlfn.XLOOKUP(표8[[#This Row],[location]],Location[location],Location[lon])</f>
        <v>129.334</v>
      </c>
    </row>
    <row r="78" spans="1:11">
      <c r="A78" s="8" t="s">
        <v>56</v>
      </c>
      <c r="B78" s="8" t="s">
        <v>698</v>
      </c>
      <c r="C78" s="10" t="str">
        <f>_xlfn.XLOOKUP(표8[[#This Row],[supplier_id]],표7[supplier_id],표7[supplier_name])</f>
        <v>LG화학</v>
      </c>
      <c r="D78" s="4">
        <v>1030</v>
      </c>
      <c r="E78" t="s">
        <v>533</v>
      </c>
      <c r="F78" s="3" t="s">
        <v>704</v>
      </c>
      <c r="G78" t="s">
        <v>537</v>
      </c>
      <c r="H78">
        <v>2025</v>
      </c>
      <c r="J78">
        <f>_xlfn.XLOOKUP(표8[[#This Row],[location]],Location[location],Location[lat])</f>
        <v>34.834000000000003</v>
      </c>
      <c r="K78">
        <f>_xlfn.XLOOKUP(표8[[#This Row],[location]],Location[location],Location[lon])</f>
        <v>127.68600000000001</v>
      </c>
    </row>
    <row r="79" spans="1:11">
      <c r="A79" s="8" t="s">
        <v>56</v>
      </c>
      <c r="B79" s="8" t="s">
        <v>396</v>
      </c>
      <c r="C79" s="10" t="str">
        <f>_xlfn.XLOOKUP(표8[[#This Row],[supplier_id]],표7[supplier_id],표7[supplier_name])</f>
        <v>롯데케미칼</v>
      </c>
      <c r="D79" s="4">
        <v>757</v>
      </c>
      <c r="E79" t="s">
        <v>533</v>
      </c>
      <c r="F79" s="3" t="s">
        <v>704</v>
      </c>
      <c r="G79" t="s">
        <v>537</v>
      </c>
      <c r="H79">
        <v>2025</v>
      </c>
      <c r="J79">
        <f>_xlfn.XLOOKUP(표8[[#This Row],[location]],Location[location],Location[lat])</f>
        <v>34.834000000000003</v>
      </c>
      <c r="K79">
        <f>_xlfn.XLOOKUP(표8[[#This Row],[location]],Location[location],Location[lon])</f>
        <v>127.68600000000001</v>
      </c>
    </row>
    <row r="80" spans="1:11">
      <c r="A80" t="s">
        <v>56</v>
      </c>
      <c r="B80" t="s">
        <v>390</v>
      </c>
      <c r="C80" t="str">
        <f>_xlfn.XLOOKUP(표8[[#This Row],[supplier_id]],표7[supplier_id],표7[supplier_name])</f>
        <v>금호석유화학</v>
      </c>
      <c r="D80" s="9">
        <v>290</v>
      </c>
      <c r="E80" t="s">
        <v>533</v>
      </c>
      <c r="F80" s="3" t="s">
        <v>535</v>
      </c>
      <c r="G80" t="s">
        <v>537</v>
      </c>
      <c r="H80">
        <v>2025</v>
      </c>
      <c r="J80">
        <f>_xlfn.XLOOKUP(표8[[#This Row],[location]],Location[location],Location[lat])</f>
        <v>35.445999999999998</v>
      </c>
      <c r="K80">
        <f>_xlfn.XLOOKUP(표8[[#This Row],[location]],Location[location],Location[lon])</f>
        <v>129.334</v>
      </c>
    </row>
    <row r="81" spans="1:11">
      <c r="A81" t="s">
        <v>56</v>
      </c>
      <c r="B81" t="s">
        <v>448</v>
      </c>
      <c r="C81" t="str">
        <f>_xlfn.XLOOKUP(표8[[#This Row],[supplier_id]],표7[supplier_id],표7[supplier_name])</f>
        <v>한국이네오스스티롤루션</v>
      </c>
      <c r="D81" s="9">
        <v>276</v>
      </c>
      <c r="E81" t="s">
        <v>533</v>
      </c>
      <c r="F81" s="3" t="s">
        <v>535</v>
      </c>
      <c r="G81" t="s">
        <v>537</v>
      </c>
      <c r="H81">
        <v>2025</v>
      </c>
      <c r="J81">
        <f>_xlfn.XLOOKUP(표8[[#This Row],[location]],Location[location],Location[lat])</f>
        <v>35.445999999999998</v>
      </c>
      <c r="K81">
        <f>_xlfn.XLOOKUP(표8[[#This Row],[location]],Location[location],Location[lon])</f>
        <v>129.334</v>
      </c>
    </row>
    <row r="82" spans="1:11">
      <c r="A82" t="s">
        <v>1026</v>
      </c>
      <c r="B82" t="s">
        <v>1023</v>
      </c>
      <c r="C82" s="8" t="str">
        <f>_xlfn.XLOOKUP(표8[[#This Row],[supplier_id]],표7[supplier_id],표7[supplier_name])</f>
        <v>LG화학</v>
      </c>
      <c r="D82" s="9">
        <v>70</v>
      </c>
      <c r="E82" t="s">
        <v>533</v>
      </c>
      <c r="F82" s="3" t="s">
        <v>704</v>
      </c>
      <c r="G82" t="s">
        <v>991</v>
      </c>
      <c r="H82">
        <v>2022</v>
      </c>
      <c r="J82">
        <f>_xlfn.XLOOKUP(표8[[#This Row],[location]],Location[location],Location[lat])</f>
        <v>34.834000000000003</v>
      </c>
      <c r="K82">
        <f>_xlfn.XLOOKUP(표8[[#This Row],[location]],Location[location],Location[lon])</f>
        <v>127.68600000000001</v>
      </c>
    </row>
    <row r="83" spans="1:11">
      <c r="A83" s="8" t="s">
        <v>1026</v>
      </c>
      <c r="B83" t="s">
        <v>1025</v>
      </c>
      <c r="C83" s="8" t="str">
        <f>_xlfn.XLOOKUP(표8[[#This Row],[supplier_id]],표7[supplier_id],표7[supplier_name])</f>
        <v>롯데케미칼</v>
      </c>
      <c r="D83" s="9">
        <v>40</v>
      </c>
      <c r="E83" t="s">
        <v>533</v>
      </c>
      <c r="F83" s="3" t="s">
        <v>704</v>
      </c>
      <c r="G83" t="s">
        <v>991</v>
      </c>
      <c r="H83">
        <v>2022</v>
      </c>
      <c r="J83">
        <f>_xlfn.XLOOKUP(표8[[#This Row],[location]],Location[location],Location[lat])</f>
        <v>34.834000000000003</v>
      </c>
      <c r="K83">
        <f>_xlfn.XLOOKUP(표8[[#This Row],[location]],Location[location],Location[lon])</f>
        <v>127.68600000000001</v>
      </c>
    </row>
    <row r="84" spans="1:11">
      <c r="A84" t="s">
        <v>1026</v>
      </c>
      <c r="B84" t="s">
        <v>391</v>
      </c>
      <c r="C84" s="8" t="str">
        <f>_xlfn.XLOOKUP(표8[[#This Row],[supplier_id]],표7[supplier_id],표7[supplier_name])</f>
        <v>금호석유화학</v>
      </c>
      <c r="D84" s="9">
        <v>50</v>
      </c>
      <c r="E84" t="s">
        <v>533</v>
      </c>
      <c r="F84" s="3" t="s">
        <v>535</v>
      </c>
      <c r="G84" t="s">
        <v>991</v>
      </c>
      <c r="H84">
        <v>2022</v>
      </c>
      <c r="J84">
        <f>_xlfn.XLOOKUP(표8[[#This Row],[location]],Location[location],Location[lat])</f>
        <v>35.445999999999998</v>
      </c>
      <c r="K84">
        <f>_xlfn.XLOOKUP(표8[[#This Row],[location]],Location[location],Location[lon])</f>
        <v>129.334</v>
      </c>
    </row>
    <row r="85" spans="1:11">
      <c r="A85" s="8" t="s">
        <v>58</v>
      </c>
      <c r="B85" s="8" t="s">
        <v>698</v>
      </c>
      <c r="C85" s="8" t="str">
        <f>_xlfn.XLOOKUP(표8[[#This Row],[supplier_id]],표7[supplier_id],표7[supplier_name])</f>
        <v>LG화학</v>
      </c>
      <c r="D85" s="9">
        <v>65</v>
      </c>
      <c r="E85" t="s">
        <v>533</v>
      </c>
      <c r="F85" s="3" t="s">
        <v>735</v>
      </c>
      <c r="G85" t="s">
        <v>537</v>
      </c>
      <c r="H85">
        <v>2025</v>
      </c>
      <c r="J85">
        <f>_xlfn.XLOOKUP(표8[[#This Row],[location]],Location[location],Location[lat])</f>
        <v>36.99</v>
      </c>
      <c r="K85">
        <f>_xlfn.XLOOKUP(표8[[#This Row],[location]],Location[location],Location[lon])</f>
        <v>126.39</v>
      </c>
    </row>
    <row r="86" spans="1:11">
      <c r="A86" t="s">
        <v>58</v>
      </c>
      <c r="B86" t="s">
        <v>390</v>
      </c>
      <c r="C86" t="str">
        <f>_xlfn.XLOOKUP(표8[[#This Row],[supplier_id]],표7[supplier_id],표7[supplier_name])</f>
        <v>금호석유화학</v>
      </c>
      <c r="D86" s="9">
        <v>92</v>
      </c>
      <c r="E86" t="s">
        <v>533</v>
      </c>
      <c r="F86" s="3" t="s">
        <v>535</v>
      </c>
      <c r="G86" t="s">
        <v>537</v>
      </c>
      <c r="H86">
        <v>2025</v>
      </c>
      <c r="J86">
        <f>_xlfn.XLOOKUP(표8[[#This Row],[location]],Location[location],Location[lat])</f>
        <v>35.445999999999998</v>
      </c>
      <c r="K86">
        <f>_xlfn.XLOOKUP(표8[[#This Row],[location]],Location[location],Location[lon])</f>
        <v>129.334</v>
      </c>
    </row>
    <row r="87" spans="1:11">
      <c r="A87" s="8" t="s">
        <v>59</v>
      </c>
      <c r="B87" s="8" t="s">
        <v>723</v>
      </c>
      <c r="C87" s="8" t="str">
        <f>_xlfn.XLOOKUP(표8[[#This Row],[supplier_id]],표7[supplier_id],표7[supplier_name])</f>
        <v>한화토탈에너지스</v>
      </c>
      <c r="D87" s="9">
        <v>1117</v>
      </c>
      <c r="E87" t="s">
        <v>533</v>
      </c>
      <c r="F87" s="3" t="s">
        <v>735</v>
      </c>
      <c r="G87" t="s">
        <v>537</v>
      </c>
      <c r="H87">
        <v>2025</v>
      </c>
      <c r="J87">
        <f>_xlfn.XLOOKUP(표8[[#This Row],[location]],Location[location],Location[lat])</f>
        <v>36.99</v>
      </c>
      <c r="K87">
        <f>_xlfn.XLOOKUP(표8[[#This Row],[location]],Location[location],Location[lon])</f>
        <v>126.39</v>
      </c>
    </row>
    <row r="88" spans="1:11">
      <c r="A88" s="8" t="s">
        <v>59</v>
      </c>
      <c r="B88" s="8" t="s">
        <v>724</v>
      </c>
      <c r="C88" s="8" t="str">
        <f>_xlfn.XLOOKUP(표8[[#This Row],[supplier_id]],표7[supplier_id],표7[supplier_name])</f>
        <v>HD현대케미칼</v>
      </c>
      <c r="D88" s="9">
        <v>500</v>
      </c>
      <c r="E88" t="s">
        <v>533</v>
      </c>
      <c r="F88" s="3" t="s">
        <v>735</v>
      </c>
      <c r="G88" t="s">
        <v>537</v>
      </c>
      <c r="H88">
        <v>2025</v>
      </c>
      <c r="J88">
        <f>_xlfn.XLOOKUP(표8[[#This Row],[location]],Location[location],Location[lat])</f>
        <v>36.99</v>
      </c>
      <c r="K88">
        <f>_xlfn.XLOOKUP(표8[[#This Row],[location]],Location[location],Location[lon])</f>
        <v>126.39</v>
      </c>
    </row>
    <row r="89" spans="1:11">
      <c r="A89" s="8" t="s">
        <v>59</v>
      </c>
      <c r="B89" s="8" t="s">
        <v>396</v>
      </c>
      <c r="C89" s="8" t="str">
        <f>_xlfn.XLOOKUP(표8[[#This Row],[supplier_id]],표7[supplier_id],표7[supplier_name])</f>
        <v>롯데케미칼</v>
      </c>
      <c r="D89" s="9">
        <v>490</v>
      </c>
      <c r="E89" t="s">
        <v>533</v>
      </c>
      <c r="F89" s="3" t="s">
        <v>735</v>
      </c>
      <c r="G89" t="s">
        <v>537</v>
      </c>
      <c r="H89">
        <v>2025</v>
      </c>
      <c r="J89">
        <f>_xlfn.XLOOKUP(표8[[#This Row],[location]],Location[location],Location[lat])</f>
        <v>36.99</v>
      </c>
      <c r="K89">
        <f>_xlfn.XLOOKUP(표8[[#This Row],[location]],Location[location],Location[lon])</f>
        <v>126.39</v>
      </c>
    </row>
    <row r="90" spans="1:11">
      <c r="A90" s="8" t="s">
        <v>59</v>
      </c>
      <c r="B90" s="8" t="s">
        <v>698</v>
      </c>
      <c r="C90" s="8" t="str">
        <f>_xlfn.XLOOKUP(표8[[#This Row],[supplier_id]],표7[supplier_id],표7[supplier_name])</f>
        <v>LG화학</v>
      </c>
      <c r="D90" s="9">
        <v>380</v>
      </c>
      <c r="E90" t="s">
        <v>533</v>
      </c>
      <c r="F90" s="3" t="s">
        <v>735</v>
      </c>
      <c r="G90" t="s">
        <v>537</v>
      </c>
      <c r="H90">
        <v>2025</v>
      </c>
      <c r="J90">
        <f>_xlfn.XLOOKUP(표8[[#This Row],[location]],Location[location],Location[lat])</f>
        <v>36.99</v>
      </c>
      <c r="K90">
        <f>_xlfn.XLOOKUP(표8[[#This Row],[location]],Location[location],Location[lon])</f>
        <v>126.39</v>
      </c>
    </row>
    <row r="91" spans="1:11">
      <c r="A91" s="8" t="s">
        <v>59</v>
      </c>
      <c r="B91" s="8" t="s">
        <v>701</v>
      </c>
      <c r="C91" s="8" t="str">
        <f>_xlfn.XLOOKUP(표8[[#This Row],[supplier_id]],표7[supplier_id],표7[supplier_name])</f>
        <v>폴리미래</v>
      </c>
      <c r="D91" s="9">
        <v>730</v>
      </c>
      <c r="E91" t="s">
        <v>533</v>
      </c>
      <c r="F91" s="3" t="s">
        <v>704</v>
      </c>
      <c r="G91" t="s">
        <v>537</v>
      </c>
      <c r="H91">
        <v>2025</v>
      </c>
      <c r="J91">
        <f>_xlfn.XLOOKUP(표8[[#This Row],[location]],Location[location],Location[lat])</f>
        <v>34.834000000000003</v>
      </c>
      <c r="K91">
        <f>_xlfn.XLOOKUP(표8[[#This Row],[location]],Location[location],Location[lon])</f>
        <v>127.68600000000001</v>
      </c>
    </row>
    <row r="92" spans="1:11">
      <c r="A92" s="8" t="s">
        <v>59</v>
      </c>
      <c r="B92" s="8" t="s">
        <v>396</v>
      </c>
      <c r="C92" s="8" t="str">
        <f>_xlfn.XLOOKUP(표8[[#This Row],[supplier_id]],표7[supplier_id],표7[supplier_name])</f>
        <v>롯데케미칼</v>
      </c>
      <c r="D92" s="9">
        <v>600</v>
      </c>
      <c r="E92" t="s">
        <v>533</v>
      </c>
      <c r="F92" s="3" t="s">
        <v>704</v>
      </c>
      <c r="G92" t="s">
        <v>537</v>
      </c>
      <c r="H92">
        <v>2025</v>
      </c>
      <c r="J92">
        <f>_xlfn.XLOOKUP(표8[[#This Row],[location]],Location[location],Location[lat])</f>
        <v>34.834000000000003</v>
      </c>
      <c r="K92">
        <f>_xlfn.XLOOKUP(표8[[#This Row],[location]],Location[location],Location[lon])</f>
        <v>127.68600000000001</v>
      </c>
    </row>
    <row r="93" spans="1:11">
      <c r="A93" s="8" t="s">
        <v>59</v>
      </c>
      <c r="B93" s="8" t="s">
        <v>700</v>
      </c>
      <c r="C93" s="8" t="str">
        <f>_xlfn.XLOOKUP(표8[[#This Row],[supplier_id]],표7[supplier_id],표7[supplier_name])</f>
        <v>GS칼텍스</v>
      </c>
      <c r="D93" s="9">
        <v>180</v>
      </c>
      <c r="E93" t="s">
        <v>533</v>
      </c>
      <c r="F93" s="3" t="s">
        <v>704</v>
      </c>
      <c r="G93" t="s">
        <v>537</v>
      </c>
      <c r="H93">
        <v>2025</v>
      </c>
      <c r="J93">
        <f>_xlfn.XLOOKUP(표8[[#This Row],[location]],Location[location],Location[lat])</f>
        <v>34.834000000000003</v>
      </c>
      <c r="K93">
        <f>_xlfn.XLOOKUP(표8[[#This Row],[location]],Location[location],Location[lon])</f>
        <v>127.68600000000001</v>
      </c>
    </row>
    <row r="94" spans="1:11">
      <c r="A94" s="8" t="s">
        <v>59</v>
      </c>
      <c r="B94" t="s">
        <v>452</v>
      </c>
      <c r="C94" t="str">
        <f>_xlfn.XLOOKUP(표8[[#This Row],[supplier_id]],표7[supplier_id],표7[supplier_name])</f>
        <v>효성화학</v>
      </c>
      <c r="D94" s="9">
        <v>600</v>
      </c>
      <c r="E94" t="s">
        <v>533</v>
      </c>
      <c r="F94" s="3" t="s">
        <v>535</v>
      </c>
      <c r="G94" t="s">
        <v>537</v>
      </c>
      <c r="H94">
        <v>2025</v>
      </c>
      <c r="J94">
        <f>_xlfn.XLOOKUP(표8[[#This Row],[location]],Location[location],Location[lat])</f>
        <v>35.445999999999998</v>
      </c>
      <c r="K94">
        <f>_xlfn.XLOOKUP(표8[[#This Row],[location]],Location[location],Location[lon])</f>
        <v>129.334</v>
      </c>
    </row>
    <row r="95" spans="1:11">
      <c r="A95" s="8" t="s">
        <v>59</v>
      </c>
      <c r="B95" t="s">
        <v>392</v>
      </c>
      <c r="C95" t="str">
        <f>_xlfn.XLOOKUP(표8[[#This Row],[supplier_id]],표7[supplier_id],표7[supplier_name])</f>
        <v>대한유화</v>
      </c>
      <c r="D95" s="9">
        <v>550</v>
      </c>
      <c r="E95" t="s">
        <v>533</v>
      </c>
      <c r="F95" s="3" t="s">
        <v>535</v>
      </c>
      <c r="G95" t="s">
        <v>537</v>
      </c>
      <c r="H95">
        <v>2025</v>
      </c>
      <c r="J95">
        <f>_xlfn.XLOOKUP(표8[[#This Row],[location]],Location[location],Location[lat])</f>
        <v>35.445999999999998</v>
      </c>
      <c r="K95">
        <f>_xlfn.XLOOKUP(표8[[#This Row],[location]],Location[location],Location[lon])</f>
        <v>129.334</v>
      </c>
    </row>
    <row r="96" spans="1:11">
      <c r="A96" s="8" t="s">
        <v>59</v>
      </c>
      <c r="B96" t="s">
        <v>402</v>
      </c>
      <c r="C96" t="str">
        <f>_xlfn.XLOOKUP(표8[[#This Row],[supplier_id]],표7[supplier_id],표7[supplier_name])</f>
        <v>SK지오센트릭</v>
      </c>
      <c r="D96" s="9">
        <v>432</v>
      </c>
      <c r="E96" t="s">
        <v>533</v>
      </c>
      <c r="F96" s="3" t="s">
        <v>535</v>
      </c>
      <c r="G96" t="s">
        <v>537</v>
      </c>
      <c r="H96">
        <v>2025</v>
      </c>
      <c r="J96">
        <f>_xlfn.XLOOKUP(표8[[#This Row],[location]],Location[location],Location[lat])</f>
        <v>35.445999999999998</v>
      </c>
      <c r="K96">
        <f>_xlfn.XLOOKUP(표8[[#This Row],[location]],Location[location],Location[lon])</f>
        <v>129.334</v>
      </c>
    </row>
    <row r="97" spans="1:11">
      <c r="A97" s="8" t="s">
        <v>59</v>
      </c>
      <c r="B97" t="s">
        <v>399</v>
      </c>
      <c r="C97" t="str">
        <f>_xlfn.XLOOKUP(표8[[#This Row],[supplier_id]],표7[supplier_id],표7[supplier_name])</f>
        <v>S-OIL</v>
      </c>
      <c r="D97" s="9">
        <v>405</v>
      </c>
      <c r="E97" t="s">
        <v>533</v>
      </c>
      <c r="F97" s="3" t="s">
        <v>535</v>
      </c>
      <c r="G97" t="s">
        <v>537</v>
      </c>
      <c r="H97">
        <v>2025</v>
      </c>
      <c r="J97">
        <f>_xlfn.XLOOKUP(표8[[#This Row],[location]],Location[location],Location[lat])</f>
        <v>35.445999999999998</v>
      </c>
      <c r="K97">
        <f>_xlfn.XLOOKUP(표8[[#This Row],[location]],Location[location],Location[lon])</f>
        <v>129.334</v>
      </c>
    </row>
    <row r="98" spans="1:11">
      <c r="A98" s="8" t="s">
        <v>59</v>
      </c>
      <c r="B98" t="s">
        <v>439</v>
      </c>
      <c r="C98" t="str">
        <f>_xlfn.XLOOKUP(표8[[#This Row],[supplier_id]],표7[supplier_id],표7[supplier_name])</f>
        <v>울산피피</v>
      </c>
      <c r="D98" s="9">
        <v>400</v>
      </c>
      <c r="E98" t="s">
        <v>533</v>
      </c>
      <c r="F98" s="3" t="s">
        <v>535</v>
      </c>
      <c r="G98" t="s">
        <v>537</v>
      </c>
      <c r="H98">
        <v>2025</v>
      </c>
      <c r="J98">
        <f>_xlfn.XLOOKUP(표8[[#This Row],[location]],Location[location],Location[lat])</f>
        <v>35.445999999999998</v>
      </c>
      <c r="K98">
        <f>_xlfn.XLOOKUP(표8[[#This Row],[location]],Location[location],Location[lon])</f>
        <v>129.334</v>
      </c>
    </row>
    <row r="99" spans="1:11">
      <c r="A99" s="8" t="s">
        <v>60</v>
      </c>
      <c r="B99" t="s">
        <v>435</v>
      </c>
      <c r="C99" t="str">
        <f>_xlfn.XLOOKUP(표8[[#This Row],[supplier_id]],표7[supplier_id],표7[supplier_name])</f>
        <v>SK picglobal</v>
      </c>
      <c r="D99" s="9">
        <v>310</v>
      </c>
      <c r="E99" t="s">
        <v>533</v>
      </c>
      <c r="F99" s="3" t="s">
        <v>535</v>
      </c>
      <c r="G99" t="s">
        <v>537</v>
      </c>
      <c r="H99">
        <v>2025</v>
      </c>
      <c r="J99">
        <f>_xlfn.XLOOKUP(표8[[#This Row],[location]],Location[location],Location[lat])</f>
        <v>35.445999999999998</v>
      </c>
      <c r="K99">
        <f>_xlfn.XLOOKUP(표8[[#This Row],[location]],Location[location],Location[lon])</f>
        <v>129.334</v>
      </c>
    </row>
    <row r="100" spans="1:11">
      <c r="A100" s="8" t="s">
        <v>60</v>
      </c>
      <c r="B100" t="s">
        <v>399</v>
      </c>
      <c r="C100" t="str">
        <f>_xlfn.XLOOKUP(표8[[#This Row],[supplier_id]],표7[supplier_id],표7[supplier_name])</f>
        <v>S-OIL</v>
      </c>
      <c r="D100" s="9">
        <v>300</v>
      </c>
      <c r="E100" t="s">
        <v>533</v>
      </c>
      <c r="F100" s="3" t="s">
        <v>535</v>
      </c>
      <c r="G100" t="s">
        <v>537</v>
      </c>
      <c r="H100">
        <v>2025</v>
      </c>
      <c r="J100">
        <f>_xlfn.XLOOKUP(표8[[#This Row],[location]],Location[location],Location[lat])</f>
        <v>35.445999999999998</v>
      </c>
      <c r="K100">
        <f>_xlfn.XLOOKUP(표8[[#This Row],[location]],Location[location],Location[lon])</f>
        <v>129.334</v>
      </c>
    </row>
    <row r="101" spans="1:11">
      <c r="A101" t="s">
        <v>61</v>
      </c>
      <c r="B101" t="s">
        <v>435</v>
      </c>
      <c r="C101" t="str">
        <f>_xlfn.XLOOKUP(표8[[#This Row],[supplier_id]],표7[supplier_id],표7[supplier_name])</f>
        <v>SK picglobal</v>
      </c>
      <c r="D101" s="9">
        <v>180</v>
      </c>
      <c r="E101" t="s">
        <v>533</v>
      </c>
      <c r="F101" s="3" t="s">
        <v>535</v>
      </c>
      <c r="G101" t="s">
        <v>537</v>
      </c>
      <c r="H101">
        <v>2025</v>
      </c>
      <c r="J101">
        <f>_xlfn.XLOOKUP(표8[[#This Row],[location]],Location[location],Location[lat])</f>
        <v>35.445999999999998</v>
      </c>
      <c r="K101">
        <f>_xlfn.XLOOKUP(표8[[#This Row],[location]],Location[location],Location[lon])</f>
        <v>129.334</v>
      </c>
    </row>
    <row r="102" spans="1:11">
      <c r="A102" t="s">
        <v>62</v>
      </c>
      <c r="B102" t="s">
        <v>442</v>
      </c>
      <c r="C102" t="str">
        <f>_xlfn.XLOOKUP(표8[[#This Row],[supplier_id]],표7[supplier_id],표7[supplier_name])</f>
        <v>KPX케미칼</v>
      </c>
      <c r="D102" s="9">
        <v>298</v>
      </c>
      <c r="E102" t="s">
        <v>533</v>
      </c>
      <c r="F102" s="3" t="s">
        <v>535</v>
      </c>
      <c r="G102" t="s">
        <v>537</v>
      </c>
      <c r="H102">
        <v>2025</v>
      </c>
      <c r="J102">
        <f>_xlfn.XLOOKUP(표8[[#This Row],[location]],Location[location],Location[lat])</f>
        <v>35.445999999999998</v>
      </c>
      <c r="K102">
        <f>_xlfn.XLOOKUP(표8[[#This Row],[location]],Location[location],Location[lon])</f>
        <v>129.334</v>
      </c>
    </row>
    <row r="103" spans="1:11">
      <c r="A103" s="8" t="s">
        <v>62</v>
      </c>
      <c r="B103" t="s">
        <v>435</v>
      </c>
      <c r="C103" t="str">
        <f>_xlfn.XLOOKUP(표8[[#This Row],[supplier_id]],표7[supplier_id],표7[supplier_name])</f>
        <v>SK picglobal</v>
      </c>
      <c r="D103" s="9">
        <v>220</v>
      </c>
      <c r="E103" t="s">
        <v>533</v>
      </c>
      <c r="F103" s="3" t="s">
        <v>535</v>
      </c>
      <c r="G103" t="s">
        <v>537</v>
      </c>
      <c r="H103">
        <v>2025</v>
      </c>
      <c r="J103">
        <f>_xlfn.XLOOKUP(표8[[#This Row],[location]],Location[location],Location[lat])</f>
        <v>35.445999999999998</v>
      </c>
      <c r="K103">
        <f>_xlfn.XLOOKUP(표8[[#This Row],[location]],Location[location],Location[lon])</f>
        <v>129.334</v>
      </c>
    </row>
    <row r="104" spans="1:11">
      <c r="A104" t="s">
        <v>62</v>
      </c>
      <c r="B104" t="s">
        <v>390</v>
      </c>
      <c r="C104" t="str">
        <f>_xlfn.XLOOKUP(표8[[#This Row],[supplier_id]],표7[supplier_id],표7[supplier_name])</f>
        <v>금호석유화학</v>
      </c>
      <c r="D104" s="9">
        <v>152</v>
      </c>
      <c r="E104" t="s">
        <v>533</v>
      </c>
      <c r="F104" s="3" t="s">
        <v>535</v>
      </c>
      <c r="G104" t="s">
        <v>537</v>
      </c>
      <c r="H104">
        <v>2025</v>
      </c>
      <c r="J104">
        <f>_xlfn.XLOOKUP(표8[[#This Row],[location]],Location[location],Location[lat])</f>
        <v>35.445999999999998</v>
      </c>
      <c r="K104">
        <f>_xlfn.XLOOKUP(표8[[#This Row],[location]],Location[location],Location[lon])</f>
        <v>129.334</v>
      </c>
    </row>
    <row r="105" spans="1:11">
      <c r="A105" s="8" t="s">
        <v>62</v>
      </c>
      <c r="B105" t="s">
        <v>446</v>
      </c>
      <c r="C105" t="str">
        <f>_xlfn.XLOOKUP(표8[[#This Row],[supplier_id]],표7[supplier_id],표7[supplier_name])</f>
        <v>한국바스프</v>
      </c>
      <c r="D105" s="9">
        <v>119</v>
      </c>
      <c r="E105" t="s">
        <v>533</v>
      </c>
      <c r="F105" s="3" t="s">
        <v>535</v>
      </c>
      <c r="G105" t="s">
        <v>537</v>
      </c>
      <c r="H105">
        <v>2025</v>
      </c>
      <c r="J105">
        <f>_xlfn.XLOOKUP(표8[[#This Row],[location]],Location[location],Location[lat])</f>
        <v>35.445999999999998</v>
      </c>
      <c r="K105">
        <f>_xlfn.XLOOKUP(표8[[#This Row],[location]],Location[location],Location[lon])</f>
        <v>129.334</v>
      </c>
    </row>
    <row r="106" spans="1:11">
      <c r="A106" s="8" t="s">
        <v>65</v>
      </c>
      <c r="B106" s="8" t="s">
        <v>698</v>
      </c>
      <c r="C106" s="8" t="str">
        <f>_xlfn.XLOOKUP(표8[[#This Row],[supplier_id]],표7[supplier_id],표7[supplier_name])</f>
        <v>LG화학</v>
      </c>
      <c r="D106" s="9">
        <v>649</v>
      </c>
      <c r="E106" t="s">
        <v>533</v>
      </c>
      <c r="F106" s="3" t="s">
        <v>704</v>
      </c>
      <c r="G106" t="s">
        <v>537</v>
      </c>
      <c r="H106">
        <v>2025</v>
      </c>
      <c r="J106">
        <f>_xlfn.XLOOKUP(표8[[#This Row],[location]],Location[location],Location[lat])</f>
        <v>34.834000000000003</v>
      </c>
      <c r="K106">
        <f>_xlfn.XLOOKUP(표8[[#This Row],[location]],Location[location],Location[lon])</f>
        <v>127.68600000000001</v>
      </c>
    </row>
    <row r="107" spans="1:11">
      <c r="A107" t="s">
        <v>345</v>
      </c>
      <c r="B107" t="s">
        <v>1023</v>
      </c>
      <c r="C107" s="8" t="str">
        <f>_xlfn.XLOOKUP(표8[[#This Row],[supplier_id]],표7[supplier_id],표7[supplier_name])</f>
        <v>LG화학</v>
      </c>
      <c r="D107" s="9">
        <v>200</v>
      </c>
      <c r="E107" t="s">
        <v>533</v>
      </c>
      <c r="F107" s="3" t="s">
        <v>704</v>
      </c>
      <c r="G107" t="s">
        <v>991</v>
      </c>
      <c r="H107">
        <v>2023</v>
      </c>
      <c r="J107">
        <f>_xlfn.XLOOKUP(표8[[#This Row],[location]],Location[location],Location[lat])</f>
        <v>34.834000000000003</v>
      </c>
      <c r="K107">
        <f>_xlfn.XLOOKUP(표8[[#This Row],[location]],Location[location],Location[lon])</f>
        <v>127.68600000000001</v>
      </c>
    </row>
    <row r="108" spans="1:11">
      <c r="A108" t="s">
        <v>68</v>
      </c>
      <c r="B108" s="8" t="s">
        <v>698</v>
      </c>
      <c r="C108" t="str">
        <f>_xlfn.XLOOKUP(표8[[#This Row],[supplier_id]],표7[supplier_id],표7[supplier_name])</f>
        <v>LG화학</v>
      </c>
      <c r="D108" s="9">
        <v>280</v>
      </c>
      <c r="E108" t="s">
        <v>533</v>
      </c>
      <c r="F108" s="3" t="s">
        <v>704</v>
      </c>
      <c r="G108" t="s">
        <v>540</v>
      </c>
      <c r="H108">
        <v>2025</v>
      </c>
      <c r="J108">
        <f>_xlfn.XLOOKUP(표8[[#This Row],[location]],Location[location],Location[lat])</f>
        <v>34.834000000000003</v>
      </c>
      <c r="K108">
        <f>_xlfn.XLOOKUP(표8[[#This Row],[location]],Location[location],Location[lon])</f>
        <v>127.68600000000001</v>
      </c>
    </row>
    <row r="109" spans="1:11">
      <c r="A109" t="s">
        <v>1043</v>
      </c>
      <c r="B109" t="s">
        <v>1023</v>
      </c>
      <c r="C109" s="8" t="str">
        <f>_xlfn.XLOOKUP(표8[[#This Row],[supplier_id]],표7[supplier_id],표7[supplier_name])</f>
        <v>LG화학</v>
      </c>
      <c r="D109" s="9">
        <v>205</v>
      </c>
      <c r="E109" t="s">
        <v>533</v>
      </c>
      <c r="F109" s="3" t="s">
        <v>1045</v>
      </c>
      <c r="G109" t="s">
        <v>991</v>
      </c>
      <c r="H109">
        <v>2024</v>
      </c>
      <c r="J109">
        <f>_xlfn.XLOOKUP(표8[[#This Row],[location]],Location[location],Location[lat])</f>
        <v>35.021999999999998</v>
      </c>
      <c r="K109">
        <f>_xlfn.XLOOKUP(표8[[#This Row],[location]],Location[location],Location[lon])</f>
        <v>126.72</v>
      </c>
    </row>
    <row r="110" spans="1:11">
      <c r="A110" t="s">
        <v>1043</v>
      </c>
      <c r="B110" s="8" t="s">
        <v>450</v>
      </c>
      <c r="C110" s="8" t="str">
        <f>_xlfn.XLOOKUP(표8[[#This Row],[supplier_id]],표7[supplier_id],표7[supplier_name])</f>
        <v>한화솔루션</v>
      </c>
      <c r="D110" s="9">
        <v>210</v>
      </c>
      <c r="E110" t="s">
        <v>533</v>
      </c>
      <c r="F110" s="3" t="s">
        <v>704</v>
      </c>
      <c r="G110" t="s">
        <v>991</v>
      </c>
      <c r="H110">
        <v>2024</v>
      </c>
      <c r="J110">
        <f>_xlfn.XLOOKUP(표8[[#This Row],[location]],Location[location],Location[lat])</f>
        <v>34.834000000000003</v>
      </c>
      <c r="K110">
        <f>_xlfn.XLOOKUP(표8[[#This Row],[location]],Location[location],Location[lon])</f>
        <v>127.68600000000001</v>
      </c>
    </row>
    <row r="111" spans="1:11">
      <c r="A111" t="s">
        <v>1043</v>
      </c>
      <c r="B111" t="s">
        <v>1023</v>
      </c>
      <c r="C111" s="8" t="str">
        <f>_xlfn.XLOOKUP(표8[[#This Row],[supplier_id]],표7[supplier_id],표7[supplier_name])</f>
        <v>LG화학</v>
      </c>
      <c r="D111" s="9">
        <v>145</v>
      </c>
      <c r="E111" t="s">
        <v>533</v>
      </c>
      <c r="F111" s="3" t="s">
        <v>704</v>
      </c>
      <c r="G111" t="s">
        <v>991</v>
      </c>
      <c r="H111">
        <v>2024</v>
      </c>
      <c r="J111">
        <f>_xlfn.XLOOKUP(표8[[#This Row],[location]],Location[location],Location[lat])</f>
        <v>34.834000000000003</v>
      </c>
      <c r="K111">
        <f>_xlfn.XLOOKUP(표8[[#This Row],[location]],Location[location],Location[lon])</f>
        <v>127.68600000000001</v>
      </c>
    </row>
    <row r="112" spans="1:11">
      <c r="A112" s="8" t="s">
        <v>70</v>
      </c>
      <c r="B112" s="8" t="s">
        <v>450</v>
      </c>
      <c r="C112" s="8" t="str">
        <f>_xlfn.XLOOKUP(표8[[#This Row],[supplier_id]],표7[supplier_id],표7[supplier_name])</f>
        <v>한화솔루션</v>
      </c>
      <c r="D112" s="9">
        <v>152</v>
      </c>
      <c r="E112" t="s">
        <v>533</v>
      </c>
      <c r="F112" s="3" t="s">
        <v>704</v>
      </c>
      <c r="G112" t="s">
        <v>537</v>
      </c>
      <c r="H112">
        <v>2025</v>
      </c>
      <c r="J112">
        <f>_xlfn.XLOOKUP(표8[[#This Row],[location]],Location[location],Location[lat])</f>
        <v>34.834000000000003</v>
      </c>
      <c r="K112">
        <f>_xlfn.XLOOKUP(표8[[#This Row],[location]],Location[location],Location[lon])</f>
        <v>127.68600000000001</v>
      </c>
    </row>
    <row r="113" spans="1:11">
      <c r="A113" s="8" t="s">
        <v>70</v>
      </c>
      <c r="B113" s="8" t="s">
        <v>698</v>
      </c>
      <c r="C113" s="8" t="str">
        <f>_xlfn.XLOOKUP(표8[[#This Row],[supplier_id]],표7[supplier_id],표7[supplier_name])</f>
        <v>LG화학</v>
      </c>
      <c r="D113" s="9">
        <v>125</v>
      </c>
      <c r="E113" t="s">
        <v>533</v>
      </c>
      <c r="F113" s="3" t="s">
        <v>704</v>
      </c>
      <c r="G113" t="s">
        <v>537</v>
      </c>
      <c r="H113">
        <v>2025</v>
      </c>
      <c r="J113">
        <f>_xlfn.XLOOKUP(표8[[#This Row],[location]],Location[location],Location[lat])</f>
        <v>34.834000000000003</v>
      </c>
      <c r="K113">
        <f>_xlfn.XLOOKUP(표8[[#This Row],[location]],Location[location],Location[lon])</f>
        <v>127.68600000000001</v>
      </c>
    </row>
    <row r="114" spans="1:11">
      <c r="A114" s="8" t="s">
        <v>71</v>
      </c>
      <c r="B114" s="8" t="s">
        <v>450</v>
      </c>
      <c r="C114" s="8" t="str">
        <f>_xlfn.XLOOKUP(표8[[#This Row],[supplier_id]],표7[supplier_id],표7[supplier_name])</f>
        <v>한화솔루션</v>
      </c>
      <c r="D114" s="9">
        <v>12</v>
      </c>
      <c r="E114" t="s">
        <v>533</v>
      </c>
      <c r="F114" s="3" t="s">
        <v>704</v>
      </c>
      <c r="G114" t="s">
        <v>537</v>
      </c>
      <c r="H114">
        <v>2025</v>
      </c>
      <c r="J114">
        <f>_xlfn.XLOOKUP(표8[[#This Row],[location]],Location[location],Location[lat])</f>
        <v>34.834000000000003</v>
      </c>
      <c r="K114">
        <f>_xlfn.XLOOKUP(표8[[#This Row],[location]],Location[location],Location[lon])</f>
        <v>127.68600000000001</v>
      </c>
    </row>
    <row r="115" spans="1:11">
      <c r="A115" s="8" t="s">
        <v>75</v>
      </c>
      <c r="B115" s="8" t="s">
        <v>698</v>
      </c>
      <c r="C115" s="8" t="str">
        <f>_xlfn.XLOOKUP(표8[[#This Row],[supplier_id]],표7[supplier_id],표7[supplier_name])</f>
        <v>LG화학</v>
      </c>
      <c r="D115" s="9">
        <v>205</v>
      </c>
      <c r="E115" t="s">
        <v>533</v>
      </c>
      <c r="F115" s="3" t="s">
        <v>704</v>
      </c>
      <c r="G115" t="s">
        <v>537</v>
      </c>
      <c r="H115">
        <v>2025</v>
      </c>
      <c r="J115">
        <f>_xlfn.XLOOKUP(표8[[#This Row],[location]],Location[location],Location[lat])</f>
        <v>34.834000000000003</v>
      </c>
      <c r="K115">
        <f>_xlfn.XLOOKUP(표8[[#This Row],[location]],Location[location],Location[lon])</f>
        <v>127.68600000000001</v>
      </c>
    </row>
    <row r="116" spans="1:11">
      <c r="A116" s="8" t="s">
        <v>543</v>
      </c>
      <c r="B116" t="s">
        <v>440</v>
      </c>
      <c r="C116" t="str">
        <f>_xlfn.XLOOKUP(표8[[#This Row],[supplier_id]],표7[supplier_id],표7[supplier_name])</f>
        <v>이수화학</v>
      </c>
      <c r="D116" s="9">
        <v>60</v>
      </c>
      <c r="E116" t="s">
        <v>533</v>
      </c>
      <c r="F116" s="3" t="s">
        <v>535</v>
      </c>
      <c r="G116" t="s">
        <v>537</v>
      </c>
      <c r="H116">
        <v>2025</v>
      </c>
      <c r="J116">
        <f>_xlfn.XLOOKUP(표8[[#This Row],[location]],Location[location],Location[lat])</f>
        <v>35.445999999999998</v>
      </c>
      <c r="K116">
        <f>_xlfn.XLOOKUP(표8[[#This Row],[location]],Location[location],Location[lon])</f>
        <v>129.334</v>
      </c>
    </row>
    <row r="117" spans="1:11">
      <c r="A117" s="8" t="s">
        <v>77</v>
      </c>
      <c r="B117" s="8" t="s">
        <v>698</v>
      </c>
      <c r="C117" s="8" t="str">
        <f>_xlfn.XLOOKUP(표8[[#This Row],[supplier_id]],표7[supplier_id],표7[supplier_name])</f>
        <v>LG화학</v>
      </c>
      <c r="D117" s="9">
        <v>200</v>
      </c>
      <c r="E117" t="s">
        <v>533</v>
      </c>
      <c r="F117" s="3" t="s">
        <v>735</v>
      </c>
      <c r="G117" t="s">
        <v>537</v>
      </c>
      <c r="H117">
        <v>2025</v>
      </c>
      <c r="J117">
        <f>_xlfn.XLOOKUP(표8[[#This Row],[location]],Location[location],Location[lat])</f>
        <v>36.99</v>
      </c>
      <c r="K117">
        <f>_xlfn.XLOOKUP(표8[[#This Row],[location]],Location[location],Location[lon])</f>
        <v>126.39</v>
      </c>
    </row>
    <row r="118" spans="1:11">
      <c r="A118" s="8" t="s">
        <v>77</v>
      </c>
      <c r="B118" s="8" t="s">
        <v>396</v>
      </c>
      <c r="C118" s="8" t="str">
        <f>_xlfn.XLOOKUP(표8[[#This Row],[supplier_id]],표7[supplier_id],표7[supplier_name])</f>
        <v>롯데케미칼</v>
      </c>
      <c r="D118" s="9">
        <v>190</v>
      </c>
      <c r="E118" t="s">
        <v>533</v>
      </c>
      <c r="F118" s="3" t="s">
        <v>735</v>
      </c>
      <c r="G118" t="s">
        <v>537</v>
      </c>
      <c r="H118">
        <v>2025</v>
      </c>
      <c r="J118">
        <f>_xlfn.XLOOKUP(표8[[#This Row],[location]],Location[location],Location[lat])</f>
        <v>36.99</v>
      </c>
      <c r="K118">
        <f>_xlfn.XLOOKUP(표8[[#This Row],[location]],Location[location],Location[lon])</f>
        <v>126.39</v>
      </c>
    </row>
    <row r="119" spans="1:11">
      <c r="A119" s="8" t="s">
        <v>77</v>
      </c>
      <c r="B119" s="8" t="s">
        <v>724</v>
      </c>
      <c r="C119" s="8" t="str">
        <f>_xlfn.XLOOKUP(표8[[#This Row],[supplier_id]],표7[supplier_id],표7[supplier_name])</f>
        <v>HD현대케미칼</v>
      </c>
      <c r="D119" s="9">
        <v>163</v>
      </c>
      <c r="E119" t="s">
        <v>533</v>
      </c>
      <c r="F119" s="3" t="s">
        <v>735</v>
      </c>
      <c r="G119" t="s">
        <v>537</v>
      </c>
      <c r="H119">
        <v>2025</v>
      </c>
      <c r="J119">
        <f>_xlfn.XLOOKUP(표8[[#This Row],[location]],Location[location],Location[lat])</f>
        <v>36.99</v>
      </c>
      <c r="K119">
        <f>_xlfn.XLOOKUP(표8[[#This Row],[location]],Location[location],Location[lon])</f>
        <v>126.39</v>
      </c>
    </row>
    <row r="120" spans="1:11">
      <c r="A120" s="8" t="s">
        <v>77</v>
      </c>
      <c r="B120" s="8" t="s">
        <v>723</v>
      </c>
      <c r="C120" s="8" t="str">
        <f>_xlfn.XLOOKUP(표8[[#This Row],[supplier_id]],표7[supplier_id],표7[supplier_name])</f>
        <v>한화토탈에너지스</v>
      </c>
      <c r="D120" s="9">
        <v>150</v>
      </c>
      <c r="E120" t="s">
        <v>533</v>
      </c>
      <c r="F120" s="3" t="s">
        <v>735</v>
      </c>
      <c r="G120" t="s">
        <v>537</v>
      </c>
      <c r="H120">
        <v>2025</v>
      </c>
      <c r="J120">
        <f>_xlfn.XLOOKUP(표8[[#This Row],[location]],Location[location],Location[lat])</f>
        <v>36.99</v>
      </c>
      <c r="K120">
        <f>_xlfn.XLOOKUP(표8[[#This Row],[location]],Location[location],Location[lon])</f>
        <v>126.39</v>
      </c>
    </row>
    <row r="121" spans="1:11">
      <c r="A121" s="8" t="s">
        <v>77</v>
      </c>
      <c r="B121" s="8" t="s">
        <v>699</v>
      </c>
      <c r="C121" s="8" t="str">
        <f>_xlfn.XLOOKUP(표8[[#This Row],[supplier_id]],표7[supplier_id],표7[supplier_name])</f>
        <v>여천NCC</v>
      </c>
      <c r="D121" s="9">
        <v>378</v>
      </c>
      <c r="E121" t="s">
        <v>533</v>
      </c>
      <c r="F121" s="3" t="s">
        <v>704</v>
      </c>
      <c r="G121" t="s">
        <v>537</v>
      </c>
      <c r="H121">
        <v>2025</v>
      </c>
      <c r="J121">
        <f>_xlfn.XLOOKUP(표8[[#This Row],[location]],Location[location],Location[lat])</f>
        <v>34.834000000000003</v>
      </c>
      <c r="K121">
        <f>_xlfn.XLOOKUP(표8[[#This Row],[location]],Location[location],Location[lon])</f>
        <v>127.68600000000001</v>
      </c>
    </row>
    <row r="122" spans="1:11">
      <c r="A122" s="8" t="s">
        <v>77</v>
      </c>
      <c r="B122" s="8" t="s">
        <v>698</v>
      </c>
      <c r="C122" s="8" t="str">
        <f>_xlfn.XLOOKUP(표8[[#This Row],[supplier_id]],표7[supplier_id],표7[supplier_name])</f>
        <v>LG화학</v>
      </c>
      <c r="D122" s="9">
        <v>306</v>
      </c>
      <c r="E122" t="s">
        <v>533</v>
      </c>
      <c r="F122" s="3" t="s">
        <v>704</v>
      </c>
      <c r="G122" t="s">
        <v>537</v>
      </c>
      <c r="H122">
        <v>2025</v>
      </c>
      <c r="J122">
        <f>_xlfn.XLOOKUP(표8[[#This Row],[location]],Location[location],Location[lat])</f>
        <v>34.834000000000003</v>
      </c>
      <c r="K122">
        <f>_xlfn.XLOOKUP(표8[[#This Row],[location]],Location[location],Location[lon])</f>
        <v>127.68600000000001</v>
      </c>
    </row>
    <row r="123" spans="1:11">
      <c r="A123" s="8" t="s">
        <v>77</v>
      </c>
      <c r="B123" s="8" t="s">
        <v>396</v>
      </c>
      <c r="C123" s="8" t="str">
        <f>_xlfn.XLOOKUP(표8[[#This Row],[supplier_id]],표7[supplier_id],표7[supplier_name])</f>
        <v>롯데케미칼</v>
      </c>
      <c r="D123" s="9">
        <v>160</v>
      </c>
      <c r="E123" t="s">
        <v>533</v>
      </c>
      <c r="F123" s="3" t="s">
        <v>704</v>
      </c>
      <c r="G123" t="s">
        <v>537</v>
      </c>
      <c r="H123">
        <v>2025</v>
      </c>
      <c r="J123">
        <f>_xlfn.XLOOKUP(표8[[#This Row],[location]],Location[location],Location[lat])</f>
        <v>34.834000000000003</v>
      </c>
      <c r="K123">
        <f>_xlfn.XLOOKUP(표8[[#This Row],[location]],Location[location],Location[lon])</f>
        <v>127.68600000000001</v>
      </c>
    </row>
    <row r="124" spans="1:11">
      <c r="A124" s="8" t="s">
        <v>77</v>
      </c>
      <c r="B124" s="8" t="s">
        <v>390</v>
      </c>
      <c r="C124" s="8" t="str">
        <f>_xlfn.XLOOKUP(표8[[#This Row],[supplier_id]],표7[supplier_id],표7[supplier_name])</f>
        <v>금호석유화학</v>
      </c>
      <c r="D124" s="9">
        <v>147</v>
      </c>
      <c r="E124" t="s">
        <v>533</v>
      </c>
      <c r="F124" s="3" t="s">
        <v>704</v>
      </c>
      <c r="G124" t="s">
        <v>537</v>
      </c>
      <c r="H124">
        <v>2025</v>
      </c>
      <c r="J124">
        <f>_xlfn.XLOOKUP(표8[[#This Row],[location]],Location[location],Location[lat])</f>
        <v>34.834000000000003</v>
      </c>
      <c r="K124">
        <f>_xlfn.XLOOKUP(표8[[#This Row],[location]],Location[location],Location[lon])</f>
        <v>127.68600000000001</v>
      </c>
    </row>
    <row r="125" spans="1:11">
      <c r="A125" s="8" t="s">
        <v>77</v>
      </c>
      <c r="B125" s="8" t="s">
        <v>702</v>
      </c>
      <c r="C125" s="8" t="str">
        <f>_xlfn.XLOOKUP(표8[[#This Row],[supplier_id]],표7[supplier_id],표7[supplier_name])</f>
        <v>롯데GS화학</v>
      </c>
      <c r="D125" s="9">
        <v>130</v>
      </c>
      <c r="E125" t="s">
        <v>533</v>
      </c>
      <c r="F125" s="3" t="s">
        <v>704</v>
      </c>
      <c r="G125" t="s">
        <v>537</v>
      </c>
      <c r="H125">
        <v>2025</v>
      </c>
      <c r="J125">
        <f>_xlfn.XLOOKUP(표8[[#This Row],[location]],Location[location],Location[lat])</f>
        <v>34.834000000000003</v>
      </c>
      <c r="K125">
        <f>_xlfn.XLOOKUP(표8[[#This Row],[location]],Location[location],Location[lon])</f>
        <v>127.68600000000001</v>
      </c>
    </row>
    <row r="126" spans="1:11">
      <c r="A126" t="s">
        <v>77</v>
      </c>
      <c r="B126" t="s">
        <v>392</v>
      </c>
      <c r="C126" t="str">
        <f>_xlfn.XLOOKUP(표8[[#This Row],[supplier_id]],표7[supplier_id],표7[supplier_name])</f>
        <v>대한유화</v>
      </c>
      <c r="D126" s="9">
        <v>146</v>
      </c>
      <c r="E126" t="s">
        <v>533</v>
      </c>
      <c r="F126" s="3" t="s">
        <v>535</v>
      </c>
      <c r="G126" t="s">
        <v>537</v>
      </c>
      <c r="H126">
        <v>2025</v>
      </c>
      <c r="J126">
        <f>_xlfn.XLOOKUP(표8[[#This Row],[location]],Location[location],Location[lat])</f>
        <v>35.445999999999998</v>
      </c>
      <c r="K126">
        <f>_xlfn.XLOOKUP(표8[[#This Row],[location]],Location[location],Location[lon])</f>
        <v>129.334</v>
      </c>
    </row>
    <row r="127" spans="1:11">
      <c r="A127" t="s">
        <v>77</v>
      </c>
      <c r="B127" t="s">
        <v>402</v>
      </c>
      <c r="C127" t="str">
        <f>_xlfn.XLOOKUP(표8[[#This Row],[supplier_id]],표7[supplier_id],표7[supplier_name])</f>
        <v>SK지오센트릭</v>
      </c>
      <c r="D127" s="9">
        <v>130</v>
      </c>
      <c r="E127" t="s">
        <v>533</v>
      </c>
      <c r="F127" s="3" t="s">
        <v>535</v>
      </c>
      <c r="G127" t="s">
        <v>537</v>
      </c>
      <c r="H127">
        <v>2025</v>
      </c>
      <c r="J127">
        <f>_xlfn.XLOOKUP(표8[[#This Row],[location]],Location[location],Location[lat])</f>
        <v>35.445999999999998</v>
      </c>
      <c r="K127">
        <f>_xlfn.XLOOKUP(표8[[#This Row],[location]],Location[location],Location[lon])</f>
        <v>129.334</v>
      </c>
    </row>
    <row r="128" spans="1:11">
      <c r="A128" t="s">
        <v>77</v>
      </c>
      <c r="B128" t="s">
        <v>390</v>
      </c>
      <c r="C128" t="str">
        <f>_xlfn.XLOOKUP(표8[[#This Row],[supplier_id]],표7[supplier_id],표7[supplier_name])</f>
        <v>금호석유화학</v>
      </c>
      <c r="D128" s="9">
        <v>90</v>
      </c>
      <c r="E128" t="s">
        <v>533</v>
      </c>
      <c r="F128" s="3" t="s">
        <v>535</v>
      </c>
      <c r="G128" t="s">
        <v>537</v>
      </c>
      <c r="H128">
        <v>2025</v>
      </c>
      <c r="J128">
        <f>_xlfn.XLOOKUP(표8[[#This Row],[location]],Location[location],Location[lat])</f>
        <v>35.445999999999998</v>
      </c>
      <c r="K128">
        <f>_xlfn.XLOOKUP(표8[[#This Row],[location]],Location[location],Location[lon])</f>
        <v>129.334</v>
      </c>
    </row>
    <row r="129" spans="1:11">
      <c r="A129" s="8" t="s">
        <v>78</v>
      </c>
      <c r="B129" s="8" t="s">
        <v>698</v>
      </c>
      <c r="C129" s="8" t="str">
        <f>_xlfn.XLOOKUP(표8[[#This Row],[supplier_id]],표7[supplier_id],표7[supplier_name])</f>
        <v>LG화학</v>
      </c>
      <c r="D129" s="9">
        <v>220</v>
      </c>
      <c r="E129" t="s">
        <v>533</v>
      </c>
      <c r="F129" s="3" t="s">
        <v>735</v>
      </c>
      <c r="G129" t="s">
        <v>537</v>
      </c>
      <c r="H129">
        <v>2025</v>
      </c>
      <c r="I129" t="s">
        <v>733</v>
      </c>
      <c r="J129">
        <f>_xlfn.XLOOKUP(표8[[#This Row],[location]],Location[location],Location[lat])</f>
        <v>36.99</v>
      </c>
      <c r="K129">
        <f>_xlfn.XLOOKUP(표8[[#This Row],[location]],Location[location],Location[lon])</f>
        <v>126.39</v>
      </c>
    </row>
    <row r="130" spans="1:11">
      <c r="A130" s="8" t="s">
        <v>78</v>
      </c>
      <c r="B130" s="8" t="s">
        <v>390</v>
      </c>
      <c r="C130" s="8" t="str">
        <f>_xlfn.XLOOKUP(표8[[#This Row],[supplier_id]],표7[supplier_id],표7[supplier_name])</f>
        <v>금호석유화학</v>
      </c>
      <c r="D130" s="9">
        <v>275</v>
      </c>
      <c r="E130" t="s">
        <v>533</v>
      </c>
      <c r="F130" s="3" t="s">
        <v>704</v>
      </c>
      <c r="G130" t="s">
        <v>537</v>
      </c>
      <c r="H130">
        <v>2025</v>
      </c>
      <c r="J130">
        <f>_xlfn.XLOOKUP(표8[[#This Row],[location]],Location[location],Location[lat])</f>
        <v>34.834000000000003</v>
      </c>
      <c r="K130">
        <f>_xlfn.XLOOKUP(표8[[#This Row],[location]],Location[location],Location[lon])</f>
        <v>127.68600000000001</v>
      </c>
    </row>
    <row r="131" spans="1:11">
      <c r="A131" s="8" t="s">
        <v>79</v>
      </c>
      <c r="B131" s="8" t="s">
        <v>698</v>
      </c>
      <c r="C131" s="8" t="str">
        <f>_xlfn.XLOOKUP(표8[[#This Row],[supplier_id]],표7[supplier_id],표7[supplier_name])</f>
        <v>LG화학</v>
      </c>
      <c r="D131" s="9">
        <v>80</v>
      </c>
      <c r="E131" t="s">
        <v>533</v>
      </c>
      <c r="F131" s="3" t="s">
        <v>735</v>
      </c>
      <c r="G131" t="s">
        <v>537</v>
      </c>
      <c r="H131">
        <v>2025</v>
      </c>
      <c r="J131">
        <f>_xlfn.XLOOKUP(표8[[#This Row],[location]],Location[location],Location[lat])</f>
        <v>36.99</v>
      </c>
      <c r="K131">
        <f>_xlfn.XLOOKUP(표8[[#This Row],[location]],Location[location],Location[lon])</f>
        <v>126.39</v>
      </c>
    </row>
    <row r="132" spans="1:11">
      <c r="A132" s="8" t="s">
        <v>79</v>
      </c>
      <c r="B132" s="8" t="s">
        <v>390</v>
      </c>
      <c r="C132" s="8" t="str">
        <f>_xlfn.XLOOKUP(표8[[#This Row],[supplier_id]],표7[supplier_id],표7[supplier_name])</f>
        <v>금호석유화학</v>
      </c>
      <c r="D132" s="9">
        <v>123</v>
      </c>
      <c r="E132" t="s">
        <v>533</v>
      </c>
      <c r="F132" s="3" t="s">
        <v>704</v>
      </c>
      <c r="G132" t="s">
        <v>537</v>
      </c>
      <c r="H132">
        <v>2025</v>
      </c>
      <c r="I132" t="s">
        <v>727</v>
      </c>
      <c r="J132">
        <f>_xlfn.XLOOKUP(표8[[#This Row],[location]],Location[location],Location[lat])</f>
        <v>34.834000000000003</v>
      </c>
      <c r="K132">
        <f>_xlfn.XLOOKUP(표8[[#This Row],[location]],Location[location],Location[lon])</f>
        <v>127.68600000000001</v>
      </c>
    </row>
    <row r="133" spans="1:11">
      <c r="A133" s="8" t="s">
        <v>79</v>
      </c>
      <c r="B133" s="8" t="s">
        <v>694</v>
      </c>
      <c r="C133" s="8" t="str">
        <f>_xlfn.XLOOKUP(표8[[#This Row],[supplier_id]],표7[supplier_id],표7[supplier_name])</f>
        <v>롯데베르살리스엘라스토머스</v>
      </c>
      <c r="D133" s="9">
        <v>100</v>
      </c>
      <c r="E133" t="s">
        <v>533</v>
      </c>
      <c r="F133" s="3" t="s">
        <v>704</v>
      </c>
      <c r="G133" t="s">
        <v>537</v>
      </c>
      <c r="H133">
        <v>2025</v>
      </c>
      <c r="I133" t="s">
        <v>728</v>
      </c>
      <c r="J133">
        <f>_xlfn.XLOOKUP(표8[[#This Row],[location]],Location[location],Location[lat])</f>
        <v>34.834000000000003</v>
      </c>
      <c r="K133">
        <f>_xlfn.XLOOKUP(표8[[#This Row],[location]],Location[location],Location[lon])</f>
        <v>127.68600000000001</v>
      </c>
    </row>
    <row r="134" spans="1:11">
      <c r="A134" t="s">
        <v>79</v>
      </c>
      <c r="B134" t="s">
        <v>390</v>
      </c>
      <c r="C134" t="str">
        <f>_xlfn.XLOOKUP(표8[[#This Row],[supplier_id]],표7[supplier_id],표7[supplier_name])</f>
        <v>금호석유화학</v>
      </c>
      <c r="D134" s="9">
        <v>263</v>
      </c>
      <c r="E134" t="s">
        <v>533</v>
      </c>
      <c r="F134" s="3" t="s">
        <v>535</v>
      </c>
      <c r="G134" t="s">
        <v>537</v>
      </c>
      <c r="H134">
        <v>2025</v>
      </c>
      <c r="J134">
        <f>_xlfn.XLOOKUP(표8[[#This Row],[location]],Location[location],Location[lat])</f>
        <v>35.445999999999998</v>
      </c>
      <c r="K134">
        <f>_xlfn.XLOOKUP(표8[[#This Row],[location]],Location[location],Location[lon])</f>
        <v>129.334</v>
      </c>
    </row>
    <row r="135" spans="1:11">
      <c r="A135" t="s">
        <v>81</v>
      </c>
      <c r="B135" t="s">
        <v>693</v>
      </c>
      <c r="C135" s="8" t="str">
        <f>_xlfn.XLOOKUP(표8[[#This Row],[supplier_id]],표7[supplier_id],표7[supplier_name])</f>
        <v>DL케미칼</v>
      </c>
      <c r="D135" s="9">
        <v>220</v>
      </c>
      <c r="E135" t="s">
        <v>533</v>
      </c>
      <c r="F135" s="3" t="s">
        <v>704</v>
      </c>
      <c r="G135" s="101" t="s">
        <v>3894</v>
      </c>
      <c r="H135">
        <v>2024</v>
      </c>
      <c r="J135">
        <f>_xlfn.XLOOKUP(표8[[#This Row],[location]],Location[location],Location[lat])</f>
        <v>34.834000000000003</v>
      </c>
      <c r="K135">
        <f>_xlfn.XLOOKUP(표8[[#This Row],[location]],Location[location],Location[lon])</f>
        <v>127.68600000000001</v>
      </c>
    </row>
    <row r="136" spans="1:11">
      <c r="A136" t="s">
        <v>82</v>
      </c>
      <c r="B136" t="s">
        <v>538</v>
      </c>
      <c r="C136" t="str">
        <f>_xlfn.XLOOKUP(표8[[#This Row],[supplier_id]],표7[supplier_id],표7[supplier_name])</f>
        <v>TKG일렘</v>
      </c>
      <c r="D136" s="9">
        <v>13</v>
      </c>
      <c r="E136" t="s">
        <v>533</v>
      </c>
      <c r="F136" s="3" t="s">
        <v>704</v>
      </c>
      <c r="G136" t="s">
        <v>540</v>
      </c>
      <c r="H136">
        <v>2025</v>
      </c>
      <c r="J136">
        <f>_xlfn.XLOOKUP(표8[[#This Row],[location]],Location[location],Location[lat])</f>
        <v>34.834000000000003</v>
      </c>
      <c r="K136">
        <f>_xlfn.XLOOKUP(표8[[#This Row],[location]],Location[location],Location[lon])</f>
        <v>127.68600000000001</v>
      </c>
    </row>
    <row r="137" spans="1:11">
      <c r="A137" s="8" t="s">
        <v>83</v>
      </c>
      <c r="B137" s="8" t="s">
        <v>698</v>
      </c>
      <c r="C137" s="8" t="str">
        <f>_xlfn.XLOOKUP(표8[[#This Row],[supplier_id]],표7[supplier_id],표7[supplier_name])</f>
        <v>LG화학</v>
      </c>
      <c r="D137" s="9">
        <v>220</v>
      </c>
      <c r="E137" t="s">
        <v>533</v>
      </c>
      <c r="F137" s="3" t="s">
        <v>735</v>
      </c>
      <c r="G137" t="s">
        <v>537</v>
      </c>
      <c r="H137">
        <v>2025</v>
      </c>
      <c r="J137">
        <f>_xlfn.XLOOKUP(표8[[#This Row],[location]],Location[location],Location[lat])</f>
        <v>36.99</v>
      </c>
      <c r="K137">
        <f>_xlfn.XLOOKUP(표8[[#This Row],[location]],Location[location],Location[lon])</f>
        <v>126.39</v>
      </c>
    </row>
    <row r="138" spans="1:11">
      <c r="A138" s="8" t="s">
        <v>83</v>
      </c>
      <c r="B138" s="8" t="s">
        <v>734</v>
      </c>
      <c r="C138" s="8" t="str">
        <f>_xlfn.XLOOKUP(표8[[#This Row],[supplier_id]],표7[supplier_id],표7[supplier_name])</f>
        <v>HD현대오일뱅크</v>
      </c>
      <c r="D138" s="9">
        <v>200</v>
      </c>
      <c r="E138" t="s">
        <v>533</v>
      </c>
      <c r="F138" s="3" t="s">
        <v>735</v>
      </c>
      <c r="G138" t="s">
        <v>537</v>
      </c>
      <c r="H138">
        <v>2025</v>
      </c>
      <c r="J138">
        <f>_xlfn.XLOOKUP(표8[[#This Row],[location]],Location[location],Location[lat])</f>
        <v>36.99</v>
      </c>
      <c r="K138">
        <f>_xlfn.XLOOKUP(표8[[#This Row],[location]],Location[location],Location[lon])</f>
        <v>126.39</v>
      </c>
    </row>
    <row r="139" spans="1:11">
      <c r="A139" s="8" t="s">
        <v>83</v>
      </c>
      <c r="B139" s="8" t="s">
        <v>697</v>
      </c>
      <c r="C139" s="8" t="str">
        <f>_xlfn.XLOOKUP(표8[[#This Row],[supplier_id]],표7[supplier_id],표7[supplier_name])</f>
        <v>LX MMA</v>
      </c>
      <c r="D139" s="9">
        <v>275</v>
      </c>
      <c r="E139" t="s">
        <v>533</v>
      </c>
      <c r="F139" s="3" t="s">
        <v>704</v>
      </c>
      <c r="G139" t="s">
        <v>537</v>
      </c>
      <c r="H139">
        <v>2025</v>
      </c>
      <c r="J139">
        <f>_xlfn.XLOOKUP(표8[[#This Row],[location]],Location[location],Location[lat])</f>
        <v>34.834000000000003</v>
      </c>
      <c r="K139">
        <f>_xlfn.XLOOKUP(표8[[#This Row],[location]],Location[location],Location[lon])</f>
        <v>127.68600000000001</v>
      </c>
    </row>
    <row r="140" spans="1:11">
      <c r="A140" s="8" t="s">
        <v>83</v>
      </c>
      <c r="B140" s="8" t="s">
        <v>699</v>
      </c>
      <c r="C140" s="8" t="str">
        <f>_xlfn.XLOOKUP(표8[[#This Row],[supplier_id]],표7[supplier_id],표7[supplier_name])</f>
        <v>여천NCC</v>
      </c>
      <c r="D140" s="9">
        <v>170</v>
      </c>
      <c r="E140" t="s">
        <v>533</v>
      </c>
      <c r="F140" s="3" t="s">
        <v>704</v>
      </c>
      <c r="G140" t="s">
        <v>537</v>
      </c>
      <c r="H140">
        <v>2025</v>
      </c>
      <c r="J140">
        <f>_xlfn.XLOOKUP(표8[[#This Row],[location]],Location[location],Location[lat])</f>
        <v>34.834000000000003</v>
      </c>
      <c r="K140">
        <f>_xlfn.XLOOKUP(표8[[#This Row],[location]],Location[location],Location[lon])</f>
        <v>127.68600000000001</v>
      </c>
    </row>
    <row r="141" spans="1:11">
      <c r="A141" s="8" t="s">
        <v>83</v>
      </c>
      <c r="B141" s="8" t="s">
        <v>700</v>
      </c>
      <c r="C141" s="8" t="str">
        <f>_xlfn.XLOOKUP(표8[[#This Row],[supplier_id]],표7[supplier_id],표7[supplier_name])</f>
        <v>GS칼텍스</v>
      </c>
      <c r="D141" s="9">
        <v>150</v>
      </c>
      <c r="E141" t="s">
        <v>533</v>
      </c>
      <c r="F141" s="3" t="s">
        <v>704</v>
      </c>
      <c r="G141" t="s">
        <v>537</v>
      </c>
      <c r="H141">
        <v>2025</v>
      </c>
      <c r="J141">
        <f>_xlfn.XLOOKUP(표8[[#This Row],[location]],Location[location],Location[lat])</f>
        <v>34.834000000000003</v>
      </c>
      <c r="K141">
        <f>_xlfn.XLOOKUP(표8[[#This Row],[location]],Location[location],Location[lon])</f>
        <v>127.68600000000001</v>
      </c>
    </row>
    <row r="142" spans="1:11">
      <c r="A142" s="8" t="s">
        <v>83</v>
      </c>
      <c r="B142" s="8" t="s">
        <v>396</v>
      </c>
      <c r="C142" s="8" t="str">
        <f>_xlfn.XLOOKUP(표8[[#This Row],[supplier_id]],표7[supplier_id],표7[supplier_name])</f>
        <v>롯데케미칼</v>
      </c>
      <c r="D142" s="9">
        <v>20</v>
      </c>
      <c r="E142" t="s">
        <v>533</v>
      </c>
      <c r="F142" s="3" t="s">
        <v>704</v>
      </c>
      <c r="G142" t="s">
        <v>537</v>
      </c>
      <c r="H142">
        <v>2025</v>
      </c>
      <c r="J142">
        <f>_xlfn.XLOOKUP(표8[[#This Row],[location]],Location[location],Location[lat])</f>
        <v>34.834000000000003</v>
      </c>
      <c r="K142">
        <f>_xlfn.XLOOKUP(표8[[#This Row],[location]],Location[location],Location[lon])</f>
        <v>127.68600000000001</v>
      </c>
    </row>
    <row r="143" spans="1:11">
      <c r="A143" t="s">
        <v>83</v>
      </c>
      <c r="B143" t="s">
        <v>399</v>
      </c>
      <c r="C143" t="str">
        <f>_xlfn.XLOOKUP(표8[[#This Row],[supplier_id]],표7[supplier_id],표7[supplier_name])</f>
        <v>S-OIL</v>
      </c>
      <c r="D143" s="9">
        <v>460</v>
      </c>
      <c r="E143" t="s">
        <v>533</v>
      </c>
      <c r="F143" s="3" t="s">
        <v>535</v>
      </c>
      <c r="G143" t="s">
        <v>537</v>
      </c>
      <c r="H143">
        <v>2025</v>
      </c>
      <c r="J143">
        <f>_xlfn.XLOOKUP(표8[[#This Row],[location]],Location[location],Location[lat])</f>
        <v>35.445999999999998</v>
      </c>
      <c r="K143">
        <f>_xlfn.XLOOKUP(표8[[#This Row],[location]],Location[location],Location[lon])</f>
        <v>129.334</v>
      </c>
    </row>
    <row r="144" spans="1:11">
      <c r="A144" t="s">
        <v>83</v>
      </c>
      <c r="B144" t="s">
        <v>402</v>
      </c>
      <c r="C144" t="str">
        <f>_xlfn.XLOOKUP(표8[[#This Row],[supplier_id]],표7[supplier_id],표7[supplier_name])</f>
        <v>SK지오센트릭</v>
      </c>
      <c r="D144" s="9">
        <v>178</v>
      </c>
      <c r="E144" t="s">
        <v>533</v>
      </c>
      <c r="F144" s="3" t="s">
        <v>535</v>
      </c>
      <c r="G144" t="s">
        <v>537</v>
      </c>
      <c r="H144">
        <v>2025</v>
      </c>
      <c r="J144">
        <f>_xlfn.XLOOKUP(표8[[#This Row],[location]],Location[location],Location[lat])</f>
        <v>35.445999999999998</v>
      </c>
      <c r="K144">
        <f>_xlfn.XLOOKUP(표8[[#This Row],[location]],Location[location],Location[lon])</f>
        <v>129.334</v>
      </c>
    </row>
    <row r="145" spans="1:11">
      <c r="A145" t="s">
        <v>88</v>
      </c>
      <c r="B145" t="s">
        <v>748</v>
      </c>
      <c r="C145" t="str">
        <f>_xlfn.XLOOKUP(표8[[#This Row],[supplier_id]],표7[supplier_id],표7[supplier_name])</f>
        <v>OCI</v>
      </c>
      <c r="D145" s="9">
        <v>200</v>
      </c>
      <c r="E145" t="s">
        <v>533</v>
      </c>
      <c r="F145" s="3" t="s">
        <v>737</v>
      </c>
      <c r="G145" t="s">
        <v>537</v>
      </c>
      <c r="H145">
        <v>2025</v>
      </c>
      <c r="J145">
        <f>_xlfn.XLOOKUP(표8[[#This Row],[location]],Location[location],Location[lat])</f>
        <v>34.933999999999997</v>
      </c>
      <c r="K145">
        <f>_xlfn.XLOOKUP(표8[[#This Row],[location]],Location[location],Location[lon])</f>
        <v>127.756</v>
      </c>
    </row>
    <row r="146" spans="1:11">
      <c r="A146" s="8" t="s">
        <v>88</v>
      </c>
      <c r="B146" s="8" t="s">
        <v>723</v>
      </c>
      <c r="C146" s="8" t="str">
        <f>_xlfn.XLOOKUP(표8[[#This Row],[supplier_id]],표7[supplier_id],표7[supplier_name])</f>
        <v>한화토탈에너지스</v>
      </c>
      <c r="D146" s="9">
        <v>1267</v>
      </c>
      <c r="E146" t="s">
        <v>533</v>
      </c>
      <c r="F146" s="3" t="s">
        <v>735</v>
      </c>
      <c r="G146" t="s">
        <v>537</v>
      </c>
      <c r="H146">
        <v>2025</v>
      </c>
      <c r="J146">
        <f>_xlfn.XLOOKUP(표8[[#This Row],[location]],Location[location],Location[lat])</f>
        <v>36.99</v>
      </c>
      <c r="K146">
        <f>_xlfn.XLOOKUP(표8[[#This Row],[location]],Location[location],Location[lon])</f>
        <v>126.39</v>
      </c>
    </row>
    <row r="147" spans="1:11">
      <c r="A147" s="8" t="s">
        <v>88</v>
      </c>
      <c r="B147" s="8" t="s">
        <v>724</v>
      </c>
      <c r="C147" s="8" t="str">
        <f>_xlfn.XLOOKUP(표8[[#This Row],[supplier_id]],표7[supplier_id],표7[supplier_name])</f>
        <v>HD현대케미칼</v>
      </c>
      <c r="D147" s="9">
        <v>410</v>
      </c>
      <c r="E147" t="s">
        <v>533</v>
      </c>
      <c r="F147" s="3" t="s">
        <v>735</v>
      </c>
      <c r="G147" t="s">
        <v>537</v>
      </c>
      <c r="H147">
        <v>2025</v>
      </c>
      <c r="J147">
        <f>_xlfn.XLOOKUP(표8[[#This Row],[location]],Location[location],Location[lat])</f>
        <v>36.99</v>
      </c>
      <c r="K147">
        <f>_xlfn.XLOOKUP(표8[[#This Row],[location]],Location[location],Location[lon])</f>
        <v>126.39</v>
      </c>
    </row>
    <row r="148" spans="1:11">
      <c r="A148" s="8" t="s">
        <v>88</v>
      </c>
      <c r="B148" s="8" t="s">
        <v>734</v>
      </c>
      <c r="C148" s="8" t="str">
        <f>_xlfn.XLOOKUP(표8[[#This Row],[supplier_id]],표7[supplier_id],표7[supplier_name])</f>
        <v>HD현대오일뱅크</v>
      </c>
      <c r="D148" s="9">
        <v>338</v>
      </c>
      <c r="E148" t="s">
        <v>533</v>
      </c>
      <c r="F148" s="3" t="s">
        <v>735</v>
      </c>
      <c r="G148" t="s">
        <v>537</v>
      </c>
      <c r="H148">
        <v>2025</v>
      </c>
      <c r="J148">
        <f>_xlfn.XLOOKUP(표8[[#This Row],[location]],Location[location],Location[lat])</f>
        <v>36.99</v>
      </c>
      <c r="K148">
        <f>_xlfn.XLOOKUP(표8[[#This Row],[location]],Location[location],Location[lon])</f>
        <v>126.39</v>
      </c>
    </row>
    <row r="149" spans="1:11">
      <c r="A149" s="8" t="s">
        <v>88</v>
      </c>
      <c r="B149" s="8" t="s">
        <v>698</v>
      </c>
      <c r="C149" s="8" t="str">
        <f>_xlfn.XLOOKUP(표8[[#This Row],[supplier_id]],표7[supplier_id],표7[supplier_name])</f>
        <v>LG화학</v>
      </c>
      <c r="D149" s="9">
        <v>270</v>
      </c>
      <c r="E149" t="s">
        <v>533</v>
      </c>
      <c r="F149" s="3" t="s">
        <v>735</v>
      </c>
      <c r="G149" t="s">
        <v>537</v>
      </c>
      <c r="H149">
        <v>2025</v>
      </c>
      <c r="J149">
        <f>_xlfn.XLOOKUP(표8[[#This Row],[location]],Location[location],Location[lat])</f>
        <v>36.99</v>
      </c>
      <c r="K149">
        <f>_xlfn.XLOOKUP(표8[[#This Row],[location]],Location[location],Location[lon])</f>
        <v>126.39</v>
      </c>
    </row>
    <row r="150" spans="1:11">
      <c r="A150" s="8" t="s">
        <v>88</v>
      </c>
      <c r="B150" s="8" t="s">
        <v>396</v>
      </c>
      <c r="C150" s="8" t="str">
        <f>_xlfn.XLOOKUP(표8[[#This Row],[supplier_id]],표7[supplier_id],표7[supplier_name])</f>
        <v>롯데케미칼</v>
      </c>
      <c r="D150" s="9">
        <v>240</v>
      </c>
      <c r="E150" t="s">
        <v>533</v>
      </c>
      <c r="F150" s="3" t="s">
        <v>735</v>
      </c>
      <c r="G150" t="s">
        <v>537</v>
      </c>
      <c r="H150">
        <v>2025</v>
      </c>
      <c r="J150">
        <f>_xlfn.XLOOKUP(표8[[#This Row],[location]],Location[location],Location[lat])</f>
        <v>36.99</v>
      </c>
      <c r="K150">
        <f>_xlfn.XLOOKUP(표8[[#This Row],[location]],Location[location],Location[lon])</f>
        <v>126.39</v>
      </c>
    </row>
    <row r="151" spans="1:11">
      <c r="A151" s="8" t="s">
        <v>88</v>
      </c>
      <c r="B151" s="8" t="s">
        <v>700</v>
      </c>
      <c r="C151" s="8" t="str">
        <f>_xlfn.XLOOKUP(표8[[#This Row],[supplier_id]],표7[supplier_id],표7[supplier_name])</f>
        <v>GS칼텍스</v>
      </c>
      <c r="D151" s="9">
        <v>930</v>
      </c>
      <c r="E151" t="s">
        <v>533</v>
      </c>
      <c r="F151" s="3" t="s">
        <v>704</v>
      </c>
      <c r="G151" t="s">
        <v>537</v>
      </c>
      <c r="H151">
        <v>2025</v>
      </c>
      <c r="J151">
        <f>_xlfn.XLOOKUP(표8[[#This Row],[location]],Location[location],Location[lat])</f>
        <v>34.834000000000003</v>
      </c>
      <c r="K151">
        <f>_xlfn.XLOOKUP(표8[[#This Row],[location]],Location[location],Location[lon])</f>
        <v>127.68600000000001</v>
      </c>
    </row>
    <row r="152" spans="1:11">
      <c r="A152" s="8" t="s">
        <v>88</v>
      </c>
      <c r="B152" s="8" t="s">
        <v>698</v>
      </c>
      <c r="C152" s="8" t="str">
        <f>_xlfn.XLOOKUP(표8[[#This Row],[supplier_id]],표7[supplier_id],표7[supplier_name])</f>
        <v>LG화학</v>
      </c>
      <c r="D152" s="9">
        <v>630</v>
      </c>
      <c r="E152" t="s">
        <v>533</v>
      </c>
      <c r="F152" s="3" t="s">
        <v>704</v>
      </c>
      <c r="G152" t="s">
        <v>537</v>
      </c>
      <c r="H152">
        <v>2025</v>
      </c>
      <c r="J152">
        <f>_xlfn.XLOOKUP(표8[[#This Row],[location]],Location[location],Location[lat])</f>
        <v>34.834000000000003</v>
      </c>
      <c r="K152">
        <f>_xlfn.XLOOKUP(표8[[#This Row],[location]],Location[location],Location[lon])</f>
        <v>127.68600000000001</v>
      </c>
    </row>
    <row r="153" spans="1:11">
      <c r="A153" s="8" t="s">
        <v>88</v>
      </c>
      <c r="B153" s="8" t="s">
        <v>699</v>
      </c>
      <c r="C153" s="8" t="str">
        <f>_xlfn.XLOOKUP(표8[[#This Row],[supplier_id]],표7[supplier_id],표7[supplier_name])</f>
        <v>여천NCC</v>
      </c>
      <c r="D153" s="9">
        <v>457</v>
      </c>
      <c r="E153" t="s">
        <v>533</v>
      </c>
      <c r="F153" s="3" t="s">
        <v>704</v>
      </c>
      <c r="G153" t="s">
        <v>537</v>
      </c>
      <c r="H153">
        <v>2025</v>
      </c>
      <c r="J153">
        <f>_xlfn.XLOOKUP(표8[[#This Row],[location]],Location[location],Location[lat])</f>
        <v>34.834000000000003</v>
      </c>
      <c r="K153">
        <f>_xlfn.XLOOKUP(표8[[#This Row],[location]],Location[location],Location[lon])</f>
        <v>127.68600000000001</v>
      </c>
    </row>
    <row r="154" spans="1:11">
      <c r="A154" s="8" t="s">
        <v>88</v>
      </c>
      <c r="B154" s="8" t="s">
        <v>396</v>
      </c>
      <c r="C154" s="8" t="str">
        <f>_xlfn.XLOOKUP(표8[[#This Row],[supplier_id]],표7[supplier_id],표7[supplier_name])</f>
        <v>롯데케미칼</v>
      </c>
      <c r="D154" s="9">
        <v>235</v>
      </c>
      <c r="E154" t="s">
        <v>533</v>
      </c>
      <c r="F154" s="3" t="s">
        <v>704</v>
      </c>
      <c r="G154" t="s">
        <v>537</v>
      </c>
      <c r="H154">
        <v>2025</v>
      </c>
      <c r="J154">
        <f>_xlfn.XLOOKUP(표8[[#This Row],[location]],Location[location],Location[lat])</f>
        <v>34.834000000000003</v>
      </c>
      <c r="K154">
        <f>_xlfn.XLOOKUP(표8[[#This Row],[location]],Location[location],Location[lon])</f>
        <v>127.68600000000001</v>
      </c>
    </row>
    <row r="155" spans="1:11">
      <c r="A155" s="8" t="s">
        <v>88</v>
      </c>
      <c r="B155" t="s">
        <v>399</v>
      </c>
      <c r="C155" t="str">
        <f>_xlfn.XLOOKUP(표8[[#This Row],[supplier_id]],표7[supplier_id],표7[supplier_name])</f>
        <v>S-OIL</v>
      </c>
      <c r="D155" s="9">
        <v>672</v>
      </c>
      <c r="E155" t="s">
        <v>533</v>
      </c>
      <c r="F155" s="3" t="s">
        <v>535</v>
      </c>
      <c r="G155" t="s">
        <v>537</v>
      </c>
      <c r="H155">
        <v>2025</v>
      </c>
      <c r="J155">
        <f>_xlfn.XLOOKUP(표8[[#This Row],[location]],Location[location],Location[lat])</f>
        <v>35.445999999999998</v>
      </c>
      <c r="K155">
        <f>_xlfn.XLOOKUP(표8[[#This Row],[location]],Location[location],Location[lon])</f>
        <v>129.334</v>
      </c>
    </row>
    <row r="156" spans="1:11">
      <c r="A156" s="8" t="s">
        <v>88</v>
      </c>
      <c r="B156" t="s">
        <v>402</v>
      </c>
      <c r="C156" t="str">
        <f>_xlfn.XLOOKUP(표8[[#This Row],[supplier_id]],표7[supplier_id],표7[supplier_name])</f>
        <v>SK지오센트릭</v>
      </c>
      <c r="D156" s="9">
        <v>603</v>
      </c>
      <c r="E156" t="s">
        <v>533</v>
      </c>
      <c r="F156" s="3" t="s">
        <v>535</v>
      </c>
      <c r="G156" t="s">
        <v>537</v>
      </c>
      <c r="H156">
        <v>2025</v>
      </c>
      <c r="J156">
        <f>_xlfn.XLOOKUP(표8[[#This Row],[location]],Location[location],Location[lat])</f>
        <v>35.445999999999998</v>
      </c>
      <c r="K156">
        <f>_xlfn.XLOOKUP(표8[[#This Row],[location]],Location[location],Location[lon])</f>
        <v>129.334</v>
      </c>
    </row>
    <row r="157" spans="1:11">
      <c r="A157" s="8" t="s">
        <v>88</v>
      </c>
      <c r="B157" t="s">
        <v>438</v>
      </c>
      <c r="C157" t="str">
        <f>_xlfn.XLOOKUP(표8[[#This Row],[supplier_id]],표7[supplier_id],표7[supplier_name])</f>
        <v>울산아로마틱스</v>
      </c>
      <c r="D157" s="9">
        <v>600</v>
      </c>
      <c r="E157" t="s">
        <v>533</v>
      </c>
      <c r="F157" s="3" t="s">
        <v>535</v>
      </c>
      <c r="G157" t="s">
        <v>537</v>
      </c>
      <c r="H157">
        <v>2025</v>
      </c>
      <c r="J157">
        <f>_xlfn.XLOOKUP(표8[[#This Row],[location]],Location[location],Location[lat])</f>
        <v>35.445999999999998</v>
      </c>
      <c r="K157">
        <f>_xlfn.XLOOKUP(표8[[#This Row],[location]],Location[location],Location[lon])</f>
        <v>129.334</v>
      </c>
    </row>
    <row r="158" spans="1:11">
      <c r="A158" s="8" t="s">
        <v>88</v>
      </c>
      <c r="B158" t="s">
        <v>392</v>
      </c>
      <c r="C158" t="str">
        <f>_xlfn.XLOOKUP(표8[[#This Row],[supplier_id]],표7[supplier_id],표7[supplier_name])</f>
        <v>대한유화</v>
      </c>
      <c r="D158" s="9">
        <v>210</v>
      </c>
      <c r="E158" t="s">
        <v>533</v>
      </c>
      <c r="F158" s="3" t="s">
        <v>535</v>
      </c>
      <c r="G158" t="s">
        <v>537</v>
      </c>
      <c r="H158">
        <v>2025</v>
      </c>
      <c r="J158">
        <f>_xlfn.XLOOKUP(표8[[#This Row],[location]],Location[location],Location[lat])</f>
        <v>35.445999999999998</v>
      </c>
      <c r="K158">
        <f>_xlfn.XLOOKUP(표8[[#This Row],[location]],Location[location],Location[lon])</f>
        <v>129.334</v>
      </c>
    </row>
    <row r="159" spans="1:11">
      <c r="A159" s="8" t="s">
        <v>88</v>
      </c>
      <c r="B159" t="s">
        <v>396</v>
      </c>
      <c r="C159" t="str">
        <f>_xlfn.XLOOKUP(표8[[#This Row],[supplier_id]],표7[supplier_id],표7[supplier_name])</f>
        <v>롯데케미칼</v>
      </c>
      <c r="D159" s="9">
        <v>110</v>
      </c>
      <c r="E159" t="s">
        <v>533</v>
      </c>
      <c r="F159" s="3" t="s">
        <v>535</v>
      </c>
      <c r="G159" t="s">
        <v>537</v>
      </c>
      <c r="H159">
        <v>2025</v>
      </c>
      <c r="J159">
        <f>_xlfn.XLOOKUP(표8[[#This Row],[location]],Location[location],Location[lat])</f>
        <v>35.445999999999998</v>
      </c>
      <c r="K159">
        <f>_xlfn.XLOOKUP(표8[[#This Row],[location]],Location[location],Location[lon])</f>
        <v>129.334</v>
      </c>
    </row>
    <row r="160" spans="1:11">
      <c r="A160" s="8" t="s">
        <v>88</v>
      </c>
      <c r="B160" s="8" t="s">
        <v>751</v>
      </c>
      <c r="C160" s="8" t="str">
        <f>_xlfn.XLOOKUP(표8[[#This Row],[supplier_id]],표7[supplier_id],표7[supplier_name])</f>
        <v>SK인천석유화학</v>
      </c>
      <c r="D160" s="9">
        <v>600</v>
      </c>
      <c r="E160" t="s">
        <v>533</v>
      </c>
      <c r="F160" s="3" t="s">
        <v>744</v>
      </c>
      <c r="G160" t="s">
        <v>537</v>
      </c>
      <c r="H160">
        <v>2025</v>
      </c>
      <c r="J160">
        <f>_xlfn.XLOOKUP(표8[[#This Row],[location]],Location[location],Location[lat])</f>
        <v>37.511000000000003</v>
      </c>
      <c r="K160">
        <f>_xlfn.XLOOKUP(표8[[#This Row],[location]],Location[location],Location[lon])</f>
        <v>126.66200000000001</v>
      </c>
    </row>
    <row r="161" spans="1:11">
      <c r="A161" t="s">
        <v>116</v>
      </c>
      <c r="B161" t="s">
        <v>1024</v>
      </c>
      <c r="C161" s="8" t="str">
        <f>_xlfn.XLOOKUP(표8[[#This Row],[supplier_id]],표7[supplier_id],표7[supplier_name])</f>
        <v>한화토탈에너지스</v>
      </c>
      <c r="D161" s="102">
        <v>440</v>
      </c>
      <c r="E161" t="s">
        <v>533</v>
      </c>
      <c r="F161" s="3" t="s">
        <v>735</v>
      </c>
      <c r="G161" t="s">
        <v>991</v>
      </c>
      <c r="H161">
        <v>2024</v>
      </c>
      <c r="J161">
        <f>_xlfn.XLOOKUP(표8[[#This Row],[location]],Location[location],Location[lat])</f>
        <v>36.99</v>
      </c>
      <c r="K161">
        <f>_xlfn.XLOOKUP(표8[[#This Row],[location]],Location[location],Location[lon])</f>
        <v>126.39</v>
      </c>
    </row>
    <row r="162" spans="1:11">
      <c r="A162" t="s">
        <v>116</v>
      </c>
      <c r="B162" t="s">
        <v>1024</v>
      </c>
      <c r="C162" s="8" t="str">
        <f>_xlfn.XLOOKUP(표8[[#This Row],[supplier_id]],표7[supplier_id],표7[supplier_name])</f>
        <v>한화토탈에너지스</v>
      </c>
      <c r="D162" s="102">
        <v>715</v>
      </c>
      <c r="E162" t="s">
        <v>533</v>
      </c>
      <c r="F162" s="3" t="s">
        <v>735</v>
      </c>
      <c r="G162" t="s">
        <v>991</v>
      </c>
      <c r="H162">
        <v>2024</v>
      </c>
      <c r="J162">
        <f>_xlfn.XLOOKUP(표8[[#This Row],[location]],Location[location],Location[lat])</f>
        <v>36.99</v>
      </c>
      <c r="K162">
        <f>_xlfn.XLOOKUP(표8[[#This Row],[location]],Location[location],Location[lon])</f>
        <v>126.39</v>
      </c>
    </row>
    <row r="163" spans="1:11">
      <c r="A163" s="10" t="s">
        <v>116</v>
      </c>
      <c r="B163" s="3" t="s">
        <v>1025</v>
      </c>
      <c r="C163" s="10" t="str">
        <f>_xlfn.XLOOKUP(표8[[#This Row],[supplier_id]],표7[supplier_id],표7[supplier_name])</f>
        <v>롯데케미칼</v>
      </c>
      <c r="D163" s="103">
        <v>233</v>
      </c>
      <c r="E163" t="s">
        <v>533</v>
      </c>
      <c r="F163" t="s">
        <v>735</v>
      </c>
      <c r="G163" t="s">
        <v>991</v>
      </c>
      <c r="H163">
        <v>2024</v>
      </c>
      <c r="J163">
        <f>_xlfn.XLOOKUP(표8[[#This Row],[location]],Location[location],Location[lat])</f>
        <v>36.99</v>
      </c>
      <c r="K163">
        <f>_xlfn.XLOOKUP(표8[[#This Row],[location]],Location[location],Location[lon])</f>
        <v>126.39</v>
      </c>
    </row>
    <row r="164" spans="1:11">
      <c r="A164" s="8" t="s">
        <v>116</v>
      </c>
      <c r="B164" t="s">
        <v>1025</v>
      </c>
      <c r="C164" s="8" t="str">
        <f>_xlfn.XLOOKUP(표8[[#This Row],[supplier_id]],표7[supplier_id],표7[supplier_name])</f>
        <v>롯데케미칼</v>
      </c>
      <c r="D164" s="102">
        <v>440</v>
      </c>
      <c r="E164" t="s">
        <v>533</v>
      </c>
      <c r="F164" t="s">
        <v>735</v>
      </c>
      <c r="G164" t="s">
        <v>991</v>
      </c>
      <c r="H164">
        <v>2024</v>
      </c>
      <c r="J164">
        <f>_xlfn.XLOOKUP(표8[[#This Row],[location]],Location[location],Location[lat])</f>
        <v>36.99</v>
      </c>
      <c r="K164">
        <f>_xlfn.XLOOKUP(표8[[#This Row],[location]],Location[location],Location[lon])</f>
        <v>126.39</v>
      </c>
    </row>
    <row r="165" spans="1:11">
      <c r="A165" s="8" t="s">
        <v>116</v>
      </c>
      <c r="B165" t="s">
        <v>1106</v>
      </c>
      <c r="C165" s="8" t="str">
        <f>_xlfn.XLOOKUP(표8[[#This Row],[supplier_id]],표7[supplier_id],표7[supplier_name])</f>
        <v>여천NCC</v>
      </c>
      <c r="D165" s="102">
        <v>370</v>
      </c>
      <c r="E165" t="s">
        <v>533</v>
      </c>
      <c r="F165" t="s">
        <v>704</v>
      </c>
      <c r="G165" t="s">
        <v>991</v>
      </c>
      <c r="H165">
        <v>2024</v>
      </c>
      <c r="J165">
        <f>_xlfn.XLOOKUP(표8[[#This Row],[location]],Location[location],Location[lat])</f>
        <v>34.834000000000003</v>
      </c>
      <c r="K165">
        <f>_xlfn.XLOOKUP(표8[[#This Row],[location]],Location[location],Location[lon])</f>
        <v>127.68600000000001</v>
      </c>
    </row>
    <row r="166" spans="1:11">
      <c r="A166" s="8" t="s">
        <v>116</v>
      </c>
      <c r="B166" t="s">
        <v>3896</v>
      </c>
      <c r="C166" s="8" t="str">
        <f>_xlfn.XLOOKUP(표8[[#This Row],[supplier_id]],표7[supplier_id],표7[supplier_name])</f>
        <v>SK picglobal</v>
      </c>
      <c r="D166" s="102">
        <v>438</v>
      </c>
      <c r="E166" t="s">
        <v>533</v>
      </c>
      <c r="F166" t="s">
        <v>535</v>
      </c>
      <c r="G166" t="s">
        <v>991</v>
      </c>
      <c r="H166">
        <v>2024</v>
      </c>
      <c r="J166">
        <f>_xlfn.XLOOKUP(표8[[#This Row],[location]],Location[location],Location[lat])</f>
        <v>35.445999999999998</v>
      </c>
      <c r="K166">
        <f>_xlfn.XLOOKUP(표8[[#This Row],[location]],Location[location],Location[lon])</f>
        <v>129.334</v>
      </c>
    </row>
    <row r="167" spans="1:11">
      <c r="A167" s="8" t="s">
        <v>117</v>
      </c>
      <c r="B167" s="8" t="s">
        <v>723</v>
      </c>
      <c r="C167" s="8" t="str">
        <f>_xlfn.XLOOKUP(표8[[#This Row],[supplier_id]],표7[supplier_id],표7[supplier_name])</f>
        <v>한화토탈에너지스</v>
      </c>
      <c r="D167" s="9">
        <v>1071</v>
      </c>
      <c r="E167" t="s">
        <v>533</v>
      </c>
      <c r="F167" t="s">
        <v>735</v>
      </c>
      <c r="G167" t="s">
        <v>537</v>
      </c>
      <c r="H167">
        <v>2025</v>
      </c>
      <c r="J167">
        <f>_xlfn.XLOOKUP(표8[[#This Row],[location]],Location[location],Location[lat])</f>
        <v>36.99</v>
      </c>
      <c r="K167">
        <f>_xlfn.XLOOKUP(표8[[#This Row],[location]],Location[location],Location[lon])</f>
        <v>126.39</v>
      </c>
    </row>
    <row r="168" spans="1:11">
      <c r="A168" s="8" t="s">
        <v>117</v>
      </c>
      <c r="B168" s="8" t="s">
        <v>396</v>
      </c>
      <c r="C168" s="8" t="str">
        <f>_xlfn.XLOOKUP(표8[[#This Row],[supplier_id]],표7[supplier_id],표7[supplier_name])</f>
        <v>롯데케미칼</v>
      </c>
      <c r="D168" s="9">
        <v>577</v>
      </c>
      <c r="E168" t="s">
        <v>533</v>
      </c>
      <c r="F168" t="s">
        <v>735</v>
      </c>
      <c r="G168" t="s">
        <v>537</v>
      </c>
      <c r="H168">
        <v>2025</v>
      </c>
      <c r="J168">
        <f>_xlfn.XLOOKUP(표8[[#This Row],[location]],Location[location],Location[lat])</f>
        <v>36.99</v>
      </c>
      <c r="K168">
        <f>_xlfn.XLOOKUP(표8[[#This Row],[location]],Location[location],Location[lon])</f>
        <v>126.39</v>
      </c>
    </row>
    <row r="169" spans="1:11">
      <c r="A169" s="8" t="s">
        <v>117</v>
      </c>
      <c r="B169" s="8" t="s">
        <v>699</v>
      </c>
      <c r="C169" s="8" t="str">
        <f>_xlfn.XLOOKUP(표8[[#This Row],[supplier_id]],표7[supplier_id],표7[supplier_name])</f>
        <v>여천NCC</v>
      </c>
      <c r="D169" s="9">
        <v>351</v>
      </c>
      <c r="E169" t="s">
        <v>533</v>
      </c>
      <c r="F169" t="s">
        <v>704</v>
      </c>
      <c r="G169" t="s">
        <v>537</v>
      </c>
      <c r="H169">
        <v>2025</v>
      </c>
      <c r="J169">
        <f>_xlfn.XLOOKUP(표8[[#This Row],[location]],Location[location],Location[lat])</f>
        <v>34.834000000000003</v>
      </c>
      <c r="K169">
        <f>_xlfn.XLOOKUP(표8[[#This Row],[location]],Location[location],Location[lon])</f>
        <v>127.68600000000001</v>
      </c>
    </row>
    <row r="170" spans="1:11">
      <c r="A170" s="8" t="s">
        <v>117</v>
      </c>
      <c r="B170" t="s">
        <v>435</v>
      </c>
      <c r="C170" t="str">
        <f>_xlfn.XLOOKUP(표8[[#This Row],[supplier_id]],표7[supplier_id],표7[supplier_name])</f>
        <v>SK picglobal</v>
      </c>
      <c r="D170" s="9">
        <v>400</v>
      </c>
      <c r="E170" t="s">
        <v>533</v>
      </c>
      <c r="F170" t="s">
        <v>535</v>
      </c>
      <c r="G170" t="s">
        <v>537</v>
      </c>
      <c r="H170">
        <v>2025</v>
      </c>
      <c r="J170">
        <f>_xlfn.XLOOKUP(표8[[#This Row],[location]],Location[location],Location[lat])</f>
        <v>35.445999999999998</v>
      </c>
      <c r="K170">
        <f>_xlfn.XLOOKUP(표8[[#This Row],[location]],Location[location],Location[lon])</f>
        <v>129.334</v>
      </c>
    </row>
    <row r="171" spans="1:11">
      <c r="A171" s="8" t="s">
        <v>123</v>
      </c>
      <c r="B171" s="8" t="s">
        <v>753</v>
      </c>
      <c r="C171" s="8" t="str">
        <f>_xlfn.XLOOKUP(표8[[#This Row],[supplier_id]],표7[supplier_id],표7[supplier_name])</f>
        <v>SH에너지화학</v>
      </c>
      <c r="D171" s="9">
        <v>100</v>
      </c>
      <c r="E171" t="s">
        <v>533</v>
      </c>
      <c r="F171" t="s">
        <v>739</v>
      </c>
      <c r="G171" t="s">
        <v>537</v>
      </c>
      <c r="H171">
        <v>2025</v>
      </c>
      <c r="I171" t="s">
        <v>754</v>
      </c>
      <c r="J171">
        <f>_xlfn.XLOOKUP(표8[[#This Row],[location]],Location[location],Location[lat])</f>
        <v>35.978999999999999</v>
      </c>
      <c r="K171">
        <f>_xlfn.XLOOKUP(표8[[#This Row],[location]],Location[location],Location[lon])</f>
        <v>126.66200000000001</v>
      </c>
    </row>
    <row r="172" spans="1:11">
      <c r="A172" s="8" t="s">
        <v>123</v>
      </c>
      <c r="B172" s="8" t="s">
        <v>698</v>
      </c>
      <c r="C172" s="8" t="str">
        <f>_xlfn.XLOOKUP(표8[[#This Row],[supplier_id]],표7[supplier_id],표7[supplier_name])</f>
        <v>LG화학</v>
      </c>
      <c r="D172" s="9">
        <v>90</v>
      </c>
      <c r="E172" t="s">
        <v>533</v>
      </c>
      <c r="F172" t="s">
        <v>704</v>
      </c>
      <c r="G172" t="s">
        <v>537</v>
      </c>
      <c r="H172">
        <v>2025</v>
      </c>
      <c r="I172" t="s">
        <v>729</v>
      </c>
      <c r="J172">
        <f>_xlfn.XLOOKUP(표8[[#This Row],[location]],Location[location],Location[lat])</f>
        <v>34.834000000000003</v>
      </c>
      <c r="K172">
        <f>_xlfn.XLOOKUP(표8[[#This Row],[location]],Location[location],Location[lon])</f>
        <v>127.68600000000001</v>
      </c>
    </row>
    <row r="173" spans="1:11">
      <c r="A173" t="s">
        <v>123</v>
      </c>
      <c r="B173" t="s">
        <v>390</v>
      </c>
      <c r="C173" t="str">
        <f>_xlfn.XLOOKUP(표8[[#This Row],[supplier_id]],표7[supplier_id],표7[supplier_name])</f>
        <v>금호석유화학</v>
      </c>
      <c r="D173" s="9">
        <f>265+80</f>
        <v>345</v>
      </c>
      <c r="E173" t="s">
        <v>533</v>
      </c>
      <c r="F173" t="s">
        <v>535</v>
      </c>
      <c r="G173" t="s">
        <v>537</v>
      </c>
      <c r="H173">
        <v>2025</v>
      </c>
      <c r="I173" t="s">
        <v>531</v>
      </c>
      <c r="J173">
        <f>_xlfn.XLOOKUP(표8[[#This Row],[location]],Location[location],Location[lat])</f>
        <v>35.445999999999998</v>
      </c>
      <c r="K173">
        <f>_xlfn.XLOOKUP(표8[[#This Row],[location]],Location[location],Location[lon])</f>
        <v>129.334</v>
      </c>
    </row>
    <row r="174" spans="1:11">
      <c r="A174" t="s">
        <v>123</v>
      </c>
      <c r="B174" t="s">
        <v>448</v>
      </c>
      <c r="C174" t="str">
        <f>_xlfn.XLOOKUP(표8[[#This Row],[supplier_id]],표7[supplier_id],표7[supplier_name])</f>
        <v>한국이네오스스티롤루션</v>
      </c>
      <c r="D174" s="9">
        <v>266</v>
      </c>
      <c r="E174" t="s">
        <v>533</v>
      </c>
      <c r="F174" t="s">
        <v>535</v>
      </c>
      <c r="G174" t="s">
        <v>537</v>
      </c>
      <c r="H174">
        <v>2025</v>
      </c>
      <c r="J174">
        <f>_xlfn.XLOOKUP(표8[[#This Row],[location]],Location[location],Location[lat])</f>
        <v>35.445999999999998</v>
      </c>
      <c r="K174">
        <f>_xlfn.XLOOKUP(표8[[#This Row],[location]],Location[location],Location[lon])</f>
        <v>129.334</v>
      </c>
    </row>
    <row r="175" spans="1:11">
      <c r="A175" t="s">
        <v>123</v>
      </c>
      <c r="B175" t="s">
        <v>436</v>
      </c>
      <c r="C175" t="str">
        <f>_xlfn.XLOOKUP(표8[[#This Row],[supplier_id]],표7[supplier_id],표7[supplier_name])</f>
        <v>HDC현대EP</v>
      </c>
      <c r="D175" s="9">
        <f>148+80</f>
        <v>228</v>
      </c>
      <c r="E175" t="s">
        <v>533</v>
      </c>
      <c r="F175" t="s">
        <v>535</v>
      </c>
      <c r="G175" t="s">
        <v>537</v>
      </c>
      <c r="H175">
        <v>2025</v>
      </c>
      <c r="I175" t="s">
        <v>531</v>
      </c>
      <c r="J175">
        <f>_xlfn.XLOOKUP(표8[[#This Row],[location]],Location[location],Location[lat])</f>
        <v>35.445999999999998</v>
      </c>
      <c r="K175">
        <f>_xlfn.XLOOKUP(표8[[#This Row],[location]],Location[location],Location[lon])</f>
        <v>129.334</v>
      </c>
    </row>
    <row r="176" spans="1:11">
      <c r="A176" t="s">
        <v>123</v>
      </c>
      <c r="B176" t="s">
        <v>446</v>
      </c>
      <c r="C176" t="str">
        <f>_xlfn.XLOOKUP(표8[[#This Row],[supplier_id]],표7[supplier_id],표7[supplier_name])</f>
        <v>한국바스프</v>
      </c>
      <c r="D176" s="9">
        <v>85</v>
      </c>
      <c r="E176" t="s">
        <v>533</v>
      </c>
      <c r="F176" t="s">
        <v>535</v>
      </c>
      <c r="G176" t="s">
        <v>537</v>
      </c>
      <c r="H176">
        <v>2025</v>
      </c>
      <c r="I176" t="s">
        <v>530</v>
      </c>
      <c r="J176">
        <f>_xlfn.XLOOKUP(표8[[#This Row],[location]],Location[location],Location[lat])</f>
        <v>35.445999999999998</v>
      </c>
      <c r="K176">
        <f>_xlfn.XLOOKUP(표8[[#This Row],[location]],Location[location],Location[lon])</f>
        <v>129.334</v>
      </c>
    </row>
    <row r="177" spans="1:11">
      <c r="A177" t="s">
        <v>1092</v>
      </c>
      <c r="B177" t="s">
        <v>1023</v>
      </c>
      <c r="C177" s="8" t="str">
        <f>_xlfn.XLOOKUP(표8[[#This Row],[supplier_id]],표7[supplier_id],표7[supplier_name])</f>
        <v>LG화학</v>
      </c>
      <c r="D177" s="9">
        <v>450</v>
      </c>
      <c r="E177" t="s">
        <v>533</v>
      </c>
      <c r="F177" t="s">
        <v>735</v>
      </c>
      <c r="G177" t="s">
        <v>991</v>
      </c>
      <c r="H177">
        <v>2025</v>
      </c>
      <c r="J177">
        <f>_xlfn.XLOOKUP(표8[[#This Row],[location]],Location[location],Location[lat])</f>
        <v>36.99</v>
      </c>
      <c r="K177">
        <f>_xlfn.XLOOKUP(표8[[#This Row],[location]],Location[location],Location[lon])</f>
        <v>126.39</v>
      </c>
    </row>
    <row r="178" spans="1:11">
      <c r="A178" t="s">
        <v>1092</v>
      </c>
      <c r="B178" t="s">
        <v>1023</v>
      </c>
      <c r="C178" s="8" t="str">
        <f>_xlfn.XLOOKUP(표8[[#This Row],[supplier_id]],표7[supplier_id],표7[supplier_name])</f>
        <v>LG화학</v>
      </c>
      <c r="D178" s="9">
        <v>450</v>
      </c>
      <c r="E178" t="s">
        <v>533</v>
      </c>
      <c r="F178" t="s">
        <v>704</v>
      </c>
      <c r="G178" t="s">
        <v>991</v>
      </c>
      <c r="H178">
        <v>2025</v>
      </c>
      <c r="J178">
        <f>_xlfn.XLOOKUP(표8[[#This Row],[location]],Location[location],Location[lat])</f>
        <v>34.834000000000003</v>
      </c>
      <c r="K178">
        <f>_xlfn.XLOOKUP(표8[[#This Row],[location]],Location[location],Location[lon])</f>
        <v>127.68600000000001</v>
      </c>
    </row>
    <row r="179" spans="1:11">
      <c r="A179" t="s">
        <v>1092</v>
      </c>
      <c r="B179" s="8" t="s">
        <v>692</v>
      </c>
      <c r="C179" s="8" t="str">
        <f>_xlfn.XLOOKUP(표8[[#This Row],[supplier_id]],표7[supplier_id],표7[supplier_name])</f>
        <v>금호피앤비화학</v>
      </c>
      <c r="D179" s="9">
        <v>430</v>
      </c>
      <c r="E179" t="s">
        <v>533</v>
      </c>
      <c r="F179" t="s">
        <v>704</v>
      </c>
      <c r="G179" t="s">
        <v>991</v>
      </c>
      <c r="H179">
        <v>2025</v>
      </c>
      <c r="J179">
        <f>_xlfn.XLOOKUP(표8[[#This Row],[location]],Location[location],Location[lat])</f>
        <v>34.834000000000003</v>
      </c>
      <c r="K179">
        <f>_xlfn.XLOOKUP(표8[[#This Row],[location]],Location[location],Location[lon])</f>
        <v>127.68600000000001</v>
      </c>
    </row>
    <row r="180" spans="1:11">
      <c r="A180" t="s">
        <v>1092</v>
      </c>
      <c r="B180" s="8" t="s">
        <v>692</v>
      </c>
      <c r="C180" s="8" t="str">
        <f>_xlfn.XLOOKUP(표8[[#This Row],[supplier_id]],표7[supplier_id],표7[supplier_name])</f>
        <v>금호피앤비화학</v>
      </c>
      <c r="D180" s="9">
        <v>470</v>
      </c>
      <c r="E180" t="s">
        <v>533</v>
      </c>
      <c r="F180" t="s">
        <v>704</v>
      </c>
      <c r="G180" t="s">
        <v>991</v>
      </c>
      <c r="H180">
        <v>2025</v>
      </c>
      <c r="J180">
        <f>_xlfn.XLOOKUP(표8[[#This Row],[location]],Location[location],Location[lat])</f>
        <v>34.834000000000003</v>
      </c>
      <c r="K180">
        <f>_xlfn.XLOOKUP(표8[[#This Row],[location]],Location[location],Location[lon])</f>
        <v>127.68600000000001</v>
      </c>
    </row>
    <row r="181" spans="1:11">
      <c r="A181" s="8" t="s">
        <v>1092</v>
      </c>
      <c r="B181" s="8" t="s">
        <v>702</v>
      </c>
      <c r="C181" s="8" t="str">
        <f>_xlfn.XLOOKUP(표8[[#This Row],[supplier_id]],표7[supplier_id],표7[supplier_name])</f>
        <v>롯데GS화학</v>
      </c>
      <c r="D181" s="9">
        <v>475</v>
      </c>
      <c r="E181" t="s">
        <v>533</v>
      </c>
      <c r="F181" t="s">
        <v>704</v>
      </c>
      <c r="G181" t="s">
        <v>991</v>
      </c>
      <c r="H181">
        <v>2025</v>
      </c>
      <c r="J181">
        <f>_xlfn.XLOOKUP(표8[[#This Row],[location]],Location[location],Location[lat])</f>
        <v>34.834000000000003</v>
      </c>
      <c r="K181">
        <f>_xlfn.XLOOKUP(표8[[#This Row],[location]],Location[location],Location[lon])</f>
        <v>127.68600000000001</v>
      </c>
    </row>
    <row r="182" spans="1:11">
      <c r="A182" s="8" t="s">
        <v>125</v>
      </c>
      <c r="B182" s="8" t="s">
        <v>698</v>
      </c>
      <c r="C182" s="8" t="str">
        <f>_xlfn.XLOOKUP(표8[[#This Row],[supplier_id]],표7[supplier_id],표7[supplier_name])</f>
        <v>LG화학</v>
      </c>
      <c r="D182" s="9">
        <v>360</v>
      </c>
      <c r="E182" t="s">
        <v>533</v>
      </c>
      <c r="F182" t="s">
        <v>735</v>
      </c>
      <c r="G182" t="s">
        <v>537</v>
      </c>
      <c r="H182">
        <v>2025</v>
      </c>
      <c r="J182">
        <f>_xlfn.XLOOKUP(표8[[#This Row],[location]],Location[location],Location[lat])</f>
        <v>36.99</v>
      </c>
      <c r="K182">
        <f>_xlfn.XLOOKUP(표8[[#This Row],[location]],Location[location],Location[lon])</f>
        <v>126.39</v>
      </c>
    </row>
    <row r="183" spans="1:11">
      <c r="A183" s="8" t="s">
        <v>125</v>
      </c>
      <c r="B183" s="8" t="s">
        <v>692</v>
      </c>
      <c r="C183" s="8" t="str">
        <f>_xlfn.XLOOKUP(표8[[#This Row],[supplier_id]],표7[supplier_id],표7[supplier_name])</f>
        <v>금호피앤비화학</v>
      </c>
      <c r="D183" s="9">
        <v>680</v>
      </c>
      <c r="E183" t="s">
        <v>533</v>
      </c>
      <c r="F183" t="s">
        <v>704</v>
      </c>
      <c r="G183" t="s">
        <v>537</v>
      </c>
      <c r="H183">
        <v>2025</v>
      </c>
      <c r="J183">
        <f>_xlfn.XLOOKUP(표8[[#This Row],[location]],Location[location],Location[lat])</f>
        <v>34.834000000000003</v>
      </c>
      <c r="K183">
        <f>_xlfn.XLOOKUP(표8[[#This Row],[location]],Location[location],Location[lon])</f>
        <v>127.68600000000001</v>
      </c>
    </row>
    <row r="184" spans="1:11">
      <c r="A184" s="8" t="s">
        <v>125</v>
      </c>
      <c r="B184" s="8" t="s">
        <v>698</v>
      </c>
      <c r="C184" s="8" t="str">
        <f>_xlfn.XLOOKUP(표8[[#This Row],[supplier_id]],표7[supplier_id],표7[supplier_name])</f>
        <v>LG화학</v>
      </c>
      <c r="D184" s="9">
        <v>350</v>
      </c>
      <c r="E184" t="s">
        <v>533</v>
      </c>
      <c r="F184" t="s">
        <v>704</v>
      </c>
      <c r="G184" t="s">
        <v>537</v>
      </c>
      <c r="H184">
        <v>2025</v>
      </c>
      <c r="J184">
        <f>_xlfn.XLOOKUP(표8[[#This Row],[location]],Location[location],Location[lat])</f>
        <v>34.834000000000003</v>
      </c>
      <c r="K184">
        <f>_xlfn.XLOOKUP(표8[[#This Row],[location]],Location[location],Location[lon])</f>
        <v>127.68600000000001</v>
      </c>
    </row>
    <row r="185" spans="1:11">
      <c r="A185" s="8" t="s">
        <v>126</v>
      </c>
      <c r="B185" s="8" t="s">
        <v>698</v>
      </c>
      <c r="C185" s="8" t="str">
        <f>_xlfn.XLOOKUP(표8[[#This Row],[supplier_id]],표7[supplier_id],표7[supplier_name])</f>
        <v>LG화학</v>
      </c>
      <c r="D185" s="9">
        <v>225</v>
      </c>
      <c r="E185" t="s">
        <v>533</v>
      </c>
      <c r="F185" t="s">
        <v>735</v>
      </c>
      <c r="G185" t="s">
        <v>537</v>
      </c>
      <c r="H185">
        <v>2025</v>
      </c>
      <c r="J185">
        <f>_xlfn.XLOOKUP(표8[[#This Row],[location]],Location[location],Location[lat])</f>
        <v>36.99</v>
      </c>
      <c r="K185">
        <f>_xlfn.XLOOKUP(표8[[#This Row],[location]],Location[location],Location[lon])</f>
        <v>126.39</v>
      </c>
    </row>
    <row r="186" spans="1:11">
      <c r="A186" s="8" t="s">
        <v>126</v>
      </c>
      <c r="B186" s="8" t="s">
        <v>692</v>
      </c>
      <c r="C186" s="8" t="str">
        <f>_xlfn.XLOOKUP(표8[[#This Row],[supplier_id]],표7[supplier_id],표7[supplier_name])</f>
        <v>금호피앤비화학</v>
      </c>
      <c r="D186" s="9">
        <v>420</v>
      </c>
      <c r="E186" t="s">
        <v>533</v>
      </c>
      <c r="F186" t="s">
        <v>704</v>
      </c>
      <c r="G186" t="s">
        <v>537</v>
      </c>
      <c r="H186">
        <v>2025</v>
      </c>
      <c r="J186">
        <f>_xlfn.XLOOKUP(표8[[#This Row],[location]],Location[location],Location[lat])</f>
        <v>34.834000000000003</v>
      </c>
      <c r="K186">
        <f>_xlfn.XLOOKUP(표8[[#This Row],[location]],Location[location],Location[lon])</f>
        <v>127.68600000000001</v>
      </c>
    </row>
    <row r="187" spans="1:11">
      <c r="A187" s="8" t="s">
        <v>126</v>
      </c>
      <c r="B187" s="8" t="s">
        <v>698</v>
      </c>
      <c r="C187" s="8" t="str">
        <f>_xlfn.XLOOKUP(표8[[#This Row],[supplier_id]],표7[supplier_id],표7[supplier_name])</f>
        <v>LG화학</v>
      </c>
      <c r="D187" s="9">
        <v>210</v>
      </c>
      <c r="E187" t="s">
        <v>533</v>
      </c>
      <c r="F187" t="s">
        <v>704</v>
      </c>
      <c r="G187" t="s">
        <v>537</v>
      </c>
      <c r="H187">
        <v>2025</v>
      </c>
      <c r="J187">
        <f>_xlfn.XLOOKUP(표8[[#This Row],[location]],Location[location],Location[lat])</f>
        <v>34.834000000000003</v>
      </c>
      <c r="K187">
        <f>_xlfn.XLOOKUP(표8[[#This Row],[location]],Location[location],Location[lon])</f>
        <v>127.68600000000001</v>
      </c>
    </row>
    <row r="188" spans="1:11">
      <c r="A188" s="8" t="s">
        <v>127</v>
      </c>
      <c r="B188" s="8" t="s">
        <v>749</v>
      </c>
      <c r="C188" s="8" t="str">
        <f>_xlfn.XLOOKUP(표8[[#This Row],[supplier_id]],표7[supplier_id],표7[supplier_name])</f>
        <v>삼양이노켐</v>
      </c>
      <c r="D188" s="9">
        <v>180</v>
      </c>
      <c r="E188" t="s">
        <v>533</v>
      </c>
      <c r="F188" t="s">
        <v>739</v>
      </c>
      <c r="G188" t="s">
        <v>537</v>
      </c>
      <c r="H188">
        <v>2025</v>
      </c>
      <c r="J188">
        <f>_xlfn.XLOOKUP(표8[[#This Row],[location]],Location[location],Location[lat])</f>
        <v>35.978999999999999</v>
      </c>
      <c r="K188">
        <f>_xlfn.XLOOKUP(표8[[#This Row],[location]],Location[location],Location[lon])</f>
        <v>126.66200000000001</v>
      </c>
    </row>
    <row r="189" spans="1:11">
      <c r="A189" s="8" t="s">
        <v>127</v>
      </c>
      <c r="B189" s="8" t="s">
        <v>698</v>
      </c>
      <c r="C189" s="8" t="str">
        <f>_xlfn.XLOOKUP(표8[[#This Row],[supplier_id]],표7[supplier_id],표7[supplier_name])</f>
        <v>LG화학</v>
      </c>
      <c r="D189" s="9">
        <v>165</v>
      </c>
      <c r="E189" t="s">
        <v>533</v>
      </c>
      <c r="F189" t="s">
        <v>735</v>
      </c>
      <c r="G189" t="s">
        <v>537</v>
      </c>
      <c r="H189">
        <v>2025</v>
      </c>
      <c r="J189">
        <f>_xlfn.XLOOKUP(표8[[#This Row],[location]],Location[location],Location[lat])</f>
        <v>36.99</v>
      </c>
      <c r="K189">
        <f>_xlfn.XLOOKUP(표8[[#This Row],[location]],Location[location],Location[lon])</f>
        <v>126.39</v>
      </c>
    </row>
    <row r="190" spans="1:11">
      <c r="A190" s="8" t="s">
        <v>127</v>
      </c>
      <c r="B190" s="8" t="s">
        <v>692</v>
      </c>
      <c r="C190" s="8" t="str">
        <f>_xlfn.XLOOKUP(표8[[#This Row],[supplier_id]],표7[supplier_id],표7[supplier_name])</f>
        <v>금호피앤비화학</v>
      </c>
      <c r="D190" s="9">
        <v>450</v>
      </c>
      <c r="E190" t="s">
        <v>533</v>
      </c>
      <c r="F190" t="s">
        <v>704</v>
      </c>
      <c r="G190" t="s">
        <v>537</v>
      </c>
      <c r="H190">
        <v>2025</v>
      </c>
      <c r="J190">
        <f>_xlfn.XLOOKUP(표8[[#This Row],[location]],Location[location],Location[lat])</f>
        <v>34.834000000000003</v>
      </c>
      <c r="K190">
        <f>_xlfn.XLOOKUP(표8[[#This Row],[location]],Location[location],Location[lon])</f>
        <v>127.68600000000001</v>
      </c>
    </row>
    <row r="191" spans="1:11">
      <c r="A191" s="8" t="s">
        <v>127</v>
      </c>
      <c r="B191" s="8" t="s">
        <v>698</v>
      </c>
      <c r="C191" s="8" t="str">
        <f>_xlfn.XLOOKUP(표8[[#This Row],[supplier_id]],표7[supplier_id],표7[supplier_name])</f>
        <v>LG화학</v>
      </c>
      <c r="D191" s="9">
        <v>330</v>
      </c>
      <c r="E191" t="s">
        <v>533</v>
      </c>
      <c r="F191" t="s">
        <v>704</v>
      </c>
      <c r="G191" t="s">
        <v>537</v>
      </c>
      <c r="H191">
        <v>2025</v>
      </c>
      <c r="J191">
        <f>_xlfn.XLOOKUP(표8[[#This Row],[location]],Location[location],Location[lat])</f>
        <v>34.834000000000003</v>
      </c>
      <c r="K191">
        <f>_xlfn.XLOOKUP(표8[[#This Row],[location]],Location[location],Location[lon])</f>
        <v>127.68600000000001</v>
      </c>
    </row>
    <row r="192" spans="1:11">
      <c r="A192" s="8" t="s">
        <v>128</v>
      </c>
      <c r="B192" s="8" t="s">
        <v>396</v>
      </c>
      <c r="C192" s="8" t="str">
        <f>_xlfn.XLOOKUP(표8[[#This Row],[supplier_id]],표7[supplier_id],표7[supplier_name])</f>
        <v>롯데케미칼</v>
      </c>
      <c r="D192" s="9">
        <v>480</v>
      </c>
      <c r="E192" t="s">
        <v>533</v>
      </c>
      <c r="F192" t="s">
        <v>704</v>
      </c>
      <c r="G192" t="s">
        <v>537</v>
      </c>
      <c r="H192">
        <v>2025</v>
      </c>
      <c r="J192">
        <f>_xlfn.XLOOKUP(표8[[#This Row],[location]],Location[location],Location[lat])</f>
        <v>34.834000000000003</v>
      </c>
      <c r="K192">
        <f>_xlfn.XLOOKUP(표8[[#This Row],[location]],Location[location],Location[lon])</f>
        <v>127.68600000000001</v>
      </c>
    </row>
    <row r="193" spans="1:11">
      <c r="A193" s="8" t="s">
        <v>128</v>
      </c>
      <c r="B193" s="8" t="s">
        <v>698</v>
      </c>
      <c r="C193" s="8" t="str">
        <f>_xlfn.XLOOKUP(표8[[#This Row],[supplier_id]],표7[supplier_id],표7[supplier_name])</f>
        <v>LG화학</v>
      </c>
      <c r="D193" s="9">
        <v>170</v>
      </c>
      <c r="E193" t="s">
        <v>533</v>
      </c>
      <c r="F193" t="s">
        <v>704</v>
      </c>
      <c r="G193" t="s">
        <v>537</v>
      </c>
      <c r="H193">
        <v>2025</v>
      </c>
      <c r="J193">
        <f>_xlfn.XLOOKUP(표8[[#This Row],[location]],Location[location],Location[lat])</f>
        <v>34.834000000000003</v>
      </c>
      <c r="K193">
        <f>_xlfn.XLOOKUP(표8[[#This Row],[location]],Location[location],Location[lon])</f>
        <v>127.68600000000001</v>
      </c>
    </row>
    <row r="194" spans="1:11">
      <c r="A194" s="8" t="s">
        <v>128</v>
      </c>
      <c r="B194" s="8" t="s">
        <v>752</v>
      </c>
      <c r="C194" s="8" t="str">
        <f>_xlfn.XLOOKUP(표8[[#This Row],[supplier_id]],표7[supplier_id],표7[supplier_name])</f>
        <v>삼양화성</v>
      </c>
      <c r="D194" s="9">
        <v>120</v>
      </c>
      <c r="E194" t="s">
        <v>533</v>
      </c>
      <c r="F194" t="s">
        <v>746</v>
      </c>
      <c r="G194" t="s">
        <v>537</v>
      </c>
      <c r="H194">
        <v>2025</v>
      </c>
      <c r="J194">
        <f>_xlfn.XLOOKUP(표8[[#This Row],[location]],Location[location],Location[lat])</f>
        <v>35.997999999999998</v>
      </c>
      <c r="K194">
        <f>_xlfn.XLOOKUP(표8[[#This Row],[location]],Location[location],Location[lon])</f>
        <v>129.40700000000001</v>
      </c>
    </row>
    <row r="195" spans="1:11">
      <c r="A195" s="8" t="s">
        <v>129</v>
      </c>
      <c r="B195" s="8" t="s">
        <v>444</v>
      </c>
      <c r="C195" s="8" t="str">
        <f>_xlfn.XLOOKUP(표8[[#This Row],[supplier_id]],표7[supplier_id],표7[supplier_name])</f>
        <v>코오롱인더스트리</v>
      </c>
      <c r="D195" s="9">
        <v>52</v>
      </c>
      <c r="E195" t="s">
        <v>533</v>
      </c>
      <c r="F195" t="s">
        <v>738</v>
      </c>
      <c r="G195" t="s">
        <v>537</v>
      </c>
      <c r="H195">
        <v>2025</v>
      </c>
      <c r="J195">
        <f>_xlfn.XLOOKUP(표8[[#This Row],[location]],Location[location],Location[lat])</f>
        <v>36.146999999999998</v>
      </c>
      <c r="K195">
        <f>_xlfn.XLOOKUP(표8[[#This Row],[location]],Location[location],Location[lon])</f>
        <v>128.12700000000001</v>
      </c>
    </row>
    <row r="196" spans="1:11">
      <c r="A196" t="s">
        <v>3929</v>
      </c>
      <c r="B196" s="8" t="s">
        <v>750</v>
      </c>
      <c r="C196" s="8" t="str">
        <f>_xlfn.XLOOKUP(표8[[#This Row],[supplier_id]],표7[supplier_id],표7[supplier_name])</f>
        <v>국도화학</v>
      </c>
      <c r="D196" s="9">
        <v>530</v>
      </c>
      <c r="E196" t="s">
        <v>533</v>
      </c>
      <c r="F196" t="s">
        <v>742</v>
      </c>
      <c r="G196" t="s">
        <v>537</v>
      </c>
      <c r="H196">
        <v>2025</v>
      </c>
      <c r="J196">
        <f>_xlfn.XLOOKUP(표8[[#This Row],[location]],Location[location],Location[lat])</f>
        <v>35.094999999999999</v>
      </c>
      <c r="K196">
        <f>_xlfn.XLOOKUP(표8[[#This Row],[location]],Location[location],Location[lon])</f>
        <v>128.83600000000001</v>
      </c>
    </row>
    <row r="197" spans="1:11">
      <c r="A197" s="8" t="s">
        <v>129</v>
      </c>
      <c r="B197" s="8" t="s">
        <v>692</v>
      </c>
      <c r="C197" s="8" t="str">
        <f>_xlfn.XLOOKUP(표8[[#This Row],[supplier_id]],표7[supplier_id],표7[supplier_name])</f>
        <v>금호피앤비화학</v>
      </c>
      <c r="D197" s="9">
        <v>338</v>
      </c>
      <c r="E197" t="s">
        <v>533</v>
      </c>
      <c r="F197" t="s">
        <v>704</v>
      </c>
      <c r="G197" t="s">
        <v>537</v>
      </c>
      <c r="H197">
        <v>2025</v>
      </c>
      <c r="J197">
        <f>_xlfn.XLOOKUP(표8[[#This Row],[location]],Location[location],Location[lat])</f>
        <v>34.834000000000003</v>
      </c>
      <c r="K197">
        <f>_xlfn.XLOOKUP(표8[[#This Row],[location]],Location[location],Location[lon])</f>
        <v>127.68600000000001</v>
      </c>
    </row>
    <row r="198" spans="1:11">
      <c r="A198" s="8" t="s">
        <v>130</v>
      </c>
      <c r="B198" t="s">
        <v>441</v>
      </c>
      <c r="C198" t="str">
        <f>_xlfn.XLOOKUP(표8[[#This Row],[supplier_id]],표7[supplier_id],표7[supplier_name])</f>
        <v>카프로</v>
      </c>
      <c r="D198" s="9">
        <v>190</v>
      </c>
      <c r="E198" t="s">
        <v>533</v>
      </c>
      <c r="F198" t="s">
        <v>535</v>
      </c>
      <c r="G198" t="s">
        <v>537</v>
      </c>
      <c r="H198">
        <v>2025</v>
      </c>
      <c r="J198">
        <f>_xlfn.XLOOKUP(표8[[#This Row],[location]],Location[location],Location[lat])</f>
        <v>35.445999999999998</v>
      </c>
      <c r="K198">
        <f>_xlfn.XLOOKUP(표8[[#This Row],[location]],Location[location],Location[lon])</f>
        <v>129.334</v>
      </c>
    </row>
    <row r="199" spans="1:11">
      <c r="A199" s="8" t="s">
        <v>130</v>
      </c>
      <c r="B199" t="s">
        <v>402</v>
      </c>
      <c r="C199" t="str">
        <f>_xlfn.XLOOKUP(표8[[#This Row],[supplier_id]],표7[supplier_id],표7[supplier_name])</f>
        <v>SK지오센트릭</v>
      </c>
      <c r="D199" s="9">
        <v>160</v>
      </c>
      <c r="E199" t="s">
        <v>533</v>
      </c>
      <c r="F199" t="s">
        <v>535</v>
      </c>
      <c r="G199" t="s">
        <v>537</v>
      </c>
      <c r="H199">
        <v>2025</v>
      </c>
      <c r="J199">
        <f>_xlfn.XLOOKUP(표8[[#This Row],[location]],Location[location],Location[lat])</f>
        <v>35.445999999999998</v>
      </c>
      <c r="K199">
        <f>_xlfn.XLOOKUP(표8[[#This Row],[location]],Location[location],Location[lon])</f>
        <v>129.334</v>
      </c>
    </row>
    <row r="200" spans="1:11">
      <c r="A200" t="s">
        <v>131</v>
      </c>
      <c r="B200" t="s">
        <v>3897</v>
      </c>
      <c r="C200" s="8" t="str">
        <f>_xlfn.XLOOKUP(표8[[#This Row],[supplier_id]],표7[supplier_id],표7[supplier_name])</f>
        <v>한국바스프</v>
      </c>
      <c r="D200" s="9">
        <v>155</v>
      </c>
      <c r="E200" t="s">
        <v>533</v>
      </c>
      <c r="F200" t="s">
        <v>704</v>
      </c>
      <c r="G200" t="s">
        <v>991</v>
      </c>
      <c r="H200">
        <v>2024</v>
      </c>
      <c r="J200">
        <f>_xlfn.XLOOKUP(표8[[#This Row],[location]],Location[location],Location[lat])</f>
        <v>34.834000000000003</v>
      </c>
      <c r="K200">
        <f>_xlfn.XLOOKUP(표8[[#This Row],[location]],Location[location],Location[lon])</f>
        <v>127.68600000000001</v>
      </c>
    </row>
    <row r="201" spans="1:11">
      <c r="A201" t="s">
        <v>131</v>
      </c>
      <c r="B201" t="s">
        <v>3898</v>
      </c>
      <c r="C201" s="8" t="str">
        <f>_xlfn.XLOOKUP(표8[[#This Row],[supplier_id]],표7[supplier_id],표7[supplier_name])</f>
        <v>금호미쓰이화학</v>
      </c>
      <c r="D201" s="9">
        <v>320</v>
      </c>
      <c r="E201" t="s">
        <v>533</v>
      </c>
      <c r="F201" t="s">
        <v>704</v>
      </c>
      <c r="G201" t="s">
        <v>991</v>
      </c>
      <c r="H201">
        <v>2024</v>
      </c>
      <c r="J201">
        <f>_xlfn.XLOOKUP(표8[[#This Row],[location]],Location[location],Location[lat])</f>
        <v>34.834000000000003</v>
      </c>
      <c r="K201">
        <f>_xlfn.XLOOKUP(표8[[#This Row],[location]],Location[location],Location[lon])</f>
        <v>127.68600000000001</v>
      </c>
    </row>
    <row r="202" spans="1:11">
      <c r="A202" s="8" t="s">
        <v>132</v>
      </c>
      <c r="B202" t="s">
        <v>440</v>
      </c>
      <c r="C202" t="str">
        <f>_xlfn.XLOOKUP(표8[[#This Row],[supplier_id]],표7[supplier_id],표7[supplier_name])</f>
        <v>이수화학</v>
      </c>
      <c r="D202" s="9">
        <v>180</v>
      </c>
      <c r="E202" t="s">
        <v>533</v>
      </c>
      <c r="F202" t="s">
        <v>535</v>
      </c>
      <c r="G202" t="s">
        <v>537</v>
      </c>
      <c r="H202">
        <v>2025</v>
      </c>
      <c r="J202">
        <f>_xlfn.XLOOKUP(표8[[#This Row],[location]],Location[location],Location[lat])</f>
        <v>35.445999999999998</v>
      </c>
      <c r="K202">
        <f>_xlfn.XLOOKUP(표8[[#This Row],[location]],Location[location],Location[lon])</f>
        <v>129.334</v>
      </c>
    </row>
    <row r="203" spans="1:11">
      <c r="A203" t="s">
        <v>462</v>
      </c>
      <c r="B203" t="s">
        <v>437</v>
      </c>
      <c r="C203" t="str">
        <f>_xlfn.XLOOKUP(표8[[#This Row],[supplier_id]],표7[supplier_id],표7[supplier_name])</f>
        <v>용산케미칼</v>
      </c>
      <c r="D203" s="9">
        <v>38</v>
      </c>
      <c r="E203" t="s">
        <v>533</v>
      </c>
      <c r="F203" t="s">
        <v>535</v>
      </c>
      <c r="G203" t="s">
        <v>537</v>
      </c>
      <c r="H203">
        <v>2025</v>
      </c>
      <c r="J203">
        <f>_xlfn.XLOOKUP(표8[[#This Row],[location]],Location[location],Location[lat])</f>
        <v>35.445999999999998</v>
      </c>
      <c r="K203">
        <f>_xlfn.XLOOKUP(표8[[#This Row],[location]],Location[location],Location[lon])</f>
        <v>129.334</v>
      </c>
    </row>
    <row r="204" spans="1:11">
      <c r="A204" t="s">
        <v>462</v>
      </c>
      <c r="B204" t="s">
        <v>443</v>
      </c>
      <c r="C204" t="str">
        <f>_xlfn.XLOOKUP(표8[[#This Row],[supplier_id]],표7[supplier_id],표7[supplier_name])</f>
        <v>코리아피티지</v>
      </c>
      <c r="D204" s="9">
        <v>30</v>
      </c>
      <c r="E204" t="s">
        <v>533</v>
      </c>
      <c r="F204" t="s">
        <v>535</v>
      </c>
      <c r="G204" t="s">
        <v>537</v>
      </c>
      <c r="H204">
        <v>2025</v>
      </c>
      <c r="J204">
        <f>_xlfn.XLOOKUP(표8[[#This Row],[location]],Location[location],Location[lat])</f>
        <v>35.445999999999998</v>
      </c>
      <c r="K204">
        <f>_xlfn.XLOOKUP(표8[[#This Row],[location]],Location[location],Location[lon])</f>
        <v>129.334</v>
      </c>
    </row>
    <row r="205" spans="1:11">
      <c r="A205" s="8" t="s">
        <v>462</v>
      </c>
      <c r="B205" t="s">
        <v>397</v>
      </c>
      <c r="C205" t="str">
        <f>_xlfn.XLOOKUP(표8[[#This Row],[supplier_id]],표7[supplier_id],표7[supplier_name])</f>
        <v>애경케미칼</v>
      </c>
      <c r="D205" s="9">
        <v>8</v>
      </c>
      <c r="E205" t="s">
        <v>533</v>
      </c>
      <c r="F205" t="s">
        <v>535</v>
      </c>
      <c r="G205" t="s">
        <v>537</v>
      </c>
      <c r="H205">
        <v>2025</v>
      </c>
      <c r="J205">
        <f>_xlfn.XLOOKUP(표8[[#This Row],[location]],Location[location],Location[lat])</f>
        <v>35.445999999999998</v>
      </c>
      <c r="K205">
        <f>_xlfn.XLOOKUP(표8[[#This Row],[location]],Location[location],Location[lon])</f>
        <v>129.334</v>
      </c>
    </row>
    <row r="206" spans="1:11">
      <c r="A206" s="8" t="s">
        <v>483</v>
      </c>
      <c r="B206" t="s">
        <v>395</v>
      </c>
      <c r="C206" t="str">
        <f>_xlfn.XLOOKUP(표8[[#This Row],[supplier_id]],표7[supplier_id],표7[supplier_name])</f>
        <v>롯데이네오스화학</v>
      </c>
      <c r="D206" s="9">
        <v>710</v>
      </c>
      <c r="E206" t="s">
        <v>533</v>
      </c>
      <c r="F206" t="s">
        <v>535</v>
      </c>
      <c r="G206" t="s">
        <v>537</v>
      </c>
      <c r="H206">
        <v>2025</v>
      </c>
      <c r="J206">
        <f>_xlfn.XLOOKUP(표8[[#This Row],[location]],Location[location],Location[lat])</f>
        <v>35.445999999999998</v>
      </c>
      <c r="K206">
        <f>_xlfn.XLOOKUP(표8[[#This Row],[location]],Location[location],Location[lon])</f>
        <v>129.334</v>
      </c>
    </row>
    <row r="207" spans="1:11">
      <c r="A207" s="8" t="s">
        <v>712</v>
      </c>
      <c r="B207" s="8" t="s">
        <v>748</v>
      </c>
      <c r="C207" s="8" t="str">
        <f>_xlfn.XLOOKUP(표8[[#This Row],[supplier_id]],표7[supplier_id],표7[supplier_name])</f>
        <v>OCI</v>
      </c>
      <c r="D207" s="9">
        <v>40</v>
      </c>
      <c r="E207" t="s">
        <v>533</v>
      </c>
      <c r="F207" t="s">
        <v>737</v>
      </c>
      <c r="G207" t="s">
        <v>537</v>
      </c>
      <c r="H207">
        <v>2025</v>
      </c>
      <c r="J207">
        <f>_xlfn.XLOOKUP(표8[[#This Row],[location]],Location[location],Location[lat])</f>
        <v>34.933999999999997</v>
      </c>
      <c r="K207">
        <f>_xlfn.XLOOKUP(표8[[#This Row],[location]],Location[location],Location[lon])</f>
        <v>127.756</v>
      </c>
    </row>
    <row r="208" spans="1:11">
      <c r="A208" s="8" t="s">
        <v>712</v>
      </c>
      <c r="B208" s="8" t="s">
        <v>396</v>
      </c>
      <c r="C208" s="8" t="str">
        <f>_xlfn.XLOOKUP(표8[[#This Row],[supplier_id]],표7[supplier_id],표7[supplier_name])</f>
        <v>롯데케미칼</v>
      </c>
      <c r="D208" s="9">
        <v>120</v>
      </c>
      <c r="E208" t="s">
        <v>533</v>
      </c>
      <c r="F208" t="s">
        <v>735</v>
      </c>
      <c r="G208" t="s">
        <v>537</v>
      </c>
      <c r="H208">
        <v>2025</v>
      </c>
      <c r="J208">
        <f>_xlfn.XLOOKUP(표8[[#This Row],[location]],Location[location],Location[lat])</f>
        <v>36.99</v>
      </c>
      <c r="K208">
        <f>_xlfn.XLOOKUP(표8[[#This Row],[location]],Location[location],Location[lon])</f>
        <v>126.39</v>
      </c>
    </row>
    <row r="209" spans="1:11">
      <c r="A209" s="8" t="s">
        <v>712</v>
      </c>
      <c r="B209" s="8" t="s">
        <v>698</v>
      </c>
      <c r="C209" s="8" t="str">
        <f>_xlfn.XLOOKUP(표8[[#This Row],[supplier_id]],표7[supplier_id],표7[supplier_name])</f>
        <v>LG화학</v>
      </c>
      <c r="D209" s="9">
        <v>100</v>
      </c>
      <c r="E209" t="s">
        <v>533</v>
      </c>
      <c r="F209" t="s">
        <v>735</v>
      </c>
      <c r="G209" t="s">
        <v>537</v>
      </c>
      <c r="H209">
        <v>2025</v>
      </c>
      <c r="J209">
        <f>_xlfn.XLOOKUP(표8[[#This Row],[location]],Location[location],Location[lat])</f>
        <v>36.99</v>
      </c>
      <c r="K209">
        <f>_xlfn.XLOOKUP(표8[[#This Row],[location]],Location[location],Location[lon])</f>
        <v>126.39</v>
      </c>
    </row>
    <row r="210" spans="1:11">
      <c r="A210" s="8" t="s">
        <v>712</v>
      </c>
      <c r="B210" s="8" t="s">
        <v>699</v>
      </c>
      <c r="C210" s="8" t="str">
        <f>_xlfn.XLOOKUP(표8[[#This Row],[supplier_id]],표7[supplier_id],표7[supplier_name])</f>
        <v>여천NCC</v>
      </c>
      <c r="D210" s="9">
        <v>282</v>
      </c>
      <c r="E210" t="s">
        <v>533</v>
      </c>
      <c r="F210" t="s">
        <v>704</v>
      </c>
      <c r="G210" t="s">
        <v>537</v>
      </c>
      <c r="H210">
        <v>2025</v>
      </c>
      <c r="J210">
        <f>_xlfn.XLOOKUP(표8[[#This Row],[location]],Location[location],Location[lat])</f>
        <v>34.834000000000003</v>
      </c>
      <c r="K210">
        <f>_xlfn.XLOOKUP(표8[[#This Row],[location]],Location[location],Location[lon])</f>
        <v>127.68600000000001</v>
      </c>
    </row>
    <row r="211" spans="1:11">
      <c r="A211" s="8" t="s">
        <v>712</v>
      </c>
      <c r="B211" s="8" t="s">
        <v>700</v>
      </c>
      <c r="C211" s="8" t="str">
        <f>_xlfn.XLOOKUP(표8[[#This Row],[supplier_id]],표7[supplier_id],표7[supplier_name])</f>
        <v>GS칼텍스</v>
      </c>
      <c r="D211" s="9">
        <v>170</v>
      </c>
      <c r="E211" t="s">
        <v>533</v>
      </c>
      <c r="F211" t="s">
        <v>704</v>
      </c>
      <c r="G211" t="s">
        <v>537</v>
      </c>
      <c r="H211">
        <v>2025</v>
      </c>
      <c r="J211">
        <f>_xlfn.XLOOKUP(표8[[#This Row],[location]],Location[location],Location[lat])</f>
        <v>34.834000000000003</v>
      </c>
      <c r="K211">
        <f>_xlfn.XLOOKUP(표8[[#This Row],[location]],Location[location],Location[lon])</f>
        <v>127.68600000000001</v>
      </c>
    </row>
    <row r="212" spans="1:11">
      <c r="A212" s="8" t="s">
        <v>712</v>
      </c>
      <c r="B212" s="8" t="s">
        <v>396</v>
      </c>
      <c r="C212" s="8" t="str">
        <f>_xlfn.XLOOKUP(표8[[#This Row],[supplier_id]],표7[supplier_id],표7[supplier_name])</f>
        <v>롯데케미칼</v>
      </c>
      <c r="D212" s="9">
        <v>112</v>
      </c>
      <c r="E212" t="s">
        <v>533</v>
      </c>
      <c r="F212" t="s">
        <v>704</v>
      </c>
      <c r="G212" t="s">
        <v>537</v>
      </c>
      <c r="H212">
        <v>2025</v>
      </c>
      <c r="J212">
        <f>_xlfn.XLOOKUP(표8[[#This Row],[location]],Location[location],Location[lat])</f>
        <v>34.834000000000003</v>
      </c>
      <c r="K212">
        <f>_xlfn.XLOOKUP(표8[[#This Row],[location]],Location[location],Location[lon])</f>
        <v>127.68600000000001</v>
      </c>
    </row>
    <row r="213" spans="1:11">
      <c r="A213" s="8" t="s">
        <v>712</v>
      </c>
      <c r="B213" s="8" t="s">
        <v>698</v>
      </c>
      <c r="C213" s="8" t="str">
        <f>_xlfn.XLOOKUP(표8[[#This Row],[supplier_id]],표7[supplier_id],표7[supplier_name])</f>
        <v>LG화학</v>
      </c>
      <c r="D213" s="9">
        <v>110</v>
      </c>
      <c r="E213" t="s">
        <v>533</v>
      </c>
      <c r="F213" t="s">
        <v>704</v>
      </c>
      <c r="G213" t="s">
        <v>537</v>
      </c>
      <c r="H213">
        <v>2025</v>
      </c>
      <c r="J213">
        <f>_xlfn.XLOOKUP(표8[[#This Row],[location]],Location[location],Location[lat])</f>
        <v>34.834000000000003</v>
      </c>
      <c r="K213">
        <f>_xlfn.XLOOKUP(표8[[#This Row],[location]],Location[location],Location[lon])</f>
        <v>127.68600000000001</v>
      </c>
    </row>
    <row r="214" spans="1:11">
      <c r="A214" s="8" t="s">
        <v>485</v>
      </c>
      <c r="B214" t="s">
        <v>402</v>
      </c>
      <c r="C214" t="str">
        <f>_xlfn.XLOOKUP(표8[[#This Row],[supplier_id]],표7[supplier_id],표7[supplier_name])</f>
        <v>SK지오센트릭</v>
      </c>
      <c r="D214" s="9">
        <v>1506</v>
      </c>
      <c r="E214" t="s">
        <v>533</v>
      </c>
      <c r="F214" t="s">
        <v>535</v>
      </c>
      <c r="G214" t="s">
        <v>537</v>
      </c>
      <c r="H214">
        <v>2025</v>
      </c>
      <c r="J214">
        <f>_xlfn.XLOOKUP(표8[[#This Row],[location]],Location[location],Location[lat])</f>
        <v>35.445999999999998</v>
      </c>
      <c r="K214">
        <f>_xlfn.XLOOKUP(표8[[#This Row],[location]],Location[location],Location[lon])</f>
        <v>129.334</v>
      </c>
    </row>
    <row r="215" spans="1:11">
      <c r="A215" s="8" t="s">
        <v>485</v>
      </c>
      <c r="B215" t="s">
        <v>399</v>
      </c>
      <c r="C215" t="str">
        <f>_xlfn.XLOOKUP(표8[[#This Row],[supplier_id]],표7[supplier_id],표7[supplier_name])</f>
        <v>S-OIL</v>
      </c>
      <c r="D215" s="9">
        <v>300</v>
      </c>
      <c r="E215" t="s">
        <v>533</v>
      </c>
      <c r="F215" t="s">
        <v>535</v>
      </c>
      <c r="G215" t="s">
        <v>537</v>
      </c>
      <c r="H215">
        <v>2025</v>
      </c>
      <c r="J215">
        <f>_xlfn.XLOOKUP(표8[[#This Row],[location]],Location[location],Location[lat])</f>
        <v>35.445999999999998</v>
      </c>
      <c r="K215">
        <f>_xlfn.XLOOKUP(표8[[#This Row],[location]],Location[location],Location[lon])</f>
        <v>129.334</v>
      </c>
    </row>
    <row r="216" spans="1:11">
      <c r="A216" s="10" t="s">
        <v>485</v>
      </c>
      <c r="B216" s="3" t="s">
        <v>392</v>
      </c>
      <c r="C216" s="3" t="str">
        <f>_xlfn.XLOOKUP(표8[[#This Row],[supplier_id]],표7[supplier_id],표7[supplier_name])</f>
        <v>대한유화</v>
      </c>
      <c r="D216" s="4">
        <v>78</v>
      </c>
      <c r="E216" t="s">
        <v>533</v>
      </c>
      <c r="F216" t="s">
        <v>535</v>
      </c>
      <c r="G216" t="s">
        <v>537</v>
      </c>
      <c r="H216">
        <v>2025</v>
      </c>
      <c r="J216">
        <f>_xlfn.XLOOKUP(표8[[#This Row],[location]],Location[location],Location[lat])</f>
        <v>35.445999999999998</v>
      </c>
      <c r="K216">
        <f>_xlfn.XLOOKUP(표8[[#This Row],[location]],Location[location],Location[lon])</f>
        <v>129.334</v>
      </c>
    </row>
    <row r="217" spans="1:11">
      <c r="A217" s="8" t="s">
        <v>713</v>
      </c>
      <c r="B217" s="8" t="s">
        <v>724</v>
      </c>
      <c r="C217" s="8" t="str">
        <f>_xlfn.XLOOKUP(표8[[#This Row],[supplier_id]],표7[supplier_id],표7[supplier_name])</f>
        <v>HD현대케미칼</v>
      </c>
      <c r="D217" s="9">
        <v>1350</v>
      </c>
      <c r="E217" t="s">
        <v>533</v>
      </c>
      <c r="F217" t="s">
        <v>735</v>
      </c>
      <c r="G217" t="s">
        <v>537</v>
      </c>
      <c r="H217">
        <v>2025</v>
      </c>
      <c r="J217">
        <f>_xlfn.XLOOKUP(표8[[#This Row],[location]],Location[location],Location[lat])</f>
        <v>36.99</v>
      </c>
      <c r="K217">
        <f>_xlfn.XLOOKUP(표8[[#This Row],[location]],Location[location],Location[lon])</f>
        <v>126.39</v>
      </c>
    </row>
    <row r="218" spans="1:11">
      <c r="A218" s="8" t="s">
        <v>713</v>
      </c>
      <c r="B218" s="8" t="s">
        <v>396</v>
      </c>
      <c r="C218" s="8" t="str">
        <f>_xlfn.XLOOKUP(표8[[#This Row],[supplier_id]],표7[supplier_id],표7[supplier_name])</f>
        <v>롯데케미칼</v>
      </c>
      <c r="D218" s="9">
        <v>60</v>
      </c>
      <c r="E218" t="s">
        <v>533</v>
      </c>
      <c r="F218" t="s">
        <v>735</v>
      </c>
      <c r="G218" t="s">
        <v>537</v>
      </c>
      <c r="H218">
        <v>2025</v>
      </c>
      <c r="J218">
        <f>_xlfn.XLOOKUP(표8[[#This Row],[location]],Location[location],Location[lat])</f>
        <v>36.99</v>
      </c>
      <c r="K218">
        <f>_xlfn.XLOOKUP(표8[[#This Row],[location]],Location[location],Location[lon])</f>
        <v>126.39</v>
      </c>
    </row>
    <row r="219" spans="1:11">
      <c r="A219" s="8" t="s">
        <v>713</v>
      </c>
      <c r="B219" s="8" t="s">
        <v>700</v>
      </c>
      <c r="C219" s="8" t="str">
        <f>_xlfn.XLOOKUP(표8[[#This Row],[supplier_id]],표7[supplier_id],표7[supplier_name])</f>
        <v>GS칼텍스</v>
      </c>
      <c r="D219" s="9">
        <v>350</v>
      </c>
      <c r="E219" t="s">
        <v>533</v>
      </c>
      <c r="F219" t="s">
        <v>704</v>
      </c>
      <c r="G219" t="s">
        <v>537</v>
      </c>
      <c r="H219">
        <v>2025</v>
      </c>
      <c r="J219">
        <f>_xlfn.XLOOKUP(표8[[#This Row],[location]],Location[location],Location[lat])</f>
        <v>34.834000000000003</v>
      </c>
      <c r="K219">
        <f>_xlfn.XLOOKUP(표8[[#This Row],[location]],Location[location],Location[lon])</f>
        <v>127.68600000000001</v>
      </c>
    </row>
    <row r="220" spans="1:11">
      <c r="A220" s="8" t="s">
        <v>713</v>
      </c>
      <c r="B220" s="8" t="s">
        <v>699</v>
      </c>
      <c r="C220" s="8" t="str">
        <f>_xlfn.XLOOKUP(표8[[#This Row],[supplier_id]],표7[supplier_id],표7[supplier_name])</f>
        <v>여천NCC</v>
      </c>
      <c r="D220" s="9">
        <v>204</v>
      </c>
      <c r="E220" t="s">
        <v>533</v>
      </c>
      <c r="F220" t="s">
        <v>704</v>
      </c>
      <c r="G220" t="s">
        <v>537</v>
      </c>
      <c r="H220">
        <v>2025</v>
      </c>
      <c r="J220">
        <f>_xlfn.XLOOKUP(표8[[#This Row],[location]],Location[location],Location[lat])</f>
        <v>34.834000000000003</v>
      </c>
      <c r="K220">
        <f>_xlfn.XLOOKUP(표8[[#This Row],[location]],Location[location],Location[lon])</f>
        <v>127.68600000000001</v>
      </c>
    </row>
    <row r="221" spans="1:11">
      <c r="A221" s="8" t="s">
        <v>713</v>
      </c>
      <c r="B221" s="8" t="s">
        <v>396</v>
      </c>
      <c r="C221" s="8" t="str">
        <f>_xlfn.XLOOKUP(표8[[#This Row],[supplier_id]],표7[supplier_id],표7[supplier_name])</f>
        <v>롯데케미칼</v>
      </c>
      <c r="D221" s="9">
        <v>79</v>
      </c>
      <c r="E221" t="s">
        <v>533</v>
      </c>
      <c r="F221" t="s">
        <v>704</v>
      </c>
      <c r="G221" t="s">
        <v>537</v>
      </c>
      <c r="H221">
        <v>2025</v>
      </c>
      <c r="J221">
        <f>_xlfn.XLOOKUP(표8[[#This Row],[location]],Location[location],Location[lat])</f>
        <v>34.834000000000003</v>
      </c>
      <c r="K221">
        <f>_xlfn.XLOOKUP(표8[[#This Row],[location]],Location[location],Location[lon])</f>
        <v>127.68600000000001</v>
      </c>
    </row>
    <row r="222" spans="1:11">
      <c r="A222" s="8" t="s">
        <v>713</v>
      </c>
      <c r="B222" s="8" t="s">
        <v>698</v>
      </c>
      <c r="C222" s="8" t="str">
        <f>_xlfn.XLOOKUP(표8[[#This Row],[supplier_id]],표7[supplier_id],표7[supplier_name])</f>
        <v>LG화학</v>
      </c>
      <c r="D222" s="9">
        <v>60</v>
      </c>
      <c r="E222" t="s">
        <v>533</v>
      </c>
      <c r="F222" t="s">
        <v>704</v>
      </c>
      <c r="G222" t="s">
        <v>537</v>
      </c>
      <c r="H222">
        <v>2025</v>
      </c>
      <c r="J222">
        <f>_xlfn.XLOOKUP(표8[[#This Row],[location]],Location[location],Location[lat])</f>
        <v>34.834000000000003</v>
      </c>
      <c r="K222">
        <f>_xlfn.XLOOKUP(표8[[#This Row],[location]],Location[location],Location[lon])</f>
        <v>127.68600000000001</v>
      </c>
    </row>
    <row r="223" spans="1:11">
      <c r="A223" s="8" t="s">
        <v>487</v>
      </c>
      <c r="B223" t="s">
        <v>402</v>
      </c>
      <c r="C223" t="str">
        <f>_xlfn.XLOOKUP(표8[[#This Row],[supplier_id]],표7[supplier_id],표7[supplier_name])</f>
        <v>SK지오센트릭</v>
      </c>
      <c r="D223" s="9">
        <v>894</v>
      </c>
      <c r="E223" t="s">
        <v>533</v>
      </c>
      <c r="F223" t="s">
        <v>535</v>
      </c>
      <c r="G223" t="s">
        <v>537</v>
      </c>
      <c r="H223">
        <v>2025</v>
      </c>
      <c r="J223">
        <f>_xlfn.XLOOKUP(표8[[#This Row],[location]],Location[location],Location[lat])</f>
        <v>35.445999999999998</v>
      </c>
      <c r="K223">
        <f>_xlfn.XLOOKUP(표8[[#This Row],[location]],Location[location],Location[lon])</f>
        <v>129.334</v>
      </c>
    </row>
    <row r="224" spans="1:11">
      <c r="A224" s="8" t="s">
        <v>487</v>
      </c>
      <c r="B224" t="s">
        <v>399</v>
      </c>
      <c r="C224" t="str">
        <f>_xlfn.XLOOKUP(표8[[#This Row],[supplier_id]],표7[supplier_id],표7[supplier_name])</f>
        <v>S-OIL</v>
      </c>
      <c r="D224" s="9">
        <v>450</v>
      </c>
      <c r="E224" t="s">
        <v>533</v>
      </c>
      <c r="F224" t="s">
        <v>535</v>
      </c>
      <c r="G224" t="s">
        <v>537</v>
      </c>
      <c r="H224">
        <v>2025</v>
      </c>
      <c r="J224">
        <f>_xlfn.XLOOKUP(표8[[#This Row],[location]],Location[location],Location[lat])</f>
        <v>35.445999999999998</v>
      </c>
      <c r="K224">
        <f>_xlfn.XLOOKUP(표8[[#This Row],[location]],Location[location],Location[lon])</f>
        <v>129.334</v>
      </c>
    </row>
    <row r="225" spans="1:11">
      <c r="A225" s="8" t="s">
        <v>487</v>
      </c>
      <c r="B225" t="s">
        <v>392</v>
      </c>
      <c r="C225" t="str">
        <f>_xlfn.XLOOKUP(표8[[#This Row],[supplier_id]],표7[supplier_id],표7[supplier_name])</f>
        <v>대한유화</v>
      </c>
      <c r="D225" s="9">
        <v>47</v>
      </c>
      <c r="E225" t="s">
        <v>533</v>
      </c>
      <c r="F225" t="s">
        <v>535</v>
      </c>
      <c r="G225" t="s">
        <v>537</v>
      </c>
      <c r="H225">
        <v>2025</v>
      </c>
      <c r="J225">
        <f>_xlfn.XLOOKUP(표8[[#This Row],[location]],Location[location],Location[lat])</f>
        <v>35.445999999999998</v>
      </c>
      <c r="K225">
        <f>_xlfn.XLOOKUP(표8[[#This Row],[location]],Location[location],Location[lon])</f>
        <v>129.334</v>
      </c>
    </row>
    <row r="226" spans="1:11">
      <c r="A226" s="8" t="s">
        <v>489</v>
      </c>
      <c r="B226" t="s">
        <v>451</v>
      </c>
      <c r="C226" t="str">
        <f>_xlfn.XLOOKUP(표8[[#This Row],[supplier_id]],표7[supplier_id],표7[supplier_name])</f>
        <v>한화임팩트</v>
      </c>
      <c r="D226" s="9">
        <v>1300</v>
      </c>
      <c r="E226" t="s">
        <v>533</v>
      </c>
      <c r="F226" t="s">
        <v>535</v>
      </c>
      <c r="G226" t="s">
        <v>537</v>
      </c>
      <c r="H226">
        <v>2025</v>
      </c>
      <c r="J226">
        <f>_xlfn.XLOOKUP(표8[[#This Row],[location]],Location[location],Location[lat])</f>
        <v>35.445999999999998</v>
      </c>
      <c r="K226">
        <f>_xlfn.XLOOKUP(표8[[#This Row],[location]],Location[location],Location[lon])</f>
        <v>129.334</v>
      </c>
    </row>
    <row r="227" spans="1:11">
      <c r="A227" s="8" t="s">
        <v>489</v>
      </c>
      <c r="B227" t="s">
        <v>445</v>
      </c>
      <c r="C227" s="3" t="str">
        <f>_xlfn.XLOOKUP(표8[[#This Row],[supplier_id]],표7[supplier_id],표7[supplier_name])</f>
        <v>태광산업</v>
      </c>
      <c r="D227" s="4">
        <v>1000</v>
      </c>
      <c r="E227" t="s">
        <v>533</v>
      </c>
      <c r="F227" t="s">
        <v>535</v>
      </c>
      <c r="G227" t="s">
        <v>537</v>
      </c>
      <c r="H227">
        <v>2025</v>
      </c>
      <c r="J227">
        <f>_xlfn.XLOOKUP(표8[[#This Row],[location]],Location[location],Location[lat])</f>
        <v>35.445999999999998</v>
      </c>
      <c r="K227">
        <f>_xlfn.XLOOKUP(표8[[#This Row],[location]],Location[location],Location[lon])</f>
        <v>129.334</v>
      </c>
    </row>
    <row r="228" spans="1:11">
      <c r="A228" s="10" t="s">
        <v>489</v>
      </c>
      <c r="B228" s="3" t="s">
        <v>396</v>
      </c>
      <c r="C228" s="3" t="str">
        <f>_xlfn.XLOOKUP(표8[[#This Row],[supplier_id]],표7[supplier_id],표7[supplier_name])</f>
        <v>롯데케미칼</v>
      </c>
      <c r="D228" s="4">
        <v>840</v>
      </c>
      <c r="E228" t="s">
        <v>533</v>
      </c>
      <c r="F228" t="s">
        <v>535</v>
      </c>
      <c r="G228" t="s">
        <v>537</v>
      </c>
      <c r="H228">
        <v>2025</v>
      </c>
      <c r="J228">
        <f>_xlfn.XLOOKUP(표8[[#This Row],[location]],Location[location],Location[lat])</f>
        <v>35.445999999999998</v>
      </c>
      <c r="K228">
        <f>_xlfn.XLOOKUP(표8[[#This Row],[location]],Location[location],Location[lon])</f>
        <v>129.334</v>
      </c>
    </row>
    <row r="229" spans="1:11">
      <c r="A229" s="8" t="s">
        <v>489</v>
      </c>
      <c r="B229" s="3" t="s">
        <v>452</v>
      </c>
      <c r="C229" s="3" t="str">
        <f>_xlfn.XLOOKUP(표8[[#This Row],[supplier_id]],표7[supplier_id],표7[supplier_name])</f>
        <v>효성화학</v>
      </c>
      <c r="D229" s="4">
        <v>420</v>
      </c>
      <c r="E229" t="s">
        <v>533</v>
      </c>
      <c r="F229" t="s">
        <v>535</v>
      </c>
      <c r="G229" t="s">
        <v>537</v>
      </c>
      <c r="H229">
        <v>2025</v>
      </c>
      <c r="J229">
        <f>_xlfn.XLOOKUP(표8[[#This Row],[location]],Location[location],Location[lat])</f>
        <v>35.445999999999998</v>
      </c>
      <c r="K229">
        <f>_xlfn.XLOOKUP(표8[[#This Row],[location]],Location[location],Location[lon])</f>
        <v>129.334</v>
      </c>
    </row>
    <row r="230" spans="1:11">
      <c r="A230" s="3" t="s">
        <v>489</v>
      </c>
      <c r="B230" s="3" t="s">
        <v>397</v>
      </c>
      <c r="C230" t="str">
        <f>_xlfn.XLOOKUP(표8[[#This Row],[supplier_id]],표7[supplier_id],표7[supplier_name])</f>
        <v>애경케미칼</v>
      </c>
      <c r="D230" s="4">
        <v>210</v>
      </c>
      <c r="E230" t="s">
        <v>533</v>
      </c>
      <c r="F230" t="s">
        <v>535</v>
      </c>
      <c r="G230" t="s">
        <v>537</v>
      </c>
      <c r="H230">
        <v>2025</v>
      </c>
      <c r="J230">
        <f>_xlfn.XLOOKUP(표8[[#This Row],[location]],Location[location],Location[lat])</f>
        <v>35.445999999999998</v>
      </c>
      <c r="K230">
        <f>_xlfn.XLOOKUP(표8[[#This Row],[location]],Location[location],Location[lon])</f>
        <v>129.334</v>
      </c>
    </row>
    <row r="231" spans="1:11">
      <c r="A231" s="10" t="s">
        <v>489</v>
      </c>
      <c r="B231" s="3" t="s">
        <v>433</v>
      </c>
      <c r="C231" t="str">
        <f>_xlfn.XLOOKUP(표8[[#This Row],[supplier_id]],표7[supplier_id],표7[supplier_name])</f>
        <v>SK케미칼</v>
      </c>
      <c r="D231" s="4">
        <v>160</v>
      </c>
      <c r="E231" t="s">
        <v>533</v>
      </c>
      <c r="F231" t="s">
        <v>535</v>
      </c>
      <c r="G231" t="s">
        <v>537</v>
      </c>
      <c r="H231">
        <v>2025</v>
      </c>
      <c r="J231">
        <f>_xlfn.XLOOKUP(표8[[#This Row],[location]],Location[location],Location[lat])</f>
        <v>35.445999999999998</v>
      </c>
      <c r="K231">
        <f>_xlfn.XLOOKUP(표8[[#This Row],[location]],Location[location],Location[lon])</f>
        <v>129.334</v>
      </c>
    </row>
    <row r="232" spans="1:11">
      <c r="A232" s="10" t="s">
        <v>755</v>
      </c>
      <c r="B232" s="8" t="s">
        <v>748</v>
      </c>
      <c r="C232" s="8" t="str">
        <f>_xlfn.XLOOKUP(표8[[#This Row],[supplier_id]],표7[supplier_id],표7[supplier_name])</f>
        <v>OCI</v>
      </c>
      <c r="D232" s="9">
        <v>60</v>
      </c>
      <c r="E232" t="s">
        <v>533</v>
      </c>
      <c r="F232" t="s">
        <v>746</v>
      </c>
      <c r="G232" t="s">
        <v>537</v>
      </c>
      <c r="H232">
        <v>2025</v>
      </c>
      <c r="J232">
        <f>_xlfn.XLOOKUP(표8[[#This Row],[location]],Location[location],Location[lat])</f>
        <v>35.997999999999998</v>
      </c>
      <c r="K232">
        <f>_xlfn.XLOOKUP(표8[[#This Row],[location]],Location[location],Location[lon])</f>
        <v>129.40700000000001</v>
      </c>
    </row>
    <row r="233" spans="1:11">
      <c r="A233" s="3" t="s">
        <v>499</v>
      </c>
      <c r="B233" s="3" t="s">
        <v>441</v>
      </c>
      <c r="C233" t="str">
        <f>_xlfn.XLOOKUP(표8[[#This Row],[supplier_id]],표7[supplier_id],표7[supplier_name])</f>
        <v>카프로</v>
      </c>
      <c r="D233" s="4">
        <v>270</v>
      </c>
      <c r="E233" t="s">
        <v>533</v>
      </c>
      <c r="F233" t="s">
        <v>535</v>
      </c>
      <c r="G233" t="s">
        <v>537</v>
      </c>
      <c r="H233">
        <v>2025</v>
      </c>
      <c r="J233">
        <f>_xlfn.XLOOKUP(표8[[#This Row],[location]],Location[location],Location[lat])</f>
        <v>35.445999999999998</v>
      </c>
      <c r="K233">
        <f>_xlfn.XLOOKUP(표8[[#This Row],[location]],Location[location],Location[lon])</f>
        <v>129.334</v>
      </c>
    </row>
    <row r="234" spans="1:11">
      <c r="A234" s="10" t="s">
        <v>714</v>
      </c>
      <c r="B234" s="10" t="s">
        <v>695</v>
      </c>
      <c r="C234" s="8" t="str">
        <f>_xlfn.XLOOKUP(표8[[#This Row],[supplier_id]],표7[supplier_id],표7[supplier_name])</f>
        <v>롯데엠시시</v>
      </c>
      <c r="D234" s="4">
        <v>90</v>
      </c>
      <c r="E234" t="s">
        <v>533</v>
      </c>
      <c r="F234" t="s">
        <v>735</v>
      </c>
      <c r="G234" t="s">
        <v>537</v>
      </c>
      <c r="H234">
        <v>2025</v>
      </c>
      <c r="J234">
        <f>_xlfn.XLOOKUP(표8[[#This Row],[location]],Location[location],Location[lat])</f>
        <v>36.99</v>
      </c>
      <c r="K234">
        <f>_xlfn.XLOOKUP(표8[[#This Row],[location]],Location[location],Location[lon])</f>
        <v>126.39</v>
      </c>
    </row>
    <row r="235" spans="1:11">
      <c r="A235" s="10" t="s">
        <v>714</v>
      </c>
      <c r="B235" s="10" t="s">
        <v>697</v>
      </c>
      <c r="C235" s="8" t="str">
        <f>_xlfn.XLOOKUP(표8[[#This Row],[supplier_id]],표7[supplier_id],표7[supplier_name])</f>
        <v>LX MMA</v>
      </c>
      <c r="D235" s="4">
        <v>260</v>
      </c>
      <c r="E235" t="s">
        <v>533</v>
      </c>
      <c r="F235" t="s">
        <v>704</v>
      </c>
      <c r="G235" t="s">
        <v>537</v>
      </c>
      <c r="H235">
        <v>2025</v>
      </c>
      <c r="J235">
        <f>_xlfn.XLOOKUP(표8[[#This Row],[location]],Location[location],Location[lat])</f>
        <v>34.834000000000003</v>
      </c>
      <c r="K235">
        <f>_xlfn.XLOOKUP(표8[[#This Row],[location]],Location[location],Location[lon])</f>
        <v>127.68600000000001</v>
      </c>
    </row>
    <row r="236" spans="1:11">
      <c r="A236" s="10" t="s">
        <v>714</v>
      </c>
      <c r="B236" s="10" t="s">
        <v>695</v>
      </c>
      <c r="C236" s="8" t="str">
        <f>_xlfn.XLOOKUP(표8[[#This Row],[supplier_id]],표7[supplier_id],표7[supplier_name])</f>
        <v>롯데엠시시</v>
      </c>
      <c r="D236" s="4">
        <v>97</v>
      </c>
      <c r="E236" t="s">
        <v>533</v>
      </c>
      <c r="F236" t="s">
        <v>704</v>
      </c>
      <c r="G236" t="s">
        <v>537</v>
      </c>
      <c r="H236">
        <v>2025</v>
      </c>
      <c r="J236">
        <f>_xlfn.XLOOKUP(표8[[#This Row],[location]],Location[location],Location[lat])</f>
        <v>34.834000000000003</v>
      </c>
      <c r="K236">
        <f>_xlfn.XLOOKUP(표8[[#This Row],[location]],Location[location],Location[lon])</f>
        <v>127.68600000000001</v>
      </c>
    </row>
    <row r="237" spans="1:11">
      <c r="A237" s="10" t="s">
        <v>714</v>
      </c>
      <c r="B237" s="10" t="s">
        <v>396</v>
      </c>
      <c r="C237" s="8" t="str">
        <f>_xlfn.XLOOKUP(표8[[#This Row],[supplier_id]],표7[supplier_id],표7[supplier_name])</f>
        <v>롯데케미칼</v>
      </c>
      <c r="D237" s="4">
        <v>50</v>
      </c>
      <c r="E237" t="s">
        <v>533</v>
      </c>
      <c r="F237" t="s">
        <v>704</v>
      </c>
      <c r="G237" t="s">
        <v>537</v>
      </c>
      <c r="H237">
        <v>2025</v>
      </c>
      <c r="J237">
        <f>_xlfn.XLOOKUP(표8[[#This Row],[location]],Location[location],Location[lat])</f>
        <v>34.834000000000003</v>
      </c>
      <c r="K237">
        <f>_xlfn.XLOOKUP(표8[[#This Row],[location]],Location[location],Location[lon])</f>
        <v>127.68600000000001</v>
      </c>
    </row>
    <row r="238" spans="1:11">
      <c r="A238" s="10" t="s">
        <v>715</v>
      </c>
      <c r="B238" s="10" t="s">
        <v>697</v>
      </c>
      <c r="C238" s="8" t="str">
        <f>_xlfn.XLOOKUP(표8[[#This Row],[supplier_id]],표7[supplier_id],표7[supplier_name])</f>
        <v>LX MMA</v>
      </c>
      <c r="D238" s="4">
        <v>120</v>
      </c>
      <c r="E238" t="s">
        <v>533</v>
      </c>
      <c r="F238" t="s">
        <v>704</v>
      </c>
      <c r="G238" t="s">
        <v>537</v>
      </c>
      <c r="H238">
        <v>2025</v>
      </c>
      <c r="J238">
        <f>_xlfn.XLOOKUP(표8[[#This Row],[location]],Location[location],Location[lat])</f>
        <v>34.834000000000003</v>
      </c>
      <c r="K238">
        <f>_xlfn.XLOOKUP(표8[[#This Row],[location]],Location[location],Location[lon])</f>
        <v>127.68600000000001</v>
      </c>
    </row>
    <row r="239" spans="1:11">
      <c r="A239" s="10" t="s">
        <v>715</v>
      </c>
      <c r="B239" s="10" t="s">
        <v>695</v>
      </c>
      <c r="C239" s="8" t="str">
        <f>_xlfn.XLOOKUP(표8[[#This Row],[supplier_id]],표7[supplier_id],표7[supplier_name])</f>
        <v>롯데엠시시</v>
      </c>
      <c r="D239" s="4">
        <v>110</v>
      </c>
      <c r="E239" t="s">
        <v>533</v>
      </c>
      <c r="F239" t="s">
        <v>704</v>
      </c>
      <c r="G239" t="s">
        <v>537</v>
      </c>
      <c r="H239">
        <v>2025</v>
      </c>
      <c r="J239">
        <f>_xlfn.XLOOKUP(표8[[#This Row],[location]],Location[location],Location[lat])</f>
        <v>34.834000000000003</v>
      </c>
      <c r="K239">
        <f>_xlfn.XLOOKUP(표8[[#This Row],[location]],Location[location],Location[lon])</f>
        <v>127.68600000000001</v>
      </c>
    </row>
    <row r="240" spans="1:11">
      <c r="A240" s="10" t="s">
        <v>611</v>
      </c>
      <c r="B240" s="3" t="s">
        <v>990</v>
      </c>
      <c r="C240" s="8" t="str">
        <f>_xlfn.XLOOKUP(표8[[#This Row],[supplier_id]],표7[supplier_id],표7[supplier_name])</f>
        <v>한화솔루션</v>
      </c>
      <c r="D240" s="4">
        <v>363</v>
      </c>
      <c r="E240" s="8" t="s">
        <v>533</v>
      </c>
      <c r="F240" t="s">
        <v>704</v>
      </c>
      <c r="G240" t="s">
        <v>991</v>
      </c>
      <c r="H240">
        <v>2026</v>
      </c>
      <c r="J240">
        <f>_xlfn.XLOOKUP(표8[[#This Row],[location]],Location[location],Location[lat])</f>
        <v>34.834000000000003</v>
      </c>
      <c r="K240">
        <f>_xlfn.XLOOKUP(표8[[#This Row],[location]],Location[location],Location[lon])</f>
        <v>127.68600000000001</v>
      </c>
    </row>
    <row r="241" spans="1:11">
      <c r="A241" s="3" t="s">
        <v>611</v>
      </c>
      <c r="B241" s="3" t="s">
        <v>698</v>
      </c>
      <c r="C241" s="8" t="str">
        <f>_xlfn.XLOOKUP(표8[[#This Row],[supplier_id]],표7[supplier_id],표7[supplier_name])</f>
        <v>LG화학</v>
      </c>
      <c r="D241" s="4">
        <v>275</v>
      </c>
      <c r="E241" t="s">
        <v>533</v>
      </c>
      <c r="F241" t="s">
        <v>704</v>
      </c>
      <c r="G241" t="s">
        <v>991</v>
      </c>
      <c r="H241">
        <v>2026</v>
      </c>
      <c r="J241">
        <f>_xlfn.XLOOKUP(표8[[#This Row],[location]],Location[location],Location[lat])</f>
        <v>34.834000000000003</v>
      </c>
      <c r="K241">
        <f>_xlfn.XLOOKUP(표8[[#This Row],[location]],Location[location],Location[lon])</f>
        <v>127.68600000000001</v>
      </c>
    </row>
    <row r="242" spans="1:11">
      <c r="A242" s="10" t="s">
        <v>716</v>
      </c>
      <c r="B242" s="10" t="s">
        <v>690</v>
      </c>
      <c r="C242" s="8" t="str">
        <f>_xlfn.XLOOKUP(표8[[#This Row],[supplier_id]],표7[supplier_id],표7[supplier_name])</f>
        <v>금호미쓰이화학</v>
      </c>
      <c r="D242" s="4">
        <v>610</v>
      </c>
      <c r="E242" t="s">
        <v>533</v>
      </c>
      <c r="F242" t="s">
        <v>704</v>
      </c>
      <c r="G242" t="s">
        <v>537</v>
      </c>
      <c r="H242">
        <v>2025</v>
      </c>
      <c r="J242">
        <f>_xlfn.XLOOKUP(표8[[#This Row],[location]],Location[location],Location[lat])</f>
        <v>34.834000000000003</v>
      </c>
      <c r="K242">
        <f>_xlfn.XLOOKUP(표8[[#This Row],[location]],Location[location],Location[lon])</f>
        <v>127.68600000000001</v>
      </c>
    </row>
    <row r="243" spans="1:11">
      <c r="A243" s="10" t="s">
        <v>716</v>
      </c>
      <c r="B243" s="10" t="s">
        <v>446</v>
      </c>
      <c r="C243" s="8" t="str">
        <f>_xlfn.XLOOKUP(표8[[#This Row],[supplier_id]],표7[supplier_id],표7[supplier_name])</f>
        <v>한국바스프</v>
      </c>
      <c r="D243" s="4">
        <v>250</v>
      </c>
      <c r="E243" t="s">
        <v>533</v>
      </c>
      <c r="F243" t="s">
        <v>704</v>
      </c>
      <c r="G243" t="s">
        <v>537</v>
      </c>
      <c r="H243">
        <v>2025</v>
      </c>
      <c r="J243">
        <f>_xlfn.XLOOKUP(표8[[#This Row],[location]],Location[location],Location[lat])</f>
        <v>34.834000000000003</v>
      </c>
      <c r="K243">
        <f>_xlfn.XLOOKUP(표8[[#This Row],[location]],Location[location],Location[lon])</f>
        <v>127.68600000000001</v>
      </c>
    </row>
    <row r="244" spans="1:11">
      <c r="A244" s="10" t="s">
        <v>716</v>
      </c>
      <c r="B244" s="8" t="s">
        <v>703</v>
      </c>
      <c r="C244" s="8" t="str">
        <f>_xlfn.XLOOKUP(표8[[#This Row],[supplier_id]],표7[supplier_id],표7[supplier_name])</f>
        <v>구다우케미칼</v>
      </c>
      <c r="D244" s="9">
        <v>30</v>
      </c>
      <c r="E244" t="s">
        <v>533</v>
      </c>
      <c r="F244" t="s">
        <v>704</v>
      </c>
      <c r="G244" t="s">
        <v>537</v>
      </c>
      <c r="H244">
        <v>2025</v>
      </c>
      <c r="J244">
        <f>_xlfn.XLOOKUP(표8[[#This Row],[location]],Location[location],Location[lat])</f>
        <v>34.834000000000003</v>
      </c>
      <c r="K244">
        <f>_xlfn.XLOOKUP(표8[[#This Row],[location]],Location[location],Location[lon])</f>
        <v>127.68600000000001</v>
      </c>
    </row>
    <row r="245" spans="1:11">
      <c r="A245" s="10" t="s">
        <v>717</v>
      </c>
      <c r="B245" s="8" t="s">
        <v>748</v>
      </c>
      <c r="C245" s="8" t="str">
        <f>_xlfn.XLOOKUP(표8[[#This Row],[supplier_id]],표7[supplier_id],표7[supplier_name])</f>
        <v>OCI</v>
      </c>
      <c r="D245" s="9">
        <v>50</v>
      </c>
      <c r="E245" t="s">
        <v>533</v>
      </c>
      <c r="F245" t="s">
        <v>739</v>
      </c>
      <c r="G245" t="s">
        <v>537</v>
      </c>
      <c r="H245">
        <v>2025</v>
      </c>
      <c r="J245">
        <f>_xlfn.XLOOKUP(표8[[#This Row],[location]],Location[location],Location[lat])</f>
        <v>35.978999999999999</v>
      </c>
      <c r="K245">
        <f>_xlfn.XLOOKUP(표8[[#This Row],[location]],Location[location],Location[lon])</f>
        <v>126.66200000000001</v>
      </c>
    </row>
    <row r="246" spans="1:11">
      <c r="A246" s="10" t="s">
        <v>717</v>
      </c>
      <c r="B246" s="10" t="s">
        <v>446</v>
      </c>
      <c r="C246" s="8" t="str">
        <f>_xlfn.XLOOKUP(표8[[#This Row],[supplier_id]],표7[supplier_id],표7[supplier_name])</f>
        <v>한국바스프</v>
      </c>
      <c r="D246" s="4">
        <v>160</v>
      </c>
      <c r="E246" t="s">
        <v>533</v>
      </c>
      <c r="F246" t="s">
        <v>704</v>
      </c>
      <c r="G246" t="s">
        <v>537</v>
      </c>
      <c r="H246">
        <v>2025</v>
      </c>
      <c r="J246">
        <f>_xlfn.XLOOKUP(표8[[#This Row],[location]],Location[location],Location[lat])</f>
        <v>34.834000000000003</v>
      </c>
      <c r="K246">
        <f>_xlfn.XLOOKUP(표8[[#This Row],[location]],Location[location],Location[lon])</f>
        <v>127.68600000000001</v>
      </c>
    </row>
    <row r="247" spans="1:11">
      <c r="A247" s="10" t="s">
        <v>717</v>
      </c>
      <c r="B247" s="8" t="s">
        <v>450</v>
      </c>
      <c r="C247" s="8" t="str">
        <f>_xlfn.XLOOKUP(표8[[#This Row],[supplier_id]],표7[supplier_id],표7[supplier_name])</f>
        <v>한화솔루션</v>
      </c>
      <c r="D247" s="4">
        <v>150</v>
      </c>
      <c r="E247" t="s">
        <v>533</v>
      </c>
      <c r="F247" t="s">
        <v>704</v>
      </c>
      <c r="G247" t="s">
        <v>537</v>
      </c>
      <c r="H247">
        <v>2025</v>
      </c>
      <c r="J247">
        <f>_xlfn.XLOOKUP(표8[[#This Row],[location]],Location[location],Location[lat])</f>
        <v>34.834000000000003</v>
      </c>
      <c r="K247">
        <f>_xlfn.XLOOKUP(표8[[#This Row],[location]],Location[location],Location[lon])</f>
        <v>127.68600000000001</v>
      </c>
    </row>
    <row r="248" spans="1:11">
      <c r="A248" s="10" t="s">
        <v>642</v>
      </c>
      <c r="B248" s="10" t="s">
        <v>1047</v>
      </c>
      <c r="C248" s="8" t="str">
        <f>_xlfn.XLOOKUP(표8[[#This Row],[supplier_id]],표7[supplier_id],표7[supplier_name])</f>
        <v>SK지오센트릭</v>
      </c>
      <c r="D248" s="9">
        <v>200</v>
      </c>
      <c r="E248" t="s">
        <v>533</v>
      </c>
      <c r="F248" t="s">
        <v>535</v>
      </c>
      <c r="G248" t="s">
        <v>537</v>
      </c>
      <c r="H248">
        <v>2025</v>
      </c>
      <c r="J248">
        <f>_xlfn.XLOOKUP(표8[[#This Row],[location]],Location[location],Location[lat])</f>
        <v>35.445999999999998</v>
      </c>
      <c r="K248">
        <f>_xlfn.XLOOKUP(표8[[#This Row],[location]],Location[location],Location[lon])</f>
        <v>129.334</v>
      </c>
    </row>
    <row r="249" spans="1:11">
      <c r="A249" s="10" t="s">
        <v>642</v>
      </c>
      <c r="B249" s="10" t="s">
        <v>1025</v>
      </c>
      <c r="C249" s="8" t="str">
        <f>_xlfn.XLOOKUP(표8[[#This Row],[supplier_id]],표7[supplier_id],표7[supplier_name])</f>
        <v>롯데케미칼</v>
      </c>
      <c r="D249" s="9">
        <v>210</v>
      </c>
      <c r="E249" t="s">
        <v>533</v>
      </c>
      <c r="F249" t="s">
        <v>535</v>
      </c>
      <c r="G249" t="s">
        <v>537</v>
      </c>
      <c r="H249">
        <v>2025</v>
      </c>
      <c r="J249">
        <f>_xlfn.XLOOKUP(표8[[#This Row],[location]],Location[location],Location[lat])</f>
        <v>35.445999999999998</v>
      </c>
      <c r="K249">
        <f>_xlfn.XLOOKUP(표8[[#This Row],[location]],Location[location],Location[lon])</f>
        <v>129.334</v>
      </c>
    </row>
    <row r="250" spans="1:11">
      <c r="A250" s="10" t="s">
        <v>643</v>
      </c>
      <c r="B250" s="8" t="s">
        <v>1025</v>
      </c>
      <c r="C250" s="8" t="str">
        <f>_xlfn.XLOOKUP(표8[[#This Row],[supplier_id]],표7[supplier_id],표7[supplier_name])</f>
        <v>롯데케미칼</v>
      </c>
      <c r="D250" s="9">
        <v>360</v>
      </c>
      <c r="E250" t="s">
        <v>533</v>
      </c>
      <c r="F250" t="s">
        <v>535</v>
      </c>
      <c r="G250" t="s">
        <v>537</v>
      </c>
      <c r="H250">
        <v>2025</v>
      </c>
      <c r="J250">
        <f>_xlfn.XLOOKUP(표8[[#This Row],[location]],Location[location],Location[lat])</f>
        <v>35.445999999999998</v>
      </c>
      <c r="K250">
        <f>_xlfn.XLOOKUP(표8[[#This Row],[location]],Location[location],Location[lon])</f>
        <v>129.334</v>
      </c>
    </row>
    <row r="251" spans="1:11">
      <c r="A251" s="10" t="s">
        <v>711</v>
      </c>
      <c r="B251" s="10" t="s">
        <v>723</v>
      </c>
      <c r="C251" s="8" t="str">
        <f>_xlfn.XLOOKUP(표8[[#This Row],[supplier_id]],표7[supplier_id],표7[supplier_name])</f>
        <v>한화토탈에너지스</v>
      </c>
      <c r="D251" s="9">
        <v>2000</v>
      </c>
      <c r="E251" t="s">
        <v>533</v>
      </c>
      <c r="F251" t="s">
        <v>735</v>
      </c>
      <c r="G251" t="s">
        <v>537</v>
      </c>
      <c r="H251">
        <v>2025</v>
      </c>
      <c r="J251">
        <f>_xlfn.XLOOKUP(표8[[#This Row],[location]],Location[location],Location[lat])</f>
        <v>36.99</v>
      </c>
      <c r="K251">
        <f>_xlfn.XLOOKUP(표8[[#This Row],[location]],Location[location],Location[lon])</f>
        <v>126.39</v>
      </c>
    </row>
    <row r="252" spans="1:11">
      <c r="A252" s="10" t="s">
        <v>711</v>
      </c>
      <c r="B252" s="10" t="s">
        <v>734</v>
      </c>
      <c r="C252" s="8" t="str">
        <f>_xlfn.XLOOKUP(표8[[#This Row],[supplier_id]],표7[supplier_id],표7[supplier_name])</f>
        <v>HD현대오일뱅크</v>
      </c>
      <c r="D252" s="9">
        <v>1460</v>
      </c>
      <c r="E252" t="s">
        <v>533</v>
      </c>
      <c r="F252" t="s">
        <v>735</v>
      </c>
      <c r="G252" t="s">
        <v>537</v>
      </c>
      <c r="H252">
        <v>2025</v>
      </c>
      <c r="J252">
        <f>_xlfn.XLOOKUP(표8[[#This Row],[location]],Location[location],Location[lat])</f>
        <v>36.99</v>
      </c>
      <c r="K252">
        <f>_xlfn.XLOOKUP(표8[[#This Row],[location]],Location[location],Location[lon])</f>
        <v>126.39</v>
      </c>
    </row>
    <row r="253" spans="1:11">
      <c r="A253" s="10" t="s">
        <v>711</v>
      </c>
      <c r="B253" s="10" t="s">
        <v>700</v>
      </c>
      <c r="C253" s="8" t="str">
        <f>_xlfn.XLOOKUP(표8[[#This Row],[supplier_id]],표7[supplier_id],표7[supplier_name])</f>
        <v>GS칼텍스</v>
      </c>
      <c r="D253" s="4">
        <v>1350</v>
      </c>
      <c r="E253" t="s">
        <v>533</v>
      </c>
      <c r="F253" t="s">
        <v>704</v>
      </c>
      <c r="G253" t="s">
        <v>537</v>
      </c>
      <c r="H253">
        <v>2025</v>
      </c>
      <c r="J253">
        <f>_xlfn.XLOOKUP(표8[[#This Row],[location]],Location[location],Location[lat])</f>
        <v>34.834000000000003</v>
      </c>
      <c r="K253">
        <f>_xlfn.XLOOKUP(표8[[#This Row],[location]],Location[location],Location[lon])</f>
        <v>127.68600000000001</v>
      </c>
    </row>
    <row r="254" spans="1:11">
      <c r="A254" s="10" t="s">
        <v>711</v>
      </c>
      <c r="B254" s="8" t="s">
        <v>1025</v>
      </c>
      <c r="C254" s="8" t="str">
        <f>_xlfn.XLOOKUP(표8[[#This Row],[supplier_id]],표7[supplier_id],표7[supplier_name])</f>
        <v>롯데케미칼</v>
      </c>
      <c r="D254" s="9">
        <v>750</v>
      </c>
      <c r="E254" t="s">
        <v>533</v>
      </c>
      <c r="F254" t="s">
        <v>535</v>
      </c>
      <c r="G254" t="s">
        <v>537</v>
      </c>
      <c r="H254">
        <v>2025</v>
      </c>
      <c r="J254">
        <f>_xlfn.XLOOKUP(표8[[#This Row],[location]],Location[location],Location[lat])</f>
        <v>35.445999999999998</v>
      </c>
      <c r="K254">
        <f>_xlfn.XLOOKUP(표8[[#This Row],[location]],Location[location],Location[lon])</f>
        <v>129.334</v>
      </c>
    </row>
    <row r="255" spans="1:11">
      <c r="A255" s="10" t="s">
        <v>711</v>
      </c>
      <c r="B255" s="8" t="s">
        <v>1048</v>
      </c>
      <c r="C255" s="8" t="str">
        <f>_xlfn.XLOOKUP(표8[[#This Row],[supplier_id]],표7[supplier_id],표7[supplier_name])</f>
        <v>S-OIL</v>
      </c>
      <c r="D255" s="4">
        <v>1900</v>
      </c>
      <c r="E255" t="s">
        <v>533</v>
      </c>
      <c r="F255" t="s">
        <v>535</v>
      </c>
      <c r="G255" t="s">
        <v>537</v>
      </c>
      <c r="H255">
        <v>2025</v>
      </c>
      <c r="J255">
        <f>_xlfn.XLOOKUP(표8[[#This Row],[location]],Location[location],Location[lat])</f>
        <v>35.445999999999998</v>
      </c>
      <c r="K255">
        <f>_xlfn.XLOOKUP(표8[[#This Row],[location]],Location[location],Location[lon])</f>
        <v>129.334</v>
      </c>
    </row>
    <row r="256" spans="1:11">
      <c r="A256" s="10" t="s">
        <v>711</v>
      </c>
      <c r="B256" s="8" t="s">
        <v>1047</v>
      </c>
      <c r="C256" s="8" t="str">
        <f>_xlfn.XLOOKUP(표8[[#This Row],[supplier_id]],표7[supplier_id],표7[supplier_name])</f>
        <v>SK지오센트릭</v>
      </c>
      <c r="D256" s="4">
        <v>830</v>
      </c>
      <c r="E256" t="s">
        <v>533</v>
      </c>
      <c r="F256" t="s">
        <v>535</v>
      </c>
      <c r="G256" t="s">
        <v>537</v>
      </c>
      <c r="H256">
        <v>2025</v>
      </c>
      <c r="J256">
        <f>_xlfn.XLOOKUP(표8[[#This Row],[location]],Location[location],Location[lat])</f>
        <v>35.445999999999998</v>
      </c>
      <c r="K256">
        <f>_xlfn.XLOOKUP(표8[[#This Row],[location]],Location[location],Location[lon])</f>
        <v>129.334</v>
      </c>
    </row>
    <row r="257" spans="1:11">
      <c r="A257" s="10" t="s">
        <v>711</v>
      </c>
      <c r="B257" s="8" t="s">
        <v>1049</v>
      </c>
      <c r="C257" s="8" t="str">
        <f>_xlfn.XLOOKUP(표8[[#This Row],[supplier_id]],표7[supplier_id],표7[supplier_name])</f>
        <v>울산아로마틱스</v>
      </c>
      <c r="D257" s="9">
        <v>1000</v>
      </c>
      <c r="E257" t="s">
        <v>533</v>
      </c>
      <c r="F257" t="s">
        <v>535</v>
      </c>
      <c r="G257" t="s">
        <v>537</v>
      </c>
      <c r="H257">
        <v>2025</v>
      </c>
      <c r="J257">
        <f>_xlfn.XLOOKUP(표8[[#This Row],[location]],Location[location],Location[lat])</f>
        <v>35.445999999999998</v>
      </c>
      <c r="K257">
        <f>_xlfn.XLOOKUP(표8[[#This Row],[location]],Location[location],Location[lon])</f>
        <v>129.334</v>
      </c>
    </row>
    <row r="258" spans="1:11">
      <c r="A258" s="10" t="s">
        <v>711</v>
      </c>
      <c r="B258" s="10" t="s">
        <v>751</v>
      </c>
      <c r="C258" s="8" t="str">
        <f>_xlfn.XLOOKUP(표8[[#This Row],[supplier_id]],표7[supplier_id],표7[supplier_name])</f>
        <v>SK인천석유화학</v>
      </c>
      <c r="D258" s="4">
        <v>1500</v>
      </c>
      <c r="E258" t="s">
        <v>533</v>
      </c>
      <c r="F258" t="s">
        <v>744</v>
      </c>
      <c r="G258" t="s">
        <v>537</v>
      </c>
      <c r="H258">
        <v>2025</v>
      </c>
      <c r="J258">
        <f>_xlfn.XLOOKUP(표8[[#This Row],[location]],Location[location],Location[lat])</f>
        <v>37.511000000000003</v>
      </c>
      <c r="K258">
        <f>_xlfn.XLOOKUP(표8[[#This Row],[location]],Location[location],Location[lon])</f>
        <v>126.66200000000001</v>
      </c>
    </row>
    <row r="259" spans="1:11">
      <c r="A259" s="10" t="s">
        <v>1050</v>
      </c>
      <c r="B259" s="10" t="s">
        <v>1025</v>
      </c>
      <c r="C259" s="8" t="str">
        <f>_xlfn.XLOOKUP(표8[[#This Row],[supplier_id]],표7[supplier_id],표7[supplier_name])</f>
        <v>롯데케미칼</v>
      </c>
      <c r="D259" s="4">
        <v>840</v>
      </c>
      <c r="E259" t="s">
        <v>533</v>
      </c>
      <c r="F259" t="s">
        <v>535</v>
      </c>
      <c r="G259" t="s">
        <v>537</v>
      </c>
      <c r="H259">
        <v>2025</v>
      </c>
      <c r="J259">
        <f>_xlfn.XLOOKUP(표8[[#This Row],[location]],Location[location],Location[lat])</f>
        <v>35.445999999999998</v>
      </c>
      <c r="K259">
        <f>_xlfn.XLOOKUP(표8[[#This Row],[location]],Location[location],Location[lon])</f>
        <v>129.334</v>
      </c>
    </row>
    <row r="260" spans="1:11">
      <c r="A260" s="10" t="s">
        <v>664</v>
      </c>
      <c r="B260" s="10" t="s">
        <v>451</v>
      </c>
      <c r="C260" s="8" t="str">
        <f>_xlfn.XLOOKUP(표8[[#This Row],[supplier_id]],표7[supplier_id],표7[supplier_name])</f>
        <v>한화임팩트</v>
      </c>
      <c r="D260" s="4">
        <v>700</v>
      </c>
      <c r="E260" t="s">
        <v>533</v>
      </c>
      <c r="F260" t="s">
        <v>735</v>
      </c>
      <c r="G260" t="s">
        <v>537</v>
      </c>
      <c r="H260">
        <v>2025</v>
      </c>
      <c r="J260">
        <f>_xlfn.XLOOKUP(표8[[#This Row],[location]],Location[location],Location[lat])</f>
        <v>36.99</v>
      </c>
      <c r="K260">
        <f>_xlfn.XLOOKUP(표8[[#This Row],[location]],Location[location],Location[lon])</f>
        <v>126.39</v>
      </c>
    </row>
    <row r="261" spans="1:11">
      <c r="A261" s="10" t="s">
        <v>664</v>
      </c>
      <c r="B261" s="10" t="s">
        <v>696</v>
      </c>
      <c r="C261" s="8" t="str">
        <f>_xlfn.XLOOKUP(표8[[#This Row],[supplier_id]],표7[supplier_id],표7[supplier_name])</f>
        <v>삼남석유화학</v>
      </c>
      <c r="D261" s="4">
        <v>1500</v>
      </c>
      <c r="E261" t="s">
        <v>533</v>
      </c>
      <c r="F261" t="s">
        <v>704</v>
      </c>
      <c r="G261" t="s">
        <v>537</v>
      </c>
      <c r="H261">
        <v>2025</v>
      </c>
      <c r="J261">
        <f>_xlfn.XLOOKUP(표8[[#This Row],[location]],Location[location],Location[lat])</f>
        <v>34.834000000000003</v>
      </c>
      <c r="K261">
        <f>_xlfn.XLOOKUP(표8[[#This Row],[location]],Location[location],Location[lon])</f>
        <v>127.68600000000001</v>
      </c>
    </row>
    <row r="262" spans="1:11">
      <c r="A262" s="10" t="s">
        <v>666</v>
      </c>
      <c r="B262" s="3" t="s">
        <v>3899</v>
      </c>
      <c r="C262" s="8" t="str">
        <f>_xlfn.XLOOKUP(표8[[#This Row],[supplier_id]],표7[supplier_id],표7[supplier_name])</f>
        <v>티케이케미칼</v>
      </c>
      <c r="D262" s="4">
        <v>280</v>
      </c>
      <c r="E262" t="s">
        <v>533</v>
      </c>
      <c r="F262" t="s">
        <v>3902</v>
      </c>
      <c r="G262" t="s">
        <v>991</v>
      </c>
      <c r="H262">
        <v>2025</v>
      </c>
      <c r="J262">
        <f>_xlfn.XLOOKUP(표8[[#This Row],[location]],Location[location],Location[lat])</f>
        <v>36.091000000000001</v>
      </c>
      <c r="K262">
        <f>_xlfn.XLOOKUP(표8[[#This Row],[location]],Location[location],Location[lon])</f>
        <v>128.37700000000001</v>
      </c>
    </row>
    <row r="263" spans="1:11">
      <c r="A263" t="s">
        <v>666</v>
      </c>
      <c r="B263" s="10" t="s">
        <v>3927</v>
      </c>
      <c r="C263" s="8" t="str">
        <f>_xlfn.XLOOKUP(표8[[#This Row],[supplier_id]],표7[supplier_id],표7[supplier_name])</f>
        <v>SK마이크로웍스</v>
      </c>
      <c r="D263" s="4">
        <v>20</v>
      </c>
      <c r="E263" t="s">
        <v>533</v>
      </c>
      <c r="F263" t="s">
        <v>3901</v>
      </c>
      <c r="G263" t="s">
        <v>991</v>
      </c>
      <c r="H263">
        <v>2025</v>
      </c>
      <c r="J263">
        <f>_xlfn.XLOOKUP(표8[[#This Row],[location]],Location[location],Location[lat])</f>
        <v>37.302999999999997</v>
      </c>
      <c r="K263">
        <f>_xlfn.XLOOKUP(표8[[#This Row],[location]],Location[location],Location[lon])</f>
        <v>126.985</v>
      </c>
    </row>
    <row r="264" spans="1:11">
      <c r="A264" s="3" t="s">
        <v>666</v>
      </c>
      <c r="B264" s="3" t="s">
        <v>1025</v>
      </c>
      <c r="C264" s="8" t="str">
        <f>_xlfn.XLOOKUP(표8[[#This Row],[supplier_id]],표7[supplier_id],표7[supplier_name])</f>
        <v>롯데케미칼</v>
      </c>
      <c r="D264" s="4">
        <v>450</v>
      </c>
      <c r="E264" t="s">
        <v>533</v>
      </c>
      <c r="F264" t="s">
        <v>535</v>
      </c>
      <c r="G264" t="s">
        <v>991</v>
      </c>
      <c r="H264">
        <v>2025</v>
      </c>
      <c r="J264">
        <f>_xlfn.XLOOKUP(표8[[#This Row],[location]],Location[location],Location[lat])</f>
        <v>35.445999999999998</v>
      </c>
      <c r="K264">
        <f>_xlfn.XLOOKUP(표8[[#This Row],[location]],Location[location],Location[lon])</f>
        <v>129.334</v>
      </c>
    </row>
    <row r="265" spans="1:11">
      <c r="A265" s="10" t="s">
        <v>759</v>
      </c>
      <c r="B265" s="10" t="s">
        <v>691</v>
      </c>
      <c r="C265" s="8" t="str">
        <f>_xlfn.XLOOKUP(표8[[#This Row],[supplier_id]],표7[supplier_id],표7[supplier_name])</f>
        <v>금호폴리켐</v>
      </c>
      <c r="D265" s="4">
        <v>310</v>
      </c>
      <c r="E265" t="s">
        <v>533</v>
      </c>
      <c r="F265" t="s">
        <v>704</v>
      </c>
      <c r="G265" t="s">
        <v>537</v>
      </c>
      <c r="H265">
        <v>2025</v>
      </c>
      <c r="J265">
        <f>_xlfn.XLOOKUP(표8[[#This Row],[location]],Location[location],Location[lat])</f>
        <v>34.834000000000003</v>
      </c>
      <c r="K265">
        <f>_xlfn.XLOOKUP(표8[[#This Row],[location]],Location[location],Location[lon])</f>
        <v>127.68600000000001</v>
      </c>
    </row>
    <row r="266" spans="1:11">
      <c r="A266" s="10" t="s">
        <v>759</v>
      </c>
      <c r="B266" s="8" t="s">
        <v>694</v>
      </c>
      <c r="C266" s="8" t="str">
        <f>_xlfn.XLOOKUP(표8[[#This Row],[supplier_id]],표7[supplier_id],표7[supplier_name])</f>
        <v>롯데베르살리스엘라스토머스</v>
      </c>
      <c r="D266" s="9">
        <v>96</v>
      </c>
      <c r="E266" t="s">
        <v>533</v>
      </c>
      <c r="F266" t="s">
        <v>704</v>
      </c>
      <c r="G266" t="s">
        <v>537</v>
      </c>
      <c r="H266">
        <v>2025</v>
      </c>
      <c r="J266">
        <f>_xlfn.XLOOKUP(표8[[#This Row],[location]],Location[location],Location[lat])</f>
        <v>34.834000000000003</v>
      </c>
      <c r="K266">
        <f>_xlfn.XLOOKUP(표8[[#This Row],[location]],Location[location],Location[lon])</f>
        <v>127.68600000000001</v>
      </c>
    </row>
    <row r="267" spans="1:11">
      <c r="A267" s="3" t="s">
        <v>767</v>
      </c>
      <c r="B267" t="s">
        <v>990</v>
      </c>
      <c r="C267" s="8" t="str">
        <f>_xlfn.XLOOKUP(표8[[#This Row],[supplier_id]],표7[supplier_id],표7[supplier_name])</f>
        <v>한화솔루션</v>
      </c>
      <c r="D267" s="9">
        <v>25</v>
      </c>
      <c r="E267" t="s">
        <v>533</v>
      </c>
      <c r="F267" t="s">
        <v>704</v>
      </c>
      <c r="G267" t="s">
        <v>991</v>
      </c>
      <c r="H267">
        <v>2024</v>
      </c>
      <c r="J267">
        <f>_xlfn.XLOOKUP(표8[[#This Row],[location]],Location[location],Location[lat])</f>
        <v>34.834000000000003</v>
      </c>
      <c r="K267">
        <f>_xlfn.XLOOKUP(표8[[#This Row],[location]],Location[location],Location[lon])</f>
        <v>127.68600000000001</v>
      </c>
    </row>
    <row r="268" spans="1:11">
      <c r="A268" s="3" t="s">
        <v>767</v>
      </c>
      <c r="B268" t="s">
        <v>1121</v>
      </c>
      <c r="C268" s="8" t="str">
        <f>_xlfn.XLOOKUP(표8[[#This Row],[supplier_id]],표7[supplier_id],표7[supplier_name])</f>
        <v>롯데정밀화학</v>
      </c>
      <c r="D268" s="9">
        <v>132</v>
      </c>
      <c r="E268" t="s">
        <v>533</v>
      </c>
      <c r="F268" t="s">
        <v>704</v>
      </c>
      <c r="G268" t="s">
        <v>991</v>
      </c>
      <c r="H268">
        <v>2024</v>
      </c>
      <c r="J268">
        <f>_xlfn.XLOOKUP(표8[[#This Row],[location]],Location[location],Location[lat])</f>
        <v>34.834000000000003</v>
      </c>
      <c r="K268">
        <f>_xlfn.XLOOKUP(표8[[#This Row],[location]],Location[location],Location[lon])</f>
        <v>127.68600000000001</v>
      </c>
    </row>
    <row r="269" spans="1:11">
      <c r="A269" s="3" t="s">
        <v>994</v>
      </c>
      <c r="B269" s="3" t="s">
        <v>1025</v>
      </c>
      <c r="C269" s="8" t="str">
        <f>_xlfn.XLOOKUP(표8[[#This Row],[supplier_id]],표7[supplier_id],표7[supplier_name])</f>
        <v>롯데케미칼</v>
      </c>
      <c r="D269" s="4">
        <v>32</v>
      </c>
      <c r="E269" t="s">
        <v>533</v>
      </c>
      <c r="F269" t="s">
        <v>704</v>
      </c>
      <c r="G269" t="s">
        <v>991</v>
      </c>
      <c r="H269">
        <v>2023</v>
      </c>
      <c r="J269">
        <f>_xlfn.XLOOKUP(표8[[#This Row],[location]],Location[location],Location[lat])</f>
        <v>34.834000000000003</v>
      </c>
      <c r="K269">
        <f>_xlfn.XLOOKUP(표8[[#This Row],[location]],Location[location],Location[lon])</f>
        <v>127.68600000000001</v>
      </c>
    </row>
    <row r="270" spans="1:11">
      <c r="A270" s="3" t="s">
        <v>994</v>
      </c>
      <c r="B270" s="3" t="s">
        <v>1106</v>
      </c>
      <c r="C270" s="8" t="str">
        <f>_xlfn.XLOOKUP(표8[[#This Row],[supplier_id]],표7[supplier_id],표7[supplier_name])</f>
        <v>여천NCC</v>
      </c>
      <c r="D270" s="4">
        <v>38</v>
      </c>
      <c r="E270" t="s">
        <v>533</v>
      </c>
      <c r="F270" t="s">
        <v>704</v>
      </c>
      <c r="G270" t="s">
        <v>991</v>
      </c>
      <c r="H270">
        <v>2023</v>
      </c>
      <c r="J270">
        <f>_xlfn.XLOOKUP(표8[[#This Row],[location]],Location[location],Location[lat])</f>
        <v>34.834000000000003</v>
      </c>
      <c r="K270">
        <f>_xlfn.XLOOKUP(표8[[#This Row],[location]],Location[location],Location[lon])</f>
        <v>127.68600000000001</v>
      </c>
    </row>
    <row r="271" spans="1:11">
      <c r="A271" s="10" t="s">
        <v>1035</v>
      </c>
      <c r="B271" s="3" t="s">
        <v>1023</v>
      </c>
      <c r="C271" s="8" t="str">
        <f>_xlfn.XLOOKUP(표8[[#This Row],[supplier_id]],표7[supplier_id],표7[supplier_name])</f>
        <v>LG화학</v>
      </c>
      <c r="D271" s="4">
        <v>25</v>
      </c>
      <c r="E271" t="s">
        <v>533</v>
      </c>
      <c r="F271" t="s">
        <v>1045</v>
      </c>
      <c r="G271" t="s">
        <v>991</v>
      </c>
      <c r="H271">
        <v>2024</v>
      </c>
      <c r="J271">
        <f>_xlfn.XLOOKUP(표8[[#This Row],[location]],Location[location],Location[lat])</f>
        <v>35.021999999999998</v>
      </c>
      <c r="K271">
        <f>_xlfn.XLOOKUP(표8[[#This Row],[location]],Location[location],Location[lon])</f>
        <v>126.72</v>
      </c>
    </row>
    <row r="272" spans="1:11">
      <c r="A272" s="10" t="s">
        <v>1035</v>
      </c>
      <c r="B272" s="10" t="s">
        <v>450</v>
      </c>
      <c r="C272" s="8" t="str">
        <f>_xlfn.XLOOKUP(표8[[#This Row],[supplier_id]],표7[supplier_id],표7[supplier_name])</f>
        <v>한화솔루션</v>
      </c>
      <c r="D272" s="4">
        <v>10</v>
      </c>
      <c r="E272" t="s">
        <v>533</v>
      </c>
      <c r="F272" t="s">
        <v>704</v>
      </c>
      <c r="G272" t="s">
        <v>991</v>
      </c>
      <c r="H272">
        <v>2024</v>
      </c>
      <c r="J272">
        <f>_xlfn.XLOOKUP(표8[[#This Row],[location]],Location[location],Location[lat])</f>
        <v>34.834000000000003</v>
      </c>
      <c r="K272">
        <f>_xlfn.XLOOKUP(표8[[#This Row],[location]],Location[location],Location[lon])</f>
        <v>127.68600000000001</v>
      </c>
    </row>
    <row r="273" spans="1:11">
      <c r="A273" s="10" t="s">
        <v>1035</v>
      </c>
      <c r="B273" s="3" t="s">
        <v>1023</v>
      </c>
      <c r="C273" s="8" t="str">
        <f>_xlfn.XLOOKUP(표8[[#This Row],[supplier_id]],표7[supplier_id],표7[supplier_name])</f>
        <v>LG화학</v>
      </c>
      <c r="D273" s="9">
        <v>100</v>
      </c>
      <c r="E273" t="s">
        <v>533</v>
      </c>
      <c r="F273" t="s">
        <v>704</v>
      </c>
      <c r="G273" t="s">
        <v>991</v>
      </c>
      <c r="H273">
        <v>2024</v>
      </c>
      <c r="J273">
        <f>_xlfn.XLOOKUP(표8[[#This Row],[location]],Location[location],Location[lat])</f>
        <v>34.834000000000003</v>
      </c>
      <c r="K273">
        <f>_xlfn.XLOOKUP(표8[[#This Row],[location]],Location[location],Location[lon])</f>
        <v>127.68600000000001</v>
      </c>
    </row>
    <row r="274" spans="1:11">
      <c r="A274" s="3" t="s">
        <v>3825</v>
      </c>
      <c r="B274" s="3" t="s">
        <v>3835</v>
      </c>
      <c r="C274" s="8" t="str">
        <f>_xlfn.XLOOKUP(표8[[#This Row],[supplier_id]],표7[supplier_id],표7[supplier_name])</f>
        <v>도레이첨단소재</v>
      </c>
      <c r="D274" s="9">
        <v>14</v>
      </c>
      <c r="E274" t="s">
        <v>533</v>
      </c>
      <c r="F274" t="s">
        <v>739</v>
      </c>
      <c r="G274" t="s">
        <v>991</v>
      </c>
      <c r="H274">
        <v>2024</v>
      </c>
      <c r="I274" t="s">
        <v>3837</v>
      </c>
      <c r="J274">
        <f>_xlfn.XLOOKUP(표8[[#This Row],[location]],Location[location],Location[lat])</f>
        <v>35.978999999999999</v>
      </c>
      <c r="K274">
        <f>_xlfn.XLOOKUP(표8[[#This Row],[location]],Location[location],Location[lon])</f>
        <v>126.66200000000001</v>
      </c>
    </row>
    <row r="275" spans="1:11">
      <c r="A275" s="3" t="s">
        <v>560</v>
      </c>
      <c r="B275" s="3" t="s">
        <v>393</v>
      </c>
      <c r="C275" s="8" t="str">
        <f>_xlfn.XLOOKUP(표8[[#This Row],[supplier_id]],표7[supplier_id],표7[supplier_name])</f>
        <v>대한유화</v>
      </c>
      <c r="D275" s="4">
        <v>6</v>
      </c>
      <c r="E275" t="s">
        <v>533</v>
      </c>
      <c r="F275" t="s">
        <v>535</v>
      </c>
      <c r="G275" t="s">
        <v>991</v>
      </c>
      <c r="H275">
        <v>2026</v>
      </c>
      <c r="J275">
        <f>_xlfn.XLOOKUP(표8[[#This Row],[location]],Location[location],Location[lat])</f>
        <v>35.445999999999998</v>
      </c>
      <c r="K275">
        <f>_xlfn.XLOOKUP(표8[[#This Row],[location]],Location[location],Location[lon])</f>
        <v>129.334</v>
      </c>
    </row>
    <row r="276" spans="1:11">
      <c r="A276" s="3" t="s">
        <v>560</v>
      </c>
      <c r="B276" s="3" t="s">
        <v>1023</v>
      </c>
      <c r="C276" s="8" t="str">
        <f>_xlfn.XLOOKUP(표8[[#This Row],[supplier_id]],표7[supplier_id],표7[supplier_name])</f>
        <v>LG화학</v>
      </c>
      <c r="D276" s="4">
        <v>40</v>
      </c>
      <c r="E276" t="s">
        <v>533</v>
      </c>
      <c r="F276" t="s">
        <v>735</v>
      </c>
      <c r="G276" t="s">
        <v>991</v>
      </c>
      <c r="H276">
        <v>2026</v>
      </c>
      <c r="J276">
        <f>_xlfn.XLOOKUP(표8[[#This Row],[location]],Location[location],Location[lat])</f>
        <v>36.99</v>
      </c>
      <c r="K276">
        <f>_xlfn.XLOOKUP(표8[[#This Row],[location]],Location[location],Location[lon])</f>
        <v>126.39</v>
      </c>
    </row>
    <row r="277" spans="1:11">
      <c r="A277" s="10" t="s">
        <v>560</v>
      </c>
      <c r="B277" s="3" t="s">
        <v>1025</v>
      </c>
      <c r="C277" s="8" t="str">
        <f>_xlfn.XLOOKUP(표8[[#This Row],[supplier_id]],표7[supplier_id],표7[supplier_name])</f>
        <v>롯데케미칼</v>
      </c>
      <c r="D277" s="9">
        <v>30</v>
      </c>
      <c r="E277" t="s">
        <v>533</v>
      </c>
      <c r="F277" t="s">
        <v>704</v>
      </c>
      <c r="G277" t="s">
        <v>991</v>
      </c>
      <c r="H277">
        <v>2026</v>
      </c>
      <c r="J277">
        <f>_xlfn.XLOOKUP(표8[[#This Row],[location]],Location[location],Location[lat])</f>
        <v>34.834000000000003</v>
      </c>
      <c r="K277">
        <f>_xlfn.XLOOKUP(표8[[#This Row],[location]],Location[location],Location[lon])</f>
        <v>127.68600000000001</v>
      </c>
    </row>
    <row r="278" spans="1:11">
      <c r="A278" s="10" t="s">
        <v>560</v>
      </c>
      <c r="B278" s="3" t="s">
        <v>1047</v>
      </c>
      <c r="C278" s="8" t="str">
        <f>_xlfn.XLOOKUP(표8[[#This Row],[supplier_id]],표7[supplier_id],표7[supplier_name])</f>
        <v>SK지오센트릭</v>
      </c>
      <c r="D278" s="9">
        <v>42</v>
      </c>
      <c r="E278" t="s">
        <v>533</v>
      </c>
      <c r="F278" t="s">
        <v>535</v>
      </c>
      <c r="G278" t="s">
        <v>991</v>
      </c>
      <c r="H278">
        <v>2026</v>
      </c>
      <c r="J278">
        <f>_xlfn.XLOOKUP(표8[[#This Row],[location]],Location[location],Location[lat])</f>
        <v>35.445999999999998</v>
      </c>
      <c r="K278">
        <f>_xlfn.XLOOKUP(표8[[#This Row],[location]],Location[location],Location[lon])</f>
        <v>129.334</v>
      </c>
    </row>
    <row r="279" spans="1:11">
      <c r="A279" s="10" t="s">
        <v>560</v>
      </c>
      <c r="B279" s="3" t="s">
        <v>1106</v>
      </c>
      <c r="C279" s="8" t="str">
        <f>_xlfn.XLOOKUP(표8[[#This Row],[supplier_id]],표7[supplier_id],표7[supplier_name])</f>
        <v>여천NCC</v>
      </c>
      <c r="D279" s="9">
        <v>65</v>
      </c>
      <c r="E279" t="s">
        <v>533</v>
      </c>
      <c r="F279" t="s">
        <v>704</v>
      </c>
      <c r="G279" t="s">
        <v>991</v>
      </c>
      <c r="H279">
        <v>2026</v>
      </c>
      <c r="J279">
        <f>_xlfn.XLOOKUP(표8[[#This Row],[location]],Location[location],Location[lat])</f>
        <v>34.834000000000003</v>
      </c>
      <c r="K279">
        <f>_xlfn.XLOOKUP(표8[[#This Row],[location]],Location[location],Location[lon])</f>
        <v>127.68600000000001</v>
      </c>
    </row>
    <row r="280" spans="1:11">
      <c r="A280" t="s">
        <v>384</v>
      </c>
      <c r="B280" s="177" t="s">
        <v>441</v>
      </c>
      <c r="C280" s="178" t="str">
        <f>_xlfn.XLOOKUP(표8[[#This Row],[supplier_id]],표7[supplier_id],표7[supplier_name])</f>
        <v>카프로</v>
      </c>
      <c r="D280" s="175">
        <v>189</v>
      </c>
      <c r="E280" t="s">
        <v>533</v>
      </c>
      <c r="F280" s="179" t="s">
        <v>535</v>
      </c>
      <c r="G280" t="s">
        <v>991</v>
      </c>
      <c r="H280">
        <v>2025</v>
      </c>
      <c r="J280" s="176">
        <f>_xlfn.XLOOKUP(표8[[#This Row],[location]],Location[location],Location[lat])</f>
        <v>35.445999999999998</v>
      </c>
      <c r="K280">
        <f>_xlfn.XLOOKUP(표8[[#This Row],[location]],Location[location],Location[lon])</f>
        <v>129.334</v>
      </c>
    </row>
    <row r="281" spans="1:11">
      <c r="A281" s="174" t="s">
        <v>592</v>
      </c>
      <c r="B281" s="177" t="s">
        <v>4546</v>
      </c>
      <c r="C281" s="178" t="str">
        <f>_xlfn.XLOOKUP(표8[[#This Row],[supplier_id]],표7[supplier_id],표7[supplier_name])</f>
        <v>해인기업</v>
      </c>
      <c r="D281" s="175">
        <v>150</v>
      </c>
      <c r="E281" s="179" t="s">
        <v>533</v>
      </c>
      <c r="F281" s="179" t="s">
        <v>704</v>
      </c>
      <c r="G281" t="s">
        <v>991</v>
      </c>
      <c r="H281">
        <v>2024</v>
      </c>
      <c r="J281" s="176">
        <f>_xlfn.XLOOKUP(표8[[#This Row],[location]],Location[location],Location[lat])</f>
        <v>34.834000000000003</v>
      </c>
      <c r="K281" s="176">
        <f>_xlfn.XLOOKUP(표8[[#This Row],[location]],Location[location],Location[lon])</f>
        <v>127.68600000000001</v>
      </c>
    </row>
    <row r="282" spans="1:11">
      <c r="A282" s="174" t="s">
        <v>592</v>
      </c>
      <c r="B282" s="177" t="s">
        <v>4546</v>
      </c>
      <c r="C282" s="178" t="str">
        <f>_xlfn.XLOOKUP(표8[[#This Row],[supplier_id]],표7[supplier_id],표7[supplier_name])</f>
        <v>해인기업</v>
      </c>
      <c r="D282" s="175">
        <v>50</v>
      </c>
      <c r="E282" s="179" t="s">
        <v>533</v>
      </c>
      <c r="F282" s="179" t="s">
        <v>3902</v>
      </c>
      <c r="G282" t="s">
        <v>991</v>
      </c>
      <c r="H282">
        <v>2024</v>
      </c>
      <c r="J282" s="176">
        <f>_xlfn.XLOOKUP(표8[[#This Row],[location]],Location[location],Location[lat])</f>
        <v>36.091000000000001</v>
      </c>
      <c r="K282" s="176">
        <f>_xlfn.XLOOKUP(표8[[#This Row],[location]],Location[location],Location[lon])</f>
        <v>128.37700000000001</v>
      </c>
    </row>
    <row r="283" spans="1:11">
      <c r="A283" s="174" t="s">
        <v>592</v>
      </c>
      <c r="B283" s="177" t="s">
        <v>402</v>
      </c>
      <c r="C283" s="178" t="str">
        <f>_xlfn.XLOOKUP(표8[[#This Row],[supplier_id]],표7[supplier_id],표7[supplier_name])</f>
        <v>SK지오센트릭</v>
      </c>
      <c r="D283" s="175">
        <v>100</v>
      </c>
      <c r="E283" s="179" t="s">
        <v>533</v>
      </c>
      <c r="F283" s="179" t="s">
        <v>535</v>
      </c>
      <c r="G283" t="s">
        <v>991</v>
      </c>
      <c r="H283">
        <v>2024</v>
      </c>
      <c r="J283" s="176">
        <f>_xlfn.XLOOKUP(표8[[#This Row],[location]],Location[location],Location[lat])</f>
        <v>35.445999999999998</v>
      </c>
      <c r="K283" s="176">
        <f>_xlfn.XLOOKUP(표8[[#This Row],[location]],Location[location],Location[lon])</f>
        <v>129.334</v>
      </c>
    </row>
    <row r="284" spans="1:11">
      <c r="A284" s="174" t="s">
        <v>596</v>
      </c>
      <c r="B284" s="3" t="s">
        <v>1025</v>
      </c>
      <c r="C284" s="178" t="str">
        <f>_xlfn.XLOOKUP(표8[[#This Row],[supplier_id]],표7[supplier_id],표7[supplier_name])</f>
        <v>롯데케미칼</v>
      </c>
      <c r="D284" s="175">
        <v>38</v>
      </c>
      <c r="E284" s="179" t="s">
        <v>533</v>
      </c>
      <c r="F284" s="179" t="s">
        <v>735</v>
      </c>
      <c r="G284" s="101" t="s">
        <v>3894</v>
      </c>
      <c r="H284">
        <v>2022</v>
      </c>
      <c r="J284" s="176">
        <f>_xlfn.XLOOKUP(표8[[#This Row],[location]],Location[location],Location[lat])</f>
        <v>36.99</v>
      </c>
      <c r="K284" s="176">
        <f>_xlfn.XLOOKUP(표8[[#This Row],[location]],Location[location],Location[lon])</f>
        <v>126.39</v>
      </c>
    </row>
    <row r="285" spans="1:11">
      <c r="A285" s="180" t="s">
        <v>597</v>
      </c>
      <c r="B285" s="3" t="s">
        <v>1025</v>
      </c>
      <c r="C285" s="178" t="str">
        <f>_xlfn.XLOOKUP(표8[[#This Row],[supplier_id]],표7[supplier_id],표7[supplier_name])</f>
        <v>롯데케미칼</v>
      </c>
      <c r="D285" s="181">
        <v>70</v>
      </c>
      <c r="E285" s="179" t="s">
        <v>533</v>
      </c>
      <c r="F285" s="179" t="s">
        <v>735</v>
      </c>
      <c r="G285" s="101" t="s">
        <v>3894</v>
      </c>
      <c r="H285">
        <v>2022</v>
      </c>
      <c r="J285" s="176">
        <f>_xlfn.XLOOKUP(표8[[#This Row],[location]],Location[location],Location[lat])</f>
        <v>36.99</v>
      </c>
      <c r="K285" s="176">
        <f>_xlfn.XLOOKUP(표8[[#This Row],[location]],Location[location],Location[lon])</f>
        <v>126.39</v>
      </c>
    </row>
    <row r="286" spans="1:11">
      <c r="A286" s="174" t="s">
        <v>994</v>
      </c>
      <c r="B286" s="3" t="s">
        <v>1025</v>
      </c>
      <c r="C286" s="178" t="str">
        <f>_xlfn.XLOOKUP(표8[[#This Row],[supplier_id]],표7[supplier_id],표7[supplier_name])</f>
        <v>롯데케미칼</v>
      </c>
      <c r="D286" s="175">
        <v>32</v>
      </c>
      <c r="E286" s="179" t="s">
        <v>533</v>
      </c>
      <c r="F286" s="179" t="s">
        <v>704</v>
      </c>
      <c r="G286" t="s">
        <v>991</v>
      </c>
      <c r="H286">
        <v>2023</v>
      </c>
      <c r="J286" s="176">
        <f>_xlfn.XLOOKUP(표8[[#This Row],[location]],Location[location],Location[lat])</f>
        <v>34.834000000000003</v>
      </c>
      <c r="K286" s="176">
        <f>_xlfn.XLOOKUP(표8[[#This Row],[location]],Location[location],Location[lon])</f>
        <v>127.68600000000001</v>
      </c>
    </row>
    <row r="287" spans="1:11">
      <c r="A287" s="174" t="s">
        <v>994</v>
      </c>
      <c r="B287" s="3" t="s">
        <v>1106</v>
      </c>
      <c r="C287" s="178" t="str">
        <f>_xlfn.XLOOKUP(표8[[#This Row],[supplier_id]],표7[supplier_id],표7[supplier_name])</f>
        <v>여천NCC</v>
      </c>
      <c r="D287" s="175">
        <v>38</v>
      </c>
      <c r="E287" s="179" t="s">
        <v>533</v>
      </c>
      <c r="F287" s="179" t="s">
        <v>704</v>
      </c>
      <c r="G287" t="s">
        <v>991</v>
      </c>
      <c r="H287">
        <v>2023</v>
      </c>
      <c r="J287" s="176">
        <f>_xlfn.XLOOKUP(표8[[#This Row],[location]],Location[location],Location[lat])</f>
        <v>34.834000000000003</v>
      </c>
      <c r="K287" s="176">
        <f>_xlfn.XLOOKUP(표8[[#This Row],[location]],Location[location],Location[lon])</f>
        <v>127.68600000000001</v>
      </c>
    </row>
    <row r="288" spans="1:11">
      <c r="A288" s="174" t="s">
        <v>1015</v>
      </c>
      <c r="B288" s="177" t="s">
        <v>694</v>
      </c>
      <c r="C288" s="178" t="str">
        <f>_xlfn.XLOOKUP(표8[[#This Row],[supplier_id]],표7[supplier_id],표7[supplier_name])</f>
        <v>롯데베르살리스엘라스토머스</v>
      </c>
      <c r="D288" s="175">
        <v>50</v>
      </c>
      <c r="E288" s="179" t="s">
        <v>533</v>
      </c>
      <c r="F288" s="179" t="s">
        <v>704</v>
      </c>
      <c r="G288" t="s">
        <v>991</v>
      </c>
      <c r="H288">
        <v>2023</v>
      </c>
      <c r="J288" s="176">
        <f>_xlfn.XLOOKUP(표8[[#This Row],[location]],Location[location],Location[lat])</f>
        <v>34.834000000000003</v>
      </c>
      <c r="K288" s="176">
        <f>_xlfn.XLOOKUP(표8[[#This Row],[location]],Location[location],Location[lon])</f>
        <v>127.68600000000001</v>
      </c>
    </row>
  </sheetData>
  <phoneticPr fontId="5" type="noConversion"/>
  <hyperlinks>
    <hyperlink ref="G135" r:id="rId1" xr:uid="{BE8F2494-1887-413B-AF70-28C01440C029}"/>
    <hyperlink ref="G284" r:id="rId2" xr:uid="{92839D2E-B58B-430E-8A39-C8140A332F78}"/>
    <hyperlink ref="G285" r:id="rId3" xr:uid="{96AFBE07-5F5D-48E5-86F7-5205688540DC}"/>
  </hyperlinks>
  <pageMargins left="0.7" right="0.7" top="0.75" bottom="0.75" header="0.3" footer="0.3"/>
  <pageSetup paperSize="9" orientation="portrait" verticalDpi="0" r:id="rId4"/>
  <headerFooter>
    <oddFooter>&amp;L_x000D_&amp;1#&amp;"Aptos"&amp;11&amp;K5F5F5F S-OIL: Company Use Only</oddFooter>
  </headerFooter>
  <tableParts count="1">
    <tablePart r:id="rId5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1EC43-1945-45E0-A8BA-D1EEBB8EC7B3}">
  <dimension ref="A1:D13"/>
  <sheetViews>
    <sheetView zoomScale="85" zoomScaleNormal="85" workbookViewId="0"/>
  </sheetViews>
  <sheetFormatPr defaultRowHeight="16.5"/>
  <cols>
    <col min="1" max="1" width="12.375" customWidth="1"/>
    <col min="2" max="3" width="12.125" customWidth="1"/>
    <col min="4" max="4" width="17.875" bestFit="1" customWidth="1"/>
  </cols>
  <sheetData>
    <row r="1" spans="1:4">
      <c r="A1" s="6" t="s">
        <v>534</v>
      </c>
      <c r="B1" s="5" t="s">
        <v>3916</v>
      </c>
      <c r="C1" s="6" t="s">
        <v>3917</v>
      </c>
      <c r="D1" s="105" t="s">
        <v>3918</v>
      </c>
    </row>
    <row r="2" spans="1:4">
      <c r="A2" s="1" t="s">
        <v>3910</v>
      </c>
      <c r="B2" s="104">
        <v>34.933999999999997</v>
      </c>
      <c r="C2" s="104">
        <v>127.756</v>
      </c>
      <c r="D2" t="s">
        <v>3920</v>
      </c>
    </row>
    <row r="3" spans="1:4">
      <c r="A3" s="1" t="s">
        <v>3909</v>
      </c>
      <c r="B3" s="104">
        <v>36.091000000000001</v>
      </c>
      <c r="C3" s="104">
        <v>128.37700000000001</v>
      </c>
      <c r="D3" t="s">
        <v>3919</v>
      </c>
    </row>
    <row r="4" spans="1:4">
      <c r="A4" s="1" t="s">
        <v>3908</v>
      </c>
      <c r="B4" s="104">
        <v>35.978999999999999</v>
      </c>
      <c r="C4" s="104">
        <v>126.66200000000001</v>
      </c>
      <c r="D4" t="s">
        <v>3923</v>
      </c>
    </row>
    <row r="5" spans="1:4">
      <c r="A5" s="1" t="s">
        <v>3913</v>
      </c>
      <c r="B5" s="104">
        <v>36.146999999999998</v>
      </c>
      <c r="C5" s="104">
        <v>128.12700000000001</v>
      </c>
      <c r="D5" t="s">
        <v>3924</v>
      </c>
    </row>
    <row r="6" spans="1:4">
      <c r="A6" s="1" t="s">
        <v>3914</v>
      </c>
      <c r="B6" s="104">
        <v>35.021999999999998</v>
      </c>
      <c r="C6" s="104">
        <v>126.72</v>
      </c>
      <c r="D6" t="s">
        <v>3925</v>
      </c>
    </row>
    <row r="7" spans="1:4">
      <c r="A7" s="1" t="s">
        <v>3906</v>
      </c>
      <c r="B7" s="104">
        <v>36.99</v>
      </c>
      <c r="C7" s="104">
        <v>126.39</v>
      </c>
      <c r="D7" t="s">
        <v>3921</v>
      </c>
    </row>
    <row r="8" spans="1:4">
      <c r="A8" t="s">
        <v>742</v>
      </c>
      <c r="B8" s="104">
        <v>35.094999999999999</v>
      </c>
      <c r="C8" s="104">
        <v>128.83600000000001</v>
      </c>
      <c r="D8" t="s">
        <v>3926</v>
      </c>
    </row>
    <row r="9" spans="1:4">
      <c r="A9" s="1" t="s">
        <v>3915</v>
      </c>
      <c r="B9" s="104">
        <v>37.302999999999997</v>
      </c>
      <c r="C9" s="104">
        <v>126.985</v>
      </c>
      <c r="D9" t="s">
        <v>3928</v>
      </c>
    </row>
    <row r="10" spans="1:4">
      <c r="A10" s="1" t="s">
        <v>3905</v>
      </c>
      <c r="B10" s="104">
        <v>34.834000000000003</v>
      </c>
      <c r="C10" s="104">
        <v>127.68600000000001</v>
      </c>
      <c r="D10" t="s">
        <v>3922</v>
      </c>
    </row>
    <row r="11" spans="1:4">
      <c r="A11" s="1" t="s">
        <v>3907</v>
      </c>
      <c r="B11" s="104">
        <v>35.445999999999998</v>
      </c>
      <c r="C11" s="104">
        <v>129.334</v>
      </c>
      <c r="D11" t="s">
        <v>409</v>
      </c>
    </row>
    <row r="12" spans="1:4">
      <c r="A12" s="28" t="s">
        <v>3912</v>
      </c>
      <c r="B12" s="104">
        <v>37.511000000000003</v>
      </c>
      <c r="C12" s="104">
        <v>126.66200000000001</v>
      </c>
      <c r="D12" t="s">
        <v>3930</v>
      </c>
    </row>
    <row r="13" spans="1:4">
      <c r="A13" s="28" t="s">
        <v>3911</v>
      </c>
      <c r="B13" s="106">
        <v>35.997999999999998</v>
      </c>
      <c r="C13" s="104">
        <v>129.40700000000001</v>
      </c>
      <c r="D13" t="s">
        <v>3931</v>
      </c>
    </row>
  </sheetData>
  <phoneticPr fontId="5" type="noConversion"/>
  <pageMargins left="0.7" right="0.7" top="0.75" bottom="0.75" header="0.3" footer="0.3"/>
  <pageSetup paperSize="9" orientation="portrait" verticalDpi="0" r:id="rId1"/>
  <headerFooter>
    <oddFooter>&amp;L_x000D_&amp;1#&amp;"Aptos"&amp;11&amp;K5F5F5F S-OIL: Company Use Only</oddFooter>
  </headerFooter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5E708-0352-441A-9D1E-171318E02E39}">
  <sheetPr codeName="Sheet17"/>
  <dimension ref="A1:E36"/>
  <sheetViews>
    <sheetView zoomScale="85" zoomScaleNormal="85" workbookViewId="0"/>
  </sheetViews>
  <sheetFormatPr defaultRowHeight="16.5"/>
  <cols>
    <col min="1" max="1" width="26.375" bestFit="1" customWidth="1"/>
    <col min="2" max="2" width="11.25" customWidth="1"/>
    <col min="3" max="3" width="12.25" customWidth="1"/>
    <col min="4" max="4" width="24" bestFit="1" customWidth="1"/>
    <col min="5" max="5" width="24" customWidth="1"/>
  </cols>
  <sheetData>
    <row r="1" spans="1:5">
      <c r="A1" s="6" t="s">
        <v>976</v>
      </c>
      <c r="B1" s="6" t="s">
        <v>912</v>
      </c>
      <c r="C1" s="6" t="s">
        <v>911</v>
      </c>
      <c r="D1" s="6" t="s">
        <v>910</v>
      </c>
      <c r="E1" s="6" t="s">
        <v>2</v>
      </c>
    </row>
    <row r="2" spans="1:5">
      <c r="A2" s="11" t="s">
        <v>7</v>
      </c>
      <c r="B2" s="11" t="s">
        <v>845</v>
      </c>
      <c r="C2" s="12">
        <v>46135</v>
      </c>
      <c r="D2" s="11" t="s">
        <v>846</v>
      </c>
      <c r="E2" s="11" t="s">
        <v>7</v>
      </c>
    </row>
    <row r="3" spans="1:5">
      <c r="A3" s="11" t="s">
        <v>120</v>
      </c>
      <c r="B3" s="11" t="s">
        <v>845</v>
      </c>
      <c r="C3" s="12">
        <v>46113</v>
      </c>
      <c r="D3" s="11" t="s">
        <v>847</v>
      </c>
      <c r="E3" s="11" t="s">
        <v>901</v>
      </c>
    </row>
    <row r="4" spans="1:5">
      <c r="A4" s="11" t="s">
        <v>21</v>
      </c>
      <c r="B4" s="11" t="s">
        <v>845</v>
      </c>
      <c r="C4" s="12">
        <v>46113</v>
      </c>
      <c r="D4" s="11" t="s">
        <v>847</v>
      </c>
      <c r="E4" s="11" t="s">
        <v>21</v>
      </c>
    </row>
    <row r="5" spans="1:5">
      <c r="A5" s="11" t="s">
        <v>848</v>
      </c>
      <c r="B5" s="11" t="s">
        <v>845</v>
      </c>
      <c r="C5" s="12">
        <v>46091</v>
      </c>
      <c r="D5" s="11" t="s">
        <v>849</v>
      </c>
      <c r="E5" s="11" t="s">
        <v>101</v>
      </c>
    </row>
    <row r="6" spans="1:5">
      <c r="A6" s="11" t="s">
        <v>850</v>
      </c>
      <c r="B6" s="11" t="s">
        <v>845</v>
      </c>
      <c r="C6" s="12">
        <v>46087</v>
      </c>
      <c r="D6" s="11" t="s">
        <v>851</v>
      </c>
      <c r="E6" s="11" t="s">
        <v>34</v>
      </c>
    </row>
    <row r="7" spans="1:5">
      <c r="A7" s="11" t="s">
        <v>852</v>
      </c>
      <c r="B7" s="11" t="s">
        <v>845</v>
      </c>
      <c r="C7" s="12">
        <v>46087</v>
      </c>
      <c r="D7" s="11" t="s">
        <v>853</v>
      </c>
      <c r="E7" s="11" t="s">
        <v>852</v>
      </c>
    </row>
    <row r="8" spans="1:5">
      <c r="A8" s="11" t="s">
        <v>90</v>
      </c>
      <c r="B8" s="11" t="s">
        <v>845</v>
      </c>
      <c r="C8" s="12">
        <v>46087</v>
      </c>
      <c r="D8" s="11" t="s">
        <v>854</v>
      </c>
      <c r="E8" s="11" t="s">
        <v>898</v>
      </c>
    </row>
    <row r="9" spans="1:5">
      <c r="A9" s="11" t="s">
        <v>855</v>
      </c>
      <c r="B9" s="11" t="s">
        <v>845</v>
      </c>
      <c r="C9" s="12">
        <v>46087</v>
      </c>
      <c r="D9" s="11" t="s">
        <v>856</v>
      </c>
      <c r="E9" s="11" t="s">
        <v>904</v>
      </c>
    </row>
    <row r="10" spans="1:5">
      <c r="A10" s="11" t="s">
        <v>857</v>
      </c>
      <c r="B10" s="11" t="s">
        <v>845</v>
      </c>
      <c r="C10" s="12">
        <v>46087</v>
      </c>
      <c r="D10" s="11" t="s">
        <v>858</v>
      </c>
      <c r="E10" s="11" t="s">
        <v>893</v>
      </c>
    </row>
    <row r="11" spans="1:5">
      <c r="A11" s="11" t="s">
        <v>95</v>
      </c>
      <c r="B11" s="11" t="s">
        <v>845</v>
      </c>
      <c r="C11" s="12">
        <v>46087</v>
      </c>
      <c r="D11" s="11" t="s">
        <v>859</v>
      </c>
      <c r="E11" s="11" t="s">
        <v>95</v>
      </c>
    </row>
    <row r="12" spans="1:5">
      <c r="A12" s="11" t="s">
        <v>860</v>
      </c>
      <c r="B12" s="11" t="s">
        <v>845</v>
      </c>
      <c r="C12" s="12">
        <v>46087</v>
      </c>
      <c r="D12" s="11" t="s">
        <v>858</v>
      </c>
      <c r="E12" s="11" t="s">
        <v>107</v>
      </c>
    </row>
    <row r="13" spans="1:5">
      <c r="A13" s="11" t="s">
        <v>9</v>
      </c>
      <c r="B13" s="11" t="s">
        <v>845</v>
      </c>
      <c r="C13" s="12">
        <v>46087</v>
      </c>
      <c r="D13" s="11" t="s">
        <v>858</v>
      </c>
      <c r="E13" s="11" t="s">
        <v>9</v>
      </c>
    </row>
    <row r="14" spans="1:5">
      <c r="A14" s="11" t="s">
        <v>861</v>
      </c>
      <c r="B14" s="11" t="s">
        <v>845</v>
      </c>
      <c r="C14" s="12">
        <v>46087</v>
      </c>
      <c r="D14" s="11" t="s">
        <v>862</v>
      </c>
      <c r="E14" s="11"/>
    </row>
    <row r="15" spans="1:5">
      <c r="A15" s="11" t="s">
        <v>863</v>
      </c>
      <c r="B15" s="11" t="s">
        <v>845</v>
      </c>
      <c r="C15" s="12">
        <v>46087</v>
      </c>
      <c r="D15" s="11" t="s">
        <v>864</v>
      </c>
      <c r="E15" s="11" t="s">
        <v>894</v>
      </c>
    </row>
    <row r="16" spans="1:5">
      <c r="A16" s="11" t="s">
        <v>865</v>
      </c>
      <c r="B16" s="11" t="s">
        <v>845</v>
      </c>
      <c r="C16" s="12">
        <v>46087</v>
      </c>
      <c r="D16" s="11" t="s">
        <v>866</v>
      </c>
      <c r="E16" s="11" t="s">
        <v>5</v>
      </c>
    </row>
    <row r="17" spans="1:5">
      <c r="A17" s="11" t="s">
        <v>867</v>
      </c>
      <c r="B17" s="11" t="s">
        <v>845</v>
      </c>
      <c r="C17" s="12">
        <v>46087</v>
      </c>
      <c r="D17" s="11" t="s">
        <v>858</v>
      </c>
      <c r="E17" s="11" t="s">
        <v>108</v>
      </c>
    </row>
    <row r="18" spans="1:5">
      <c r="A18" s="11" t="s">
        <v>868</v>
      </c>
      <c r="B18" s="11" t="s">
        <v>845</v>
      </c>
      <c r="C18" s="12">
        <v>46087</v>
      </c>
      <c r="D18" s="11" t="s">
        <v>858</v>
      </c>
      <c r="E18" s="11" t="s">
        <v>907</v>
      </c>
    </row>
    <row r="19" spans="1:5">
      <c r="A19" s="11" t="s">
        <v>25</v>
      </c>
      <c r="B19" s="11" t="s">
        <v>845</v>
      </c>
      <c r="C19" s="12">
        <v>46087</v>
      </c>
      <c r="D19" s="11" t="s">
        <v>858</v>
      </c>
      <c r="E19" s="11" t="s">
        <v>25</v>
      </c>
    </row>
    <row r="20" spans="1:5">
      <c r="A20" s="11" t="s">
        <v>5</v>
      </c>
      <c r="B20" s="11" t="s">
        <v>845</v>
      </c>
      <c r="C20" s="12">
        <v>46087</v>
      </c>
      <c r="D20" s="11" t="s">
        <v>869</v>
      </c>
      <c r="E20" s="11" t="s">
        <v>5</v>
      </c>
    </row>
    <row r="21" spans="1:5">
      <c r="A21" s="11" t="s">
        <v>870</v>
      </c>
      <c r="B21" s="11" t="s">
        <v>845</v>
      </c>
      <c r="C21" s="12">
        <v>46087</v>
      </c>
      <c r="D21" s="11" t="s">
        <v>871</v>
      </c>
      <c r="E21" s="11" t="s">
        <v>896</v>
      </c>
    </row>
    <row r="22" spans="1:5">
      <c r="A22" s="11" t="s">
        <v>872</v>
      </c>
      <c r="B22" s="11" t="s">
        <v>845</v>
      </c>
      <c r="C22" s="12">
        <v>46087</v>
      </c>
      <c r="D22" s="11" t="s">
        <v>858</v>
      </c>
      <c r="E22" s="11" t="s">
        <v>900</v>
      </c>
    </row>
    <row r="23" spans="1:5">
      <c r="A23" s="11" t="s">
        <v>873</v>
      </c>
      <c r="B23" s="11" t="s">
        <v>845</v>
      </c>
      <c r="C23" s="12">
        <v>46087</v>
      </c>
      <c r="D23" s="11" t="s">
        <v>874</v>
      </c>
      <c r="E23" s="11" t="s">
        <v>899</v>
      </c>
    </row>
    <row r="24" spans="1:5">
      <c r="A24" s="11" t="s">
        <v>23</v>
      </c>
      <c r="B24" s="11" t="s">
        <v>845</v>
      </c>
      <c r="C24" s="12">
        <v>46087</v>
      </c>
      <c r="D24" s="11" t="s">
        <v>875</v>
      </c>
      <c r="E24" s="11" t="s">
        <v>900</v>
      </c>
    </row>
    <row r="25" spans="1:5">
      <c r="A25" s="11" t="s">
        <v>876</v>
      </c>
      <c r="B25" s="11" t="s">
        <v>845</v>
      </c>
      <c r="C25" s="12">
        <v>46087</v>
      </c>
      <c r="D25" s="11" t="s">
        <v>877</v>
      </c>
      <c r="E25" s="11" t="s">
        <v>892</v>
      </c>
    </row>
    <row r="26" spans="1:5">
      <c r="A26" s="11" t="s">
        <v>19</v>
      </c>
      <c r="B26" s="11" t="s">
        <v>845</v>
      </c>
      <c r="C26" s="12">
        <v>46087</v>
      </c>
      <c r="D26" s="11" t="s">
        <v>878</v>
      </c>
      <c r="E26" s="11" t="s">
        <v>19</v>
      </c>
    </row>
    <row r="27" spans="1:5">
      <c r="A27" s="11" t="s">
        <v>879</v>
      </c>
      <c r="B27" s="11" t="s">
        <v>845</v>
      </c>
      <c r="C27" s="12">
        <v>46087</v>
      </c>
      <c r="D27" s="11" t="s">
        <v>858</v>
      </c>
      <c r="E27" s="11" t="s">
        <v>895</v>
      </c>
    </row>
    <row r="28" spans="1:5">
      <c r="A28" s="11" t="s">
        <v>880</v>
      </c>
      <c r="B28" s="11" t="s">
        <v>845</v>
      </c>
      <c r="C28" s="12">
        <v>46087</v>
      </c>
      <c r="D28" s="11" t="s">
        <v>881</v>
      </c>
      <c r="E28" s="11" t="s">
        <v>905</v>
      </c>
    </row>
    <row r="29" spans="1:5">
      <c r="A29" s="11" t="s">
        <v>882</v>
      </c>
      <c r="B29" s="11" t="s">
        <v>845</v>
      </c>
      <c r="C29" s="12">
        <v>46087</v>
      </c>
      <c r="D29" s="11" t="s">
        <v>858</v>
      </c>
      <c r="E29" s="11" t="s">
        <v>903</v>
      </c>
    </row>
    <row r="30" spans="1:5">
      <c r="A30" s="11" t="s">
        <v>100</v>
      </c>
      <c r="B30" s="11" t="s">
        <v>845</v>
      </c>
      <c r="C30" s="12">
        <v>46087</v>
      </c>
      <c r="D30" s="11" t="s">
        <v>858</v>
      </c>
      <c r="E30" s="11" t="s">
        <v>897</v>
      </c>
    </row>
    <row r="31" spans="1:5">
      <c r="A31" s="11" t="s">
        <v>883</v>
      </c>
      <c r="B31" s="11" t="s">
        <v>845</v>
      </c>
      <c r="C31" s="12">
        <v>46087</v>
      </c>
      <c r="D31" s="11" t="s">
        <v>858</v>
      </c>
      <c r="E31" s="11" t="s">
        <v>906</v>
      </c>
    </row>
    <row r="32" spans="1:5">
      <c r="A32" s="11" t="s">
        <v>884</v>
      </c>
      <c r="B32" s="11" t="s">
        <v>845</v>
      </c>
      <c r="C32" s="12">
        <v>46087</v>
      </c>
      <c r="D32" s="11" t="s">
        <v>885</v>
      </c>
      <c r="E32" s="11" t="s">
        <v>908</v>
      </c>
    </row>
    <row r="33" spans="1:5">
      <c r="A33" s="11" t="s">
        <v>886</v>
      </c>
      <c r="B33" s="11" t="s">
        <v>845</v>
      </c>
      <c r="C33" s="12">
        <v>46087</v>
      </c>
      <c r="D33" s="11" t="s">
        <v>858</v>
      </c>
      <c r="E33" s="11" t="s">
        <v>886</v>
      </c>
    </row>
    <row r="34" spans="1:5">
      <c r="A34" s="11" t="s">
        <v>887</v>
      </c>
      <c r="B34" s="11" t="s">
        <v>845</v>
      </c>
      <c r="C34" s="12">
        <v>46087</v>
      </c>
      <c r="D34" s="11" t="s">
        <v>888</v>
      </c>
      <c r="E34" s="11" t="s">
        <v>887</v>
      </c>
    </row>
    <row r="35" spans="1:5">
      <c r="A35" s="11" t="s">
        <v>28</v>
      </c>
      <c r="B35" s="11" t="s">
        <v>845</v>
      </c>
      <c r="C35" s="12">
        <v>46087</v>
      </c>
      <c r="D35" s="11" t="s">
        <v>889</v>
      </c>
      <c r="E35" s="11" t="s">
        <v>28</v>
      </c>
    </row>
    <row r="36" spans="1:5">
      <c r="A36" s="11" t="s">
        <v>121</v>
      </c>
      <c r="B36" s="11" t="s">
        <v>845</v>
      </c>
      <c r="C36" s="12">
        <v>45749</v>
      </c>
      <c r="D36" s="11" t="s">
        <v>890</v>
      </c>
      <c r="E36" s="11" t="s">
        <v>902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A3307-EEE0-4DB0-963A-6AD9882C56C1}">
  <sheetPr codeName="Sheet18"/>
  <dimension ref="A1:D116"/>
  <sheetViews>
    <sheetView topLeftCell="A84" zoomScale="85" zoomScaleNormal="85" workbookViewId="0">
      <selection activeCell="A116" sqref="A116"/>
    </sheetView>
  </sheetViews>
  <sheetFormatPr defaultRowHeight="16.5"/>
  <cols>
    <col min="1" max="1" width="59.375" customWidth="1"/>
    <col min="2" max="2" width="18.875" bestFit="1" customWidth="1"/>
    <col min="3" max="3" width="12.25" customWidth="1"/>
    <col min="4" max="4" width="24" bestFit="1" customWidth="1"/>
    <col min="5" max="6" width="24" customWidth="1"/>
  </cols>
  <sheetData>
    <row r="1" spans="1:4">
      <c r="A1" s="12" t="s">
        <v>964</v>
      </c>
      <c r="B1" s="12" t="s">
        <v>965</v>
      </c>
      <c r="C1" s="12" t="s">
        <v>961</v>
      </c>
      <c r="D1" s="6" t="s">
        <v>2</v>
      </c>
    </row>
    <row r="2" spans="1:4">
      <c r="A2" s="13" t="s">
        <v>992</v>
      </c>
      <c r="B2" s="13" t="s">
        <v>979</v>
      </c>
      <c r="C2" s="14">
        <v>2023</v>
      </c>
      <c r="D2" s="13" t="s">
        <v>992</v>
      </c>
    </row>
    <row r="3" spans="1:4">
      <c r="A3" s="14" t="s">
        <v>882</v>
      </c>
      <c r="B3" s="14" t="s">
        <v>913</v>
      </c>
      <c r="C3" s="14">
        <v>2025</v>
      </c>
      <c r="D3" s="13" t="s">
        <v>903</v>
      </c>
    </row>
    <row r="4" spans="1:4">
      <c r="A4" s="14" t="s">
        <v>96</v>
      </c>
      <c r="B4" s="14" t="s">
        <v>913</v>
      </c>
      <c r="C4" s="14">
        <v>2025</v>
      </c>
      <c r="D4" s="13" t="s">
        <v>96</v>
      </c>
    </row>
    <row r="5" spans="1:4">
      <c r="A5" s="13" t="s">
        <v>1029</v>
      </c>
      <c r="B5" s="13" t="s">
        <v>979</v>
      </c>
      <c r="C5" s="14">
        <v>2023</v>
      </c>
      <c r="D5" s="13" t="s">
        <v>1030</v>
      </c>
    </row>
    <row r="6" spans="1:4">
      <c r="A6" s="13" t="s">
        <v>1029</v>
      </c>
      <c r="B6" s="13" t="s">
        <v>979</v>
      </c>
      <c r="C6" s="14">
        <v>2023</v>
      </c>
      <c r="D6" s="13" t="s">
        <v>1032</v>
      </c>
    </row>
    <row r="7" spans="1:4">
      <c r="A7" s="14" t="s">
        <v>100</v>
      </c>
      <c r="B7" s="14" t="s">
        <v>913</v>
      </c>
      <c r="C7" s="14">
        <v>2025</v>
      </c>
      <c r="D7" s="13" t="s">
        <v>897</v>
      </c>
    </row>
    <row r="8" spans="1:4">
      <c r="A8" s="14" t="s">
        <v>914</v>
      </c>
      <c r="B8" s="14" t="s">
        <v>913</v>
      </c>
      <c r="C8" s="14">
        <v>2026</v>
      </c>
      <c r="D8" s="13" t="s">
        <v>101</v>
      </c>
    </row>
    <row r="9" spans="1:4">
      <c r="A9" s="14" t="s">
        <v>915</v>
      </c>
      <c r="B9" s="14" t="s">
        <v>913</v>
      </c>
      <c r="C9" s="14">
        <v>2025</v>
      </c>
      <c r="D9" s="13" t="s">
        <v>915</v>
      </c>
    </row>
    <row r="10" spans="1:4" ht="18">
      <c r="A10" s="14" t="s">
        <v>962</v>
      </c>
      <c r="B10" s="14" t="s">
        <v>913</v>
      </c>
      <c r="C10" s="14">
        <v>2024</v>
      </c>
      <c r="D10" s="13" t="s">
        <v>989</v>
      </c>
    </row>
    <row r="11" spans="1:4" ht="18">
      <c r="A11" s="14" t="s">
        <v>963</v>
      </c>
      <c r="B11" s="14" t="s">
        <v>974</v>
      </c>
      <c r="C11" s="14">
        <v>2024</v>
      </c>
      <c r="D11" s="13"/>
    </row>
    <row r="12" spans="1:4">
      <c r="A12" s="13" t="s">
        <v>987</v>
      </c>
      <c r="B12" s="14" t="s">
        <v>913</v>
      </c>
      <c r="C12" s="14">
        <v>2024</v>
      </c>
      <c r="D12" s="13" t="s">
        <v>37</v>
      </c>
    </row>
    <row r="13" spans="1:4">
      <c r="A13" s="14" t="s">
        <v>985</v>
      </c>
      <c r="B13" s="14" t="s">
        <v>913</v>
      </c>
      <c r="C13" s="14">
        <v>2024</v>
      </c>
      <c r="D13" s="13" t="s">
        <v>966</v>
      </c>
    </row>
    <row r="14" spans="1:4">
      <c r="A14" s="14" t="s">
        <v>9</v>
      </c>
      <c r="B14" s="14" t="s">
        <v>913</v>
      </c>
      <c r="C14" s="14">
        <v>2026</v>
      </c>
      <c r="D14" s="13" t="s">
        <v>9</v>
      </c>
    </row>
    <row r="15" spans="1:4">
      <c r="A15" s="14" t="s">
        <v>120</v>
      </c>
      <c r="B15" s="14" t="s">
        <v>913</v>
      </c>
      <c r="C15" s="14">
        <v>2025</v>
      </c>
      <c r="D15" s="13" t="s">
        <v>901</v>
      </c>
    </row>
    <row r="16" spans="1:4">
      <c r="A16" s="14" t="s">
        <v>25</v>
      </c>
      <c r="B16" s="14" t="s">
        <v>913</v>
      </c>
      <c r="C16" s="14">
        <v>2025</v>
      </c>
      <c r="D16" s="13" t="s">
        <v>25</v>
      </c>
    </row>
    <row r="17" spans="1:4">
      <c r="A17" s="14" t="s">
        <v>916</v>
      </c>
      <c r="B17" s="14" t="s">
        <v>913</v>
      </c>
      <c r="C17" s="14">
        <v>2025</v>
      </c>
      <c r="D17" s="13" t="s">
        <v>113</v>
      </c>
    </row>
    <row r="18" spans="1:4">
      <c r="A18" s="13" t="s">
        <v>1099</v>
      </c>
      <c r="B18" s="13" t="s">
        <v>979</v>
      </c>
      <c r="C18" s="14">
        <v>2024</v>
      </c>
      <c r="D18" s="13" t="s">
        <v>1100</v>
      </c>
    </row>
    <row r="19" spans="1:4">
      <c r="A19" s="13" t="s">
        <v>1099</v>
      </c>
      <c r="B19" s="13" t="s">
        <v>979</v>
      </c>
      <c r="C19" s="14">
        <v>2024</v>
      </c>
      <c r="D19" s="13" t="s">
        <v>110</v>
      </c>
    </row>
    <row r="20" spans="1:4">
      <c r="A20" s="13" t="s">
        <v>1099</v>
      </c>
      <c r="B20" s="13" t="s">
        <v>979</v>
      </c>
      <c r="C20" s="14">
        <v>2024</v>
      </c>
      <c r="D20" s="13" t="s">
        <v>115</v>
      </c>
    </row>
    <row r="21" spans="1:4">
      <c r="A21" s="13" t="s">
        <v>1099</v>
      </c>
      <c r="B21" s="13" t="s">
        <v>979</v>
      </c>
      <c r="C21" s="14">
        <v>2024</v>
      </c>
      <c r="D21" s="13" t="s">
        <v>1016</v>
      </c>
    </row>
    <row r="22" spans="1:4">
      <c r="A22" s="13" t="s">
        <v>1099</v>
      </c>
      <c r="B22" s="13" t="s">
        <v>979</v>
      </c>
      <c r="C22" s="14">
        <v>2024</v>
      </c>
      <c r="D22" s="13" t="s">
        <v>1101</v>
      </c>
    </row>
    <row r="23" spans="1:4">
      <c r="A23" s="13" t="s">
        <v>1099</v>
      </c>
      <c r="B23" s="13" t="s">
        <v>979</v>
      </c>
      <c r="C23" s="14">
        <v>2024</v>
      </c>
      <c r="D23" s="13" t="s">
        <v>1102</v>
      </c>
    </row>
    <row r="24" spans="1:4">
      <c r="A24" s="13" t="s">
        <v>1099</v>
      </c>
      <c r="B24" s="13" t="s">
        <v>979</v>
      </c>
      <c r="C24" s="14">
        <v>2024</v>
      </c>
      <c r="D24" s="13" t="s">
        <v>1103</v>
      </c>
    </row>
    <row r="25" spans="1:4">
      <c r="A25" s="13" t="s">
        <v>1099</v>
      </c>
      <c r="B25" s="13" t="s">
        <v>979</v>
      </c>
      <c r="C25" s="14">
        <v>2024</v>
      </c>
      <c r="D25" s="13" t="s">
        <v>1104</v>
      </c>
    </row>
    <row r="26" spans="1:4">
      <c r="A26" s="14" t="s">
        <v>917</v>
      </c>
      <c r="B26" s="14" t="s">
        <v>913</v>
      </c>
      <c r="C26" s="14">
        <v>2025</v>
      </c>
      <c r="D26" s="13" t="s">
        <v>917</v>
      </c>
    </row>
    <row r="27" spans="1:4">
      <c r="A27" s="14" t="s">
        <v>918</v>
      </c>
      <c r="B27" s="14" t="s">
        <v>974</v>
      </c>
      <c r="C27" s="14">
        <v>2025</v>
      </c>
      <c r="D27" s="13"/>
    </row>
    <row r="28" spans="1:4">
      <c r="A28" s="13" t="s">
        <v>3828</v>
      </c>
      <c r="B28" s="13" t="s">
        <v>979</v>
      </c>
      <c r="C28" s="14">
        <v>2024</v>
      </c>
      <c r="D28" s="13" t="s">
        <v>3828</v>
      </c>
    </row>
    <row r="29" spans="1:4">
      <c r="A29" s="14" t="s">
        <v>28</v>
      </c>
      <c r="B29" s="14" t="s">
        <v>913</v>
      </c>
      <c r="C29" s="14">
        <v>2025</v>
      </c>
      <c r="D29" s="13" t="s">
        <v>28</v>
      </c>
    </row>
    <row r="30" spans="1:4">
      <c r="A30" s="14" t="s">
        <v>119</v>
      </c>
      <c r="B30" s="14" t="s">
        <v>913</v>
      </c>
      <c r="C30" s="14">
        <v>2025</v>
      </c>
      <c r="D30" s="13" t="s">
        <v>119</v>
      </c>
    </row>
    <row r="31" spans="1:4">
      <c r="A31" s="14" t="s">
        <v>919</v>
      </c>
      <c r="B31" s="14" t="s">
        <v>913</v>
      </c>
      <c r="C31" s="14">
        <v>2025</v>
      </c>
      <c r="D31" s="13" t="s">
        <v>967</v>
      </c>
    </row>
    <row r="32" spans="1:4">
      <c r="A32" t="s">
        <v>1125</v>
      </c>
      <c r="B32" s="13" t="s">
        <v>979</v>
      </c>
      <c r="C32" s="14">
        <v>2022</v>
      </c>
      <c r="D32" s="13" t="s">
        <v>1005</v>
      </c>
    </row>
    <row r="33" spans="1:4">
      <c r="A33" s="14" t="s">
        <v>920</v>
      </c>
      <c r="B33" s="14" t="s">
        <v>974</v>
      </c>
      <c r="C33" s="14">
        <v>2025</v>
      </c>
      <c r="D33" s="13"/>
    </row>
    <row r="34" spans="1:4">
      <c r="A34" s="13" t="s">
        <v>1123</v>
      </c>
      <c r="B34" s="13" t="s">
        <v>979</v>
      </c>
      <c r="C34" s="14">
        <v>2025</v>
      </c>
      <c r="D34" s="13" t="s">
        <v>627</v>
      </c>
    </row>
    <row r="35" spans="1:4">
      <c r="A35" s="13" t="s">
        <v>1123</v>
      </c>
      <c r="B35" s="13" t="s">
        <v>979</v>
      </c>
      <c r="C35" s="14">
        <v>2025</v>
      </c>
      <c r="D35" s="13" t="s">
        <v>628</v>
      </c>
    </row>
    <row r="36" spans="1:4">
      <c r="A36" s="14" t="s">
        <v>983</v>
      </c>
      <c r="B36" s="14" t="s">
        <v>913</v>
      </c>
      <c r="C36" s="14">
        <v>2025</v>
      </c>
      <c r="D36" s="13" t="s">
        <v>907</v>
      </c>
    </row>
    <row r="37" spans="1:4">
      <c r="A37" s="14" t="s">
        <v>921</v>
      </c>
      <c r="B37" s="14" t="s">
        <v>913</v>
      </c>
      <c r="C37" s="14">
        <v>2025</v>
      </c>
      <c r="D37" s="13" t="s">
        <v>495</v>
      </c>
    </row>
    <row r="38" spans="1:4">
      <c r="A38" s="14" t="s">
        <v>922</v>
      </c>
      <c r="B38" s="14" t="s">
        <v>974</v>
      </c>
      <c r="C38" s="14">
        <v>2024</v>
      </c>
      <c r="D38" s="13"/>
    </row>
    <row r="39" spans="1:4">
      <c r="A39" s="14" t="s">
        <v>923</v>
      </c>
      <c r="B39" s="14" t="s">
        <v>974</v>
      </c>
      <c r="C39" s="14">
        <v>2025</v>
      </c>
      <c r="D39" s="13"/>
    </row>
    <row r="40" spans="1:4">
      <c r="A40" s="14" t="s">
        <v>924</v>
      </c>
      <c r="B40" s="14" t="s">
        <v>974</v>
      </c>
      <c r="C40" s="14">
        <v>2024</v>
      </c>
      <c r="D40" s="13"/>
    </row>
    <row r="41" spans="1:4">
      <c r="A41" s="14" t="s">
        <v>925</v>
      </c>
      <c r="B41" s="14" t="s">
        <v>913</v>
      </c>
      <c r="C41" s="14">
        <v>2024</v>
      </c>
      <c r="D41" s="13" t="s">
        <v>122</v>
      </c>
    </row>
    <row r="42" spans="1:4">
      <c r="A42" s="14" t="s">
        <v>926</v>
      </c>
      <c r="B42" s="14" t="s">
        <v>974</v>
      </c>
      <c r="C42" s="14">
        <v>2024</v>
      </c>
      <c r="D42" s="13"/>
    </row>
    <row r="43" spans="1:4">
      <c r="A43" s="14" t="s">
        <v>36</v>
      </c>
      <c r="B43" s="14" t="s">
        <v>913</v>
      </c>
      <c r="C43" s="14">
        <v>2024</v>
      </c>
      <c r="D43" s="13" t="s">
        <v>36</v>
      </c>
    </row>
    <row r="44" spans="1:4">
      <c r="A44" s="14" t="s">
        <v>39</v>
      </c>
      <c r="B44" s="14" t="s">
        <v>913</v>
      </c>
      <c r="C44" s="14">
        <v>2024</v>
      </c>
      <c r="D44" s="13" t="s">
        <v>39</v>
      </c>
    </row>
    <row r="45" spans="1:4">
      <c r="A45" s="14" t="s">
        <v>39</v>
      </c>
      <c r="B45" s="14" t="s">
        <v>913</v>
      </c>
      <c r="C45" s="14">
        <v>2024</v>
      </c>
      <c r="D45" s="13" t="s">
        <v>1107</v>
      </c>
    </row>
    <row r="46" spans="1:4">
      <c r="A46" s="14" t="s">
        <v>39</v>
      </c>
      <c r="B46" s="14" t="s">
        <v>913</v>
      </c>
      <c r="C46" s="14">
        <v>2024</v>
      </c>
      <c r="D46" s="13" t="s">
        <v>1108</v>
      </c>
    </row>
    <row r="47" spans="1:4">
      <c r="A47" s="14" t="s">
        <v>39</v>
      </c>
      <c r="B47" s="14" t="s">
        <v>913</v>
      </c>
      <c r="C47" s="14">
        <v>2024</v>
      </c>
      <c r="D47" s="13" t="s">
        <v>1109</v>
      </c>
    </row>
    <row r="48" spans="1:4">
      <c r="A48" s="14" t="s">
        <v>927</v>
      </c>
      <c r="B48" s="14" t="s">
        <v>974</v>
      </c>
      <c r="C48" s="14">
        <v>2024</v>
      </c>
      <c r="D48" s="13"/>
    </row>
    <row r="49" spans="1:4">
      <c r="A49" s="14" t="s">
        <v>19</v>
      </c>
      <c r="B49" s="14" t="s">
        <v>913</v>
      </c>
      <c r="C49" s="14">
        <v>2025</v>
      </c>
      <c r="D49" s="13" t="s">
        <v>19</v>
      </c>
    </row>
    <row r="50" spans="1:4">
      <c r="A50" s="14" t="s">
        <v>5</v>
      </c>
      <c r="B50" s="14" t="s">
        <v>913</v>
      </c>
      <c r="C50" s="14">
        <v>2025</v>
      </c>
      <c r="D50" s="13" t="s">
        <v>5</v>
      </c>
    </row>
    <row r="51" spans="1:4">
      <c r="A51" s="14" t="s">
        <v>876</v>
      </c>
      <c r="B51" s="14" t="s">
        <v>913</v>
      </c>
      <c r="C51" s="14">
        <v>2025</v>
      </c>
      <c r="D51" s="13" t="s">
        <v>892</v>
      </c>
    </row>
    <row r="52" spans="1:4">
      <c r="A52" s="14" t="s">
        <v>928</v>
      </c>
      <c r="B52" s="14" t="s">
        <v>913</v>
      </c>
      <c r="C52" s="14">
        <v>2026</v>
      </c>
      <c r="D52" s="13" t="s">
        <v>895</v>
      </c>
    </row>
    <row r="53" spans="1:4">
      <c r="A53" s="14" t="s">
        <v>929</v>
      </c>
      <c r="B53" s="14" t="s">
        <v>913</v>
      </c>
      <c r="C53" s="14">
        <v>2025</v>
      </c>
      <c r="D53" s="13" t="s">
        <v>894</v>
      </c>
    </row>
    <row r="54" spans="1:4">
      <c r="A54" s="13" t="s">
        <v>1126</v>
      </c>
      <c r="B54" s="13" t="s">
        <v>979</v>
      </c>
      <c r="C54" s="14">
        <v>2021</v>
      </c>
      <c r="D54" s="13" t="s">
        <v>720</v>
      </c>
    </row>
    <row r="55" spans="1:4">
      <c r="A55" s="14" t="s">
        <v>930</v>
      </c>
      <c r="B55" s="14" t="s">
        <v>913</v>
      </c>
      <c r="C55" s="14">
        <v>2026</v>
      </c>
      <c r="D55" s="13" t="s">
        <v>968</v>
      </c>
    </row>
    <row r="56" spans="1:4">
      <c r="A56" s="14" t="s">
        <v>931</v>
      </c>
      <c r="B56" s="14" t="s">
        <v>913</v>
      </c>
      <c r="C56" s="14">
        <v>2025</v>
      </c>
      <c r="D56" s="13" t="s">
        <v>900</v>
      </c>
    </row>
    <row r="57" spans="1:4">
      <c r="A57" s="15" t="s">
        <v>886</v>
      </c>
      <c r="B57" s="15" t="s">
        <v>913</v>
      </c>
      <c r="C57" s="14">
        <v>2024</v>
      </c>
      <c r="D57" s="13" t="s">
        <v>886</v>
      </c>
    </row>
    <row r="58" spans="1:4">
      <c r="A58" s="15" t="s">
        <v>932</v>
      </c>
      <c r="B58" s="15" t="s">
        <v>913</v>
      </c>
      <c r="C58" s="14">
        <v>2025</v>
      </c>
      <c r="D58" s="13" t="s">
        <v>969</v>
      </c>
    </row>
    <row r="59" spans="1:4">
      <c r="A59" s="15" t="s">
        <v>932</v>
      </c>
      <c r="B59" s="15" t="s">
        <v>913</v>
      </c>
      <c r="C59" s="14">
        <v>2025</v>
      </c>
      <c r="D59" s="13" t="s">
        <v>493</v>
      </c>
    </row>
    <row r="60" spans="1:4">
      <c r="A60" s="15" t="s">
        <v>1001</v>
      </c>
      <c r="B60" s="13" t="s">
        <v>979</v>
      </c>
      <c r="C60" s="14">
        <v>2023</v>
      </c>
      <c r="D60" s="13" t="s">
        <v>1001</v>
      </c>
    </row>
    <row r="61" spans="1:4">
      <c r="A61" s="15" t="s">
        <v>933</v>
      </c>
      <c r="B61" s="15" t="s">
        <v>913</v>
      </c>
      <c r="C61" s="14">
        <v>2024</v>
      </c>
      <c r="D61" s="13" t="s">
        <v>970</v>
      </c>
    </row>
    <row r="62" spans="1:4">
      <c r="A62" s="13" t="s">
        <v>3933</v>
      </c>
      <c r="B62" s="13" t="s">
        <v>979</v>
      </c>
      <c r="C62" s="14">
        <v>2026</v>
      </c>
      <c r="D62" s="13" t="s">
        <v>548</v>
      </c>
    </row>
    <row r="63" spans="1:4">
      <c r="A63" s="15" t="s">
        <v>934</v>
      </c>
      <c r="B63" s="15" t="s">
        <v>913</v>
      </c>
      <c r="C63" s="14">
        <v>2025</v>
      </c>
      <c r="D63" s="13" t="s">
        <v>971</v>
      </c>
    </row>
    <row r="64" spans="1:4">
      <c r="A64" s="15" t="s">
        <v>852</v>
      </c>
      <c r="B64" s="15" t="s">
        <v>913</v>
      </c>
      <c r="C64" s="14">
        <v>2026</v>
      </c>
      <c r="D64" s="13" t="s">
        <v>852</v>
      </c>
    </row>
    <row r="65" spans="1:4">
      <c r="A65" s="13" t="s">
        <v>4543</v>
      </c>
      <c r="B65" s="13" t="s">
        <v>979</v>
      </c>
      <c r="C65" s="14">
        <v>2023</v>
      </c>
      <c r="D65" s="13" t="s">
        <v>580</v>
      </c>
    </row>
    <row r="66" spans="1:4">
      <c r="A66" s="15" t="s">
        <v>935</v>
      </c>
      <c r="B66" s="15" t="s">
        <v>913</v>
      </c>
      <c r="C66" s="14">
        <v>2025</v>
      </c>
      <c r="D66" s="13" t="s">
        <v>111</v>
      </c>
    </row>
    <row r="67" spans="1:4">
      <c r="A67" s="15" t="s">
        <v>855</v>
      </c>
      <c r="B67" s="15" t="s">
        <v>913</v>
      </c>
      <c r="C67" s="14">
        <v>2025</v>
      </c>
      <c r="D67" s="13" t="s">
        <v>904</v>
      </c>
    </row>
    <row r="68" spans="1:4">
      <c r="A68" s="13" t="s">
        <v>1116</v>
      </c>
      <c r="B68" s="15" t="s">
        <v>913</v>
      </c>
      <c r="C68" s="14">
        <v>2022</v>
      </c>
      <c r="D68" s="13" t="s">
        <v>1115</v>
      </c>
    </row>
    <row r="69" spans="1:4">
      <c r="A69" s="15" t="s">
        <v>936</v>
      </c>
      <c r="B69" s="15" t="s">
        <v>913</v>
      </c>
      <c r="C69" s="14">
        <v>2024</v>
      </c>
      <c r="D69" s="13" t="s">
        <v>118</v>
      </c>
    </row>
    <row r="70" spans="1:4">
      <c r="A70" s="15" t="s">
        <v>937</v>
      </c>
      <c r="B70" s="15" t="s">
        <v>913</v>
      </c>
      <c r="C70" s="14">
        <v>2024</v>
      </c>
      <c r="D70" s="13" t="s">
        <v>972</v>
      </c>
    </row>
    <row r="71" spans="1:4">
      <c r="A71" s="15" t="s">
        <v>938</v>
      </c>
      <c r="B71" s="13" t="s">
        <v>979</v>
      </c>
      <c r="C71" s="14">
        <v>2024</v>
      </c>
      <c r="D71" s="13" t="s">
        <v>1094</v>
      </c>
    </row>
    <row r="72" spans="1:4">
      <c r="A72" s="15" t="s">
        <v>938</v>
      </c>
      <c r="B72" s="13" t="s">
        <v>979</v>
      </c>
      <c r="C72" s="14">
        <v>2024</v>
      </c>
      <c r="D72" s="13" t="s">
        <v>1036</v>
      </c>
    </row>
    <row r="73" spans="1:4">
      <c r="A73" s="15" t="s">
        <v>938</v>
      </c>
      <c r="B73" s="13" t="s">
        <v>979</v>
      </c>
      <c r="C73" s="14">
        <v>2024</v>
      </c>
      <c r="D73" s="13" t="s">
        <v>1095</v>
      </c>
    </row>
    <row r="74" spans="1:4">
      <c r="A74" s="15" t="s">
        <v>938</v>
      </c>
      <c r="B74" s="13" t="s">
        <v>979</v>
      </c>
      <c r="C74" s="14">
        <v>2024</v>
      </c>
      <c r="D74" s="13" t="s">
        <v>726</v>
      </c>
    </row>
    <row r="75" spans="1:4">
      <c r="A75" s="15" t="s">
        <v>938</v>
      </c>
      <c r="B75" s="13" t="s">
        <v>979</v>
      </c>
      <c r="C75" s="14">
        <v>2024</v>
      </c>
      <c r="D75" s="13" t="s">
        <v>1096</v>
      </c>
    </row>
    <row r="76" spans="1:4">
      <c r="A76" s="15" t="s">
        <v>938</v>
      </c>
      <c r="B76" s="13" t="s">
        <v>979</v>
      </c>
      <c r="C76" s="14">
        <v>2024</v>
      </c>
      <c r="D76" s="13" t="s">
        <v>1097</v>
      </c>
    </row>
    <row r="77" spans="1:4">
      <c r="A77" s="15" t="s">
        <v>938</v>
      </c>
      <c r="B77" s="13" t="s">
        <v>979</v>
      </c>
      <c r="C77" s="14">
        <v>2024</v>
      </c>
      <c r="D77" s="13" t="s">
        <v>1098</v>
      </c>
    </row>
    <row r="78" spans="1:4">
      <c r="A78" s="15" t="s">
        <v>939</v>
      </c>
      <c r="B78" s="15" t="s">
        <v>913</v>
      </c>
      <c r="C78" s="14">
        <v>2024</v>
      </c>
      <c r="D78" s="13" t="s">
        <v>906</v>
      </c>
    </row>
    <row r="79" spans="1:4">
      <c r="A79" s="15" t="s">
        <v>940</v>
      </c>
      <c r="B79" s="14" t="s">
        <v>974</v>
      </c>
      <c r="C79" s="14">
        <v>2025</v>
      </c>
      <c r="D79" s="13"/>
    </row>
    <row r="80" spans="1:4">
      <c r="A80" s="15" t="s">
        <v>941</v>
      </c>
      <c r="B80" s="14" t="s">
        <v>974</v>
      </c>
      <c r="C80" s="14">
        <v>2025</v>
      </c>
      <c r="D80" s="13"/>
    </row>
    <row r="81" spans="1:4">
      <c r="A81" s="15" t="s">
        <v>95</v>
      </c>
      <c r="B81" s="15" t="s">
        <v>913</v>
      </c>
      <c r="C81" s="14">
        <v>2025</v>
      </c>
      <c r="D81" s="13" t="s">
        <v>95</v>
      </c>
    </row>
    <row r="82" spans="1:4">
      <c r="A82" s="15" t="s">
        <v>942</v>
      </c>
      <c r="B82" s="14" t="s">
        <v>974</v>
      </c>
      <c r="C82" s="14">
        <v>2025</v>
      </c>
      <c r="D82" s="13"/>
    </row>
    <row r="83" spans="1:4">
      <c r="A83" s="15" t="s">
        <v>943</v>
      </c>
      <c r="B83" s="14" t="s">
        <v>974</v>
      </c>
      <c r="C83" s="14">
        <v>2025</v>
      </c>
      <c r="D83" s="13" t="s">
        <v>490</v>
      </c>
    </row>
    <row r="84" spans="1:4">
      <c r="A84" s="15" t="s">
        <v>944</v>
      </c>
      <c r="B84" s="15" t="s">
        <v>913</v>
      </c>
      <c r="C84" s="14">
        <v>2025</v>
      </c>
      <c r="D84" s="13" t="s">
        <v>107</v>
      </c>
    </row>
    <row r="85" spans="1:4">
      <c r="A85" s="15" t="s">
        <v>945</v>
      </c>
      <c r="B85" s="15" t="s">
        <v>913</v>
      </c>
      <c r="C85" s="14">
        <v>2025</v>
      </c>
      <c r="D85" s="13" t="s">
        <v>902</v>
      </c>
    </row>
    <row r="86" spans="1:4">
      <c r="A86" s="15" t="s">
        <v>946</v>
      </c>
      <c r="B86" s="14" t="s">
        <v>974</v>
      </c>
      <c r="C86" s="14">
        <v>2026</v>
      </c>
      <c r="D86" s="13"/>
    </row>
    <row r="87" spans="1:4">
      <c r="A87" s="15" t="s">
        <v>947</v>
      </c>
      <c r="B87" s="14" t="s">
        <v>974</v>
      </c>
      <c r="C87" s="14">
        <v>2024</v>
      </c>
      <c r="D87" s="13"/>
    </row>
    <row r="88" spans="1:4">
      <c r="A88" s="13" t="s">
        <v>1118</v>
      </c>
      <c r="B88" s="13" t="s">
        <v>979</v>
      </c>
      <c r="C88" s="14">
        <v>2022</v>
      </c>
      <c r="D88" s="13" t="s">
        <v>1119</v>
      </c>
    </row>
    <row r="89" spans="1:4">
      <c r="A89" t="s">
        <v>1124</v>
      </c>
      <c r="B89" s="13" t="s">
        <v>979</v>
      </c>
      <c r="C89" s="14">
        <v>2023</v>
      </c>
      <c r="D89" s="13" t="s">
        <v>1055</v>
      </c>
    </row>
    <row r="90" spans="1:4">
      <c r="A90" s="15" t="s">
        <v>948</v>
      </c>
      <c r="B90" s="15" t="s">
        <v>913</v>
      </c>
      <c r="C90" s="14">
        <v>2025</v>
      </c>
      <c r="D90" s="13" t="s">
        <v>977</v>
      </c>
    </row>
    <row r="91" spans="1:4">
      <c r="A91" s="15" t="s">
        <v>949</v>
      </c>
      <c r="B91" s="15" t="s">
        <v>913</v>
      </c>
      <c r="C91" s="14">
        <v>2024</v>
      </c>
      <c r="D91" s="13" t="s">
        <v>32</v>
      </c>
    </row>
    <row r="92" spans="1:4">
      <c r="A92" s="15" t="s">
        <v>950</v>
      </c>
      <c r="B92" s="15" t="s">
        <v>913</v>
      </c>
      <c r="C92" s="14">
        <v>2025</v>
      </c>
      <c r="D92" s="13" t="s">
        <v>31</v>
      </c>
    </row>
    <row r="93" spans="1:4">
      <c r="A93" s="15" t="s">
        <v>951</v>
      </c>
      <c r="B93" s="15" t="s">
        <v>913</v>
      </c>
      <c r="C93" s="14">
        <v>2026</v>
      </c>
      <c r="D93" s="13" t="s">
        <v>908</v>
      </c>
    </row>
    <row r="94" spans="1:4">
      <c r="A94" s="13" t="s">
        <v>4548</v>
      </c>
      <c r="B94" s="13" t="s">
        <v>979</v>
      </c>
      <c r="C94" s="14">
        <v>2023</v>
      </c>
      <c r="D94" s="13" t="s">
        <v>1007</v>
      </c>
    </row>
    <row r="95" spans="1:4">
      <c r="A95" s="13" t="s">
        <v>4544</v>
      </c>
      <c r="B95" s="13" t="s">
        <v>979</v>
      </c>
      <c r="C95" s="14">
        <v>2023</v>
      </c>
      <c r="D95" s="13" t="s">
        <v>581</v>
      </c>
    </row>
    <row r="96" spans="1:4">
      <c r="A96" s="15" t="s">
        <v>952</v>
      </c>
      <c r="B96" s="15" t="s">
        <v>913</v>
      </c>
      <c r="C96" s="14">
        <v>2024</v>
      </c>
      <c r="D96" s="13" t="s">
        <v>898</v>
      </c>
    </row>
    <row r="97" spans="1:4">
      <c r="A97" s="15" t="s">
        <v>953</v>
      </c>
      <c r="B97" s="15" t="s">
        <v>913</v>
      </c>
      <c r="C97" s="14">
        <v>2025</v>
      </c>
      <c r="D97" s="13" t="s">
        <v>900</v>
      </c>
    </row>
    <row r="98" spans="1:4">
      <c r="A98" s="15" t="s">
        <v>954</v>
      </c>
      <c r="B98" s="14" t="s">
        <v>974</v>
      </c>
      <c r="C98" s="14">
        <v>2025</v>
      </c>
      <c r="D98" s="13"/>
    </row>
    <row r="99" spans="1:4">
      <c r="A99" s="15" t="s">
        <v>984</v>
      </c>
      <c r="B99" s="15" t="s">
        <v>913</v>
      </c>
      <c r="C99" s="14">
        <v>2025</v>
      </c>
      <c r="D99" s="13" t="s">
        <v>973</v>
      </c>
    </row>
    <row r="100" spans="1:4">
      <c r="A100" s="13" t="s">
        <v>1112</v>
      </c>
      <c r="B100" s="15" t="s">
        <v>913</v>
      </c>
      <c r="C100" s="14">
        <v>2023</v>
      </c>
      <c r="D100" s="13" t="s">
        <v>1110</v>
      </c>
    </row>
    <row r="101" spans="1:4">
      <c r="A101" s="15" t="s">
        <v>955</v>
      </c>
      <c r="B101" s="15" t="s">
        <v>913</v>
      </c>
      <c r="C101" s="14">
        <v>2025</v>
      </c>
      <c r="D101" s="13" t="s">
        <v>34</v>
      </c>
    </row>
    <row r="102" spans="1:4">
      <c r="A102" s="15" t="s">
        <v>7</v>
      </c>
      <c r="B102" s="15" t="s">
        <v>913</v>
      </c>
      <c r="C102" s="14">
        <v>2026</v>
      </c>
      <c r="D102" s="13" t="s">
        <v>7</v>
      </c>
    </row>
    <row r="103" spans="1:4">
      <c r="A103" s="13" t="s">
        <v>1117</v>
      </c>
      <c r="B103" s="13" t="s">
        <v>979</v>
      </c>
      <c r="C103" s="14">
        <v>2024</v>
      </c>
      <c r="D103" s="13" t="s">
        <v>264</v>
      </c>
    </row>
    <row r="104" spans="1:4">
      <c r="A104" s="13" t="s">
        <v>1117</v>
      </c>
      <c r="B104" s="13" t="s">
        <v>979</v>
      </c>
      <c r="C104" s="14">
        <v>2024</v>
      </c>
      <c r="D104" s="13" t="s">
        <v>265</v>
      </c>
    </row>
    <row r="105" spans="1:4">
      <c r="A105" s="15" t="s">
        <v>873</v>
      </c>
      <c r="B105" s="15" t="s">
        <v>913</v>
      </c>
      <c r="C105" s="14">
        <v>2025</v>
      </c>
      <c r="D105" s="13" t="s">
        <v>899</v>
      </c>
    </row>
    <row r="106" spans="1:4">
      <c r="A106" s="15" t="s">
        <v>21</v>
      </c>
      <c r="B106" s="15" t="s">
        <v>913</v>
      </c>
      <c r="C106" s="14">
        <v>2025</v>
      </c>
      <c r="D106" s="13" t="s">
        <v>21</v>
      </c>
    </row>
    <row r="107" spans="1:4">
      <c r="A107" s="13" t="s">
        <v>1114</v>
      </c>
      <c r="B107" s="15" t="s">
        <v>913</v>
      </c>
      <c r="C107" s="14">
        <v>2022</v>
      </c>
      <c r="D107" s="13" t="s">
        <v>1113</v>
      </c>
    </row>
    <row r="108" spans="1:4">
      <c r="A108" s="15" t="s">
        <v>982</v>
      </c>
      <c r="B108" s="15" t="s">
        <v>913</v>
      </c>
      <c r="C108" s="14">
        <v>2025</v>
      </c>
      <c r="D108" s="13" t="s">
        <v>108</v>
      </c>
    </row>
    <row r="109" spans="1:4">
      <c r="A109" s="15" t="s">
        <v>956</v>
      </c>
      <c r="B109" s="14" t="s">
        <v>974</v>
      </c>
      <c r="C109" s="14">
        <v>2026</v>
      </c>
      <c r="D109" s="13"/>
    </row>
    <row r="110" spans="1:4">
      <c r="A110" s="13" t="s">
        <v>4547</v>
      </c>
      <c r="B110" s="13" t="s">
        <v>979</v>
      </c>
      <c r="C110" s="14">
        <v>2023</v>
      </c>
      <c r="D110" s="13" t="s">
        <v>1010</v>
      </c>
    </row>
    <row r="111" spans="1:4">
      <c r="A111" s="15" t="s">
        <v>957</v>
      </c>
      <c r="B111" s="14" t="s">
        <v>974</v>
      </c>
      <c r="C111" s="14">
        <v>2024</v>
      </c>
      <c r="D111" s="13"/>
    </row>
    <row r="112" spans="1:4">
      <c r="A112" s="15" t="s">
        <v>978</v>
      </c>
      <c r="B112" s="13" t="s">
        <v>979</v>
      </c>
      <c r="C112" s="14">
        <v>2023</v>
      </c>
      <c r="D112" s="13" t="s">
        <v>99</v>
      </c>
    </row>
    <row r="113" spans="1:4">
      <c r="A113" s="15" t="s">
        <v>958</v>
      </c>
      <c r="B113" s="14" t="s">
        <v>974</v>
      </c>
      <c r="C113" s="14">
        <v>2024</v>
      </c>
      <c r="D113" s="13"/>
    </row>
    <row r="114" spans="1:4">
      <c r="A114" s="15" t="s">
        <v>887</v>
      </c>
      <c r="B114" s="15" t="s">
        <v>913</v>
      </c>
      <c r="C114" s="14">
        <v>2025</v>
      </c>
      <c r="D114" s="13" t="s">
        <v>887</v>
      </c>
    </row>
    <row r="115" spans="1:4">
      <c r="A115" s="15" t="s">
        <v>959</v>
      </c>
      <c r="B115" s="15" t="s">
        <v>913</v>
      </c>
      <c r="C115" s="14">
        <v>2025</v>
      </c>
      <c r="D115" s="13" t="s">
        <v>896</v>
      </c>
    </row>
    <row r="116" spans="1:4">
      <c r="A116" s="15" t="s">
        <v>960</v>
      </c>
      <c r="B116" s="15" t="s">
        <v>913</v>
      </c>
      <c r="C116" s="14">
        <v>2025</v>
      </c>
      <c r="D116" s="13" t="s">
        <v>893</v>
      </c>
    </row>
  </sheetData>
  <phoneticPr fontId="5" type="noConversion"/>
  <pageMargins left="0.7" right="0.7" top="0.75" bottom="0.75" header="0.3" footer="0.3"/>
  <headerFooter>
    <oddFooter>&amp;L_x000D_&amp;1#&amp;"Aptos"&amp;11&amp;K5F5F5F S-OIL: Company Use Only</oddFooter>
  </headerFooter>
  <legacyDrawing r:id="rId1"/>
  <tableParts count="1">
    <tablePart r:id="rId2"/>
  </tableParts>
</worksheet>
</file>

<file path=docMetadata/LabelInfo.xml><?xml version="1.0" encoding="utf-8"?>
<clbl:labelList xmlns:clbl="http://schemas.microsoft.com/office/2020/mipLabelMetadata">
  <clbl:label id="{a56ec2f6-49a6-4260-b291-cddfa4fb07f3}" enabled="1" method="Privileged" siteId="{a2d478ac-b585-41c5-a681-f7383808fa1a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22</vt:i4>
      </vt:variant>
    </vt:vector>
  </HeadingPairs>
  <TitlesOfParts>
    <vt:vector size="22" baseType="lpstr">
      <vt:lpstr>supply_value_overall_score</vt:lpstr>
      <vt:lpstr>supply_score</vt:lpstr>
      <vt:lpstr>value_chain_score</vt:lpstr>
      <vt:lpstr>rating</vt:lpstr>
      <vt:lpstr>end_use_id</vt:lpstr>
      <vt:lpstr>end_use_specialty</vt:lpstr>
      <vt:lpstr>app_id</vt:lpstr>
      <vt:lpstr>app_master</vt:lpstr>
      <vt:lpstr>app_rating</vt:lpstr>
      <vt:lpstr>group_master</vt:lpstr>
      <vt:lpstr>specialty_master</vt:lpstr>
      <vt:lpstr>material_master</vt:lpstr>
      <vt:lpstr>route_master</vt:lpstr>
      <vt:lpstr>route_input_link</vt:lpstr>
      <vt:lpstr>route_output_link</vt:lpstr>
      <vt:lpstr>licensor_master</vt:lpstr>
      <vt:lpstr>route_licensor_link</vt:lpstr>
      <vt:lpstr>supplier_master</vt:lpstr>
      <vt:lpstr>material_supplier_link</vt:lpstr>
      <vt:lpstr>location_master</vt:lpstr>
      <vt:lpstr>ccma_list</vt:lpstr>
      <vt:lpstr>ceh_list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이원일(W.I. Lee)</cp:lastModifiedBy>
  <dcterms:created xsi:type="dcterms:W3CDTF">2015-06-05T18:19:34Z</dcterms:created>
  <dcterms:modified xsi:type="dcterms:W3CDTF">2026-07-06T09:14:50Z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567d48d-774c-44e2-a79a-7d15724a8f35_Enabled">
    <vt:lpwstr>true</vt:lpwstr>
  </property>
  <property fmtid="{D5CDD505-2E9C-101B-9397-08002B2CF9AE}" pid="3" name="MSIP_Label_a567d48d-774c-44e2-a79a-7d15724a8f35_SetDate">
    <vt:lpwstr>2026-06-21T14:35:45Z</vt:lpwstr>
  </property>
  <property fmtid="{D5CDD505-2E9C-101B-9397-08002B2CF9AE}" pid="4" name="MSIP_Label_a567d48d-774c-44e2-a79a-7d15724a8f35_Method">
    <vt:lpwstr>Standard</vt:lpwstr>
  </property>
  <property fmtid="{D5CDD505-2E9C-101B-9397-08002B2CF9AE}" pid="5" name="MSIP_Label_a567d48d-774c-44e2-a79a-7d15724a8f35_Name">
    <vt:lpwstr>Default</vt:lpwstr>
  </property>
  <property fmtid="{D5CDD505-2E9C-101B-9397-08002B2CF9AE}" pid="6" name="MSIP_Label_a567d48d-774c-44e2-a79a-7d15724a8f35_SiteId">
    <vt:lpwstr>a2d478ac-b585-41c5-a681-f7383808fa1a</vt:lpwstr>
  </property>
  <property fmtid="{D5CDD505-2E9C-101B-9397-08002B2CF9AE}" pid="7" name="MSIP_Label_a567d48d-774c-44e2-a79a-7d15724a8f35_ActionId">
    <vt:lpwstr>5c804baf-42d3-4173-8478-89542520bfa5</vt:lpwstr>
  </property>
  <property fmtid="{D5CDD505-2E9C-101B-9397-08002B2CF9AE}" pid="8" name="MSIP_Label_a567d48d-774c-44e2-a79a-7d15724a8f35_ContentBits">
    <vt:lpwstr>3</vt:lpwstr>
  </property>
  <property fmtid="{D5CDD505-2E9C-101B-9397-08002B2CF9AE}" pid="9" name="MSIP_Label_a567d48d-774c-44e2-a79a-7d15724a8f35_Tag">
    <vt:lpwstr>10, 3, 0, 1</vt:lpwstr>
  </property>
</Properties>
</file>